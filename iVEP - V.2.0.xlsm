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78.xml" ContentType="application/vnd.ms-excel.person+xml"/>
  <Override PartName="/xl/persons/person15.xml" ContentType="application/vnd.ms-excel.person+xml"/>
  <Override PartName="/xl/persons/person7.xml" ContentType="application/vnd.ms-excel.person+xml"/>
  <Override PartName="/xl/persons/person29.xml" ContentType="application/vnd.ms-excel.person+xml"/>
  <Override PartName="/xl/persons/person34.xml" ContentType="application/vnd.ms-excel.person+xml"/>
  <Override PartName="/xl/persons/person52.xml" ContentType="application/vnd.ms-excel.person+xml"/>
  <Override PartName="/xl/persons/person57.xml" ContentType="application/vnd.ms-excel.person+xml"/>
  <Override PartName="/xl/persons/person73.xml" ContentType="application/vnd.ms-excel.person+xml"/>
  <Override PartName="/xl/persons/person70.xml" ContentType="application/vnd.ms-excel.person+xml"/>
  <Override PartName="/xl/persons/person20.xml" ContentType="application/vnd.ms-excel.person+xml"/>
  <Override PartName="/xl/persons/person24.xml" ContentType="application/vnd.ms-excel.person+xml"/>
  <Override PartName="/xl/persons/person40.xml" ContentType="application/vnd.ms-excel.person+xml"/>
  <Override PartName="/xl/persons/person47.xml" ContentType="application/vnd.ms-excel.person+xml"/>
  <Override PartName="/xl/persons/person69.xml" ContentType="application/vnd.ms-excel.person+xml"/>
  <Override PartName="/xl/persons/person4.xml" ContentType="application/vnd.ms-excel.person+xml"/>
  <Override PartName="/xl/persons/person63.xml" ContentType="application/vnd.ms-excel.person+xml"/>
  <Override PartName="/xl/persons/person0.xml" ContentType="application/vnd.ms-excel.person+xml"/>
  <Override PartName="/xl/persons/person45.xml" ContentType="application/vnd.ms-excel.person+xml"/>
  <Override PartName="/xl/persons/person36.xml" ContentType="application/vnd.ms-excel.person+xml"/>
  <Override PartName="/xl/persons/person10.xml" ContentType="application/vnd.ms-excel.person+xml"/>
  <Override PartName="/xl/persons/person19.xml" ContentType="application/vnd.ms-excel.person+xml"/>
  <Override PartName="/xl/persons/person3.xml" ContentType="application/vnd.ms-excel.person+xml"/>
  <Override PartName="/xl/persons/person48.xml" ContentType="application/vnd.ms-excel.person+xml"/>
  <Override PartName="/xl/persons/person53.xml" ContentType="application/vnd.ms-excel.person+xml"/>
  <Override PartName="/xl/persons/person81.xml" ContentType="application/vnd.ms-excel.person+xml"/>
  <Override PartName="/xl/persons/person28.xml" ContentType="application/vnd.ms-excel.person+xml"/>
  <Override PartName="/xl/persons/person68.xml" ContentType="application/vnd.ms-excel.person+xml"/>
  <Override PartName="/xl/persons/person71.xml" ContentType="application/vnd.ms-excel.person+xml"/>
  <Override PartName="/xl/persons/person58.xml" ContentType="application/vnd.ms-excel.person+xml"/>
  <Override PartName="/xl/persons/person12.xml" ContentType="application/vnd.ms-excel.person+xml"/>
  <Override PartName="/xl/persons/person44.xml" ContentType="application/vnd.ms-excel.person+xml"/>
  <Override PartName="/xl/persons/person39.xml" ContentType="application/vnd.ms-excel.person+xml"/>
  <Override PartName="/xl/persons/person22.xml" ContentType="application/vnd.ms-excel.person+xml"/>
  <Override PartName="/xl/persons/person6.xml" ContentType="application/vnd.ms-excel.person+xml"/>
  <Override PartName="/xl/persons/person76.xml" ContentType="application/vnd.ms-excel.person+xml"/>
  <Override PartName="/xl/persons/person16.xml" ContentType="application/vnd.ms-excel.person+xml"/>
  <Override PartName="/xl/persons/person33.xml" ContentType="application/vnd.ms-excel.person+xml"/>
  <Override PartName="/xl/persons/person27.xml" ContentType="application/vnd.ms-excel.person+xml"/>
  <Override PartName="/xl/persons/person8.xml" ContentType="application/vnd.ms-excel.person+xml"/>
  <Override PartName="/xl/persons/person49.xml" ContentType="application/vnd.ms-excel.person+xml"/>
  <Override PartName="/xl/persons/person54.xml" ContentType="application/vnd.ms-excel.person+xml"/>
  <Override PartName="/xl/persons/person72.xml" ContentType="application/vnd.ms-excel.person+xml"/>
  <Override PartName="/xl/persons/person13.xml" ContentType="application/vnd.ms-excel.person+xml"/>
  <Override PartName="/xl/persons/person59.xml" ContentType="application/vnd.ms-excel.person+xml"/>
  <Override PartName="/xl/persons/person43.xml" ContentType="application/vnd.ms-excel.person+xml"/>
  <Override PartName="/xl/persons/person2.xml" ContentType="application/vnd.ms-excel.person+xml"/>
  <Override PartName="/xl/persons/person21.xml" ContentType="application/vnd.ms-excel.person+xml"/>
  <Override PartName="/xl/persons/person1.xml" ContentType="application/vnd.ms-excel.person+xml"/>
  <Override PartName="/xl/persons/person37.xml" ContentType="application/vnd.ms-excel.person+xml"/>
  <Override PartName="/xl/persons/person60.xml" ContentType="application/vnd.ms-excel.person+xml"/>
  <Override PartName="/xl/persons/person75.xml" ContentType="application/vnd.ms-excel.person+xml"/>
  <Override PartName="/xl/persons/person56.xml" ContentType="application/vnd.ms-excel.person+xml"/>
  <Override PartName="/xl/persons/person17.xml" ContentType="application/vnd.ms-excel.person+xml"/>
  <Override PartName="/xl/persons/person32.xml" ContentType="application/vnd.ms-excel.person+xml"/>
  <Override PartName="/xl/persons/person77.xml" ContentType="application/vnd.ms-excel.person+xml"/>
  <Override PartName="/xl/persons/person26.xml" ContentType="application/vnd.ms-excel.person+xml"/>
  <Override PartName="/xl/persons/person50.xml" ContentType="application/vnd.ms-excel.person+xml"/>
  <Override PartName="/xl/persons/person9.xml" ContentType="application/vnd.ms-excel.person+xml"/>
  <Override PartName="/xl/persons/person11.xml" ContentType="application/vnd.ms-excel.person+xml"/>
  <Override PartName="/xl/persons/person31.xml" ContentType="application/vnd.ms-excel.person+xml"/>
  <Override PartName="/xl/persons/person42.xml" ContentType="application/vnd.ms-excel.person+xml"/>
  <Override PartName="/xl/persons/person80.xml" ContentType="application/vnd.ms-excel.person+xml"/>
  <Override PartName="/xl/persons/person64.xml" ContentType="application/vnd.ms-excel.person+xml"/>
  <Override PartName="/xl/persons/person41.xml" ContentType="application/vnd.ms-excel.person+xml"/>
  <Override PartName="/xl/persons/person23.xml" ContentType="application/vnd.ms-excel.person+xml"/>
  <Override PartName="/xl/persons/person61.xml" ContentType="application/vnd.ms-excel.person+xml"/>
  <Override PartName="/xl/persons/person79.xml" ContentType="application/vnd.ms-excel.person+xml"/>
  <Override PartName="/xl/persons/person35.xml" ContentType="application/vnd.ms-excel.person+xml"/>
  <Override PartName="/xl/persons/person18.xml" ContentType="application/vnd.ms-excel.person+xml"/>
  <Override PartName="/xl/persons/person74.xml" ContentType="application/vnd.ms-excel.person+xml"/>
  <Override PartName="/xl/persons/person30.xml" ContentType="application/vnd.ms-excel.person+xml"/>
  <Override PartName="/xl/persons/person14.xml" ContentType="application/vnd.ms-excel.person+xml"/>
  <Override PartName="/xl/persons/person51.xml" ContentType="application/vnd.ms-excel.person+xml"/>
  <Override PartName="/xl/persons/person55.xml" ContentType="application/vnd.ms-excel.person+xml"/>
  <Override PartName="/xl/persons/person25.xml" ContentType="application/vnd.ms-excel.person+xml"/>
  <Override PartName="/xl/persons/person67.xml" ContentType="application/vnd.ms-excel.person+xml"/>
  <Override PartName="/xl/persons/person38.xml" ContentType="application/vnd.ms-excel.person+xml"/>
  <Override PartName="/xl/persons/person5.xml" ContentType="application/vnd.ms-excel.person+xml"/>
  <Override PartName="/xl/persons/person46.xml" ContentType="application/vnd.ms-excel.person+xml"/>
  <Override PartName="/xl/persons/person62.xml" ContentType="application/vnd.ms-excel.person+xml"/>
  <Override PartName="/xl/persons/person66.xml" ContentType="application/vnd.ms-excel.person+xml"/>
  <Override PartName="/xl/persons/person65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f7e6048659c5de8/Área de Trabalho/"/>
    </mc:Choice>
  </mc:AlternateContent>
  <xr:revisionPtr revIDLastSave="441" documentId="8_{B1FFD9E1-758A-4592-8570-4AB60A6A58C7}" xr6:coauthVersionLast="47" xr6:coauthVersionMax="47" xr10:uidLastSave="{6B89F67B-E43F-4415-9065-07DE7D5E7B41}"/>
  <bookViews>
    <workbookView xWindow="-108" yWindow="-108" windowWidth="23256" windowHeight="12456" tabRatio="734" xr2:uid="{87FE4EA7-D7BA-4B72-AAA0-3F53335FC430}"/>
  </bookViews>
  <sheets>
    <sheet name="Iniciar" sheetId="31" r:id="rId1"/>
    <sheet name="CadCli" sheetId="32" r:id="rId2"/>
    <sheet name="TempCadCli" sheetId="33" r:id="rId3"/>
    <sheet name="CadCliInfo" sheetId="37" r:id="rId4"/>
    <sheet name="CadForn" sheetId="35" r:id="rId5"/>
    <sheet name="TempCadForn" sheetId="36" r:id="rId6"/>
    <sheet name="CadProd" sheetId="1" r:id="rId7"/>
    <sheet name="TempCadProd" sheetId="20" r:id="rId8"/>
    <sheet name="CadProdInfo" sheetId="30" r:id="rId9"/>
    <sheet name="Custos" sheetId="23" r:id="rId10"/>
    <sheet name="TempCustos" sheetId="24" r:id="rId11"/>
    <sheet name="CustosInfo" sheetId="25" r:id="rId12"/>
    <sheet name="RelCustos" sheetId="41" r:id="rId13"/>
    <sheet name="TempRelCustos" sheetId="40" r:id="rId14"/>
    <sheet name="Estoque" sheetId="18" r:id="rId15"/>
    <sheet name="TempEstoque" sheetId="19" r:id="rId16"/>
    <sheet name="EstoqueInfo" sheetId="21" r:id="rId17"/>
    <sheet name="Entrada" sheetId="2" r:id="rId18"/>
    <sheet name="TempEntrada" sheetId="3" r:id="rId19"/>
    <sheet name="OrdemEntrada" sheetId="38" r:id="rId20"/>
    <sheet name="MovEntrada" sheetId="13" r:id="rId21"/>
    <sheet name="TempMovEntrada" sheetId="5" r:id="rId22"/>
    <sheet name="Saida" sheetId="10" r:id="rId23"/>
    <sheet name="TempSaida" sheetId="11" r:id="rId24"/>
    <sheet name="OrdemSaida" sheetId="39" r:id="rId25"/>
    <sheet name="MovSaida" sheetId="15" r:id="rId26"/>
    <sheet name="TempMovSaida" sheetId="16" r:id="rId27"/>
    <sheet name="CalcDesc" sheetId="17" r:id="rId28"/>
    <sheet name="Lucro" sheetId="26" r:id="rId29"/>
    <sheet name="TempLucro" sheetId="28" r:id="rId30"/>
    <sheet name="BD_INFO" sheetId="6" r:id="rId31"/>
    <sheet name="BD_MARCA" sheetId="7" r:id="rId32"/>
    <sheet name="BD_CUSTO" sheetId="22" r:id="rId33"/>
    <sheet name="BD_CUSTO_Info" sheetId="29" r:id="rId34"/>
  </sheets>
  <definedNames>
    <definedName name="_xlnm._FilterDatabase" localSheetId="1" hidden="1">CadCli!$A$1:$F$5</definedName>
    <definedName name="_xlnm._FilterDatabase" localSheetId="4" hidden="1">CadForn!$A$1:$F$6</definedName>
    <definedName name="_xlnm._FilterDatabase" localSheetId="6" hidden="1">CadProd!$A$1:$E$4</definedName>
    <definedName name="_xlnm._FilterDatabase" localSheetId="8" hidden="1">CadProdInfo!$A$1:$B$12</definedName>
    <definedName name="_xlnm._FilterDatabase" localSheetId="14" hidden="1">Estoque!$A$1:$H$17</definedName>
    <definedName name="_xlnm._FilterDatabase" localSheetId="28" hidden="1">Lucro!$A$1:$T$6</definedName>
    <definedName name="_xlnm._FilterDatabase" localSheetId="20" hidden="1">MovEntrada!$A$1:$Q$5001</definedName>
    <definedName name="_xlnm._FilterDatabase" localSheetId="25" hidden="1">MovSaida!$A$1:$R$2976</definedName>
    <definedName name="_xlnm._FilterDatabase" localSheetId="12" hidden="1">RelCustos!$A$1:$G$4</definedName>
    <definedName name="_xlnm._FilterDatabase" localSheetId="5" hidden="1">TempCadForn!$A$1:$F$5</definedName>
    <definedName name="_xlnm._FilterDatabase" localSheetId="21" hidden="1">TempMovEntrada!$D$1:$J$5001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" i="28" l="1"/>
  <c r="Q1" i="28"/>
  <c r="G1" i="40"/>
  <c r="I2976" i="16"/>
  <c r="F2976" i="16"/>
  <c r="E2976" i="16"/>
  <c r="I2975" i="16"/>
  <c r="F2975" i="16"/>
  <c r="E2975" i="16"/>
  <c r="I2974" i="16"/>
  <c r="F2974" i="16"/>
  <c r="E2974" i="16"/>
  <c r="I2973" i="16"/>
  <c r="F2973" i="16"/>
  <c r="E2973" i="16"/>
  <c r="I2972" i="16"/>
  <c r="F2972" i="16"/>
  <c r="E2972" i="16"/>
  <c r="I2971" i="16"/>
  <c r="F2971" i="16"/>
  <c r="E2971" i="16"/>
  <c r="I2970" i="16"/>
  <c r="F2970" i="16"/>
  <c r="E2970" i="16"/>
  <c r="I2969" i="16"/>
  <c r="F2969" i="16"/>
  <c r="E2969" i="16"/>
  <c r="I2968" i="16"/>
  <c r="F2968" i="16"/>
  <c r="E2968" i="16"/>
  <c r="I2967" i="16"/>
  <c r="F2967" i="16"/>
  <c r="E2967" i="16"/>
  <c r="I2966" i="16"/>
  <c r="F2966" i="16"/>
  <c r="E2966" i="16"/>
  <c r="I2965" i="16"/>
  <c r="F2965" i="16"/>
  <c r="E2965" i="16"/>
  <c r="I2964" i="16"/>
  <c r="F2964" i="16"/>
  <c r="E2964" i="16"/>
  <c r="I2963" i="16"/>
  <c r="F2963" i="16"/>
  <c r="E2963" i="16"/>
  <c r="I2962" i="16"/>
  <c r="F2962" i="16"/>
  <c r="E2962" i="16"/>
  <c r="I2961" i="16"/>
  <c r="F2961" i="16"/>
  <c r="E2961" i="16"/>
  <c r="I2960" i="16"/>
  <c r="F2960" i="16"/>
  <c r="E2960" i="16"/>
  <c r="I2959" i="16"/>
  <c r="F2959" i="16"/>
  <c r="E2959" i="16"/>
  <c r="I2958" i="16"/>
  <c r="F2958" i="16"/>
  <c r="E2958" i="16"/>
  <c r="I2957" i="16"/>
  <c r="F2957" i="16"/>
  <c r="E2957" i="16"/>
  <c r="I2956" i="16"/>
  <c r="F2956" i="16"/>
  <c r="E2956" i="16"/>
  <c r="I2955" i="16"/>
  <c r="F2955" i="16"/>
  <c r="E2955" i="16"/>
  <c r="I2954" i="16"/>
  <c r="F2954" i="16"/>
  <c r="E2954" i="16"/>
  <c r="I2953" i="16"/>
  <c r="F2953" i="16"/>
  <c r="E2953" i="16"/>
  <c r="I2952" i="16"/>
  <c r="F2952" i="16"/>
  <c r="E2952" i="16"/>
  <c r="I2951" i="16"/>
  <c r="F2951" i="16"/>
  <c r="E2951" i="16"/>
  <c r="I2950" i="16"/>
  <c r="F2950" i="16"/>
  <c r="E2950" i="16"/>
  <c r="I2949" i="16"/>
  <c r="F2949" i="16"/>
  <c r="E2949" i="16"/>
  <c r="I2948" i="16"/>
  <c r="F2948" i="16"/>
  <c r="E2948" i="16"/>
  <c r="I2947" i="16"/>
  <c r="F2947" i="16"/>
  <c r="E2947" i="16"/>
  <c r="I2946" i="16"/>
  <c r="F2946" i="16"/>
  <c r="E2946" i="16"/>
  <c r="I2945" i="16"/>
  <c r="F2945" i="16"/>
  <c r="E2945" i="16"/>
  <c r="I2944" i="16"/>
  <c r="F2944" i="16"/>
  <c r="E2944" i="16"/>
  <c r="I2943" i="16"/>
  <c r="F2943" i="16"/>
  <c r="E2943" i="16"/>
  <c r="I2942" i="16"/>
  <c r="F2942" i="16"/>
  <c r="E2942" i="16"/>
  <c r="I2941" i="16"/>
  <c r="F2941" i="16"/>
  <c r="E2941" i="16"/>
  <c r="I2940" i="16"/>
  <c r="F2940" i="16"/>
  <c r="E2940" i="16"/>
  <c r="I2939" i="16"/>
  <c r="F2939" i="16"/>
  <c r="E2939" i="16"/>
  <c r="I2938" i="16"/>
  <c r="F2938" i="16"/>
  <c r="E2938" i="16"/>
  <c r="I2937" i="16"/>
  <c r="F2937" i="16"/>
  <c r="E2937" i="16"/>
  <c r="I2936" i="16"/>
  <c r="F2936" i="16"/>
  <c r="E2936" i="16"/>
  <c r="I2935" i="16"/>
  <c r="F2935" i="16"/>
  <c r="E2935" i="16"/>
  <c r="I2934" i="16"/>
  <c r="F2934" i="16"/>
  <c r="E2934" i="16"/>
  <c r="I2933" i="16"/>
  <c r="F2933" i="16"/>
  <c r="E2933" i="16"/>
  <c r="I2932" i="16"/>
  <c r="F2932" i="16"/>
  <c r="E2932" i="16"/>
  <c r="I2931" i="16"/>
  <c r="F2931" i="16"/>
  <c r="E2931" i="16"/>
  <c r="I2930" i="16"/>
  <c r="F2930" i="16"/>
  <c r="E2930" i="16"/>
  <c r="I2929" i="16"/>
  <c r="F2929" i="16"/>
  <c r="E2929" i="16"/>
  <c r="I2928" i="16"/>
  <c r="F2928" i="16"/>
  <c r="E2928" i="16"/>
  <c r="I2927" i="16"/>
  <c r="F2927" i="16"/>
  <c r="E2927" i="16"/>
  <c r="I2926" i="16"/>
  <c r="F2926" i="16"/>
  <c r="E2926" i="16"/>
  <c r="I2925" i="16"/>
  <c r="F2925" i="16"/>
  <c r="E2925" i="16"/>
  <c r="I2924" i="16"/>
  <c r="F2924" i="16"/>
  <c r="E2924" i="16"/>
  <c r="I2923" i="16"/>
  <c r="F2923" i="16"/>
  <c r="E2923" i="16"/>
  <c r="I2922" i="16"/>
  <c r="F2922" i="16"/>
  <c r="E2922" i="16"/>
  <c r="I2921" i="16"/>
  <c r="F2921" i="16"/>
  <c r="E2921" i="16"/>
  <c r="I2920" i="16"/>
  <c r="F2920" i="16"/>
  <c r="E2920" i="16"/>
  <c r="I2919" i="16"/>
  <c r="F2919" i="16"/>
  <c r="E2919" i="16"/>
  <c r="I2918" i="16"/>
  <c r="F2918" i="16"/>
  <c r="E2918" i="16"/>
  <c r="I2917" i="16"/>
  <c r="F2917" i="16"/>
  <c r="E2917" i="16"/>
  <c r="I2916" i="16"/>
  <c r="F2916" i="16"/>
  <c r="E2916" i="16"/>
  <c r="I2915" i="16"/>
  <c r="F2915" i="16"/>
  <c r="E2915" i="16"/>
  <c r="I2914" i="16"/>
  <c r="F2914" i="16"/>
  <c r="E2914" i="16"/>
  <c r="I2913" i="16"/>
  <c r="F2913" i="16"/>
  <c r="E2913" i="16"/>
  <c r="I2912" i="16"/>
  <c r="F2912" i="16"/>
  <c r="E2912" i="16"/>
  <c r="I2911" i="16"/>
  <c r="F2911" i="16"/>
  <c r="E2911" i="16"/>
  <c r="I2910" i="16"/>
  <c r="F2910" i="16"/>
  <c r="E2910" i="16"/>
  <c r="I2909" i="16"/>
  <c r="F2909" i="16"/>
  <c r="E2909" i="16"/>
  <c r="I2908" i="16"/>
  <c r="F2908" i="16"/>
  <c r="E2908" i="16"/>
  <c r="I2907" i="16"/>
  <c r="F2907" i="16"/>
  <c r="E2907" i="16"/>
  <c r="I2906" i="16"/>
  <c r="F2906" i="16"/>
  <c r="E2906" i="16"/>
  <c r="I2905" i="16"/>
  <c r="F2905" i="16"/>
  <c r="E2905" i="16"/>
  <c r="I2904" i="16"/>
  <c r="F2904" i="16"/>
  <c r="E2904" i="16"/>
  <c r="I2903" i="16"/>
  <c r="F2903" i="16"/>
  <c r="E2903" i="16"/>
  <c r="I2902" i="16"/>
  <c r="F2902" i="16"/>
  <c r="E2902" i="16"/>
  <c r="I2901" i="16"/>
  <c r="F2901" i="16"/>
  <c r="E2901" i="16"/>
  <c r="I2900" i="16"/>
  <c r="F2900" i="16"/>
  <c r="E2900" i="16"/>
  <c r="I2899" i="16"/>
  <c r="F2899" i="16"/>
  <c r="E2899" i="16"/>
  <c r="I2898" i="16"/>
  <c r="F2898" i="16"/>
  <c r="E2898" i="16"/>
  <c r="I2897" i="16"/>
  <c r="F2897" i="16"/>
  <c r="E2897" i="16"/>
  <c r="I2896" i="16"/>
  <c r="F2896" i="16"/>
  <c r="E2896" i="16"/>
  <c r="I2895" i="16"/>
  <c r="F2895" i="16"/>
  <c r="E2895" i="16"/>
  <c r="I2894" i="16"/>
  <c r="F2894" i="16"/>
  <c r="E2894" i="16"/>
  <c r="I2893" i="16"/>
  <c r="F2893" i="16"/>
  <c r="E2893" i="16"/>
  <c r="I2892" i="16"/>
  <c r="F2892" i="16"/>
  <c r="E2892" i="16"/>
  <c r="I2891" i="16"/>
  <c r="F2891" i="16"/>
  <c r="E2891" i="16"/>
  <c r="I2890" i="16"/>
  <c r="F2890" i="16"/>
  <c r="E2890" i="16"/>
  <c r="I2889" i="16"/>
  <c r="F2889" i="16"/>
  <c r="E2889" i="16"/>
  <c r="I2888" i="16"/>
  <c r="F2888" i="16"/>
  <c r="E2888" i="16"/>
  <c r="I2887" i="16"/>
  <c r="F2887" i="16"/>
  <c r="E2887" i="16"/>
  <c r="I2886" i="16"/>
  <c r="F2886" i="16"/>
  <c r="E2886" i="16"/>
  <c r="I2885" i="16"/>
  <c r="F2885" i="16"/>
  <c r="E2885" i="16"/>
  <c r="I2884" i="16"/>
  <c r="F2884" i="16"/>
  <c r="E2884" i="16"/>
  <c r="I2883" i="16"/>
  <c r="F2883" i="16"/>
  <c r="E2883" i="16"/>
  <c r="I2882" i="16"/>
  <c r="F2882" i="16"/>
  <c r="E2882" i="16"/>
  <c r="I2881" i="16"/>
  <c r="F2881" i="16"/>
  <c r="E2881" i="16"/>
  <c r="I2880" i="16"/>
  <c r="F2880" i="16"/>
  <c r="E2880" i="16"/>
  <c r="I2879" i="16"/>
  <c r="F2879" i="16"/>
  <c r="E2879" i="16"/>
  <c r="I2878" i="16"/>
  <c r="F2878" i="16"/>
  <c r="E2878" i="16"/>
  <c r="I2877" i="16"/>
  <c r="F2877" i="16"/>
  <c r="E2877" i="16"/>
  <c r="I2876" i="16"/>
  <c r="F2876" i="16"/>
  <c r="E2876" i="16"/>
  <c r="I2875" i="16"/>
  <c r="F2875" i="16"/>
  <c r="E2875" i="16"/>
  <c r="I2874" i="16"/>
  <c r="F2874" i="16"/>
  <c r="E2874" i="16"/>
  <c r="I2873" i="16"/>
  <c r="F2873" i="16"/>
  <c r="E2873" i="16"/>
  <c r="I2872" i="16"/>
  <c r="F2872" i="16"/>
  <c r="E2872" i="16"/>
  <c r="I2871" i="16"/>
  <c r="F2871" i="16"/>
  <c r="E2871" i="16"/>
  <c r="I2870" i="16"/>
  <c r="F2870" i="16"/>
  <c r="E2870" i="16"/>
  <c r="I2869" i="16"/>
  <c r="F2869" i="16"/>
  <c r="E2869" i="16"/>
  <c r="I2868" i="16"/>
  <c r="F2868" i="16"/>
  <c r="E2868" i="16"/>
  <c r="I2867" i="16"/>
  <c r="F2867" i="16"/>
  <c r="E2867" i="16"/>
  <c r="I2866" i="16"/>
  <c r="F2866" i="16"/>
  <c r="E2866" i="16"/>
  <c r="I2865" i="16"/>
  <c r="F2865" i="16"/>
  <c r="E2865" i="16"/>
  <c r="I2864" i="16"/>
  <c r="F2864" i="16"/>
  <c r="E2864" i="16"/>
  <c r="I2863" i="16"/>
  <c r="F2863" i="16"/>
  <c r="E2863" i="16"/>
  <c r="I2862" i="16"/>
  <c r="F2862" i="16"/>
  <c r="E2862" i="16"/>
  <c r="I2861" i="16"/>
  <c r="F2861" i="16"/>
  <c r="E2861" i="16"/>
  <c r="I2860" i="16"/>
  <c r="F2860" i="16"/>
  <c r="E2860" i="16"/>
  <c r="I2859" i="16"/>
  <c r="F2859" i="16"/>
  <c r="E2859" i="16"/>
  <c r="I2858" i="16"/>
  <c r="F2858" i="16"/>
  <c r="E2858" i="16"/>
  <c r="I2857" i="16"/>
  <c r="F2857" i="16"/>
  <c r="E2857" i="16"/>
  <c r="I2856" i="16"/>
  <c r="F2856" i="16"/>
  <c r="E2856" i="16"/>
  <c r="I2855" i="16"/>
  <c r="F2855" i="16"/>
  <c r="E2855" i="16"/>
  <c r="I2854" i="16"/>
  <c r="F2854" i="16"/>
  <c r="E2854" i="16"/>
  <c r="I2853" i="16"/>
  <c r="F2853" i="16"/>
  <c r="E2853" i="16"/>
  <c r="I2852" i="16"/>
  <c r="F2852" i="16"/>
  <c r="E2852" i="16"/>
  <c r="I2851" i="16"/>
  <c r="F2851" i="16"/>
  <c r="E2851" i="16"/>
  <c r="I2850" i="16"/>
  <c r="F2850" i="16"/>
  <c r="E2850" i="16"/>
  <c r="I2849" i="16"/>
  <c r="F2849" i="16"/>
  <c r="E2849" i="16"/>
  <c r="I2848" i="16"/>
  <c r="F2848" i="16"/>
  <c r="E2848" i="16"/>
  <c r="I2847" i="16"/>
  <c r="F2847" i="16"/>
  <c r="E2847" i="16"/>
  <c r="I2846" i="16"/>
  <c r="F2846" i="16"/>
  <c r="E2846" i="16"/>
  <c r="I2845" i="16"/>
  <c r="F2845" i="16"/>
  <c r="E2845" i="16"/>
  <c r="I2844" i="16"/>
  <c r="F2844" i="16"/>
  <c r="E2844" i="16"/>
  <c r="I2843" i="16"/>
  <c r="F2843" i="16"/>
  <c r="E2843" i="16"/>
  <c r="I2842" i="16"/>
  <c r="F2842" i="16"/>
  <c r="E2842" i="16"/>
  <c r="I2841" i="16"/>
  <c r="F2841" i="16"/>
  <c r="E2841" i="16"/>
  <c r="I2840" i="16"/>
  <c r="F2840" i="16"/>
  <c r="E2840" i="16"/>
  <c r="I2839" i="16"/>
  <c r="F2839" i="16"/>
  <c r="E2839" i="16"/>
  <c r="I2838" i="16"/>
  <c r="F2838" i="16"/>
  <c r="E2838" i="16"/>
  <c r="I2837" i="16"/>
  <c r="F2837" i="16"/>
  <c r="E2837" i="16"/>
  <c r="I2836" i="16"/>
  <c r="F2836" i="16"/>
  <c r="E2836" i="16"/>
  <c r="I2835" i="16"/>
  <c r="F2835" i="16"/>
  <c r="E2835" i="16"/>
  <c r="I2834" i="16"/>
  <c r="F2834" i="16"/>
  <c r="E2834" i="16"/>
  <c r="I2833" i="16"/>
  <c r="F2833" i="16"/>
  <c r="E2833" i="16"/>
  <c r="I2832" i="16"/>
  <c r="F2832" i="16"/>
  <c r="E2832" i="16"/>
  <c r="I2831" i="16"/>
  <c r="F2831" i="16"/>
  <c r="E2831" i="16"/>
  <c r="I2830" i="16"/>
  <c r="F2830" i="16"/>
  <c r="E2830" i="16"/>
  <c r="I2829" i="16"/>
  <c r="F2829" i="16"/>
  <c r="E2829" i="16"/>
  <c r="I2828" i="16"/>
  <c r="F2828" i="16"/>
  <c r="E2828" i="16"/>
  <c r="I2827" i="16"/>
  <c r="F2827" i="16"/>
  <c r="E2827" i="16"/>
  <c r="I2826" i="16"/>
  <c r="F2826" i="16"/>
  <c r="E2826" i="16"/>
  <c r="I2825" i="16"/>
  <c r="F2825" i="16"/>
  <c r="E2825" i="16"/>
  <c r="I2824" i="16"/>
  <c r="F2824" i="16"/>
  <c r="E2824" i="16"/>
  <c r="I2823" i="16"/>
  <c r="F2823" i="16"/>
  <c r="E2823" i="16"/>
  <c r="I2822" i="16"/>
  <c r="F2822" i="16"/>
  <c r="E2822" i="16"/>
  <c r="I2821" i="16"/>
  <c r="F2821" i="16"/>
  <c r="E2821" i="16"/>
  <c r="I2820" i="16"/>
  <c r="F2820" i="16"/>
  <c r="E2820" i="16"/>
  <c r="I2819" i="16"/>
  <c r="F2819" i="16"/>
  <c r="E2819" i="16"/>
  <c r="I2818" i="16"/>
  <c r="F2818" i="16"/>
  <c r="E2818" i="16"/>
  <c r="I2817" i="16"/>
  <c r="F2817" i="16"/>
  <c r="E2817" i="16"/>
  <c r="I2816" i="16"/>
  <c r="F2816" i="16"/>
  <c r="E2816" i="16"/>
  <c r="I2815" i="16"/>
  <c r="F2815" i="16"/>
  <c r="E2815" i="16"/>
  <c r="I2814" i="16"/>
  <c r="F2814" i="16"/>
  <c r="E2814" i="16"/>
  <c r="I2813" i="16"/>
  <c r="F2813" i="16"/>
  <c r="E2813" i="16"/>
  <c r="I2812" i="16"/>
  <c r="F2812" i="16"/>
  <c r="E2812" i="16"/>
  <c r="I2811" i="16"/>
  <c r="F2811" i="16"/>
  <c r="E2811" i="16"/>
  <c r="I2810" i="16"/>
  <c r="F2810" i="16"/>
  <c r="E2810" i="16"/>
  <c r="I2809" i="16"/>
  <c r="F2809" i="16"/>
  <c r="E2809" i="16"/>
  <c r="I2808" i="16"/>
  <c r="F2808" i="16"/>
  <c r="E2808" i="16"/>
  <c r="I2807" i="16"/>
  <c r="F2807" i="16"/>
  <c r="E2807" i="16"/>
  <c r="I2806" i="16"/>
  <c r="F2806" i="16"/>
  <c r="E2806" i="16"/>
  <c r="I2805" i="16"/>
  <c r="F2805" i="16"/>
  <c r="E2805" i="16"/>
  <c r="I2804" i="16"/>
  <c r="F2804" i="16"/>
  <c r="E2804" i="16"/>
  <c r="I2803" i="16"/>
  <c r="F2803" i="16"/>
  <c r="E2803" i="16"/>
  <c r="I2802" i="16"/>
  <c r="F2802" i="16"/>
  <c r="E2802" i="16"/>
  <c r="I2801" i="16"/>
  <c r="F2801" i="16"/>
  <c r="E2801" i="16"/>
  <c r="I2800" i="16"/>
  <c r="F2800" i="16"/>
  <c r="E2800" i="16"/>
  <c r="I2799" i="16"/>
  <c r="F2799" i="16"/>
  <c r="E2799" i="16"/>
  <c r="I2798" i="16"/>
  <c r="F2798" i="16"/>
  <c r="E2798" i="16"/>
  <c r="I2797" i="16"/>
  <c r="F2797" i="16"/>
  <c r="E2797" i="16"/>
  <c r="I2796" i="16"/>
  <c r="F2796" i="16"/>
  <c r="E2796" i="16"/>
  <c r="I2795" i="16"/>
  <c r="F2795" i="16"/>
  <c r="E2795" i="16"/>
  <c r="I2794" i="16"/>
  <c r="F2794" i="16"/>
  <c r="E2794" i="16"/>
  <c r="I2793" i="16"/>
  <c r="F2793" i="16"/>
  <c r="E2793" i="16"/>
  <c r="I2792" i="16"/>
  <c r="F2792" i="16"/>
  <c r="E2792" i="16"/>
  <c r="I2791" i="16"/>
  <c r="F2791" i="16"/>
  <c r="E2791" i="16"/>
  <c r="I2790" i="16"/>
  <c r="F2790" i="16"/>
  <c r="E2790" i="16"/>
  <c r="I2789" i="16"/>
  <c r="F2789" i="16"/>
  <c r="E2789" i="16"/>
  <c r="I2788" i="16"/>
  <c r="F2788" i="16"/>
  <c r="E2788" i="16"/>
  <c r="I2787" i="16"/>
  <c r="F2787" i="16"/>
  <c r="E2787" i="16"/>
  <c r="I2786" i="16"/>
  <c r="F2786" i="16"/>
  <c r="E2786" i="16"/>
  <c r="I2785" i="16"/>
  <c r="F2785" i="16"/>
  <c r="E2785" i="16"/>
  <c r="I2784" i="16"/>
  <c r="F2784" i="16"/>
  <c r="E2784" i="16"/>
  <c r="I2783" i="16"/>
  <c r="F2783" i="16"/>
  <c r="E2783" i="16"/>
  <c r="I2782" i="16"/>
  <c r="F2782" i="16"/>
  <c r="E2782" i="16"/>
  <c r="I2781" i="16"/>
  <c r="F2781" i="16"/>
  <c r="E2781" i="16"/>
  <c r="I2780" i="16"/>
  <c r="F2780" i="16"/>
  <c r="E2780" i="16"/>
  <c r="I2779" i="16"/>
  <c r="F2779" i="16"/>
  <c r="E2779" i="16"/>
  <c r="I2778" i="16"/>
  <c r="F2778" i="16"/>
  <c r="E2778" i="16"/>
  <c r="I2777" i="16"/>
  <c r="F2777" i="16"/>
  <c r="E2777" i="16"/>
  <c r="I2776" i="16"/>
  <c r="F2776" i="16"/>
  <c r="E2776" i="16"/>
  <c r="I2775" i="16"/>
  <c r="F2775" i="16"/>
  <c r="E2775" i="16"/>
  <c r="I2774" i="16"/>
  <c r="F2774" i="16"/>
  <c r="E2774" i="16"/>
  <c r="I2773" i="16"/>
  <c r="F2773" i="16"/>
  <c r="E2773" i="16"/>
  <c r="I2772" i="16"/>
  <c r="F2772" i="16"/>
  <c r="E2772" i="16"/>
  <c r="I2771" i="16"/>
  <c r="F2771" i="16"/>
  <c r="E2771" i="16"/>
  <c r="I2770" i="16"/>
  <c r="F2770" i="16"/>
  <c r="E2770" i="16"/>
  <c r="I2769" i="16"/>
  <c r="F2769" i="16"/>
  <c r="E2769" i="16"/>
  <c r="I2768" i="16"/>
  <c r="F2768" i="16"/>
  <c r="E2768" i="16"/>
  <c r="I2767" i="16"/>
  <c r="F2767" i="16"/>
  <c r="E2767" i="16"/>
  <c r="I2766" i="16"/>
  <c r="F2766" i="16"/>
  <c r="E2766" i="16"/>
  <c r="I2765" i="16"/>
  <c r="F2765" i="16"/>
  <c r="E2765" i="16"/>
  <c r="I2764" i="16"/>
  <c r="F2764" i="16"/>
  <c r="E2764" i="16"/>
  <c r="I2763" i="16"/>
  <c r="F2763" i="16"/>
  <c r="E2763" i="16"/>
  <c r="I2762" i="16"/>
  <c r="F2762" i="16"/>
  <c r="E2762" i="16"/>
  <c r="I2761" i="16"/>
  <c r="F2761" i="16"/>
  <c r="E2761" i="16"/>
  <c r="I2760" i="16"/>
  <c r="F2760" i="16"/>
  <c r="E2760" i="16"/>
  <c r="I2759" i="16"/>
  <c r="F2759" i="16"/>
  <c r="E2759" i="16"/>
  <c r="I2758" i="16"/>
  <c r="F2758" i="16"/>
  <c r="E2758" i="16"/>
  <c r="I2757" i="16"/>
  <c r="F2757" i="16"/>
  <c r="E2757" i="16"/>
  <c r="I2756" i="16"/>
  <c r="F2756" i="16"/>
  <c r="E2756" i="16"/>
  <c r="I2755" i="16"/>
  <c r="F2755" i="16"/>
  <c r="E2755" i="16"/>
  <c r="I2754" i="16"/>
  <c r="F2754" i="16"/>
  <c r="E2754" i="16"/>
  <c r="I2753" i="16"/>
  <c r="F2753" i="16"/>
  <c r="E2753" i="16"/>
  <c r="I2752" i="16"/>
  <c r="F2752" i="16"/>
  <c r="E2752" i="16"/>
  <c r="I2751" i="16"/>
  <c r="F2751" i="16"/>
  <c r="E2751" i="16"/>
  <c r="I2750" i="16"/>
  <c r="F2750" i="16"/>
  <c r="E2750" i="16"/>
  <c r="I2749" i="16"/>
  <c r="F2749" i="16"/>
  <c r="E2749" i="16"/>
  <c r="I2748" i="16"/>
  <c r="F2748" i="16"/>
  <c r="E2748" i="16"/>
  <c r="I2747" i="16"/>
  <c r="F2747" i="16"/>
  <c r="E2747" i="16"/>
  <c r="I2746" i="16"/>
  <c r="F2746" i="16"/>
  <c r="E2746" i="16"/>
  <c r="I2745" i="16"/>
  <c r="F2745" i="16"/>
  <c r="E2745" i="16"/>
  <c r="I2744" i="16"/>
  <c r="F2744" i="16"/>
  <c r="E2744" i="16"/>
  <c r="I2743" i="16"/>
  <c r="F2743" i="16"/>
  <c r="E2743" i="16"/>
  <c r="I2742" i="16"/>
  <c r="F2742" i="16"/>
  <c r="E2742" i="16"/>
  <c r="I2741" i="16"/>
  <c r="F2741" i="16"/>
  <c r="E2741" i="16"/>
  <c r="I2740" i="16"/>
  <c r="F2740" i="16"/>
  <c r="E2740" i="16"/>
  <c r="I2739" i="16"/>
  <c r="F2739" i="16"/>
  <c r="E2739" i="16"/>
  <c r="I2738" i="16"/>
  <c r="F2738" i="16"/>
  <c r="E2738" i="16"/>
  <c r="I2737" i="16"/>
  <c r="F2737" i="16"/>
  <c r="E2737" i="16"/>
  <c r="I2736" i="16"/>
  <c r="F2736" i="16"/>
  <c r="E2736" i="16"/>
  <c r="I2735" i="16"/>
  <c r="F2735" i="16"/>
  <c r="E2735" i="16"/>
  <c r="I2734" i="16"/>
  <c r="F2734" i="16"/>
  <c r="E2734" i="16"/>
  <c r="I2733" i="16"/>
  <c r="F2733" i="16"/>
  <c r="E2733" i="16"/>
  <c r="I2732" i="16"/>
  <c r="F2732" i="16"/>
  <c r="E2732" i="16"/>
  <c r="I2731" i="16"/>
  <c r="F2731" i="16"/>
  <c r="E2731" i="16"/>
  <c r="I2730" i="16"/>
  <c r="F2730" i="16"/>
  <c r="E2730" i="16"/>
  <c r="I2729" i="16"/>
  <c r="F2729" i="16"/>
  <c r="E2729" i="16"/>
  <c r="I2728" i="16"/>
  <c r="F2728" i="16"/>
  <c r="E2728" i="16"/>
  <c r="I2727" i="16"/>
  <c r="F2727" i="16"/>
  <c r="E2727" i="16"/>
  <c r="I2726" i="16"/>
  <c r="F2726" i="16"/>
  <c r="E2726" i="16"/>
  <c r="I2725" i="16"/>
  <c r="F2725" i="16"/>
  <c r="E2725" i="16"/>
  <c r="I2724" i="16"/>
  <c r="F2724" i="16"/>
  <c r="E2724" i="16"/>
  <c r="I2723" i="16"/>
  <c r="F2723" i="16"/>
  <c r="E2723" i="16"/>
  <c r="I2722" i="16"/>
  <c r="F2722" i="16"/>
  <c r="E2722" i="16"/>
  <c r="I2721" i="16"/>
  <c r="F2721" i="16"/>
  <c r="E2721" i="16"/>
  <c r="I2720" i="16"/>
  <c r="F2720" i="16"/>
  <c r="E2720" i="16"/>
  <c r="I2719" i="16"/>
  <c r="F2719" i="16"/>
  <c r="E2719" i="16"/>
  <c r="I2718" i="16"/>
  <c r="F2718" i="16"/>
  <c r="E2718" i="16"/>
  <c r="I2717" i="16"/>
  <c r="F2717" i="16"/>
  <c r="E2717" i="16"/>
  <c r="I2716" i="16"/>
  <c r="F2716" i="16"/>
  <c r="E2716" i="16"/>
  <c r="I2715" i="16"/>
  <c r="F2715" i="16"/>
  <c r="E2715" i="16"/>
  <c r="I2714" i="16"/>
  <c r="F2714" i="16"/>
  <c r="E2714" i="16"/>
  <c r="I2713" i="16"/>
  <c r="F2713" i="16"/>
  <c r="E2713" i="16"/>
  <c r="I2712" i="16"/>
  <c r="F2712" i="16"/>
  <c r="E2712" i="16"/>
  <c r="I2711" i="16"/>
  <c r="F2711" i="16"/>
  <c r="E2711" i="16"/>
  <c r="I2710" i="16"/>
  <c r="F2710" i="16"/>
  <c r="E2710" i="16"/>
  <c r="I2709" i="16"/>
  <c r="F2709" i="16"/>
  <c r="E2709" i="16"/>
  <c r="I2708" i="16"/>
  <c r="F2708" i="16"/>
  <c r="E2708" i="16"/>
  <c r="I2707" i="16"/>
  <c r="F2707" i="16"/>
  <c r="E2707" i="16"/>
  <c r="I2706" i="16"/>
  <c r="F2706" i="16"/>
  <c r="E2706" i="16"/>
  <c r="I2705" i="16"/>
  <c r="F2705" i="16"/>
  <c r="E2705" i="16"/>
  <c r="I2704" i="16"/>
  <c r="F2704" i="16"/>
  <c r="E2704" i="16"/>
  <c r="I2703" i="16"/>
  <c r="F2703" i="16"/>
  <c r="E2703" i="16"/>
  <c r="I2702" i="16"/>
  <c r="F2702" i="16"/>
  <c r="E2702" i="16"/>
  <c r="I2701" i="16"/>
  <c r="F2701" i="16"/>
  <c r="E2701" i="16"/>
  <c r="I2700" i="16"/>
  <c r="F2700" i="16"/>
  <c r="E2700" i="16"/>
  <c r="I2699" i="16"/>
  <c r="F2699" i="16"/>
  <c r="E2699" i="16"/>
  <c r="I2698" i="16"/>
  <c r="F2698" i="16"/>
  <c r="E2698" i="16"/>
  <c r="I2697" i="16"/>
  <c r="F2697" i="16"/>
  <c r="E2697" i="16"/>
  <c r="I2696" i="16"/>
  <c r="F2696" i="16"/>
  <c r="E2696" i="16"/>
  <c r="I2695" i="16"/>
  <c r="F2695" i="16"/>
  <c r="E2695" i="16"/>
  <c r="I2694" i="16"/>
  <c r="F2694" i="16"/>
  <c r="E2694" i="16"/>
  <c r="I2693" i="16"/>
  <c r="F2693" i="16"/>
  <c r="E2693" i="16"/>
  <c r="I2692" i="16"/>
  <c r="F2692" i="16"/>
  <c r="E2692" i="16"/>
  <c r="I2691" i="16"/>
  <c r="F2691" i="16"/>
  <c r="E2691" i="16"/>
  <c r="I2690" i="16"/>
  <c r="F2690" i="16"/>
  <c r="E2690" i="16"/>
  <c r="I2689" i="16"/>
  <c r="F2689" i="16"/>
  <c r="E2689" i="16"/>
  <c r="I2688" i="16"/>
  <c r="F2688" i="16"/>
  <c r="E2688" i="16"/>
  <c r="I2687" i="16"/>
  <c r="F2687" i="16"/>
  <c r="E2687" i="16"/>
  <c r="I2686" i="16"/>
  <c r="F2686" i="16"/>
  <c r="E2686" i="16"/>
  <c r="I2685" i="16"/>
  <c r="F2685" i="16"/>
  <c r="E2685" i="16"/>
  <c r="I2684" i="16"/>
  <c r="F2684" i="16"/>
  <c r="E2684" i="16"/>
  <c r="I2683" i="16"/>
  <c r="F2683" i="16"/>
  <c r="E2683" i="16"/>
  <c r="I2682" i="16"/>
  <c r="F2682" i="16"/>
  <c r="E2682" i="16"/>
  <c r="I2681" i="16"/>
  <c r="F2681" i="16"/>
  <c r="E2681" i="16"/>
  <c r="I2680" i="16"/>
  <c r="F2680" i="16"/>
  <c r="E2680" i="16"/>
  <c r="I2679" i="16"/>
  <c r="F2679" i="16"/>
  <c r="E2679" i="16"/>
  <c r="I2678" i="16"/>
  <c r="F2678" i="16"/>
  <c r="E2678" i="16"/>
  <c r="I2677" i="16"/>
  <c r="F2677" i="16"/>
  <c r="E2677" i="16"/>
  <c r="I2676" i="16"/>
  <c r="F2676" i="16"/>
  <c r="E2676" i="16"/>
  <c r="I2675" i="16"/>
  <c r="F2675" i="16"/>
  <c r="E2675" i="16"/>
  <c r="I2674" i="16"/>
  <c r="F2674" i="16"/>
  <c r="E2674" i="16"/>
  <c r="I2673" i="16"/>
  <c r="F2673" i="16"/>
  <c r="E2673" i="16"/>
  <c r="I2672" i="16"/>
  <c r="F2672" i="16"/>
  <c r="E2672" i="16"/>
  <c r="I2671" i="16"/>
  <c r="F2671" i="16"/>
  <c r="E2671" i="16"/>
  <c r="I2670" i="16"/>
  <c r="F2670" i="16"/>
  <c r="E2670" i="16"/>
  <c r="I2669" i="16"/>
  <c r="F2669" i="16"/>
  <c r="E2669" i="16"/>
  <c r="I2668" i="16"/>
  <c r="F2668" i="16"/>
  <c r="E2668" i="16"/>
  <c r="I2667" i="16"/>
  <c r="F2667" i="16"/>
  <c r="E2667" i="16"/>
  <c r="I2666" i="16"/>
  <c r="F2666" i="16"/>
  <c r="E2666" i="16"/>
  <c r="I2665" i="16"/>
  <c r="F2665" i="16"/>
  <c r="E2665" i="16"/>
  <c r="I2664" i="16"/>
  <c r="F2664" i="16"/>
  <c r="E2664" i="16"/>
  <c r="I2663" i="16"/>
  <c r="F2663" i="16"/>
  <c r="E2663" i="16"/>
  <c r="I2662" i="16"/>
  <c r="F2662" i="16"/>
  <c r="E2662" i="16"/>
  <c r="I2661" i="16"/>
  <c r="F2661" i="16"/>
  <c r="E2661" i="16"/>
  <c r="I2660" i="16"/>
  <c r="F2660" i="16"/>
  <c r="E2660" i="16"/>
  <c r="I2659" i="16"/>
  <c r="F2659" i="16"/>
  <c r="E2659" i="16"/>
  <c r="I2658" i="16"/>
  <c r="F2658" i="16"/>
  <c r="E2658" i="16"/>
  <c r="I2657" i="16"/>
  <c r="F2657" i="16"/>
  <c r="E2657" i="16"/>
  <c r="I2656" i="16"/>
  <c r="F2656" i="16"/>
  <c r="E2656" i="16"/>
  <c r="I2655" i="16"/>
  <c r="F2655" i="16"/>
  <c r="E2655" i="16"/>
  <c r="I2654" i="16"/>
  <c r="F2654" i="16"/>
  <c r="E2654" i="16"/>
  <c r="I2653" i="16"/>
  <c r="F2653" i="16"/>
  <c r="E2653" i="16"/>
  <c r="I2652" i="16"/>
  <c r="F2652" i="16"/>
  <c r="E2652" i="16"/>
  <c r="I2651" i="16"/>
  <c r="F2651" i="16"/>
  <c r="E2651" i="16"/>
  <c r="I2650" i="16"/>
  <c r="F2650" i="16"/>
  <c r="E2650" i="16"/>
  <c r="I2649" i="16"/>
  <c r="F2649" i="16"/>
  <c r="E2649" i="16"/>
  <c r="I2648" i="16"/>
  <c r="F2648" i="16"/>
  <c r="E2648" i="16"/>
  <c r="I2647" i="16"/>
  <c r="F2647" i="16"/>
  <c r="E2647" i="16"/>
  <c r="I2646" i="16"/>
  <c r="F2646" i="16"/>
  <c r="E2646" i="16"/>
  <c r="I2645" i="16"/>
  <c r="F2645" i="16"/>
  <c r="E2645" i="16"/>
  <c r="I2644" i="16"/>
  <c r="F2644" i="16"/>
  <c r="E2644" i="16"/>
  <c r="I2643" i="16"/>
  <c r="F2643" i="16"/>
  <c r="E2643" i="16"/>
  <c r="I2642" i="16"/>
  <c r="F2642" i="16"/>
  <c r="E2642" i="16"/>
  <c r="I2641" i="16"/>
  <c r="F2641" i="16"/>
  <c r="E2641" i="16"/>
  <c r="I2640" i="16"/>
  <c r="F2640" i="16"/>
  <c r="E2640" i="16"/>
  <c r="I2639" i="16"/>
  <c r="F2639" i="16"/>
  <c r="E2639" i="16"/>
  <c r="I2638" i="16"/>
  <c r="F2638" i="16"/>
  <c r="E2638" i="16"/>
  <c r="I2637" i="16"/>
  <c r="F2637" i="16"/>
  <c r="E2637" i="16"/>
  <c r="I2636" i="16"/>
  <c r="F2636" i="16"/>
  <c r="E2636" i="16"/>
  <c r="I2635" i="16"/>
  <c r="F2635" i="16"/>
  <c r="E2635" i="16"/>
  <c r="I2634" i="16"/>
  <c r="F2634" i="16"/>
  <c r="E2634" i="16"/>
  <c r="I2633" i="16"/>
  <c r="F2633" i="16"/>
  <c r="E2633" i="16"/>
  <c r="I2632" i="16"/>
  <c r="F2632" i="16"/>
  <c r="E2632" i="16"/>
  <c r="I2631" i="16"/>
  <c r="F2631" i="16"/>
  <c r="E2631" i="16"/>
  <c r="I2630" i="16"/>
  <c r="F2630" i="16"/>
  <c r="E2630" i="16"/>
  <c r="I2629" i="16"/>
  <c r="F2629" i="16"/>
  <c r="E2629" i="16"/>
  <c r="I2628" i="16"/>
  <c r="F2628" i="16"/>
  <c r="E2628" i="16"/>
  <c r="I2627" i="16"/>
  <c r="F2627" i="16"/>
  <c r="E2627" i="16"/>
  <c r="I2626" i="16"/>
  <c r="F2626" i="16"/>
  <c r="E2626" i="16"/>
  <c r="I2625" i="16"/>
  <c r="F2625" i="16"/>
  <c r="E2625" i="16"/>
  <c r="I2624" i="16"/>
  <c r="F2624" i="16"/>
  <c r="E2624" i="16"/>
  <c r="I2623" i="16"/>
  <c r="F2623" i="16"/>
  <c r="E2623" i="16"/>
  <c r="I2622" i="16"/>
  <c r="F2622" i="16"/>
  <c r="E2622" i="16"/>
  <c r="I2621" i="16"/>
  <c r="F2621" i="16"/>
  <c r="E2621" i="16"/>
  <c r="I2620" i="16"/>
  <c r="F2620" i="16"/>
  <c r="E2620" i="16"/>
  <c r="I2619" i="16"/>
  <c r="F2619" i="16"/>
  <c r="E2619" i="16"/>
  <c r="I2618" i="16"/>
  <c r="F2618" i="16"/>
  <c r="E2618" i="16"/>
  <c r="I2617" i="16"/>
  <c r="F2617" i="16"/>
  <c r="E2617" i="16"/>
  <c r="I2616" i="16"/>
  <c r="F2616" i="16"/>
  <c r="E2616" i="16"/>
  <c r="I2615" i="16"/>
  <c r="F2615" i="16"/>
  <c r="E2615" i="16"/>
  <c r="I2614" i="16"/>
  <c r="F2614" i="16"/>
  <c r="E2614" i="16"/>
  <c r="I2613" i="16"/>
  <c r="F2613" i="16"/>
  <c r="E2613" i="16"/>
  <c r="I2612" i="16"/>
  <c r="F2612" i="16"/>
  <c r="E2612" i="16"/>
  <c r="I2611" i="16"/>
  <c r="F2611" i="16"/>
  <c r="E2611" i="16"/>
  <c r="I2610" i="16"/>
  <c r="F2610" i="16"/>
  <c r="E2610" i="16"/>
  <c r="I2609" i="16"/>
  <c r="F2609" i="16"/>
  <c r="E2609" i="16"/>
  <c r="I2608" i="16"/>
  <c r="F2608" i="16"/>
  <c r="E2608" i="16"/>
  <c r="I2607" i="16"/>
  <c r="F2607" i="16"/>
  <c r="E2607" i="16"/>
  <c r="I2606" i="16"/>
  <c r="F2606" i="16"/>
  <c r="E2606" i="16"/>
  <c r="I2605" i="16"/>
  <c r="F2605" i="16"/>
  <c r="E2605" i="16"/>
  <c r="I2604" i="16"/>
  <c r="F2604" i="16"/>
  <c r="E2604" i="16"/>
  <c r="I2603" i="16"/>
  <c r="F2603" i="16"/>
  <c r="E2603" i="16"/>
  <c r="I2602" i="16"/>
  <c r="F2602" i="16"/>
  <c r="E2602" i="16"/>
  <c r="I2601" i="16"/>
  <c r="F2601" i="16"/>
  <c r="E2601" i="16"/>
  <c r="I2600" i="16"/>
  <c r="F2600" i="16"/>
  <c r="E2600" i="16"/>
  <c r="I2599" i="16"/>
  <c r="F2599" i="16"/>
  <c r="E2599" i="16"/>
  <c r="I2598" i="16"/>
  <c r="F2598" i="16"/>
  <c r="E2598" i="16"/>
  <c r="I2597" i="16"/>
  <c r="F2597" i="16"/>
  <c r="E2597" i="16"/>
  <c r="I2596" i="16"/>
  <c r="F2596" i="16"/>
  <c r="E2596" i="16"/>
  <c r="I2595" i="16"/>
  <c r="F2595" i="16"/>
  <c r="E2595" i="16"/>
  <c r="I2594" i="16"/>
  <c r="F2594" i="16"/>
  <c r="E2594" i="16"/>
  <c r="I2593" i="16"/>
  <c r="F2593" i="16"/>
  <c r="E2593" i="16"/>
  <c r="I2592" i="16"/>
  <c r="F2592" i="16"/>
  <c r="E2592" i="16"/>
  <c r="I2591" i="16"/>
  <c r="F2591" i="16"/>
  <c r="E2591" i="16"/>
  <c r="I2590" i="16"/>
  <c r="F2590" i="16"/>
  <c r="E2590" i="16"/>
  <c r="I2589" i="16"/>
  <c r="F2589" i="16"/>
  <c r="E2589" i="16"/>
  <c r="I2588" i="16"/>
  <c r="F2588" i="16"/>
  <c r="E2588" i="16"/>
  <c r="I2587" i="16"/>
  <c r="F2587" i="16"/>
  <c r="E2587" i="16"/>
  <c r="I2586" i="16"/>
  <c r="F2586" i="16"/>
  <c r="E2586" i="16"/>
  <c r="I2585" i="16"/>
  <c r="F2585" i="16"/>
  <c r="E2585" i="16"/>
  <c r="I2584" i="16"/>
  <c r="F2584" i="16"/>
  <c r="E2584" i="16"/>
  <c r="I2583" i="16"/>
  <c r="F2583" i="16"/>
  <c r="E2583" i="16"/>
  <c r="I2582" i="16"/>
  <c r="F2582" i="16"/>
  <c r="E2582" i="16"/>
  <c r="I2581" i="16"/>
  <c r="F2581" i="16"/>
  <c r="E2581" i="16"/>
  <c r="I2580" i="16"/>
  <c r="F2580" i="16"/>
  <c r="E2580" i="16"/>
  <c r="I2579" i="16"/>
  <c r="F2579" i="16"/>
  <c r="E2579" i="16"/>
  <c r="I2578" i="16"/>
  <c r="F2578" i="16"/>
  <c r="E2578" i="16"/>
  <c r="I2577" i="16"/>
  <c r="F2577" i="16"/>
  <c r="E2577" i="16"/>
  <c r="I2576" i="16"/>
  <c r="F2576" i="16"/>
  <c r="E2576" i="16"/>
  <c r="I2575" i="16"/>
  <c r="F2575" i="16"/>
  <c r="E2575" i="16"/>
  <c r="I2574" i="16"/>
  <c r="F2574" i="16"/>
  <c r="E2574" i="16"/>
  <c r="I2573" i="16"/>
  <c r="F2573" i="16"/>
  <c r="E2573" i="16"/>
  <c r="I2572" i="16"/>
  <c r="F2572" i="16"/>
  <c r="E2572" i="16"/>
  <c r="I2571" i="16"/>
  <c r="F2571" i="16"/>
  <c r="E2571" i="16"/>
  <c r="I2570" i="16"/>
  <c r="F2570" i="16"/>
  <c r="E2570" i="16"/>
  <c r="I2569" i="16"/>
  <c r="F2569" i="16"/>
  <c r="E2569" i="16"/>
  <c r="I2568" i="16"/>
  <c r="F2568" i="16"/>
  <c r="E2568" i="16"/>
  <c r="I2567" i="16"/>
  <c r="F2567" i="16"/>
  <c r="E2567" i="16"/>
  <c r="I2566" i="16"/>
  <c r="F2566" i="16"/>
  <c r="E2566" i="16"/>
  <c r="I2565" i="16"/>
  <c r="F2565" i="16"/>
  <c r="E2565" i="16"/>
  <c r="I2564" i="16"/>
  <c r="F2564" i="16"/>
  <c r="E2564" i="16"/>
  <c r="I2563" i="16"/>
  <c r="F2563" i="16"/>
  <c r="E2563" i="16"/>
  <c r="I2562" i="16"/>
  <c r="F2562" i="16"/>
  <c r="E2562" i="16"/>
  <c r="I2561" i="16"/>
  <c r="F2561" i="16"/>
  <c r="E2561" i="16"/>
  <c r="I2560" i="16"/>
  <c r="F2560" i="16"/>
  <c r="E2560" i="16"/>
  <c r="I2559" i="16"/>
  <c r="F2559" i="16"/>
  <c r="E2559" i="16"/>
  <c r="I2558" i="16"/>
  <c r="F2558" i="16"/>
  <c r="E2558" i="16"/>
  <c r="I2557" i="16"/>
  <c r="F2557" i="16"/>
  <c r="E2557" i="16"/>
  <c r="I2556" i="16"/>
  <c r="F2556" i="16"/>
  <c r="E2556" i="16"/>
  <c r="I2555" i="16"/>
  <c r="F2555" i="16"/>
  <c r="E2555" i="16"/>
  <c r="I2554" i="16"/>
  <c r="F2554" i="16"/>
  <c r="E2554" i="16"/>
  <c r="I2553" i="16"/>
  <c r="F2553" i="16"/>
  <c r="E2553" i="16"/>
  <c r="I2552" i="16"/>
  <c r="F2552" i="16"/>
  <c r="E2552" i="16"/>
  <c r="I2551" i="16"/>
  <c r="F2551" i="16"/>
  <c r="E2551" i="16"/>
  <c r="I2550" i="16"/>
  <c r="F2550" i="16"/>
  <c r="E2550" i="16"/>
  <c r="I2549" i="16"/>
  <c r="F2549" i="16"/>
  <c r="E2549" i="16"/>
  <c r="I2548" i="16"/>
  <c r="F2548" i="16"/>
  <c r="E2548" i="16"/>
  <c r="I2547" i="16"/>
  <c r="F2547" i="16"/>
  <c r="E2547" i="16"/>
  <c r="I2546" i="16"/>
  <c r="F2546" i="16"/>
  <c r="E2546" i="16"/>
  <c r="I2545" i="16"/>
  <c r="F2545" i="16"/>
  <c r="E2545" i="16"/>
  <c r="I2544" i="16"/>
  <c r="F2544" i="16"/>
  <c r="E2544" i="16"/>
  <c r="I2543" i="16"/>
  <c r="F2543" i="16"/>
  <c r="E2543" i="16"/>
  <c r="I2542" i="16"/>
  <c r="F2542" i="16"/>
  <c r="E2542" i="16"/>
  <c r="I2541" i="16"/>
  <c r="F2541" i="16"/>
  <c r="E2541" i="16"/>
  <c r="I2540" i="16"/>
  <c r="F2540" i="16"/>
  <c r="E2540" i="16"/>
  <c r="I2539" i="16"/>
  <c r="F2539" i="16"/>
  <c r="E2539" i="16"/>
  <c r="I2538" i="16"/>
  <c r="F2538" i="16"/>
  <c r="E2538" i="16"/>
  <c r="I2537" i="16"/>
  <c r="F2537" i="16"/>
  <c r="E2537" i="16"/>
  <c r="I2536" i="16"/>
  <c r="F2536" i="16"/>
  <c r="E2536" i="16"/>
  <c r="I2535" i="16"/>
  <c r="F2535" i="16"/>
  <c r="E2535" i="16"/>
  <c r="I2534" i="16"/>
  <c r="F2534" i="16"/>
  <c r="E2534" i="16"/>
  <c r="I2533" i="16"/>
  <c r="F2533" i="16"/>
  <c r="E2533" i="16"/>
  <c r="I2532" i="16"/>
  <c r="F2532" i="16"/>
  <c r="E2532" i="16"/>
  <c r="I2531" i="16"/>
  <c r="F2531" i="16"/>
  <c r="E2531" i="16"/>
  <c r="I2530" i="16"/>
  <c r="F2530" i="16"/>
  <c r="E2530" i="16"/>
  <c r="I2529" i="16"/>
  <c r="F2529" i="16"/>
  <c r="E2529" i="16"/>
  <c r="I2528" i="16"/>
  <c r="F2528" i="16"/>
  <c r="E2528" i="16"/>
  <c r="I2527" i="16"/>
  <c r="F2527" i="16"/>
  <c r="E2527" i="16"/>
  <c r="I2526" i="16"/>
  <c r="F2526" i="16"/>
  <c r="E2526" i="16"/>
  <c r="I2525" i="16"/>
  <c r="F2525" i="16"/>
  <c r="E2525" i="16"/>
  <c r="I2524" i="16"/>
  <c r="F2524" i="16"/>
  <c r="E2524" i="16"/>
  <c r="I2523" i="16"/>
  <c r="F2523" i="16"/>
  <c r="E2523" i="16"/>
  <c r="I2522" i="16"/>
  <c r="F2522" i="16"/>
  <c r="E2522" i="16"/>
  <c r="I2521" i="16"/>
  <c r="F2521" i="16"/>
  <c r="E2521" i="16"/>
  <c r="I2520" i="16"/>
  <c r="F2520" i="16"/>
  <c r="E2520" i="16"/>
  <c r="I2519" i="16"/>
  <c r="F2519" i="16"/>
  <c r="E2519" i="16"/>
  <c r="I2518" i="16"/>
  <c r="F2518" i="16"/>
  <c r="E2518" i="16"/>
  <c r="I2517" i="16"/>
  <c r="F2517" i="16"/>
  <c r="E2517" i="16"/>
  <c r="I2516" i="16"/>
  <c r="F2516" i="16"/>
  <c r="E2516" i="16"/>
  <c r="I2515" i="16"/>
  <c r="F2515" i="16"/>
  <c r="E2515" i="16"/>
  <c r="I2514" i="16"/>
  <c r="F2514" i="16"/>
  <c r="E2514" i="16"/>
  <c r="I2513" i="16"/>
  <c r="F2513" i="16"/>
  <c r="E2513" i="16"/>
  <c r="I2512" i="16"/>
  <c r="F2512" i="16"/>
  <c r="E2512" i="16"/>
  <c r="I2511" i="16"/>
  <c r="F2511" i="16"/>
  <c r="E2511" i="16"/>
  <c r="I2510" i="16"/>
  <c r="F2510" i="16"/>
  <c r="E2510" i="16"/>
  <c r="I2509" i="16"/>
  <c r="F2509" i="16"/>
  <c r="E2509" i="16"/>
  <c r="I2508" i="16"/>
  <c r="F2508" i="16"/>
  <c r="E2508" i="16"/>
  <c r="I2507" i="16"/>
  <c r="F2507" i="16"/>
  <c r="E2507" i="16"/>
  <c r="I2506" i="16"/>
  <c r="F2506" i="16"/>
  <c r="E2506" i="16"/>
  <c r="I2505" i="16"/>
  <c r="F2505" i="16"/>
  <c r="E2505" i="16"/>
  <c r="I2504" i="16"/>
  <c r="F2504" i="16"/>
  <c r="E2504" i="16"/>
  <c r="I2503" i="16"/>
  <c r="F2503" i="16"/>
  <c r="E2503" i="16"/>
  <c r="I2502" i="16"/>
  <c r="F2502" i="16"/>
  <c r="E2502" i="16"/>
  <c r="I2501" i="16"/>
  <c r="F2501" i="16"/>
  <c r="E2501" i="16"/>
  <c r="I2500" i="16"/>
  <c r="F2500" i="16"/>
  <c r="E2500" i="16"/>
  <c r="I2499" i="16"/>
  <c r="F2499" i="16"/>
  <c r="E2499" i="16"/>
  <c r="I2498" i="16"/>
  <c r="F2498" i="16"/>
  <c r="E2498" i="16"/>
  <c r="I2497" i="16"/>
  <c r="F2497" i="16"/>
  <c r="E2497" i="16"/>
  <c r="I2496" i="16"/>
  <c r="F2496" i="16"/>
  <c r="E2496" i="16"/>
  <c r="I2495" i="16"/>
  <c r="F2495" i="16"/>
  <c r="E2495" i="16"/>
  <c r="I2494" i="16"/>
  <c r="F2494" i="16"/>
  <c r="E2494" i="16"/>
  <c r="I2493" i="16"/>
  <c r="F2493" i="16"/>
  <c r="E2493" i="16"/>
  <c r="I2492" i="16"/>
  <c r="F2492" i="16"/>
  <c r="E2492" i="16"/>
  <c r="I2491" i="16"/>
  <c r="F2491" i="16"/>
  <c r="E2491" i="16"/>
  <c r="I2490" i="16"/>
  <c r="F2490" i="16"/>
  <c r="E2490" i="16"/>
  <c r="I2489" i="16"/>
  <c r="F2489" i="16"/>
  <c r="E2489" i="16"/>
  <c r="I2488" i="16"/>
  <c r="F2488" i="16"/>
  <c r="E2488" i="16"/>
  <c r="I2487" i="16"/>
  <c r="F2487" i="16"/>
  <c r="E2487" i="16"/>
  <c r="I2486" i="16"/>
  <c r="F2486" i="16"/>
  <c r="E2486" i="16"/>
  <c r="I2485" i="16"/>
  <c r="F2485" i="16"/>
  <c r="E2485" i="16"/>
  <c r="I2484" i="16"/>
  <c r="F2484" i="16"/>
  <c r="E2484" i="16"/>
  <c r="I2483" i="16"/>
  <c r="F2483" i="16"/>
  <c r="E2483" i="16"/>
  <c r="I2482" i="16"/>
  <c r="F2482" i="16"/>
  <c r="E2482" i="16"/>
  <c r="I2481" i="16"/>
  <c r="F2481" i="16"/>
  <c r="E2481" i="16"/>
  <c r="I2480" i="16"/>
  <c r="F2480" i="16"/>
  <c r="E2480" i="16"/>
  <c r="I2479" i="16"/>
  <c r="F2479" i="16"/>
  <c r="E2479" i="16"/>
  <c r="I2478" i="16"/>
  <c r="F2478" i="16"/>
  <c r="E2478" i="16"/>
  <c r="I2477" i="16"/>
  <c r="F2477" i="16"/>
  <c r="E2477" i="16"/>
  <c r="I2476" i="16"/>
  <c r="F2476" i="16"/>
  <c r="E2476" i="16"/>
  <c r="I2475" i="16"/>
  <c r="F2475" i="16"/>
  <c r="E2475" i="16"/>
  <c r="I2474" i="16"/>
  <c r="F2474" i="16"/>
  <c r="E2474" i="16"/>
  <c r="I2473" i="16"/>
  <c r="F2473" i="16"/>
  <c r="E2473" i="16"/>
  <c r="I2472" i="16"/>
  <c r="F2472" i="16"/>
  <c r="E2472" i="16"/>
  <c r="I2471" i="16"/>
  <c r="F2471" i="16"/>
  <c r="E2471" i="16"/>
  <c r="I2470" i="16"/>
  <c r="F2470" i="16"/>
  <c r="E2470" i="16"/>
  <c r="I2469" i="16"/>
  <c r="F2469" i="16"/>
  <c r="E2469" i="16"/>
  <c r="I2468" i="16"/>
  <c r="F2468" i="16"/>
  <c r="E2468" i="16"/>
  <c r="I2467" i="16"/>
  <c r="F2467" i="16"/>
  <c r="E2467" i="16"/>
  <c r="I2466" i="16"/>
  <c r="F2466" i="16"/>
  <c r="E2466" i="16"/>
  <c r="I2465" i="16"/>
  <c r="F2465" i="16"/>
  <c r="E2465" i="16"/>
  <c r="I2464" i="16"/>
  <c r="F2464" i="16"/>
  <c r="E2464" i="16"/>
  <c r="I2463" i="16"/>
  <c r="F2463" i="16"/>
  <c r="E2463" i="16"/>
  <c r="I2462" i="16"/>
  <c r="F2462" i="16"/>
  <c r="E2462" i="16"/>
  <c r="I2461" i="16"/>
  <c r="F2461" i="16"/>
  <c r="E2461" i="16"/>
  <c r="I2460" i="16"/>
  <c r="F2460" i="16"/>
  <c r="E2460" i="16"/>
  <c r="I2459" i="16"/>
  <c r="F2459" i="16"/>
  <c r="E2459" i="16"/>
  <c r="I2458" i="16"/>
  <c r="F2458" i="16"/>
  <c r="E2458" i="16"/>
  <c r="I2457" i="16"/>
  <c r="F2457" i="16"/>
  <c r="E2457" i="16"/>
  <c r="I2456" i="16"/>
  <c r="F2456" i="16"/>
  <c r="E2456" i="16"/>
  <c r="I2455" i="16"/>
  <c r="F2455" i="16"/>
  <c r="E2455" i="16"/>
  <c r="I2454" i="16"/>
  <c r="F2454" i="16"/>
  <c r="E2454" i="16"/>
  <c r="I2453" i="16"/>
  <c r="F2453" i="16"/>
  <c r="E2453" i="16"/>
  <c r="I2452" i="16"/>
  <c r="F2452" i="16"/>
  <c r="E2452" i="16"/>
  <c r="I2451" i="16"/>
  <c r="F2451" i="16"/>
  <c r="E2451" i="16"/>
  <c r="I2450" i="16"/>
  <c r="F2450" i="16"/>
  <c r="E2450" i="16"/>
  <c r="I2449" i="16"/>
  <c r="F2449" i="16"/>
  <c r="E2449" i="16"/>
  <c r="I2448" i="16"/>
  <c r="F2448" i="16"/>
  <c r="E2448" i="16"/>
  <c r="I2447" i="16"/>
  <c r="F2447" i="16"/>
  <c r="E2447" i="16"/>
  <c r="I2446" i="16"/>
  <c r="F2446" i="16"/>
  <c r="E2446" i="16"/>
  <c r="I2445" i="16"/>
  <c r="F2445" i="16"/>
  <c r="E2445" i="16"/>
  <c r="I2444" i="16"/>
  <c r="F2444" i="16"/>
  <c r="E2444" i="16"/>
  <c r="I2443" i="16"/>
  <c r="F2443" i="16"/>
  <c r="E2443" i="16"/>
  <c r="I2442" i="16"/>
  <c r="F2442" i="16"/>
  <c r="E2442" i="16"/>
  <c r="I2441" i="16"/>
  <c r="F2441" i="16"/>
  <c r="E2441" i="16"/>
  <c r="I2440" i="16"/>
  <c r="F2440" i="16"/>
  <c r="E2440" i="16"/>
  <c r="I2439" i="16"/>
  <c r="F2439" i="16"/>
  <c r="E2439" i="16"/>
  <c r="I2438" i="16"/>
  <c r="F2438" i="16"/>
  <c r="E2438" i="16"/>
  <c r="I2437" i="16"/>
  <c r="F2437" i="16"/>
  <c r="E2437" i="16"/>
  <c r="I2436" i="16"/>
  <c r="F2436" i="16"/>
  <c r="E2436" i="16"/>
  <c r="I2435" i="16"/>
  <c r="F2435" i="16"/>
  <c r="E2435" i="16"/>
  <c r="I2434" i="16"/>
  <c r="F2434" i="16"/>
  <c r="E2434" i="16"/>
  <c r="I2433" i="16"/>
  <c r="F2433" i="16"/>
  <c r="E2433" i="16"/>
  <c r="I2432" i="16"/>
  <c r="F2432" i="16"/>
  <c r="E2432" i="16"/>
  <c r="I2431" i="16"/>
  <c r="F2431" i="16"/>
  <c r="E2431" i="16"/>
  <c r="I2430" i="16"/>
  <c r="F2430" i="16"/>
  <c r="E2430" i="16"/>
  <c r="I2429" i="16"/>
  <c r="F2429" i="16"/>
  <c r="E2429" i="16"/>
  <c r="I2428" i="16"/>
  <c r="F2428" i="16"/>
  <c r="E2428" i="16"/>
  <c r="I2427" i="16"/>
  <c r="F2427" i="16"/>
  <c r="E2427" i="16"/>
  <c r="I2426" i="16"/>
  <c r="F2426" i="16"/>
  <c r="E2426" i="16"/>
  <c r="I2425" i="16"/>
  <c r="F2425" i="16"/>
  <c r="E2425" i="16"/>
  <c r="I2424" i="16"/>
  <c r="F2424" i="16"/>
  <c r="E2424" i="16"/>
  <c r="I2423" i="16"/>
  <c r="F2423" i="16"/>
  <c r="E2423" i="16"/>
  <c r="I2422" i="16"/>
  <c r="F2422" i="16"/>
  <c r="E2422" i="16"/>
  <c r="I2421" i="16"/>
  <c r="F2421" i="16"/>
  <c r="E2421" i="16"/>
  <c r="I2420" i="16"/>
  <c r="F2420" i="16"/>
  <c r="E2420" i="16"/>
  <c r="I2419" i="16"/>
  <c r="F2419" i="16"/>
  <c r="E2419" i="16"/>
  <c r="I2418" i="16"/>
  <c r="F2418" i="16"/>
  <c r="E2418" i="16"/>
  <c r="I2417" i="16"/>
  <c r="F2417" i="16"/>
  <c r="E2417" i="16"/>
  <c r="I2416" i="16"/>
  <c r="F2416" i="16"/>
  <c r="E2416" i="16"/>
  <c r="I2415" i="16"/>
  <c r="F2415" i="16"/>
  <c r="E2415" i="16"/>
  <c r="I2414" i="16"/>
  <c r="F2414" i="16"/>
  <c r="E2414" i="16"/>
  <c r="I2413" i="16"/>
  <c r="F2413" i="16"/>
  <c r="E2413" i="16"/>
  <c r="I2412" i="16"/>
  <c r="F2412" i="16"/>
  <c r="E2412" i="16"/>
  <c r="I2411" i="16"/>
  <c r="F2411" i="16"/>
  <c r="E2411" i="16"/>
  <c r="I2410" i="16"/>
  <c r="F2410" i="16"/>
  <c r="E2410" i="16"/>
  <c r="I2409" i="16"/>
  <c r="F2409" i="16"/>
  <c r="E2409" i="16"/>
  <c r="I2408" i="16"/>
  <c r="F2408" i="16"/>
  <c r="E2408" i="16"/>
  <c r="I2407" i="16"/>
  <c r="F2407" i="16"/>
  <c r="E2407" i="16"/>
  <c r="I2406" i="16"/>
  <c r="F2406" i="16"/>
  <c r="E2406" i="16"/>
  <c r="I2405" i="16"/>
  <c r="F2405" i="16"/>
  <c r="E2405" i="16"/>
  <c r="I2404" i="16"/>
  <c r="F2404" i="16"/>
  <c r="E2404" i="16"/>
  <c r="I2403" i="16"/>
  <c r="F2403" i="16"/>
  <c r="E2403" i="16"/>
  <c r="I2402" i="16"/>
  <c r="F2402" i="16"/>
  <c r="E2402" i="16"/>
  <c r="I2401" i="16"/>
  <c r="F2401" i="16"/>
  <c r="E2401" i="16"/>
  <c r="I2400" i="16"/>
  <c r="F2400" i="16"/>
  <c r="E2400" i="16"/>
  <c r="I2399" i="16"/>
  <c r="F2399" i="16"/>
  <c r="E2399" i="16"/>
  <c r="I2398" i="16"/>
  <c r="F2398" i="16"/>
  <c r="E2398" i="16"/>
  <c r="I2397" i="16"/>
  <c r="F2397" i="16"/>
  <c r="E2397" i="16"/>
  <c r="I2396" i="16"/>
  <c r="F2396" i="16"/>
  <c r="E2396" i="16"/>
  <c r="I2395" i="16"/>
  <c r="F2395" i="16"/>
  <c r="E2395" i="16"/>
  <c r="I2394" i="16"/>
  <c r="F2394" i="16"/>
  <c r="E2394" i="16"/>
  <c r="I2393" i="16"/>
  <c r="F2393" i="16"/>
  <c r="E2393" i="16"/>
  <c r="I2392" i="16"/>
  <c r="F2392" i="16"/>
  <c r="E2392" i="16"/>
  <c r="I2391" i="16"/>
  <c r="F2391" i="16"/>
  <c r="E2391" i="16"/>
  <c r="I2390" i="16"/>
  <c r="F2390" i="16"/>
  <c r="E2390" i="16"/>
  <c r="I2389" i="16"/>
  <c r="F2389" i="16"/>
  <c r="E2389" i="16"/>
  <c r="I2388" i="16"/>
  <c r="F2388" i="16"/>
  <c r="E2388" i="16"/>
  <c r="I2387" i="16"/>
  <c r="F2387" i="16"/>
  <c r="E2387" i="16"/>
  <c r="I2386" i="16"/>
  <c r="F2386" i="16"/>
  <c r="E2386" i="16"/>
  <c r="I2385" i="16"/>
  <c r="F2385" i="16"/>
  <c r="E2385" i="16"/>
  <c r="I2384" i="16"/>
  <c r="F2384" i="16"/>
  <c r="E2384" i="16"/>
  <c r="I2383" i="16"/>
  <c r="F2383" i="16"/>
  <c r="E2383" i="16"/>
  <c r="I2382" i="16"/>
  <c r="F2382" i="16"/>
  <c r="E2382" i="16"/>
  <c r="I2381" i="16"/>
  <c r="F2381" i="16"/>
  <c r="E2381" i="16"/>
  <c r="I2380" i="16"/>
  <c r="F2380" i="16"/>
  <c r="E2380" i="16"/>
  <c r="I2379" i="16"/>
  <c r="F2379" i="16"/>
  <c r="E2379" i="16"/>
  <c r="I2378" i="16"/>
  <c r="F2378" i="16"/>
  <c r="E2378" i="16"/>
  <c r="I2377" i="16"/>
  <c r="F2377" i="16"/>
  <c r="E2377" i="16"/>
  <c r="I2376" i="16"/>
  <c r="F2376" i="16"/>
  <c r="E2376" i="16"/>
  <c r="I2375" i="16"/>
  <c r="F2375" i="16"/>
  <c r="E2375" i="16"/>
  <c r="I2374" i="16"/>
  <c r="F2374" i="16"/>
  <c r="E2374" i="16"/>
  <c r="I2373" i="16"/>
  <c r="F2373" i="16"/>
  <c r="E2373" i="16"/>
  <c r="I2372" i="16"/>
  <c r="F2372" i="16"/>
  <c r="E2372" i="16"/>
  <c r="I2371" i="16"/>
  <c r="F2371" i="16"/>
  <c r="E2371" i="16"/>
  <c r="I2370" i="16"/>
  <c r="F2370" i="16"/>
  <c r="E2370" i="16"/>
  <c r="I2369" i="16"/>
  <c r="F2369" i="16"/>
  <c r="E2369" i="16"/>
  <c r="I2368" i="16"/>
  <c r="F2368" i="16"/>
  <c r="E2368" i="16"/>
  <c r="I2367" i="16"/>
  <c r="F2367" i="16"/>
  <c r="E2367" i="16"/>
  <c r="I2366" i="16"/>
  <c r="F2366" i="16"/>
  <c r="E2366" i="16"/>
  <c r="I2365" i="16"/>
  <c r="F2365" i="16"/>
  <c r="E2365" i="16"/>
  <c r="I2364" i="16"/>
  <c r="F2364" i="16"/>
  <c r="E2364" i="16"/>
  <c r="I2363" i="16"/>
  <c r="F2363" i="16"/>
  <c r="E2363" i="16"/>
  <c r="I2362" i="16"/>
  <c r="F2362" i="16"/>
  <c r="E2362" i="16"/>
  <c r="I2361" i="16"/>
  <c r="F2361" i="16"/>
  <c r="E2361" i="16"/>
  <c r="I2360" i="16"/>
  <c r="F2360" i="16"/>
  <c r="E2360" i="16"/>
  <c r="I2359" i="16"/>
  <c r="F2359" i="16"/>
  <c r="E2359" i="16"/>
  <c r="I2358" i="16"/>
  <c r="F2358" i="16"/>
  <c r="E2358" i="16"/>
  <c r="I2357" i="16"/>
  <c r="F2357" i="16"/>
  <c r="E2357" i="16"/>
  <c r="I2356" i="16"/>
  <c r="F2356" i="16"/>
  <c r="E2356" i="16"/>
  <c r="I2355" i="16"/>
  <c r="F2355" i="16"/>
  <c r="E2355" i="16"/>
  <c r="I2354" i="16"/>
  <c r="F2354" i="16"/>
  <c r="E2354" i="16"/>
  <c r="I2353" i="16"/>
  <c r="F2353" i="16"/>
  <c r="E2353" i="16"/>
  <c r="I2352" i="16"/>
  <c r="F2352" i="16"/>
  <c r="E2352" i="16"/>
  <c r="I2351" i="16"/>
  <c r="F2351" i="16"/>
  <c r="E2351" i="16"/>
  <c r="I2350" i="16"/>
  <c r="F2350" i="16"/>
  <c r="E2350" i="16"/>
  <c r="I2349" i="16"/>
  <c r="F2349" i="16"/>
  <c r="E2349" i="16"/>
  <c r="I2348" i="16"/>
  <c r="F2348" i="16"/>
  <c r="E2348" i="16"/>
  <c r="I2347" i="16"/>
  <c r="F2347" i="16"/>
  <c r="E2347" i="16"/>
  <c r="I2346" i="16"/>
  <c r="F2346" i="16"/>
  <c r="E2346" i="16"/>
  <c r="I2345" i="16"/>
  <c r="F2345" i="16"/>
  <c r="E2345" i="16"/>
  <c r="I2344" i="16"/>
  <c r="F2344" i="16"/>
  <c r="E2344" i="16"/>
  <c r="I2343" i="16"/>
  <c r="F2343" i="16"/>
  <c r="E2343" i="16"/>
  <c r="I2342" i="16"/>
  <c r="F2342" i="16"/>
  <c r="E2342" i="16"/>
  <c r="I2341" i="16"/>
  <c r="F2341" i="16"/>
  <c r="E2341" i="16"/>
  <c r="I2340" i="16"/>
  <c r="F2340" i="16"/>
  <c r="E2340" i="16"/>
  <c r="I2339" i="16"/>
  <c r="F2339" i="16"/>
  <c r="E2339" i="16"/>
  <c r="I2338" i="16"/>
  <c r="F2338" i="16"/>
  <c r="E2338" i="16"/>
  <c r="I2337" i="16"/>
  <c r="F2337" i="16"/>
  <c r="E2337" i="16"/>
  <c r="I2336" i="16"/>
  <c r="F2336" i="16"/>
  <c r="E2336" i="16"/>
  <c r="I2335" i="16"/>
  <c r="F2335" i="16"/>
  <c r="E2335" i="16"/>
  <c r="I2334" i="16"/>
  <c r="F2334" i="16"/>
  <c r="E2334" i="16"/>
  <c r="I2333" i="16"/>
  <c r="F2333" i="16"/>
  <c r="E2333" i="16"/>
  <c r="I2332" i="16"/>
  <c r="F2332" i="16"/>
  <c r="E2332" i="16"/>
  <c r="I2331" i="16"/>
  <c r="F2331" i="16"/>
  <c r="E2331" i="16"/>
  <c r="I2330" i="16"/>
  <c r="F2330" i="16"/>
  <c r="E2330" i="16"/>
  <c r="I2329" i="16"/>
  <c r="F2329" i="16"/>
  <c r="E2329" i="16"/>
  <c r="I2328" i="16"/>
  <c r="F2328" i="16"/>
  <c r="E2328" i="16"/>
  <c r="I2327" i="16"/>
  <c r="F2327" i="16"/>
  <c r="E2327" i="16"/>
  <c r="I2326" i="16"/>
  <c r="F2326" i="16"/>
  <c r="E2326" i="16"/>
  <c r="I2325" i="16"/>
  <c r="F2325" i="16"/>
  <c r="E2325" i="16"/>
  <c r="I2324" i="16"/>
  <c r="F2324" i="16"/>
  <c r="E2324" i="16"/>
  <c r="I2323" i="16"/>
  <c r="F2323" i="16"/>
  <c r="E2323" i="16"/>
  <c r="I2322" i="16"/>
  <c r="F2322" i="16"/>
  <c r="E2322" i="16"/>
  <c r="I2321" i="16"/>
  <c r="F2321" i="16"/>
  <c r="E2321" i="16"/>
  <c r="I2320" i="16"/>
  <c r="F2320" i="16"/>
  <c r="E2320" i="16"/>
  <c r="I2319" i="16"/>
  <c r="F2319" i="16"/>
  <c r="E2319" i="16"/>
  <c r="I2318" i="16"/>
  <c r="F2318" i="16"/>
  <c r="E2318" i="16"/>
  <c r="I2317" i="16"/>
  <c r="F2317" i="16"/>
  <c r="E2317" i="16"/>
  <c r="I2316" i="16"/>
  <c r="F2316" i="16"/>
  <c r="E2316" i="16"/>
  <c r="I2315" i="16"/>
  <c r="F2315" i="16"/>
  <c r="E2315" i="16"/>
  <c r="I2314" i="16"/>
  <c r="F2314" i="16"/>
  <c r="E2314" i="16"/>
  <c r="I2313" i="16"/>
  <c r="F2313" i="16"/>
  <c r="E2313" i="16"/>
  <c r="I2312" i="16"/>
  <c r="F2312" i="16"/>
  <c r="E2312" i="16"/>
  <c r="I2311" i="16"/>
  <c r="F2311" i="16"/>
  <c r="E2311" i="16"/>
  <c r="I2310" i="16"/>
  <c r="F2310" i="16"/>
  <c r="E2310" i="16"/>
  <c r="I2309" i="16"/>
  <c r="F2309" i="16"/>
  <c r="E2309" i="16"/>
  <c r="I2308" i="16"/>
  <c r="F2308" i="16"/>
  <c r="E2308" i="16"/>
  <c r="I2307" i="16"/>
  <c r="F2307" i="16"/>
  <c r="E2307" i="16"/>
  <c r="I2306" i="16"/>
  <c r="F2306" i="16"/>
  <c r="E2306" i="16"/>
  <c r="I2305" i="16"/>
  <c r="F2305" i="16"/>
  <c r="E2305" i="16"/>
  <c r="I2304" i="16"/>
  <c r="F2304" i="16"/>
  <c r="E2304" i="16"/>
  <c r="I2303" i="16"/>
  <c r="F2303" i="16"/>
  <c r="E2303" i="16"/>
  <c r="I2302" i="16"/>
  <c r="F2302" i="16"/>
  <c r="E2302" i="16"/>
  <c r="I2301" i="16"/>
  <c r="F2301" i="16"/>
  <c r="E2301" i="16"/>
  <c r="I2300" i="16"/>
  <c r="F2300" i="16"/>
  <c r="E2300" i="16"/>
  <c r="I2299" i="16"/>
  <c r="F2299" i="16"/>
  <c r="E2299" i="16"/>
  <c r="I2298" i="16"/>
  <c r="F2298" i="16"/>
  <c r="E2298" i="16"/>
  <c r="I2297" i="16"/>
  <c r="F2297" i="16"/>
  <c r="E2297" i="16"/>
  <c r="I2296" i="16"/>
  <c r="F2296" i="16"/>
  <c r="E2296" i="16"/>
  <c r="I2295" i="16"/>
  <c r="F2295" i="16"/>
  <c r="E2295" i="16"/>
  <c r="I2294" i="16"/>
  <c r="F2294" i="16"/>
  <c r="E2294" i="16"/>
  <c r="I2293" i="16"/>
  <c r="F2293" i="16"/>
  <c r="E2293" i="16"/>
  <c r="I2292" i="16"/>
  <c r="F2292" i="16"/>
  <c r="E2292" i="16"/>
  <c r="I2291" i="16"/>
  <c r="F2291" i="16"/>
  <c r="E2291" i="16"/>
  <c r="I2290" i="16"/>
  <c r="F2290" i="16"/>
  <c r="E2290" i="16"/>
  <c r="I2289" i="16"/>
  <c r="F2289" i="16"/>
  <c r="E2289" i="16"/>
  <c r="I2288" i="16"/>
  <c r="F2288" i="16"/>
  <c r="E2288" i="16"/>
  <c r="I2287" i="16"/>
  <c r="F2287" i="16"/>
  <c r="E2287" i="16"/>
  <c r="I2286" i="16"/>
  <c r="F2286" i="16"/>
  <c r="E2286" i="16"/>
  <c r="I2285" i="16"/>
  <c r="F2285" i="16"/>
  <c r="E2285" i="16"/>
  <c r="I2284" i="16"/>
  <c r="F2284" i="16"/>
  <c r="E2284" i="16"/>
  <c r="I2283" i="16"/>
  <c r="F2283" i="16"/>
  <c r="E2283" i="16"/>
  <c r="I2282" i="16"/>
  <c r="F2282" i="16"/>
  <c r="E2282" i="16"/>
  <c r="I2281" i="16"/>
  <c r="F2281" i="16"/>
  <c r="E2281" i="16"/>
  <c r="I2280" i="16"/>
  <c r="F2280" i="16"/>
  <c r="E2280" i="16"/>
  <c r="I2279" i="16"/>
  <c r="F2279" i="16"/>
  <c r="E2279" i="16"/>
  <c r="I2278" i="16"/>
  <c r="F2278" i="16"/>
  <c r="E2278" i="16"/>
  <c r="I2277" i="16"/>
  <c r="F2277" i="16"/>
  <c r="E2277" i="16"/>
  <c r="I2276" i="16"/>
  <c r="F2276" i="16"/>
  <c r="E2276" i="16"/>
  <c r="I2275" i="16"/>
  <c r="F2275" i="16"/>
  <c r="E2275" i="16"/>
  <c r="I2274" i="16"/>
  <c r="F2274" i="16"/>
  <c r="E2274" i="16"/>
  <c r="I2273" i="16"/>
  <c r="F2273" i="16"/>
  <c r="E2273" i="16"/>
  <c r="I2272" i="16"/>
  <c r="F2272" i="16"/>
  <c r="E2272" i="16"/>
  <c r="I2271" i="16"/>
  <c r="F2271" i="16"/>
  <c r="E2271" i="16"/>
  <c r="I2270" i="16"/>
  <c r="F2270" i="16"/>
  <c r="E2270" i="16"/>
  <c r="I2269" i="16"/>
  <c r="F2269" i="16"/>
  <c r="E2269" i="16"/>
  <c r="I2268" i="16"/>
  <c r="F2268" i="16"/>
  <c r="E2268" i="16"/>
  <c r="I2267" i="16"/>
  <c r="F2267" i="16"/>
  <c r="E2267" i="16"/>
  <c r="I2266" i="16"/>
  <c r="F2266" i="16"/>
  <c r="E2266" i="16"/>
  <c r="I2265" i="16"/>
  <c r="F2265" i="16"/>
  <c r="E2265" i="16"/>
  <c r="I2264" i="16"/>
  <c r="F2264" i="16"/>
  <c r="E2264" i="16"/>
  <c r="I2263" i="16"/>
  <c r="F2263" i="16"/>
  <c r="E2263" i="16"/>
  <c r="I2262" i="16"/>
  <c r="F2262" i="16"/>
  <c r="E2262" i="16"/>
  <c r="I2261" i="16"/>
  <c r="F2261" i="16"/>
  <c r="E2261" i="16"/>
  <c r="I2260" i="16"/>
  <c r="F2260" i="16"/>
  <c r="E2260" i="16"/>
  <c r="I2259" i="16"/>
  <c r="F2259" i="16"/>
  <c r="E2259" i="16"/>
  <c r="I2258" i="16"/>
  <c r="F2258" i="16"/>
  <c r="E2258" i="16"/>
  <c r="I2257" i="16"/>
  <c r="F2257" i="16"/>
  <c r="E2257" i="16"/>
  <c r="I2256" i="16"/>
  <c r="F2256" i="16"/>
  <c r="E2256" i="16"/>
  <c r="I2255" i="16"/>
  <c r="F2255" i="16"/>
  <c r="E2255" i="16"/>
  <c r="I2254" i="16"/>
  <c r="F2254" i="16"/>
  <c r="E2254" i="16"/>
  <c r="I2253" i="16"/>
  <c r="F2253" i="16"/>
  <c r="E2253" i="16"/>
  <c r="I2252" i="16"/>
  <c r="F2252" i="16"/>
  <c r="E2252" i="16"/>
  <c r="I2251" i="16"/>
  <c r="F2251" i="16"/>
  <c r="E2251" i="16"/>
  <c r="I2250" i="16"/>
  <c r="F2250" i="16"/>
  <c r="E2250" i="16"/>
  <c r="I2249" i="16"/>
  <c r="F2249" i="16"/>
  <c r="E2249" i="16"/>
  <c r="I2248" i="16"/>
  <c r="F2248" i="16"/>
  <c r="E2248" i="16"/>
  <c r="I2247" i="16"/>
  <c r="F2247" i="16"/>
  <c r="E2247" i="16"/>
  <c r="I2246" i="16"/>
  <c r="F2246" i="16"/>
  <c r="E2246" i="16"/>
  <c r="I2245" i="16"/>
  <c r="F2245" i="16"/>
  <c r="E2245" i="16"/>
  <c r="I2244" i="16"/>
  <c r="F2244" i="16"/>
  <c r="E2244" i="16"/>
  <c r="I2243" i="16"/>
  <c r="F2243" i="16"/>
  <c r="E2243" i="16"/>
  <c r="I2242" i="16"/>
  <c r="F2242" i="16"/>
  <c r="E2242" i="16"/>
  <c r="I2241" i="16"/>
  <c r="F2241" i="16"/>
  <c r="E2241" i="16"/>
  <c r="I2240" i="16"/>
  <c r="F2240" i="16"/>
  <c r="E2240" i="16"/>
  <c r="I2239" i="16"/>
  <c r="F2239" i="16"/>
  <c r="E2239" i="16"/>
  <c r="I2238" i="16"/>
  <c r="F2238" i="16"/>
  <c r="E2238" i="16"/>
  <c r="I2237" i="16"/>
  <c r="F2237" i="16"/>
  <c r="E2237" i="16"/>
  <c r="I2236" i="16"/>
  <c r="F2236" i="16"/>
  <c r="E2236" i="16"/>
  <c r="I2235" i="16"/>
  <c r="F2235" i="16"/>
  <c r="E2235" i="16"/>
  <c r="I2234" i="16"/>
  <c r="F2234" i="16"/>
  <c r="E2234" i="16"/>
  <c r="I2233" i="16"/>
  <c r="F2233" i="16"/>
  <c r="E2233" i="16"/>
  <c r="I2232" i="16"/>
  <c r="F2232" i="16"/>
  <c r="E2232" i="16"/>
  <c r="I2231" i="16"/>
  <c r="F2231" i="16"/>
  <c r="E2231" i="16"/>
  <c r="I2230" i="16"/>
  <c r="F2230" i="16"/>
  <c r="E2230" i="16"/>
  <c r="I2229" i="16"/>
  <c r="F2229" i="16"/>
  <c r="E2229" i="16"/>
  <c r="I2228" i="16"/>
  <c r="F2228" i="16"/>
  <c r="E2228" i="16"/>
  <c r="I2227" i="16"/>
  <c r="F2227" i="16"/>
  <c r="E2227" i="16"/>
  <c r="I2226" i="16"/>
  <c r="F2226" i="16"/>
  <c r="E2226" i="16"/>
  <c r="I2225" i="16"/>
  <c r="F2225" i="16"/>
  <c r="E2225" i="16"/>
  <c r="I2224" i="16"/>
  <c r="F2224" i="16"/>
  <c r="E2224" i="16"/>
  <c r="I2223" i="16"/>
  <c r="F2223" i="16"/>
  <c r="E2223" i="16"/>
  <c r="I2222" i="16"/>
  <c r="F2222" i="16"/>
  <c r="E2222" i="16"/>
  <c r="I2221" i="16"/>
  <c r="F2221" i="16"/>
  <c r="E2221" i="16"/>
  <c r="I2220" i="16"/>
  <c r="F2220" i="16"/>
  <c r="E2220" i="16"/>
  <c r="I2219" i="16"/>
  <c r="F2219" i="16"/>
  <c r="E2219" i="16"/>
  <c r="I2218" i="16"/>
  <c r="F2218" i="16"/>
  <c r="E2218" i="16"/>
  <c r="I2217" i="16"/>
  <c r="F2217" i="16"/>
  <c r="E2217" i="16"/>
  <c r="I2216" i="16"/>
  <c r="F2216" i="16"/>
  <c r="E2216" i="16"/>
  <c r="I2215" i="16"/>
  <c r="F2215" i="16"/>
  <c r="E2215" i="16"/>
  <c r="I2214" i="16"/>
  <c r="F2214" i="16"/>
  <c r="E2214" i="16"/>
  <c r="I2213" i="16"/>
  <c r="F2213" i="16"/>
  <c r="E2213" i="16"/>
  <c r="I2212" i="16"/>
  <c r="F2212" i="16"/>
  <c r="E2212" i="16"/>
  <c r="I2211" i="16"/>
  <c r="F2211" i="16"/>
  <c r="E2211" i="16"/>
  <c r="I2210" i="16"/>
  <c r="F2210" i="16"/>
  <c r="E2210" i="16"/>
  <c r="I2209" i="16"/>
  <c r="F2209" i="16"/>
  <c r="E2209" i="16"/>
  <c r="I2208" i="16"/>
  <c r="F2208" i="16"/>
  <c r="E2208" i="16"/>
  <c r="I2207" i="16"/>
  <c r="F2207" i="16"/>
  <c r="E2207" i="16"/>
  <c r="I2206" i="16"/>
  <c r="F2206" i="16"/>
  <c r="E2206" i="16"/>
  <c r="I2205" i="16"/>
  <c r="F2205" i="16"/>
  <c r="E2205" i="16"/>
  <c r="I2204" i="16"/>
  <c r="F2204" i="16"/>
  <c r="E2204" i="16"/>
  <c r="I2203" i="16"/>
  <c r="F2203" i="16"/>
  <c r="E2203" i="16"/>
  <c r="I2202" i="16"/>
  <c r="F2202" i="16"/>
  <c r="E2202" i="16"/>
  <c r="I2201" i="16"/>
  <c r="F2201" i="16"/>
  <c r="E2201" i="16"/>
  <c r="I2200" i="16"/>
  <c r="F2200" i="16"/>
  <c r="E2200" i="16"/>
  <c r="I2199" i="16"/>
  <c r="F2199" i="16"/>
  <c r="E2199" i="16"/>
  <c r="I2198" i="16"/>
  <c r="F2198" i="16"/>
  <c r="E2198" i="16"/>
  <c r="I2197" i="16"/>
  <c r="F2197" i="16"/>
  <c r="E2197" i="16"/>
  <c r="I2196" i="16"/>
  <c r="F2196" i="16"/>
  <c r="E2196" i="16"/>
  <c r="I2195" i="16"/>
  <c r="F2195" i="16"/>
  <c r="E2195" i="16"/>
  <c r="I2194" i="16"/>
  <c r="F2194" i="16"/>
  <c r="E2194" i="16"/>
  <c r="I2193" i="16"/>
  <c r="F2193" i="16"/>
  <c r="E2193" i="16"/>
  <c r="I2192" i="16"/>
  <c r="F2192" i="16"/>
  <c r="E2192" i="16"/>
  <c r="I2191" i="16"/>
  <c r="F2191" i="16"/>
  <c r="E2191" i="16"/>
  <c r="I2190" i="16"/>
  <c r="F2190" i="16"/>
  <c r="E2190" i="16"/>
  <c r="I2189" i="16"/>
  <c r="F2189" i="16"/>
  <c r="E2189" i="16"/>
  <c r="I2188" i="16"/>
  <c r="F2188" i="16"/>
  <c r="E2188" i="16"/>
  <c r="I2187" i="16"/>
  <c r="F2187" i="16"/>
  <c r="E2187" i="16"/>
  <c r="I2186" i="16"/>
  <c r="F2186" i="16"/>
  <c r="E2186" i="16"/>
  <c r="I2185" i="16"/>
  <c r="F2185" i="16"/>
  <c r="E2185" i="16"/>
  <c r="I2184" i="16"/>
  <c r="F2184" i="16"/>
  <c r="E2184" i="16"/>
  <c r="I2183" i="16"/>
  <c r="F2183" i="16"/>
  <c r="E2183" i="16"/>
  <c r="I2182" i="16"/>
  <c r="F2182" i="16"/>
  <c r="E2182" i="16"/>
  <c r="I2181" i="16"/>
  <c r="F2181" i="16"/>
  <c r="E2181" i="16"/>
  <c r="I2180" i="16"/>
  <c r="F2180" i="16"/>
  <c r="E2180" i="16"/>
  <c r="I2179" i="16"/>
  <c r="F2179" i="16"/>
  <c r="E2179" i="16"/>
  <c r="I2178" i="16"/>
  <c r="F2178" i="16"/>
  <c r="E2178" i="16"/>
  <c r="I2177" i="16"/>
  <c r="F2177" i="16"/>
  <c r="E2177" i="16"/>
  <c r="I2176" i="16"/>
  <c r="F2176" i="16"/>
  <c r="E2176" i="16"/>
  <c r="I2175" i="16"/>
  <c r="F2175" i="16"/>
  <c r="E2175" i="16"/>
  <c r="I2174" i="16"/>
  <c r="F2174" i="16"/>
  <c r="E2174" i="16"/>
  <c r="I2173" i="16"/>
  <c r="F2173" i="16"/>
  <c r="E2173" i="16"/>
  <c r="I2172" i="16"/>
  <c r="F2172" i="16"/>
  <c r="E2172" i="16"/>
  <c r="I2171" i="16"/>
  <c r="F2171" i="16"/>
  <c r="E2171" i="16"/>
  <c r="I2170" i="16"/>
  <c r="F2170" i="16"/>
  <c r="E2170" i="16"/>
  <c r="I2169" i="16"/>
  <c r="F2169" i="16"/>
  <c r="E2169" i="16"/>
  <c r="I2168" i="16"/>
  <c r="F2168" i="16"/>
  <c r="E2168" i="16"/>
  <c r="I2167" i="16"/>
  <c r="F2167" i="16"/>
  <c r="E2167" i="16"/>
  <c r="I2166" i="16"/>
  <c r="F2166" i="16"/>
  <c r="E2166" i="16"/>
  <c r="I2165" i="16"/>
  <c r="F2165" i="16"/>
  <c r="E2165" i="16"/>
  <c r="I2164" i="16"/>
  <c r="F2164" i="16"/>
  <c r="E2164" i="16"/>
  <c r="I2163" i="16"/>
  <c r="F2163" i="16"/>
  <c r="E2163" i="16"/>
  <c r="I2162" i="16"/>
  <c r="F2162" i="16"/>
  <c r="E2162" i="16"/>
  <c r="I2161" i="16"/>
  <c r="F2161" i="16"/>
  <c r="E2161" i="16"/>
  <c r="I2160" i="16"/>
  <c r="F2160" i="16"/>
  <c r="E2160" i="16"/>
  <c r="I2159" i="16"/>
  <c r="F2159" i="16"/>
  <c r="E2159" i="16"/>
  <c r="I2158" i="16"/>
  <c r="F2158" i="16"/>
  <c r="E2158" i="16"/>
  <c r="I2157" i="16"/>
  <c r="F2157" i="16"/>
  <c r="E2157" i="16"/>
  <c r="I2156" i="16"/>
  <c r="F2156" i="16"/>
  <c r="E2156" i="16"/>
  <c r="I2155" i="16"/>
  <c r="F2155" i="16"/>
  <c r="E2155" i="16"/>
  <c r="I2154" i="16"/>
  <c r="F2154" i="16"/>
  <c r="E2154" i="16"/>
  <c r="I2153" i="16"/>
  <c r="F2153" i="16"/>
  <c r="E2153" i="16"/>
  <c r="I2152" i="16"/>
  <c r="F2152" i="16"/>
  <c r="E2152" i="16"/>
  <c r="I2151" i="16"/>
  <c r="F2151" i="16"/>
  <c r="E2151" i="16"/>
  <c r="I2150" i="16"/>
  <c r="F2150" i="16"/>
  <c r="E2150" i="16"/>
  <c r="I2149" i="16"/>
  <c r="F2149" i="16"/>
  <c r="E2149" i="16"/>
  <c r="I2148" i="16"/>
  <c r="F2148" i="16"/>
  <c r="E2148" i="16"/>
  <c r="I2147" i="16"/>
  <c r="F2147" i="16"/>
  <c r="E2147" i="16"/>
  <c r="I2146" i="16"/>
  <c r="F2146" i="16"/>
  <c r="E2146" i="16"/>
  <c r="I2145" i="16"/>
  <c r="F2145" i="16"/>
  <c r="E2145" i="16"/>
  <c r="I2144" i="16"/>
  <c r="F2144" i="16"/>
  <c r="E2144" i="16"/>
  <c r="I2143" i="16"/>
  <c r="F2143" i="16"/>
  <c r="E2143" i="16"/>
  <c r="I2142" i="16"/>
  <c r="F2142" i="16"/>
  <c r="E2142" i="16"/>
  <c r="I2141" i="16"/>
  <c r="F2141" i="16"/>
  <c r="E2141" i="16"/>
  <c r="I2140" i="16"/>
  <c r="F2140" i="16"/>
  <c r="E2140" i="16"/>
  <c r="I2139" i="16"/>
  <c r="F2139" i="16"/>
  <c r="E2139" i="16"/>
  <c r="I2138" i="16"/>
  <c r="F2138" i="16"/>
  <c r="E2138" i="16"/>
  <c r="I2137" i="16"/>
  <c r="F2137" i="16"/>
  <c r="E2137" i="16"/>
  <c r="I2136" i="16"/>
  <c r="F2136" i="16"/>
  <c r="E2136" i="16"/>
  <c r="I2135" i="16"/>
  <c r="F2135" i="16"/>
  <c r="E2135" i="16"/>
  <c r="I2134" i="16"/>
  <c r="F2134" i="16"/>
  <c r="E2134" i="16"/>
  <c r="I2133" i="16"/>
  <c r="F2133" i="16"/>
  <c r="E2133" i="16"/>
  <c r="I2132" i="16"/>
  <c r="F2132" i="16"/>
  <c r="E2132" i="16"/>
  <c r="I2131" i="16"/>
  <c r="F2131" i="16"/>
  <c r="E2131" i="16"/>
  <c r="I2130" i="16"/>
  <c r="F2130" i="16"/>
  <c r="E2130" i="16"/>
  <c r="I2129" i="16"/>
  <c r="F2129" i="16"/>
  <c r="E2129" i="16"/>
  <c r="I2128" i="16"/>
  <c r="F2128" i="16"/>
  <c r="E2128" i="16"/>
  <c r="I2127" i="16"/>
  <c r="F2127" i="16"/>
  <c r="E2127" i="16"/>
  <c r="I2126" i="16"/>
  <c r="F2126" i="16"/>
  <c r="E2126" i="16"/>
  <c r="I2125" i="16"/>
  <c r="F2125" i="16"/>
  <c r="E2125" i="16"/>
  <c r="I2124" i="16"/>
  <c r="F2124" i="16"/>
  <c r="E2124" i="16"/>
  <c r="I2123" i="16"/>
  <c r="F2123" i="16"/>
  <c r="E2123" i="16"/>
  <c r="I2122" i="16"/>
  <c r="F2122" i="16"/>
  <c r="E2122" i="16"/>
  <c r="I2121" i="16"/>
  <c r="F2121" i="16"/>
  <c r="E2121" i="16"/>
  <c r="I2120" i="16"/>
  <c r="F2120" i="16"/>
  <c r="E2120" i="16"/>
  <c r="I2119" i="16"/>
  <c r="F2119" i="16"/>
  <c r="E2119" i="16"/>
  <c r="I2118" i="16"/>
  <c r="F2118" i="16"/>
  <c r="E2118" i="16"/>
  <c r="I2117" i="16"/>
  <c r="F2117" i="16"/>
  <c r="E2117" i="16"/>
  <c r="I2116" i="16"/>
  <c r="F2116" i="16"/>
  <c r="E2116" i="16"/>
  <c r="I2115" i="16"/>
  <c r="F2115" i="16"/>
  <c r="E2115" i="16"/>
  <c r="I2114" i="16"/>
  <c r="F2114" i="16"/>
  <c r="E2114" i="16"/>
  <c r="I2113" i="16"/>
  <c r="F2113" i="16"/>
  <c r="E2113" i="16"/>
  <c r="I2112" i="16"/>
  <c r="F2112" i="16"/>
  <c r="E2112" i="16"/>
  <c r="I2111" i="16"/>
  <c r="F2111" i="16"/>
  <c r="E2111" i="16"/>
  <c r="I2110" i="16"/>
  <c r="F2110" i="16"/>
  <c r="E2110" i="16"/>
  <c r="I2109" i="16"/>
  <c r="F2109" i="16"/>
  <c r="E2109" i="16"/>
  <c r="I2108" i="16"/>
  <c r="F2108" i="16"/>
  <c r="E2108" i="16"/>
  <c r="I2107" i="16"/>
  <c r="F2107" i="16"/>
  <c r="E2107" i="16"/>
  <c r="I2106" i="16"/>
  <c r="F2106" i="16"/>
  <c r="E2106" i="16"/>
  <c r="I2105" i="16"/>
  <c r="F2105" i="16"/>
  <c r="E2105" i="16"/>
  <c r="I2104" i="16"/>
  <c r="F2104" i="16"/>
  <c r="E2104" i="16"/>
  <c r="I2103" i="16"/>
  <c r="F2103" i="16"/>
  <c r="E2103" i="16"/>
  <c r="I2102" i="16"/>
  <c r="F2102" i="16"/>
  <c r="E2102" i="16"/>
  <c r="I2101" i="16"/>
  <c r="F2101" i="16"/>
  <c r="E2101" i="16"/>
  <c r="I2100" i="16"/>
  <c r="F2100" i="16"/>
  <c r="E2100" i="16"/>
  <c r="I2099" i="16"/>
  <c r="F2099" i="16"/>
  <c r="E2099" i="16"/>
  <c r="I2098" i="16"/>
  <c r="F2098" i="16"/>
  <c r="E2098" i="16"/>
  <c r="I2097" i="16"/>
  <c r="F2097" i="16"/>
  <c r="E2097" i="16"/>
  <c r="I2096" i="16"/>
  <c r="F2096" i="16"/>
  <c r="E2096" i="16"/>
  <c r="I2095" i="16"/>
  <c r="F2095" i="16"/>
  <c r="E2095" i="16"/>
  <c r="I2094" i="16"/>
  <c r="F2094" i="16"/>
  <c r="E2094" i="16"/>
  <c r="I2093" i="16"/>
  <c r="F2093" i="16"/>
  <c r="E2093" i="16"/>
  <c r="I2092" i="16"/>
  <c r="F2092" i="16"/>
  <c r="E2092" i="16"/>
  <c r="I2091" i="16"/>
  <c r="F2091" i="16"/>
  <c r="E2091" i="16"/>
  <c r="I2090" i="16"/>
  <c r="F2090" i="16"/>
  <c r="E2090" i="16"/>
  <c r="I2089" i="16"/>
  <c r="F2089" i="16"/>
  <c r="E2089" i="16"/>
  <c r="I2088" i="16"/>
  <c r="F2088" i="16"/>
  <c r="E2088" i="16"/>
  <c r="I2087" i="16"/>
  <c r="F2087" i="16"/>
  <c r="E2087" i="16"/>
  <c r="I2086" i="16"/>
  <c r="F2086" i="16"/>
  <c r="E2086" i="16"/>
  <c r="I2085" i="16"/>
  <c r="F2085" i="16"/>
  <c r="E2085" i="16"/>
  <c r="I2084" i="16"/>
  <c r="F2084" i="16"/>
  <c r="E2084" i="16"/>
  <c r="I2083" i="16"/>
  <c r="F2083" i="16"/>
  <c r="E2083" i="16"/>
  <c r="I2082" i="16"/>
  <c r="F2082" i="16"/>
  <c r="E2082" i="16"/>
  <c r="I2081" i="16"/>
  <c r="F2081" i="16"/>
  <c r="E2081" i="16"/>
  <c r="I2080" i="16"/>
  <c r="F2080" i="16"/>
  <c r="E2080" i="16"/>
  <c r="I2079" i="16"/>
  <c r="F2079" i="16"/>
  <c r="E2079" i="16"/>
  <c r="I2078" i="16"/>
  <c r="F2078" i="16"/>
  <c r="E2078" i="16"/>
  <c r="I2077" i="16"/>
  <c r="F2077" i="16"/>
  <c r="E2077" i="16"/>
  <c r="I2076" i="16"/>
  <c r="F2076" i="16"/>
  <c r="E2076" i="16"/>
  <c r="I2075" i="16"/>
  <c r="F2075" i="16"/>
  <c r="E2075" i="16"/>
  <c r="I2074" i="16"/>
  <c r="F2074" i="16"/>
  <c r="E2074" i="16"/>
  <c r="I2073" i="16"/>
  <c r="F2073" i="16"/>
  <c r="E2073" i="16"/>
  <c r="I2072" i="16"/>
  <c r="F2072" i="16"/>
  <c r="E2072" i="16"/>
  <c r="I2071" i="16"/>
  <c r="F2071" i="16"/>
  <c r="E2071" i="16"/>
  <c r="I2070" i="16"/>
  <c r="F2070" i="16"/>
  <c r="E2070" i="16"/>
  <c r="I2069" i="16"/>
  <c r="F2069" i="16"/>
  <c r="E2069" i="16"/>
  <c r="I2068" i="16"/>
  <c r="F2068" i="16"/>
  <c r="E2068" i="16"/>
  <c r="I2067" i="16"/>
  <c r="F2067" i="16"/>
  <c r="E2067" i="16"/>
  <c r="I2066" i="16"/>
  <c r="F2066" i="16"/>
  <c r="E2066" i="16"/>
  <c r="I2065" i="16"/>
  <c r="F2065" i="16"/>
  <c r="E2065" i="16"/>
  <c r="I2064" i="16"/>
  <c r="F2064" i="16"/>
  <c r="E2064" i="16"/>
  <c r="I2063" i="16"/>
  <c r="F2063" i="16"/>
  <c r="E2063" i="16"/>
  <c r="I2062" i="16"/>
  <c r="F2062" i="16"/>
  <c r="E2062" i="16"/>
  <c r="I2061" i="16"/>
  <c r="F2061" i="16"/>
  <c r="E2061" i="16"/>
  <c r="I2060" i="16"/>
  <c r="F2060" i="16"/>
  <c r="E2060" i="16"/>
  <c r="I2059" i="16"/>
  <c r="F2059" i="16"/>
  <c r="E2059" i="16"/>
  <c r="I2058" i="16"/>
  <c r="F2058" i="16"/>
  <c r="E2058" i="16"/>
  <c r="I2057" i="16"/>
  <c r="F2057" i="16"/>
  <c r="E2057" i="16"/>
  <c r="I2056" i="16"/>
  <c r="F2056" i="16"/>
  <c r="E2056" i="16"/>
  <c r="I2055" i="16"/>
  <c r="F2055" i="16"/>
  <c r="E2055" i="16"/>
  <c r="I2054" i="16"/>
  <c r="F2054" i="16"/>
  <c r="E2054" i="16"/>
  <c r="I2053" i="16"/>
  <c r="F2053" i="16"/>
  <c r="E2053" i="16"/>
  <c r="I2052" i="16"/>
  <c r="F2052" i="16"/>
  <c r="E2052" i="16"/>
  <c r="I2051" i="16"/>
  <c r="F2051" i="16"/>
  <c r="E2051" i="16"/>
  <c r="I2050" i="16"/>
  <c r="F2050" i="16"/>
  <c r="E2050" i="16"/>
  <c r="I2049" i="16"/>
  <c r="F2049" i="16"/>
  <c r="E2049" i="16"/>
  <c r="I2048" i="16"/>
  <c r="F2048" i="16"/>
  <c r="E2048" i="16"/>
  <c r="I2047" i="16"/>
  <c r="F2047" i="16"/>
  <c r="E2047" i="16"/>
  <c r="I2046" i="16"/>
  <c r="F2046" i="16"/>
  <c r="E2046" i="16"/>
  <c r="I2045" i="16"/>
  <c r="F2045" i="16"/>
  <c r="E2045" i="16"/>
  <c r="I2044" i="16"/>
  <c r="F2044" i="16"/>
  <c r="E2044" i="16"/>
  <c r="I2043" i="16"/>
  <c r="F2043" i="16"/>
  <c r="E2043" i="16"/>
  <c r="I2042" i="16"/>
  <c r="F2042" i="16"/>
  <c r="E2042" i="16"/>
  <c r="I2041" i="16"/>
  <c r="F2041" i="16"/>
  <c r="E2041" i="16"/>
  <c r="I2040" i="16"/>
  <c r="F2040" i="16"/>
  <c r="E2040" i="16"/>
  <c r="I2039" i="16"/>
  <c r="F2039" i="16"/>
  <c r="E2039" i="16"/>
  <c r="I2038" i="16"/>
  <c r="F2038" i="16"/>
  <c r="E2038" i="16"/>
  <c r="I2037" i="16"/>
  <c r="F2037" i="16"/>
  <c r="E2037" i="16"/>
  <c r="I2036" i="16"/>
  <c r="F2036" i="16"/>
  <c r="E2036" i="16"/>
  <c r="I2035" i="16"/>
  <c r="F2035" i="16"/>
  <c r="E2035" i="16"/>
  <c r="I2034" i="16"/>
  <c r="F2034" i="16"/>
  <c r="E2034" i="16"/>
  <c r="I2033" i="16"/>
  <c r="F2033" i="16"/>
  <c r="E2033" i="16"/>
  <c r="I2032" i="16"/>
  <c r="F2032" i="16"/>
  <c r="E2032" i="16"/>
  <c r="I2031" i="16"/>
  <c r="F2031" i="16"/>
  <c r="E2031" i="16"/>
  <c r="I2030" i="16"/>
  <c r="F2030" i="16"/>
  <c r="E2030" i="16"/>
  <c r="I2029" i="16"/>
  <c r="F2029" i="16"/>
  <c r="E2029" i="16"/>
  <c r="I2028" i="16"/>
  <c r="F2028" i="16"/>
  <c r="E2028" i="16"/>
  <c r="I2027" i="16"/>
  <c r="F2027" i="16"/>
  <c r="E2027" i="16"/>
  <c r="I2026" i="16"/>
  <c r="F2026" i="16"/>
  <c r="E2026" i="16"/>
  <c r="I2025" i="16"/>
  <c r="F2025" i="16"/>
  <c r="E2025" i="16"/>
  <c r="I2024" i="16"/>
  <c r="F2024" i="16"/>
  <c r="E2024" i="16"/>
  <c r="I2023" i="16"/>
  <c r="F2023" i="16"/>
  <c r="E2023" i="16"/>
  <c r="I2022" i="16"/>
  <c r="F2022" i="16"/>
  <c r="E2022" i="16"/>
  <c r="I2021" i="16"/>
  <c r="F2021" i="16"/>
  <c r="E2021" i="16"/>
  <c r="I2020" i="16"/>
  <c r="F2020" i="16"/>
  <c r="E2020" i="16"/>
  <c r="I2019" i="16"/>
  <c r="F2019" i="16"/>
  <c r="E2019" i="16"/>
  <c r="I2018" i="16"/>
  <c r="F2018" i="16"/>
  <c r="E2018" i="16"/>
  <c r="I2017" i="16"/>
  <c r="F2017" i="16"/>
  <c r="E2017" i="16"/>
  <c r="I2016" i="16"/>
  <c r="F2016" i="16"/>
  <c r="E2016" i="16"/>
  <c r="I2015" i="16"/>
  <c r="F2015" i="16"/>
  <c r="E2015" i="16"/>
  <c r="I2014" i="16"/>
  <c r="F2014" i="16"/>
  <c r="E2014" i="16"/>
  <c r="I2013" i="16"/>
  <c r="F2013" i="16"/>
  <c r="E2013" i="16"/>
  <c r="I2012" i="16"/>
  <c r="F2012" i="16"/>
  <c r="E2012" i="16"/>
  <c r="I2011" i="16"/>
  <c r="F2011" i="16"/>
  <c r="E2011" i="16"/>
  <c r="I2010" i="16"/>
  <c r="F2010" i="16"/>
  <c r="E2010" i="16"/>
  <c r="I2009" i="16"/>
  <c r="F2009" i="16"/>
  <c r="E2009" i="16"/>
  <c r="I2008" i="16"/>
  <c r="F2008" i="16"/>
  <c r="E2008" i="16"/>
  <c r="I2007" i="16"/>
  <c r="F2007" i="16"/>
  <c r="E2007" i="16"/>
  <c r="I2006" i="16"/>
  <c r="F2006" i="16"/>
  <c r="E2006" i="16"/>
  <c r="I2005" i="16"/>
  <c r="F2005" i="16"/>
  <c r="E2005" i="16"/>
  <c r="I2004" i="16"/>
  <c r="F2004" i="16"/>
  <c r="E2004" i="16"/>
  <c r="I2003" i="16"/>
  <c r="F2003" i="16"/>
  <c r="E2003" i="16"/>
  <c r="I2002" i="16"/>
  <c r="F2002" i="16"/>
  <c r="E2002" i="16"/>
  <c r="I2001" i="16"/>
  <c r="F2001" i="16"/>
  <c r="E2001" i="16"/>
  <c r="I2000" i="16"/>
  <c r="F2000" i="16"/>
  <c r="E2000" i="16"/>
  <c r="I1999" i="16"/>
  <c r="F1999" i="16"/>
  <c r="E1999" i="16"/>
  <c r="I1998" i="16"/>
  <c r="F1998" i="16"/>
  <c r="E1998" i="16"/>
  <c r="I1997" i="16"/>
  <c r="F1997" i="16"/>
  <c r="E1997" i="16"/>
  <c r="I1996" i="16"/>
  <c r="F1996" i="16"/>
  <c r="E1996" i="16"/>
  <c r="I1995" i="16"/>
  <c r="F1995" i="16"/>
  <c r="E1995" i="16"/>
  <c r="I1994" i="16"/>
  <c r="F1994" i="16"/>
  <c r="E1994" i="16"/>
  <c r="I1993" i="16"/>
  <c r="F1993" i="16"/>
  <c r="E1993" i="16"/>
  <c r="I1992" i="16"/>
  <c r="F1992" i="16"/>
  <c r="E1992" i="16"/>
  <c r="I1991" i="16"/>
  <c r="F1991" i="16"/>
  <c r="E1991" i="16"/>
  <c r="I1990" i="16"/>
  <c r="F1990" i="16"/>
  <c r="E1990" i="16"/>
  <c r="I1989" i="16"/>
  <c r="F1989" i="16"/>
  <c r="E1989" i="16"/>
  <c r="I1988" i="16"/>
  <c r="F1988" i="16"/>
  <c r="E1988" i="16"/>
  <c r="I1987" i="16"/>
  <c r="F1987" i="16"/>
  <c r="E1987" i="16"/>
  <c r="I1986" i="16"/>
  <c r="F1986" i="16"/>
  <c r="E1986" i="16"/>
  <c r="I1985" i="16"/>
  <c r="F1985" i="16"/>
  <c r="E1985" i="16"/>
  <c r="I1984" i="16"/>
  <c r="F1984" i="16"/>
  <c r="E1984" i="16"/>
  <c r="I1983" i="16"/>
  <c r="F1983" i="16"/>
  <c r="E1983" i="16"/>
  <c r="I1982" i="16"/>
  <c r="F1982" i="16"/>
  <c r="E1982" i="16"/>
  <c r="I1981" i="16"/>
  <c r="F1981" i="16"/>
  <c r="E1981" i="16"/>
  <c r="I1980" i="16"/>
  <c r="F1980" i="16"/>
  <c r="E1980" i="16"/>
  <c r="I1979" i="16"/>
  <c r="F1979" i="16"/>
  <c r="E1979" i="16"/>
  <c r="I1978" i="16"/>
  <c r="F1978" i="16"/>
  <c r="E1978" i="16"/>
  <c r="I1977" i="16"/>
  <c r="F1977" i="16"/>
  <c r="E1977" i="16"/>
  <c r="I1976" i="16"/>
  <c r="F1976" i="16"/>
  <c r="E1976" i="16"/>
  <c r="I1975" i="16"/>
  <c r="F1975" i="16"/>
  <c r="E1975" i="16"/>
  <c r="I1974" i="16"/>
  <c r="F1974" i="16"/>
  <c r="E1974" i="16"/>
  <c r="I1973" i="16"/>
  <c r="F1973" i="16"/>
  <c r="E1973" i="16"/>
  <c r="I1972" i="16"/>
  <c r="F1972" i="16"/>
  <c r="E1972" i="16"/>
  <c r="I1971" i="16"/>
  <c r="F1971" i="16"/>
  <c r="E1971" i="16"/>
  <c r="I1970" i="16"/>
  <c r="F1970" i="16"/>
  <c r="E1970" i="16"/>
  <c r="I1969" i="16"/>
  <c r="F1969" i="16"/>
  <c r="E1969" i="16"/>
  <c r="I1968" i="16"/>
  <c r="F1968" i="16"/>
  <c r="E1968" i="16"/>
  <c r="I1967" i="16"/>
  <c r="F1967" i="16"/>
  <c r="E1967" i="16"/>
  <c r="I1966" i="16"/>
  <c r="F1966" i="16"/>
  <c r="E1966" i="16"/>
  <c r="I1965" i="16"/>
  <c r="F1965" i="16"/>
  <c r="E1965" i="16"/>
  <c r="I1964" i="16"/>
  <c r="F1964" i="16"/>
  <c r="E1964" i="16"/>
  <c r="I1963" i="16"/>
  <c r="F1963" i="16"/>
  <c r="E1963" i="16"/>
  <c r="I1962" i="16"/>
  <c r="F1962" i="16"/>
  <c r="E1962" i="16"/>
  <c r="I1961" i="16"/>
  <c r="F1961" i="16"/>
  <c r="E1961" i="16"/>
  <c r="I1960" i="16"/>
  <c r="F1960" i="16"/>
  <c r="E1960" i="16"/>
  <c r="I1959" i="16"/>
  <c r="F1959" i="16"/>
  <c r="E1959" i="16"/>
  <c r="I1958" i="16"/>
  <c r="F1958" i="16"/>
  <c r="E1958" i="16"/>
  <c r="I1957" i="16"/>
  <c r="F1957" i="16"/>
  <c r="E1957" i="16"/>
  <c r="I1956" i="16"/>
  <c r="F1956" i="16"/>
  <c r="E1956" i="16"/>
  <c r="I1955" i="16"/>
  <c r="F1955" i="16"/>
  <c r="E1955" i="16"/>
  <c r="I1954" i="16"/>
  <c r="F1954" i="16"/>
  <c r="E1954" i="16"/>
  <c r="I1953" i="16"/>
  <c r="F1953" i="16"/>
  <c r="E1953" i="16"/>
  <c r="I1952" i="16"/>
  <c r="F1952" i="16"/>
  <c r="E1952" i="16"/>
  <c r="I1951" i="16"/>
  <c r="F1951" i="16"/>
  <c r="E1951" i="16"/>
  <c r="I1950" i="16"/>
  <c r="F1950" i="16"/>
  <c r="E1950" i="16"/>
  <c r="I1949" i="16"/>
  <c r="F1949" i="16"/>
  <c r="E1949" i="16"/>
  <c r="I1948" i="16"/>
  <c r="F1948" i="16"/>
  <c r="E1948" i="16"/>
  <c r="I1947" i="16"/>
  <c r="F1947" i="16"/>
  <c r="E1947" i="16"/>
  <c r="I1946" i="16"/>
  <c r="F1946" i="16"/>
  <c r="E1946" i="16"/>
  <c r="I1945" i="16"/>
  <c r="F1945" i="16"/>
  <c r="E1945" i="16"/>
  <c r="I1944" i="16"/>
  <c r="F1944" i="16"/>
  <c r="E1944" i="16"/>
  <c r="I1943" i="16"/>
  <c r="F1943" i="16"/>
  <c r="E1943" i="16"/>
  <c r="I1942" i="16"/>
  <c r="F1942" i="16"/>
  <c r="E1942" i="16"/>
  <c r="I1941" i="16"/>
  <c r="F1941" i="16"/>
  <c r="E1941" i="16"/>
  <c r="I1940" i="16"/>
  <c r="F1940" i="16"/>
  <c r="E1940" i="16"/>
  <c r="I1939" i="16"/>
  <c r="F1939" i="16"/>
  <c r="E1939" i="16"/>
  <c r="I1938" i="16"/>
  <c r="F1938" i="16"/>
  <c r="E1938" i="16"/>
  <c r="I1937" i="16"/>
  <c r="F1937" i="16"/>
  <c r="E1937" i="16"/>
  <c r="I1936" i="16"/>
  <c r="F1936" i="16"/>
  <c r="E1936" i="16"/>
  <c r="I1935" i="16"/>
  <c r="F1935" i="16"/>
  <c r="E1935" i="16"/>
  <c r="I1934" i="16"/>
  <c r="F1934" i="16"/>
  <c r="E1934" i="16"/>
  <c r="I1933" i="16"/>
  <c r="F1933" i="16"/>
  <c r="E1933" i="16"/>
  <c r="I1932" i="16"/>
  <c r="F1932" i="16"/>
  <c r="E1932" i="16"/>
  <c r="I1931" i="16"/>
  <c r="F1931" i="16"/>
  <c r="E1931" i="16"/>
  <c r="I1930" i="16"/>
  <c r="F1930" i="16"/>
  <c r="E1930" i="16"/>
  <c r="I1929" i="16"/>
  <c r="F1929" i="16"/>
  <c r="E1929" i="16"/>
  <c r="I1928" i="16"/>
  <c r="F1928" i="16"/>
  <c r="E1928" i="16"/>
  <c r="I1927" i="16"/>
  <c r="F1927" i="16"/>
  <c r="E1927" i="16"/>
  <c r="I1926" i="16"/>
  <c r="F1926" i="16"/>
  <c r="E1926" i="16"/>
  <c r="I1925" i="16"/>
  <c r="F1925" i="16"/>
  <c r="E1925" i="16"/>
  <c r="I1924" i="16"/>
  <c r="F1924" i="16"/>
  <c r="E1924" i="16"/>
  <c r="I1923" i="16"/>
  <c r="F1923" i="16"/>
  <c r="E1923" i="16"/>
  <c r="I1922" i="16"/>
  <c r="F1922" i="16"/>
  <c r="E1922" i="16"/>
  <c r="I1921" i="16"/>
  <c r="F1921" i="16"/>
  <c r="E1921" i="16"/>
  <c r="I1920" i="16"/>
  <c r="F1920" i="16"/>
  <c r="E1920" i="16"/>
  <c r="I1919" i="16"/>
  <c r="F1919" i="16"/>
  <c r="E1919" i="16"/>
  <c r="I1918" i="16"/>
  <c r="F1918" i="16"/>
  <c r="E1918" i="16"/>
  <c r="I1917" i="16"/>
  <c r="F1917" i="16"/>
  <c r="E1917" i="16"/>
  <c r="I1916" i="16"/>
  <c r="F1916" i="16"/>
  <c r="E1916" i="16"/>
  <c r="I1915" i="16"/>
  <c r="F1915" i="16"/>
  <c r="E1915" i="16"/>
  <c r="I1914" i="16"/>
  <c r="F1914" i="16"/>
  <c r="E1914" i="16"/>
  <c r="I1913" i="16"/>
  <c r="F1913" i="16"/>
  <c r="E1913" i="16"/>
  <c r="I1912" i="16"/>
  <c r="F1912" i="16"/>
  <c r="E1912" i="16"/>
  <c r="I1911" i="16"/>
  <c r="F1911" i="16"/>
  <c r="E1911" i="16"/>
  <c r="I1910" i="16"/>
  <c r="F1910" i="16"/>
  <c r="E1910" i="16"/>
  <c r="I1909" i="16"/>
  <c r="F1909" i="16"/>
  <c r="E1909" i="16"/>
  <c r="I1908" i="16"/>
  <c r="F1908" i="16"/>
  <c r="E1908" i="16"/>
  <c r="I1907" i="16"/>
  <c r="F1907" i="16"/>
  <c r="E1907" i="16"/>
  <c r="I1906" i="16"/>
  <c r="F1906" i="16"/>
  <c r="E1906" i="16"/>
  <c r="I1905" i="16"/>
  <c r="F1905" i="16"/>
  <c r="E1905" i="16"/>
  <c r="I1904" i="16"/>
  <c r="F1904" i="16"/>
  <c r="E1904" i="16"/>
  <c r="I1903" i="16"/>
  <c r="F1903" i="16"/>
  <c r="E1903" i="16"/>
  <c r="I1902" i="16"/>
  <c r="F1902" i="16"/>
  <c r="E1902" i="16"/>
  <c r="I1901" i="16"/>
  <c r="F1901" i="16"/>
  <c r="E1901" i="16"/>
  <c r="I1900" i="16"/>
  <c r="F1900" i="16"/>
  <c r="E1900" i="16"/>
  <c r="I1899" i="16"/>
  <c r="F1899" i="16"/>
  <c r="E1899" i="16"/>
  <c r="I1898" i="16"/>
  <c r="F1898" i="16"/>
  <c r="E1898" i="16"/>
  <c r="I1897" i="16"/>
  <c r="F1897" i="16"/>
  <c r="E1897" i="16"/>
  <c r="I1896" i="16"/>
  <c r="F1896" i="16"/>
  <c r="E1896" i="16"/>
  <c r="I1895" i="16"/>
  <c r="F1895" i="16"/>
  <c r="E1895" i="16"/>
  <c r="I1894" i="16"/>
  <c r="F1894" i="16"/>
  <c r="E1894" i="16"/>
  <c r="I1893" i="16"/>
  <c r="F1893" i="16"/>
  <c r="E1893" i="16"/>
  <c r="I1892" i="16"/>
  <c r="F1892" i="16"/>
  <c r="E1892" i="16"/>
  <c r="I1891" i="16"/>
  <c r="F1891" i="16"/>
  <c r="E1891" i="16"/>
  <c r="I1890" i="16"/>
  <c r="F1890" i="16"/>
  <c r="E1890" i="16"/>
  <c r="I1889" i="16"/>
  <c r="F1889" i="16"/>
  <c r="E1889" i="16"/>
  <c r="I1888" i="16"/>
  <c r="F1888" i="16"/>
  <c r="E1888" i="16"/>
  <c r="I1887" i="16"/>
  <c r="F1887" i="16"/>
  <c r="E1887" i="16"/>
  <c r="I1886" i="16"/>
  <c r="F1886" i="16"/>
  <c r="E1886" i="16"/>
  <c r="I1885" i="16"/>
  <c r="F1885" i="16"/>
  <c r="E1885" i="16"/>
  <c r="I1884" i="16"/>
  <c r="F1884" i="16"/>
  <c r="E1884" i="16"/>
  <c r="I1883" i="16"/>
  <c r="F1883" i="16"/>
  <c r="E1883" i="16"/>
  <c r="I1882" i="16"/>
  <c r="F1882" i="16"/>
  <c r="E1882" i="16"/>
  <c r="I1881" i="16"/>
  <c r="F1881" i="16"/>
  <c r="E1881" i="16"/>
  <c r="I1880" i="16"/>
  <c r="F1880" i="16"/>
  <c r="E1880" i="16"/>
  <c r="I1879" i="16"/>
  <c r="F1879" i="16"/>
  <c r="E1879" i="16"/>
  <c r="I1878" i="16"/>
  <c r="F1878" i="16"/>
  <c r="E1878" i="16"/>
  <c r="I1877" i="16"/>
  <c r="F1877" i="16"/>
  <c r="E1877" i="16"/>
  <c r="I1876" i="16"/>
  <c r="F1876" i="16"/>
  <c r="E1876" i="16"/>
  <c r="I1875" i="16"/>
  <c r="F1875" i="16"/>
  <c r="E1875" i="16"/>
  <c r="I1874" i="16"/>
  <c r="F1874" i="16"/>
  <c r="E1874" i="16"/>
  <c r="I1873" i="16"/>
  <c r="F1873" i="16"/>
  <c r="E1873" i="16"/>
  <c r="I1872" i="16"/>
  <c r="F1872" i="16"/>
  <c r="E1872" i="16"/>
  <c r="I1871" i="16"/>
  <c r="F1871" i="16"/>
  <c r="E1871" i="16"/>
  <c r="I1870" i="16"/>
  <c r="F1870" i="16"/>
  <c r="E1870" i="16"/>
  <c r="I1869" i="16"/>
  <c r="F1869" i="16"/>
  <c r="E1869" i="16"/>
  <c r="I1868" i="16"/>
  <c r="F1868" i="16"/>
  <c r="E1868" i="16"/>
  <c r="I1867" i="16"/>
  <c r="F1867" i="16"/>
  <c r="E1867" i="16"/>
  <c r="I1866" i="16"/>
  <c r="F1866" i="16"/>
  <c r="E1866" i="16"/>
  <c r="I1865" i="16"/>
  <c r="F1865" i="16"/>
  <c r="E1865" i="16"/>
  <c r="I1864" i="16"/>
  <c r="F1864" i="16"/>
  <c r="E1864" i="16"/>
  <c r="I1863" i="16"/>
  <c r="F1863" i="16"/>
  <c r="E1863" i="16"/>
  <c r="I1862" i="16"/>
  <c r="F1862" i="16"/>
  <c r="E1862" i="16"/>
  <c r="I1861" i="16"/>
  <c r="F1861" i="16"/>
  <c r="E1861" i="16"/>
  <c r="I1860" i="16"/>
  <c r="F1860" i="16"/>
  <c r="E1860" i="16"/>
  <c r="I1859" i="16"/>
  <c r="F1859" i="16"/>
  <c r="E1859" i="16"/>
  <c r="I1858" i="16"/>
  <c r="F1858" i="16"/>
  <c r="E1858" i="16"/>
  <c r="I1857" i="16"/>
  <c r="F1857" i="16"/>
  <c r="E1857" i="16"/>
  <c r="I1856" i="16"/>
  <c r="F1856" i="16"/>
  <c r="E1856" i="16"/>
  <c r="I1855" i="16"/>
  <c r="F1855" i="16"/>
  <c r="E1855" i="16"/>
  <c r="I1854" i="16"/>
  <c r="F1854" i="16"/>
  <c r="E1854" i="16"/>
  <c r="I1853" i="16"/>
  <c r="F1853" i="16"/>
  <c r="E1853" i="16"/>
  <c r="I1852" i="16"/>
  <c r="F1852" i="16"/>
  <c r="E1852" i="16"/>
  <c r="I1851" i="16"/>
  <c r="F1851" i="16"/>
  <c r="E1851" i="16"/>
  <c r="I1850" i="16"/>
  <c r="F1850" i="16"/>
  <c r="E1850" i="16"/>
  <c r="I1849" i="16"/>
  <c r="F1849" i="16"/>
  <c r="E1849" i="16"/>
  <c r="I1848" i="16"/>
  <c r="F1848" i="16"/>
  <c r="E1848" i="16"/>
  <c r="I1847" i="16"/>
  <c r="F1847" i="16"/>
  <c r="E1847" i="16"/>
  <c r="I1846" i="16"/>
  <c r="F1846" i="16"/>
  <c r="E1846" i="16"/>
  <c r="I1845" i="16"/>
  <c r="F1845" i="16"/>
  <c r="E1845" i="16"/>
  <c r="I1844" i="16"/>
  <c r="F1844" i="16"/>
  <c r="E1844" i="16"/>
  <c r="I1843" i="16"/>
  <c r="F1843" i="16"/>
  <c r="E1843" i="16"/>
  <c r="I1842" i="16"/>
  <c r="F1842" i="16"/>
  <c r="E1842" i="16"/>
  <c r="I1841" i="16"/>
  <c r="F1841" i="16"/>
  <c r="E1841" i="16"/>
  <c r="I1840" i="16"/>
  <c r="F1840" i="16"/>
  <c r="E1840" i="16"/>
  <c r="I1839" i="16"/>
  <c r="F1839" i="16"/>
  <c r="E1839" i="16"/>
  <c r="I1838" i="16"/>
  <c r="F1838" i="16"/>
  <c r="E1838" i="16"/>
  <c r="I1837" i="16"/>
  <c r="F1837" i="16"/>
  <c r="E1837" i="16"/>
  <c r="I1836" i="16"/>
  <c r="F1836" i="16"/>
  <c r="E1836" i="16"/>
  <c r="I1835" i="16"/>
  <c r="F1835" i="16"/>
  <c r="E1835" i="16"/>
  <c r="I1834" i="16"/>
  <c r="F1834" i="16"/>
  <c r="E1834" i="16"/>
  <c r="I1833" i="16"/>
  <c r="F1833" i="16"/>
  <c r="E1833" i="16"/>
  <c r="I1832" i="16"/>
  <c r="F1832" i="16"/>
  <c r="E1832" i="16"/>
  <c r="I1831" i="16"/>
  <c r="F1831" i="16"/>
  <c r="E1831" i="16"/>
  <c r="I1830" i="16"/>
  <c r="F1830" i="16"/>
  <c r="E1830" i="16"/>
  <c r="I1829" i="16"/>
  <c r="F1829" i="16"/>
  <c r="E1829" i="16"/>
  <c r="I1828" i="16"/>
  <c r="F1828" i="16"/>
  <c r="E1828" i="16"/>
  <c r="I1827" i="16"/>
  <c r="F1827" i="16"/>
  <c r="E1827" i="16"/>
  <c r="I1826" i="16"/>
  <c r="F1826" i="16"/>
  <c r="E1826" i="16"/>
  <c r="I1825" i="16"/>
  <c r="F1825" i="16"/>
  <c r="E1825" i="16"/>
  <c r="I1824" i="16"/>
  <c r="F1824" i="16"/>
  <c r="E1824" i="16"/>
  <c r="I1823" i="16"/>
  <c r="F1823" i="16"/>
  <c r="E1823" i="16"/>
  <c r="I1822" i="16"/>
  <c r="F1822" i="16"/>
  <c r="E1822" i="16"/>
  <c r="I1821" i="16"/>
  <c r="F1821" i="16"/>
  <c r="E1821" i="16"/>
  <c r="I1820" i="16"/>
  <c r="F1820" i="16"/>
  <c r="E1820" i="16"/>
  <c r="I1819" i="16"/>
  <c r="F1819" i="16"/>
  <c r="E1819" i="16"/>
  <c r="I1818" i="16"/>
  <c r="F1818" i="16"/>
  <c r="E1818" i="16"/>
  <c r="I1817" i="16"/>
  <c r="F1817" i="16"/>
  <c r="E1817" i="16"/>
  <c r="I1816" i="16"/>
  <c r="F1816" i="16"/>
  <c r="E1816" i="16"/>
  <c r="I1815" i="16"/>
  <c r="F1815" i="16"/>
  <c r="E1815" i="16"/>
  <c r="I1814" i="16"/>
  <c r="F1814" i="16"/>
  <c r="E1814" i="16"/>
  <c r="I1813" i="16"/>
  <c r="F1813" i="16"/>
  <c r="E1813" i="16"/>
  <c r="I1812" i="16"/>
  <c r="F1812" i="16"/>
  <c r="E1812" i="16"/>
  <c r="I1811" i="16"/>
  <c r="F1811" i="16"/>
  <c r="E1811" i="16"/>
  <c r="I1810" i="16"/>
  <c r="F1810" i="16"/>
  <c r="E1810" i="16"/>
  <c r="I1809" i="16"/>
  <c r="F1809" i="16"/>
  <c r="E1809" i="16"/>
  <c r="I1808" i="16"/>
  <c r="F1808" i="16"/>
  <c r="E1808" i="16"/>
  <c r="I1807" i="16"/>
  <c r="F1807" i="16"/>
  <c r="E1807" i="16"/>
  <c r="I1806" i="16"/>
  <c r="F1806" i="16"/>
  <c r="E1806" i="16"/>
  <c r="I1805" i="16"/>
  <c r="F1805" i="16"/>
  <c r="E1805" i="16"/>
  <c r="I1804" i="16"/>
  <c r="F1804" i="16"/>
  <c r="E1804" i="16"/>
  <c r="I1803" i="16"/>
  <c r="F1803" i="16"/>
  <c r="E1803" i="16"/>
  <c r="I1802" i="16"/>
  <c r="F1802" i="16"/>
  <c r="E1802" i="16"/>
  <c r="I1801" i="16"/>
  <c r="F1801" i="16"/>
  <c r="E1801" i="16"/>
  <c r="I1800" i="16"/>
  <c r="F1800" i="16"/>
  <c r="E1800" i="16"/>
  <c r="I1799" i="16"/>
  <c r="F1799" i="16"/>
  <c r="E1799" i="16"/>
  <c r="I1798" i="16"/>
  <c r="F1798" i="16"/>
  <c r="E1798" i="16"/>
  <c r="I1797" i="16"/>
  <c r="F1797" i="16"/>
  <c r="E1797" i="16"/>
  <c r="I1796" i="16"/>
  <c r="F1796" i="16"/>
  <c r="E1796" i="16"/>
  <c r="I1795" i="16"/>
  <c r="F1795" i="16"/>
  <c r="E1795" i="16"/>
  <c r="I1794" i="16"/>
  <c r="F1794" i="16"/>
  <c r="E1794" i="16"/>
  <c r="I1793" i="16"/>
  <c r="F1793" i="16"/>
  <c r="E1793" i="16"/>
  <c r="I1792" i="16"/>
  <c r="F1792" i="16"/>
  <c r="E1792" i="16"/>
  <c r="I1791" i="16"/>
  <c r="F1791" i="16"/>
  <c r="E1791" i="16"/>
  <c r="I1790" i="16"/>
  <c r="F1790" i="16"/>
  <c r="E1790" i="16"/>
  <c r="I1789" i="16"/>
  <c r="F1789" i="16"/>
  <c r="E1789" i="16"/>
  <c r="I1788" i="16"/>
  <c r="F1788" i="16"/>
  <c r="E1788" i="16"/>
  <c r="I1787" i="16"/>
  <c r="F1787" i="16"/>
  <c r="E1787" i="16"/>
  <c r="I1786" i="16"/>
  <c r="F1786" i="16"/>
  <c r="E1786" i="16"/>
  <c r="I1785" i="16"/>
  <c r="F1785" i="16"/>
  <c r="E1785" i="16"/>
  <c r="I1784" i="16"/>
  <c r="F1784" i="16"/>
  <c r="E1784" i="16"/>
  <c r="I1783" i="16"/>
  <c r="F1783" i="16"/>
  <c r="E1783" i="16"/>
  <c r="I1782" i="16"/>
  <c r="F1782" i="16"/>
  <c r="E1782" i="16"/>
  <c r="I1781" i="16"/>
  <c r="F1781" i="16"/>
  <c r="E1781" i="16"/>
  <c r="I1780" i="16"/>
  <c r="F1780" i="16"/>
  <c r="E1780" i="16"/>
  <c r="I1779" i="16"/>
  <c r="F1779" i="16"/>
  <c r="E1779" i="16"/>
  <c r="I1778" i="16"/>
  <c r="F1778" i="16"/>
  <c r="E1778" i="16"/>
  <c r="I1777" i="16"/>
  <c r="F1777" i="16"/>
  <c r="E1777" i="16"/>
  <c r="I1776" i="16"/>
  <c r="F1776" i="16"/>
  <c r="E1776" i="16"/>
  <c r="I1775" i="16"/>
  <c r="F1775" i="16"/>
  <c r="E1775" i="16"/>
  <c r="I1774" i="16"/>
  <c r="F1774" i="16"/>
  <c r="E1774" i="16"/>
  <c r="I1773" i="16"/>
  <c r="F1773" i="16"/>
  <c r="E1773" i="16"/>
  <c r="I1772" i="16"/>
  <c r="F1772" i="16"/>
  <c r="E1772" i="16"/>
  <c r="I1771" i="16"/>
  <c r="F1771" i="16"/>
  <c r="E1771" i="16"/>
  <c r="I1770" i="16"/>
  <c r="F1770" i="16"/>
  <c r="E1770" i="16"/>
  <c r="I1769" i="16"/>
  <c r="F1769" i="16"/>
  <c r="E1769" i="16"/>
  <c r="I1768" i="16"/>
  <c r="F1768" i="16"/>
  <c r="E1768" i="16"/>
  <c r="I1767" i="16"/>
  <c r="F1767" i="16"/>
  <c r="E1767" i="16"/>
  <c r="I1766" i="16"/>
  <c r="F1766" i="16"/>
  <c r="E1766" i="16"/>
  <c r="I1765" i="16"/>
  <c r="F1765" i="16"/>
  <c r="E1765" i="16"/>
  <c r="I1764" i="16"/>
  <c r="F1764" i="16"/>
  <c r="E1764" i="16"/>
  <c r="I1763" i="16"/>
  <c r="F1763" i="16"/>
  <c r="E1763" i="16"/>
  <c r="I1762" i="16"/>
  <c r="F1762" i="16"/>
  <c r="E1762" i="16"/>
  <c r="I1761" i="16"/>
  <c r="F1761" i="16"/>
  <c r="E1761" i="16"/>
  <c r="I1760" i="16"/>
  <c r="F1760" i="16"/>
  <c r="E1760" i="16"/>
  <c r="I1759" i="16"/>
  <c r="F1759" i="16"/>
  <c r="E1759" i="16"/>
  <c r="I1758" i="16"/>
  <c r="F1758" i="16"/>
  <c r="E1758" i="16"/>
  <c r="I1757" i="16"/>
  <c r="F1757" i="16"/>
  <c r="E1757" i="16"/>
  <c r="I1756" i="16"/>
  <c r="F1756" i="16"/>
  <c r="E1756" i="16"/>
  <c r="I1755" i="16"/>
  <c r="F1755" i="16"/>
  <c r="E1755" i="16"/>
  <c r="I1754" i="16"/>
  <c r="F1754" i="16"/>
  <c r="E1754" i="16"/>
  <c r="I1753" i="16"/>
  <c r="F1753" i="16"/>
  <c r="E1753" i="16"/>
  <c r="I1752" i="16"/>
  <c r="F1752" i="16"/>
  <c r="E1752" i="16"/>
  <c r="I1751" i="16"/>
  <c r="F1751" i="16"/>
  <c r="E1751" i="16"/>
  <c r="I1750" i="16"/>
  <c r="F1750" i="16"/>
  <c r="E1750" i="16"/>
  <c r="I1749" i="16"/>
  <c r="F1749" i="16"/>
  <c r="E1749" i="16"/>
  <c r="I1748" i="16"/>
  <c r="F1748" i="16"/>
  <c r="E1748" i="16"/>
  <c r="I1747" i="16"/>
  <c r="F1747" i="16"/>
  <c r="E1747" i="16"/>
  <c r="I1746" i="16"/>
  <c r="F1746" i="16"/>
  <c r="E1746" i="16"/>
  <c r="I1745" i="16"/>
  <c r="F1745" i="16"/>
  <c r="E1745" i="16"/>
  <c r="I1744" i="16"/>
  <c r="F1744" i="16"/>
  <c r="E1744" i="16"/>
  <c r="I1743" i="16"/>
  <c r="F1743" i="16"/>
  <c r="E1743" i="16"/>
  <c r="I1742" i="16"/>
  <c r="F1742" i="16"/>
  <c r="E1742" i="16"/>
  <c r="I1741" i="16"/>
  <c r="F1741" i="16"/>
  <c r="E1741" i="16"/>
  <c r="I1740" i="16"/>
  <c r="F1740" i="16"/>
  <c r="E1740" i="16"/>
  <c r="I1739" i="16"/>
  <c r="F1739" i="16"/>
  <c r="E1739" i="16"/>
  <c r="I1738" i="16"/>
  <c r="F1738" i="16"/>
  <c r="E1738" i="16"/>
  <c r="I1737" i="16"/>
  <c r="F1737" i="16"/>
  <c r="E1737" i="16"/>
  <c r="I1736" i="16"/>
  <c r="F1736" i="16"/>
  <c r="E1736" i="16"/>
  <c r="I1735" i="16"/>
  <c r="F1735" i="16"/>
  <c r="E1735" i="16"/>
  <c r="I1734" i="16"/>
  <c r="F1734" i="16"/>
  <c r="E1734" i="16"/>
  <c r="I1733" i="16"/>
  <c r="F1733" i="16"/>
  <c r="E1733" i="16"/>
  <c r="I1732" i="16"/>
  <c r="F1732" i="16"/>
  <c r="E1732" i="16"/>
  <c r="I1731" i="16"/>
  <c r="F1731" i="16"/>
  <c r="E1731" i="16"/>
  <c r="I1730" i="16"/>
  <c r="F1730" i="16"/>
  <c r="E1730" i="16"/>
  <c r="I1729" i="16"/>
  <c r="F1729" i="16"/>
  <c r="E1729" i="16"/>
  <c r="I1728" i="16"/>
  <c r="F1728" i="16"/>
  <c r="E1728" i="16"/>
  <c r="I1727" i="16"/>
  <c r="F1727" i="16"/>
  <c r="E1727" i="16"/>
  <c r="I1726" i="16"/>
  <c r="F1726" i="16"/>
  <c r="E1726" i="16"/>
  <c r="I1725" i="16"/>
  <c r="F1725" i="16"/>
  <c r="E1725" i="16"/>
  <c r="I1724" i="16"/>
  <c r="F1724" i="16"/>
  <c r="E1724" i="16"/>
  <c r="I1723" i="16"/>
  <c r="F1723" i="16"/>
  <c r="E1723" i="16"/>
  <c r="I1722" i="16"/>
  <c r="F1722" i="16"/>
  <c r="E1722" i="16"/>
  <c r="I1721" i="16"/>
  <c r="F1721" i="16"/>
  <c r="E1721" i="16"/>
  <c r="I1720" i="16"/>
  <c r="F1720" i="16"/>
  <c r="E1720" i="16"/>
  <c r="I1719" i="16"/>
  <c r="F1719" i="16"/>
  <c r="E1719" i="16"/>
  <c r="I1718" i="16"/>
  <c r="F1718" i="16"/>
  <c r="E1718" i="16"/>
  <c r="I1717" i="16"/>
  <c r="F1717" i="16"/>
  <c r="E1717" i="16"/>
  <c r="I1716" i="16"/>
  <c r="F1716" i="16"/>
  <c r="E1716" i="16"/>
  <c r="I1715" i="16"/>
  <c r="F1715" i="16"/>
  <c r="E1715" i="16"/>
  <c r="I1714" i="16"/>
  <c r="F1714" i="16"/>
  <c r="E1714" i="16"/>
  <c r="I1713" i="16"/>
  <c r="F1713" i="16"/>
  <c r="E1713" i="16"/>
  <c r="I1712" i="16"/>
  <c r="F1712" i="16"/>
  <c r="E1712" i="16"/>
  <c r="I1711" i="16"/>
  <c r="F1711" i="16"/>
  <c r="E1711" i="16"/>
  <c r="I1710" i="16"/>
  <c r="F1710" i="16"/>
  <c r="E1710" i="16"/>
  <c r="I1709" i="16"/>
  <c r="F1709" i="16"/>
  <c r="E1709" i="16"/>
  <c r="I1708" i="16"/>
  <c r="F1708" i="16"/>
  <c r="E1708" i="16"/>
  <c r="I1707" i="16"/>
  <c r="F1707" i="16"/>
  <c r="E1707" i="16"/>
  <c r="I1706" i="16"/>
  <c r="F1706" i="16"/>
  <c r="E1706" i="16"/>
  <c r="I1705" i="16"/>
  <c r="F1705" i="16"/>
  <c r="E1705" i="16"/>
  <c r="I1704" i="16"/>
  <c r="F1704" i="16"/>
  <c r="E1704" i="16"/>
  <c r="I1703" i="16"/>
  <c r="F1703" i="16"/>
  <c r="E1703" i="16"/>
  <c r="I1702" i="16"/>
  <c r="F1702" i="16"/>
  <c r="E1702" i="16"/>
  <c r="I1701" i="16"/>
  <c r="F1701" i="16"/>
  <c r="E1701" i="16"/>
  <c r="I1700" i="16"/>
  <c r="F1700" i="16"/>
  <c r="E1700" i="16"/>
  <c r="I1699" i="16"/>
  <c r="F1699" i="16"/>
  <c r="E1699" i="16"/>
  <c r="I1698" i="16"/>
  <c r="F1698" i="16"/>
  <c r="E1698" i="16"/>
  <c r="I1697" i="16"/>
  <c r="F1697" i="16"/>
  <c r="E1697" i="16"/>
  <c r="I1696" i="16"/>
  <c r="F1696" i="16"/>
  <c r="E1696" i="16"/>
  <c r="I1695" i="16"/>
  <c r="F1695" i="16"/>
  <c r="E1695" i="16"/>
  <c r="I1694" i="16"/>
  <c r="F1694" i="16"/>
  <c r="E1694" i="16"/>
  <c r="I1693" i="16"/>
  <c r="F1693" i="16"/>
  <c r="E1693" i="16"/>
  <c r="I1692" i="16"/>
  <c r="F1692" i="16"/>
  <c r="E1692" i="16"/>
  <c r="I1691" i="16"/>
  <c r="F1691" i="16"/>
  <c r="E1691" i="16"/>
  <c r="I1690" i="16"/>
  <c r="F1690" i="16"/>
  <c r="E1690" i="16"/>
  <c r="I1689" i="16"/>
  <c r="F1689" i="16"/>
  <c r="E1689" i="16"/>
  <c r="I1688" i="16"/>
  <c r="F1688" i="16"/>
  <c r="E1688" i="16"/>
  <c r="I1687" i="16"/>
  <c r="F1687" i="16"/>
  <c r="E1687" i="16"/>
  <c r="I1686" i="16"/>
  <c r="F1686" i="16"/>
  <c r="E1686" i="16"/>
  <c r="I1685" i="16"/>
  <c r="F1685" i="16"/>
  <c r="E1685" i="16"/>
  <c r="I1684" i="16"/>
  <c r="F1684" i="16"/>
  <c r="E1684" i="16"/>
  <c r="I1683" i="16"/>
  <c r="F1683" i="16"/>
  <c r="E1683" i="16"/>
  <c r="I1682" i="16"/>
  <c r="F1682" i="16"/>
  <c r="E1682" i="16"/>
  <c r="I1681" i="16"/>
  <c r="F1681" i="16"/>
  <c r="E1681" i="16"/>
  <c r="I1680" i="16"/>
  <c r="F1680" i="16"/>
  <c r="E1680" i="16"/>
  <c r="I1679" i="16"/>
  <c r="F1679" i="16"/>
  <c r="E1679" i="16"/>
  <c r="I1678" i="16"/>
  <c r="F1678" i="16"/>
  <c r="E1678" i="16"/>
  <c r="I1677" i="16"/>
  <c r="F1677" i="16"/>
  <c r="E1677" i="16"/>
  <c r="I1676" i="16"/>
  <c r="F1676" i="16"/>
  <c r="E1676" i="16"/>
  <c r="I1675" i="16"/>
  <c r="F1675" i="16"/>
  <c r="E1675" i="16"/>
  <c r="I1674" i="16"/>
  <c r="F1674" i="16"/>
  <c r="E1674" i="16"/>
  <c r="I1673" i="16"/>
  <c r="F1673" i="16"/>
  <c r="E1673" i="16"/>
  <c r="I1672" i="16"/>
  <c r="F1672" i="16"/>
  <c r="E1672" i="16"/>
  <c r="I1671" i="16"/>
  <c r="F1671" i="16"/>
  <c r="E1671" i="16"/>
  <c r="I1670" i="16"/>
  <c r="F1670" i="16"/>
  <c r="E1670" i="16"/>
  <c r="I1669" i="16"/>
  <c r="F1669" i="16"/>
  <c r="E1669" i="16"/>
  <c r="I1668" i="16"/>
  <c r="F1668" i="16"/>
  <c r="E1668" i="16"/>
  <c r="I1667" i="16"/>
  <c r="F1667" i="16"/>
  <c r="E1667" i="16"/>
  <c r="I1666" i="16"/>
  <c r="F1666" i="16"/>
  <c r="E1666" i="16"/>
  <c r="I1665" i="16"/>
  <c r="F1665" i="16"/>
  <c r="E1665" i="16"/>
  <c r="I1664" i="16"/>
  <c r="F1664" i="16"/>
  <c r="E1664" i="16"/>
  <c r="I1663" i="16"/>
  <c r="F1663" i="16"/>
  <c r="E1663" i="16"/>
  <c r="I1662" i="16"/>
  <c r="F1662" i="16"/>
  <c r="E1662" i="16"/>
  <c r="I1661" i="16"/>
  <c r="F1661" i="16"/>
  <c r="E1661" i="16"/>
  <c r="I1660" i="16"/>
  <c r="F1660" i="16"/>
  <c r="E1660" i="16"/>
  <c r="I1659" i="16"/>
  <c r="F1659" i="16"/>
  <c r="E1659" i="16"/>
  <c r="I1658" i="16"/>
  <c r="F1658" i="16"/>
  <c r="E1658" i="16"/>
  <c r="I1657" i="16"/>
  <c r="F1657" i="16"/>
  <c r="E1657" i="16"/>
  <c r="I1656" i="16"/>
  <c r="F1656" i="16"/>
  <c r="E1656" i="16"/>
  <c r="I1655" i="16"/>
  <c r="F1655" i="16"/>
  <c r="E1655" i="16"/>
  <c r="I1654" i="16"/>
  <c r="F1654" i="16"/>
  <c r="E1654" i="16"/>
  <c r="I1653" i="16"/>
  <c r="F1653" i="16"/>
  <c r="E1653" i="16"/>
  <c r="I1652" i="16"/>
  <c r="F1652" i="16"/>
  <c r="E1652" i="16"/>
  <c r="I1651" i="16"/>
  <c r="F1651" i="16"/>
  <c r="E1651" i="16"/>
  <c r="I1650" i="16"/>
  <c r="F1650" i="16"/>
  <c r="E1650" i="16"/>
  <c r="I1649" i="16"/>
  <c r="F1649" i="16"/>
  <c r="E1649" i="16"/>
  <c r="I1648" i="16"/>
  <c r="F1648" i="16"/>
  <c r="E1648" i="16"/>
  <c r="I1647" i="16"/>
  <c r="F1647" i="16"/>
  <c r="E1647" i="16"/>
  <c r="I1646" i="16"/>
  <c r="F1646" i="16"/>
  <c r="E1646" i="16"/>
  <c r="I1645" i="16"/>
  <c r="F1645" i="16"/>
  <c r="E1645" i="16"/>
  <c r="I1644" i="16"/>
  <c r="F1644" i="16"/>
  <c r="E1644" i="16"/>
  <c r="I1643" i="16"/>
  <c r="F1643" i="16"/>
  <c r="E1643" i="16"/>
  <c r="I1642" i="16"/>
  <c r="F1642" i="16"/>
  <c r="E1642" i="16"/>
  <c r="I1641" i="16"/>
  <c r="F1641" i="16"/>
  <c r="E1641" i="16"/>
  <c r="I1640" i="16"/>
  <c r="F1640" i="16"/>
  <c r="E1640" i="16"/>
  <c r="I1639" i="16"/>
  <c r="F1639" i="16"/>
  <c r="E1639" i="16"/>
  <c r="I1638" i="16"/>
  <c r="F1638" i="16"/>
  <c r="E1638" i="16"/>
  <c r="I1637" i="16"/>
  <c r="F1637" i="16"/>
  <c r="E1637" i="16"/>
  <c r="I1636" i="16"/>
  <c r="F1636" i="16"/>
  <c r="E1636" i="16"/>
  <c r="I1635" i="16"/>
  <c r="F1635" i="16"/>
  <c r="E1635" i="16"/>
  <c r="I1634" i="16"/>
  <c r="F1634" i="16"/>
  <c r="E1634" i="16"/>
  <c r="I1633" i="16"/>
  <c r="F1633" i="16"/>
  <c r="E1633" i="16"/>
  <c r="I1632" i="16"/>
  <c r="F1632" i="16"/>
  <c r="E1632" i="16"/>
  <c r="I1631" i="16"/>
  <c r="F1631" i="16"/>
  <c r="E1631" i="16"/>
  <c r="I1630" i="16"/>
  <c r="F1630" i="16"/>
  <c r="E1630" i="16"/>
  <c r="I1629" i="16"/>
  <c r="F1629" i="16"/>
  <c r="E1629" i="16"/>
  <c r="I1628" i="16"/>
  <c r="F1628" i="16"/>
  <c r="E1628" i="16"/>
  <c r="I1627" i="16"/>
  <c r="F1627" i="16"/>
  <c r="E1627" i="16"/>
  <c r="I1626" i="16"/>
  <c r="F1626" i="16"/>
  <c r="E1626" i="16"/>
  <c r="I1625" i="16"/>
  <c r="F1625" i="16"/>
  <c r="E1625" i="16"/>
  <c r="I1624" i="16"/>
  <c r="F1624" i="16"/>
  <c r="E1624" i="16"/>
  <c r="I1623" i="16"/>
  <c r="F1623" i="16"/>
  <c r="E1623" i="16"/>
  <c r="I1622" i="16"/>
  <c r="F1622" i="16"/>
  <c r="E1622" i="16"/>
  <c r="I1621" i="16"/>
  <c r="F1621" i="16"/>
  <c r="E1621" i="16"/>
  <c r="I1620" i="16"/>
  <c r="F1620" i="16"/>
  <c r="E1620" i="16"/>
  <c r="I1619" i="16"/>
  <c r="F1619" i="16"/>
  <c r="E1619" i="16"/>
  <c r="I1618" i="16"/>
  <c r="F1618" i="16"/>
  <c r="E1618" i="16"/>
  <c r="I1617" i="16"/>
  <c r="F1617" i="16"/>
  <c r="E1617" i="16"/>
  <c r="I1616" i="16"/>
  <c r="F1616" i="16"/>
  <c r="E1616" i="16"/>
  <c r="I1615" i="16"/>
  <c r="F1615" i="16"/>
  <c r="E1615" i="16"/>
  <c r="I1614" i="16"/>
  <c r="F1614" i="16"/>
  <c r="E1614" i="16"/>
  <c r="I1613" i="16"/>
  <c r="F1613" i="16"/>
  <c r="E1613" i="16"/>
  <c r="I1612" i="16"/>
  <c r="F1612" i="16"/>
  <c r="E1612" i="16"/>
  <c r="I1611" i="16"/>
  <c r="F1611" i="16"/>
  <c r="E1611" i="16"/>
  <c r="I1610" i="16"/>
  <c r="F1610" i="16"/>
  <c r="E1610" i="16"/>
  <c r="I1609" i="16"/>
  <c r="F1609" i="16"/>
  <c r="E1609" i="16"/>
  <c r="I1608" i="16"/>
  <c r="F1608" i="16"/>
  <c r="E1608" i="16"/>
  <c r="I1607" i="16"/>
  <c r="F1607" i="16"/>
  <c r="E1607" i="16"/>
  <c r="I1606" i="16"/>
  <c r="F1606" i="16"/>
  <c r="E1606" i="16"/>
  <c r="I1605" i="16"/>
  <c r="F1605" i="16"/>
  <c r="E1605" i="16"/>
  <c r="I1604" i="16"/>
  <c r="F1604" i="16"/>
  <c r="E1604" i="16"/>
  <c r="I1603" i="16"/>
  <c r="F1603" i="16"/>
  <c r="E1603" i="16"/>
  <c r="I1602" i="16"/>
  <c r="F1602" i="16"/>
  <c r="E1602" i="16"/>
  <c r="I1601" i="16"/>
  <c r="F1601" i="16"/>
  <c r="E1601" i="16"/>
  <c r="I1600" i="16"/>
  <c r="F1600" i="16"/>
  <c r="E1600" i="16"/>
  <c r="I1599" i="16"/>
  <c r="F1599" i="16"/>
  <c r="E1599" i="16"/>
  <c r="I1598" i="16"/>
  <c r="F1598" i="16"/>
  <c r="E1598" i="16"/>
  <c r="I1597" i="16"/>
  <c r="F1597" i="16"/>
  <c r="E1597" i="16"/>
  <c r="I1596" i="16"/>
  <c r="F1596" i="16"/>
  <c r="E1596" i="16"/>
  <c r="I1595" i="16"/>
  <c r="F1595" i="16"/>
  <c r="E1595" i="16"/>
  <c r="I1594" i="16"/>
  <c r="F1594" i="16"/>
  <c r="E1594" i="16"/>
  <c r="I1593" i="16"/>
  <c r="F1593" i="16"/>
  <c r="E1593" i="16"/>
  <c r="I1592" i="16"/>
  <c r="F1592" i="16"/>
  <c r="E1592" i="16"/>
  <c r="I1591" i="16"/>
  <c r="F1591" i="16"/>
  <c r="E1591" i="16"/>
  <c r="I1590" i="16"/>
  <c r="F1590" i="16"/>
  <c r="E1590" i="16"/>
  <c r="I1589" i="16"/>
  <c r="F1589" i="16"/>
  <c r="E1589" i="16"/>
  <c r="I1588" i="16"/>
  <c r="F1588" i="16"/>
  <c r="E1588" i="16"/>
  <c r="I1587" i="16"/>
  <c r="F1587" i="16"/>
  <c r="E1587" i="16"/>
  <c r="I1586" i="16"/>
  <c r="F1586" i="16"/>
  <c r="E1586" i="16"/>
  <c r="I1585" i="16"/>
  <c r="F1585" i="16"/>
  <c r="E1585" i="16"/>
  <c r="I1584" i="16"/>
  <c r="F1584" i="16"/>
  <c r="E1584" i="16"/>
  <c r="I1583" i="16"/>
  <c r="F1583" i="16"/>
  <c r="E1583" i="16"/>
  <c r="I1582" i="16"/>
  <c r="F1582" i="16"/>
  <c r="E1582" i="16"/>
  <c r="I1581" i="16"/>
  <c r="F1581" i="16"/>
  <c r="E1581" i="16"/>
  <c r="I1580" i="16"/>
  <c r="F1580" i="16"/>
  <c r="E1580" i="16"/>
  <c r="I1579" i="16"/>
  <c r="F1579" i="16"/>
  <c r="E1579" i="16"/>
  <c r="I1578" i="16"/>
  <c r="F1578" i="16"/>
  <c r="E1578" i="16"/>
  <c r="I1577" i="16"/>
  <c r="F1577" i="16"/>
  <c r="E1577" i="16"/>
  <c r="I1576" i="16"/>
  <c r="F1576" i="16"/>
  <c r="E1576" i="16"/>
  <c r="I1575" i="16"/>
  <c r="F1575" i="16"/>
  <c r="E1575" i="16"/>
  <c r="I1574" i="16"/>
  <c r="F1574" i="16"/>
  <c r="E1574" i="16"/>
  <c r="I1573" i="16"/>
  <c r="F1573" i="16"/>
  <c r="E1573" i="16"/>
  <c r="I1572" i="16"/>
  <c r="F1572" i="16"/>
  <c r="E1572" i="16"/>
  <c r="I1571" i="16"/>
  <c r="F1571" i="16"/>
  <c r="E1571" i="16"/>
  <c r="I1570" i="16"/>
  <c r="F1570" i="16"/>
  <c r="E1570" i="16"/>
  <c r="I1569" i="16"/>
  <c r="F1569" i="16"/>
  <c r="E1569" i="16"/>
  <c r="I1568" i="16"/>
  <c r="F1568" i="16"/>
  <c r="E1568" i="16"/>
  <c r="I1567" i="16"/>
  <c r="F1567" i="16"/>
  <c r="E1567" i="16"/>
  <c r="I1566" i="16"/>
  <c r="F1566" i="16"/>
  <c r="E1566" i="16"/>
  <c r="I1565" i="16"/>
  <c r="F1565" i="16"/>
  <c r="E1565" i="16"/>
  <c r="I1564" i="16"/>
  <c r="F1564" i="16"/>
  <c r="E1564" i="16"/>
  <c r="I1563" i="16"/>
  <c r="F1563" i="16"/>
  <c r="E1563" i="16"/>
  <c r="I1562" i="16"/>
  <c r="F1562" i="16"/>
  <c r="E1562" i="16"/>
  <c r="I1561" i="16"/>
  <c r="F1561" i="16"/>
  <c r="E1561" i="16"/>
  <c r="I1560" i="16"/>
  <c r="F1560" i="16"/>
  <c r="E1560" i="16"/>
  <c r="I1559" i="16"/>
  <c r="F1559" i="16"/>
  <c r="E1559" i="16"/>
  <c r="I1558" i="16"/>
  <c r="F1558" i="16"/>
  <c r="E1558" i="16"/>
  <c r="I1557" i="16"/>
  <c r="F1557" i="16"/>
  <c r="E1557" i="16"/>
  <c r="I1556" i="16"/>
  <c r="F1556" i="16"/>
  <c r="E1556" i="16"/>
  <c r="I1555" i="16"/>
  <c r="F1555" i="16"/>
  <c r="E1555" i="16"/>
  <c r="I1554" i="16"/>
  <c r="F1554" i="16"/>
  <c r="E1554" i="16"/>
  <c r="I1553" i="16"/>
  <c r="F1553" i="16"/>
  <c r="E1553" i="16"/>
  <c r="I1552" i="16"/>
  <c r="F1552" i="16"/>
  <c r="E1552" i="16"/>
  <c r="I1551" i="16"/>
  <c r="F1551" i="16"/>
  <c r="E1551" i="16"/>
  <c r="I1550" i="16"/>
  <c r="F1550" i="16"/>
  <c r="E1550" i="16"/>
  <c r="I1549" i="16"/>
  <c r="F1549" i="16"/>
  <c r="E1549" i="16"/>
  <c r="I1548" i="16"/>
  <c r="F1548" i="16"/>
  <c r="E1548" i="16"/>
  <c r="I1547" i="16"/>
  <c r="F1547" i="16"/>
  <c r="E1547" i="16"/>
  <c r="I1546" i="16"/>
  <c r="F1546" i="16"/>
  <c r="E1546" i="16"/>
  <c r="I1545" i="16"/>
  <c r="F1545" i="16"/>
  <c r="E1545" i="16"/>
  <c r="I1544" i="16"/>
  <c r="F1544" i="16"/>
  <c r="E1544" i="16"/>
  <c r="I1543" i="16"/>
  <c r="F1543" i="16"/>
  <c r="E1543" i="16"/>
  <c r="I1542" i="16"/>
  <c r="F1542" i="16"/>
  <c r="E1542" i="16"/>
  <c r="I1541" i="16"/>
  <c r="F1541" i="16"/>
  <c r="E1541" i="16"/>
  <c r="I1540" i="16"/>
  <c r="F1540" i="16"/>
  <c r="E1540" i="16"/>
  <c r="I1539" i="16"/>
  <c r="F1539" i="16"/>
  <c r="E1539" i="16"/>
  <c r="I1538" i="16"/>
  <c r="F1538" i="16"/>
  <c r="E1538" i="16"/>
  <c r="I1537" i="16"/>
  <c r="F1537" i="16"/>
  <c r="E1537" i="16"/>
  <c r="I1536" i="16"/>
  <c r="F1536" i="16"/>
  <c r="E1536" i="16"/>
  <c r="I1535" i="16"/>
  <c r="F1535" i="16"/>
  <c r="E1535" i="16"/>
  <c r="I1534" i="16"/>
  <c r="F1534" i="16"/>
  <c r="E1534" i="16"/>
  <c r="I1533" i="16"/>
  <c r="F1533" i="16"/>
  <c r="E1533" i="16"/>
  <c r="I1532" i="16"/>
  <c r="F1532" i="16"/>
  <c r="E1532" i="16"/>
  <c r="I1531" i="16"/>
  <c r="F1531" i="16"/>
  <c r="E1531" i="16"/>
  <c r="I1530" i="16"/>
  <c r="F1530" i="16"/>
  <c r="E1530" i="16"/>
  <c r="I1529" i="16"/>
  <c r="F1529" i="16"/>
  <c r="E1529" i="16"/>
  <c r="I1528" i="16"/>
  <c r="F1528" i="16"/>
  <c r="E1528" i="16"/>
  <c r="I1527" i="16"/>
  <c r="F1527" i="16"/>
  <c r="E1527" i="16"/>
  <c r="I1526" i="16"/>
  <c r="F1526" i="16"/>
  <c r="E1526" i="16"/>
  <c r="I1525" i="16"/>
  <c r="F1525" i="16"/>
  <c r="E1525" i="16"/>
  <c r="I1524" i="16"/>
  <c r="F1524" i="16"/>
  <c r="E1524" i="16"/>
  <c r="I1523" i="16"/>
  <c r="F1523" i="16"/>
  <c r="E1523" i="16"/>
  <c r="I1522" i="16"/>
  <c r="F1522" i="16"/>
  <c r="E1522" i="16"/>
  <c r="I1521" i="16"/>
  <c r="F1521" i="16"/>
  <c r="E1521" i="16"/>
  <c r="I1520" i="16"/>
  <c r="F1520" i="16"/>
  <c r="E1520" i="16"/>
  <c r="I1519" i="16"/>
  <c r="F1519" i="16"/>
  <c r="E1519" i="16"/>
  <c r="I1518" i="16"/>
  <c r="F1518" i="16"/>
  <c r="E1518" i="16"/>
  <c r="I1517" i="16"/>
  <c r="F1517" i="16"/>
  <c r="E1517" i="16"/>
  <c r="I1516" i="16"/>
  <c r="F1516" i="16"/>
  <c r="E1516" i="16"/>
  <c r="I1515" i="16"/>
  <c r="F1515" i="16"/>
  <c r="E1515" i="16"/>
  <c r="I1514" i="16"/>
  <c r="F1514" i="16"/>
  <c r="E1514" i="16"/>
  <c r="I1513" i="16"/>
  <c r="F1513" i="16"/>
  <c r="E1513" i="16"/>
  <c r="I1512" i="16"/>
  <c r="F1512" i="16"/>
  <c r="E1512" i="16"/>
  <c r="I1511" i="16"/>
  <c r="F1511" i="16"/>
  <c r="E1511" i="16"/>
  <c r="I1510" i="16"/>
  <c r="F1510" i="16"/>
  <c r="E1510" i="16"/>
  <c r="I1509" i="16"/>
  <c r="F1509" i="16"/>
  <c r="E1509" i="16"/>
  <c r="I1508" i="16"/>
  <c r="F1508" i="16"/>
  <c r="E1508" i="16"/>
  <c r="I1507" i="16"/>
  <c r="F1507" i="16"/>
  <c r="E1507" i="16"/>
  <c r="I1506" i="16"/>
  <c r="F1506" i="16"/>
  <c r="E1506" i="16"/>
  <c r="I1505" i="16"/>
  <c r="F1505" i="16"/>
  <c r="E1505" i="16"/>
  <c r="I1504" i="16"/>
  <c r="F1504" i="16"/>
  <c r="E1504" i="16"/>
  <c r="I1503" i="16"/>
  <c r="F1503" i="16"/>
  <c r="E1503" i="16"/>
  <c r="I1502" i="16"/>
  <c r="F1502" i="16"/>
  <c r="E1502" i="16"/>
  <c r="I1501" i="16"/>
  <c r="F1501" i="16"/>
  <c r="E1501" i="16"/>
  <c r="I1500" i="16"/>
  <c r="F1500" i="16"/>
  <c r="E1500" i="16"/>
  <c r="I1499" i="16"/>
  <c r="F1499" i="16"/>
  <c r="E1499" i="16"/>
  <c r="I1498" i="16"/>
  <c r="F1498" i="16"/>
  <c r="E1498" i="16"/>
  <c r="I1497" i="16"/>
  <c r="F1497" i="16"/>
  <c r="E1497" i="16"/>
  <c r="I1496" i="16"/>
  <c r="F1496" i="16"/>
  <c r="E1496" i="16"/>
  <c r="I1495" i="16"/>
  <c r="F1495" i="16"/>
  <c r="E1495" i="16"/>
  <c r="I1494" i="16"/>
  <c r="F1494" i="16"/>
  <c r="E1494" i="16"/>
  <c r="I1493" i="16"/>
  <c r="F1493" i="16"/>
  <c r="E1493" i="16"/>
  <c r="I1492" i="16"/>
  <c r="F1492" i="16"/>
  <c r="E1492" i="16"/>
  <c r="I1491" i="16"/>
  <c r="F1491" i="16"/>
  <c r="E1491" i="16"/>
  <c r="I1490" i="16"/>
  <c r="F1490" i="16"/>
  <c r="E1490" i="16"/>
  <c r="I1489" i="16"/>
  <c r="F1489" i="16"/>
  <c r="E1489" i="16"/>
  <c r="I1488" i="16"/>
  <c r="F1488" i="16"/>
  <c r="E1488" i="16"/>
  <c r="I1487" i="16"/>
  <c r="F1487" i="16"/>
  <c r="E1487" i="16"/>
  <c r="I1486" i="16"/>
  <c r="F1486" i="16"/>
  <c r="E1486" i="16"/>
  <c r="I1485" i="16"/>
  <c r="F1485" i="16"/>
  <c r="E1485" i="16"/>
  <c r="I1484" i="16"/>
  <c r="F1484" i="16"/>
  <c r="E1484" i="16"/>
  <c r="I1483" i="16"/>
  <c r="F1483" i="16"/>
  <c r="E1483" i="16"/>
  <c r="I1482" i="16"/>
  <c r="F1482" i="16"/>
  <c r="E1482" i="16"/>
  <c r="I1481" i="16"/>
  <c r="F1481" i="16"/>
  <c r="E1481" i="16"/>
  <c r="I1480" i="16"/>
  <c r="F1480" i="16"/>
  <c r="E1480" i="16"/>
  <c r="I1479" i="16"/>
  <c r="F1479" i="16"/>
  <c r="E1479" i="16"/>
  <c r="I1478" i="16"/>
  <c r="F1478" i="16"/>
  <c r="E1478" i="16"/>
  <c r="I1477" i="16"/>
  <c r="F1477" i="16"/>
  <c r="E1477" i="16"/>
  <c r="I1476" i="16"/>
  <c r="F1476" i="16"/>
  <c r="E1476" i="16"/>
  <c r="I1475" i="16"/>
  <c r="F1475" i="16"/>
  <c r="E1475" i="16"/>
  <c r="I1474" i="16"/>
  <c r="F1474" i="16"/>
  <c r="E1474" i="16"/>
  <c r="I1473" i="16"/>
  <c r="F1473" i="16"/>
  <c r="E1473" i="16"/>
  <c r="I1472" i="16"/>
  <c r="F1472" i="16"/>
  <c r="E1472" i="16"/>
  <c r="I1471" i="16"/>
  <c r="F1471" i="16"/>
  <c r="E1471" i="16"/>
  <c r="I1470" i="16"/>
  <c r="F1470" i="16"/>
  <c r="E1470" i="16"/>
  <c r="I1469" i="16"/>
  <c r="F1469" i="16"/>
  <c r="E1469" i="16"/>
  <c r="I1468" i="16"/>
  <c r="F1468" i="16"/>
  <c r="E1468" i="16"/>
  <c r="I1467" i="16"/>
  <c r="F1467" i="16"/>
  <c r="E1467" i="16"/>
  <c r="I1466" i="16"/>
  <c r="F1466" i="16"/>
  <c r="E1466" i="16"/>
  <c r="I1465" i="16"/>
  <c r="F1465" i="16"/>
  <c r="E1465" i="16"/>
  <c r="I1464" i="16"/>
  <c r="F1464" i="16"/>
  <c r="E1464" i="16"/>
  <c r="I1463" i="16"/>
  <c r="F1463" i="16"/>
  <c r="E1463" i="16"/>
  <c r="I1462" i="16"/>
  <c r="F1462" i="16"/>
  <c r="E1462" i="16"/>
  <c r="I1461" i="16"/>
  <c r="F1461" i="16"/>
  <c r="E1461" i="16"/>
  <c r="I1460" i="16"/>
  <c r="F1460" i="16"/>
  <c r="E1460" i="16"/>
  <c r="I1459" i="16"/>
  <c r="F1459" i="16"/>
  <c r="E1459" i="16"/>
  <c r="I1458" i="16"/>
  <c r="F1458" i="16"/>
  <c r="E1458" i="16"/>
  <c r="I1457" i="16"/>
  <c r="F1457" i="16"/>
  <c r="E1457" i="16"/>
  <c r="I1456" i="16"/>
  <c r="F1456" i="16"/>
  <c r="E1456" i="16"/>
  <c r="I1455" i="16"/>
  <c r="F1455" i="16"/>
  <c r="E1455" i="16"/>
  <c r="I1454" i="16"/>
  <c r="F1454" i="16"/>
  <c r="E1454" i="16"/>
  <c r="I1453" i="16"/>
  <c r="F1453" i="16"/>
  <c r="E1453" i="16"/>
  <c r="I1452" i="16"/>
  <c r="F1452" i="16"/>
  <c r="E1452" i="16"/>
  <c r="I1451" i="16"/>
  <c r="F1451" i="16"/>
  <c r="E1451" i="16"/>
  <c r="I1450" i="16"/>
  <c r="F1450" i="16"/>
  <c r="E1450" i="16"/>
  <c r="I1449" i="16"/>
  <c r="F1449" i="16"/>
  <c r="E1449" i="16"/>
  <c r="I1448" i="16"/>
  <c r="F1448" i="16"/>
  <c r="E1448" i="16"/>
  <c r="I1447" i="16"/>
  <c r="F1447" i="16"/>
  <c r="E1447" i="16"/>
  <c r="I1446" i="16"/>
  <c r="F1446" i="16"/>
  <c r="E1446" i="16"/>
  <c r="I1445" i="16"/>
  <c r="F1445" i="16"/>
  <c r="E1445" i="16"/>
  <c r="I1444" i="16"/>
  <c r="F1444" i="16"/>
  <c r="E1444" i="16"/>
  <c r="I1443" i="16"/>
  <c r="F1443" i="16"/>
  <c r="E1443" i="16"/>
  <c r="I1442" i="16"/>
  <c r="F1442" i="16"/>
  <c r="E1442" i="16"/>
  <c r="I1441" i="16"/>
  <c r="F1441" i="16"/>
  <c r="E1441" i="16"/>
  <c r="I1440" i="16"/>
  <c r="F1440" i="16"/>
  <c r="E1440" i="16"/>
  <c r="I1439" i="16"/>
  <c r="F1439" i="16"/>
  <c r="E1439" i="16"/>
  <c r="I1438" i="16"/>
  <c r="F1438" i="16"/>
  <c r="E1438" i="16"/>
  <c r="I1437" i="16"/>
  <c r="F1437" i="16"/>
  <c r="E1437" i="16"/>
  <c r="I1436" i="16"/>
  <c r="F1436" i="16"/>
  <c r="E1436" i="16"/>
  <c r="I1435" i="16"/>
  <c r="F1435" i="16"/>
  <c r="E1435" i="16"/>
  <c r="I1434" i="16"/>
  <c r="F1434" i="16"/>
  <c r="E1434" i="16"/>
  <c r="I1433" i="16"/>
  <c r="F1433" i="16"/>
  <c r="E1433" i="16"/>
  <c r="I1432" i="16"/>
  <c r="F1432" i="16"/>
  <c r="E1432" i="16"/>
  <c r="I1431" i="16"/>
  <c r="F1431" i="16"/>
  <c r="E1431" i="16"/>
  <c r="I1430" i="16"/>
  <c r="F1430" i="16"/>
  <c r="E1430" i="16"/>
  <c r="I1429" i="16"/>
  <c r="F1429" i="16"/>
  <c r="E1429" i="16"/>
  <c r="I1428" i="16"/>
  <c r="F1428" i="16"/>
  <c r="E1428" i="16"/>
  <c r="I1427" i="16"/>
  <c r="F1427" i="16"/>
  <c r="E1427" i="16"/>
  <c r="I1426" i="16"/>
  <c r="F1426" i="16"/>
  <c r="E1426" i="16"/>
  <c r="I1425" i="16"/>
  <c r="F1425" i="16"/>
  <c r="E1425" i="16"/>
  <c r="I1424" i="16"/>
  <c r="F1424" i="16"/>
  <c r="E1424" i="16"/>
  <c r="I1423" i="16"/>
  <c r="F1423" i="16"/>
  <c r="E1423" i="16"/>
  <c r="I1422" i="16"/>
  <c r="F1422" i="16"/>
  <c r="E1422" i="16"/>
  <c r="I1421" i="16"/>
  <c r="F1421" i="16"/>
  <c r="E1421" i="16"/>
  <c r="I1420" i="16"/>
  <c r="F1420" i="16"/>
  <c r="E1420" i="16"/>
  <c r="I1419" i="16"/>
  <c r="F1419" i="16"/>
  <c r="E1419" i="16"/>
  <c r="I1418" i="16"/>
  <c r="F1418" i="16"/>
  <c r="E1418" i="16"/>
  <c r="I1417" i="16"/>
  <c r="F1417" i="16"/>
  <c r="E1417" i="16"/>
  <c r="I1416" i="16"/>
  <c r="F1416" i="16"/>
  <c r="E1416" i="16"/>
  <c r="I1415" i="16"/>
  <c r="F1415" i="16"/>
  <c r="E1415" i="16"/>
  <c r="I1414" i="16"/>
  <c r="F1414" i="16"/>
  <c r="E1414" i="16"/>
  <c r="I1413" i="16"/>
  <c r="F1413" i="16"/>
  <c r="E1413" i="16"/>
  <c r="I1412" i="16"/>
  <c r="F1412" i="16"/>
  <c r="E1412" i="16"/>
  <c r="I1411" i="16"/>
  <c r="F1411" i="16"/>
  <c r="E1411" i="16"/>
  <c r="I1410" i="16"/>
  <c r="F1410" i="16"/>
  <c r="E1410" i="16"/>
  <c r="I1409" i="16"/>
  <c r="F1409" i="16"/>
  <c r="E1409" i="16"/>
  <c r="I1408" i="16"/>
  <c r="F1408" i="16"/>
  <c r="E1408" i="16"/>
  <c r="I1407" i="16"/>
  <c r="F1407" i="16"/>
  <c r="E1407" i="16"/>
  <c r="I1406" i="16"/>
  <c r="F1406" i="16"/>
  <c r="E1406" i="16"/>
  <c r="I1405" i="16"/>
  <c r="F1405" i="16"/>
  <c r="E1405" i="16"/>
  <c r="I1404" i="16"/>
  <c r="F1404" i="16"/>
  <c r="E1404" i="16"/>
  <c r="I1403" i="16"/>
  <c r="F1403" i="16"/>
  <c r="E1403" i="16"/>
  <c r="I1402" i="16"/>
  <c r="F1402" i="16"/>
  <c r="E1402" i="16"/>
  <c r="I1401" i="16"/>
  <c r="F1401" i="16"/>
  <c r="E1401" i="16"/>
  <c r="I1400" i="16"/>
  <c r="F1400" i="16"/>
  <c r="E1400" i="16"/>
  <c r="I1399" i="16"/>
  <c r="F1399" i="16"/>
  <c r="E1399" i="16"/>
  <c r="I1398" i="16"/>
  <c r="F1398" i="16"/>
  <c r="E1398" i="16"/>
  <c r="I1397" i="16"/>
  <c r="F1397" i="16"/>
  <c r="E1397" i="16"/>
  <c r="I1396" i="16"/>
  <c r="F1396" i="16"/>
  <c r="E1396" i="16"/>
  <c r="I1395" i="16"/>
  <c r="F1395" i="16"/>
  <c r="E1395" i="16"/>
  <c r="I1394" i="16"/>
  <c r="F1394" i="16"/>
  <c r="E1394" i="16"/>
  <c r="I1393" i="16"/>
  <c r="F1393" i="16"/>
  <c r="E1393" i="16"/>
  <c r="I1392" i="16"/>
  <c r="F1392" i="16"/>
  <c r="E1392" i="16"/>
  <c r="I1391" i="16"/>
  <c r="F1391" i="16"/>
  <c r="E1391" i="16"/>
  <c r="I1390" i="16"/>
  <c r="F1390" i="16"/>
  <c r="E1390" i="16"/>
  <c r="I1389" i="16"/>
  <c r="F1389" i="16"/>
  <c r="E1389" i="16"/>
  <c r="I1388" i="16"/>
  <c r="F1388" i="16"/>
  <c r="E1388" i="16"/>
  <c r="I1387" i="16"/>
  <c r="F1387" i="16"/>
  <c r="E1387" i="16"/>
  <c r="I1386" i="16"/>
  <c r="F1386" i="16"/>
  <c r="E1386" i="16"/>
  <c r="I1385" i="16"/>
  <c r="F1385" i="16"/>
  <c r="E1385" i="16"/>
  <c r="I1384" i="16"/>
  <c r="F1384" i="16"/>
  <c r="E1384" i="16"/>
  <c r="I1383" i="16"/>
  <c r="F1383" i="16"/>
  <c r="E1383" i="16"/>
  <c r="I1382" i="16"/>
  <c r="F1382" i="16"/>
  <c r="E1382" i="16"/>
  <c r="I1381" i="16"/>
  <c r="F1381" i="16"/>
  <c r="E1381" i="16"/>
  <c r="I1380" i="16"/>
  <c r="F1380" i="16"/>
  <c r="E1380" i="16"/>
  <c r="I1379" i="16"/>
  <c r="F1379" i="16"/>
  <c r="E1379" i="16"/>
  <c r="I1378" i="16"/>
  <c r="F1378" i="16"/>
  <c r="E1378" i="16"/>
  <c r="I1377" i="16"/>
  <c r="F1377" i="16"/>
  <c r="E1377" i="16"/>
  <c r="I1376" i="16"/>
  <c r="F1376" i="16"/>
  <c r="E1376" i="16"/>
  <c r="I1375" i="16"/>
  <c r="F1375" i="16"/>
  <c r="E1375" i="16"/>
  <c r="I1374" i="16"/>
  <c r="F1374" i="16"/>
  <c r="E1374" i="16"/>
  <c r="I1373" i="16"/>
  <c r="F1373" i="16"/>
  <c r="E1373" i="16"/>
  <c r="I1372" i="16"/>
  <c r="F1372" i="16"/>
  <c r="E1372" i="16"/>
  <c r="I1371" i="16"/>
  <c r="F1371" i="16"/>
  <c r="E1371" i="16"/>
  <c r="I1370" i="16"/>
  <c r="F1370" i="16"/>
  <c r="E1370" i="16"/>
  <c r="I1369" i="16"/>
  <c r="F1369" i="16"/>
  <c r="E1369" i="16"/>
  <c r="I1368" i="16"/>
  <c r="F1368" i="16"/>
  <c r="E1368" i="16"/>
  <c r="I1367" i="16"/>
  <c r="F1367" i="16"/>
  <c r="E1367" i="16"/>
  <c r="I1366" i="16"/>
  <c r="F1366" i="16"/>
  <c r="E1366" i="16"/>
  <c r="I1365" i="16"/>
  <c r="F1365" i="16"/>
  <c r="E1365" i="16"/>
  <c r="I1364" i="16"/>
  <c r="F1364" i="16"/>
  <c r="E1364" i="16"/>
  <c r="I1363" i="16"/>
  <c r="F1363" i="16"/>
  <c r="E1363" i="16"/>
  <c r="I1362" i="16"/>
  <c r="F1362" i="16"/>
  <c r="E1362" i="16"/>
  <c r="I1361" i="16"/>
  <c r="F1361" i="16"/>
  <c r="E1361" i="16"/>
  <c r="I1360" i="16"/>
  <c r="F1360" i="16"/>
  <c r="E1360" i="16"/>
  <c r="I1359" i="16"/>
  <c r="F1359" i="16"/>
  <c r="E1359" i="16"/>
  <c r="I1358" i="16"/>
  <c r="F1358" i="16"/>
  <c r="E1358" i="16"/>
  <c r="I1357" i="16"/>
  <c r="F1357" i="16"/>
  <c r="E1357" i="16"/>
  <c r="I1356" i="16"/>
  <c r="F1356" i="16"/>
  <c r="E1356" i="16"/>
  <c r="I1355" i="16"/>
  <c r="F1355" i="16"/>
  <c r="E1355" i="16"/>
  <c r="I1354" i="16"/>
  <c r="F1354" i="16"/>
  <c r="E1354" i="16"/>
  <c r="I1353" i="16"/>
  <c r="F1353" i="16"/>
  <c r="E1353" i="16"/>
  <c r="I1352" i="16"/>
  <c r="F1352" i="16"/>
  <c r="E1352" i="16"/>
  <c r="I1351" i="16"/>
  <c r="F1351" i="16"/>
  <c r="E1351" i="16"/>
  <c r="I1350" i="16"/>
  <c r="F1350" i="16"/>
  <c r="E1350" i="16"/>
  <c r="I1349" i="16"/>
  <c r="F1349" i="16"/>
  <c r="E1349" i="16"/>
  <c r="I1348" i="16"/>
  <c r="F1348" i="16"/>
  <c r="E1348" i="16"/>
  <c r="I1347" i="16"/>
  <c r="F1347" i="16"/>
  <c r="E1347" i="16"/>
  <c r="I1346" i="16"/>
  <c r="F1346" i="16"/>
  <c r="E1346" i="16"/>
  <c r="I1345" i="16"/>
  <c r="F1345" i="16"/>
  <c r="E1345" i="16"/>
  <c r="I1344" i="16"/>
  <c r="F1344" i="16"/>
  <c r="E1344" i="16"/>
  <c r="I1343" i="16"/>
  <c r="F1343" i="16"/>
  <c r="E1343" i="16"/>
  <c r="I1342" i="16"/>
  <c r="F1342" i="16"/>
  <c r="E1342" i="16"/>
  <c r="I1341" i="16"/>
  <c r="F1341" i="16"/>
  <c r="E1341" i="16"/>
  <c r="I1340" i="16"/>
  <c r="F1340" i="16"/>
  <c r="E1340" i="16"/>
  <c r="I1339" i="16"/>
  <c r="F1339" i="16"/>
  <c r="E1339" i="16"/>
  <c r="I1338" i="16"/>
  <c r="F1338" i="16"/>
  <c r="E1338" i="16"/>
  <c r="I1337" i="16"/>
  <c r="F1337" i="16"/>
  <c r="E1337" i="16"/>
  <c r="I1336" i="16"/>
  <c r="F1336" i="16"/>
  <c r="E1336" i="16"/>
  <c r="I1335" i="16"/>
  <c r="F1335" i="16"/>
  <c r="E1335" i="16"/>
  <c r="I1334" i="16"/>
  <c r="F1334" i="16"/>
  <c r="E1334" i="16"/>
  <c r="I1333" i="16"/>
  <c r="F1333" i="16"/>
  <c r="E1333" i="16"/>
  <c r="I1332" i="16"/>
  <c r="F1332" i="16"/>
  <c r="E1332" i="16"/>
  <c r="I1331" i="16"/>
  <c r="F1331" i="16"/>
  <c r="E1331" i="16"/>
  <c r="I1330" i="16"/>
  <c r="F1330" i="16"/>
  <c r="E1330" i="16"/>
  <c r="I1329" i="16"/>
  <c r="F1329" i="16"/>
  <c r="E1329" i="16"/>
  <c r="I1328" i="16"/>
  <c r="F1328" i="16"/>
  <c r="E1328" i="16"/>
  <c r="I1327" i="16"/>
  <c r="F1327" i="16"/>
  <c r="E1327" i="16"/>
  <c r="I1326" i="16"/>
  <c r="F1326" i="16"/>
  <c r="E1326" i="16"/>
  <c r="I1325" i="16"/>
  <c r="F1325" i="16"/>
  <c r="E1325" i="16"/>
  <c r="I1324" i="16"/>
  <c r="F1324" i="16"/>
  <c r="E1324" i="16"/>
  <c r="I1323" i="16"/>
  <c r="F1323" i="16"/>
  <c r="E1323" i="16"/>
  <c r="I1322" i="16"/>
  <c r="F1322" i="16"/>
  <c r="E1322" i="16"/>
  <c r="I1321" i="16"/>
  <c r="F1321" i="16"/>
  <c r="E1321" i="16"/>
  <c r="I1320" i="16"/>
  <c r="F1320" i="16"/>
  <c r="E1320" i="16"/>
  <c r="I1319" i="16"/>
  <c r="F1319" i="16"/>
  <c r="E1319" i="16"/>
  <c r="I1318" i="16"/>
  <c r="F1318" i="16"/>
  <c r="E1318" i="16"/>
  <c r="I1317" i="16"/>
  <c r="F1317" i="16"/>
  <c r="E1317" i="16"/>
  <c r="I1316" i="16"/>
  <c r="F1316" i="16"/>
  <c r="E1316" i="16"/>
  <c r="I1315" i="16"/>
  <c r="F1315" i="16"/>
  <c r="E1315" i="16"/>
  <c r="I1314" i="16"/>
  <c r="F1314" i="16"/>
  <c r="E1314" i="16"/>
  <c r="I1313" i="16"/>
  <c r="F1313" i="16"/>
  <c r="E1313" i="16"/>
  <c r="I1312" i="16"/>
  <c r="F1312" i="16"/>
  <c r="E1312" i="16"/>
  <c r="I1311" i="16"/>
  <c r="F1311" i="16"/>
  <c r="E1311" i="16"/>
  <c r="I1310" i="16"/>
  <c r="F1310" i="16"/>
  <c r="E1310" i="16"/>
  <c r="I1309" i="16"/>
  <c r="F1309" i="16"/>
  <c r="E1309" i="16"/>
  <c r="I1308" i="16"/>
  <c r="F1308" i="16"/>
  <c r="E1308" i="16"/>
  <c r="I1307" i="16"/>
  <c r="F1307" i="16"/>
  <c r="E1307" i="16"/>
  <c r="I1306" i="16"/>
  <c r="F1306" i="16"/>
  <c r="E1306" i="16"/>
  <c r="I1305" i="16"/>
  <c r="F1305" i="16"/>
  <c r="E1305" i="16"/>
  <c r="I1304" i="16"/>
  <c r="F1304" i="16"/>
  <c r="E1304" i="16"/>
  <c r="I1303" i="16"/>
  <c r="F1303" i="16"/>
  <c r="E1303" i="16"/>
  <c r="I1302" i="16"/>
  <c r="F1302" i="16"/>
  <c r="E1302" i="16"/>
  <c r="I1301" i="16"/>
  <c r="F1301" i="16"/>
  <c r="E1301" i="16"/>
  <c r="I1300" i="16"/>
  <c r="F1300" i="16"/>
  <c r="E1300" i="16"/>
  <c r="I1299" i="16"/>
  <c r="F1299" i="16"/>
  <c r="E1299" i="16"/>
  <c r="I1298" i="16"/>
  <c r="F1298" i="16"/>
  <c r="E1298" i="16"/>
  <c r="I1297" i="16"/>
  <c r="F1297" i="16"/>
  <c r="E1297" i="16"/>
  <c r="I1296" i="16"/>
  <c r="F1296" i="16"/>
  <c r="E1296" i="16"/>
  <c r="I1295" i="16"/>
  <c r="F1295" i="16"/>
  <c r="E1295" i="16"/>
  <c r="I1294" i="16"/>
  <c r="F1294" i="16"/>
  <c r="E1294" i="16"/>
  <c r="I1293" i="16"/>
  <c r="F1293" i="16"/>
  <c r="E1293" i="16"/>
  <c r="I1292" i="16"/>
  <c r="F1292" i="16"/>
  <c r="E1292" i="16"/>
  <c r="I1291" i="16"/>
  <c r="F1291" i="16"/>
  <c r="E1291" i="16"/>
  <c r="I1290" i="16"/>
  <c r="F1290" i="16"/>
  <c r="E1290" i="16"/>
  <c r="I1289" i="16"/>
  <c r="F1289" i="16"/>
  <c r="E1289" i="16"/>
  <c r="I1288" i="16"/>
  <c r="F1288" i="16"/>
  <c r="E1288" i="16"/>
  <c r="I1287" i="16"/>
  <c r="F1287" i="16"/>
  <c r="E1287" i="16"/>
  <c r="I1286" i="16"/>
  <c r="F1286" i="16"/>
  <c r="E1286" i="16"/>
  <c r="I1285" i="16"/>
  <c r="F1285" i="16"/>
  <c r="E1285" i="16"/>
  <c r="I1284" i="16"/>
  <c r="F1284" i="16"/>
  <c r="E1284" i="16"/>
  <c r="I1283" i="16"/>
  <c r="F1283" i="16"/>
  <c r="E1283" i="16"/>
  <c r="I1282" i="16"/>
  <c r="F1282" i="16"/>
  <c r="E1282" i="16"/>
  <c r="I1281" i="16"/>
  <c r="F1281" i="16"/>
  <c r="E1281" i="16"/>
  <c r="I1280" i="16"/>
  <c r="F1280" i="16"/>
  <c r="E1280" i="16"/>
  <c r="I1279" i="16"/>
  <c r="F1279" i="16"/>
  <c r="E1279" i="16"/>
  <c r="I1278" i="16"/>
  <c r="F1278" i="16"/>
  <c r="E1278" i="16"/>
  <c r="I1277" i="16"/>
  <c r="F1277" i="16"/>
  <c r="E1277" i="16"/>
  <c r="I1276" i="16"/>
  <c r="F1276" i="16"/>
  <c r="E1276" i="16"/>
  <c r="I1275" i="16"/>
  <c r="F1275" i="16"/>
  <c r="E1275" i="16"/>
  <c r="I1274" i="16"/>
  <c r="F1274" i="16"/>
  <c r="E1274" i="16"/>
  <c r="I1273" i="16"/>
  <c r="F1273" i="16"/>
  <c r="E1273" i="16"/>
  <c r="I1272" i="16"/>
  <c r="F1272" i="16"/>
  <c r="E1272" i="16"/>
  <c r="I1271" i="16"/>
  <c r="F1271" i="16"/>
  <c r="E1271" i="16"/>
  <c r="I1270" i="16"/>
  <c r="F1270" i="16"/>
  <c r="E1270" i="16"/>
  <c r="I1269" i="16"/>
  <c r="F1269" i="16"/>
  <c r="E1269" i="16"/>
  <c r="I1268" i="16"/>
  <c r="F1268" i="16"/>
  <c r="E1268" i="16"/>
  <c r="I1267" i="16"/>
  <c r="F1267" i="16"/>
  <c r="E1267" i="16"/>
  <c r="I1266" i="16"/>
  <c r="F1266" i="16"/>
  <c r="E1266" i="16"/>
  <c r="I1265" i="16"/>
  <c r="F1265" i="16"/>
  <c r="E1265" i="16"/>
  <c r="I1264" i="16"/>
  <c r="F1264" i="16"/>
  <c r="E1264" i="16"/>
  <c r="I1263" i="16"/>
  <c r="F1263" i="16"/>
  <c r="E1263" i="16"/>
  <c r="I1262" i="16"/>
  <c r="F1262" i="16"/>
  <c r="E1262" i="16"/>
  <c r="I1261" i="16"/>
  <c r="F1261" i="16"/>
  <c r="E1261" i="16"/>
  <c r="I1260" i="16"/>
  <c r="F1260" i="16"/>
  <c r="E1260" i="16"/>
  <c r="I1259" i="16"/>
  <c r="F1259" i="16"/>
  <c r="E1259" i="16"/>
  <c r="I1258" i="16"/>
  <c r="F1258" i="16"/>
  <c r="E1258" i="16"/>
  <c r="I1257" i="16"/>
  <c r="F1257" i="16"/>
  <c r="E1257" i="16"/>
  <c r="I1256" i="16"/>
  <c r="F1256" i="16"/>
  <c r="E1256" i="16"/>
  <c r="I1255" i="16"/>
  <c r="F1255" i="16"/>
  <c r="E1255" i="16"/>
  <c r="I1254" i="16"/>
  <c r="F1254" i="16"/>
  <c r="E1254" i="16"/>
  <c r="I1253" i="16"/>
  <c r="F1253" i="16"/>
  <c r="E1253" i="16"/>
  <c r="I1252" i="16"/>
  <c r="F1252" i="16"/>
  <c r="E1252" i="16"/>
  <c r="I1251" i="16"/>
  <c r="F1251" i="16"/>
  <c r="E1251" i="16"/>
  <c r="I1250" i="16"/>
  <c r="F1250" i="16"/>
  <c r="E1250" i="16"/>
  <c r="I1249" i="16"/>
  <c r="F1249" i="16"/>
  <c r="E1249" i="16"/>
  <c r="I1248" i="16"/>
  <c r="F1248" i="16"/>
  <c r="E1248" i="16"/>
  <c r="I1247" i="16"/>
  <c r="F1247" i="16"/>
  <c r="E1247" i="16"/>
  <c r="I1246" i="16"/>
  <c r="F1246" i="16"/>
  <c r="E1246" i="16"/>
  <c r="I1245" i="16"/>
  <c r="F1245" i="16"/>
  <c r="E1245" i="16"/>
  <c r="I1244" i="16"/>
  <c r="F1244" i="16"/>
  <c r="E1244" i="16"/>
  <c r="I1243" i="16"/>
  <c r="F1243" i="16"/>
  <c r="E1243" i="16"/>
  <c r="I1242" i="16"/>
  <c r="F1242" i="16"/>
  <c r="E1242" i="16"/>
  <c r="I1241" i="16"/>
  <c r="F1241" i="16"/>
  <c r="E1241" i="16"/>
  <c r="I1240" i="16"/>
  <c r="F1240" i="16"/>
  <c r="E1240" i="16"/>
  <c r="I1239" i="16"/>
  <c r="F1239" i="16"/>
  <c r="E1239" i="16"/>
  <c r="I1238" i="16"/>
  <c r="F1238" i="16"/>
  <c r="E1238" i="16"/>
  <c r="I1237" i="16"/>
  <c r="F1237" i="16"/>
  <c r="E1237" i="16"/>
  <c r="I1236" i="16"/>
  <c r="F1236" i="16"/>
  <c r="E1236" i="16"/>
  <c r="I1235" i="16"/>
  <c r="F1235" i="16"/>
  <c r="E1235" i="16"/>
  <c r="I1234" i="16"/>
  <c r="F1234" i="16"/>
  <c r="E1234" i="16"/>
  <c r="I1233" i="16"/>
  <c r="F1233" i="16"/>
  <c r="E1233" i="16"/>
  <c r="I1232" i="16"/>
  <c r="F1232" i="16"/>
  <c r="E1232" i="16"/>
  <c r="I1231" i="16"/>
  <c r="F1231" i="16"/>
  <c r="E1231" i="16"/>
  <c r="I1230" i="16"/>
  <c r="F1230" i="16"/>
  <c r="E1230" i="16"/>
  <c r="I1229" i="16"/>
  <c r="F1229" i="16"/>
  <c r="E1229" i="16"/>
  <c r="I1228" i="16"/>
  <c r="F1228" i="16"/>
  <c r="E1228" i="16"/>
  <c r="I1227" i="16"/>
  <c r="F1227" i="16"/>
  <c r="E1227" i="16"/>
  <c r="I1226" i="16"/>
  <c r="F1226" i="16"/>
  <c r="E1226" i="16"/>
  <c r="I1225" i="16"/>
  <c r="F1225" i="16"/>
  <c r="E1225" i="16"/>
  <c r="I1224" i="16"/>
  <c r="F1224" i="16"/>
  <c r="E1224" i="16"/>
  <c r="I1223" i="16"/>
  <c r="F1223" i="16"/>
  <c r="E1223" i="16"/>
  <c r="I1222" i="16"/>
  <c r="F1222" i="16"/>
  <c r="E1222" i="16"/>
  <c r="I1221" i="16"/>
  <c r="F1221" i="16"/>
  <c r="E1221" i="16"/>
  <c r="I1220" i="16"/>
  <c r="F1220" i="16"/>
  <c r="E1220" i="16"/>
  <c r="I1219" i="16"/>
  <c r="F1219" i="16"/>
  <c r="E1219" i="16"/>
  <c r="I1218" i="16"/>
  <c r="F1218" i="16"/>
  <c r="E1218" i="16"/>
  <c r="I1217" i="16"/>
  <c r="F1217" i="16"/>
  <c r="E1217" i="16"/>
  <c r="I1216" i="16"/>
  <c r="F1216" i="16"/>
  <c r="E1216" i="16"/>
  <c r="I1215" i="16"/>
  <c r="F1215" i="16"/>
  <c r="E1215" i="16"/>
  <c r="I1214" i="16"/>
  <c r="F1214" i="16"/>
  <c r="E1214" i="16"/>
  <c r="I1213" i="16"/>
  <c r="F1213" i="16"/>
  <c r="E1213" i="16"/>
  <c r="I1212" i="16"/>
  <c r="F1212" i="16"/>
  <c r="E1212" i="16"/>
  <c r="I1211" i="16"/>
  <c r="F1211" i="16"/>
  <c r="E1211" i="16"/>
  <c r="I1210" i="16"/>
  <c r="F1210" i="16"/>
  <c r="E1210" i="16"/>
  <c r="I1209" i="16"/>
  <c r="F1209" i="16"/>
  <c r="E1209" i="16"/>
  <c r="I1208" i="16"/>
  <c r="F1208" i="16"/>
  <c r="E1208" i="16"/>
  <c r="I1207" i="16"/>
  <c r="F1207" i="16"/>
  <c r="E1207" i="16"/>
  <c r="I1206" i="16"/>
  <c r="F1206" i="16"/>
  <c r="E1206" i="16"/>
  <c r="I1205" i="16"/>
  <c r="F1205" i="16"/>
  <c r="E1205" i="16"/>
  <c r="I1204" i="16"/>
  <c r="F1204" i="16"/>
  <c r="E1204" i="16"/>
  <c r="I1203" i="16"/>
  <c r="F1203" i="16"/>
  <c r="E1203" i="16"/>
  <c r="I1202" i="16"/>
  <c r="F1202" i="16"/>
  <c r="E1202" i="16"/>
  <c r="I1201" i="16"/>
  <c r="F1201" i="16"/>
  <c r="E1201" i="16"/>
  <c r="I1200" i="16"/>
  <c r="F1200" i="16"/>
  <c r="E1200" i="16"/>
  <c r="I1199" i="16"/>
  <c r="F1199" i="16"/>
  <c r="E1199" i="16"/>
  <c r="I1198" i="16"/>
  <c r="F1198" i="16"/>
  <c r="E1198" i="16"/>
  <c r="I1197" i="16"/>
  <c r="F1197" i="16"/>
  <c r="E1197" i="16"/>
  <c r="I1196" i="16"/>
  <c r="F1196" i="16"/>
  <c r="E1196" i="16"/>
  <c r="I1195" i="16"/>
  <c r="F1195" i="16"/>
  <c r="E1195" i="16"/>
  <c r="I1194" i="16"/>
  <c r="F1194" i="16"/>
  <c r="E1194" i="16"/>
  <c r="I1193" i="16"/>
  <c r="F1193" i="16"/>
  <c r="E1193" i="16"/>
  <c r="I1192" i="16"/>
  <c r="F1192" i="16"/>
  <c r="E1192" i="16"/>
  <c r="I1191" i="16"/>
  <c r="F1191" i="16"/>
  <c r="E1191" i="16"/>
  <c r="I1190" i="16"/>
  <c r="F1190" i="16"/>
  <c r="E1190" i="16"/>
  <c r="I1189" i="16"/>
  <c r="F1189" i="16"/>
  <c r="E1189" i="16"/>
  <c r="I1188" i="16"/>
  <c r="F1188" i="16"/>
  <c r="E1188" i="16"/>
  <c r="I1187" i="16"/>
  <c r="F1187" i="16"/>
  <c r="E1187" i="16"/>
  <c r="I1186" i="16"/>
  <c r="F1186" i="16"/>
  <c r="E1186" i="16"/>
  <c r="I1185" i="16"/>
  <c r="F1185" i="16"/>
  <c r="E1185" i="16"/>
  <c r="I1184" i="16"/>
  <c r="F1184" i="16"/>
  <c r="E1184" i="16"/>
  <c r="I1183" i="16"/>
  <c r="F1183" i="16"/>
  <c r="E1183" i="16"/>
  <c r="I1182" i="16"/>
  <c r="F1182" i="16"/>
  <c r="E1182" i="16"/>
  <c r="I1181" i="16"/>
  <c r="F1181" i="16"/>
  <c r="E1181" i="16"/>
  <c r="I1180" i="16"/>
  <c r="F1180" i="16"/>
  <c r="E1180" i="16"/>
  <c r="I1179" i="16"/>
  <c r="F1179" i="16"/>
  <c r="E1179" i="16"/>
  <c r="I1178" i="16"/>
  <c r="F1178" i="16"/>
  <c r="E1178" i="16"/>
  <c r="I1177" i="16"/>
  <c r="F1177" i="16"/>
  <c r="E1177" i="16"/>
  <c r="I1176" i="16"/>
  <c r="F1176" i="16"/>
  <c r="E1176" i="16"/>
  <c r="I1175" i="16"/>
  <c r="F1175" i="16"/>
  <c r="E1175" i="16"/>
  <c r="I1174" i="16"/>
  <c r="F1174" i="16"/>
  <c r="E1174" i="16"/>
  <c r="I1173" i="16"/>
  <c r="F1173" i="16"/>
  <c r="E1173" i="16"/>
  <c r="I1172" i="16"/>
  <c r="F1172" i="16"/>
  <c r="E1172" i="16"/>
  <c r="I1171" i="16"/>
  <c r="F1171" i="16"/>
  <c r="E1171" i="16"/>
  <c r="I1170" i="16"/>
  <c r="F1170" i="16"/>
  <c r="E1170" i="16"/>
  <c r="I1169" i="16"/>
  <c r="F1169" i="16"/>
  <c r="E1169" i="16"/>
  <c r="I1168" i="16"/>
  <c r="F1168" i="16"/>
  <c r="E1168" i="16"/>
  <c r="I1167" i="16"/>
  <c r="F1167" i="16"/>
  <c r="E1167" i="16"/>
  <c r="I1166" i="16"/>
  <c r="F1166" i="16"/>
  <c r="E1166" i="16"/>
  <c r="I1165" i="16"/>
  <c r="F1165" i="16"/>
  <c r="E1165" i="16"/>
  <c r="I1164" i="16"/>
  <c r="F1164" i="16"/>
  <c r="E1164" i="16"/>
  <c r="I1163" i="16"/>
  <c r="F1163" i="16"/>
  <c r="E1163" i="16"/>
  <c r="I1162" i="16"/>
  <c r="F1162" i="16"/>
  <c r="E1162" i="16"/>
  <c r="I1161" i="16"/>
  <c r="F1161" i="16"/>
  <c r="E1161" i="16"/>
  <c r="I1160" i="16"/>
  <c r="F1160" i="16"/>
  <c r="E1160" i="16"/>
  <c r="I1159" i="16"/>
  <c r="F1159" i="16"/>
  <c r="E1159" i="16"/>
  <c r="I1158" i="16"/>
  <c r="F1158" i="16"/>
  <c r="E1158" i="16"/>
  <c r="I1157" i="16"/>
  <c r="F1157" i="16"/>
  <c r="E1157" i="16"/>
  <c r="I1156" i="16"/>
  <c r="F1156" i="16"/>
  <c r="E1156" i="16"/>
  <c r="I1155" i="16"/>
  <c r="F1155" i="16"/>
  <c r="E1155" i="16"/>
  <c r="I1154" i="16"/>
  <c r="F1154" i="16"/>
  <c r="E1154" i="16"/>
  <c r="I1153" i="16"/>
  <c r="F1153" i="16"/>
  <c r="E1153" i="16"/>
  <c r="I1152" i="16"/>
  <c r="F1152" i="16"/>
  <c r="E1152" i="16"/>
  <c r="I1151" i="16"/>
  <c r="F1151" i="16"/>
  <c r="E1151" i="16"/>
  <c r="I1150" i="16"/>
  <c r="F1150" i="16"/>
  <c r="E1150" i="16"/>
  <c r="I1149" i="16"/>
  <c r="F1149" i="16"/>
  <c r="E1149" i="16"/>
  <c r="I1148" i="16"/>
  <c r="F1148" i="16"/>
  <c r="E1148" i="16"/>
  <c r="I1147" i="16"/>
  <c r="F1147" i="16"/>
  <c r="E1147" i="16"/>
  <c r="I1146" i="16"/>
  <c r="F1146" i="16"/>
  <c r="E1146" i="16"/>
  <c r="I1145" i="16"/>
  <c r="F1145" i="16"/>
  <c r="E1145" i="16"/>
  <c r="I1144" i="16"/>
  <c r="F1144" i="16"/>
  <c r="E1144" i="16"/>
  <c r="I1143" i="16"/>
  <c r="F1143" i="16"/>
  <c r="E1143" i="16"/>
  <c r="I1142" i="16"/>
  <c r="F1142" i="16"/>
  <c r="E1142" i="16"/>
  <c r="I1141" i="16"/>
  <c r="F1141" i="16"/>
  <c r="E1141" i="16"/>
  <c r="I1140" i="16"/>
  <c r="F1140" i="16"/>
  <c r="E1140" i="16"/>
  <c r="I1139" i="16"/>
  <c r="F1139" i="16"/>
  <c r="E1139" i="16"/>
  <c r="I1138" i="16"/>
  <c r="F1138" i="16"/>
  <c r="E1138" i="16"/>
  <c r="I1137" i="16"/>
  <c r="F1137" i="16"/>
  <c r="E1137" i="16"/>
  <c r="I1136" i="16"/>
  <c r="F1136" i="16"/>
  <c r="E1136" i="16"/>
  <c r="I1135" i="16"/>
  <c r="F1135" i="16"/>
  <c r="E1135" i="16"/>
  <c r="I1134" i="16"/>
  <c r="F1134" i="16"/>
  <c r="E1134" i="16"/>
  <c r="I1133" i="16"/>
  <c r="F1133" i="16"/>
  <c r="E1133" i="16"/>
  <c r="I1132" i="16"/>
  <c r="F1132" i="16"/>
  <c r="E1132" i="16"/>
  <c r="I1131" i="16"/>
  <c r="F1131" i="16"/>
  <c r="E1131" i="16"/>
  <c r="I1130" i="16"/>
  <c r="F1130" i="16"/>
  <c r="E1130" i="16"/>
  <c r="I1129" i="16"/>
  <c r="F1129" i="16"/>
  <c r="E1129" i="16"/>
  <c r="I1128" i="16"/>
  <c r="F1128" i="16"/>
  <c r="E1128" i="16"/>
  <c r="I1127" i="16"/>
  <c r="F1127" i="16"/>
  <c r="E1127" i="16"/>
  <c r="I1126" i="16"/>
  <c r="F1126" i="16"/>
  <c r="E1126" i="16"/>
  <c r="I1125" i="16"/>
  <c r="F1125" i="16"/>
  <c r="E1125" i="16"/>
  <c r="I1124" i="16"/>
  <c r="F1124" i="16"/>
  <c r="E1124" i="16"/>
  <c r="I1123" i="16"/>
  <c r="F1123" i="16"/>
  <c r="E1123" i="16"/>
  <c r="I1122" i="16"/>
  <c r="F1122" i="16"/>
  <c r="E1122" i="16"/>
  <c r="I1121" i="16"/>
  <c r="F1121" i="16"/>
  <c r="E1121" i="16"/>
  <c r="I1120" i="16"/>
  <c r="F1120" i="16"/>
  <c r="E1120" i="16"/>
  <c r="I1119" i="16"/>
  <c r="F1119" i="16"/>
  <c r="E1119" i="16"/>
  <c r="I1118" i="16"/>
  <c r="F1118" i="16"/>
  <c r="E1118" i="16"/>
  <c r="I1117" i="16"/>
  <c r="F1117" i="16"/>
  <c r="E1117" i="16"/>
  <c r="I1116" i="16"/>
  <c r="F1116" i="16"/>
  <c r="E1116" i="16"/>
  <c r="I1115" i="16"/>
  <c r="F1115" i="16"/>
  <c r="E1115" i="16"/>
  <c r="I1114" i="16"/>
  <c r="F1114" i="16"/>
  <c r="E1114" i="16"/>
  <c r="I1113" i="16"/>
  <c r="F1113" i="16"/>
  <c r="E1113" i="16"/>
  <c r="I1112" i="16"/>
  <c r="F1112" i="16"/>
  <c r="E1112" i="16"/>
  <c r="I1111" i="16"/>
  <c r="F1111" i="16"/>
  <c r="E1111" i="16"/>
  <c r="I1110" i="16"/>
  <c r="F1110" i="16"/>
  <c r="E1110" i="16"/>
  <c r="I1109" i="16"/>
  <c r="F1109" i="16"/>
  <c r="E1109" i="16"/>
  <c r="I1108" i="16"/>
  <c r="F1108" i="16"/>
  <c r="E1108" i="16"/>
  <c r="I1107" i="16"/>
  <c r="F1107" i="16"/>
  <c r="E1107" i="16"/>
  <c r="I1106" i="16"/>
  <c r="F1106" i="16"/>
  <c r="E1106" i="16"/>
  <c r="I1105" i="16"/>
  <c r="F1105" i="16"/>
  <c r="E1105" i="16"/>
  <c r="I1104" i="16"/>
  <c r="F1104" i="16"/>
  <c r="E1104" i="16"/>
  <c r="I1103" i="16"/>
  <c r="F1103" i="16"/>
  <c r="E1103" i="16"/>
  <c r="I1102" i="16"/>
  <c r="F1102" i="16"/>
  <c r="E1102" i="16"/>
  <c r="I1101" i="16"/>
  <c r="F1101" i="16"/>
  <c r="E1101" i="16"/>
  <c r="I1100" i="16"/>
  <c r="F1100" i="16"/>
  <c r="E1100" i="16"/>
  <c r="I1099" i="16"/>
  <c r="F1099" i="16"/>
  <c r="E1099" i="16"/>
  <c r="I1098" i="16"/>
  <c r="F1098" i="16"/>
  <c r="E1098" i="16"/>
  <c r="I1097" i="16"/>
  <c r="F1097" i="16"/>
  <c r="E1097" i="16"/>
  <c r="I1096" i="16"/>
  <c r="F1096" i="16"/>
  <c r="E1096" i="16"/>
  <c r="I1095" i="16"/>
  <c r="F1095" i="16"/>
  <c r="E1095" i="16"/>
  <c r="I1094" i="16"/>
  <c r="F1094" i="16"/>
  <c r="E1094" i="16"/>
  <c r="I1093" i="16"/>
  <c r="F1093" i="16"/>
  <c r="E1093" i="16"/>
  <c r="I1092" i="16"/>
  <c r="F1092" i="16"/>
  <c r="E1092" i="16"/>
  <c r="I1091" i="16"/>
  <c r="F1091" i="16"/>
  <c r="E1091" i="16"/>
  <c r="I1090" i="16"/>
  <c r="F1090" i="16"/>
  <c r="E1090" i="16"/>
  <c r="I1089" i="16"/>
  <c r="F1089" i="16"/>
  <c r="E1089" i="16"/>
  <c r="I1088" i="16"/>
  <c r="F1088" i="16"/>
  <c r="E1088" i="16"/>
  <c r="I1087" i="16"/>
  <c r="F1087" i="16"/>
  <c r="E1087" i="16"/>
  <c r="I1086" i="16"/>
  <c r="F1086" i="16"/>
  <c r="E1086" i="16"/>
  <c r="I1085" i="16"/>
  <c r="F1085" i="16"/>
  <c r="E1085" i="16"/>
  <c r="I1084" i="16"/>
  <c r="F1084" i="16"/>
  <c r="E1084" i="16"/>
  <c r="I1083" i="16"/>
  <c r="F1083" i="16"/>
  <c r="E1083" i="16"/>
  <c r="I1082" i="16"/>
  <c r="F1082" i="16"/>
  <c r="E1082" i="16"/>
  <c r="I1081" i="16"/>
  <c r="F1081" i="16"/>
  <c r="E1081" i="16"/>
  <c r="I1080" i="16"/>
  <c r="F1080" i="16"/>
  <c r="E1080" i="16"/>
  <c r="I1079" i="16"/>
  <c r="F1079" i="16"/>
  <c r="E1079" i="16"/>
  <c r="I1078" i="16"/>
  <c r="F1078" i="16"/>
  <c r="E1078" i="16"/>
  <c r="I1077" i="16"/>
  <c r="F1077" i="16"/>
  <c r="E1077" i="16"/>
  <c r="I1076" i="16"/>
  <c r="F1076" i="16"/>
  <c r="E1076" i="16"/>
  <c r="I1075" i="16"/>
  <c r="F1075" i="16"/>
  <c r="E1075" i="16"/>
  <c r="I1074" i="16"/>
  <c r="F1074" i="16"/>
  <c r="E1074" i="16"/>
  <c r="I1073" i="16"/>
  <c r="F1073" i="16"/>
  <c r="E1073" i="16"/>
  <c r="I1072" i="16"/>
  <c r="F1072" i="16"/>
  <c r="E1072" i="16"/>
  <c r="I1071" i="16"/>
  <c r="F1071" i="16"/>
  <c r="E1071" i="16"/>
  <c r="I1070" i="16"/>
  <c r="F1070" i="16"/>
  <c r="E1070" i="16"/>
  <c r="I1069" i="16"/>
  <c r="F1069" i="16"/>
  <c r="E1069" i="16"/>
  <c r="I1068" i="16"/>
  <c r="F1068" i="16"/>
  <c r="E1068" i="16"/>
  <c r="I1067" i="16"/>
  <c r="F1067" i="16"/>
  <c r="E1067" i="16"/>
  <c r="I1066" i="16"/>
  <c r="F1066" i="16"/>
  <c r="E1066" i="16"/>
  <c r="I1065" i="16"/>
  <c r="F1065" i="16"/>
  <c r="E1065" i="16"/>
  <c r="I1064" i="16"/>
  <c r="F1064" i="16"/>
  <c r="E1064" i="16"/>
  <c r="I1063" i="16"/>
  <c r="F1063" i="16"/>
  <c r="E1063" i="16"/>
  <c r="I1062" i="16"/>
  <c r="F1062" i="16"/>
  <c r="E1062" i="16"/>
  <c r="I1061" i="16"/>
  <c r="F1061" i="16"/>
  <c r="E1061" i="16"/>
  <c r="I1060" i="16"/>
  <c r="F1060" i="16"/>
  <c r="E1060" i="16"/>
  <c r="I1059" i="16"/>
  <c r="F1059" i="16"/>
  <c r="E1059" i="16"/>
  <c r="I1058" i="16"/>
  <c r="F1058" i="16"/>
  <c r="E1058" i="16"/>
  <c r="I1057" i="16"/>
  <c r="F1057" i="16"/>
  <c r="E1057" i="16"/>
  <c r="I1056" i="16"/>
  <c r="F1056" i="16"/>
  <c r="E1056" i="16"/>
  <c r="I1055" i="16"/>
  <c r="F1055" i="16"/>
  <c r="E1055" i="16"/>
  <c r="I1054" i="16"/>
  <c r="F1054" i="16"/>
  <c r="E1054" i="16"/>
  <c r="I1053" i="16"/>
  <c r="F1053" i="16"/>
  <c r="E1053" i="16"/>
  <c r="I1052" i="16"/>
  <c r="F1052" i="16"/>
  <c r="E1052" i="16"/>
  <c r="I1051" i="16"/>
  <c r="F1051" i="16"/>
  <c r="E1051" i="16"/>
  <c r="I1050" i="16"/>
  <c r="F1050" i="16"/>
  <c r="E1050" i="16"/>
  <c r="I1049" i="16"/>
  <c r="F1049" i="16"/>
  <c r="E1049" i="16"/>
  <c r="I1048" i="16"/>
  <c r="F1048" i="16"/>
  <c r="E1048" i="16"/>
  <c r="I1047" i="16"/>
  <c r="F1047" i="16"/>
  <c r="E1047" i="16"/>
  <c r="I1046" i="16"/>
  <c r="F1046" i="16"/>
  <c r="E1046" i="16"/>
  <c r="I1045" i="16"/>
  <c r="F1045" i="16"/>
  <c r="E1045" i="16"/>
  <c r="I1044" i="16"/>
  <c r="F1044" i="16"/>
  <c r="E1044" i="16"/>
  <c r="I1043" i="16"/>
  <c r="F1043" i="16"/>
  <c r="E1043" i="16"/>
  <c r="I1042" i="16"/>
  <c r="F1042" i="16"/>
  <c r="E1042" i="16"/>
  <c r="I1041" i="16"/>
  <c r="F1041" i="16"/>
  <c r="E1041" i="16"/>
  <c r="I1040" i="16"/>
  <c r="F1040" i="16"/>
  <c r="E1040" i="16"/>
  <c r="I1039" i="16"/>
  <c r="F1039" i="16"/>
  <c r="E1039" i="16"/>
  <c r="I1038" i="16"/>
  <c r="F1038" i="16"/>
  <c r="E1038" i="16"/>
  <c r="I1037" i="16"/>
  <c r="F1037" i="16"/>
  <c r="E1037" i="16"/>
  <c r="I1036" i="16"/>
  <c r="F1036" i="16"/>
  <c r="E1036" i="16"/>
  <c r="I1035" i="16"/>
  <c r="F1035" i="16"/>
  <c r="E1035" i="16"/>
  <c r="I1034" i="16"/>
  <c r="F1034" i="16"/>
  <c r="E1034" i="16"/>
  <c r="I1033" i="16"/>
  <c r="F1033" i="16"/>
  <c r="E1033" i="16"/>
  <c r="I1032" i="16"/>
  <c r="F1032" i="16"/>
  <c r="E1032" i="16"/>
  <c r="I1031" i="16"/>
  <c r="F1031" i="16"/>
  <c r="E1031" i="16"/>
  <c r="I1030" i="16"/>
  <c r="F1030" i="16"/>
  <c r="E1030" i="16"/>
  <c r="I1029" i="16"/>
  <c r="F1029" i="16"/>
  <c r="E1029" i="16"/>
  <c r="I1028" i="16"/>
  <c r="F1028" i="16"/>
  <c r="E1028" i="16"/>
  <c r="I1027" i="16"/>
  <c r="F1027" i="16"/>
  <c r="E1027" i="16"/>
  <c r="I1026" i="16"/>
  <c r="F1026" i="16"/>
  <c r="E1026" i="16"/>
  <c r="I1025" i="16"/>
  <c r="F1025" i="16"/>
  <c r="E1025" i="16"/>
  <c r="I1024" i="16"/>
  <c r="F1024" i="16"/>
  <c r="E1024" i="16"/>
  <c r="I1023" i="16"/>
  <c r="F1023" i="16"/>
  <c r="E1023" i="16"/>
  <c r="I1022" i="16"/>
  <c r="F1022" i="16"/>
  <c r="E1022" i="16"/>
  <c r="I1021" i="16"/>
  <c r="F1021" i="16"/>
  <c r="E1021" i="16"/>
  <c r="I1020" i="16"/>
  <c r="F1020" i="16"/>
  <c r="E1020" i="16"/>
  <c r="I1019" i="16"/>
  <c r="F1019" i="16"/>
  <c r="E1019" i="16"/>
  <c r="I1018" i="16"/>
  <c r="F1018" i="16"/>
  <c r="E1018" i="16"/>
  <c r="I1017" i="16"/>
  <c r="F1017" i="16"/>
  <c r="E1017" i="16"/>
  <c r="I1016" i="16"/>
  <c r="F1016" i="16"/>
  <c r="E1016" i="16"/>
  <c r="I1015" i="16"/>
  <c r="F1015" i="16"/>
  <c r="E1015" i="16"/>
  <c r="I1014" i="16"/>
  <c r="F1014" i="16"/>
  <c r="E1014" i="16"/>
  <c r="I1013" i="16"/>
  <c r="F1013" i="16"/>
  <c r="E1013" i="16"/>
  <c r="I1012" i="16"/>
  <c r="F1012" i="16"/>
  <c r="E1012" i="16"/>
  <c r="I1011" i="16"/>
  <c r="F1011" i="16"/>
  <c r="E1011" i="16"/>
  <c r="I1010" i="16"/>
  <c r="F1010" i="16"/>
  <c r="E1010" i="16"/>
  <c r="I1009" i="16"/>
  <c r="F1009" i="16"/>
  <c r="E1009" i="16"/>
  <c r="I1008" i="16"/>
  <c r="F1008" i="16"/>
  <c r="E1008" i="16"/>
  <c r="I1007" i="16"/>
  <c r="F1007" i="16"/>
  <c r="E1007" i="16"/>
  <c r="I1006" i="16"/>
  <c r="F1006" i="16"/>
  <c r="E1006" i="16"/>
  <c r="I1005" i="16"/>
  <c r="F1005" i="16"/>
  <c r="E1005" i="16"/>
  <c r="I1004" i="16"/>
  <c r="F1004" i="16"/>
  <c r="E1004" i="16"/>
  <c r="I1003" i="16"/>
  <c r="F1003" i="16"/>
  <c r="E1003" i="16"/>
  <c r="I1002" i="16"/>
  <c r="F1002" i="16"/>
  <c r="E1002" i="16"/>
  <c r="I1001" i="16"/>
  <c r="F1001" i="16"/>
  <c r="E1001" i="16"/>
  <c r="I1000" i="16"/>
  <c r="F1000" i="16"/>
  <c r="E1000" i="16"/>
  <c r="I999" i="16"/>
  <c r="F999" i="16"/>
  <c r="E999" i="16"/>
  <c r="I998" i="16"/>
  <c r="F998" i="16"/>
  <c r="E998" i="16"/>
  <c r="I997" i="16"/>
  <c r="F997" i="16"/>
  <c r="E997" i="16"/>
  <c r="I996" i="16"/>
  <c r="F996" i="16"/>
  <c r="E996" i="16"/>
  <c r="I995" i="16"/>
  <c r="F995" i="16"/>
  <c r="E995" i="16"/>
  <c r="I994" i="16"/>
  <c r="F994" i="16"/>
  <c r="E994" i="16"/>
  <c r="I993" i="16"/>
  <c r="F993" i="16"/>
  <c r="E993" i="16"/>
  <c r="I992" i="16"/>
  <c r="F992" i="16"/>
  <c r="E992" i="16"/>
  <c r="I991" i="16"/>
  <c r="F991" i="16"/>
  <c r="E991" i="16"/>
  <c r="I990" i="16"/>
  <c r="F990" i="16"/>
  <c r="E990" i="16"/>
  <c r="I989" i="16"/>
  <c r="F989" i="16"/>
  <c r="E989" i="16"/>
  <c r="I988" i="16"/>
  <c r="F988" i="16"/>
  <c r="E988" i="16"/>
  <c r="I987" i="16"/>
  <c r="F987" i="16"/>
  <c r="E987" i="16"/>
  <c r="I986" i="16"/>
  <c r="F986" i="16"/>
  <c r="E986" i="16"/>
  <c r="I985" i="16"/>
  <c r="F985" i="16"/>
  <c r="E985" i="16"/>
  <c r="I984" i="16"/>
  <c r="F984" i="16"/>
  <c r="E984" i="16"/>
  <c r="I983" i="16"/>
  <c r="F983" i="16"/>
  <c r="E983" i="16"/>
  <c r="I982" i="16"/>
  <c r="F982" i="16"/>
  <c r="E982" i="16"/>
  <c r="I981" i="16"/>
  <c r="F981" i="16"/>
  <c r="E981" i="16"/>
  <c r="I980" i="16"/>
  <c r="F980" i="16"/>
  <c r="E980" i="16"/>
  <c r="I979" i="16"/>
  <c r="F979" i="16"/>
  <c r="E979" i="16"/>
  <c r="I978" i="16"/>
  <c r="F978" i="16"/>
  <c r="E978" i="16"/>
  <c r="I977" i="16"/>
  <c r="F977" i="16"/>
  <c r="E977" i="16"/>
  <c r="I976" i="16"/>
  <c r="F976" i="16"/>
  <c r="E976" i="16"/>
  <c r="I975" i="16"/>
  <c r="F975" i="16"/>
  <c r="E975" i="16"/>
  <c r="I974" i="16"/>
  <c r="F974" i="16"/>
  <c r="E974" i="16"/>
  <c r="I973" i="16"/>
  <c r="F973" i="16"/>
  <c r="E973" i="16"/>
  <c r="I972" i="16"/>
  <c r="F972" i="16"/>
  <c r="E972" i="16"/>
  <c r="I971" i="16"/>
  <c r="F971" i="16"/>
  <c r="E971" i="16"/>
  <c r="I970" i="16"/>
  <c r="F970" i="16"/>
  <c r="E970" i="16"/>
  <c r="I969" i="16"/>
  <c r="F969" i="16"/>
  <c r="E969" i="16"/>
  <c r="I968" i="16"/>
  <c r="F968" i="16"/>
  <c r="E968" i="16"/>
  <c r="I967" i="16"/>
  <c r="F967" i="16"/>
  <c r="E967" i="16"/>
  <c r="I966" i="16"/>
  <c r="F966" i="16"/>
  <c r="E966" i="16"/>
  <c r="I965" i="16"/>
  <c r="F965" i="16"/>
  <c r="E965" i="16"/>
  <c r="I964" i="16"/>
  <c r="F964" i="16"/>
  <c r="E964" i="16"/>
  <c r="I963" i="16"/>
  <c r="F963" i="16"/>
  <c r="E963" i="16"/>
  <c r="I962" i="16"/>
  <c r="F962" i="16"/>
  <c r="E962" i="16"/>
  <c r="I961" i="16"/>
  <c r="F961" i="16"/>
  <c r="E961" i="16"/>
  <c r="I960" i="16"/>
  <c r="F960" i="16"/>
  <c r="E960" i="16"/>
  <c r="I959" i="16"/>
  <c r="F959" i="16"/>
  <c r="E959" i="16"/>
  <c r="I958" i="16"/>
  <c r="F958" i="16"/>
  <c r="E958" i="16"/>
  <c r="I957" i="16"/>
  <c r="F957" i="16"/>
  <c r="E957" i="16"/>
  <c r="I956" i="16"/>
  <c r="F956" i="16"/>
  <c r="E956" i="16"/>
  <c r="I955" i="16"/>
  <c r="F955" i="16"/>
  <c r="E955" i="16"/>
  <c r="I954" i="16"/>
  <c r="F954" i="16"/>
  <c r="E954" i="16"/>
  <c r="I953" i="16"/>
  <c r="F953" i="16"/>
  <c r="E953" i="16"/>
  <c r="I952" i="16"/>
  <c r="F952" i="16"/>
  <c r="E952" i="16"/>
  <c r="I951" i="16"/>
  <c r="F951" i="16"/>
  <c r="E951" i="16"/>
  <c r="I950" i="16"/>
  <c r="F950" i="16"/>
  <c r="E950" i="16"/>
  <c r="I949" i="16"/>
  <c r="F949" i="16"/>
  <c r="E949" i="16"/>
  <c r="I948" i="16"/>
  <c r="F948" i="16"/>
  <c r="E948" i="16"/>
  <c r="I947" i="16"/>
  <c r="F947" i="16"/>
  <c r="E947" i="16"/>
  <c r="I946" i="16"/>
  <c r="F946" i="16"/>
  <c r="E946" i="16"/>
  <c r="I945" i="16"/>
  <c r="F945" i="16"/>
  <c r="E945" i="16"/>
  <c r="I944" i="16"/>
  <c r="F944" i="16"/>
  <c r="E944" i="16"/>
  <c r="I943" i="16"/>
  <c r="F943" i="16"/>
  <c r="E943" i="16"/>
  <c r="I942" i="16"/>
  <c r="F942" i="16"/>
  <c r="E942" i="16"/>
  <c r="I941" i="16"/>
  <c r="F941" i="16"/>
  <c r="E941" i="16"/>
  <c r="I940" i="16"/>
  <c r="F940" i="16"/>
  <c r="E940" i="16"/>
  <c r="I939" i="16"/>
  <c r="F939" i="16"/>
  <c r="E939" i="16"/>
  <c r="I938" i="16"/>
  <c r="F938" i="16"/>
  <c r="E938" i="16"/>
  <c r="I937" i="16"/>
  <c r="F937" i="16"/>
  <c r="E937" i="16"/>
  <c r="I936" i="16"/>
  <c r="F936" i="16"/>
  <c r="E936" i="16"/>
  <c r="I935" i="16"/>
  <c r="F935" i="16"/>
  <c r="E935" i="16"/>
  <c r="I934" i="16"/>
  <c r="F934" i="16"/>
  <c r="E934" i="16"/>
  <c r="I933" i="16"/>
  <c r="F933" i="16"/>
  <c r="E933" i="16"/>
  <c r="I932" i="16"/>
  <c r="F932" i="16"/>
  <c r="E932" i="16"/>
  <c r="I931" i="16"/>
  <c r="F931" i="16"/>
  <c r="E931" i="16"/>
  <c r="I930" i="16"/>
  <c r="F930" i="16"/>
  <c r="E930" i="16"/>
  <c r="I929" i="16"/>
  <c r="F929" i="16"/>
  <c r="E929" i="16"/>
  <c r="I928" i="16"/>
  <c r="F928" i="16"/>
  <c r="E928" i="16"/>
  <c r="I927" i="16"/>
  <c r="F927" i="16"/>
  <c r="E927" i="16"/>
  <c r="I926" i="16"/>
  <c r="F926" i="16"/>
  <c r="E926" i="16"/>
  <c r="I925" i="16"/>
  <c r="F925" i="16"/>
  <c r="E925" i="16"/>
  <c r="I924" i="16"/>
  <c r="F924" i="16"/>
  <c r="E924" i="16"/>
  <c r="I923" i="16"/>
  <c r="F923" i="16"/>
  <c r="E923" i="16"/>
  <c r="I922" i="16"/>
  <c r="F922" i="16"/>
  <c r="E922" i="16"/>
  <c r="I921" i="16"/>
  <c r="F921" i="16"/>
  <c r="E921" i="16"/>
  <c r="I920" i="16"/>
  <c r="F920" i="16"/>
  <c r="E920" i="16"/>
  <c r="I919" i="16"/>
  <c r="F919" i="16"/>
  <c r="E919" i="16"/>
  <c r="I918" i="16"/>
  <c r="F918" i="16"/>
  <c r="E918" i="16"/>
  <c r="I917" i="16"/>
  <c r="F917" i="16"/>
  <c r="E917" i="16"/>
  <c r="I916" i="16"/>
  <c r="F916" i="16"/>
  <c r="E916" i="16"/>
  <c r="I915" i="16"/>
  <c r="F915" i="16"/>
  <c r="E915" i="16"/>
  <c r="I914" i="16"/>
  <c r="F914" i="16"/>
  <c r="E914" i="16"/>
  <c r="I913" i="16"/>
  <c r="F913" i="16"/>
  <c r="E913" i="16"/>
  <c r="I912" i="16"/>
  <c r="F912" i="16"/>
  <c r="E912" i="16"/>
  <c r="I911" i="16"/>
  <c r="F911" i="16"/>
  <c r="E911" i="16"/>
  <c r="I910" i="16"/>
  <c r="F910" i="16"/>
  <c r="E910" i="16"/>
  <c r="I909" i="16"/>
  <c r="F909" i="16"/>
  <c r="E909" i="16"/>
  <c r="I908" i="16"/>
  <c r="F908" i="16"/>
  <c r="E908" i="16"/>
  <c r="I907" i="16"/>
  <c r="F907" i="16"/>
  <c r="E907" i="16"/>
  <c r="I906" i="16"/>
  <c r="F906" i="16"/>
  <c r="E906" i="16"/>
  <c r="I905" i="16"/>
  <c r="F905" i="16"/>
  <c r="E905" i="16"/>
  <c r="I904" i="16"/>
  <c r="F904" i="16"/>
  <c r="E904" i="16"/>
  <c r="I903" i="16"/>
  <c r="F903" i="16"/>
  <c r="E903" i="16"/>
  <c r="I902" i="16"/>
  <c r="F902" i="16"/>
  <c r="E902" i="16"/>
  <c r="I901" i="16"/>
  <c r="F901" i="16"/>
  <c r="E901" i="16"/>
  <c r="I900" i="16"/>
  <c r="F900" i="16"/>
  <c r="E900" i="16"/>
  <c r="I899" i="16"/>
  <c r="F899" i="16"/>
  <c r="E899" i="16"/>
  <c r="I898" i="16"/>
  <c r="F898" i="16"/>
  <c r="E898" i="16"/>
  <c r="I897" i="16"/>
  <c r="F897" i="16"/>
  <c r="E897" i="16"/>
  <c r="I896" i="16"/>
  <c r="F896" i="16"/>
  <c r="E896" i="16"/>
  <c r="I895" i="16"/>
  <c r="F895" i="16"/>
  <c r="E895" i="16"/>
  <c r="I894" i="16"/>
  <c r="F894" i="16"/>
  <c r="E894" i="16"/>
  <c r="I893" i="16"/>
  <c r="F893" i="16"/>
  <c r="E893" i="16"/>
  <c r="I892" i="16"/>
  <c r="F892" i="16"/>
  <c r="E892" i="16"/>
  <c r="I891" i="16"/>
  <c r="F891" i="16"/>
  <c r="E891" i="16"/>
  <c r="I890" i="16"/>
  <c r="F890" i="16"/>
  <c r="E890" i="16"/>
  <c r="I889" i="16"/>
  <c r="F889" i="16"/>
  <c r="E889" i="16"/>
  <c r="I888" i="16"/>
  <c r="F888" i="16"/>
  <c r="E888" i="16"/>
  <c r="I887" i="16"/>
  <c r="F887" i="16"/>
  <c r="E887" i="16"/>
  <c r="I886" i="16"/>
  <c r="F886" i="16"/>
  <c r="E886" i="16"/>
  <c r="I885" i="16"/>
  <c r="F885" i="16"/>
  <c r="E885" i="16"/>
  <c r="I884" i="16"/>
  <c r="F884" i="16"/>
  <c r="E884" i="16"/>
  <c r="I883" i="16"/>
  <c r="F883" i="16"/>
  <c r="E883" i="16"/>
  <c r="I882" i="16"/>
  <c r="F882" i="16"/>
  <c r="E882" i="16"/>
  <c r="I881" i="16"/>
  <c r="F881" i="16"/>
  <c r="E881" i="16"/>
  <c r="I880" i="16"/>
  <c r="F880" i="16"/>
  <c r="E880" i="16"/>
  <c r="I879" i="16"/>
  <c r="F879" i="16"/>
  <c r="E879" i="16"/>
  <c r="I878" i="16"/>
  <c r="F878" i="16"/>
  <c r="E878" i="16"/>
  <c r="I877" i="16"/>
  <c r="F877" i="16"/>
  <c r="E877" i="16"/>
  <c r="I876" i="16"/>
  <c r="F876" i="16"/>
  <c r="E876" i="16"/>
  <c r="I875" i="16"/>
  <c r="F875" i="16"/>
  <c r="E875" i="16"/>
  <c r="I874" i="16"/>
  <c r="F874" i="16"/>
  <c r="E874" i="16"/>
  <c r="I873" i="16"/>
  <c r="F873" i="16"/>
  <c r="E873" i="16"/>
  <c r="I872" i="16"/>
  <c r="F872" i="16"/>
  <c r="E872" i="16"/>
  <c r="I871" i="16"/>
  <c r="F871" i="16"/>
  <c r="E871" i="16"/>
  <c r="I870" i="16"/>
  <c r="F870" i="16"/>
  <c r="E870" i="16"/>
  <c r="I869" i="16"/>
  <c r="F869" i="16"/>
  <c r="E869" i="16"/>
  <c r="I868" i="16"/>
  <c r="F868" i="16"/>
  <c r="E868" i="16"/>
  <c r="I867" i="16"/>
  <c r="F867" i="16"/>
  <c r="E867" i="16"/>
  <c r="I866" i="16"/>
  <c r="F866" i="16"/>
  <c r="E866" i="16"/>
  <c r="I865" i="16"/>
  <c r="F865" i="16"/>
  <c r="E865" i="16"/>
  <c r="I864" i="16"/>
  <c r="F864" i="16"/>
  <c r="E864" i="16"/>
  <c r="I863" i="16"/>
  <c r="F863" i="16"/>
  <c r="E863" i="16"/>
  <c r="I862" i="16"/>
  <c r="F862" i="16"/>
  <c r="E862" i="16"/>
  <c r="I861" i="16"/>
  <c r="F861" i="16"/>
  <c r="E861" i="16"/>
  <c r="I860" i="16"/>
  <c r="F860" i="16"/>
  <c r="E860" i="16"/>
  <c r="I859" i="16"/>
  <c r="F859" i="16"/>
  <c r="E859" i="16"/>
  <c r="I858" i="16"/>
  <c r="F858" i="16"/>
  <c r="E858" i="16"/>
  <c r="I857" i="16"/>
  <c r="F857" i="16"/>
  <c r="E857" i="16"/>
  <c r="I856" i="16"/>
  <c r="F856" i="16"/>
  <c r="E856" i="16"/>
  <c r="I855" i="16"/>
  <c r="F855" i="16"/>
  <c r="E855" i="16"/>
  <c r="I854" i="16"/>
  <c r="F854" i="16"/>
  <c r="E854" i="16"/>
  <c r="I853" i="16"/>
  <c r="F853" i="16"/>
  <c r="E853" i="16"/>
  <c r="I852" i="16"/>
  <c r="F852" i="16"/>
  <c r="E852" i="16"/>
  <c r="I851" i="16"/>
  <c r="F851" i="16"/>
  <c r="E851" i="16"/>
  <c r="I850" i="16"/>
  <c r="F850" i="16"/>
  <c r="E850" i="16"/>
  <c r="I849" i="16"/>
  <c r="F849" i="16"/>
  <c r="E849" i="16"/>
  <c r="I848" i="16"/>
  <c r="F848" i="16"/>
  <c r="E848" i="16"/>
  <c r="I847" i="16"/>
  <c r="F847" i="16"/>
  <c r="E847" i="16"/>
  <c r="I846" i="16"/>
  <c r="F846" i="16"/>
  <c r="E846" i="16"/>
  <c r="I845" i="16"/>
  <c r="F845" i="16"/>
  <c r="E845" i="16"/>
  <c r="I844" i="16"/>
  <c r="F844" i="16"/>
  <c r="E844" i="16"/>
  <c r="I843" i="16"/>
  <c r="F843" i="16"/>
  <c r="E843" i="16"/>
  <c r="I842" i="16"/>
  <c r="F842" i="16"/>
  <c r="E842" i="16"/>
  <c r="I841" i="16"/>
  <c r="F841" i="16"/>
  <c r="E841" i="16"/>
  <c r="I840" i="16"/>
  <c r="F840" i="16"/>
  <c r="E840" i="16"/>
  <c r="I839" i="16"/>
  <c r="F839" i="16"/>
  <c r="E839" i="16"/>
  <c r="I838" i="16"/>
  <c r="F838" i="16"/>
  <c r="E838" i="16"/>
  <c r="I837" i="16"/>
  <c r="F837" i="16"/>
  <c r="E837" i="16"/>
  <c r="I836" i="16"/>
  <c r="F836" i="16"/>
  <c r="E836" i="16"/>
  <c r="I835" i="16"/>
  <c r="F835" i="16"/>
  <c r="E835" i="16"/>
  <c r="I834" i="16"/>
  <c r="F834" i="16"/>
  <c r="E834" i="16"/>
  <c r="I833" i="16"/>
  <c r="F833" i="16"/>
  <c r="E833" i="16"/>
  <c r="I832" i="16"/>
  <c r="F832" i="16"/>
  <c r="E832" i="16"/>
  <c r="I831" i="16"/>
  <c r="F831" i="16"/>
  <c r="E831" i="16"/>
  <c r="I830" i="16"/>
  <c r="F830" i="16"/>
  <c r="E830" i="16"/>
  <c r="I829" i="16"/>
  <c r="F829" i="16"/>
  <c r="E829" i="16"/>
  <c r="I828" i="16"/>
  <c r="F828" i="16"/>
  <c r="E828" i="16"/>
  <c r="I827" i="16"/>
  <c r="F827" i="16"/>
  <c r="E827" i="16"/>
  <c r="I826" i="16"/>
  <c r="F826" i="16"/>
  <c r="E826" i="16"/>
  <c r="I825" i="16"/>
  <c r="F825" i="16"/>
  <c r="E825" i="16"/>
  <c r="I824" i="16"/>
  <c r="F824" i="16"/>
  <c r="E824" i="16"/>
  <c r="I823" i="16"/>
  <c r="F823" i="16"/>
  <c r="E823" i="16"/>
  <c r="I822" i="16"/>
  <c r="F822" i="16"/>
  <c r="E822" i="16"/>
  <c r="I821" i="16"/>
  <c r="F821" i="16"/>
  <c r="E821" i="16"/>
  <c r="I820" i="16"/>
  <c r="F820" i="16"/>
  <c r="E820" i="16"/>
  <c r="I819" i="16"/>
  <c r="F819" i="16"/>
  <c r="E819" i="16"/>
  <c r="I818" i="16"/>
  <c r="F818" i="16"/>
  <c r="E818" i="16"/>
  <c r="I817" i="16"/>
  <c r="F817" i="16"/>
  <c r="E817" i="16"/>
  <c r="I816" i="16"/>
  <c r="F816" i="16"/>
  <c r="E816" i="16"/>
  <c r="I815" i="16"/>
  <c r="F815" i="16"/>
  <c r="E815" i="16"/>
  <c r="I814" i="16"/>
  <c r="F814" i="16"/>
  <c r="E814" i="16"/>
  <c r="I813" i="16"/>
  <c r="F813" i="16"/>
  <c r="E813" i="16"/>
  <c r="I812" i="16"/>
  <c r="F812" i="16"/>
  <c r="E812" i="16"/>
  <c r="I811" i="16"/>
  <c r="F811" i="16"/>
  <c r="E811" i="16"/>
  <c r="I810" i="16"/>
  <c r="F810" i="16"/>
  <c r="E810" i="16"/>
  <c r="I809" i="16"/>
  <c r="F809" i="16"/>
  <c r="E809" i="16"/>
  <c r="I808" i="16"/>
  <c r="F808" i="16"/>
  <c r="E808" i="16"/>
  <c r="I807" i="16"/>
  <c r="F807" i="16"/>
  <c r="E807" i="16"/>
  <c r="I806" i="16"/>
  <c r="F806" i="16"/>
  <c r="E806" i="16"/>
  <c r="I805" i="16"/>
  <c r="F805" i="16"/>
  <c r="E805" i="16"/>
  <c r="I804" i="16"/>
  <c r="F804" i="16"/>
  <c r="E804" i="16"/>
  <c r="I803" i="16"/>
  <c r="F803" i="16"/>
  <c r="E803" i="16"/>
  <c r="I802" i="16"/>
  <c r="F802" i="16"/>
  <c r="E802" i="16"/>
  <c r="I801" i="16"/>
  <c r="F801" i="16"/>
  <c r="E801" i="16"/>
  <c r="I800" i="16"/>
  <c r="F800" i="16"/>
  <c r="E800" i="16"/>
  <c r="I799" i="16"/>
  <c r="F799" i="16"/>
  <c r="E799" i="16"/>
  <c r="I798" i="16"/>
  <c r="F798" i="16"/>
  <c r="E798" i="16"/>
  <c r="I797" i="16"/>
  <c r="F797" i="16"/>
  <c r="E797" i="16"/>
  <c r="I796" i="16"/>
  <c r="F796" i="16"/>
  <c r="E796" i="16"/>
  <c r="I795" i="16"/>
  <c r="F795" i="16"/>
  <c r="E795" i="16"/>
  <c r="I794" i="16"/>
  <c r="F794" i="16"/>
  <c r="E794" i="16"/>
  <c r="I793" i="16"/>
  <c r="F793" i="16"/>
  <c r="E793" i="16"/>
  <c r="I792" i="16"/>
  <c r="F792" i="16"/>
  <c r="E792" i="16"/>
  <c r="I791" i="16"/>
  <c r="F791" i="16"/>
  <c r="E791" i="16"/>
  <c r="I790" i="16"/>
  <c r="F790" i="16"/>
  <c r="E790" i="16"/>
  <c r="I789" i="16"/>
  <c r="F789" i="16"/>
  <c r="E789" i="16"/>
  <c r="I788" i="16"/>
  <c r="F788" i="16"/>
  <c r="E788" i="16"/>
  <c r="I787" i="16"/>
  <c r="F787" i="16"/>
  <c r="E787" i="16"/>
  <c r="I786" i="16"/>
  <c r="F786" i="16"/>
  <c r="E786" i="16"/>
  <c r="I785" i="16"/>
  <c r="F785" i="16"/>
  <c r="E785" i="16"/>
  <c r="I784" i="16"/>
  <c r="F784" i="16"/>
  <c r="E784" i="16"/>
  <c r="I783" i="16"/>
  <c r="F783" i="16"/>
  <c r="E783" i="16"/>
  <c r="I782" i="16"/>
  <c r="F782" i="16"/>
  <c r="E782" i="16"/>
  <c r="I781" i="16"/>
  <c r="F781" i="16"/>
  <c r="E781" i="16"/>
  <c r="I780" i="16"/>
  <c r="F780" i="16"/>
  <c r="E780" i="16"/>
  <c r="I779" i="16"/>
  <c r="F779" i="16"/>
  <c r="E779" i="16"/>
  <c r="I778" i="16"/>
  <c r="F778" i="16"/>
  <c r="E778" i="16"/>
  <c r="I777" i="16"/>
  <c r="F777" i="16"/>
  <c r="E777" i="16"/>
  <c r="I776" i="16"/>
  <c r="F776" i="16"/>
  <c r="E776" i="16"/>
  <c r="I775" i="16"/>
  <c r="F775" i="16"/>
  <c r="E775" i="16"/>
  <c r="I774" i="16"/>
  <c r="F774" i="16"/>
  <c r="E774" i="16"/>
  <c r="I773" i="16"/>
  <c r="F773" i="16"/>
  <c r="E773" i="16"/>
  <c r="I772" i="16"/>
  <c r="F772" i="16"/>
  <c r="E772" i="16"/>
  <c r="I771" i="16"/>
  <c r="F771" i="16"/>
  <c r="E771" i="16"/>
  <c r="I770" i="16"/>
  <c r="F770" i="16"/>
  <c r="E770" i="16"/>
  <c r="I769" i="16"/>
  <c r="F769" i="16"/>
  <c r="E769" i="16"/>
  <c r="I768" i="16"/>
  <c r="F768" i="16"/>
  <c r="E768" i="16"/>
  <c r="I767" i="16"/>
  <c r="F767" i="16"/>
  <c r="E767" i="16"/>
  <c r="I766" i="16"/>
  <c r="F766" i="16"/>
  <c r="E766" i="16"/>
  <c r="I765" i="16"/>
  <c r="F765" i="16"/>
  <c r="E765" i="16"/>
  <c r="I764" i="16"/>
  <c r="F764" i="16"/>
  <c r="E764" i="16"/>
  <c r="I763" i="16"/>
  <c r="F763" i="16"/>
  <c r="E763" i="16"/>
  <c r="I762" i="16"/>
  <c r="F762" i="16"/>
  <c r="E762" i="16"/>
  <c r="I761" i="16"/>
  <c r="F761" i="16"/>
  <c r="E761" i="16"/>
  <c r="I760" i="16"/>
  <c r="F760" i="16"/>
  <c r="E760" i="16"/>
  <c r="I759" i="16"/>
  <c r="F759" i="16"/>
  <c r="E759" i="16"/>
  <c r="I758" i="16"/>
  <c r="F758" i="16"/>
  <c r="E758" i="16"/>
  <c r="I757" i="16"/>
  <c r="F757" i="16"/>
  <c r="E757" i="16"/>
  <c r="I756" i="16"/>
  <c r="F756" i="16"/>
  <c r="E756" i="16"/>
  <c r="I755" i="16"/>
  <c r="F755" i="16"/>
  <c r="E755" i="16"/>
  <c r="I754" i="16"/>
  <c r="F754" i="16"/>
  <c r="E754" i="16"/>
  <c r="I753" i="16"/>
  <c r="F753" i="16"/>
  <c r="E753" i="16"/>
  <c r="I752" i="16"/>
  <c r="F752" i="16"/>
  <c r="E752" i="16"/>
  <c r="I751" i="16"/>
  <c r="F751" i="16"/>
  <c r="E751" i="16"/>
  <c r="I750" i="16"/>
  <c r="F750" i="16"/>
  <c r="E750" i="16"/>
  <c r="I749" i="16"/>
  <c r="F749" i="16"/>
  <c r="E749" i="16"/>
  <c r="I748" i="16"/>
  <c r="F748" i="16"/>
  <c r="E748" i="16"/>
  <c r="I747" i="16"/>
  <c r="F747" i="16"/>
  <c r="E747" i="16"/>
  <c r="I746" i="16"/>
  <c r="F746" i="16"/>
  <c r="E746" i="16"/>
  <c r="I745" i="16"/>
  <c r="F745" i="16"/>
  <c r="E745" i="16"/>
  <c r="I744" i="16"/>
  <c r="F744" i="16"/>
  <c r="E744" i="16"/>
  <c r="I743" i="16"/>
  <c r="F743" i="16"/>
  <c r="E743" i="16"/>
  <c r="I742" i="16"/>
  <c r="F742" i="16"/>
  <c r="E742" i="16"/>
  <c r="I741" i="16"/>
  <c r="F741" i="16"/>
  <c r="E741" i="16"/>
  <c r="I740" i="16"/>
  <c r="F740" i="16"/>
  <c r="E740" i="16"/>
  <c r="I739" i="16"/>
  <c r="F739" i="16"/>
  <c r="E739" i="16"/>
  <c r="I738" i="16"/>
  <c r="F738" i="16"/>
  <c r="E738" i="16"/>
  <c r="I737" i="16"/>
  <c r="F737" i="16"/>
  <c r="E737" i="16"/>
  <c r="I736" i="16"/>
  <c r="F736" i="16"/>
  <c r="E736" i="16"/>
  <c r="I735" i="16"/>
  <c r="F735" i="16"/>
  <c r="E735" i="16"/>
  <c r="I734" i="16"/>
  <c r="F734" i="16"/>
  <c r="E734" i="16"/>
  <c r="I733" i="16"/>
  <c r="F733" i="16"/>
  <c r="E733" i="16"/>
  <c r="I732" i="16"/>
  <c r="F732" i="16"/>
  <c r="E732" i="16"/>
  <c r="I731" i="16"/>
  <c r="F731" i="16"/>
  <c r="E731" i="16"/>
  <c r="I730" i="16"/>
  <c r="F730" i="16"/>
  <c r="E730" i="16"/>
  <c r="I729" i="16"/>
  <c r="F729" i="16"/>
  <c r="E729" i="16"/>
  <c r="I728" i="16"/>
  <c r="F728" i="16"/>
  <c r="E728" i="16"/>
  <c r="I727" i="16"/>
  <c r="F727" i="16"/>
  <c r="E727" i="16"/>
  <c r="I726" i="16"/>
  <c r="F726" i="16"/>
  <c r="E726" i="16"/>
  <c r="I725" i="16"/>
  <c r="F725" i="16"/>
  <c r="E725" i="16"/>
  <c r="I724" i="16"/>
  <c r="F724" i="16"/>
  <c r="E724" i="16"/>
  <c r="I723" i="16"/>
  <c r="F723" i="16"/>
  <c r="E723" i="16"/>
  <c r="I722" i="16"/>
  <c r="F722" i="16"/>
  <c r="E722" i="16"/>
  <c r="I721" i="16"/>
  <c r="F721" i="16"/>
  <c r="E721" i="16"/>
  <c r="I720" i="16"/>
  <c r="F720" i="16"/>
  <c r="E720" i="16"/>
  <c r="I719" i="16"/>
  <c r="F719" i="16"/>
  <c r="E719" i="16"/>
  <c r="I718" i="16"/>
  <c r="F718" i="16"/>
  <c r="E718" i="16"/>
  <c r="I717" i="16"/>
  <c r="F717" i="16"/>
  <c r="E717" i="16"/>
  <c r="I716" i="16"/>
  <c r="F716" i="16"/>
  <c r="E716" i="16"/>
  <c r="I715" i="16"/>
  <c r="F715" i="16"/>
  <c r="E715" i="16"/>
  <c r="I714" i="16"/>
  <c r="F714" i="16"/>
  <c r="E714" i="16"/>
  <c r="I713" i="16"/>
  <c r="F713" i="16"/>
  <c r="E713" i="16"/>
  <c r="I712" i="16"/>
  <c r="F712" i="16"/>
  <c r="E712" i="16"/>
  <c r="I711" i="16"/>
  <c r="F711" i="16"/>
  <c r="E711" i="16"/>
  <c r="I710" i="16"/>
  <c r="F710" i="16"/>
  <c r="E710" i="16"/>
  <c r="I709" i="16"/>
  <c r="F709" i="16"/>
  <c r="E709" i="16"/>
  <c r="I708" i="16"/>
  <c r="F708" i="16"/>
  <c r="E708" i="16"/>
  <c r="I707" i="16"/>
  <c r="F707" i="16"/>
  <c r="E707" i="16"/>
  <c r="I706" i="16"/>
  <c r="F706" i="16"/>
  <c r="E706" i="16"/>
  <c r="I705" i="16"/>
  <c r="F705" i="16"/>
  <c r="E705" i="16"/>
  <c r="I704" i="16"/>
  <c r="F704" i="16"/>
  <c r="E704" i="16"/>
  <c r="I703" i="16"/>
  <c r="F703" i="16"/>
  <c r="E703" i="16"/>
  <c r="I702" i="16"/>
  <c r="F702" i="16"/>
  <c r="E702" i="16"/>
  <c r="I701" i="16"/>
  <c r="F701" i="16"/>
  <c r="E701" i="16"/>
  <c r="I700" i="16"/>
  <c r="F700" i="16"/>
  <c r="E700" i="16"/>
  <c r="I699" i="16"/>
  <c r="F699" i="16"/>
  <c r="E699" i="16"/>
  <c r="I698" i="16"/>
  <c r="F698" i="16"/>
  <c r="E698" i="16"/>
  <c r="I697" i="16"/>
  <c r="F697" i="16"/>
  <c r="E697" i="16"/>
  <c r="I696" i="16"/>
  <c r="F696" i="16"/>
  <c r="E696" i="16"/>
  <c r="I695" i="16"/>
  <c r="F695" i="16"/>
  <c r="E695" i="16"/>
  <c r="I694" i="16"/>
  <c r="F694" i="16"/>
  <c r="E694" i="16"/>
  <c r="I693" i="16"/>
  <c r="F693" i="16"/>
  <c r="E693" i="16"/>
  <c r="I692" i="16"/>
  <c r="F692" i="16"/>
  <c r="E692" i="16"/>
  <c r="I691" i="16"/>
  <c r="F691" i="16"/>
  <c r="E691" i="16"/>
  <c r="I690" i="16"/>
  <c r="F690" i="16"/>
  <c r="E690" i="16"/>
  <c r="I689" i="16"/>
  <c r="F689" i="16"/>
  <c r="E689" i="16"/>
  <c r="I688" i="16"/>
  <c r="F688" i="16"/>
  <c r="E688" i="16"/>
  <c r="I687" i="16"/>
  <c r="F687" i="16"/>
  <c r="E687" i="16"/>
  <c r="I686" i="16"/>
  <c r="F686" i="16"/>
  <c r="E686" i="16"/>
  <c r="I685" i="16"/>
  <c r="F685" i="16"/>
  <c r="E685" i="16"/>
  <c r="I684" i="16"/>
  <c r="F684" i="16"/>
  <c r="E684" i="16"/>
  <c r="I683" i="16"/>
  <c r="F683" i="16"/>
  <c r="E683" i="16"/>
  <c r="I682" i="16"/>
  <c r="F682" i="16"/>
  <c r="E682" i="16"/>
  <c r="I681" i="16"/>
  <c r="F681" i="16"/>
  <c r="E681" i="16"/>
  <c r="I680" i="16"/>
  <c r="F680" i="16"/>
  <c r="E680" i="16"/>
  <c r="I679" i="16"/>
  <c r="F679" i="16"/>
  <c r="E679" i="16"/>
  <c r="I678" i="16"/>
  <c r="F678" i="16"/>
  <c r="E678" i="16"/>
  <c r="I677" i="16"/>
  <c r="F677" i="16"/>
  <c r="E677" i="16"/>
  <c r="I676" i="16"/>
  <c r="F676" i="16"/>
  <c r="E676" i="16"/>
  <c r="I675" i="16"/>
  <c r="F675" i="16"/>
  <c r="E675" i="16"/>
  <c r="I674" i="16"/>
  <c r="F674" i="16"/>
  <c r="E674" i="16"/>
  <c r="I673" i="16"/>
  <c r="F673" i="16"/>
  <c r="E673" i="16"/>
  <c r="I672" i="16"/>
  <c r="F672" i="16"/>
  <c r="E672" i="16"/>
  <c r="I671" i="16"/>
  <c r="F671" i="16"/>
  <c r="E671" i="16"/>
  <c r="I670" i="16"/>
  <c r="F670" i="16"/>
  <c r="E670" i="16"/>
  <c r="I669" i="16"/>
  <c r="F669" i="16"/>
  <c r="E669" i="16"/>
  <c r="I668" i="16"/>
  <c r="F668" i="16"/>
  <c r="E668" i="16"/>
  <c r="I667" i="16"/>
  <c r="F667" i="16"/>
  <c r="E667" i="16"/>
  <c r="I666" i="16"/>
  <c r="F666" i="16"/>
  <c r="E666" i="16"/>
  <c r="I665" i="16"/>
  <c r="F665" i="16"/>
  <c r="E665" i="16"/>
  <c r="I664" i="16"/>
  <c r="F664" i="16"/>
  <c r="E664" i="16"/>
  <c r="I663" i="16"/>
  <c r="F663" i="16"/>
  <c r="E663" i="16"/>
  <c r="I662" i="16"/>
  <c r="F662" i="16"/>
  <c r="E662" i="16"/>
  <c r="I661" i="16"/>
  <c r="F661" i="16"/>
  <c r="E661" i="16"/>
  <c r="I660" i="16"/>
  <c r="F660" i="16"/>
  <c r="E660" i="16"/>
  <c r="I659" i="16"/>
  <c r="F659" i="16"/>
  <c r="E659" i="16"/>
  <c r="I658" i="16"/>
  <c r="F658" i="16"/>
  <c r="E658" i="16"/>
  <c r="I657" i="16"/>
  <c r="F657" i="16"/>
  <c r="E657" i="16"/>
  <c r="I656" i="16"/>
  <c r="F656" i="16"/>
  <c r="E656" i="16"/>
  <c r="I655" i="16"/>
  <c r="F655" i="16"/>
  <c r="E655" i="16"/>
  <c r="I654" i="16"/>
  <c r="F654" i="16"/>
  <c r="E654" i="16"/>
  <c r="I653" i="16"/>
  <c r="F653" i="16"/>
  <c r="E653" i="16"/>
  <c r="I652" i="16"/>
  <c r="F652" i="16"/>
  <c r="E652" i="16"/>
  <c r="I651" i="16"/>
  <c r="F651" i="16"/>
  <c r="E651" i="16"/>
  <c r="I650" i="16"/>
  <c r="F650" i="16"/>
  <c r="E650" i="16"/>
  <c r="I649" i="16"/>
  <c r="F649" i="16"/>
  <c r="E649" i="16"/>
  <c r="I648" i="16"/>
  <c r="F648" i="16"/>
  <c r="E648" i="16"/>
  <c r="I647" i="16"/>
  <c r="F647" i="16"/>
  <c r="E647" i="16"/>
  <c r="I646" i="16"/>
  <c r="F646" i="16"/>
  <c r="E646" i="16"/>
  <c r="I645" i="16"/>
  <c r="F645" i="16"/>
  <c r="E645" i="16"/>
  <c r="I644" i="16"/>
  <c r="F644" i="16"/>
  <c r="E644" i="16"/>
  <c r="I643" i="16"/>
  <c r="F643" i="16"/>
  <c r="E643" i="16"/>
  <c r="I642" i="16"/>
  <c r="F642" i="16"/>
  <c r="E642" i="16"/>
  <c r="I641" i="16"/>
  <c r="F641" i="16"/>
  <c r="E641" i="16"/>
  <c r="I640" i="16"/>
  <c r="F640" i="16"/>
  <c r="E640" i="16"/>
  <c r="I639" i="16"/>
  <c r="F639" i="16"/>
  <c r="E639" i="16"/>
  <c r="I638" i="16"/>
  <c r="F638" i="16"/>
  <c r="E638" i="16"/>
  <c r="I637" i="16"/>
  <c r="F637" i="16"/>
  <c r="E637" i="16"/>
  <c r="I636" i="16"/>
  <c r="F636" i="16"/>
  <c r="E636" i="16"/>
  <c r="I635" i="16"/>
  <c r="F635" i="16"/>
  <c r="E635" i="16"/>
  <c r="I634" i="16"/>
  <c r="F634" i="16"/>
  <c r="E634" i="16"/>
  <c r="I633" i="16"/>
  <c r="F633" i="16"/>
  <c r="E633" i="16"/>
  <c r="I632" i="16"/>
  <c r="F632" i="16"/>
  <c r="E632" i="16"/>
  <c r="I631" i="16"/>
  <c r="F631" i="16"/>
  <c r="E631" i="16"/>
  <c r="I630" i="16"/>
  <c r="F630" i="16"/>
  <c r="E630" i="16"/>
  <c r="I629" i="16"/>
  <c r="F629" i="16"/>
  <c r="E629" i="16"/>
  <c r="I628" i="16"/>
  <c r="F628" i="16"/>
  <c r="E628" i="16"/>
  <c r="I627" i="16"/>
  <c r="F627" i="16"/>
  <c r="E627" i="16"/>
  <c r="I626" i="16"/>
  <c r="F626" i="16"/>
  <c r="E626" i="16"/>
  <c r="I625" i="16"/>
  <c r="F625" i="16"/>
  <c r="E625" i="16"/>
  <c r="I624" i="16"/>
  <c r="F624" i="16"/>
  <c r="E624" i="16"/>
  <c r="I623" i="16"/>
  <c r="F623" i="16"/>
  <c r="E623" i="16"/>
  <c r="I622" i="16"/>
  <c r="F622" i="16"/>
  <c r="E622" i="16"/>
  <c r="I621" i="16"/>
  <c r="F621" i="16"/>
  <c r="E621" i="16"/>
  <c r="I620" i="16"/>
  <c r="F620" i="16"/>
  <c r="E620" i="16"/>
  <c r="I619" i="16"/>
  <c r="F619" i="16"/>
  <c r="E619" i="16"/>
  <c r="I618" i="16"/>
  <c r="F618" i="16"/>
  <c r="E618" i="16"/>
  <c r="I617" i="16"/>
  <c r="F617" i="16"/>
  <c r="E617" i="16"/>
  <c r="I616" i="16"/>
  <c r="F616" i="16"/>
  <c r="E616" i="16"/>
  <c r="I615" i="16"/>
  <c r="F615" i="16"/>
  <c r="E615" i="16"/>
  <c r="I614" i="16"/>
  <c r="F614" i="16"/>
  <c r="E614" i="16"/>
  <c r="I613" i="16"/>
  <c r="F613" i="16"/>
  <c r="E613" i="16"/>
  <c r="I612" i="16"/>
  <c r="F612" i="16"/>
  <c r="E612" i="16"/>
  <c r="I611" i="16"/>
  <c r="F611" i="16"/>
  <c r="E611" i="16"/>
  <c r="I610" i="16"/>
  <c r="F610" i="16"/>
  <c r="E610" i="16"/>
  <c r="I609" i="16"/>
  <c r="F609" i="16"/>
  <c r="E609" i="16"/>
  <c r="I608" i="16"/>
  <c r="F608" i="16"/>
  <c r="E608" i="16"/>
  <c r="I607" i="16"/>
  <c r="F607" i="16"/>
  <c r="E607" i="16"/>
  <c r="I606" i="16"/>
  <c r="F606" i="16"/>
  <c r="E606" i="16"/>
  <c r="I605" i="16"/>
  <c r="F605" i="16"/>
  <c r="E605" i="16"/>
  <c r="I604" i="16"/>
  <c r="F604" i="16"/>
  <c r="E604" i="16"/>
  <c r="I603" i="16"/>
  <c r="F603" i="16"/>
  <c r="E603" i="16"/>
  <c r="I602" i="16"/>
  <c r="F602" i="16"/>
  <c r="E602" i="16"/>
  <c r="I601" i="16"/>
  <c r="F601" i="16"/>
  <c r="E601" i="16"/>
  <c r="I600" i="16"/>
  <c r="F600" i="16"/>
  <c r="E600" i="16"/>
  <c r="I599" i="16"/>
  <c r="F599" i="16"/>
  <c r="E599" i="16"/>
  <c r="I598" i="16"/>
  <c r="F598" i="16"/>
  <c r="E598" i="16"/>
  <c r="I597" i="16"/>
  <c r="F597" i="16"/>
  <c r="E597" i="16"/>
  <c r="I596" i="16"/>
  <c r="F596" i="16"/>
  <c r="E596" i="16"/>
  <c r="I595" i="16"/>
  <c r="F595" i="16"/>
  <c r="E595" i="16"/>
  <c r="I594" i="16"/>
  <c r="F594" i="16"/>
  <c r="E594" i="16"/>
  <c r="I593" i="16"/>
  <c r="F593" i="16"/>
  <c r="E593" i="16"/>
  <c r="I592" i="16"/>
  <c r="F592" i="16"/>
  <c r="E592" i="16"/>
  <c r="I591" i="16"/>
  <c r="F591" i="16"/>
  <c r="E591" i="16"/>
  <c r="I590" i="16"/>
  <c r="F590" i="16"/>
  <c r="E590" i="16"/>
  <c r="I589" i="16"/>
  <c r="F589" i="16"/>
  <c r="E589" i="16"/>
  <c r="I588" i="16"/>
  <c r="F588" i="16"/>
  <c r="E588" i="16"/>
  <c r="I587" i="16"/>
  <c r="F587" i="16"/>
  <c r="E587" i="16"/>
  <c r="I586" i="16"/>
  <c r="F586" i="16"/>
  <c r="E586" i="16"/>
  <c r="I585" i="16"/>
  <c r="F585" i="16"/>
  <c r="E585" i="16"/>
  <c r="I584" i="16"/>
  <c r="F584" i="16"/>
  <c r="E584" i="16"/>
  <c r="I583" i="16"/>
  <c r="F583" i="16"/>
  <c r="E583" i="16"/>
  <c r="I582" i="16"/>
  <c r="F582" i="16"/>
  <c r="E582" i="16"/>
  <c r="I581" i="16"/>
  <c r="F581" i="16"/>
  <c r="E581" i="16"/>
  <c r="I580" i="16"/>
  <c r="F580" i="16"/>
  <c r="E580" i="16"/>
  <c r="I579" i="16"/>
  <c r="F579" i="16"/>
  <c r="E579" i="16"/>
  <c r="I578" i="16"/>
  <c r="F578" i="16"/>
  <c r="E578" i="16"/>
  <c r="I577" i="16"/>
  <c r="F577" i="16"/>
  <c r="E577" i="16"/>
  <c r="I576" i="16"/>
  <c r="F576" i="16"/>
  <c r="E576" i="16"/>
  <c r="I575" i="16"/>
  <c r="F575" i="16"/>
  <c r="E575" i="16"/>
  <c r="I574" i="16"/>
  <c r="F574" i="16"/>
  <c r="E574" i="16"/>
  <c r="I573" i="16"/>
  <c r="F573" i="16"/>
  <c r="E573" i="16"/>
  <c r="I572" i="16"/>
  <c r="F572" i="16"/>
  <c r="E572" i="16"/>
  <c r="I571" i="16"/>
  <c r="F571" i="16"/>
  <c r="E571" i="16"/>
  <c r="I570" i="16"/>
  <c r="F570" i="16"/>
  <c r="E570" i="16"/>
  <c r="I569" i="16"/>
  <c r="F569" i="16"/>
  <c r="E569" i="16"/>
  <c r="I568" i="16"/>
  <c r="F568" i="16"/>
  <c r="E568" i="16"/>
  <c r="I567" i="16"/>
  <c r="F567" i="16"/>
  <c r="E567" i="16"/>
  <c r="I566" i="16"/>
  <c r="F566" i="16"/>
  <c r="E566" i="16"/>
  <c r="I565" i="16"/>
  <c r="F565" i="16"/>
  <c r="E565" i="16"/>
  <c r="I564" i="16"/>
  <c r="F564" i="16"/>
  <c r="E564" i="16"/>
  <c r="I563" i="16"/>
  <c r="F563" i="16"/>
  <c r="E563" i="16"/>
  <c r="I562" i="16"/>
  <c r="F562" i="16"/>
  <c r="E562" i="16"/>
  <c r="I561" i="16"/>
  <c r="F561" i="16"/>
  <c r="E561" i="16"/>
  <c r="I560" i="16"/>
  <c r="F560" i="16"/>
  <c r="E560" i="16"/>
  <c r="I559" i="16"/>
  <c r="F559" i="16"/>
  <c r="E559" i="16"/>
  <c r="I558" i="16"/>
  <c r="F558" i="16"/>
  <c r="E558" i="16"/>
  <c r="I557" i="16"/>
  <c r="F557" i="16"/>
  <c r="E557" i="16"/>
  <c r="I556" i="16"/>
  <c r="F556" i="16"/>
  <c r="E556" i="16"/>
  <c r="I555" i="16"/>
  <c r="F555" i="16"/>
  <c r="E555" i="16"/>
  <c r="I554" i="16"/>
  <c r="F554" i="16"/>
  <c r="E554" i="16"/>
  <c r="I553" i="16"/>
  <c r="F553" i="16"/>
  <c r="E553" i="16"/>
  <c r="I552" i="16"/>
  <c r="F552" i="16"/>
  <c r="E552" i="16"/>
  <c r="I551" i="16"/>
  <c r="F551" i="16"/>
  <c r="E551" i="16"/>
  <c r="I550" i="16"/>
  <c r="F550" i="16"/>
  <c r="E550" i="16"/>
  <c r="I549" i="16"/>
  <c r="F549" i="16"/>
  <c r="E549" i="16"/>
  <c r="I548" i="16"/>
  <c r="F548" i="16"/>
  <c r="E548" i="16"/>
  <c r="I547" i="16"/>
  <c r="F547" i="16"/>
  <c r="E547" i="16"/>
  <c r="I546" i="16"/>
  <c r="F546" i="16"/>
  <c r="E546" i="16"/>
  <c r="I545" i="16"/>
  <c r="F545" i="16"/>
  <c r="E545" i="16"/>
  <c r="I544" i="16"/>
  <c r="F544" i="16"/>
  <c r="E544" i="16"/>
  <c r="I543" i="16"/>
  <c r="F543" i="16"/>
  <c r="E543" i="16"/>
  <c r="I542" i="16"/>
  <c r="F542" i="16"/>
  <c r="E542" i="16"/>
  <c r="I541" i="16"/>
  <c r="F541" i="16"/>
  <c r="E541" i="16"/>
  <c r="I540" i="16"/>
  <c r="F540" i="16"/>
  <c r="E540" i="16"/>
  <c r="I539" i="16"/>
  <c r="F539" i="16"/>
  <c r="E539" i="16"/>
  <c r="I538" i="16"/>
  <c r="F538" i="16"/>
  <c r="E538" i="16"/>
  <c r="I537" i="16"/>
  <c r="F537" i="16"/>
  <c r="E537" i="16"/>
  <c r="I536" i="16"/>
  <c r="F536" i="16"/>
  <c r="E536" i="16"/>
  <c r="I535" i="16"/>
  <c r="F535" i="16"/>
  <c r="E535" i="16"/>
  <c r="I534" i="16"/>
  <c r="F534" i="16"/>
  <c r="E534" i="16"/>
  <c r="I533" i="16"/>
  <c r="F533" i="16"/>
  <c r="E533" i="16"/>
  <c r="I532" i="16"/>
  <c r="F532" i="16"/>
  <c r="E532" i="16"/>
  <c r="I531" i="16"/>
  <c r="F531" i="16"/>
  <c r="E531" i="16"/>
  <c r="I530" i="16"/>
  <c r="F530" i="16"/>
  <c r="E530" i="16"/>
  <c r="I529" i="16"/>
  <c r="F529" i="16"/>
  <c r="E529" i="16"/>
  <c r="I528" i="16"/>
  <c r="F528" i="16"/>
  <c r="E528" i="16"/>
  <c r="I527" i="16"/>
  <c r="F527" i="16"/>
  <c r="E527" i="16"/>
  <c r="I526" i="16"/>
  <c r="F526" i="16"/>
  <c r="E526" i="16"/>
  <c r="I525" i="16"/>
  <c r="F525" i="16"/>
  <c r="E525" i="16"/>
  <c r="I524" i="16"/>
  <c r="F524" i="16"/>
  <c r="E524" i="16"/>
  <c r="I523" i="16"/>
  <c r="F523" i="16"/>
  <c r="E523" i="16"/>
  <c r="I522" i="16"/>
  <c r="F522" i="16"/>
  <c r="E522" i="16"/>
  <c r="I521" i="16"/>
  <c r="F521" i="16"/>
  <c r="E521" i="16"/>
  <c r="I520" i="16"/>
  <c r="F520" i="16"/>
  <c r="E520" i="16"/>
  <c r="I519" i="16"/>
  <c r="F519" i="16"/>
  <c r="E519" i="16"/>
  <c r="I518" i="16"/>
  <c r="F518" i="16"/>
  <c r="E518" i="16"/>
  <c r="I517" i="16"/>
  <c r="F517" i="16"/>
  <c r="E517" i="16"/>
  <c r="I516" i="16"/>
  <c r="F516" i="16"/>
  <c r="E516" i="16"/>
  <c r="I515" i="16"/>
  <c r="F515" i="16"/>
  <c r="E515" i="16"/>
  <c r="I514" i="16"/>
  <c r="F514" i="16"/>
  <c r="E514" i="16"/>
  <c r="I513" i="16"/>
  <c r="F513" i="16"/>
  <c r="E513" i="16"/>
  <c r="I512" i="16"/>
  <c r="F512" i="16"/>
  <c r="E512" i="16"/>
  <c r="I511" i="16"/>
  <c r="F511" i="16"/>
  <c r="E511" i="16"/>
  <c r="I510" i="16"/>
  <c r="F510" i="16"/>
  <c r="E510" i="16"/>
  <c r="I509" i="16"/>
  <c r="F509" i="16"/>
  <c r="E509" i="16"/>
  <c r="I508" i="16"/>
  <c r="F508" i="16"/>
  <c r="E508" i="16"/>
  <c r="I507" i="16"/>
  <c r="F507" i="16"/>
  <c r="E507" i="16"/>
  <c r="I506" i="16"/>
  <c r="F506" i="16"/>
  <c r="E506" i="16"/>
  <c r="I505" i="16"/>
  <c r="F505" i="16"/>
  <c r="E505" i="16"/>
  <c r="I504" i="16"/>
  <c r="F504" i="16"/>
  <c r="E504" i="16"/>
  <c r="I503" i="16"/>
  <c r="F503" i="16"/>
  <c r="E503" i="16"/>
  <c r="I502" i="16"/>
  <c r="F502" i="16"/>
  <c r="E502" i="16"/>
  <c r="I501" i="16"/>
  <c r="F501" i="16"/>
  <c r="E501" i="16"/>
  <c r="I500" i="16"/>
  <c r="F500" i="16"/>
  <c r="E500" i="16"/>
  <c r="I499" i="16"/>
  <c r="F499" i="16"/>
  <c r="E499" i="16"/>
  <c r="I498" i="16"/>
  <c r="F498" i="16"/>
  <c r="E498" i="16"/>
  <c r="I497" i="16"/>
  <c r="F497" i="16"/>
  <c r="E497" i="16"/>
  <c r="I496" i="16"/>
  <c r="F496" i="16"/>
  <c r="E496" i="16"/>
  <c r="I495" i="16"/>
  <c r="F495" i="16"/>
  <c r="E495" i="16"/>
  <c r="I494" i="16"/>
  <c r="F494" i="16"/>
  <c r="E494" i="16"/>
  <c r="I493" i="16"/>
  <c r="F493" i="16"/>
  <c r="E493" i="16"/>
  <c r="I492" i="16"/>
  <c r="F492" i="16"/>
  <c r="E492" i="16"/>
  <c r="I491" i="16"/>
  <c r="F491" i="16"/>
  <c r="E491" i="16"/>
  <c r="I490" i="16"/>
  <c r="F490" i="16"/>
  <c r="E490" i="16"/>
  <c r="I489" i="16"/>
  <c r="F489" i="16"/>
  <c r="E489" i="16"/>
  <c r="I488" i="16"/>
  <c r="F488" i="16"/>
  <c r="E488" i="16"/>
  <c r="I487" i="16"/>
  <c r="F487" i="16"/>
  <c r="E487" i="16"/>
  <c r="I486" i="16"/>
  <c r="F486" i="16"/>
  <c r="E486" i="16"/>
  <c r="I485" i="16"/>
  <c r="F485" i="16"/>
  <c r="E485" i="16"/>
  <c r="I484" i="16"/>
  <c r="F484" i="16"/>
  <c r="E484" i="16"/>
  <c r="I483" i="16"/>
  <c r="F483" i="16"/>
  <c r="E483" i="16"/>
  <c r="I482" i="16"/>
  <c r="F482" i="16"/>
  <c r="E482" i="16"/>
  <c r="I481" i="16"/>
  <c r="F481" i="16"/>
  <c r="E481" i="16"/>
  <c r="I480" i="16"/>
  <c r="F480" i="16"/>
  <c r="E480" i="16"/>
  <c r="I479" i="16"/>
  <c r="F479" i="16"/>
  <c r="E479" i="16"/>
  <c r="I478" i="16"/>
  <c r="F478" i="16"/>
  <c r="E478" i="16"/>
  <c r="I477" i="16"/>
  <c r="F477" i="16"/>
  <c r="E477" i="16"/>
  <c r="I476" i="16"/>
  <c r="F476" i="16"/>
  <c r="E476" i="16"/>
  <c r="I475" i="16"/>
  <c r="F475" i="16"/>
  <c r="E475" i="16"/>
  <c r="I474" i="16"/>
  <c r="F474" i="16"/>
  <c r="E474" i="16"/>
  <c r="I473" i="16"/>
  <c r="F473" i="16"/>
  <c r="E473" i="16"/>
  <c r="I472" i="16"/>
  <c r="F472" i="16"/>
  <c r="E472" i="16"/>
  <c r="I471" i="16"/>
  <c r="F471" i="16"/>
  <c r="E471" i="16"/>
  <c r="I470" i="16"/>
  <c r="F470" i="16"/>
  <c r="E470" i="16"/>
  <c r="I469" i="16"/>
  <c r="F469" i="16"/>
  <c r="E469" i="16"/>
  <c r="I468" i="16"/>
  <c r="F468" i="16"/>
  <c r="E468" i="16"/>
  <c r="I467" i="16"/>
  <c r="F467" i="16"/>
  <c r="E467" i="16"/>
  <c r="I466" i="16"/>
  <c r="F466" i="16"/>
  <c r="E466" i="16"/>
  <c r="I465" i="16"/>
  <c r="F465" i="16"/>
  <c r="E465" i="16"/>
  <c r="I464" i="16"/>
  <c r="F464" i="16"/>
  <c r="E464" i="16"/>
  <c r="I463" i="16"/>
  <c r="F463" i="16"/>
  <c r="E463" i="16"/>
  <c r="I462" i="16"/>
  <c r="F462" i="16"/>
  <c r="E462" i="16"/>
  <c r="I461" i="16"/>
  <c r="F461" i="16"/>
  <c r="E461" i="16"/>
  <c r="I460" i="16"/>
  <c r="F460" i="16"/>
  <c r="E460" i="16"/>
  <c r="I459" i="16"/>
  <c r="F459" i="16"/>
  <c r="E459" i="16"/>
  <c r="I458" i="16"/>
  <c r="F458" i="16"/>
  <c r="E458" i="16"/>
  <c r="I457" i="16"/>
  <c r="F457" i="16"/>
  <c r="E457" i="16"/>
  <c r="I456" i="16"/>
  <c r="F456" i="16"/>
  <c r="E456" i="16"/>
  <c r="I455" i="16"/>
  <c r="F455" i="16"/>
  <c r="E455" i="16"/>
  <c r="I454" i="16"/>
  <c r="F454" i="16"/>
  <c r="E454" i="16"/>
  <c r="I453" i="16"/>
  <c r="F453" i="16"/>
  <c r="E453" i="16"/>
  <c r="I452" i="16"/>
  <c r="F452" i="16"/>
  <c r="E452" i="16"/>
  <c r="I451" i="16"/>
  <c r="F451" i="16"/>
  <c r="E451" i="16"/>
  <c r="I450" i="16"/>
  <c r="F450" i="16"/>
  <c r="E450" i="16"/>
  <c r="I449" i="16"/>
  <c r="F449" i="16"/>
  <c r="E449" i="16"/>
  <c r="I448" i="16"/>
  <c r="F448" i="16"/>
  <c r="E448" i="16"/>
  <c r="I447" i="16"/>
  <c r="F447" i="16"/>
  <c r="E447" i="16"/>
  <c r="I446" i="16"/>
  <c r="F446" i="16"/>
  <c r="E446" i="16"/>
  <c r="I445" i="16"/>
  <c r="F445" i="16"/>
  <c r="E445" i="16"/>
  <c r="I444" i="16"/>
  <c r="F444" i="16"/>
  <c r="E444" i="16"/>
  <c r="I443" i="16"/>
  <c r="F443" i="16"/>
  <c r="E443" i="16"/>
  <c r="I442" i="16"/>
  <c r="F442" i="16"/>
  <c r="E442" i="16"/>
  <c r="I441" i="16"/>
  <c r="F441" i="16"/>
  <c r="E441" i="16"/>
  <c r="I440" i="16"/>
  <c r="F440" i="16"/>
  <c r="E440" i="16"/>
  <c r="I439" i="16"/>
  <c r="F439" i="16"/>
  <c r="E439" i="16"/>
  <c r="I438" i="16"/>
  <c r="F438" i="16"/>
  <c r="E438" i="16"/>
  <c r="I437" i="16"/>
  <c r="F437" i="16"/>
  <c r="E437" i="16"/>
  <c r="I436" i="16"/>
  <c r="F436" i="16"/>
  <c r="E436" i="16"/>
  <c r="I435" i="16"/>
  <c r="F435" i="16"/>
  <c r="E435" i="16"/>
  <c r="I434" i="16"/>
  <c r="F434" i="16"/>
  <c r="E434" i="16"/>
  <c r="I433" i="16"/>
  <c r="F433" i="16"/>
  <c r="E433" i="16"/>
  <c r="I432" i="16"/>
  <c r="F432" i="16"/>
  <c r="E432" i="16"/>
  <c r="I431" i="16"/>
  <c r="F431" i="16"/>
  <c r="E431" i="16"/>
  <c r="I430" i="16"/>
  <c r="F430" i="16"/>
  <c r="E430" i="16"/>
  <c r="I429" i="16"/>
  <c r="F429" i="16"/>
  <c r="E429" i="16"/>
  <c r="I428" i="16"/>
  <c r="F428" i="16"/>
  <c r="E428" i="16"/>
  <c r="I427" i="16"/>
  <c r="F427" i="16"/>
  <c r="E427" i="16"/>
  <c r="I426" i="16"/>
  <c r="F426" i="16"/>
  <c r="E426" i="16"/>
  <c r="I425" i="16"/>
  <c r="F425" i="16"/>
  <c r="E425" i="16"/>
  <c r="I424" i="16"/>
  <c r="F424" i="16"/>
  <c r="E424" i="16"/>
  <c r="I423" i="16"/>
  <c r="F423" i="16"/>
  <c r="E423" i="16"/>
  <c r="I422" i="16"/>
  <c r="F422" i="16"/>
  <c r="E422" i="16"/>
  <c r="I421" i="16"/>
  <c r="F421" i="16"/>
  <c r="E421" i="16"/>
  <c r="I420" i="16"/>
  <c r="F420" i="16"/>
  <c r="E420" i="16"/>
  <c r="I419" i="16"/>
  <c r="F419" i="16"/>
  <c r="E419" i="16"/>
  <c r="I418" i="16"/>
  <c r="F418" i="16"/>
  <c r="E418" i="16"/>
  <c r="I417" i="16"/>
  <c r="F417" i="16"/>
  <c r="E417" i="16"/>
  <c r="I416" i="16"/>
  <c r="F416" i="16"/>
  <c r="E416" i="16"/>
  <c r="I415" i="16"/>
  <c r="F415" i="16"/>
  <c r="E415" i="16"/>
  <c r="I414" i="16"/>
  <c r="F414" i="16"/>
  <c r="E414" i="16"/>
  <c r="I413" i="16"/>
  <c r="F413" i="16"/>
  <c r="E413" i="16"/>
  <c r="I412" i="16"/>
  <c r="F412" i="16"/>
  <c r="E412" i="16"/>
  <c r="I411" i="16"/>
  <c r="F411" i="16"/>
  <c r="E411" i="16"/>
  <c r="I410" i="16"/>
  <c r="F410" i="16"/>
  <c r="E410" i="16"/>
  <c r="I409" i="16"/>
  <c r="F409" i="16"/>
  <c r="E409" i="16"/>
  <c r="I408" i="16"/>
  <c r="F408" i="16"/>
  <c r="E408" i="16"/>
  <c r="I407" i="16"/>
  <c r="F407" i="16"/>
  <c r="E407" i="16"/>
  <c r="I406" i="16"/>
  <c r="F406" i="16"/>
  <c r="E406" i="16"/>
  <c r="I405" i="16"/>
  <c r="F405" i="16"/>
  <c r="E405" i="16"/>
  <c r="I404" i="16"/>
  <c r="F404" i="16"/>
  <c r="E404" i="16"/>
  <c r="I403" i="16"/>
  <c r="F403" i="16"/>
  <c r="E403" i="16"/>
  <c r="I402" i="16"/>
  <c r="F402" i="16"/>
  <c r="E402" i="16"/>
  <c r="I401" i="16"/>
  <c r="F401" i="16"/>
  <c r="E401" i="16"/>
  <c r="I400" i="16"/>
  <c r="F400" i="16"/>
  <c r="E400" i="16"/>
  <c r="I399" i="16"/>
  <c r="F399" i="16"/>
  <c r="E399" i="16"/>
  <c r="I398" i="16"/>
  <c r="F398" i="16"/>
  <c r="E398" i="16"/>
  <c r="I397" i="16"/>
  <c r="F397" i="16"/>
  <c r="E397" i="16"/>
  <c r="I396" i="16"/>
  <c r="F396" i="16"/>
  <c r="E396" i="16"/>
  <c r="I395" i="16"/>
  <c r="F395" i="16"/>
  <c r="E395" i="16"/>
  <c r="I394" i="16"/>
  <c r="F394" i="16"/>
  <c r="E394" i="16"/>
  <c r="I393" i="16"/>
  <c r="F393" i="16"/>
  <c r="E393" i="16"/>
  <c r="I392" i="16"/>
  <c r="F392" i="16"/>
  <c r="E392" i="16"/>
  <c r="I391" i="16"/>
  <c r="F391" i="16"/>
  <c r="E391" i="16"/>
  <c r="I390" i="16"/>
  <c r="F390" i="16"/>
  <c r="E390" i="16"/>
  <c r="I389" i="16"/>
  <c r="F389" i="16"/>
  <c r="E389" i="16"/>
  <c r="I388" i="16"/>
  <c r="F388" i="16"/>
  <c r="E388" i="16"/>
  <c r="I387" i="16"/>
  <c r="F387" i="16"/>
  <c r="E387" i="16"/>
  <c r="I386" i="16"/>
  <c r="F386" i="16"/>
  <c r="E386" i="16"/>
  <c r="I385" i="16"/>
  <c r="F385" i="16"/>
  <c r="E385" i="16"/>
  <c r="I384" i="16"/>
  <c r="F384" i="16"/>
  <c r="E384" i="16"/>
  <c r="I383" i="16"/>
  <c r="F383" i="16"/>
  <c r="E383" i="16"/>
  <c r="I382" i="16"/>
  <c r="F382" i="16"/>
  <c r="E382" i="16"/>
  <c r="I381" i="16"/>
  <c r="F381" i="16"/>
  <c r="E381" i="16"/>
  <c r="I380" i="16"/>
  <c r="F380" i="16"/>
  <c r="E380" i="16"/>
  <c r="I379" i="16"/>
  <c r="F379" i="16"/>
  <c r="E379" i="16"/>
  <c r="I378" i="16"/>
  <c r="F378" i="16"/>
  <c r="E378" i="16"/>
  <c r="I377" i="16"/>
  <c r="F377" i="16"/>
  <c r="E377" i="16"/>
  <c r="I376" i="16"/>
  <c r="F376" i="16"/>
  <c r="E376" i="16"/>
  <c r="I375" i="16"/>
  <c r="F375" i="16"/>
  <c r="E375" i="16"/>
  <c r="I374" i="16"/>
  <c r="F374" i="16"/>
  <c r="E374" i="16"/>
  <c r="I373" i="16"/>
  <c r="F373" i="16"/>
  <c r="E373" i="16"/>
  <c r="I372" i="16"/>
  <c r="F372" i="16"/>
  <c r="E372" i="16"/>
  <c r="I371" i="16"/>
  <c r="F371" i="16"/>
  <c r="E371" i="16"/>
  <c r="I370" i="16"/>
  <c r="F370" i="16"/>
  <c r="E370" i="16"/>
  <c r="I369" i="16"/>
  <c r="F369" i="16"/>
  <c r="E369" i="16"/>
  <c r="I368" i="16"/>
  <c r="F368" i="16"/>
  <c r="E368" i="16"/>
  <c r="I367" i="16"/>
  <c r="F367" i="16"/>
  <c r="E367" i="16"/>
  <c r="I366" i="16"/>
  <c r="F366" i="16"/>
  <c r="E366" i="16"/>
  <c r="I365" i="16"/>
  <c r="F365" i="16"/>
  <c r="E365" i="16"/>
  <c r="I364" i="16"/>
  <c r="F364" i="16"/>
  <c r="E364" i="16"/>
  <c r="I363" i="16"/>
  <c r="F363" i="16"/>
  <c r="E363" i="16"/>
  <c r="I362" i="16"/>
  <c r="F362" i="16"/>
  <c r="E362" i="16"/>
  <c r="I361" i="16"/>
  <c r="F361" i="16"/>
  <c r="E361" i="16"/>
  <c r="I360" i="16"/>
  <c r="F360" i="16"/>
  <c r="E360" i="16"/>
  <c r="I359" i="16"/>
  <c r="F359" i="16"/>
  <c r="E359" i="16"/>
  <c r="I358" i="16"/>
  <c r="F358" i="16"/>
  <c r="E358" i="16"/>
  <c r="I357" i="16"/>
  <c r="F357" i="16"/>
  <c r="E357" i="16"/>
  <c r="I356" i="16"/>
  <c r="F356" i="16"/>
  <c r="E356" i="16"/>
  <c r="I355" i="16"/>
  <c r="F355" i="16"/>
  <c r="E355" i="16"/>
  <c r="I354" i="16"/>
  <c r="F354" i="16"/>
  <c r="E354" i="16"/>
  <c r="I353" i="16"/>
  <c r="F353" i="16"/>
  <c r="E353" i="16"/>
  <c r="I352" i="16"/>
  <c r="F352" i="16"/>
  <c r="E352" i="16"/>
  <c r="I351" i="16"/>
  <c r="F351" i="16"/>
  <c r="E351" i="16"/>
  <c r="I350" i="16"/>
  <c r="F350" i="16"/>
  <c r="E350" i="16"/>
  <c r="I349" i="16"/>
  <c r="F349" i="16"/>
  <c r="E349" i="16"/>
  <c r="I348" i="16"/>
  <c r="F348" i="16"/>
  <c r="E348" i="16"/>
  <c r="I347" i="16"/>
  <c r="F347" i="16"/>
  <c r="E347" i="16"/>
  <c r="I346" i="16"/>
  <c r="F346" i="16"/>
  <c r="E346" i="16"/>
  <c r="I345" i="16"/>
  <c r="F345" i="16"/>
  <c r="E345" i="16"/>
  <c r="I344" i="16"/>
  <c r="F344" i="16"/>
  <c r="E344" i="16"/>
  <c r="I343" i="16"/>
  <c r="F343" i="16"/>
  <c r="E343" i="16"/>
  <c r="I342" i="16"/>
  <c r="F342" i="16"/>
  <c r="E342" i="16"/>
  <c r="I341" i="16"/>
  <c r="F341" i="16"/>
  <c r="E341" i="16"/>
  <c r="I340" i="16"/>
  <c r="F340" i="16"/>
  <c r="E340" i="16"/>
  <c r="I339" i="16"/>
  <c r="F339" i="16"/>
  <c r="E339" i="16"/>
  <c r="I338" i="16"/>
  <c r="F338" i="16"/>
  <c r="E338" i="16"/>
  <c r="I337" i="16"/>
  <c r="F337" i="16"/>
  <c r="E337" i="16"/>
  <c r="I336" i="16"/>
  <c r="F336" i="16"/>
  <c r="E336" i="16"/>
  <c r="I335" i="16"/>
  <c r="F335" i="16"/>
  <c r="E335" i="16"/>
  <c r="I334" i="16"/>
  <c r="F334" i="16"/>
  <c r="E334" i="16"/>
  <c r="I333" i="16"/>
  <c r="F333" i="16"/>
  <c r="E333" i="16"/>
  <c r="I332" i="16"/>
  <c r="F332" i="16"/>
  <c r="E332" i="16"/>
  <c r="I331" i="16"/>
  <c r="F331" i="16"/>
  <c r="E331" i="16"/>
  <c r="I330" i="16"/>
  <c r="F330" i="16"/>
  <c r="E330" i="16"/>
  <c r="I329" i="16"/>
  <c r="F329" i="16"/>
  <c r="E329" i="16"/>
  <c r="I328" i="16"/>
  <c r="F328" i="16"/>
  <c r="E328" i="16"/>
  <c r="I327" i="16"/>
  <c r="F327" i="16"/>
  <c r="E327" i="16"/>
  <c r="I326" i="16"/>
  <c r="F326" i="16"/>
  <c r="E326" i="16"/>
  <c r="I325" i="16"/>
  <c r="F325" i="16"/>
  <c r="E325" i="16"/>
  <c r="I324" i="16"/>
  <c r="F324" i="16"/>
  <c r="E324" i="16"/>
  <c r="I323" i="16"/>
  <c r="F323" i="16"/>
  <c r="E323" i="16"/>
  <c r="I322" i="16"/>
  <c r="F322" i="16"/>
  <c r="E322" i="16"/>
  <c r="I321" i="16"/>
  <c r="F321" i="16"/>
  <c r="E321" i="16"/>
  <c r="I320" i="16"/>
  <c r="F320" i="16"/>
  <c r="E320" i="16"/>
  <c r="I319" i="16"/>
  <c r="F319" i="16"/>
  <c r="E319" i="16"/>
  <c r="I318" i="16"/>
  <c r="F318" i="16"/>
  <c r="E318" i="16"/>
  <c r="I317" i="16"/>
  <c r="F317" i="16"/>
  <c r="E317" i="16"/>
  <c r="I316" i="16"/>
  <c r="F316" i="16"/>
  <c r="E316" i="16"/>
  <c r="I315" i="16"/>
  <c r="F315" i="16"/>
  <c r="E315" i="16"/>
  <c r="I314" i="16"/>
  <c r="F314" i="16"/>
  <c r="E314" i="16"/>
  <c r="I313" i="16"/>
  <c r="F313" i="16"/>
  <c r="E313" i="16"/>
  <c r="I312" i="16"/>
  <c r="F312" i="16"/>
  <c r="E312" i="16"/>
  <c r="I311" i="16"/>
  <c r="F311" i="16"/>
  <c r="E311" i="16"/>
  <c r="I310" i="16"/>
  <c r="F310" i="16"/>
  <c r="E310" i="16"/>
  <c r="I309" i="16"/>
  <c r="F309" i="16"/>
  <c r="E309" i="16"/>
  <c r="I308" i="16"/>
  <c r="F308" i="16"/>
  <c r="E308" i="16"/>
  <c r="I307" i="16"/>
  <c r="F307" i="16"/>
  <c r="E307" i="16"/>
  <c r="I306" i="16"/>
  <c r="F306" i="16"/>
  <c r="E306" i="16"/>
  <c r="I305" i="16"/>
  <c r="F305" i="16"/>
  <c r="E305" i="16"/>
  <c r="I304" i="16"/>
  <c r="F304" i="16"/>
  <c r="E304" i="16"/>
  <c r="I303" i="16"/>
  <c r="F303" i="16"/>
  <c r="E303" i="16"/>
  <c r="I302" i="16"/>
  <c r="F302" i="16"/>
  <c r="E302" i="16"/>
  <c r="I301" i="16"/>
  <c r="F301" i="16"/>
  <c r="E301" i="16"/>
  <c r="I300" i="16"/>
  <c r="F300" i="16"/>
  <c r="E300" i="16"/>
  <c r="I299" i="16"/>
  <c r="F299" i="16"/>
  <c r="E299" i="16"/>
  <c r="I298" i="16"/>
  <c r="F298" i="16"/>
  <c r="E298" i="16"/>
  <c r="I297" i="16"/>
  <c r="F297" i="16"/>
  <c r="E297" i="16"/>
  <c r="I296" i="16"/>
  <c r="F296" i="16"/>
  <c r="E296" i="16"/>
  <c r="I295" i="16"/>
  <c r="F295" i="16"/>
  <c r="E295" i="16"/>
  <c r="I294" i="16"/>
  <c r="F294" i="16"/>
  <c r="E294" i="16"/>
  <c r="I293" i="16"/>
  <c r="F293" i="16"/>
  <c r="E293" i="16"/>
  <c r="I292" i="16"/>
  <c r="F292" i="16"/>
  <c r="E292" i="16"/>
  <c r="I291" i="16"/>
  <c r="F291" i="16"/>
  <c r="E291" i="16"/>
  <c r="I290" i="16"/>
  <c r="F290" i="16"/>
  <c r="E290" i="16"/>
  <c r="I289" i="16"/>
  <c r="F289" i="16"/>
  <c r="E289" i="16"/>
  <c r="I288" i="16"/>
  <c r="F288" i="16"/>
  <c r="E288" i="16"/>
  <c r="I287" i="16"/>
  <c r="F287" i="16"/>
  <c r="E287" i="16"/>
  <c r="I286" i="16"/>
  <c r="F286" i="16"/>
  <c r="E286" i="16"/>
  <c r="I285" i="16"/>
  <c r="F285" i="16"/>
  <c r="E285" i="16"/>
  <c r="I284" i="16"/>
  <c r="F284" i="16"/>
  <c r="E284" i="16"/>
  <c r="I283" i="16"/>
  <c r="F283" i="16"/>
  <c r="E283" i="16"/>
  <c r="I282" i="16"/>
  <c r="F282" i="16"/>
  <c r="E282" i="16"/>
  <c r="I281" i="16"/>
  <c r="F281" i="16"/>
  <c r="E281" i="16"/>
  <c r="I280" i="16"/>
  <c r="F280" i="16"/>
  <c r="E280" i="16"/>
  <c r="I279" i="16"/>
  <c r="F279" i="16"/>
  <c r="E279" i="16"/>
  <c r="I278" i="16"/>
  <c r="F278" i="16"/>
  <c r="E278" i="16"/>
  <c r="I277" i="16"/>
  <c r="F277" i="16"/>
  <c r="E277" i="16"/>
  <c r="I276" i="16"/>
  <c r="F276" i="16"/>
  <c r="E276" i="16"/>
  <c r="I275" i="16"/>
  <c r="F275" i="16"/>
  <c r="E275" i="16"/>
  <c r="I274" i="16"/>
  <c r="F274" i="16"/>
  <c r="E274" i="16"/>
  <c r="I273" i="16"/>
  <c r="F273" i="16"/>
  <c r="E273" i="16"/>
  <c r="I272" i="16"/>
  <c r="F272" i="16"/>
  <c r="E272" i="16"/>
  <c r="I271" i="16"/>
  <c r="F271" i="16"/>
  <c r="E271" i="16"/>
  <c r="I270" i="16"/>
  <c r="F270" i="16"/>
  <c r="E270" i="16"/>
  <c r="I269" i="16"/>
  <c r="F269" i="16"/>
  <c r="E269" i="16"/>
  <c r="I268" i="16"/>
  <c r="F268" i="16"/>
  <c r="E268" i="16"/>
  <c r="I267" i="16"/>
  <c r="F267" i="16"/>
  <c r="E267" i="16"/>
  <c r="I266" i="16"/>
  <c r="F266" i="16"/>
  <c r="E266" i="16"/>
  <c r="I265" i="16"/>
  <c r="F265" i="16"/>
  <c r="E265" i="16"/>
  <c r="I264" i="16"/>
  <c r="F264" i="16"/>
  <c r="E264" i="16"/>
  <c r="I263" i="16"/>
  <c r="F263" i="16"/>
  <c r="E263" i="16"/>
  <c r="I262" i="16"/>
  <c r="F262" i="16"/>
  <c r="E262" i="16"/>
  <c r="I261" i="16"/>
  <c r="F261" i="16"/>
  <c r="E261" i="16"/>
  <c r="I260" i="16"/>
  <c r="F260" i="16"/>
  <c r="E260" i="16"/>
  <c r="I259" i="16"/>
  <c r="F259" i="16"/>
  <c r="E259" i="16"/>
  <c r="I258" i="16"/>
  <c r="F258" i="16"/>
  <c r="E258" i="16"/>
  <c r="I257" i="16"/>
  <c r="F257" i="16"/>
  <c r="E257" i="16"/>
  <c r="I256" i="16"/>
  <c r="F256" i="16"/>
  <c r="E256" i="16"/>
  <c r="I255" i="16"/>
  <c r="F255" i="16"/>
  <c r="E255" i="16"/>
  <c r="I254" i="16"/>
  <c r="F254" i="16"/>
  <c r="E254" i="16"/>
  <c r="I253" i="16"/>
  <c r="F253" i="16"/>
  <c r="E253" i="16"/>
  <c r="I252" i="16"/>
  <c r="F252" i="16"/>
  <c r="E252" i="16"/>
  <c r="I251" i="16"/>
  <c r="F251" i="16"/>
  <c r="E251" i="16"/>
  <c r="I250" i="16"/>
  <c r="F250" i="16"/>
  <c r="E250" i="16"/>
  <c r="I249" i="16"/>
  <c r="F249" i="16"/>
  <c r="E249" i="16"/>
  <c r="I248" i="16"/>
  <c r="F248" i="16"/>
  <c r="E248" i="16"/>
  <c r="I247" i="16"/>
  <c r="F247" i="16"/>
  <c r="E247" i="16"/>
  <c r="I246" i="16"/>
  <c r="F246" i="16"/>
  <c r="E246" i="16"/>
  <c r="I245" i="16"/>
  <c r="F245" i="16"/>
  <c r="E245" i="16"/>
  <c r="I244" i="16"/>
  <c r="F244" i="16"/>
  <c r="E244" i="16"/>
  <c r="I243" i="16"/>
  <c r="F243" i="16"/>
  <c r="E243" i="16"/>
  <c r="I242" i="16"/>
  <c r="F242" i="16"/>
  <c r="E242" i="16"/>
  <c r="I241" i="16"/>
  <c r="F241" i="16"/>
  <c r="E241" i="16"/>
  <c r="I240" i="16"/>
  <c r="F240" i="16"/>
  <c r="E240" i="16"/>
  <c r="I239" i="16"/>
  <c r="F239" i="16"/>
  <c r="E239" i="16"/>
  <c r="I238" i="16"/>
  <c r="F238" i="16"/>
  <c r="E238" i="16"/>
  <c r="I237" i="16"/>
  <c r="F237" i="16"/>
  <c r="E237" i="16"/>
  <c r="I236" i="16"/>
  <c r="F236" i="16"/>
  <c r="E236" i="16"/>
  <c r="I235" i="16"/>
  <c r="F235" i="16"/>
  <c r="E235" i="16"/>
  <c r="I234" i="16"/>
  <c r="F234" i="16"/>
  <c r="E234" i="16"/>
  <c r="I233" i="16"/>
  <c r="F233" i="16"/>
  <c r="E233" i="16"/>
  <c r="I232" i="16"/>
  <c r="F232" i="16"/>
  <c r="E232" i="16"/>
  <c r="I231" i="16"/>
  <c r="F231" i="16"/>
  <c r="E231" i="16"/>
  <c r="I230" i="16"/>
  <c r="F230" i="16"/>
  <c r="E230" i="16"/>
  <c r="I229" i="16"/>
  <c r="F229" i="16"/>
  <c r="E229" i="16"/>
  <c r="I228" i="16"/>
  <c r="F228" i="16"/>
  <c r="E228" i="16"/>
  <c r="I227" i="16"/>
  <c r="F227" i="16"/>
  <c r="E227" i="16"/>
  <c r="I226" i="16"/>
  <c r="F226" i="16"/>
  <c r="E226" i="16"/>
  <c r="I225" i="16"/>
  <c r="F225" i="16"/>
  <c r="E225" i="16"/>
  <c r="I224" i="16"/>
  <c r="F224" i="16"/>
  <c r="E224" i="16"/>
  <c r="I223" i="16"/>
  <c r="F223" i="16"/>
  <c r="E223" i="16"/>
  <c r="I222" i="16"/>
  <c r="F222" i="16"/>
  <c r="E222" i="16"/>
  <c r="I221" i="16"/>
  <c r="F221" i="16"/>
  <c r="E221" i="16"/>
  <c r="I220" i="16"/>
  <c r="F220" i="16"/>
  <c r="E220" i="16"/>
  <c r="I219" i="16"/>
  <c r="F219" i="16"/>
  <c r="E219" i="16"/>
  <c r="I218" i="16"/>
  <c r="F218" i="16"/>
  <c r="E218" i="16"/>
  <c r="I217" i="16"/>
  <c r="F217" i="16"/>
  <c r="E217" i="16"/>
  <c r="I216" i="16"/>
  <c r="F216" i="16"/>
  <c r="E216" i="16"/>
  <c r="I215" i="16"/>
  <c r="F215" i="16"/>
  <c r="E215" i="16"/>
  <c r="I214" i="16"/>
  <c r="F214" i="16"/>
  <c r="E214" i="16"/>
  <c r="I213" i="16"/>
  <c r="F213" i="16"/>
  <c r="E213" i="16"/>
  <c r="I212" i="16"/>
  <c r="F212" i="16"/>
  <c r="E212" i="16"/>
  <c r="I211" i="16"/>
  <c r="F211" i="16"/>
  <c r="E211" i="16"/>
  <c r="I210" i="16"/>
  <c r="F210" i="16"/>
  <c r="E210" i="16"/>
  <c r="I209" i="16"/>
  <c r="F209" i="16"/>
  <c r="E209" i="16"/>
  <c r="I208" i="16"/>
  <c r="F208" i="16"/>
  <c r="E208" i="16"/>
  <c r="I207" i="16"/>
  <c r="F207" i="16"/>
  <c r="E207" i="16"/>
  <c r="I206" i="16"/>
  <c r="F206" i="16"/>
  <c r="E206" i="16"/>
  <c r="I205" i="16"/>
  <c r="F205" i="16"/>
  <c r="E205" i="16"/>
  <c r="I204" i="16"/>
  <c r="F204" i="16"/>
  <c r="E204" i="16"/>
  <c r="I203" i="16"/>
  <c r="F203" i="16"/>
  <c r="E203" i="16"/>
  <c r="I202" i="16"/>
  <c r="F202" i="16"/>
  <c r="E202" i="16"/>
  <c r="I201" i="16"/>
  <c r="F201" i="16"/>
  <c r="E201" i="16"/>
  <c r="I200" i="16"/>
  <c r="F200" i="16"/>
  <c r="E200" i="16"/>
  <c r="I199" i="16"/>
  <c r="F199" i="16"/>
  <c r="E199" i="16"/>
  <c r="I198" i="16"/>
  <c r="F198" i="16"/>
  <c r="E198" i="16"/>
  <c r="I197" i="16"/>
  <c r="F197" i="16"/>
  <c r="E197" i="16"/>
  <c r="I196" i="16"/>
  <c r="F196" i="16"/>
  <c r="E196" i="16"/>
  <c r="I195" i="16"/>
  <c r="F195" i="16"/>
  <c r="E195" i="16"/>
  <c r="I194" i="16"/>
  <c r="F194" i="16"/>
  <c r="E194" i="16"/>
  <c r="I193" i="16"/>
  <c r="F193" i="16"/>
  <c r="E193" i="16"/>
  <c r="I192" i="16"/>
  <c r="F192" i="16"/>
  <c r="E192" i="16"/>
  <c r="I191" i="16"/>
  <c r="F191" i="16"/>
  <c r="E191" i="16"/>
  <c r="I190" i="16"/>
  <c r="F190" i="16"/>
  <c r="E190" i="16"/>
  <c r="I189" i="16"/>
  <c r="F189" i="16"/>
  <c r="E189" i="16"/>
  <c r="I188" i="16"/>
  <c r="F188" i="16"/>
  <c r="E188" i="16"/>
  <c r="I187" i="16"/>
  <c r="F187" i="16"/>
  <c r="E187" i="16"/>
  <c r="I186" i="16"/>
  <c r="F186" i="16"/>
  <c r="E186" i="16"/>
  <c r="I185" i="16"/>
  <c r="F185" i="16"/>
  <c r="E185" i="16"/>
  <c r="I184" i="16"/>
  <c r="F184" i="16"/>
  <c r="E184" i="16"/>
  <c r="I183" i="16"/>
  <c r="F183" i="16"/>
  <c r="E183" i="16"/>
  <c r="I182" i="16"/>
  <c r="F182" i="16"/>
  <c r="E182" i="16"/>
  <c r="I181" i="16"/>
  <c r="F181" i="16"/>
  <c r="E181" i="16"/>
  <c r="I180" i="16"/>
  <c r="F180" i="16"/>
  <c r="E180" i="16"/>
  <c r="I179" i="16"/>
  <c r="F179" i="16"/>
  <c r="E179" i="16"/>
  <c r="I178" i="16"/>
  <c r="F178" i="16"/>
  <c r="E178" i="16"/>
  <c r="I177" i="16"/>
  <c r="F177" i="16"/>
  <c r="E177" i="16"/>
  <c r="I176" i="16"/>
  <c r="F176" i="16"/>
  <c r="E176" i="16"/>
  <c r="I175" i="16"/>
  <c r="F175" i="16"/>
  <c r="E175" i="16"/>
  <c r="I174" i="16"/>
  <c r="F174" i="16"/>
  <c r="E174" i="16"/>
  <c r="I173" i="16"/>
  <c r="F173" i="16"/>
  <c r="E173" i="16"/>
  <c r="I172" i="16"/>
  <c r="F172" i="16"/>
  <c r="E172" i="16"/>
  <c r="I171" i="16"/>
  <c r="F171" i="16"/>
  <c r="E171" i="16"/>
  <c r="I170" i="16"/>
  <c r="F170" i="16"/>
  <c r="E170" i="16"/>
  <c r="I169" i="16"/>
  <c r="F169" i="16"/>
  <c r="E169" i="16"/>
  <c r="I168" i="16"/>
  <c r="F168" i="16"/>
  <c r="E168" i="16"/>
  <c r="I167" i="16"/>
  <c r="F167" i="16"/>
  <c r="E167" i="16"/>
  <c r="I166" i="16"/>
  <c r="F166" i="16"/>
  <c r="E166" i="16"/>
  <c r="I165" i="16"/>
  <c r="F165" i="16"/>
  <c r="E165" i="16"/>
  <c r="I164" i="16"/>
  <c r="F164" i="16"/>
  <c r="E164" i="16"/>
  <c r="I163" i="16"/>
  <c r="F163" i="16"/>
  <c r="E163" i="16"/>
  <c r="I162" i="16"/>
  <c r="F162" i="16"/>
  <c r="E162" i="16"/>
  <c r="I161" i="16"/>
  <c r="F161" i="16"/>
  <c r="E161" i="16"/>
  <c r="I160" i="16"/>
  <c r="F160" i="16"/>
  <c r="E160" i="16"/>
  <c r="I159" i="16"/>
  <c r="F159" i="16"/>
  <c r="E159" i="16"/>
  <c r="I158" i="16"/>
  <c r="F158" i="16"/>
  <c r="E158" i="16"/>
  <c r="I157" i="16"/>
  <c r="F157" i="16"/>
  <c r="E157" i="16"/>
  <c r="I156" i="16"/>
  <c r="F156" i="16"/>
  <c r="E156" i="16"/>
  <c r="I155" i="16"/>
  <c r="F155" i="16"/>
  <c r="E155" i="16"/>
  <c r="I154" i="16"/>
  <c r="F154" i="16"/>
  <c r="E154" i="16"/>
  <c r="I153" i="16"/>
  <c r="F153" i="16"/>
  <c r="E153" i="16"/>
  <c r="I152" i="16"/>
  <c r="F152" i="16"/>
  <c r="E152" i="16"/>
  <c r="I151" i="16"/>
  <c r="F151" i="16"/>
  <c r="E151" i="16"/>
  <c r="I150" i="16"/>
  <c r="F150" i="16"/>
  <c r="E150" i="16"/>
  <c r="I149" i="16"/>
  <c r="F149" i="16"/>
  <c r="E149" i="16"/>
  <c r="I148" i="16"/>
  <c r="F148" i="16"/>
  <c r="E148" i="16"/>
  <c r="I147" i="16"/>
  <c r="F147" i="16"/>
  <c r="E147" i="16"/>
  <c r="I146" i="16"/>
  <c r="F146" i="16"/>
  <c r="E146" i="16"/>
  <c r="I145" i="16"/>
  <c r="F145" i="16"/>
  <c r="E145" i="16"/>
  <c r="I144" i="16"/>
  <c r="F144" i="16"/>
  <c r="E144" i="16"/>
  <c r="I143" i="16"/>
  <c r="F143" i="16"/>
  <c r="E143" i="16"/>
  <c r="I142" i="16"/>
  <c r="F142" i="16"/>
  <c r="E142" i="16"/>
  <c r="I141" i="16"/>
  <c r="F141" i="16"/>
  <c r="E141" i="16"/>
  <c r="I140" i="16"/>
  <c r="F140" i="16"/>
  <c r="E140" i="16"/>
  <c r="I139" i="16"/>
  <c r="F139" i="16"/>
  <c r="E139" i="16"/>
  <c r="I138" i="16"/>
  <c r="F138" i="16"/>
  <c r="E138" i="16"/>
  <c r="I137" i="16"/>
  <c r="F137" i="16"/>
  <c r="E137" i="16"/>
  <c r="I136" i="16"/>
  <c r="F136" i="16"/>
  <c r="E136" i="16"/>
  <c r="I135" i="16"/>
  <c r="F135" i="16"/>
  <c r="E135" i="16"/>
  <c r="I134" i="16"/>
  <c r="F134" i="16"/>
  <c r="E134" i="16"/>
  <c r="I133" i="16"/>
  <c r="F133" i="16"/>
  <c r="E133" i="16"/>
  <c r="I132" i="16"/>
  <c r="F132" i="16"/>
  <c r="E132" i="16"/>
  <c r="I131" i="16"/>
  <c r="F131" i="16"/>
  <c r="E131" i="16"/>
  <c r="I130" i="16"/>
  <c r="F130" i="16"/>
  <c r="E130" i="16"/>
  <c r="I129" i="16"/>
  <c r="F129" i="16"/>
  <c r="E129" i="16"/>
  <c r="I128" i="16"/>
  <c r="F128" i="16"/>
  <c r="E128" i="16"/>
  <c r="I127" i="16"/>
  <c r="F127" i="16"/>
  <c r="E127" i="16"/>
  <c r="I126" i="16"/>
  <c r="F126" i="16"/>
  <c r="E126" i="16"/>
  <c r="I125" i="16"/>
  <c r="F125" i="16"/>
  <c r="E125" i="16"/>
  <c r="I124" i="16"/>
  <c r="F124" i="16"/>
  <c r="E124" i="16"/>
  <c r="I123" i="16"/>
  <c r="F123" i="16"/>
  <c r="E123" i="16"/>
  <c r="I122" i="16"/>
  <c r="F122" i="16"/>
  <c r="E122" i="16"/>
  <c r="I121" i="16"/>
  <c r="F121" i="16"/>
  <c r="E121" i="16"/>
  <c r="I120" i="16"/>
  <c r="F120" i="16"/>
  <c r="E120" i="16"/>
  <c r="I119" i="16"/>
  <c r="F119" i="16"/>
  <c r="E119" i="16"/>
  <c r="I118" i="16"/>
  <c r="F118" i="16"/>
  <c r="E118" i="16"/>
  <c r="I117" i="16"/>
  <c r="F117" i="16"/>
  <c r="E117" i="16"/>
  <c r="I116" i="16"/>
  <c r="F116" i="16"/>
  <c r="E116" i="16"/>
  <c r="I115" i="16"/>
  <c r="F115" i="16"/>
  <c r="E115" i="16"/>
  <c r="I114" i="16"/>
  <c r="F114" i="16"/>
  <c r="E114" i="16"/>
  <c r="I113" i="16"/>
  <c r="F113" i="16"/>
  <c r="E113" i="16"/>
  <c r="I112" i="16"/>
  <c r="F112" i="16"/>
  <c r="E112" i="16"/>
  <c r="I111" i="16"/>
  <c r="F111" i="16"/>
  <c r="E111" i="16"/>
  <c r="I110" i="16"/>
  <c r="F110" i="16"/>
  <c r="E110" i="16"/>
  <c r="I109" i="16"/>
  <c r="F109" i="16"/>
  <c r="E109" i="16"/>
  <c r="I108" i="16"/>
  <c r="F108" i="16"/>
  <c r="E108" i="16"/>
  <c r="I107" i="16"/>
  <c r="F107" i="16"/>
  <c r="E107" i="16"/>
  <c r="I106" i="16"/>
  <c r="F106" i="16"/>
  <c r="E106" i="16"/>
  <c r="I105" i="16"/>
  <c r="F105" i="16"/>
  <c r="E105" i="16"/>
  <c r="I104" i="16"/>
  <c r="F104" i="16"/>
  <c r="E104" i="16"/>
  <c r="I103" i="16"/>
  <c r="F103" i="16"/>
  <c r="E103" i="16"/>
  <c r="I102" i="16"/>
  <c r="F102" i="16"/>
  <c r="E102" i="16"/>
  <c r="I101" i="16"/>
  <c r="F101" i="16"/>
  <c r="E101" i="16"/>
  <c r="I100" i="16"/>
  <c r="F100" i="16"/>
  <c r="E100" i="16"/>
  <c r="I99" i="16"/>
  <c r="F99" i="16"/>
  <c r="E99" i="16"/>
  <c r="I98" i="16"/>
  <c r="F98" i="16"/>
  <c r="E98" i="16"/>
  <c r="I97" i="16"/>
  <c r="F97" i="16"/>
  <c r="E97" i="16"/>
  <c r="I96" i="16"/>
  <c r="F96" i="16"/>
  <c r="E96" i="16"/>
  <c r="I95" i="16"/>
  <c r="F95" i="16"/>
  <c r="E95" i="16"/>
  <c r="I94" i="16"/>
  <c r="F94" i="16"/>
  <c r="E94" i="16"/>
  <c r="I93" i="16"/>
  <c r="F93" i="16"/>
  <c r="E93" i="16"/>
  <c r="I92" i="16"/>
  <c r="F92" i="16"/>
  <c r="E92" i="16"/>
  <c r="I91" i="16"/>
  <c r="F91" i="16"/>
  <c r="E91" i="16"/>
  <c r="I90" i="16"/>
  <c r="F90" i="16"/>
  <c r="E90" i="16"/>
  <c r="I89" i="16"/>
  <c r="F89" i="16"/>
  <c r="E89" i="16"/>
  <c r="I88" i="16"/>
  <c r="F88" i="16"/>
  <c r="E88" i="16"/>
  <c r="I87" i="16"/>
  <c r="F87" i="16"/>
  <c r="E87" i="16"/>
  <c r="I86" i="16"/>
  <c r="F86" i="16"/>
  <c r="E86" i="16"/>
  <c r="I85" i="16"/>
  <c r="F85" i="16"/>
  <c r="E85" i="16"/>
  <c r="I84" i="16"/>
  <c r="F84" i="16"/>
  <c r="E84" i="16"/>
  <c r="I83" i="16"/>
  <c r="F83" i="16"/>
  <c r="E83" i="16"/>
  <c r="I82" i="16"/>
  <c r="F82" i="16"/>
  <c r="E82" i="16"/>
  <c r="I81" i="16"/>
  <c r="F81" i="16"/>
  <c r="E81" i="16"/>
  <c r="I80" i="16"/>
  <c r="F80" i="16"/>
  <c r="E80" i="16"/>
  <c r="I79" i="16"/>
  <c r="F79" i="16"/>
  <c r="E79" i="16"/>
  <c r="I78" i="16"/>
  <c r="F78" i="16"/>
  <c r="E78" i="16"/>
  <c r="I77" i="16"/>
  <c r="F77" i="16"/>
  <c r="E77" i="16"/>
  <c r="I76" i="16"/>
  <c r="F76" i="16"/>
  <c r="E76" i="16"/>
  <c r="I75" i="16"/>
  <c r="F75" i="16"/>
  <c r="E75" i="16"/>
  <c r="I74" i="16"/>
  <c r="F74" i="16"/>
  <c r="E74" i="16"/>
  <c r="I73" i="16"/>
  <c r="F73" i="16"/>
  <c r="E73" i="16"/>
  <c r="I72" i="16"/>
  <c r="F72" i="16"/>
  <c r="E72" i="16"/>
  <c r="I71" i="16"/>
  <c r="F71" i="16"/>
  <c r="E71" i="16"/>
  <c r="I70" i="16"/>
  <c r="F70" i="16"/>
  <c r="E70" i="16"/>
  <c r="I69" i="16"/>
  <c r="F69" i="16"/>
  <c r="E69" i="16"/>
  <c r="I68" i="16"/>
  <c r="F68" i="16"/>
  <c r="E68" i="16"/>
  <c r="I67" i="16"/>
  <c r="F67" i="16"/>
  <c r="E67" i="16"/>
  <c r="I66" i="16"/>
  <c r="F66" i="16"/>
  <c r="E66" i="16"/>
  <c r="I65" i="16"/>
  <c r="F65" i="16"/>
  <c r="E65" i="16"/>
  <c r="I64" i="16"/>
  <c r="F64" i="16"/>
  <c r="E64" i="16"/>
  <c r="I63" i="16"/>
  <c r="F63" i="16"/>
  <c r="E63" i="16"/>
  <c r="I62" i="16"/>
  <c r="F62" i="16"/>
  <c r="E62" i="16"/>
  <c r="I61" i="16"/>
  <c r="F61" i="16"/>
  <c r="E61" i="16"/>
  <c r="I60" i="16"/>
  <c r="F60" i="16"/>
  <c r="E60" i="16"/>
  <c r="I59" i="16"/>
  <c r="F59" i="16"/>
  <c r="E59" i="16"/>
  <c r="I58" i="16"/>
  <c r="F58" i="16"/>
  <c r="E58" i="16"/>
  <c r="I57" i="16"/>
  <c r="F57" i="16"/>
  <c r="E57" i="16"/>
  <c r="I56" i="16"/>
  <c r="F56" i="16"/>
  <c r="E56" i="16"/>
  <c r="I55" i="16"/>
  <c r="F55" i="16"/>
  <c r="E55" i="16"/>
  <c r="I54" i="16"/>
  <c r="F54" i="16"/>
  <c r="E54" i="16"/>
  <c r="I53" i="16"/>
  <c r="F53" i="16"/>
  <c r="E53" i="16"/>
  <c r="I52" i="16"/>
  <c r="F52" i="16"/>
  <c r="E52" i="16"/>
  <c r="I51" i="16"/>
  <c r="F51" i="16"/>
  <c r="E51" i="16"/>
  <c r="I50" i="16"/>
  <c r="F50" i="16"/>
  <c r="E50" i="16"/>
  <c r="I49" i="16"/>
  <c r="F49" i="16"/>
  <c r="E49" i="16"/>
  <c r="I48" i="16"/>
  <c r="F48" i="16"/>
  <c r="E48" i="16"/>
  <c r="I47" i="16"/>
  <c r="F47" i="16"/>
  <c r="E47" i="16"/>
  <c r="I46" i="16"/>
  <c r="F46" i="16"/>
  <c r="E46" i="16"/>
  <c r="I45" i="16"/>
  <c r="F45" i="16"/>
  <c r="E45" i="16"/>
  <c r="I44" i="16"/>
  <c r="F44" i="16"/>
  <c r="E44" i="16"/>
  <c r="I43" i="16"/>
  <c r="F43" i="16"/>
  <c r="E43" i="16"/>
  <c r="I42" i="16"/>
  <c r="F42" i="16"/>
  <c r="E42" i="16"/>
  <c r="I41" i="16"/>
  <c r="F41" i="16"/>
  <c r="E41" i="16"/>
  <c r="I40" i="16"/>
  <c r="F40" i="16"/>
  <c r="E40" i="16"/>
  <c r="I39" i="16"/>
  <c r="F39" i="16"/>
  <c r="E39" i="16"/>
  <c r="I38" i="16"/>
  <c r="F38" i="16"/>
  <c r="E38" i="16"/>
  <c r="I37" i="16"/>
  <c r="F37" i="16"/>
  <c r="E37" i="16"/>
  <c r="I36" i="16"/>
  <c r="F36" i="16"/>
  <c r="E36" i="16"/>
  <c r="I35" i="16"/>
  <c r="F35" i="16"/>
  <c r="E35" i="16"/>
  <c r="I34" i="16"/>
  <c r="F34" i="16"/>
  <c r="E34" i="16"/>
  <c r="I33" i="16"/>
  <c r="F33" i="16"/>
  <c r="E33" i="16"/>
  <c r="I32" i="16"/>
  <c r="F32" i="16"/>
  <c r="E32" i="16"/>
  <c r="I31" i="16"/>
  <c r="F31" i="16"/>
  <c r="E31" i="16"/>
  <c r="I30" i="16"/>
  <c r="F30" i="16"/>
  <c r="E30" i="16"/>
  <c r="I29" i="16"/>
  <c r="F29" i="16"/>
  <c r="E29" i="16"/>
  <c r="I28" i="16"/>
  <c r="F28" i="16"/>
  <c r="E28" i="16"/>
  <c r="I27" i="16"/>
  <c r="F27" i="16"/>
  <c r="E27" i="16"/>
  <c r="I26" i="16"/>
  <c r="F26" i="16"/>
  <c r="E26" i="16"/>
  <c r="I25" i="16"/>
  <c r="F25" i="16"/>
  <c r="E25" i="16"/>
  <c r="I24" i="16"/>
  <c r="F24" i="16"/>
  <c r="E24" i="16"/>
  <c r="I23" i="16"/>
  <c r="F23" i="16"/>
  <c r="E23" i="16"/>
  <c r="I22" i="16"/>
  <c r="F22" i="16"/>
  <c r="E22" i="16"/>
  <c r="I21" i="16"/>
  <c r="F21" i="16"/>
  <c r="E21" i="16"/>
  <c r="I20" i="16"/>
  <c r="F20" i="16"/>
  <c r="E20" i="16"/>
  <c r="I19" i="16"/>
  <c r="F19" i="16"/>
  <c r="E19" i="16"/>
  <c r="I18" i="16"/>
  <c r="F18" i="16"/>
  <c r="E18" i="16"/>
  <c r="I17" i="16"/>
  <c r="F17" i="16"/>
  <c r="E17" i="16"/>
  <c r="I16" i="16"/>
  <c r="F16" i="16"/>
  <c r="E16" i="16"/>
  <c r="I15" i="16"/>
  <c r="F15" i="16"/>
  <c r="E15" i="16"/>
  <c r="I14" i="16"/>
  <c r="F14" i="16"/>
  <c r="E14" i="16"/>
  <c r="I13" i="16"/>
  <c r="F13" i="16"/>
  <c r="E13" i="16"/>
  <c r="I12" i="16"/>
  <c r="F12" i="16"/>
  <c r="E12" i="16"/>
  <c r="I11" i="16"/>
  <c r="R1" i="16" s="1"/>
  <c r="F11" i="16"/>
  <c r="E11" i="16"/>
  <c r="O1" i="16"/>
  <c r="Q1" i="5"/>
  <c r="N1" i="5"/>
  <c r="B3" i="22"/>
  <c r="B2" i="22"/>
  <c r="G1" i="41"/>
  <c r="H30" i="39" l="1"/>
  <c r="G30" i="39"/>
  <c r="F30" i="39"/>
  <c r="E30" i="39"/>
  <c r="D30" i="39"/>
  <c r="C30" i="39"/>
  <c r="G29" i="39"/>
  <c r="F29" i="39"/>
  <c r="H29" i="39" s="1"/>
  <c r="E29" i="39"/>
  <c r="D29" i="39"/>
  <c r="C29" i="39"/>
  <c r="H28" i="39"/>
  <c r="G28" i="39"/>
  <c r="F28" i="39"/>
  <c r="E28" i="39"/>
  <c r="D28" i="39"/>
  <c r="C28" i="39"/>
  <c r="G27" i="39"/>
  <c r="F27" i="39"/>
  <c r="H27" i="39" s="1"/>
  <c r="E27" i="39"/>
  <c r="D27" i="39"/>
  <c r="C27" i="39"/>
  <c r="G26" i="39"/>
  <c r="F26" i="39"/>
  <c r="H26" i="39" s="1"/>
  <c r="E26" i="39"/>
  <c r="D26" i="39"/>
  <c r="C26" i="39"/>
  <c r="G25" i="39"/>
  <c r="F25" i="39"/>
  <c r="H25" i="39" s="1"/>
  <c r="E25" i="39"/>
  <c r="D25" i="39"/>
  <c r="C25" i="39"/>
  <c r="H24" i="39"/>
  <c r="G24" i="39"/>
  <c r="F24" i="39"/>
  <c r="E24" i="39"/>
  <c r="D24" i="39"/>
  <c r="C24" i="39"/>
  <c r="G23" i="39"/>
  <c r="F23" i="39"/>
  <c r="H23" i="39" s="1"/>
  <c r="E23" i="39"/>
  <c r="D23" i="39"/>
  <c r="C23" i="39"/>
  <c r="H22" i="39"/>
  <c r="G22" i="39"/>
  <c r="F22" i="39"/>
  <c r="E22" i="39"/>
  <c r="D22" i="39"/>
  <c r="C22" i="39"/>
  <c r="G21" i="39"/>
  <c r="F21" i="39"/>
  <c r="H21" i="39" s="1"/>
  <c r="E21" i="39"/>
  <c r="D21" i="39"/>
  <c r="C21" i="39"/>
  <c r="G20" i="39"/>
  <c r="F20" i="39"/>
  <c r="E20" i="39"/>
  <c r="D20" i="39"/>
  <c r="C20" i="39"/>
  <c r="G19" i="39"/>
  <c r="F19" i="39"/>
  <c r="E19" i="39"/>
  <c r="D19" i="39"/>
  <c r="C19" i="39"/>
  <c r="G18" i="39"/>
  <c r="F18" i="39"/>
  <c r="E18" i="39"/>
  <c r="D18" i="39"/>
  <c r="C18" i="39"/>
  <c r="H14" i="39"/>
  <c r="E9" i="39"/>
  <c r="C12" i="39"/>
  <c r="E3" i="39"/>
  <c r="H23" i="38"/>
  <c r="H24" i="38"/>
  <c r="H25" i="38"/>
  <c r="H26" i="38"/>
  <c r="H27" i="38"/>
  <c r="H28" i="38"/>
  <c r="H29" i="38"/>
  <c r="E3" i="38"/>
  <c r="H18" i="38"/>
  <c r="H19" i="38"/>
  <c r="H20" i="38"/>
  <c r="H21" i="38"/>
  <c r="C9" i="38"/>
  <c r="B2" i="21"/>
  <c r="H1" i="6"/>
  <c r="O1" i="6" s="1"/>
  <c r="B1" i="30"/>
  <c r="B1" i="29"/>
  <c r="Q1" i="26"/>
  <c r="B2" i="17"/>
  <c r="C2" i="17"/>
  <c r="B4" i="21"/>
  <c r="B5" i="21" s="1"/>
  <c r="B8" i="21" s="1"/>
  <c r="G1" i="23"/>
  <c r="B1" i="21"/>
  <c r="I2968" i="17"/>
  <c r="C2968" i="17"/>
  <c r="B2968" i="17"/>
  <c r="I2967" i="17"/>
  <c r="C2967" i="17"/>
  <c r="B2967" i="17"/>
  <c r="I2966" i="17"/>
  <c r="C2966" i="17"/>
  <c r="B2966" i="17"/>
  <c r="I2965" i="17"/>
  <c r="C2965" i="17"/>
  <c r="B2965" i="17"/>
  <c r="I2964" i="17"/>
  <c r="C2964" i="17"/>
  <c r="B2964" i="17"/>
  <c r="I2963" i="17"/>
  <c r="C2963" i="17"/>
  <c r="B2963" i="17"/>
  <c r="I2962" i="17"/>
  <c r="C2962" i="17"/>
  <c r="B2962" i="17"/>
  <c r="I2961" i="17"/>
  <c r="C2961" i="17"/>
  <c r="B2961" i="17"/>
  <c r="I2960" i="17"/>
  <c r="C2960" i="17"/>
  <c r="B2960" i="17"/>
  <c r="I2959" i="17"/>
  <c r="C2959" i="17"/>
  <c r="B2959" i="17"/>
  <c r="I2958" i="17"/>
  <c r="C2958" i="17"/>
  <c r="B2958" i="17"/>
  <c r="I2957" i="17"/>
  <c r="C2957" i="17"/>
  <c r="B2957" i="17"/>
  <c r="I2956" i="17"/>
  <c r="C2956" i="17"/>
  <c r="B2956" i="17"/>
  <c r="I2955" i="17"/>
  <c r="C2955" i="17"/>
  <c r="B2955" i="17"/>
  <c r="I2954" i="17"/>
  <c r="C2954" i="17"/>
  <c r="B2954" i="17"/>
  <c r="I2953" i="17"/>
  <c r="C2953" i="17"/>
  <c r="B2953" i="17"/>
  <c r="I2952" i="17"/>
  <c r="C2952" i="17"/>
  <c r="B2952" i="17"/>
  <c r="I2951" i="17"/>
  <c r="C2951" i="17"/>
  <c r="B2951" i="17"/>
  <c r="I2950" i="17"/>
  <c r="C2950" i="17"/>
  <c r="B2950" i="17"/>
  <c r="I2949" i="17"/>
  <c r="C2949" i="17"/>
  <c r="B2949" i="17"/>
  <c r="I2948" i="17"/>
  <c r="C2948" i="17"/>
  <c r="B2948" i="17"/>
  <c r="I2947" i="17"/>
  <c r="C2947" i="17"/>
  <c r="B2947" i="17"/>
  <c r="I2946" i="17"/>
  <c r="C2946" i="17"/>
  <c r="B2946" i="17"/>
  <c r="I2945" i="17"/>
  <c r="C2945" i="17"/>
  <c r="B2945" i="17"/>
  <c r="I2944" i="17"/>
  <c r="C2944" i="17"/>
  <c r="B2944" i="17"/>
  <c r="I2943" i="17"/>
  <c r="C2943" i="17"/>
  <c r="B2943" i="17"/>
  <c r="I2942" i="17"/>
  <c r="C2942" i="17"/>
  <c r="B2942" i="17"/>
  <c r="I2941" i="17"/>
  <c r="C2941" i="17"/>
  <c r="B2941" i="17"/>
  <c r="I2940" i="17"/>
  <c r="C2940" i="17"/>
  <c r="B2940" i="17"/>
  <c r="I2939" i="17"/>
  <c r="C2939" i="17"/>
  <c r="B2939" i="17"/>
  <c r="I2938" i="17"/>
  <c r="C2938" i="17"/>
  <c r="B2938" i="17"/>
  <c r="I2937" i="17"/>
  <c r="C2937" i="17"/>
  <c r="B2937" i="17"/>
  <c r="I2936" i="17"/>
  <c r="C2936" i="17"/>
  <c r="B2936" i="17"/>
  <c r="I2935" i="17"/>
  <c r="C2935" i="17"/>
  <c r="B2935" i="17"/>
  <c r="I2934" i="17"/>
  <c r="C2934" i="17"/>
  <c r="B2934" i="17"/>
  <c r="I2933" i="17"/>
  <c r="C2933" i="17"/>
  <c r="B2933" i="17"/>
  <c r="I2932" i="17"/>
  <c r="C2932" i="17"/>
  <c r="B2932" i="17"/>
  <c r="I2931" i="17"/>
  <c r="C2931" i="17"/>
  <c r="B2931" i="17"/>
  <c r="I2930" i="17"/>
  <c r="C2930" i="17"/>
  <c r="B2930" i="17"/>
  <c r="I2929" i="17"/>
  <c r="C2929" i="17"/>
  <c r="B2929" i="17"/>
  <c r="I2928" i="17"/>
  <c r="C2928" i="17"/>
  <c r="B2928" i="17"/>
  <c r="I2927" i="17"/>
  <c r="C2927" i="17"/>
  <c r="B2927" i="17"/>
  <c r="I2926" i="17"/>
  <c r="C2926" i="17"/>
  <c r="B2926" i="17"/>
  <c r="I2925" i="17"/>
  <c r="C2925" i="17"/>
  <c r="B2925" i="17"/>
  <c r="I2924" i="17"/>
  <c r="C2924" i="17"/>
  <c r="B2924" i="17"/>
  <c r="I2923" i="17"/>
  <c r="C2923" i="17"/>
  <c r="B2923" i="17"/>
  <c r="I2922" i="17"/>
  <c r="C2922" i="17"/>
  <c r="B2922" i="17"/>
  <c r="I2921" i="17"/>
  <c r="C2921" i="17"/>
  <c r="B2921" i="17"/>
  <c r="I2920" i="17"/>
  <c r="C2920" i="17"/>
  <c r="B2920" i="17"/>
  <c r="I2919" i="17"/>
  <c r="C2919" i="17"/>
  <c r="B2919" i="17"/>
  <c r="I2918" i="17"/>
  <c r="C2918" i="17"/>
  <c r="B2918" i="17"/>
  <c r="I2917" i="17"/>
  <c r="C2917" i="17"/>
  <c r="B2917" i="17"/>
  <c r="I2916" i="17"/>
  <c r="C2916" i="17"/>
  <c r="B2916" i="17"/>
  <c r="I2915" i="17"/>
  <c r="C2915" i="17"/>
  <c r="B2915" i="17"/>
  <c r="I2914" i="17"/>
  <c r="C2914" i="17"/>
  <c r="B2914" i="17"/>
  <c r="I2913" i="17"/>
  <c r="C2913" i="17"/>
  <c r="B2913" i="17"/>
  <c r="I2912" i="17"/>
  <c r="C2912" i="17"/>
  <c r="B2912" i="17"/>
  <c r="I2911" i="17"/>
  <c r="C2911" i="17"/>
  <c r="B2911" i="17"/>
  <c r="I2910" i="17"/>
  <c r="C2910" i="17"/>
  <c r="B2910" i="17"/>
  <c r="I2909" i="17"/>
  <c r="C2909" i="17"/>
  <c r="B2909" i="17"/>
  <c r="I2908" i="17"/>
  <c r="C2908" i="17"/>
  <c r="B2908" i="17"/>
  <c r="I2907" i="17"/>
  <c r="C2907" i="17"/>
  <c r="B2907" i="17"/>
  <c r="I2906" i="17"/>
  <c r="C2906" i="17"/>
  <c r="B2906" i="17"/>
  <c r="I2905" i="17"/>
  <c r="C2905" i="17"/>
  <c r="B2905" i="17"/>
  <c r="I2904" i="17"/>
  <c r="C2904" i="17"/>
  <c r="B2904" i="17"/>
  <c r="I2903" i="17"/>
  <c r="C2903" i="17"/>
  <c r="B2903" i="17"/>
  <c r="I2902" i="17"/>
  <c r="C2902" i="17"/>
  <c r="B2902" i="17"/>
  <c r="I2901" i="17"/>
  <c r="C2901" i="17"/>
  <c r="B2901" i="17"/>
  <c r="I2900" i="17"/>
  <c r="C2900" i="17"/>
  <c r="B2900" i="17"/>
  <c r="I2899" i="17"/>
  <c r="C2899" i="17"/>
  <c r="B2899" i="17"/>
  <c r="I2898" i="17"/>
  <c r="C2898" i="17"/>
  <c r="B2898" i="17"/>
  <c r="I2897" i="17"/>
  <c r="C2897" i="17"/>
  <c r="B2897" i="17"/>
  <c r="I2896" i="17"/>
  <c r="C2896" i="17"/>
  <c r="B2896" i="17"/>
  <c r="I2895" i="17"/>
  <c r="C2895" i="17"/>
  <c r="B2895" i="17"/>
  <c r="I2894" i="17"/>
  <c r="C2894" i="17"/>
  <c r="B2894" i="17"/>
  <c r="I2893" i="17"/>
  <c r="C2893" i="17"/>
  <c r="B2893" i="17"/>
  <c r="I2892" i="17"/>
  <c r="C2892" i="17"/>
  <c r="B2892" i="17"/>
  <c r="I2891" i="17"/>
  <c r="C2891" i="17"/>
  <c r="B2891" i="17"/>
  <c r="I2890" i="17"/>
  <c r="C2890" i="17"/>
  <c r="B2890" i="17"/>
  <c r="I2889" i="17"/>
  <c r="C2889" i="17"/>
  <c r="B2889" i="17"/>
  <c r="I2888" i="17"/>
  <c r="C2888" i="17"/>
  <c r="B2888" i="17"/>
  <c r="I2887" i="17"/>
  <c r="C2887" i="17"/>
  <c r="B2887" i="17"/>
  <c r="I2886" i="17"/>
  <c r="C2886" i="17"/>
  <c r="B2886" i="17"/>
  <c r="I2885" i="17"/>
  <c r="C2885" i="17"/>
  <c r="B2885" i="17"/>
  <c r="I2884" i="17"/>
  <c r="C2884" i="17"/>
  <c r="B2884" i="17"/>
  <c r="I2883" i="17"/>
  <c r="C2883" i="17"/>
  <c r="B2883" i="17"/>
  <c r="I2882" i="17"/>
  <c r="C2882" i="17"/>
  <c r="B2882" i="17"/>
  <c r="I2881" i="17"/>
  <c r="C2881" i="17"/>
  <c r="B2881" i="17"/>
  <c r="I2880" i="17"/>
  <c r="C2880" i="17"/>
  <c r="B2880" i="17"/>
  <c r="I2879" i="17"/>
  <c r="C2879" i="17"/>
  <c r="B2879" i="17"/>
  <c r="I2878" i="17"/>
  <c r="C2878" i="17"/>
  <c r="B2878" i="17"/>
  <c r="I2877" i="17"/>
  <c r="C2877" i="17"/>
  <c r="B2877" i="17"/>
  <c r="I2876" i="17"/>
  <c r="C2876" i="17"/>
  <c r="B2876" i="17"/>
  <c r="I2875" i="17"/>
  <c r="C2875" i="17"/>
  <c r="B2875" i="17"/>
  <c r="I2874" i="17"/>
  <c r="C2874" i="17"/>
  <c r="B2874" i="17"/>
  <c r="I2873" i="17"/>
  <c r="C2873" i="17"/>
  <c r="B2873" i="17"/>
  <c r="I2872" i="17"/>
  <c r="C2872" i="17"/>
  <c r="B2872" i="17"/>
  <c r="I2871" i="17"/>
  <c r="C2871" i="17"/>
  <c r="B2871" i="17"/>
  <c r="I2870" i="17"/>
  <c r="C2870" i="17"/>
  <c r="B2870" i="17"/>
  <c r="I2869" i="17"/>
  <c r="C2869" i="17"/>
  <c r="B2869" i="17"/>
  <c r="I2868" i="17"/>
  <c r="C2868" i="17"/>
  <c r="B2868" i="17"/>
  <c r="I2867" i="17"/>
  <c r="C2867" i="17"/>
  <c r="B2867" i="17"/>
  <c r="I2866" i="17"/>
  <c r="C2866" i="17"/>
  <c r="B2866" i="17"/>
  <c r="I2865" i="17"/>
  <c r="C2865" i="17"/>
  <c r="B2865" i="17"/>
  <c r="I2864" i="17"/>
  <c r="C2864" i="17"/>
  <c r="B2864" i="17"/>
  <c r="I2863" i="17"/>
  <c r="C2863" i="17"/>
  <c r="B2863" i="17"/>
  <c r="I2862" i="17"/>
  <c r="C2862" i="17"/>
  <c r="B2862" i="17"/>
  <c r="I2861" i="17"/>
  <c r="C2861" i="17"/>
  <c r="B2861" i="17"/>
  <c r="I2860" i="17"/>
  <c r="C2860" i="17"/>
  <c r="B2860" i="17"/>
  <c r="I2859" i="17"/>
  <c r="C2859" i="17"/>
  <c r="B2859" i="17"/>
  <c r="I2858" i="17"/>
  <c r="C2858" i="17"/>
  <c r="B2858" i="17"/>
  <c r="I2857" i="17"/>
  <c r="C2857" i="17"/>
  <c r="B2857" i="17"/>
  <c r="I2856" i="17"/>
  <c r="C2856" i="17"/>
  <c r="B2856" i="17"/>
  <c r="I2855" i="17"/>
  <c r="C2855" i="17"/>
  <c r="B2855" i="17"/>
  <c r="I2854" i="17"/>
  <c r="C2854" i="17"/>
  <c r="B2854" i="17"/>
  <c r="I2853" i="17"/>
  <c r="C2853" i="17"/>
  <c r="B2853" i="17"/>
  <c r="I2852" i="17"/>
  <c r="C2852" i="17"/>
  <c r="B2852" i="17"/>
  <c r="I2851" i="17"/>
  <c r="C2851" i="17"/>
  <c r="B2851" i="17"/>
  <c r="I2850" i="17"/>
  <c r="C2850" i="17"/>
  <c r="B2850" i="17"/>
  <c r="I2849" i="17"/>
  <c r="C2849" i="17"/>
  <c r="B2849" i="17"/>
  <c r="I2848" i="17"/>
  <c r="C2848" i="17"/>
  <c r="B2848" i="17"/>
  <c r="I2847" i="17"/>
  <c r="C2847" i="17"/>
  <c r="B2847" i="17"/>
  <c r="I2846" i="17"/>
  <c r="C2846" i="17"/>
  <c r="B2846" i="17"/>
  <c r="I2845" i="17"/>
  <c r="C2845" i="17"/>
  <c r="B2845" i="17"/>
  <c r="I2844" i="17"/>
  <c r="C2844" i="17"/>
  <c r="B2844" i="17"/>
  <c r="I2843" i="17"/>
  <c r="C2843" i="17"/>
  <c r="B2843" i="17"/>
  <c r="I2842" i="17"/>
  <c r="C2842" i="17"/>
  <c r="B2842" i="17"/>
  <c r="I2841" i="17"/>
  <c r="C2841" i="17"/>
  <c r="B2841" i="17"/>
  <c r="I2840" i="17"/>
  <c r="C2840" i="17"/>
  <c r="B2840" i="17"/>
  <c r="I2839" i="17"/>
  <c r="C2839" i="17"/>
  <c r="B2839" i="17"/>
  <c r="I2838" i="17"/>
  <c r="C2838" i="17"/>
  <c r="B2838" i="17"/>
  <c r="I2837" i="17"/>
  <c r="C2837" i="17"/>
  <c r="B2837" i="17"/>
  <c r="I2836" i="17"/>
  <c r="C2836" i="17"/>
  <c r="B2836" i="17"/>
  <c r="I2835" i="17"/>
  <c r="C2835" i="17"/>
  <c r="B2835" i="17"/>
  <c r="I2834" i="17"/>
  <c r="C2834" i="17"/>
  <c r="B2834" i="17"/>
  <c r="I2833" i="17"/>
  <c r="C2833" i="17"/>
  <c r="B2833" i="17"/>
  <c r="I2832" i="17"/>
  <c r="C2832" i="17"/>
  <c r="B2832" i="17"/>
  <c r="I2831" i="17"/>
  <c r="C2831" i="17"/>
  <c r="B2831" i="17"/>
  <c r="I2830" i="17"/>
  <c r="C2830" i="17"/>
  <c r="B2830" i="17"/>
  <c r="I2829" i="17"/>
  <c r="C2829" i="17"/>
  <c r="B2829" i="17"/>
  <c r="I2828" i="17"/>
  <c r="C2828" i="17"/>
  <c r="B2828" i="17"/>
  <c r="I2827" i="17"/>
  <c r="C2827" i="17"/>
  <c r="B2827" i="17"/>
  <c r="I2826" i="17"/>
  <c r="C2826" i="17"/>
  <c r="B2826" i="17"/>
  <c r="I2825" i="17"/>
  <c r="C2825" i="17"/>
  <c r="B2825" i="17"/>
  <c r="I2824" i="17"/>
  <c r="C2824" i="17"/>
  <c r="B2824" i="17"/>
  <c r="I2823" i="17"/>
  <c r="C2823" i="17"/>
  <c r="B2823" i="17"/>
  <c r="I2822" i="17"/>
  <c r="C2822" i="17"/>
  <c r="B2822" i="17"/>
  <c r="I2821" i="17"/>
  <c r="C2821" i="17"/>
  <c r="B2821" i="17"/>
  <c r="I2820" i="17"/>
  <c r="C2820" i="17"/>
  <c r="B2820" i="17"/>
  <c r="I2819" i="17"/>
  <c r="C2819" i="17"/>
  <c r="B2819" i="17"/>
  <c r="I2818" i="17"/>
  <c r="C2818" i="17"/>
  <c r="B2818" i="17"/>
  <c r="I2817" i="17"/>
  <c r="C2817" i="17"/>
  <c r="B2817" i="17"/>
  <c r="I2816" i="17"/>
  <c r="C2816" i="17"/>
  <c r="B2816" i="17"/>
  <c r="I2815" i="17"/>
  <c r="C2815" i="17"/>
  <c r="B2815" i="17"/>
  <c r="I2814" i="17"/>
  <c r="C2814" i="17"/>
  <c r="B2814" i="17"/>
  <c r="I2813" i="17"/>
  <c r="C2813" i="17"/>
  <c r="B2813" i="17"/>
  <c r="I2812" i="17"/>
  <c r="C2812" i="17"/>
  <c r="B2812" i="17"/>
  <c r="I2811" i="17"/>
  <c r="C2811" i="17"/>
  <c r="B2811" i="17"/>
  <c r="I2810" i="17"/>
  <c r="C2810" i="17"/>
  <c r="B2810" i="17"/>
  <c r="I2809" i="17"/>
  <c r="C2809" i="17"/>
  <c r="B2809" i="17"/>
  <c r="I2808" i="17"/>
  <c r="C2808" i="17"/>
  <c r="B2808" i="17"/>
  <c r="I2807" i="17"/>
  <c r="C2807" i="17"/>
  <c r="B2807" i="17"/>
  <c r="I2806" i="17"/>
  <c r="C2806" i="17"/>
  <c r="B2806" i="17"/>
  <c r="I2805" i="17"/>
  <c r="C2805" i="17"/>
  <c r="B2805" i="17"/>
  <c r="I2804" i="17"/>
  <c r="C2804" i="17"/>
  <c r="B2804" i="17"/>
  <c r="I2803" i="17"/>
  <c r="C2803" i="17"/>
  <c r="B2803" i="17"/>
  <c r="I2802" i="17"/>
  <c r="C2802" i="17"/>
  <c r="B2802" i="17"/>
  <c r="I2801" i="17"/>
  <c r="C2801" i="17"/>
  <c r="B2801" i="17"/>
  <c r="I2800" i="17"/>
  <c r="C2800" i="17"/>
  <c r="B2800" i="17"/>
  <c r="I2799" i="17"/>
  <c r="C2799" i="17"/>
  <c r="B2799" i="17"/>
  <c r="I2798" i="17"/>
  <c r="C2798" i="17"/>
  <c r="B2798" i="17"/>
  <c r="I2797" i="17"/>
  <c r="C2797" i="17"/>
  <c r="B2797" i="17"/>
  <c r="I2796" i="17"/>
  <c r="C2796" i="17"/>
  <c r="B2796" i="17"/>
  <c r="I2795" i="17"/>
  <c r="C2795" i="17"/>
  <c r="B2795" i="17"/>
  <c r="I2794" i="17"/>
  <c r="C2794" i="17"/>
  <c r="B2794" i="17"/>
  <c r="I2793" i="17"/>
  <c r="C2793" i="17"/>
  <c r="B2793" i="17"/>
  <c r="I2792" i="17"/>
  <c r="C2792" i="17"/>
  <c r="B2792" i="17"/>
  <c r="I2791" i="17"/>
  <c r="C2791" i="17"/>
  <c r="B2791" i="17"/>
  <c r="I2790" i="17"/>
  <c r="C2790" i="17"/>
  <c r="B2790" i="17"/>
  <c r="I2789" i="17"/>
  <c r="C2789" i="17"/>
  <c r="B2789" i="17"/>
  <c r="I2788" i="17"/>
  <c r="C2788" i="17"/>
  <c r="B2788" i="17"/>
  <c r="I2787" i="17"/>
  <c r="C2787" i="17"/>
  <c r="B2787" i="17"/>
  <c r="I2786" i="17"/>
  <c r="C2786" i="17"/>
  <c r="B2786" i="17"/>
  <c r="I2785" i="17"/>
  <c r="C2785" i="17"/>
  <c r="B2785" i="17"/>
  <c r="I2784" i="17"/>
  <c r="C2784" i="17"/>
  <c r="B2784" i="17"/>
  <c r="I2783" i="17"/>
  <c r="C2783" i="17"/>
  <c r="B2783" i="17"/>
  <c r="I2782" i="17"/>
  <c r="C2782" i="17"/>
  <c r="B2782" i="17"/>
  <c r="I2781" i="17"/>
  <c r="C2781" i="17"/>
  <c r="B2781" i="17"/>
  <c r="I2780" i="17"/>
  <c r="C2780" i="17"/>
  <c r="B2780" i="17"/>
  <c r="I2779" i="17"/>
  <c r="C2779" i="17"/>
  <c r="B2779" i="17"/>
  <c r="I2778" i="17"/>
  <c r="C2778" i="17"/>
  <c r="B2778" i="17"/>
  <c r="I2777" i="17"/>
  <c r="C2777" i="17"/>
  <c r="B2777" i="17"/>
  <c r="I2776" i="17"/>
  <c r="C2776" i="17"/>
  <c r="B2776" i="17"/>
  <c r="I2775" i="17"/>
  <c r="C2775" i="17"/>
  <c r="B2775" i="17"/>
  <c r="I2774" i="17"/>
  <c r="C2774" i="17"/>
  <c r="B2774" i="17"/>
  <c r="I2773" i="17"/>
  <c r="C2773" i="17"/>
  <c r="B2773" i="17"/>
  <c r="I2772" i="17"/>
  <c r="C2772" i="17"/>
  <c r="B2772" i="17"/>
  <c r="I2771" i="17"/>
  <c r="C2771" i="17"/>
  <c r="B2771" i="17"/>
  <c r="I2770" i="17"/>
  <c r="C2770" i="17"/>
  <c r="B2770" i="17"/>
  <c r="I2769" i="17"/>
  <c r="C2769" i="17"/>
  <c r="B2769" i="17"/>
  <c r="I2768" i="17"/>
  <c r="C2768" i="17"/>
  <c r="B2768" i="17"/>
  <c r="I2767" i="17"/>
  <c r="C2767" i="17"/>
  <c r="B2767" i="17"/>
  <c r="I2766" i="17"/>
  <c r="C2766" i="17"/>
  <c r="B2766" i="17"/>
  <c r="I2765" i="17"/>
  <c r="C2765" i="17"/>
  <c r="B2765" i="17"/>
  <c r="I2764" i="17"/>
  <c r="C2764" i="17"/>
  <c r="B2764" i="17"/>
  <c r="I2763" i="17"/>
  <c r="C2763" i="17"/>
  <c r="B2763" i="17"/>
  <c r="I2762" i="17"/>
  <c r="C2762" i="17"/>
  <c r="B2762" i="17"/>
  <c r="I2761" i="17"/>
  <c r="C2761" i="17"/>
  <c r="B2761" i="17"/>
  <c r="I2760" i="17"/>
  <c r="C2760" i="17"/>
  <c r="B2760" i="17"/>
  <c r="I2759" i="17"/>
  <c r="C2759" i="17"/>
  <c r="B2759" i="17"/>
  <c r="I2758" i="17"/>
  <c r="C2758" i="17"/>
  <c r="B2758" i="17"/>
  <c r="I2757" i="17"/>
  <c r="C2757" i="17"/>
  <c r="B2757" i="17"/>
  <c r="I2756" i="17"/>
  <c r="C2756" i="17"/>
  <c r="B2756" i="17"/>
  <c r="I2755" i="17"/>
  <c r="C2755" i="17"/>
  <c r="B2755" i="17"/>
  <c r="I2754" i="17"/>
  <c r="C2754" i="17"/>
  <c r="B2754" i="17"/>
  <c r="I2753" i="17"/>
  <c r="C2753" i="17"/>
  <c r="B2753" i="17"/>
  <c r="I2752" i="17"/>
  <c r="C2752" i="17"/>
  <c r="B2752" i="17"/>
  <c r="I2751" i="17"/>
  <c r="C2751" i="17"/>
  <c r="B2751" i="17"/>
  <c r="I2750" i="17"/>
  <c r="C2750" i="17"/>
  <c r="B2750" i="17"/>
  <c r="I2749" i="17"/>
  <c r="C2749" i="17"/>
  <c r="B2749" i="17"/>
  <c r="I2748" i="17"/>
  <c r="C2748" i="17"/>
  <c r="B2748" i="17"/>
  <c r="I2747" i="17"/>
  <c r="C2747" i="17"/>
  <c r="B2747" i="17"/>
  <c r="I2746" i="17"/>
  <c r="C2746" i="17"/>
  <c r="B2746" i="17"/>
  <c r="I2745" i="17"/>
  <c r="C2745" i="17"/>
  <c r="B2745" i="17"/>
  <c r="I2744" i="17"/>
  <c r="C2744" i="17"/>
  <c r="B2744" i="17"/>
  <c r="I2743" i="17"/>
  <c r="C2743" i="17"/>
  <c r="B2743" i="17"/>
  <c r="I2742" i="17"/>
  <c r="C2742" i="17"/>
  <c r="B2742" i="17"/>
  <c r="I2741" i="17"/>
  <c r="C2741" i="17"/>
  <c r="B2741" i="17"/>
  <c r="I2740" i="17"/>
  <c r="C2740" i="17"/>
  <c r="B2740" i="17"/>
  <c r="I2739" i="17"/>
  <c r="C2739" i="17"/>
  <c r="B2739" i="17"/>
  <c r="I2738" i="17"/>
  <c r="C2738" i="17"/>
  <c r="B2738" i="17"/>
  <c r="I2737" i="17"/>
  <c r="C2737" i="17"/>
  <c r="B2737" i="17"/>
  <c r="I2736" i="17"/>
  <c r="C2736" i="17"/>
  <c r="B2736" i="17"/>
  <c r="I2735" i="17"/>
  <c r="C2735" i="17"/>
  <c r="B2735" i="17"/>
  <c r="I2734" i="17"/>
  <c r="C2734" i="17"/>
  <c r="B2734" i="17"/>
  <c r="I2733" i="17"/>
  <c r="C2733" i="17"/>
  <c r="B2733" i="17"/>
  <c r="I2732" i="17"/>
  <c r="C2732" i="17"/>
  <c r="B2732" i="17"/>
  <c r="I2731" i="17"/>
  <c r="C2731" i="17"/>
  <c r="B2731" i="17"/>
  <c r="I2730" i="17"/>
  <c r="C2730" i="17"/>
  <c r="B2730" i="17"/>
  <c r="I2729" i="17"/>
  <c r="C2729" i="17"/>
  <c r="B2729" i="17"/>
  <c r="I2728" i="17"/>
  <c r="C2728" i="17"/>
  <c r="B2728" i="17"/>
  <c r="I2727" i="17"/>
  <c r="C2727" i="17"/>
  <c r="B2727" i="17"/>
  <c r="I2726" i="17"/>
  <c r="C2726" i="17"/>
  <c r="B2726" i="17"/>
  <c r="I2725" i="17"/>
  <c r="C2725" i="17"/>
  <c r="B2725" i="17"/>
  <c r="I2724" i="17"/>
  <c r="C2724" i="17"/>
  <c r="B2724" i="17"/>
  <c r="I2723" i="17"/>
  <c r="C2723" i="17"/>
  <c r="B2723" i="17"/>
  <c r="I2722" i="17"/>
  <c r="C2722" i="17"/>
  <c r="B2722" i="17"/>
  <c r="I2721" i="17"/>
  <c r="C2721" i="17"/>
  <c r="B2721" i="17"/>
  <c r="I2720" i="17"/>
  <c r="C2720" i="17"/>
  <c r="B2720" i="17"/>
  <c r="I2719" i="17"/>
  <c r="C2719" i="17"/>
  <c r="B2719" i="17"/>
  <c r="I2718" i="17"/>
  <c r="C2718" i="17"/>
  <c r="B2718" i="17"/>
  <c r="I2717" i="17"/>
  <c r="C2717" i="17"/>
  <c r="B2717" i="17"/>
  <c r="I2716" i="17"/>
  <c r="C2716" i="17"/>
  <c r="B2716" i="17"/>
  <c r="I2715" i="17"/>
  <c r="C2715" i="17"/>
  <c r="B2715" i="17"/>
  <c r="I2714" i="17"/>
  <c r="C2714" i="17"/>
  <c r="B2714" i="17"/>
  <c r="I2713" i="17"/>
  <c r="C2713" i="17"/>
  <c r="B2713" i="17"/>
  <c r="I2712" i="17"/>
  <c r="C2712" i="17"/>
  <c r="B2712" i="17"/>
  <c r="I2711" i="17"/>
  <c r="C2711" i="17"/>
  <c r="B2711" i="17"/>
  <c r="I2710" i="17"/>
  <c r="C2710" i="17"/>
  <c r="B2710" i="17"/>
  <c r="I2709" i="17"/>
  <c r="C2709" i="17"/>
  <c r="B2709" i="17"/>
  <c r="I2708" i="17"/>
  <c r="C2708" i="17"/>
  <c r="B2708" i="17"/>
  <c r="I2707" i="17"/>
  <c r="C2707" i="17"/>
  <c r="B2707" i="17"/>
  <c r="I2706" i="17"/>
  <c r="C2706" i="17"/>
  <c r="B2706" i="17"/>
  <c r="I2705" i="17"/>
  <c r="C2705" i="17"/>
  <c r="B2705" i="17"/>
  <c r="I2704" i="17"/>
  <c r="C2704" i="17"/>
  <c r="B2704" i="17"/>
  <c r="I2703" i="17"/>
  <c r="C2703" i="17"/>
  <c r="B2703" i="17"/>
  <c r="I2702" i="17"/>
  <c r="C2702" i="17"/>
  <c r="B2702" i="17"/>
  <c r="I2701" i="17"/>
  <c r="C2701" i="17"/>
  <c r="B2701" i="17"/>
  <c r="I2700" i="17"/>
  <c r="C2700" i="17"/>
  <c r="B2700" i="17"/>
  <c r="I2699" i="17"/>
  <c r="C2699" i="17"/>
  <c r="B2699" i="17"/>
  <c r="I2698" i="17"/>
  <c r="C2698" i="17"/>
  <c r="B2698" i="17"/>
  <c r="I2697" i="17"/>
  <c r="C2697" i="17"/>
  <c r="B2697" i="17"/>
  <c r="I2696" i="17"/>
  <c r="C2696" i="17"/>
  <c r="B2696" i="17"/>
  <c r="I2695" i="17"/>
  <c r="C2695" i="17"/>
  <c r="B2695" i="17"/>
  <c r="I2694" i="17"/>
  <c r="C2694" i="17"/>
  <c r="B2694" i="17"/>
  <c r="I2693" i="17"/>
  <c r="C2693" i="17"/>
  <c r="B2693" i="17"/>
  <c r="I2692" i="17"/>
  <c r="C2692" i="17"/>
  <c r="B2692" i="17"/>
  <c r="I2691" i="17"/>
  <c r="C2691" i="17"/>
  <c r="B2691" i="17"/>
  <c r="I2690" i="17"/>
  <c r="C2690" i="17"/>
  <c r="B2690" i="17"/>
  <c r="I2689" i="17"/>
  <c r="C2689" i="17"/>
  <c r="B2689" i="17"/>
  <c r="I2688" i="17"/>
  <c r="C2688" i="17"/>
  <c r="B2688" i="17"/>
  <c r="I2687" i="17"/>
  <c r="C2687" i="17"/>
  <c r="B2687" i="17"/>
  <c r="I2686" i="17"/>
  <c r="C2686" i="17"/>
  <c r="B2686" i="17"/>
  <c r="I2685" i="17"/>
  <c r="C2685" i="17"/>
  <c r="B2685" i="17"/>
  <c r="I2684" i="17"/>
  <c r="C2684" i="17"/>
  <c r="B2684" i="17"/>
  <c r="I2683" i="17"/>
  <c r="C2683" i="17"/>
  <c r="B2683" i="17"/>
  <c r="I2682" i="17"/>
  <c r="C2682" i="17"/>
  <c r="B2682" i="17"/>
  <c r="I2681" i="17"/>
  <c r="C2681" i="17"/>
  <c r="B2681" i="17"/>
  <c r="I2680" i="17"/>
  <c r="C2680" i="17"/>
  <c r="B2680" i="17"/>
  <c r="I2679" i="17"/>
  <c r="C2679" i="17"/>
  <c r="B2679" i="17"/>
  <c r="I2678" i="17"/>
  <c r="C2678" i="17"/>
  <c r="B2678" i="17"/>
  <c r="I2677" i="17"/>
  <c r="C2677" i="17"/>
  <c r="B2677" i="17"/>
  <c r="I2676" i="17"/>
  <c r="C2676" i="17"/>
  <c r="B2676" i="17"/>
  <c r="I2675" i="17"/>
  <c r="C2675" i="17"/>
  <c r="B2675" i="17"/>
  <c r="I2674" i="17"/>
  <c r="C2674" i="17"/>
  <c r="B2674" i="17"/>
  <c r="I2673" i="17"/>
  <c r="C2673" i="17"/>
  <c r="B2673" i="17"/>
  <c r="I2672" i="17"/>
  <c r="C2672" i="17"/>
  <c r="B2672" i="17"/>
  <c r="I2671" i="17"/>
  <c r="C2671" i="17"/>
  <c r="B2671" i="17"/>
  <c r="I2670" i="17"/>
  <c r="C2670" i="17"/>
  <c r="B2670" i="17"/>
  <c r="I2669" i="17"/>
  <c r="C2669" i="17"/>
  <c r="B2669" i="17"/>
  <c r="I2668" i="17"/>
  <c r="C2668" i="17"/>
  <c r="B2668" i="17"/>
  <c r="I2667" i="17"/>
  <c r="C2667" i="17"/>
  <c r="B2667" i="17"/>
  <c r="I2666" i="17"/>
  <c r="C2666" i="17"/>
  <c r="B2666" i="17"/>
  <c r="I2665" i="17"/>
  <c r="C2665" i="17"/>
  <c r="B2665" i="17"/>
  <c r="I2664" i="17"/>
  <c r="C2664" i="17"/>
  <c r="B2664" i="17"/>
  <c r="I2663" i="17"/>
  <c r="C2663" i="17"/>
  <c r="B2663" i="17"/>
  <c r="I2662" i="17"/>
  <c r="C2662" i="17"/>
  <c r="B2662" i="17"/>
  <c r="I2661" i="17"/>
  <c r="C2661" i="17"/>
  <c r="B2661" i="17"/>
  <c r="I2660" i="17"/>
  <c r="C2660" i="17"/>
  <c r="B2660" i="17"/>
  <c r="I2659" i="17"/>
  <c r="C2659" i="17"/>
  <c r="B2659" i="17"/>
  <c r="I2658" i="17"/>
  <c r="C2658" i="17"/>
  <c r="B2658" i="17"/>
  <c r="I2657" i="17"/>
  <c r="C2657" i="17"/>
  <c r="B2657" i="17"/>
  <c r="I2656" i="17"/>
  <c r="C2656" i="17"/>
  <c r="B2656" i="17"/>
  <c r="I2655" i="17"/>
  <c r="C2655" i="17"/>
  <c r="B2655" i="17"/>
  <c r="I2654" i="17"/>
  <c r="C2654" i="17"/>
  <c r="B2654" i="17"/>
  <c r="I2653" i="17"/>
  <c r="C2653" i="17"/>
  <c r="B2653" i="17"/>
  <c r="I2652" i="17"/>
  <c r="C2652" i="17"/>
  <c r="B2652" i="17"/>
  <c r="I2651" i="17"/>
  <c r="C2651" i="17"/>
  <c r="B2651" i="17"/>
  <c r="I2650" i="17"/>
  <c r="C2650" i="17"/>
  <c r="B2650" i="17"/>
  <c r="I2649" i="17"/>
  <c r="C2649" i="17"/>
  <c r="B2649" i="17"/>
  <c r="I2648" i="17"/>
  <c r="C2648" i="17"/>
  <c r="B2648" i="17"/>
  <c r="I2647" i="17"/>
  <c r="C2647" i="17"/>
  <c r="B2647" i="17"/>
  <c r="I2646" i="17"/>
  <c r="C2646" i="17"/>
  <c r="B2646" i="17"/>
  <c r="I2645" i="17"/>
  <c r="C2645" i="17"/>
  <c r="B2645" i="17"/>
  <c r="I2644" i="17"/>
  <c r="C2644" i="17"/>
  <c r="B2644" i="17"/>
  <c r="I2643" i="17"/>
  <c r="C2643" i="17"/>
  <c r="B2643" i="17"/>
  <c r="I2642" i="17"/>
  <c r="C2642" i="17"/>
  <c r="B2642" i="17"/>
  <c r="I2641" i="17"/>
  <c r="C2641" i="17"/>
  <c r="B2641" i="17"/>
  <c r="I2640" i="17"/>
  <c r="C2640" i="17"/>
  <c r="B2640" i="17"/>
  <c r="I2639" i="17"/>
  <c r="C2639" i="17"/>
  <c r="B2639" i="17"/>
  <c r="I2638" i="17"/>
  <c r="C2638" i="17"/>
  <c r="B2638" i="17"/>
  <c r="I2637" i="17"/>
  <c r="C2637" i="17"/>
  <c r="B2637" i="17"/>
  <c r="I2636" i="17"/>
  <c r="C2636" i="17"/>
  <c r="B2636" i="17"/>
  <c r="I2635" i="17"/>
  <c r="C2635" i="17"/>
  <c r="B2635" i="17"/>
  <c r="I2634" i="17"/>
  <c r="C2634" i="17"/>
  <c r="B2634" i="17"/>
  <c r="I2633" i="17"/>
  <c r="C2633" i="17"/>
  <c r="B2633" i="17"/>
  <c r="I2632" i="17"/>
  <c r="C2632" i="17"/>
  <c r="B2632" i="17"/>
  <c r="I2631" i="17"/>
  <c r="C2631" i="17"/>
  <c r="B2631" i="17"/>
  <c r="I2630" i="17"/>
  <c r="C2630" i="17"/>
  <c r="B2630" i="17"/>
  <c r="I2629" i="17"/>
  <c r="C2629" i="17"/>
  <c r="B2629" i="17"/>
  <c r="I2628" i="17"/>
  <c r="C2628" i="17"/>
  <c r="B2628" i="17"/>
  <c r="I2627" i="17"/>
  <c r="C2627" i="17"/>
  <c r="B2627" i="17"/>
  <c r="I2626" i="17"/>
  <c r="C2626" i="17"/>
  <c r="B2626" i="17"/>
  <c r="I2625" i="17"/>
  <c r="C2625" i="17"/>
  <c r="B2625" i="17"/>
  <c r="I2624" i="17"/>
  <c r="C2624" i="17"/>
  <c r="B2624" i="17"/>
  <c r="I2623" i="17"/>
  <c r="C2623" i="17"/>
  <c r="B2623" i="17"/>
  <c r="I2622" i="17"/>
  <c r="C2622" i="17"/>
  <c r="B2622" i="17"/>
  <c r="I2621" i="17"/>
  <c r="C2621" i="17"/>
  <c r="B2621" i="17"/>
  <c r="I2620" i="17"/>
  <c r="C2620" i="17"/>
  <c r="B2620" i="17"/>
  <c r="I2619" i="17"/>
  <c r="C2619" i="17"/>
  <c r="B2619" i="17"/>
  <c r="I2618" i="17"/>
  <c r="C2618" i="17"/>
  <c r="B2618" i="17"/>
  <c r="I2617" i="17"/>
  <c r="C2617" i="17"/>
  <c r="B2617" i="17"/>
  <c r="I2616" i="17"/>
  <c r="C2616" i="17"/>
  <c r="B2616" i="17"/>
  <c r="I2615" i="17"/>
  <c r="C2615" i="17"/>
  <c r="B2615" i="17"/>
  <c r="I2614" i="17"/>
  <c r="C2614" i="17"/>
  <c r="B2614" i="17"/>
  <c r="I2613" i="17"/>
  <c r="C2613" i="17"/>
  <c r="B2613" i="17"/>
  <c r="I2612" i="17"/>
  <c r="C2612" i="17"/>
  <c r="B2612" i="17"/>
  <c r="I2611" i="17"/>
  <c r="C2611" i="17"/>
  <c r="B2611" i="17"/>
  <c r="I2610" i="17"/>
  <c r="C2610" i="17"/>
  <c r="B2610" i="17"/>
  <c r="I2609" i="17"/>
  <c r="C2609" i="17"/>
  <c r="B2609" i="17"/>
  <c r="I2608" i="17"/>
  <c r="C2608" i="17"/>
  <c r="B2608" i="17"/>
  <c r="I2607" i="17"/>
  <c r="C2607" i="17"/>
  <c r="B2607" i="17"/>
  <c r="I2606" i="17"/>
  <c r="C2606" i="17"/>
  <c r="B2606" i="17"/>
  <c r="I2605" i="17"/>
  <c r="C2605" i="17"/>
  <c r="B2605" i="17"/>
  <c r="I2604" i="17"/>
  <c r="C2604" i="17"/>
  <c r="B2604" i="17"/>
  <c r="I2603" i="17"/>
  <c r="C2603" i="17"/>
  <c r="B2603" i="17"/>
  <c r="I2602" i="17"/>
  <c r="C2602" i="17"/>
  <c r="B2602" i="17"/>
  <c r="I2601" i="17"/>
  <c r="C2601" i="17"/>
  <c r="B2601" i="17"/>
  <c r="I2600" i="17"/>
  <c r="C2600" i="17"/>
  <c r="B2600" i="17"/>
  <c r="I2599" i="17"/>
  <c r="C2599" i="17"/>
  <c r="B2599" i="17"/>
  <c r="I2598" i="17"/>
  <c r="C2598" i="17"/>
  <c r="B2598" i="17"/>
  <c r="I2597" i="17"/>
  <c r="C2597" i="17"/>
  <c r="B2597" i="17"/>
  <c r="I2596" i="17"/>
  <c r="C2596" i="17"/>
  <c r="B2596" i="17"/>
  <c r="I2595" i="17"/>
  <c r="C2595" i="17"/>
  <c r="B2595" i="17"/>
  <c r="I2594" i="17"/>
  <c r="C2594" i="17"/>
  <c r="B2594" i="17"/>
  <c r="I2593" i="17"/>
  <c r="C2593" i="17"/>
  <c r="B2593" i="17"/>
  <c r="I2592" i="17"/>
  <c r="C2592" i="17"/>
  <c r="B2592" i="17"/>
  <c r="I2591" i="17"/>
  <c r="C2591" i="17"/>
  <c r="B2591" i="17"/>
  <c r="I2590" i="17"/>
  <c r="C2590" i="17"/>
  <c r="B2590" i="17"/>
  <c r="I2589" i="17"/>
  <c r="C2589" i="17"/>
  <c r="B2589" i="17"/>
  <c r="I2588" i="17"/>
  <c r="C2588" i="17"/>
  <c r="B2588" i="17"/>
  <c r="I2587" i="17"/>
  <c r="C2587" i="17"/>
  <c r="B2587" i="17"/>
  <c r="I2586" i="17"/>
  <c r="C2586" i="17"/>
  <c r="B2586" i="17"/>
  <c r="I2585" i="17"/>
  <c r="C2585" i="17"/>
  <c r="B2585" i="17"/>
  <c r="I2584" i="17"/>
  <c r="C2584" i="17"/>
  <c r="B2584" i="17"/>
  <c r="I2583" i="17"/>
  <c r="C2583" i="17"/>
  <c r="B2583" i="17"/>
  <c r="I2582" i="17"/>
  <c r="C2582" i="17"/>
  <c r="B2582" i="17"/>
  <c r="I2581" i="17"/>
  <c r="C2581" i="17"/>
  <c r="B2581" i="17"/>
  <c r="I2580" i="17"/>
  <c r="C2580" i="17"/>
  <c r="B2580" i="17"/>
  <c r="I2579" i="17"/>
  <c r="C2579" i="17"/>
  <c r="B2579" i="17"/>
  <c r="I2578" i="17"/>
  <c r="C2578" i="17"/>
  <c r="B2578" i="17"/>
  <c r="I2577" i="17"/>
  <c r="C2577" i="17"/>
  <c r="B2577" i="17"/>
  <c r="I2576" i="17"/>
  <c r="C2576" i="17"/>
  <c r="B2576" i="17"/>
  <c r="I2575" i="17"/>
  <c r="C2575" i="17"/>
  <c r="B2575" i="17"/>
  <c r="I2574" i="17"/>
  <c r="C2574" i="17"/>
  <c r="B2574" i="17"/>
  <c r="I2573" i="17"/>
  <c r="C2573" i="17"/>
  <c r="B2573" i="17"/>
  <c r="I2572" i="17"/>
  <c r="C2572" i="17"/>
  <c r="B2572" i="17"/>
  <c r="I2571" i="17"/>
  <c r="C2571" i="17"/>
  <c r="B2571" i="17"/>
  <c r="I2570" i="17"/>
  <c r="C2570" i="17"/>
  <c r="B2570" i="17"/>
  <c r="I2569" i="17"/>
  <c r="C2569" i="17"/>
  <c r="B2569" i="17"/>
  <c r="I2568" i="17"/>
  <c r="C2568" i="17"/>
  <c r="B2568" i="17"/>
  <c r="I2567" i="17"/>
  <c r="C2567" i="17"/>
  <c r="B2567" i="17"/>
  <c r="I2566" i="17"/>
  <c r="C2566" i="17"/>
  <c r="B2566" i="17"/>
  <c r="I2565" i="17"/>
  <c r="C2565" i="17"/>
  <c r="B2565" i="17"/>
  <c r="I2564" i="17"/>
  <c r="C2564" i="17"/>
  <c r="B2564" i="17"/>
  <c r="I2563" i="17"/>
  <c r="C2563" i="17"/>
  <c r="B2563" i="17"/>
  <c r="I2562" i="17"/>
  <c r="C2562" i="17"/>
  <c r="B2562" i="17"/>
  <c r="I2561" i="17"/>
  <c r="C2561" i="17"/>
  <c r="B2561" i="17"/>
  <c r="I2560" i="17"/>
  <c r="C2560" i="17"/>
  <c r="B2560" i="17"/>
  <c r="I2559" i="17"/>
  <c r="C2559" i="17"/>
  <c r="B2559" i="17"/>
  <c r="I2558" i="17"/>
  <c r="C2558" i="17"/>
  <c r="B2558" i="17"/>
  <c r="I2557" i="17"/>
  <c r="C2557" i="17"/>
  <c r="B2557" i="17"/>
  <c r="I2556" i="17"/>
  <c r="C2556" i="17"/>
  <c r="B2556" i="17"/>
  <c r="I2555" i="17"/>
  <c r="C2555" i="17"/>
  <c r="B2555" i="17"/>
  <c r="I2554" i="17"/>
  <c r="C2554" i="17"/>
  <c r="B2554" i="17"/>
  <c r="I2553" i="17"/>
  <c r="C2553" i="17"/>
  <c r="B2553" i="17"/>
  <c r="I2552" i="17"/>
  <c r="C2552" i="17"/>
  <c r="B2552" i="17"/>
  <c r="I2551" i="17"/>
  <c r="C2551" i="17"/>
  <c r="B2551" i="17"/>
  <c r="I2550" i="17"/>
  <c r="C2550" i="17"/>
  <c r="B2550" i="17"/>
  <c r="I2549" i="17"/>
  <c r="C2549" i="17"/>
  <c r="B2549" i="17"/>
  <c r="I2548" i="17"/>
  <c r="C2548" i="17"/>
  <c r="B2548" i="17"/>
  <c r="I2547" i="17"/>
  <c r="C2547" i="17"/>
  <c r="B2547" i="17"/>
  <c r="I2546" i="17"/>
  <c r="C2546" i="17"/>
  <c r="B2546" i="17"/>
  <c r="I2545" i="17"/>
  <c r="C2545" i="17"/>
  <c r="B2545" i="17"/>
  <c r="I2544" i="17"/>
  <c r="C2544" i="17"/>
  <c r="B2544" i="17"/>
  <c r="I2543" i="17"/>
  <c r="C2543" i="17"/>
  <c r="B2543" i="17"/>
  <c r="I2542" i="17"/>
  <c r="C2542" i="17"/>
  <c r="B2542" i="17"/>
  <c r="I2541" i="17"/>
  <c r="C2541" i="17"/>
  <c r="B2541" i="17"/>
  <c r="I2540" i="17"/>
  <c r="C2540" i="17"/>
  <c r="B2540" i="17"/>
  <c r="I2539" i="17"/>
  <c r="C2539" i="17"/>
  <c r="B2539" i="17"/>
  <c r="I2538" i="17"/>
  <c r="C2538" i="17"/>
  <c r="B2538" i="17"/>
  <c r="I2537" i="17"/>
  <c r="C2537" i="17"/>
  <c r="B2537" i="17"/>
  <c r="I2536" i="17"/>
  <c r="C2536" i="17"/>
  <c r="B2536" i="17"/>
  <c r="I2535" i="17"/>
  <c r="C2535" i="17"/>
  <c r="B2535" i="17"/>
  <c r="I2534" i="17"/>
  <c r="C2534" i="17"/>
  <c r="B2534" i="17"/>
  <c r="I2533" i="17"/>
  <c r="C2533" i="17"/>
  <c r="B2533" i="17"/>
  <c r="I2532" i="17"/>
  <c r="C2532" i="17"/>
  <c r="B2532" i="17"/>
  <c r="I2531" i="17"/>
  <c r="C2531" i="17"/>
  <c r="B2531" i="17"/>
  <c r="I2530" i="17"/>
  <c r="C2530" i="17"/>
  <c r="B2530" i="17"/>
  <c r="I2529" i="17"/>
  <c r="C2529" i="17"/>
  <c r="B2529" i="17"/>
  <c r="I2528" i="17"/>
  <c r="C2528" i="17"/>
  <c r="B2528" i="17"/>
  <c r="I2527" i="17"/>
  <c r="C2527" i="17"/>
  <c r="B2527" i="17"/>
  <c r="I2526" i="17"/>
  <c r="C2526" i="17"/>
  <c r="B2526" i="17"/>
  <c r="I2525" i="17"/>
  <c r="C2525" i="17"/>
  <c r="B2525" i="17"/>
  <c r="I2524" i="17"/>
  <c r="C2524" i="17"/>
  <c r="B2524" i="17"/>
  <c r="I2523" i="17"/>
  <c r="C2523" i="17"/>
  <c r="B2523" i="17"/>
  <c r="I2522" i="17"/>
  <c r="C2522" i="17"/>
  <c r="B2522" i="17"/>
  <c r="I2521" i="17"/>
  <c r="C2521" i="17"/>
  <c r="B2521" i="17"/>
  <c r="I2520" i="17"/>
  <c r="C2520" i="17"/>
  <c r="B2520" i="17"/>
  <c r="I2519" i="17"/>
  <c r="C2519" i="17"/>
  <c r="B2519" i="17"/>
  <c r="I2518" i="17"/>
  <c r="C2518" i="17"/>
  <c r="B2518" i="17"/>
  <c r="I2517" i="17"/>
  <c r="C2517" i="17"/>
  <c r="B2517" i="17"/>
  <c r="I2516" i="17"/>
  <c r="C2516" i="17"/>
  <c r="B2516" i="17"/>
  <c r="I2515" i="17"/>
  <c r="C2515" i="17"/>
  <c r="B2515" i="17"/>
  <c r="I2514" i="17"/>
  <c r="C2514" i="17"/>
  <c r="B2514" i="17"/>
  <c r="I2513" i="17"/>
  <c r="C2513" i="17"/>
  <c r="B2513" i="17"/>
  <c r="I2512" i="17"/>
  <c r="C2512" i="17"/>
  <c r="B2512" i="17"/>
  <c r="I2511" i="17"/>
  <c r="C2511" i="17"/>
  <c r="B2511" i="17"/>
  <c r="I2510" i="17"/>
  <c r="C2510" i="17"/>
  <c r="B2510" i="17"/>
  <c r="I2509" i="17"/>
  <c r="C2509" i="17"/>
  <c r="B2509" i="17"/>
  <c r="I2508" i="17"/>
  <c r="C2508" i="17"/>
  <c r="B2508" i="17"/>
  <c r="I2507" i="17"/>
  <c r="C2507" i="17"/>
  <c r="B2507" i="17"/>
  <c r="I2506" i="17"/>
  <c r="C2506" i="17"/>
  <c r="B2506" i="17"/>
  <c r="I2505" i="17"/>
  <c r="C2505" i="17"/>
  <c r="B2505" i="17"/>
  <c r="I2504" i="17"/>
  <c r="C2504" i="17"/>
  <c r="B2504" i="17"/>
  <c r="I2503" i="17"/>
  <c r="C2503" i="17"/>
  <c r="B2503" i="17"/>
  <c r="I2502" i="17"/>
  <c r="C2502" i="17"/>
  <c r="B2502" i="17"/>
  <c r="I2501" i="17"/>
  <c r="C2501" i="17"/>
  <c r="B2501" i="17"/>
  <c r="I2500" i="17"/>
  <c r="C2500" i="17"/>
  <c r="B2500" i="17"/>
  <c r="I2499" i="17"/>
  <c r="C2499" i="17"/>
  <c r="B2499" i="17"/>
  <c r="I2498" i="17"/>
  <c r="C2498" i="17"/>
  <c r="B2498" i="17"/>
  <c r="I2497" i="17"/>
  <c r="C2497" i="17"/>
  <c r="B2497" i="17"/>
  <c r="I2496" i="17"/>
  <c r="C2496" i="17"/>
  <c r="B2496" i="17"/>
  <c r="I2495" i="17"/>
  <c r="C2495" i="17"/>
  <c r="B2495" i="17"/>
  <c r="I2494" i="17"/>
  <c r="C2494" i="17"/>
  <c r="B2494" i="17"/>
  <c r="I2493" i="17"/>
  <c r="C2493" i="17"/>
  <c r="B2493" i="17"/>
  <c r="I2492" i="17"/>
  <c r="C2492" i="17"/>
  <c r="B2492" i="17"/>
  <c r="I2491" i="17"/>
  <c r="C2491" i="17"/>
  <c r="B2491" i="17"/>
  <c r="I2490" i="17"/>
  <c r="C2490" i="17"/>
  <c r="B2490" i="17"/>
  <c r="I2489" i="17"/>
  <c r="C2489" i="17"/>
  <c r="B2489" i="17"/>
  <c r="I2488" i="17"/>
  <c r="C2488" i="17"/>
  <c r="B2488" i="17"/>
  <c r="I2487" i="17"/>
  <c r="C2487" i="17"/>
  <c r="B2487" i="17"/>
  <c r="I2486" i="17"/>
  <c r="C2486" i="17"/>
  <c r="B2486" i="17"/>
  <c r="I2485" i="17"/>
  <c r="C2485" i="17"/>
  <c r="B2485" i="17"/>
  <c r="I2484" i="17"/>
  <c r="C2484" i="17"/>
  <c r="B2484" i="17"/>
  <c r="I2483" i="17"/>
  <c r="C2483" i="17"/>
  <c r="B2483" i="17"/>
  <c r="I2482" i="17"/>
  <c r="C2482" i="17"/>
  <c r="B2482" i="17"/>
  <c r="I2481" i="17"/>
  <c r="C2481" i="17"/>
  <c r="B2481" i="17"/>
  <c r="I2480" i="17"/>
  <c r="C2480" i="17"/>
  <c r="B2480" i="17"/>
  <c r="I2479" i="17"/>
  <c r="C2479" i="17"/>
  <c r="B2479" i="17"/>
  <c r="I2478" i="17"/>
  <c r="C2478" i="17"/>
  <c r="B2478" i="17"/>
  <c r="I2477" i="17"/>
  <c r="C2477" i="17"/>
  <c r="B2477" i="17"/>
  <c r="I2476" i="17"/>
  <c r="C2476" i="17"/>
  <c r="B2476" i="17"/>
  <c r="I2475" i="17"/>
  <c r="C2475" i="17"/>
  <c r="B2475" i="17"/>
  <c r="I2474" i="17"/>
  <c r="C2474" i="17"/>
  <c r="B2474" i="17"/>
  <c r="I2473" i="17"/>
  <c r="C2473" i="17"/>
  <c r="B2473" i="17"/>
  <c r="I2472" i="17"/>
  <c r="C2472" i="17"/>
  <c r="B2472" i="17"/>
  <c r="I2471" i="17"/>
  <c r="C2471" i="17"/>
  <c r="B2471" i="17"/>
  <c r="I2470" i="17"/>
  <c r="C2470" i="17"/>
  <c r="B2470" i="17"/>
  <c r="I2469" i="17"/>
  <c r="C2469" i="17"/>
  <c r="B2469" i="17"/>
  <c r="I2468" i="17"/>
  <c r="C2468" i="17"/>
  <c r="B2468" i="17"/>
  <c r="I2467" i="17"/>
  <c r="C2467" i="17"/>
  <c r="B2467" i="17"/>
  <c r="I2466" i="17"/>
  <c r="C2466" i="17"/>
  <c r="B2466" i="17"/>
  <c r="I2465" i="17"/>
  <c r="C2465" i="17"/>
  <c r="B2465" i="17"/>
  <c r="I2464" i="17"/>
  <c r="C2464" i="17"/>
  <c r="B2464" i="17"/>
  <c r="I2463" i="17"/>
  <c r="C2463" i="17"/>
  <c r="B2463" i="17"/>
  <c r="I2462" i="17"/>
  <c r="C2462" i="17"/>
  <c r="B2462" i="17"/>
  <c r="I2461" i="17"/>
  <c r="C2461" i="17"/>
  <c r="B2461" i="17"/>
  <c r="I2460" i="17"/>
  <c r="C2460" i="17"/>
  <c r="B2460" i="17"/>
  <c r="I2459" i="17"/>
  <c r="C2459" i="17"/>
  <c r="B2459" i="17"/>
  <c r="I2458" i="17"/>
  <c r="C2458" i="17"/>
  <c r="B2458" i="17"/>
  <c r="I2457" i="17"/>
  <c r="C2457" i="17"/>
  <c r="B2457" i="17"/>
  <c r="I2456" i="17"/>
  <c r="C2456" i="17"/>
  <c r="B2456" i="17"/>
  <c r="I2455" i="17"/>
  <c r="C2455" i="17"/>
  <c r="B2455" i="17"/>
  <c r="I2454" i="17"/>
  <c r="C2454" i="17"/>
  <c r="B2454" i="17"/>
  <c r="I2453" i="17"/>
  <c r="C2453" i="17"/>
  <c r="B2453" i="17"/>
  <c r="I2452" i="17"/>
  <c r="C2452" i="17"/>
  <c r="B2452" i="17"/>
  <c r="I2451" i="17"/>
  <c r="C2451" i="17"/>
  <c r="B2451" i="17"/>
  <c r="I2450" i="17"/>
  <c r="C2450" i="17"/>
  <c r="B2450" i="17"/>
  <c r="I2449" i="17"/>
  <c r="C2449" i="17"/>
  <c r="B2449" i="17"/>
  <c r="I2448" i="17"/>
  <c r="C2448" i="17"/>
  <c r="B2448" i="17"/>
  <c r="I2447" i="17"/>
  <c r="C2447" i="17"/>
  <c r="B2447" i="17"/>
  <c r="I2446" i="17"/>
  <c r="C2446" i="17"/>
  <c r="B2446" i="17"/>
  <c r="I2445" i="17"/>
  <c r="C2445" i="17"/>
  <c r="B2445" i="17"/>
  <c r="I2444" i="17"/>
  <c r="C2444" i="17"/>
  <c r="B2444" i="17"/>
  <c r="I2443" i="17"/>
  <c r="C2443" i="17"/>
  <c r="B2443" i="17"/>
  <c r="I2442" i="17"/>
  <c r="C2442" i="17"/>
  <c r="B2442" i="17"/>
  <c r="I2441" i="17"/>
  <c r="C2441" i="17"/>
  <c r="B2441" i="17"/>
  <c r="I2440" i="17"/>
  <c r="C2440" i="17"/>
  <c r="B2440" i="17"/>
  <c r="I2439" i="17"/>
  <c r="C2439" i="17"/>
  <c r="B2439" i="17"/>
  <c r="I2438" i="17"/>
  <c r="C2438" i="17"/>
  <c r="B2438" i="17"/>
  <c r="I2437" i="17"/>
  <c r="C2437" i="17"/>
  <c r="B2437" i="17"/>
  <c r="I2436" i="17"/>
  <c r="C2436" i="17"/>
  <c r="B2436" i="17"/>
  <c r="I2435" i="17"/>
  <c r="C2435" i="17"/>
  <c r="B2435" i="17"/>
  <c r="I2434" i="17"/>
  <c r="C2434" i="17"/>
  <c r="B2434" i="17"/>
  <c r="I2433" i="17"/>
  <c r="C2433" i="17"/>
  <c r="B2433" i="17"/>
  <c r="I2432" i="17"/>
  <c r="C2432" i="17"/>
  <c r="B2432" i="17"/>
  <c r="I2431" i="17"/>
  <c r="C2431" i="17"/>
  <c r="B2431" i="17"/>
  <c r="I2430" i="17"/>
  <c r="C2430" i="17"/>
  <c r="B2430" i="17"/>
  <c r="I2429" i="17"/>
  <c r="C2429" i="17"/>
  <c r="B2429" i="17"/>
  <c r="I2428" i="17"/>
  <c r="C2428" i="17"/>
  <c r="B2428" i="17"/>
  <c r="I2427" i="17"/>
  <c r="C2427" i="17"/>
  <c r="B2427" i="17"/>
  <c r="I2426" i="17"/>
  <c r="C2426" i="17"/>
  <c r="B2426" i="17"/>
  <c r="I2425" i="17"/>
  <c r="C2425" i="17"/>
  <c r="B2425" i="17"/>
  <c r="I2424" i="17"/>
  <c r="C2424" i="17"/>
  <c r="B2424" i="17"/>
  <c r="I2423" i="17"/>
  <c r="C2423" i="17"/>
  <c r="B2423" i="17"/>
  <c r="I2422" i="17"/>
  <c r="C2422" i="17"/>
  <c r="B2422" i="17"/>
  <c r="I2421" i="17"/>
  <c r="C2421" i="17"/>
  <c r="B2421" i="17"/>
  <c r="I2420" i="17"/>
  <c r="C2420" i="17"/>
  <c r="B2420" i="17"/>
  <c r="I2419" i="17"/>
  <c r="C2419" i="17"/>
  <c r="B2419" i="17"/>
  <c r="I2418" i="17"/>
  <c r="C2418" i="17"/>
  <c r="B2418" i="17"/>
  <c r="I2417" i="17"/>
  <c r="C2417" i="17"/>
  <c r="B2417" i="17"/>
  <c r="I2416" i="17"/>
  <c r="C2416" i="17"/>
  <c r="B2416" i="17"/>
  <c r="I2415" i="17"/>
  <c r="C2415" i="17"/>
  <c r="B2415" i="17"/>
  <c r="I2414" i="17"/>
  <c r="C2414" i="17"/>
  <c r="B2414" i="17"/>
  <c r="I2413" i="17"/>
  <c r="C2413" i="17"/>
  <c r="B2413" i="17"/>
  <c r="I2412" i="17"/>
  <c r="C2412" i="17"/>
  <c r="B2412" i="17"/>
  <c r="I2411" i="17"/>
  <c r="C2411" i="17"/>
  <c r="B2411" i="17"/>
  <c r="I2410" i="17"/>
  <c r="C2410" i="17"/>
  <c r="B2410" i="17"/>
  <c r="I2409" i="17"/>
  <c r="C2409" i="17"/>
  <c r="B2409" i="17"/>
  <c r="I2408" i="17"/>
  <c r="C2408" i="17"/>
  <c r="B2408" i="17"/>
  <c r="I2407" i="17"/>
  <c r="C2407" i="17"/>
  <c r="B2407" i="17"/>
  <c r="I2406" i="17"/>
  <c r="C2406" i="17"/>
  <c r="B2406" i="17"/>
  <c r="I2405" i="17"/>
  <c r="C2405" i="17"/>
  <c r="B2405" i="17"/>
  <c r="I2404" i="17"/>
  <c r="C2404" i="17"/>
  <c r="B2404" i="17"/>
  <c r="I2403" i="17"/>
  <c r="C2403" i="17"/>
  <c r="B2403" i="17"/>
  <c r="I2402" i="17"/>
  <c r="C2402" i="17"/>
  <c r="B2402" i="17"/>
  <c r="I2401" i="17"/>
  <c r="C2401" i="17"/>
  <c r="B2401" i="17"/>
  <c r="I2400" i="17"/>
  <c r="C2400" i="17"/>
  <c r="B2400" i="17"/>
  <c r="I2399" i="17"/>
  <c r="C2399" i="17"/>
  <c r="B2399" i="17"/>
  <c r="I2398" i="17"/>
  <c r="C2398" i="17"/>
  <c r="B2398" i="17"/>
  <c r="I2397" i="17"/>
  <c r="C2397" i="17"/>
  <c r="B2397" i="17"/>
  <c r="I2396" i="17"/>
  <c r="C2396" i="17"/>
  <c r="B2396" i="17"/>
  <c r="I2395" i="17"/>
  <c r="C2395" i="17"/>
  <c r="B2395" i="17"/>
  <c r="I2394" i="17"/>
  <c r="C2394" i="17"/>
  <c r="B2394" i="17"/>
  <c r="I2393" i="17"/>
  <c r="C2393" i="17"/>
  <c r="B2393" i="17"/>
  <c r="I2392" i="17"/>
  <c r="C2392" i="17"/>
  <c r="B2392" i="17"/>
  <c r="I2391" i="17"/>
  <c r="C2391" i="17"/>
  <c r="B2391" i="17"/>
  <c r="I2390" i="17"/>
  <c r="C2390" i="17"/>
  <c r="B2390" i="17"/>
  <c r="I2389" i="17"/>
  <c r="C2389" i="17"/>
  <c r="B2389" i="17"/>
  <c r="I2388" i="17"/>
  <c r="C2388" i="17"/>
  <c r="B2388" i="17"/>
  <c r="I2387" i="17"/>
  <c r="C2387" i="17"/>
  <c r="B2387" i="17"/>
  <c r="I2386" i="17"/>
  <c r="C2386" i="17"/>
  <c r="B2386" i="17"/>
  <c r="I2385" i="17"/>
  <c r="C2385" i="17"/>
  <c r="B2385" i="17"/>
  <c r="I2384" i="17"/>
  <c r="C2384" i="17"/>
  <c r="B2384" i="17"/>
  <c r="I2383" i="17"/>
  <c r="C2383" i="17"/>
  <c r="B2383" i="17"/>
  <c r="I2382" i="17"/>
  <c r="C2382" i="17"/>
  <c r="B2382" i="17"/>
  <c r="I2381" i="17"/>
  <c r="C2381" i="17"/>
  <c r="B2381" i="17"/>
  <c r="I2380" i="17"/>
  <c r="C2380" i="17"/>
  <c r="B2380" i="17"/>
  <c r="I2379" i="17"/>
  <c r="C2379" i="17"/>
  <c r="B2379" i="17"/>
  <c r="I2378" i="17"/>
  <c r="C2378" i="17"/>
  <c r="B2378" i="17"/>
  <c r="I2377" i="17"/>
  <c r="C2377" i="17"/>
  <c r="B2377" i="17"/>
  <c r="I2376" i="17"/>
  <c r="C2376" i="17"/>
  <c r="B2376" i="17"/>
  <c r="I2375" i="17"/>
  <c r="C2375" i="17"/>
  <c r="B2375" i="17"/>
  <c r="I2374" i="17"/>
  <c r="C2374" i="17"/>
  <c r="B2374" i="17"/>
  <c r="I2373" i="17"/>
  <c r="C2373" i="17"/>
  <c r="B2373" i="17"/>
  <c r="I2372" i="17"/>
  <c r="C2372" i="17"/>
  <c r="B2372" i="17"/>
  <c r="I2371" i="17"/>
  <c r="C2371" i="17"/>
  <c r="B2371" i="17"/>
  <c r="I2370" i="17"/>
  <c r="C2370" i="17"/>
  <c r="B2370" i="17"/>
  <c r="I2369" i="17"/>
  <c r="C2369" i="17"/>
  <c r="B2369" i="17"/>
  <c r="I2368" i="17"/>
  <c r="C2368" i="17"/>
  <c r="B2368" i="17"/>
  <c r="I2367" i="17"/>
  <c r="C2367" i="17"/>
  <c r="B2367" i="17"/>
  <c r="I2366" i="17"/>
  <c r="C2366" i="17"/>
  <c r="B2366" i="17"/>
  <c r="I2365" i="17"/>
  <c r="C2365" i="17"/>
  <c r="B2365" i="17"/>
  <c r="I2364" i="17"/>
  <c r="C2364" i="17"/>
  <c r="B2364" i="17"/>
  <c r="I2363" i="17"/>
  <c r="C2363" i="17"/>
  <c r="B2363" i="17"/>
  <c r="I2362" i="17"/>
  <c r="C2362" i="17"/>
  <c r="B2362" i="17"/>
  <c r="I2361" i="17"/>
  <c r="C2361" i="17"/>
  <c r="B2361" i="17"/>
  <c r="I2360" i="17"/>
  <c r="C2360" i="17"/>
  <c r="B2360" i="17"/>
  <c r="I2359" i="17"/>
  <c r="C2359" i="17"/>
  <c r="B2359" i="17"/>
  <c r="I2358" i="17"/>
  <c r="C2358" i="17"/>
  <c r="B2358" i="17"/>
  <c r="I2357" i="17"/>
  <c r="C2357" i="17"/>
  <c r="B2357" i="17"/>
  <c r="I2356" i="17"/>
  <c r="C2356" i="17"/>
  <c r="B2356" i="17"/>
  <c r="I2355" i="17"/>
  <c r="C2355" i="17"/>
  <c r="B2355" i="17"/>
  <c r="I2354" i="17"/>
  <c r="C2354" i="17"/>
  <c r="B2354" i="17"/>
  <c r="I2353" i="17"/>
  <c r="C2353" i="17"/>
  <c r="B2353" i="17"/>
  <c r="I2352" i="17"/>
  <c r="C2352" i="17"/>
  <c r="B2352" i="17"/>
  <c r="I2351" i="17"/>
  <c r="C2351" i="17"/>
  <c r="B2351" i="17"/>
  <c r="I2350" i="17"/>
  <c r="C2350" i="17"/>
  <c r="B2350" i="17"/>
  <c r="I2349" i="17"/>
  <c r="C2349" i="17"/>
  <c r="B2349" i="17"/>
  <c r="I2348" i="17"/>
  <c r="C2348" i="17"/>
  <c r="B2348" i="17"/>
  <c r="I2347" i="17"/>
  <c r="C2347" i="17"/>
  <c r="B2347" i="17"/>
  <c r="I2346" i="17"/>
  <c r="C2346" i="17"/>
  <c r="B2346" i="17"/>
  <c r="I2345" i="17"/>
  <c r="C2345" i="17"/>
  <c r="B2345" i="17"/>
  <c r="I2344" i="17"/>
  <c r="C2344" i="17"/>
  <c r="B2344" i="17"/>
  <c r="I2343" i="17"/>
  <c r="C2343" i="17"/>
  <c r="B2343" i="17"/>
  <c r="I2342" i="17"/>
  <c r="C2342" i="17"/>
  <c r="B2342" i="17"/>
  <c r="I2341" i="17"/>
  <c r="C2341" i="17"/>
  <c r="B2341" i="17"/>
  <c r="I2340" i="17"/>
  <c r="C2340" i="17"/>
  <c r="B2340" i="17"/>
  <c r="I2339" i="17"/>
  <c r="C2339" i="17"/>
  <c r="B2339" i="17"/>
  <c r="I2338" i="17"/>
  <c r="C2338" i="17"/>
  <c r="B2338" i="17"/>
  <c r="I2337" i="17"/>
  <c r="C2337" i="17"/>
  <c r="B2337" i="17"/>
  <c r="I2336" i="17"/>
  <c r="C2336" i="17"/>
  <c r="B2336" i="17"/>
  <c r="I2335" i="17"/>
  <c r="C2335" i="17"/>
  <c r="B2335" i="17"/>
  <c r="I2334" i="17"/>
  <c r="C2334" i="17"/>
  <c r="B2334" i="17"/>
  <c r="I2333" i="17"/>
  <c r="C2333" i="17"/>
  <c r="B2333" i="17"/>
  <c r="I2332" i="17"/>
  <c r="C2332" i="17"/>
  <c r="B2332" i="17"/>
  <c r="I2331" i="17"/>
  <c r="C2331" i="17"/>
  <c r="B2331" i="17"/>
  <c r="I2330" i="17"/>
  <c r="C2330" i="17"/>
  <c r="B2330" i="17"/>
  <c r="I2329" i="17"/>
  <c r="C2329" i="17"/>
  <c r="B2329" i="17"/>
  <c r="I2328" i="17"/>
  <c r="C2328" i="17"/>
  <c r="B2328" i="17"/>
  <c r="I2327" i="17"/>
  <c r="C2327" i="17"/>
  <c r="B2327" i="17"/>
  <c r="I2326" i="17"/>
  <c r="C2326" i="17"/>
  <c r="B2326" i="17"/>
  <c r="I2325" i="17"/>
  <c r="C2325" i="17"/>
  <c r="B2325" i="17"/>
  <c r="I2324" i="17"/>
  <c r="C2324" i="17"/>
  <c r="B2324" i="17"/>
  <c r="I2323" i="17"/>
  <c r="C2323" i="17"/>
  <c r="B2323" i="17"/>
  <c r="I2322" i="17"/>
  <c r="C2322" i="17"/>
  <c r="B2322" i="17"/>
  <c r="I2321" i="17"/>
  <c r="C2321" i="17"/>
  <c r="B2321" i="17"/>
  <c r="I2320" i="17"/>
  <c r="C2320" i="17"/>
  <c r="B2320" i="17"/>
  <c r="I2319" i="17"/>
  <c r="C2319" i="17"/>
  <c r="B2319" i="17"/>
  <c r="I2318" i="17"/>
  <c r="C2318" i="17"/>
  <c r="B2318" i="17"/>
  <c r="I2317" i="17"/>
  <c r="C2317" i="17"/>
  <c r="B2317" i="17"/>
  <c r="I2316" i="17"/>
  <c r="C2316" i="17"/>
  <c r="B2316" i="17"/>
  <c r="I2315" i="17"/>
  <c r="C2315" i="17"/>
  <c r="B2315" i="17"/>
  <c r="I2314" i="17"/>
  <c r="C2314" i="17"/>
  <c r="B2314" i="17"/>
  <c r="I2313" i="17"/>
  <c r="C2313" i="17"/>
  <c r="B2313" i="17"/>
  <c r="I2312" i="17"/>
  <c r="C2312" i="17"/>
  <c r="B2312" i="17"/>
  <c r="I2311" i="17"/>
  <c r="C2311" i="17"/>
  <c r="B2311" i="17"/>
  <c r="I2310" i="17"/>
  <c r="C2310" i="17"/>
  <c r="B2310" i="17"/>
  <c r="I2309" i="17"/>
  <c r="C2309" i="17"/>
  <c r="B2309" i="17"/>
  <c r="I2308" i="17"/>
  <c r="C2308" i="17"/>
  <c r="B2308" i="17"/>
  <c r="I2307" i="17"/>
  <c r="C2307" i="17"/>
  <c r="B2307" i="17"/>
  <c r="I2306" i="17"/>
  <c r="C2306" i="17"/>
  <c r="B2306" i="17"/>
  <c r="I2305" i="17"/>
  <c r="C2305" i="17"/>
  <c r="B2305" i="17"/>
  <c r="I2304" i="17"/>
  <c r="C2304" i="17"/>
  <c r="B2304" i="17"/>
  <c r="I2303" i="17"/>
  <c r="C2303" i="17"/>
  <c r="B2303" i="17"/>
  <c r="I2302" i="17"/>
  <c r="C2302" i="17"/>
  <c r="B2302" i="17"/>
  <c r="I2301" i="17"/>
  <c r="C2301" i="17"/>
  <c r="B2301" i="17"/>
  <c r="I2300" i="17"/>
  <c r="C2300" i="17"/>
  <c r="B2300" i="17"/>
  <c r="I2299" i="17"/>
  <c r="C2299" i="17"/>
  <c r="B2299" i="17"/>
  <c r="I2298" i="17"/>
  <c r="C2298" i="17"/>
  <c r="B2298" i="17"/>
  <c r="I2297" i="17"/>
  <c r="C2297" i="17"/>
  <c r="B2297" i="17"/>
  <c r="I2296" i="17"/>
  <c r="C2296" i="17"/>
  <c r="B2296" i="17"/>
  <c r="I2295" i="17"/>
  <c r="C2295" i="17"/>
  <c r="B2295" i="17"/>
  <c r="I2294" i="17"/>
  <c r="C2294" i="17"/>
  <c r="B2294" i="17"/>
  <c r="I2293" i="17"/>
  <c r="C2293" i="17"/>
  <c r="B2293" i="17"/>
  <c r="I2292" i="17"/>
  <c r="C2292" i="17"/>
  <c r="B2292" i="17"/>
  <c r="I2291" i="17"/>
  <c r="C2291" i="17"/>
  <c r="B2291" i="17"/>
  <c r="I2290" i="17"/>
  <c r="C2290" i="17"/>
  <c r="B2290" i="17"/>
  <c r="I2289" i="17"/>
  <c r="C2289" i="17"/>
  <c r="B2289" i="17"/>
  <c r="I2288" i="17"/>
  <c r="C2288" i="17"/>
  <c r="B2288" i="17"/>
  <c r="I2287" i="17"/>
  <c r="C2287" i="17"/>
  <c r="B2287" i="17"/>
  <c r="I2286" i="17"/>
  <c r="C2286" i="17"/>
  <c r="B2286" i="17"/>
  <c r="I2285" i="17"/>
  <c r="C2285" i="17"/>
  <c r="B2285" i="17"/>
  <c r="I2284" i="17"/>
  <c r="C2284" i="17"/>
  <c r="B2284" i="17"/>
  <c r="I2283" i="17"/>
  <c r="C2283" i="17"/>
  <c r="B2283" i="17"/>
  <c r="I2282" i="17"/>
  <c r="C2282" i="17"/>
  <c r="B2282" i="17"/>
  <c r="I2281" i="17"/>
  <c r="C2281" i="17"/>
  <c r="B2281" i="17"/>
  <c r="I2280" i="17"/>
  <c r="C2280" i="17"/>
  <c r="B2280" i="17"/>
  <c r="I2279" i="17"/>
  <c r="C2279" i="17"/>
  <c r="B2279" i="17"/>
  <c r="I2278" i="17"/>
  <c r="C2278" i="17"/>
  <c r="B2278" i="17"/>
  <c r="I2277" i="17"/>
  <c r="C2277" i="17"/>
  <c r="B2277" i="17"/>
  <c r="I2276" i="17"/>
  <c r="C2276" i="17"/>
  <c r="B2276" i="17"/>
  <c r="I2275" i="17"/>
  <c r="C2275" i="17"/>
  <c r="B2275" i="17"/>
  <c r="I2274" i="17"/>
  <c r="C2274" i="17"/>
  <c r="B2274" i="17"/>
  <c r="I2273" i="17"/>
  <c r="C2273" i="17"/>
  <c r="B2273" i="17"/>
  <c r="I2272" i="17"/>
  <c r="C2272" i="17"/>
  <c r="B2272" i="17"/>
  <c r="I2271" i="17"/>
  <c r="C2271" i="17"/>
  <c r="B2271" i="17"/>
  <c r="I2270" i="17"/>
  <c r="C2270" i="17"/>
  <c r="B2270" i="17"/>
  <c r="I2269" i="17"/>
  <c r="C2269" i="17"/>
  <c r="B2269" i="17"/>
  <c r="I2268" i="17"/>
  <c r="C2268" i="17"/>
  <c r="B2268" i="17"/>
  <c r="I2267" i="17"/>
  <c r="C2267" i="17"/>
  <c r="B2267" i="17"/>
  <c r="I2266" i="17"/>
  <c r="C2266" i="17"/>
  <c r="B2266" i="17"/>
  <c r="I2265" i="17"/>
  <c r="C2265" i="17"/>
  <c r="B2265" i="17"/>
  <c r="I2264" i="17"/>
  <c r="C2264" i="17"/>
  <c r="B2264" i="17"/>
  <c r="I2263" i="17"/>
  <c r="C2263" i="17"/>
  <c r="B2263" i="17"/>
  <c r="I2262" i="17"/>
  <c r="C2262" i="17"/>
  <c r="B2262" i="17"/>
  <c r="I2261" i="17"/>
  <c r="C2261" i="17"/>
  <c r="B2261" i="17"/>
  <c r="I2260" i="17"/>
  <c r="C2260" i="17"/>
  <c r="B2260" i="17"/>
  <c r="I2259" i="17"/>
  <c r="C2259" i="17"/>
  <c r="B2259" i="17"/>
  <c r="I2258" i="17"/>
  <c r="C2258" i="17"/>
  <c r="B2258" i="17"/>
  <c r="I2257" i="17"/>
  <c r="C2257" i="17"/>
  <c r="B2257" i="17"/>
  <c r="I2256" i="17"/>
  <c r="C2256" i="17"/>
  <c r="B2256" i="17"/>
  <c r="I2255" i="17"/>
  <c r="C2255" i="17"/>
  <c r="B2255" i="17"/>
  <c r="I2254" i="17"/>
  <c r="C2254" i="17"/>
  <c r="B2254" i="17"/>
  <c r="I2253" i="17"/>
  <c r="C2253" i="17"/>
  <c r="B2253" i="17"/>
  <c r="I2252" i="17"/>
  <c r="C2252" i="17"/>
  <c r="B2252" i="17"/>
  <c r="I2251" i="17"/>
  <c r="C2251" i="17"/>
  <c r="B2251" i="17"/>
  <c r="I2250" i="17"/>
  <c r="C2250" i="17"/>
  <c r="B2250" i="17"/>
  <c r="I2249" i="17"/>
  <c r="C2249" i="17"/>
  <c r="B2249" i="17"/>
  <c r="I2248" i="17"/>
  <c r="C2248" i="17"/>
  <c r="B2248" i="17"/>
  <c r="I2247" i="17"/>
  <c r="C2247" i="17"/>
  <c r="B2247" i="17"/>
  <c r="I2246" i="17"/>
  <c r="C2246" i="17"/>
  <c r="B2246" i="17"/>
  <c r="I2245" i="17"/>
  <c r="C2245" i="17"/>
  <c r="B2245" i="17"/>
  <c r="I2244" i="17"/>
  <c r="C2244" i="17"/>
  <c r="B2244" i="17"/>
  <c r="I2243" i="17"/>
  <c r="C2243" i="17"/>
  <c r="B2243" i="17"/>
  <c r="I2242" i="17"/>
  <c r="C2242" i="17"/>
  <c r="B2242" i="17"/>
  <c r="I2241" i="17"/>
  <c r="C2241" i="17"/>
  <c r="B2241" i="17"/>
  <c r="I2240" i="17"/>
  <c r="C2240" i="17"/>
  <c r="B2240" i="17"/>
  <c r="I2239" i="17"/>
  <c r="C2239" i="17"/>
  <c r="B2239" i="17"/>
  <c r="I2238" i="17"/>
  <c r="C2238" i="17"/>
  <c r="B2238" i="17"/>
  <c r="I2237" i="17"/>
  <c r="C2237" i="17"/>
  <c r="B2237" i="17"/>
  <c r="I2236" i="17"/>
  <c r="C2236" i="17"/>
  <c r="B2236" i="17"/>
  <c r="I2235" i="17"/>
  <c r="C2235" i="17"/>
  <c r="B2235" i="17"/>
  <c r="I2234" i="17"/>
  <c r="C2234" i="17"/>
  <c r="B2234" i="17"/>
  <c r="I2233" i="17"/>
  <c r="C2233" i="17"/>
  <c r="B2233" i="17"/>
  <c r="I2232" i="17"/>
  <c r="C2232" i="17"/>
  <c r="B2232" i="17"/>
  <c r="I2231" i="17"/>
  <c r="C2231" i="17"/>
  <c r="B2231" i="17"/>
  <c r="I2230" i="17"/>
  <c r="C2230" i="17"/>
  <c r="B2230" i="17"/>
  <c r="I2229" i="17"/>
  <c r="C2229" i="17"/>
  <c r="B2229" i="17"/>
  <c r="I2228" i="17"/>
  <c r="C2228" i="17"/>
  <c r="B2228" i="17"/>
  <c r="I2227" i="17"/>
  <c r="C2227" i="17"/>
  <c r="B2227" i="17"/>
  <c r="I2226" i="17"/>
  <c r="C2226" i="17"/>
  <c r="B2226" i="17"/>
  <c r="I2225" i="17"/>
  <c r="C2225" i="17"/>
  <c r="B2225" i="17"/>
  <c r="I2224" i="17"/>
  <c r="C2224" i="17"/>
  <c r="B2224" i="17"/>
  <c r="I2223" i="17"/>
  <c r="C2223" i="17"/>
  <c r="B2223" i="17"/>
  <c r="I2222" i="17"/>
  <c r="C2222" i="17"/>
  <c r="B2222" i="17"/>
  <c r="I2221" i="17"/>
  <c r="C2221" i="17"/>
  <c r="B2221" i="17"/>
  <c r="I2220" i="17"/>
  <c r="C2220" i="17"/>
  <c r="B2220" i="17"/>
  <c r="I2219" i="17"/>
  <c r="C2219" i="17"/>
  <c r="B2219" i="17"/>
  <c r="I2218" i="17"/>
  <c r="C2218" i="17"/>
  <c r="B2218" i="17"/>
  <c r="I2217" i="17"/>
  <c r="C2217" i="17"/>
  <c r="B2217" i="17"/>
  <c r="I2216" i="17"/>
  <c r="C2216" i="17"/>
  <c r="B2216" i="17"/>
  <c r="I2215" i="17"/>
  <c r="C2215" i="17"/>
  <c r="B2215" i="17"/>
  <c r="I2214" i="17"/>
  <c r="C2214" i="17"/>
  <c r="B2214" i="17"/>
  <c r="I2213" i="17"/>
  <c r="C2213" i="17"/>
  <c r="B2213" i="17"/>
  <c r="I2212" i="17"/>
  <c r="C2212" i="17"/>
  <c r="B2212" i="17"/>
  <c r="I2211" i="17"/>
  <c r="C2211" i="17"/>
  <c r="B2211" i="17"/>
  <c r="I2210" i="17"/>
  <c r="C2210" i="17"/>
  <c r="B2210" i="17"/>
  <c r="I2209" i="17"/>
  <c r="C2209" i="17"/>
  <c r="B2209" i="17"/>
  <c r="I2208" i="17"/>
  <c r="C2208" i="17"/>
  <c r="B2208" i="17"/>
  <c r="I2207" i="17"/>
  <c r="C2207" i="17"/>
  <c r="B2207" i="17"/>
  <c r="I2206" i="17"/>
  <c r="C2206" i="17"/>
  <c r="B2206" i="17"/>
  <c r="I2205" i="17"/>
  <c r="C2205" i="17"/>
  <c r="B2205" i="17"/>
  <c r="I2204" i="17"/>
  <c r="C2204" i="17"/>
  <c r="B2204" i="17"/>
  <c r="I2203" i="17"/>
  <c r="C2203" i="17"/>
  <c r="B2203" i="17"/>
  <c r="I2202" i="17"/>
  <c r="C2202" i="17"/>
  <c r="B2202" i="17"/>
  <c r="I2201" i="17"/>
  <c r="C2201" i="17"/>
  <c r="B2201" i="17"/>
  <c r="I2200" i="17"/>
  <c r="C2200" i="17"/>
  <c r="B2200" i="17"/>
  <c r="I2199" i="17"/>
  <c r="C2199" i="17"/>
  <c r="B2199" i="17"/>
  <c r="I2198" i="17"/>
  <c r="C2198" i="17"/>
  <c r="B2198" i="17"/>
  <c r="I2197" i="17"/>
  <c r="C2197" i="17"/>
  <c r="B2197" i="17"/>
  <c r="I2196" i="17"/>
  <c r="C2196" i="17"/>
  <c r="B2196" i="17"/>
  <c r="I2195" i="17"/>
  <c r="C2195" i="17"/>
  <c r="B2195" i="17"/>
  <c r="I2194" i="17"/>
  <c r="C2194" i="17"/>
  <c r="B2194" i="17"/>
  <c r="I2193" i="17"/>
  <c r="C2193" i="17"/>
  <c r="B2193" i="17"/>
  <c r="I2192" i="17"/>
  <c r="C2192" i="17"/>
  <c r="B2192" i="17"/>
  <c r="I2191" i="17"/>
  <c r="C2191" i="17"/>
  <c r="B2191" i="17"/>
  <c r="I2190" i="17"/>
  <c r="C2190" i="17"/>
  <c r="B2190" i="17"/>
  <c r="I2189" i="17"/>
  <c r="C2189" i="17"/>
  <c r="B2189" i="17"/>
  <c r="I2188" i="17"/>
  <c r="C2188" i="17"/>
  <c r="B2188" i="17"/>
  <c r="I2187" i="17"/>
  <c r="C2187" i="17"/>
  <c r="B2187" i="17"/>
  <c r="I2186" i="17"/>
  <c r="C2186" i="17"/>
  <c r="B2186" i="17"/>
  <c r="I2185" i="17"/>
  <c r="C2185" i="17"/>
  <c r="B2185" i="17"/>
  <c r="I2184" i="17"/>
  <c r="C2184" i="17"/>
  <c r="B2184" i="17"/>
  <c r="I2183" i="17"/>
  <c r="C2183" i="17"/>
  <c r="B2183" i="17"/>
  <c r="I2182" i="17"/>
  <c r="C2182" i="17"/>
  <c r="B2182" i="17"/>
  <c r="I2181" i="17"/>
  <c r="C2181" i="17"/>
  <c r="B2181" i="17"/>
  <c r="I2180" i="17"/>
  <c r="C2180" i="17"/>
  <c r="B2180" i="17"/>
  <c r="I2179" i="17"/>
  <c r="C2179" i="17"/>
  <c r="B2179" i="17"/>
  <c r="I2178" i="17"/>
  <c r="C2178" i="17"/>
  <c r="B2178" i="17"/>
  <c r="I2177" i="17"/>
  <c r="C2177" i="17"/>
  <c r="B2177" i="17"/>
  <c r="I2176" i="17"/>
  <c r="C2176" i="17"/>
  <c r="B2176" i="17"/>
  <c r="I2175" i="17"/>
  <c r="C2175" i="17"/>
  <c r="B2175" i="17"/>
  <c r="I2174" i="17"/>
  <c r="C2174" i="17"/>
  <c r="B2174" i="17"/>
  <c r="I2173" i="17"/>
  <c r="C2173" i="17"/>
  <c r="B2173" i="17"/>
  <c r="I2172" i="17"/>
  <c r="C2172" i="17"/>
  <c r="B2172" i="17"/>
  <c r="I2171" i="17"/>
  <c r="C2171" i="17"/>
  <c r="B2171" i="17"/>
  <c r="I2170" i="17"/>
  <c r="C2170" i="17"/>
  <c r="B2170" i="17"/>
  <c r="I2169" i="17"/>
  <c r="C2169" i="17"/>
  <c r="B2169" i="17"/>
  <c r="I2168" i="17"/>
  <c r="C2168" i="17"/>
  <c r="B2168" i="17"/>
  <c r="I2167" i="17"/>
  <c r="C2167" i="17"/>
  <c r="B2167" i="17"/>
  <c r="I2166" i="17"/>
  <c r="C2166" i="17"/>
  <c r="B2166" i="17"/>
  <c r="I2165" i="17"/>
  <c r="C2165" i="17"/>
  <c r="B2165" i="17"/>
  <c r="I2164" i="17"/>
  <c r="C2164" i="17"/>
  <c r="B2164" i="17"/>
  <c r="I2163" i="17"/>
  <c r="C2163" i="17"/>
  <c r="B2163" i="17"/>
  <c r="I2162" i="17"/>
  <c r="C2162" i="17"/>
  <c r="B2162" i="17"/>
  <c r="I2161" i="17"/>
  <c r="C2161" i="17"/>
  <c r="B2161" i="17"/>
  <c r="I2160" i="17"/>
  <c r="C2160" i="17"/>
  <c r="B2160" i="17"/>
  <c r="I2159" i="17"/>
  <c r="C2159" i="17"/>
  <c r="B2159" i="17"/>
  <c r="I2158" i="17"/>
  <c r="C2158" i="17"/>
  <c r="B2158" i="17"/>
  <c r="I2157" i="17"/>
  <c r="C2157" i="17"/>
  <c r="B2157" i="17"/>
  <c r="I2156" i="17"/>
  <c r="C2156" i="17"/>
  <c r="B2156" i="17"/>
  <c r="I2155" i="17"/>
  <c r="C2155" i="17"/>
  <c r="B2155" i="17"/>
  <c r="I2154" i="17"/>
  <c r="C2154" i="17"/>
  <c r="B2154" i="17"/>
  <c r="I2153" i="17"/>
  <c r="C2153" i="17"/>
  <c r="B2153" i="17"/>
  <c r="I2152" i="17"/>
  <c r="C2152" i="17"/>
  <c r="B2152" i="17"/>
  <c r="I2151" i="17"/>
  <c r="C2151" i="17"/>
  <c r="B2151" i="17"/>
  <c r="I2150" i="17"/>
  <c r="C2150" i="17"/>
  <c r="B2150" i="17"/>
  <c r="I2149" i="17"/>
  <c r="C2149" i="17"/>
  <c r="B2149" i="17"/>
  <c r="I2148" i="17"/>
  <c r="C2148" i="17"/>
  <c r="B2148" i="17"/>
  <c r="I2147" i="17"/>
  <c r="C2147" i="17"/>
  <c r="B2147" i="17"/>
  <c r="I2146" i="17"/>
  <c r="C2146" i="17"/>
  <c r="B2146" i="17"/>
  <c r="I2145" i="17"/>
  <c r="C2145" i="17"/>
  <c r="B2145" i="17"/>
  <c r="I2144" i="17"/>
  <c r="C2144" i="17"/>
  <c r="B2144" i="17"/>
  <c r="I2143" i="17"/>
  <c r="C2143" i="17"/>
  <c r="B2143" i="17"/>
  <c r="I2142" i="17"/>
  <c r="C2142" i="17"/>
  <c r="B2142" i="17"/>
  <c r="I2141" i="17"/>
  <c r="C2141" i="17"/>
  <c r="B2141" i="17"/>
  <c r="I2140" i="17"/>
  <c r="C2140" i="17"/>
  <c r="B2140" i="17"/>
  <c r="I2139" i="17"/>
  <c r="C2139" i="17"/>
  <c r="B2139" i="17"/>
  <c r="I2138" i="17"/>
  <c r="C2138" i="17"/>
  <c r="B2138" i="17"/>
  <c r="I2137" i="17"/>
  <c r="C2137" i="17"/>
  <c r="B2137" i="17"/>
  <c r="I2136" i="17"/>
  <c r="C2136" i="17"/>
  <c r="B2136" i="17"/>
  <c r="I2135" i="17"/>
  <c r="C2135" i="17"/>
  <c r="B2135" i="17"/>
  <c r="I2134" i="17"/>
  <c r="C2134" i="17"/>
  <c r="B2134" i="17"/>
  <c r="I2133" i="17"/>
  <c r="C2133" i="17"/>
  <c r="B2133" i="17"/>
  <c r="I2132" i="17"/>
  <c r="C2132" i="17"/>
  <c r="B2132" i="17"/>
  <c r="I2131" i="17"/>
  <c r="C2131" i="17"/>
  <c r="B2131" i="17"/>
  <c r="I2130" i="17"/>
  <c r="C2130" i="17"/>
  <c r="B2130" i="17"/>
  <c r="I2129" i="17"/>
  <c r="C2129" i="17"/>
  <c r="B2129" i="17"/>
  <c r="I2128" i="17"/>
  <c r="C2128" i="17"/>
  <c r="B2128" i="17"/>
  <c r="I2127" i="17"/>
  <c r="C2127" i="17"/>
  <c r="B2127" i="17"/>
  <c r="I2126" i="17"/>
  <c r="C2126" i="17"/>
  <c r="B2126" i="17"/>
  <c r="I2125" i="17"/>
  <c r="C2125" i="17"/>
  <c r="B2125" i="17"/>
  <c r="I2124" i="17"/>
  <c r="C2124" i="17"/>
  <c r="B2124" i="17"/>
  <c r="I2123" i="17"/>
  <c r="C2123" i="17"/>
  <c r="B2123" i="17"/>
  <c r="I2122" i="17"/>
  <c r="C2122" i="17"/>
  <c r="B2122" i="17"/>
  <c r="I2121" i="17"/>
  <c r="C2121" i="17"/>
  <c r="B2121" i="17"/>
  <c r="I2120" i="17"/>
  <c r="C2120" i="17"/>
  <c r="B2120" i="17"/>
  <c r="I2119" i="17"/>
  <c r="C2119" i="17"/>
  <c r="B2119" i="17"/>
  <c r="I2118" i="17"/>
  <c r="C2118" i="17"/>
  <c r="B2118" i="17"/>
  <c r="I2117" i="17"/>
  <c r="C2117" i="17"/>
  <c r="B2117" i="17"/>
  <c r="I2116" i="17"/>
  <c r="C2116" i="17"/>
  <c r="B2116" i="17"/>
  <c r="I2115" i="17"/>
  <c r="C2115" i="17"/>
  <c r="B2115" i="17"/>
  <c r="I2114" i="17"/>
  <c r="C2114" i="17"/>
  <c r="B2114" i="17"/>
  <c r="I2113" i="17"/>
  <c r="C2113" i="17"/>
  <c r="B2113" i="17"/>
  <c r="I2112" i="17"/>
  <c r="C2112" i="17"/>
  <c r="B2112" i="17"/>
  <c r="I2111" i="17"/>
  <c r="C2111" i="17"/>
  <c r="B2111" i="17"/>
  <c r="I2110" i="17"/>
  <c r="C2110" i="17"/>
  <c r="B2110" i="17"/>
  <c r="I2109" i="17"/>
  <c r="C2109" i="17"/>
  <c r="B2109" i="17"/>
  <c r="I2108" i="17"/>
  <c r="C2108" i="17"/>
  <c r="B2108" i="17"/>
  <c r="I2107" i="17"/>
  <c r="C2107" i="17"/>
  <c r="B2107" i="17"/>
  <c r="I2106" i="17"/>
  <c r="C2106" i="17"/>
  <c r="B2106" i="17"/>
  <c r="I2105" i="17"/>
  <c r="C2105" i="17"/>
  <c r="B2105" i="17"/>
  <c r="I2104" i="17"/>
  <c r="C2104" i="17"/>
  <c r="B2104" i="17"/>
  <c r="I2103" i="17"/>
  <c r="C2103" i="17"/>
  <c r="B2103" i="17"/>
  <c r="I2102" i="17"/>
  <c r="C2102" i="17"/>
  <c r="B2102" i="17"/>
  <c r="I2101" i="17"/>
  <c r="C2101" i="17"/>
  <c r="B2101" i="17"/>
  <c r="I2100" i="17"/>
  <c r="C2100" i="17"/>
  <c r="B2100" i="17"/>
  <c r="I2099" i="17"/>
  <c r="C2099" i="17"/>
  <c r="B2099" i="17"/>
  <c r="I2098" i="17"/>
  <c r="C2098" i="17"/>
  <c r="B2098" i="17"/>
  <c r="I2097" i="17"/>
  <c r="C2097" i="17"/>
  <c r="B2097" i="17"/>
  <c r="I2096" i="17"/>
  <c r="C2096" i="17"/>
  <c r="B2096" i="17"/>
  <c r="I2095" i="17"/>
  <c r="C2095" i="17"/>
  <c r="B2095" i="17"/>
  <c r="I2094" i="17"/>
  <c r="C2094" i="17"/>
  <c r="B2094" i="17"/>
  <c r="I2093" i="17"/>
  <c r="C2093" i="17"/>
  <c r="B2093" i="17"/>
  <c r="I2092" i="17"/>
  <c r="C2092" i="17"/>
  <c r="B2092" i="17"/>
  <c r="I2091" i="17"/>
  <c r="C2091" i="17"/>
  <c r="B2091" i="17"/>
  <c r="I2090" i="17"/>
  <c r="C2090" i="17"/>
  <c r="B2090" i="17"/>
  <c r="I2089" i="17"/>
  <c r="C2089" i="17"/>
  <c r="B2089" i="17"/>
  <c r="I2088" i="17"/>
  <c r="C2088" i="17"/>
  <c r="B2088" i="17"/>
  <c r="I2087" i="17"/>
  <c r="C2087" i="17"/>
  <c r="B2087" i="17"/>
  <c r="I2086" i="17"/>
  <c r="C2086" i="17"/>
  <c r="B2086" i="17"/>
  <c r="I2085" i="17"/>
  <c r="C2085" i="17"/>
  <c r="B2085" i="17"/>
  <c r="I2084" i="17"/>
  <c r="C2084" i="17"/>
  <c r="B2084" i="17"/>
  <c r="I2083" i="17"/>
  <c r="C2083" i="17"/>
  <c r="B2083" i="17"/>
  <c r="I2082" i="17"/>
  <c r="C2082" i="17"/>
  <c r="B2082" i="17"/>
  <c r="I2081" i="17"/>
  <c r="C2081" i="17"/>
  <c r="B2081" i="17"/>
  <c r="I2080" i="17"/>
  <c r="C2080" i="17"/>
  <c r="B2080" i="17"/>
  <c r="I2079" i="17"/>
  <c r="C2079" i="17"/>
  <c r="B2079" i="17"/>
  <c r="I2078" i="17"/>
  <c r="C2078" i="17"/>
  <c r="B2078" i="17"/>
  <c r="I2077" i="17"/>
  <c r="C2077" i="17"/>
  <c r="B2077" i="17"/>
  <c r="I2076" i="17"/>
  <c r="C2076" i="17"/>
  <c r="B2076" i="17"/>
  <c r="I2075" i="17"/>
  <c r="C2075" i="17"/>
  <c r="B2075" i="17"/>
  <c r="I2074" i="17"/>
  <c r="C2074" i="17"/>
  <c r="B2074" i="17"/>
  <c r="I2073" i="17"/>
  <c r="C2073" i="17"/>
  <c r="B2073" i="17"/>
  <c r="I2072" i="17"/>
  <c r="C2072" i="17"/>
  <c r="B2072" i="17"/>
  <c r="I2071" i="17"/>
  <c r="C2071" i="17"/>
  <c r="B2071" i="17"/>
  <c r="I2070" i="17"/>
  <c r="C2070" i="17"/>
  <c r="B2070" i="17"/>
  <c r="I2069" i="17"/>
  <c r="C2069" i="17"/>
  <c r="B2069" i="17"/>
  <c r="I2068" i="17"/>
  <c r="C2068" i="17"/>
  <c r="B2068" i="17"/>
  <c r="I2067" i="17"/>
  <c r="C2067" i="17"/>
  <c r="B2067" i="17"/>
  <c r="I2066" i="17"/>
  <c r="C2066" i="17"/>
  <c r="B2066" i="17"/>
  <c r="I2065" i="17"/>
  <c r="C2065" i="17"/>
  <c r="B2065" i="17"/>
  <c r="I2064" i="17"/>
  <c r="C2064" i="17"/>
  <c r="B2064" i="17"/>
  <c r="I2063" i="17"/>
  <c r="C2063" i="17"/>
  <c r="B2063" i="17"/>
  <c r="I2062" i="17"/>
  <c r="C2062" i="17"/>
  <c r="B2062" i="17"/>
  <c r="I2061" i="17"/>
  <c r="C2061" i="17"/>
  <c r="B2061" i="17"/>
  <c r="I2060" i="17"/>
  <c r="C2060" i="17"/>
  <c r="B2060" i="17"/>
  <c r="I2059" i="17"/>
  <c r="C2059" i="17"/>
  <c r="B2059" i="17"/>
  <c r="I2058" i="17"/>
  <c r="C2058" i="17"/>
  <c r="B2058" i="17"/>
  <c r="I2057" i="17"/>
  <c r="C2057" i="17"/>
  <c r="B2057" i="17"/>
  <c r="I2056" i="17"/>
  <c r="C2056" i="17"/>
  <c r="B2056" i="17"/>
  <c r="I2055" i="17"/>
  <c r="C2055" i="17"/>
  <c r="B2055" i="17"/>
  <c r="I2054" i="17"/>
  <c r="C2054" i="17"/>
  <c r="B2054" i="17"/>
  <c r="I2053" i="17"/>
  <c r="C2053" i="17"/>
  <c r="B2053" i="17"/>
  <c r="I2052" i="17"/>
  <c r="C2052" i="17"/>
  <c r="B2052" i="17"/>
  <c r="I2051" i="17"/>
  <c r="C2051" i="17"/>
  <c r="B2051" i="17"/>
  <c r="I2050" i="17"/>
  <c r="C2050" i="17"/>
  <c r="B2050" i="17"/>
  <c r="I2049" i="17"/>
  <c r="C2049" i="17"/>
  <c r="B2049" i="17"/>
  <c r="I2048" i="17"/>
  <c r="C2048" i="17"/>
  <c r="B2048" i="17"/>
  <c r="I2047" i="17"/>
  <c r="C2047" i="17"/>
  <c r="B2047" i="17"/>
  <c r="I2046" i="17"/>
  <c r="C2046" i="17"/>
  <c r="B2046" i="17"/>
  <c r="I2045" i="17"/>
  <c r="C2045" i="17"/>
  <c r="B2045" i="17"/>
  <c r="I2044" i="17"/>
  <c r="C2044" i="17"/>
  <c r="B2044" i="17"/>
  <c r="I2043" i="17"/>
  <c r="C2043" i="17"/>
  <c r="B2043" i="17"/>
  <c r="I2042" i="17"/>
  <c r="C2042" i="17"/>
  <c r="B2042" i="17"/>
  <c r="I2041" i="17"/>
  <c r="C2041" i="17"/>
  <c r="B2041" i="17"/>
  <c r="I2040" i="17"/>
  <c r="C2040" i="17"/>
  <c r="B2040" i="17"/>
  <c r="I2039" i="17"/>
  <c r="C2039" i="17"/>
  <c r="B2039" i="17"/>
  <c r="I2038" i="17"/>
  <c r="C2038" i="17"/>
  <c r="B2038" i="17"/>
  <c r="I2037" i="17"/>
  <c r="C2037" i="17"/>
  <c r="B2037" i="17"/>
  <c r="I2036" i="17"/>
  <c r="C2036" i="17"/>
  <c r="B2036" i="17"/>
  <c r="I2035" i="17"/>
  <c r="C2035" i="17"/>
  <c r="B2035" i="17"/>
  <c r="I2034" i="17"/>
  <c r="C2034" i="17"/>
  <c r="B2034" i="17"/>
  <c r="I2033" i="17"/>
  <c r="C2033" i="17"/>
  <c r="B2033" i="17"/>
  <c r="I2032" i="17"/>
  <c r="C2032" i="17"/>
  <c r="B2032" i="17"/>
  <c r="I2031" i="17"/>
  <c r="C2031" i="17"/>
  <c r="B2031" i="17"/>
  <c r="I2030" i="17"/>
  <c r="C2030" i="17"/>
  <c r="B2030" i="17"/>
  <c r="I2029" i="17"/>
  <c r="C2029" i="17"/>
  <c r="B2029" i="17"/>
  <c r="I2028" i="17"/>
  <c r="C2028" i="17"/>
  <c r="B2028" i="17"/>
  <c r="I2027" i="17"/>
  <c r="C2027" i="17"/>
  <c r="B2027" i="17"/>
  <c r="I2026" i="17"/>
  <c r="C2026" i="17"/>
  <c r="B2026" i="17"/>
  <c r="I2025" i="17"/>
  <c r="C2025" i="17"/>
  <c r="B2025" i="17"/>
  <c r="I2024" i="17"/>
  <c r="C2024" i="17"/>
  <c r="B2024" i="17"/>
  <c r="I2023" i="17"/>
  <c r="C2023" i="17"/>
  <c r="B2023" i="17"/>
  <c r="I2022" i="17"/>
  <c r="C2022" i="17"/>
  <c r="B2022" i="17"/>
  <c r="I2021" i="17"/>
  <c r="C2021" i="17"/>
  <c r="B2021" i="17"/>
  <c r="I2020" i="17"/>
  <c r="C2020" i="17"/>
  <c r="B2020" i="17"/>
  <c r="I2019" i="17"/>
  <c r="C2019" i="17"/>
  <c r="B2019" i="17"/>
  <c r="I2018" i="17"/>
  <c r="C2018" i="17"/>
  <c r="B2018" i="17"/>
  <c r="I2017" i="17"/>
  <c r="C2017" i="17"/>
  <c r="B2017" i="17"/>
  <c r="I2016" i="17"/>
  <c r="C2016" i="17"/>
  <c r="B2016" i="17"/>
  <c r="I2015" i="17"/>
  <c r="C2015" i="17"/>
  <c r="B2015" i="17"/>
  <c r="I2014" i="17"/>
  <c r="C2014" i="17"/>
  <c r="B2014" i="17"/>
  <c r="I2013" i="17"/>
  <c r="C2013" i="17"/>
  <c r="B2013" i="17"/>
  <c r="I2012" i="17"/>
  <c r="C2012" i="17"/>
  <c r="B2012" i="17"/>
  <c r="I2011" i="17"/>
  <c r="C2011" i="17"/>
  <c r="B2011" i="17"/>
  <c r="I2010" i="17"/>
  <c r="C2010" i="17"/>
  <c r="B2010" i="17"/>
  <c r="I2009" i="17"/>
  <c r="C2009" i="17"/>
  <c r="B2009" i="17"/>
  <c r="I2008" i="17"/>
  <c r="C2008" i="17"/>
  <c r="B2008" i="17"/>
  <c r="I2007" i="17"/>
  <c r="C2007" i="17"/>
  <c r="B2007" i="17"/>
  <c r="I2006" i="17"/>
  <c r="C2006" i="17"/>
  <c r="B2006" i="17"/>
  <c r="I2005" i="17"/>
  <c r="C2005" i="17"/>
  <c r="B2005" i="17"/>
  <c r="I2004" i="17"/>
  <c r="C2004" i="17"/>
  <c r="B2004" i="17"/>
  <c r="I2003" i="17"/>
  <c r="C2003" i="17"/>
  <c r="B2003" i="17"/>
  <c r="I2002" i="17"/>
  <c r="C2002" i="17"/>
  <c r="B2002" i="17"/>
  <c r="I2001" i="17"/>
  <c r="C2001" i="17"/>
  <c r="B2001" i="17"/>
  <c r="I2000" i="17"/>
  <c r="C2000" i="17"/>
  <c r="B2000" i="17"/>
  <c r="I1999" i="17"/>
  <c r="C1999" i="17"/>
  <c r="B1999" i="17"/>
  <c r="I1998" i="17"/>
  <c r="C1998" i="17"/>
  <c r="B1998" i="17"/>
  <c r="I1997" i="17"/>
  <c r="C1997" i="17"/>
  <c r="B1997" i="17"/>
  <c r="I1996" i="17"/>
  <c r="C1996" i="17"/>
  <c r="B1996" i="17"/>
  <c r="I1995" i="17"/>
  <c r="C1995" i="17"/>
  <c r="B1995" i="17"/>
  <c r="I1994" i="17"/>
  <c r="C1994" i="17"/>
  <c r="B1994" i="17"/>
  <c r="I1993" i="17"/>
  <c r="C1993" i="17"/>
  <c r="B1993" i="17"/>
  <c r="I1992" i="17"/>
  <c r="C1992" i="17"/>
  <c r="B1992" i="17"/>
  <c r="I1991" i="17"/>
  <c r="C1991" i="17"/>
  <c r="B1991" i="17"/>
  <c r="I1990" i="17"/>
  <c r="C1990" i="17"/>
  <c r="B1990" i="17"/>
  <c r="I1989" i="17"/>
  <c r="C1989" i="17"/>
  <c r="B1989" i="17"/>
  <c r="I1988" i="17"/>
  <c r="C1988" i="17"/>
  <c r="B1988" i="17"/>
  <c r="I1987" i="17"/>
  <c r="C1987" i="17"/>
  <c r="B1987" i="17"/>
  <c r="I1986" i="17"/>
  <c r="C1986" i="17"/>
  <c r="B1986" i="17"/>
  <c r="I1985" i="17"/>
  <c r="C1985" i="17"/>
  <c r="B1985" i="17"/>
  <c r="I1984" i="17"/>
  <c r="C1984" i="17"/>
  <c r="B1984" i="17"/>
  <c r="I1983" i="17"/>
  <c r="C1983" i="17"/>
  <c r="B1983" i="17"/>
  <c r="I1982" i="17"/>
  <c r="C1982" i="17"/>
  <c r="B1982" i="17"/>
  <c r="I1981" i="17"/>
  <c r="C1981" i="17"/>
  <c r="B1981" i="17"/>
  <c r="I1980" i="17"/>
  <c r="C1980" i="17"/>
  <c r="B1980" i="17"/>
  <c r="I1979" i="17"/>
  <c r="C1979" i="17"/>
  <c r="B1979" i="17"/>
  <c r="I1978" i="17"/>
  <c r="C1978" i="17"/>
  <c r="B1978" i="17"/>
  <c r="I1977" i="17"/>
  <c r="C1977" i="17"/>
  <c r="B1977" i="17"/>
  <c r="I1976" i="17"/>
  <c r="C1976" i="17"/>
  <c r="B1976" i="17"/>
  <c r="I1975" i="17"/>
  <c r="C1975" i="17"/>
  <c r="B1975" i="17"/>
  <c r="I1974" i="17"/>
  <c r="C1974" i="17"/>
  <c r="B1974" i="17"/>
  <c r="I1973" i="17"/>
  <c r="C1973" i="17"/>
  <c r="B1973" i="17"/>
  <c r="I1972" i="17"/>
  <c r="C1972" i="17"/>
  <c r="B1972" i="17"/>
  <c r="I1971" i="17"/>
  <c r="C1971" i="17"/>
  <c r="B1971" i="17"/>
  <c r="I1970" i="17"/>
  <c r="C1970" i="17"/>
  <c r="B1970" i="17"/>
  <c r="I1969" i="17"/>
  <c r="C1969" i="17"/>
  <c r="B1969" i="17"/>
  <c r="I1968" i="17"/>
  <c r="C1968" i="17"/>
  <c r="B1968" i="17"/>
  <c r="I1967" i="17"/>
  <c r="C1967" i="17"/>
  <c r="B1967" i="17"/>
  <c r="I1966" i="17"/>
  <c r="C1966" i="17"/>
  <c r="B1966" i="17"/>
  <c r="I1965" i="17"/>
  <c r="C1965" i="17"/>
  <c r="B1965" i="17"/>
  <c r="I1964" i="17"/>
  <c r="C1964" i="17"/>
  <c r="B1964" i="17"/>
  <c r="I1963" i="17"/>
  <c r="C1963" i="17"/>
  <c r="B1963" i="17"/>
  <c r="I1962" i="17"/>
  <c r="C1962" i="17"/>
  <c r="B1962" i="17"/>
  <c r="I1961" i="17"/>
  <c r="C1961" i="17"/>
  <c r="B1961" i="17"/>
  <c r="I1960" i="17"/>
  <c r="C1960" i="17"/>
  <c r="B1960" i="17"/>
  <c r="I1959" i="17"/>
  <c r="C1959" i="17"/>
  <c r="B1959" i="17"/>
  <c r="I1958" i="17"/>
  <c r="C1958" i="17"/>
  <c r="B1958" i="17"/>
  <c r="I1957" i="17"/>
  <c r="C1957" i="17"/>
  <c r="B1957" i="17"/>
  <c r="I1956" i="17"/>
  <c r="C1956" i="17"/>
  <c r="B1956" i="17"/>
  <c r="I1955" i="17"/>
  <c r="C1955" i="17"/>
  <c r="B1955" i="17"/>
  <c r="I1954" i="17"/>
  <c r="C1954" i="17"/>
  <c r="B1954" i="17"/>
  <c r="I1953" i="17"/>
  <c r="C1953" i="17"/>
  <c r="B1953" i="17"/>
  <c r="I1952" i="17"/>
  <c r="C1952" i="17"/>
  <c r="B1952" i="17"/>
  <c r="I1951" i="17"/>
  <c r="C1951" i="17"/>
  <c r="B1951" i="17"/>
  <c r="I1950" i="17"/>
  <c r="C1950" i="17"/>
  <c r="B1950" i="17"/>
  <c r="I1949" i="17"/>
  <c r="C1949" i="17"/>
  <c r="B1949" i="17"/>
  <c r="I1948" i="17"/>
  <c r="C1948" i="17"/>
  <c r="B1948" i="17"/>
  <c r="I1947" i="17"/>
  <c r="C1947" i="17"/>
  <c r="B1947" i="17"/>
  <c r="I1946" i="17"/>
  <c r="C1946" i="17"/>
  <c r="B1946" i="17"/>
  <c r="I1945" i="17"/>
  <c r="C1945" i="17"/>
  <c r="B1945" i="17"/>
  <c r="I1944" i="17"/>
  <c r="C1944" i="17"/>
  <c r="B1944" i="17"/>
  <c r="I1943" i="17"/>
  <c r="C1943" i="17"/>
  <c r="B1943" i="17"/>
  <c r="I1942" i="17"/>
  <c r="C1942" i="17"/>
  <c r="B1942" i="17"/>
  <c r="I1941" i="17"/>
  <c r="C1941" i="17"/>
  <c r="B1941" i="17"/>
  <c r="I1940" i="17"/>
  <c r="C1940" i="17"/>
  <c r="B1940" i="17"/>
  <c r="I1939" i="17"/>
  <c r="C1939" i="17"/>
  <c r="B1939" i="17"/>
  <c r="I1938" i="17"/>
  <c r="C1938" i="17"/>
  <c r="B1938" i="17"/>
  <c r="I1937" i="17"/>
  <c r="C1937" i="17"/>
  <c r="B1937" i="17"/>
  <c r="I1936" i="17"/>
  <c r="C1936" i="17"/>
  <c r="B1936" i="17"/>
  <c r="I1935" i="17"/>
  <c r="C1935" i="17"/>
  <c r="B1935" i="17"/>
  <c r="I1934" i="17"/>
  <c r="C1934" i="17"/>
  <c r="B1934" i="17"/>
  <c r="I1933" i="17"/>
  <c r="C1933" i="17"/>
  <c r="B1933" i="17"/>
  <c r="I1932" i="17"/>
  <c r="C1932" i="17"/>
  <c r="B1932" i="17"/>
  <c r="I1931" i="17"/>
  <c r="C1931" i="17"/>
  <c r="B1931" i="17"/>
  <c r="I1930" i="17"/>
  <c r="C1930" i="17"/>
  <c r="B1930" i="17"/>
  <c r="I1929" i="17"/>
  <c r="C1929" i="17"/>
  <c r="B1929" i="17"/>
  <c r="I1928" i="17"/>
  <c r="C1928" i="17"/>
  <c r="B1928" i="17"/>
  <c r="I1927" i="17"/>
  <c r="C1927" i="17"/>
  <c r="B1927" i="17"/>
  <c r="I1926" i="17"/>
  <c r="C1926" i="17"/>
  <c r="B1926" i="17"/>
  <c r="I1925" i="17"/>
  <c r="C1925" i="17"/>
  <c r="B1925" i="17"/>
  <c r="I1924" i="17"/>
  <c r="C1924" i="17"/>
  <c r="B1924" i="17"/>
  <c r="I1923" i="17"/>
  <c r="C1923" i="17"/>
  <c r="B1923" i="17"/>
  <c r="I1922" i="17"/>
  <c r="C1922" i="17"/>
  <c r="B1922" i="17"/>
  <c r="I1921" i="17"/>
  <c r="C1921" i="17"/>
  <c r="B1921" i="17"/>
  <c r="I1920" i="17"/>
  <c r="C1920" i="17"/>
  <c r="B1920" i="17"/>
  <c r="I1919" i="17"/>
  <c r="C1919" i="17"/>
  <c r="B1919" i="17"/>
  <c r="I1918" i="17"/>
  <c r="C1918" i="17"/>
  <c r="B1918" i="17"/>
  <c r="I1917" i="17"/>
  <c r="C1917" i="17"/>
  <c r="B1917" i="17"/>
  <c r="I1916" i="17"/>
  <c r="C1916" i="17"/>
  <c r="B1916" i="17"/>
  <c r="I1915" i="17"/>
  <c r="C1915" i="17"/>
  <c r="B1915" i="17"/>
  <c r="I1914" i="17"/>
  <c r="C1914" i="17"/>
  <c r="B1914" i="17"/>
  <c r="I1913" i="17"/>
  <c r="C1913" i="17"/>
  <c r="B1913" i="17"/>
  <c r="I1912" i="17"/>
  <c r="C1912" i="17"/>
  <c r="B1912" i="17"/>
  <c r="I1911" i="17"/>
  <c r="C1911" i="17"/>
  <c r="B1911" i="17"/>
  <c r="I1910" i="17"/>
  <c r="C1910" i="17"/>
  <c r="B1910" i="17"/>
  <c r="I1909" i="17"/>
  <c r="C1909" i="17"/>
  <c r="B1909" i="17"/>
  <c r="I1908" i="17"/>
  <c r="C1908" i="17"/>
  <c r="B1908" i="17"/>
  <c r="I1907" i="17"/>
  <c r="C1907" i="17"/>
  <c r="B1907" i="17"/>
  <c r="I1906" i="17"/>
  <c r="C1906" i="17"/>
  <c r="B1906" i="17"/>
  <c r="I1905" i="17"/>
  <c r="C1905" i="17"/>
  <c r="B1905" i="17"/>
  <c r="I1904" i="17"/>
  <c r="C1904" i="17"/>
  <c r="B1904" i="17"/>
  <c r="I1903" i="17"/>
  <c r="C1903" i="17"/>
  <c r="B1903" i="17"/>
  <c r="I1902" i="17"/>
  <c r="C1902" i="17"/>
  <c r="B1902" i="17"/>
  <c r="I1901" i="17"/>
  <c r="C1901" i="17"/>
  <c r="B1901" i="17"/>
  <c r="I1900" i="17"/>
  <c r="C1900" i="17"/>
  <c r="B1900" i="17"/>
  <c r="I1899" i="17"/>
  <c r="C1899" i="17"/>
  <c r="B1899" i="17"/>
  <c r="I1898" i="17"/>
  <c r="C1898" i="17"/>
  <c r="B1898" i="17"/>
  <c r="I1897" i="17"/>
  <c r="C1897" i="17"/>
  <c r="B1897" i="17"/>
  <c r="I1896" i="17"/>
  <c r="C1896" i="17"/>
  <c r="B1896" i="17"/>
  <c r="I1895" i="17"/>
  <c r="C1895" i="17"/>
  <c r="B1895" i="17"/>
  <c r="I1894" i="17"/>
  <c r="C1894" i="17"/>
  <c r="B1894" i="17"/>
  <c r="I1893" i="17"/>
  <c r="C1893" i="17"/>
  <c r="B1893" i="17"/>
  <c r="I1892" i="17"/>
  <c r="C1892" i="17"/>
  <c r="B1892" i="17"/>
  <c r="I1891" i="17"/>
  <c r="C1891" i="17"/>
  <c r="B1891" i="17"/>
  <c r="I1890" i="17"/>
  <c r="C1890" i="17"/>
  <c r="B1890" i="17"/>
  <c r="I1889" i="17"/>
  <c r="C1889" i="17"/>
  <c r="B1889" i="17"/>
  <c r="I1888" i="17"/>
  <c r="C1888" i="17"/>
  <c r="B1888" i="17"/>
  <c r="I1887" i="17"/>
  <c r="C1887" i="17"/>
  <c r="B1887" i="17"/>
  <c r="I1886" i="17"/>
  <c r="C1886" i="17"/>
  <c r="B1886" i="17"/>
  <c r="I1885" i="17"/>
  <c r="C1885" i="17"/>
  <c r="B1885" i="17"/>
  <c r="I1884" i="17"/>
  <c r="C1884" i="17"/>
  <c r="B1884" i="17"/>
  <c r="I1883" i="17"/>
  <c r="C1883" i="17"/>
  <c r="B1883" i="17"/>
  <c r="I1882" i="17"/>
  <c r="C1882" i="17"/>
  <c r="B1882" i="17"/>
  <c r="I1881" i="17"/>
  <c r="C1881" i="17"/>
  <c r="B1881" i="17"/>
  <c r="I1880" i="17"/>
  <c r="C1880" i="17"/>
  <c r="B1880" i="17"/>
  <c r="I1879" i="17"/>
  <c r="C1879" i="17"/>
  <c r="B1879" i="17"/>
  <c r="I1878" i="17"/>
  <c r="C1878" i="17"/>
  <c r="B1878" i="17"/>
  <c r="I1877" i="17"/>
  <c r="C1877" i="17"/>
  <c r="B1877" i="17"/>
  <c r="I1876" i="17"/>
  <c r="C1876" i="17"/>
  <c r="B1876" i="17"/>
  <c r="I1875" i="17"/>
  <c r="C1875" i="17"/>
  <c r="B1875" i="17"/>
  <c r="I1874" i="17"/>
  <c r="C1874" i="17"/>
  <c r="B1874" i="17"/>
  <c r="I1873" i="17"/>
  <c r="C1873" i="17"/>
  <c r="B1873" i="17"/>
  <c r="I1872" i="17"/>
  <c r="C1872" i="17"/>
  <c r="B1872" i="17"/>
  <c r="I1871" i="17"/>
  <c r="C1871" i="17"/>
  <c r="B1871" i="17"/>
  <c r="I1870" i="17"/>
  <c r="C1870" i="17"/>
  <c r="B1870" i="17"/>
  <c r="I1869" i="17"/>
  <c r="C1869" i="17"/>
  <c r="B1869" i="17"/>
  <c r="I1868" i="17"/>
  <c r="C1868" i="17"/>
  <c r="B1868" i="17"/>
  <c r="I1867" i="17"/>
  <c r="C1867" i="17"/>
  <c r="B1867" i="17"/>
  <c r="I1866" i="17"/>
  <c r="C1866" i="17"/>
  <c r="B1866" i="17"/>
  <c r="I1865" i="17"/>
  <c r="C1865" i="17"/>
  <c r="B1865" i="17"/>
  <c r="I1864" i="17"/>
  <c r="C1864" i="17"/>
  <c r="B1864" i="17"/>
  <c r="I1863" i="17"/>
  <c r="C1863" i="17"/>
  <c r="B1863" i="17"/>
  <c r="I1862" i="17"/>
  <c r="C1862" i="17"/>
  <c r="B1862" i="17"/>
  <c r="I1861" i="17"/>
  <c r="C1861" i="17"/>
  <c r="B1861" i="17"/>
  <c r="I1860" i="17"/>
  <c r="C1860" i="17"/>
  <c r="B1860" i="17"/>
  <c r="I1859" i="17"/>
  <c r="C1859" i="17"/>
  <c r="B1859" i="17"/>
  <c r="I1858" i="17"/>
  <c r="C1858" i="17"/>
  <c r="B1858" i="17"/>
  <c r="I1857" i="17"/>
  <c r="C1857" i="17"/>
  <c r="B1857" i="17"/>
  <c r="I1856" i="17"/>
  <c r="C1856" i="17"/>
  <c r="B1856" i="17"/>
  <c r="I1855" i="17"/>
  <c r="C1855" i="17"/>
  <c r="B1855" i="17"/>
  <c r="I1854" i="17"/>
  <c r="C1854" i="17"/>
  <c r="B1854" i="17"/>
  <c r="I1853" i="17"/>
  <c r="C1853" i="17"/>
  <c r="B1853" i="17"/>
  <c r="I1852" i="17"/>
  <c r="C1852" i="17"/>
  <c r="B1852" i="17"/>
  <c r="I1851" i="17"/>
  <c r="C1851" i="17"/>
  <c r="B1851" i="17"/>
  <c r="I1850" i="17"/>
  <c r="C1850" i="17"/>
  <c r="B1850" i="17"/>
  <c r="I1849" i="17"/>
  <c r="C1849" i="17"/>
  <c r="B1849" i="17"/>
  <c r="I1848" i="17"/>
  <c r="C1848" i="17"/>
  <c r="B1848" i="17"/>
  <c r="I1847" i="17"/>
  <c r="C1847" i="17"/>
  <c r="B1847" i="17"/>
  <c r="I1846" i="17"/>
  <c r="C1846" i="17"/>
  <c r="B1846" i="17"/>
  <c r="I1845" i="17"/>
  <c r="C1845" i="17"/>
  <c r="B1845" i="17"/>
  <c r="I1844" i="17"/>
  <c r="C1844" i="17"/>
  <c r="B1844" i="17"/>
  <c r="I1843" i="17"/>
  <c r="C1843" i="17"/>
  <c r="B1843" i="17"/>
  <c r="I1842" i="17"/>
  <c r="C1842" i="17"/>
  <c r="B1842" i="17"/>
  <c r="I1841" i="17"/>
  <c r="C1841" i="17"/>
  <c r="B1841" i="17"/>
  <c r="I1840" i="17"/>
  <c r="C1840" i="17"/>
  <c r="B1840" i="17"/>
  <c r="I1839" i="17"/>
  <c r="C1839" i="17"/>
  <c r="B1839" i="17"/>
  <c r="I1838" i="17"/>
  <c r="C1838" i="17"/>
  <c r="B1838" i="17"/>
  <c r="I1837" i="17"/>
  <c r="C1837" i="17"/>
  <c r="B1837" i="17"/>
  <c r="I1836" i="17"/>
  <c r="C1836" i="17"/>
  <c r="B1836" i="17"/>
  <c r="I1835" i="17"/>
  <c r="C1835" i="17"/>
  <c r="B1835" i="17"/>
  <c r="I1834" i="17"/>
  <c r="C1834" i="17"/>
  <c r="B1834" i="17"/>
  <c r="I1833" i="17"/>
  <c r="C1833" i="17"/>
  <c r="B1833" i="17"/>
  <c r="I1832" i="17"/>
  <c r="C1832" i="17"/>
  <c r="B1832" i="17"/>
  <c r="I1831" i="17"/>
  <c r="C1831" i="17"/>
  <c r="B1831" i="17"/>
  <c r="I1830" i="17"/>
  <c r="C1830" i="17"/>
  <c r="B1830" i="17"/>
  <c r="I1829" i="17"/>
  <c r="C1829" i="17"/>
  <c r="B1829" i="17"/>
  <c r="I1828" i="17"/>
  <c r="C1828" i="17"/>
  <c r="B1828" i="17"/>
  <c r="I1827" i="17"/>
  <c r="C1827" i="17"/>
  <c r="B1827" i="17"/>
  <c r="I1826" i="17"/>
  <c r="C1826" i="17"/>
  <c r="B1826" i="17"/>
  <c r="I1825" i="17"/>
  <c r="C1825" i="17"/>
  <c r="B1825" i="17"/>
  <c r="I1824" i="17"/>
  <c r="C1824" i="17"/>
  <c r="B1824" i="17"/>
  <c r="I1823" i="17"/>
  <c r="C1823" i="17"/>
  <c r="B1823" i="17"/>
  <c r="I1822" i="17"/>
  <c r="C1822" i="17"/>
  <c r="B1822" i="17"/>
  <c r="I1821" i="17"/>
  <c r="C1821" i="17"/>
  <c r="B1821" i="17"/>
  <c r="I1820" i="17"/>
  <c r="C1820" i="17"/>
  <c r="B1820" i="17"/>
  <c r="I1819" i="17"/>
  <c r="C1819" i="17"/>
  <c r="B1819" i="17"/>
  <c r="I1818" i="17"/>
  <c r="C1818" i="17"/>
  <c r="B1818" i="17"/>
  <c r="I1817" i="17"/>
  <c r="C1817" i="17"/>
  <c r="B1817" i="17"/>
  <c r="I1816" i="17"/>
  <c r="C1816" i="17"/>
  <c r="B1816" i="17"/>
  <c r="I1815" i="17"/>
  <c r="C1815" i="17"/>
  <c r="B1815" i="17"/>
  <c r="I1814" i="17"/>
  <c r="C1814" i="17"/>
  <c r="B1814" i="17"/>
  <c r="I1813" i="17"/>
  <c r="C1813" i="17"/>
  <c r="B1813" i="17"/>
  <c r="I1812" i="17"/>
  <c r="C1812" i="17"/>
  <c r="B1812" i="17"/>
  <c r="I1811" i="17"/>
  <c r="C1811" i="17"/>
  <c r="B1811" i="17"/>
  <c r="I1810" i="17"/>
  <c r="C1810" i="17"/>
  <c r="B1810" i="17"/>
  <c r="I1809" i="17"/>
  <c r="C1809" i="17"/>
  <c r="B1809" i="17"/>
  <c r="I1808" i="17"/>
  <c r="C1808" i="17"/>
  <c r="B1808" i="17"/>
  <c r="I1807" i="17"/>
  <c r="C1807" i="17"/>
  <c r="B1807" i="17"/>
  <c r="I1806" i="17"/>
  <c r="C1806" i="17"/>
  <c r="B1806" i="17"/>
  <c r="I1805" i="17"/>
  <c r="C1805" i="17"/>
  <c r="B1805" i="17"/>
  <c r="I1804" i="17"/>
  <c r="C1804" i="17"/>
  <c r="B1804" i="17"/>
  <c r="I1803" i="17"/>
  <c r="C1803" i="17"/>
  <c r="B1803" i="17"/>
  <c r="I1802" i="17"/>
  <c r="C1802" i="17"/>
  <c r="B1802" i="17"/>
  <c r="I1801" i="17"/>
  <c r="C1801" i="17"/>
  <c r="B1801" i="17"/>
  <c r="I1800" i="17"/>
  <c r="C1800" i="17"/>
  <c r="B1800" i="17"/>
  <c r="I1799" i="17"/>
  <c r="C1799" i="17"/>
  <c r="B1799" i="17"/>
  <c r="I1798" i="17"/>
  <c r="C1798" i="17"/>
  <c r="B1798" i="17"/>
  <c r="I1797" i="17"/>
  <c r="C1797" i="17"/>
  <c r="B1797" i="17"/>
  <c r="I1796" i="17"/>
  <c r="C1796" i="17"/>
  <c r="B1796" i="17"/>
  <c r="I1795" i="17"/>
  <c r="C1795" i="17"/>
  <c r="B1795" i="17"/>
  <c r="I1794" i="17"/>
  <c r="C1794" i="17"/>
  <c r="B1794" i="17"/>
  <c r="I1793" i="17"/>
  <c r="C1793" i="17"/>
  <c r="B1793" i="17"/>
  <c r="I1792" i="17"/>
  <c r="C1792" i="17"/>
  <c r="B1792" i="17"/>
  <c r="I1791" i="17"/>
  <c r="C1791" i="17"/>
  <c r="B1791" i="17"/>
  <c r="I1790" i="17"/>
  <c r="C1790" i="17"/>
  <c r="B1790" i="17"/>
  <c r="I1789" i="17"/>
  <c r="C1789" i="17"/>
  <c r="B1789" i="17"/>
  <c r="I1788" i="17"/>
  <c r="C1788" i="17"/>
  <c r="B1788" i="17"/>
  <c r="I1787" i="17"/>
  <c r="C1787" i="17"/>
  <c r="B1787" i="17"/>
  <c r="I1786" i="17"/>
  <c r="C1786" i="17"/>
  <c r="B1786" i="17"/>
  <c r="I1785" i="17"/>
  <c r="C1785" i="17"/>
  <c r="B1785" i="17"/>
  <c r="I1784" i="17"/>
  <c r="C1784" i="17"/>
  <c r="B1784" i="17"/>
  <c r="I1783" i="17"/>
  <c r="C1783" i="17"/>
  <c r="B1783" i="17"/>
  <c r="I1782" i="17"/>
  <c r="C1782" i="17"/>
  <c r="B1782" i="17"/>
  <c r="I1781" i="17"/>
  <c r="C1781" i="17"/>
  <c r="B1781" i="17"/>
  <c r="I1780" i="17"/>
  <c r="C1780" i="17"/>
  <c r="B1780" i="17"/>
  <c r="I1779" i="17"/>
  <c r="C1779" i="17"/>
  <c r="B1779" i="17"/>
  <c r="I1778" i="17"/>
  <c r="C1778" i="17"/>
  <c r="B1778" i="17"/>
  <c r="I1777" i="17"/>
  <c r="C1777" i="17"/>
  <c r="B1777" i="17"/>
  <c r="I1776" i="17"/>
  <c r="C1776" i="17"/>
  <c r="B1776" i="17"/>
  <c r="I1775" i="17"/>
  <c r="C1775" i="17"/>
  <c r="B1775" i="17"/>
  <c r="I1774" i="17"/>
  <c r="C1774" i="17"/>
  <c r="B1774" i="17"/>
  <c r="I1773" i="17"/>
  <c r="C1773" i="17"/>
  <c r="B1773" i="17"/>
  <c r="I1772" i="17"/>
  <c r="C1772" i="17"/>
  <c r="B1772" i="17"/>
  <c r="I1771" i="17"/>
  <c r="C1771" i="17"/>
  <c r="B1771" i="17"/>
  <c r="I1770" i="17"/>
  <c r="C1770" i="17"/>
  <c r="B1770" i="17"/>
  <c r="I1769" i="17"/>
  <c r="C1769" i="17"/>
  <c r="B1769" i="17"/>
  <c r="I1768" i="17"/>
  <c r="C1768" i="17"/>
  <c r="B1768" i="17"/>
  <c r="I1767" i="17"/>
  <c r="C1767" i="17"/>
  <c r="B1767" i="17"/>
  <c r="I1766" i="17"/>
  <c r="C1766" i="17"/>
  <c r="B1766" i="17"/>
  <c r="I1765" i="17"/>
  <c r="C1765" i="17"/>
  <c r="B1765" i="17"/>
  <c r="I1764" i="17"/>
  <c r="C1764" i="17"/>
  <c r="B1764" i="17"/>
  <c r="I1763" i="17"/>
  <c r="C1763" i="17"/>
  <c r="B1763" i="17"/>
  <c r="I1762" i="17"/>
  <c r="C1762" i="17"/>
  <c r="B1762" i="17"/>
  <c r="I1761" i="17"/>
  <c r="C1761" i="17"/>
  <c r="B1761" i="17"/>
  <c r="I1760" i="17"/>
  <c r="C1760" i="17"/>
  <c r="B1760" i="17"/>
  <c r="I1759" i="17"/>
  <c r="C1759" i="17"/>
  <c r="B1759" i="17"/>
  <c r="I1758" i="17"/>
  <c r="C1758" i="17"/>
  <c r="B1758" i="17"/>
  <c r="I1757" i="17"/>
  <c r="C1757" i="17"/>
  <c r="B1757" i="17"/>
  <c r="I1756" i="17"/>
  <c r="C1756" i="17"/>
  <c r="B1756" i="17"/>
  <c r="I1755" i="17"/>
  <c r="C1755" i="17"/>
  <c r="B1755" i="17"/>
  <c r="I1754" i="17"/>
  <c r="C1754" i="17"/>
  <c r="B1754" i="17"/>
  <c r="I1753" i="17"/>
  <c r="C1753" i="17"/>
  <c r="B1753" i="17"/>
  <c r="I1752" i="17"/>
  <c r="C1752" i="17"/>
  <c r="B1752" i="17"/>
  <c r="I1751" i="17"/>
  <c r="C1751" i="17"/>
  <c r="B1751" i="17"/>
  <c r="I1750" i="17"/>
  <c r="C1750" i="17"/>
  <c r="B1750" i="17"/>
  <c r="I1749" i="17"/>
  <c r="C1749" i="17"/>
  <c r="B1749" i="17"/>
  <c r="I1748" i="17"/>
  <c r="C1748" i="17"/>
  <c r="B1748" i="17"/>
  <c r="I1747" i="17"/>
  <c r="C1747" i="17"/>
  <c r="B1747" i="17"/>
  <c r="I1746" i="17"/>
  <c r="C1746" i="17"/>
  <c r="B1746" i="17"/>
  <c r="I1745" i="17"/>
  <c r="C1745" i="17"/>
  <c r="B1745" i="17"/>
  <c r="I1744" i="17"/>
  <c r="C1744" i="17"/>
  <c r="B1744" i="17"/>
  <c r="I1743" i="17"/>
  <c r="C1743" i="17"/>
  <c r="B1743" i="17"/>
  <c r="I1742" i="17"/>
  <c r="C1742" i="17"/>
  <c r="B1742" i="17"/>
  <c r="I1741" i="17"/>
  <c r="C1741" i="17"/>
  <c r="B1741" i="17"/>
  <c r="I1740" i="17"/>
  <c r="C1740" i="17"/>
  <c r="B1740" i="17"/>
  <c r="I1739" i="17"/>
  <c r="C1739" i="17"/>
  <c r="B1739" i="17"/>
  <c r="I1738" i="17"/>
  <c r="C1738" i="17"/>
  <c r="B1738" i="17"/>
  <c r="I1737" i="17"/>
  <c r="C1737" i="17"/>
  <c r="B1737" i="17"/>
  <c r="I1736" i="17"/>
  <c r="C1736" i="17"/>
  <c r="B1736" i="17"/>
  <c r="I1735" i="17"/>
  <c r="C1735" i="17"/>
  <c r="B1735" i="17"/>
  <c r="I1734" i="17"/>
  <c r="C1734" i="17"/>
  <c r="B1734" i="17"/>
  <c r="I1733" i="17"/>
  <c r="C1733" i="17"/>
  <c r="B1733" i="17"/>
  <c r="I1732" i="17"/>
  <c r="C1732" i="17"/>
  <c r="B1732" i="17"/>
  <c r="I1731" i="17"/>
  <c r="C1731" i="17"/>
  <c r="B1731" i="17"/>
  <c r="I1730" i="17"/>
  <c r="C1730" i="17"/>
  <c r="B1730" i="17"/>
  <c r="I1729" i="17"/>
  <c r="C1729" i="17"/>
  <c r="B1729" i="17"/>
  <c r="I1728" i="17"/>
  <c r="C1728" i="17"/>
  <c r="B1728" i="17"/>
  <c r="I1727" i="17"/>
  <c r="C1727" i="17"/>
  <c r="B1727" i="17"/>
  <c r="I1726" i="17"/>
  <c r="C1726" i="17"/>
  <c r="B1726" i="17"/>
  <c r="I1725" i="17"/>
  <c r="C1725" i="17"/>
  <c r="B1725" i="17"/>
  <c r="I1724" i="17"/>
  <c r="C1724" i="17"/>
  <c r="B1724" i="17"/>
  <c r="I1723" i="17"/>
  <c r="C1723" i="17"/>
  <c r="B1723" i="17"/>
  <c r="I1722" i="17"/>
  <c r="C1722" i="17"/>
  <c r="B1722" i="17"/>
  <c r="I1721" i="17"/>
  <c r="C1721" i="17"/>
  <c r="B1721" i="17"/>
  <c r="I1720" i="17"/>
  <c r="C1720" i="17"/>
  <c r="B1720" i="17"/>
  <c r="I1719" i="17"/>
  <c r="C1719" i="17"/>
  <c r="B1719" i="17"/>
  <c r="I1718" i="17"/>
  <c r="C1718" i="17"/>
  <c r="B1718" i="17"/>
  <c r="I1717" i="17"/>
  <c r="C1717" i="17"/>
  <c r="B1717" i="17"/>
  <c r="I1716" i="17"/>
  <c r="C1716" i="17"/>
  <c r="B1716" i="17"/>
  <c r="I1715" i="17"/>
  <c r="C1715" i="17"/>
  <c r="B1715" i="17"/>
  <c r="I1714" i="17"/>
  <c r="C1714" i="17"/>
  <c r="B1714" i="17"/>
  <c r="I1713" i="17"/>
  <c r="C1713" i="17"/>
  <c r="B1713" i="17"/>
  <c r="I1712" i="17"/>
  <c r="C1712" i="17"/>
  <c r="B1712" i="17"/>
  <c r="I1711" i="17"/>
  <c r="C1711" i="17"/>
  <c r="B1711" i="17"/>
  <c r="I1710" i="17"/>
  <c r="C1710" i="17"/>
  <c r="B1710" i="17"/>
  <c r="I1709" i="17"/>
  <c r="C1709" i="17"/>
  <c r="B1709" i="17"/>
  <c r="I1708" i="17"/>
  <c r="C1708" i="17"/>
  <c r="B1708" i="17"/>
  <c r="I1707" i="17"/>
  <c r="C1707" i="17"/>
  <c r="B1707" i="17"/>
  <c r="I1706" i="17"/>
  <c r="C1706" i="17"/>
  <c r="B1706" i="17"/>
  <c r="I1705" i="17"/>
  <c r="C1705" i="17"/>
  <c r="B1705" i="17"/>
  <c r="I1704" i="17"/>
  <c r="C1704" i="17"/>
  <c r="B1704" i="17"/>
  <c r="I1703" i="17"/>
  <c r="C1703" i="17"/>
  <c r="B1703" i="17"/>
  <c r="I1702" i="17"/>
  <c r="C1702" i="17"/>
  <c r="B1702" i="17"/>
  <c r="I1701" i="17"/>
  <c r="C1701" i="17"/>
  <c r="B1701" i="17"/>
  <c r="I1700" i="17"/>
  <c r="C1700" i="17"/>
  <c r="B1700" i="17"/>
  <c r="I1699" i="17"/>
  <c r="C1699" i="17"/>
  <c r="B1699" i="17"/>
  <c r="I1698" i="17"/>
  <c r="C1698" i="17"/>
  <c r="B1698" i="17"/>
  <c r="I1697" i="17"/>
  <c r="C1697" i="17"/>
  <c r="B1697" i="17"/>
  <c r="I1696" i="17"/>
  <c r="C1696" i="17"/>
  <c r="B1696" i="17"/>
  <c r="I1695" i="17"/>
  <c r="C1695" i="17"/>
  <c r="B1695" i="17"/>
  <c r="I1694" i="17"/>
  <c r="C1694" i="17"/>
  <c r="B1694" i="17"/>
  <c r="I1693" i="17"/>
  <c r="C1693" i="17"/>
  <c r="B1693" i="17"/>
  <c r="I1692" i="17"/>
  <c r="C1692" i="17"/>
  <c r="B1692" i="17"/>
  <c r="I1691" i="17"/>
  <c r="C1691" i="17"/>
  <c r="B1691" i="17"/>
  <c r="I1690" i="17"/>
  <c r="C1690" i="17"/>
  <c r="B1690" i="17"/>
  <c r="I1689" i="17"/>
  <c r="C1689" i="17"/>
  <c r="B1689" i="17"/>
  <c r="I1688" i="17"/>
  <c r="C1688" i="17"/>
  <c r="B1688" i="17"/>
  <c r="I1687" i="17"/>
  <c r="C1687" i="17"/>
  <c r="B1687" i="17"/>
  <c r="I1686" i="17"/>
  <c r="C1686" i="17"/>
  <c r="B1686" i="17"/>
  <c r="I1685" i="17"/>
  <c r="C1685" i="17"/>
  <c r="B1685" i="17"/>
  <c r="I1684" i="17"/>
  <c r="C1684" i="17"/>
  <c r="B1684" i="17"/>
  <c r="I1683" i="17"/>
  <c r="C1683" i="17"/>
  <c r="B1683" i="17"/>
  <c r="I1682" i="17"/>
  <c r="C1682" i="17"/>
  <c r="B1682" i="17"/>
  <c r="I1681" i="17"/>
  <c r="C1681" i="17"/>
  <c r="B1681" i="17"/>
  <c r="I1680" i="17"/>
  <c r="C1680" i="17"/>
  <c r="B1680" i="17"/>
  <c r="I1679" i="17"/>
  <c r="C1679" i="17"/>
  <c r="B1679" i="17"/>
  <c r="I1678" i="17"/>
  <c r="C1678" i="17"/>
  <c r="B1678" i="17"/>
  <c r="I1677" i="17"/>
  <c r="C1677" i="17"/>
  <c r="B1677" i="17"/>
  <c r="I1676" i="17"/>
  <c r="C1676" i="17"/>
  <c r="B1676" i="17"/>
  <c r="I1675" i="17"/>
  <c r="C1675" i="17"/>
  <c r="B1675" i="17"/>
  <c r="I1674" i="17"/>
  <c r="C1674" i="17"/>
  <c r="B1674" i="17"/>
  <c r="I1673" i="17"/>
  <c r="C1673" i="17"/>
  <c r="B1673" i="17"/>
  <c r="I1672" i="17"/>
  <c r="C1672" i="17"/>
  <c r="B1672" i="17"/>
  <c r="I1671" i="17"/>
  <c r="C1671" i="17"/>
  <c r="B1671" i="17"/>
  <c r="I1670" i="17"/>
  <c r="C1670" i="17"/>
  <c r="B1670" i="17"/>
  <c r="I1669" i="17"/>
  <c r="C1669" i="17"/>
  <c r="B1669" i="17"/>
  <c r="I1668" i="17"/>
  <c r="C1668" i="17"/>
  <c r="B1668" i="17"/>
  <c r="I1667" i="17"/>
  <c r="C1667" i="17"/>
  <c r="B1667" i="17"/>
  <c r="I1666" i="17"/>
  <c r="C1666" i="17"/>
  <c r="B1666" i="17"/>
  <c r="I1665" i="17"/>
  <c r="C1665" i="17"/>
  <c r="B1665" i="17"/>
  <c r="I1664" i="17"/>
  <c r="C1664" i="17"/>
  <c r="B1664" i="17"/>
  <c r="I1663" i="17"/>
  <c r="C1663" i="17"/>
  <c r="B1663" i="17"/>
  <c r="I1662" i="17"/>
  <c r="C1662" i="17"/>
  <c r="B1662" i="17"/>
  <c r="I1661" i="17"/>
  <c r="C1661" i="17"/>
  <c r="B1661" i="17"/>
  <c r="I1660" i="17"/>
  <c r="C1660" i="17"/>
  <c r="B1660" i="17"/>
  <c r="I1659" i="17"/>
  <c r="C1659" i="17"/>
  <c r="B1659" i="17"/>
  <c r="I1658" i="17"/>
  <c r="C1658" i="17"/>
  <c r="B1658" i="17"/>
  <c r="I1657" i="17"/>
  <c r="C1657" i="17"/>
  <c r="B1657" i="17"/>
  <c r="I1656" i="17"/>
  <c r="C1656" i="17"/>
  <c r="B1656" i="17"/>
  <c r="I1655" i="17"/>
  <c r="C1655" i="17"/>
  <c r="B1655" i="17"/>
  <c r="I1654" i="17"/>
  <c r="C1654" i="17"/>
  <c r="B1654" i="17"/>
  <c r="I1653" i="17"/>
  <c r="C1653" i="17"/>
  <c r="B1653" i="17"/>
  <c r="I1652" i="17"/>
  <c r="C1652" i="17"/>
  <c r="B1652" i="17"/>
  <c r="I1651" i="17"/>
  <c r="C1651" i="17"/>
  <c r="B1651" i="17"/>
  <c r="I1650" i="17"/>
  <c r="C1650" i="17"/>
  <c r="B1650" i="17"/>
  <c r="I1649" i="17"/>
  <c r="C1649" i="17"/>
  <c r="B1649" i="17"/>
  <c r="I1648" i="17"/>
  <c r="C1648" i="17"/>
  <c r="B1648" i="17"/>
  <c r="I1647" i="17"/>
  <c r="C1647" i="17"/>
  <c r="B1647" i="17"/>
  <c r="I1646" i="17"/>
  <c r="C1646" i="17"/>
  <c r="B1646" i="17"/>
  <c r="I1645" i="17"/>
  <c r="C1645" i="17"/>
  <c r="B1645" i="17"/>
  <c r="I1644" i="17"/>
  <c r="C1644" i="17"/>
  <c r="B1644" i="17"/>
  <c r="I1643" i="17"/>
  <c r="C1643" i="17"/>
  <c r="B1643" i="17"/>
  <c r="I1642" i="17"/>
  <c r="C1642" i="17"/>
  <c r="B1642" i="17"/>
  <c r="I1641" i="17"/>
  <c r="C1641" i="17"/>
  <c r="B1641" i="17"/>
  <c r="I1640" i="17"/>
  <c r="C1640" i="17"/>
  <c r="B1640" i="17"/>
  <c r="I1639" i="17"/>
  <c r="C1639" i="17"/>
  <c r="B1639" i="17"/>
  <c r="I1638" i="17"/>
  <c r="C1638" i="17"/>
  <c r="B1638" i="17"/>
  <c r="I1637" i="17"/>
  <c r="C1637" i="17"/>
  <c r="B1637" i="17"/>
  <c r="I1636" i="17"/>
  <c r="C1636" i="17"/>
  <c r="B1636" i="17"/>
  <c r="I1635" i="17"/>
  <c r="C1635" i="17"/>
  <c r="B1635" i="17"/>
  <c r="I1634" i="17"/>
  <c r="C1634" i="17"/>
  <c r="B1634" i="17"/>
  <c r="I1633" i="17"/>
  <c r="C1633" i="17"/>
  <c r="B1633" i="17"/>
  <c r="I1632" i="17"/>
  <c r="C1632" i="17"/>
  <c r="B1632" i="17"/>
  <c r="I1631" i="17"/>
  <c r="C1631" i="17"/>
  <c r="B1631" i="17"/>
  <c r="I1630" i="17"/>
  <c r="C1630" i="17"/>
  <c r="B1630" i="17"/>
  <c r="I1629" i="17"/>
  <c r="C1629" i="17"/>
  <c r="B1629" i="17"/>
  <c r="I1628" i="17"/>
  <c r="C1628" i="17"/>
  <c r="B1628" i="17"/>
  <c r="I1627" i="17"/>
  <c r="C1627" i="17"/>
  <c r="B1627" i="17"/>
  <c r="I1626" i="17"/>
  <c r="C1626" i="17"/>
  <c r="B1626" i="17"/>
  <c r="I1625" i="17"/>
  <c r="C1625" i="17"/>
  <c r="B1625" i="17"/>
  <c r="I1624" i="17"/>
  <c r="C1624" i="17"/>
  <c r="B1624" i="17"/>
  <c r="I1623" i="17"/>
  <c r="C1623" i="17"/>
  <c r="B1623" i="17"/>
  <c r="I1622" i="17"/>
  <c r="C1622" i="17"/>
  <c r="B1622" i="17"/>
  <c r="I1621" i="17"/>
  <c r="C1621" i="17"/>
  <c r="B1621" i="17"/>
  <c r="I1620" i="17"/>
  <c r="C1620" i="17"/>
  <c r="B1620" i="17"/>
  <c r="I1619" i="17"/>
  <c r="C1619" i="17"/>
  <c r="B1619" i="17"/>
  <c r="I1618" i="17"/>
  <c r="C1618" i="17"/>
  <c r="B1618" i="17"/>
  <c r="I1617" i="17"/>
  <c r="C1617" i="17"/>
  <c r="B1617" i="17"/>
  <c r="I1616" i="17"/>
  <c r="C1616" i="17"/>
  <c r="B1616" i="17"/>
  <c r="I1615" i="17"/>
  <c r="C1615" i="17"/>
  <c r="B1615" i="17"/>
  <c r="I1614" i="17"/>
  <c r="C1614" i="17"/>
  <c r="B1614" i="17"/>
  <c r="I1613" i="17"/>
  <c r="C1613" i="17"/>
  <c r="B1613" i="17"/>
  <c r="I1612" i="17"/>
  <c r="C1612" i="17"/>
  <c r="B1612" i="17"/>
  <c r="I1611" i="17"/>
  <c r="C1611" i="17"/>
  <c r="B1611" i="17"/>
  <c r="I1610" i="17"/>
  <c r="C1610" i="17"/>
  <c r="B1610" i="17"/>
  <c r="I1609" i="17"/>
  <c r="C1609" i="17"/>
  <c r="B1609" i="17"/>
  <c r="I1608" i="17"/>
  <c r="C1608" i="17"/>
  <c r="B1608" i="17"/>
  <c r="I1607" i="17"/>
  <c r="C1607" i="17"/>
  <c r="B1607" i="17"/>
  <c r="I1606" i="17"/>
  <c r="C1606" i="17"/>
  <c r="B1606" i="17"/>
  <c r="I1605" i="17"/>
  <c r="C1605" i="17"/>
  <c r="B1605" i="17"/>
  <c r="I1604" i="17"/>
  <c r="C1604" i="17"/>
  <c r="B1604" i="17"/>
  <c r="I1603" i="17"/>
  <c r="C1603" i="17"/>
  <c r="B1603" i="17"/>
  <c r="I1602" i="17"/>
  <c r="C1602" i="17"/>
  <c r="B1602" i="17"/>
  <c r="I1601" i="17"/>
  <c r="C1601" i="17"/>
  <c r="B1601" i="17"/>
  <c r="I1600" i="17"/>
  <c r="C1600" i="17"/>
  <c r="B1600" i="17"/>
  <c r="I1599" i="17"/>
  <c r="C1599" i="17"/>
  <c r="B1599" i="17"/>
  <c r="I1598" i="17"/>
  <c r="C1598" i="17"/>
  <c r="B1598" i="17"/>
  <c r="I1597" i="17"/>
  <c r="C1597" i="17"/>
  <c r="B1597" i="17"/>
  <c r="I1596" i="17"/>
  <c r="C1596" i="17"/>
  <c r="B1596" i="17"/>
  <c r="I1595" i="17"/>
  <c r="C1595" i="17"/>
  <c r="B1595" i="17"/>
  <c r="I1594" i="17"/>
  <c r="C1594" i="17"/>
  <c r="B1594" i="17"/>
  <c r="I1593" i="17"/>
  <c r="C1593" i="17"/>
  <c r="B1593" i="17"/>
  <c r="I1592" i="17"/>
  <c r="C1592" i="17"/>
  <c r="B1592" i="17"/>
  <c r="I1591" i="17"/>
  <c r="C1591" i="17"/>
  <c r="B1591" i="17"/>
  <c r="I1590" i="17"/>
  <c r="C1590" i="17"/>
  <c r="B1590" i="17"/>
  <c r="I1589" i="17"/>
  <c r="C1589" i="17"/>
  <c r="B1589" i="17"/>
  <c r="I1588" i="17"/>
  <c r="C1588" i="17"/>
  <c r="B1588" i="17"/>
  <c r="I1587" i="17"/>
  <c r="C1587" i="17"/>
  <c r="B1587" i="17"/>
  <c r="I1586" i="17"/>
  <c r="C1586" i="17"/>
  <c r="B1586" i="17"/>
  <c r="I1585" i="17"/>
  <c r="C1585" i="17"/>
  <c r="B1585" i="17"/>
  <c r="I1584" i="17"/>
  <c r="C1584" i="17"/>
  <c r="B1584" i="17"/>
  <c r="I1583" i="17"/>
  <c r="C1583" i="17"/>
  <c r="B1583" i="17"/>
  <c r="I1582" i="17"/>
  <c r="C1582" i="17"/>
  <c r="B1582" i="17"/>
  <c r="I1581" i="17"/>
  <c r="C1581" i="17"/>
  <c r="B1581" i="17"/>
  <c r="I1580" i="17"/>
  <c r="C1580" i="17"/>
  <c r="B1580" i="17"/>
  <c r="I1579" i="17"/>
  <c r="C1579" i="17"/>
  <c r="B1579" i="17"/>
  <c r="I1578" i="17"/>
  <c r="C1578" i="17"/>
  <c r="B1578" i="17"/>
  <c r="I1577" i="17"/>
  <c r="C1577" i="17"/>
  <c r="B1577" i="17"/>
  <c r="I1576" i="17"/>
  <c r="C1576" i="17"/>
  <c r="B1576" i="17"/>
  <c r="I1575" i="17"/>
  <c r="C1575" i="17"/>
  <c r="B1575" i="17"/>
  <c r="I1574" i="17"/>
  <c r="C1574" i="17"/>
  <c r="B1574" i="17"/>
  <c r="I1573" i="17"/>
  <c r="C1573" i="17"/>
  <c r="B1573" i="17"/>
  <c r="I1572" i="17"/>
  <c r="C1572" i="17"/>
  <c r="B1572" i="17"/>
  <c r="I1571" i="17"/>
  <c r="C1571" i="17"/>
  <c r="B1571" i="17"/>
  <c r="I1570" i="17"/>
  <c r="C1570" i="17"/>
  <c r="B1570" i="17"/>
  <c r="I1569" i="17"/>
  <c r="C1569" i="17"/>
  <c r="B1569" i="17"/>
  <c r="I1568" i="17"/>
  <c r="C1568" i="17"/>
  <c r="B1568" i="17"/>
  <c r="I1567" i="17"/>
  <c r="C1567" i="17"/>
  <c r="B1567" i="17"/>
  <c r="I1566" i="17"/>
  <c r="C1566" i="17"/>
  <c r="B1566" i="17"/>
  <c r="I1565" i="17"/>
  <c r="C1565" i="17"/>
  <c r="B1565" i="17"/>
  <c r="I1564" i="17"/>
  <c r="C1564" i="17"/>
  <c r="B1564" i="17"/>
  <c r="I1563" i="17"/>
  <c r="C1563" i="17"/>
  <c r="B1563" i="17"/>
  <c r="I1562" i="17"/>
  <c r="C1562" i="17"/>
  <c r="B1562" i="17"/>
  <c r="I1561" i="17"/>
  <c r="C1561" i="17"/>
  <c r="B1561" i="17"/>
  <c r="I1560" i="17"/>
  <c r="C1560" i="17"/>
  <c r="B1560" i="17"/>
  <c r="I1559" i="17"/>
  <c r="C1559" i="17"/>
  <c r="B1559" i="17"/>
  <c r="I1558" i="17"/>
  <c r="C1558" i="17"/>
  <c r="B1558" i="17"/>
  <c r="I1557" i="17"/>
  <c r="C1557" i="17"/>
  <c r="B1557" i="17"/>
  <c r="I1556" i="17"/>
  <c r="C1556" i="17"/>
  <c r="B1556" i="17"/>
  <c r="I1555" i="17"/>
  <c r="C1555" i="17"/>
  <c r="B1555" i="17"/>
  <c r="I1554" i="17"/>
  <c r="C1554" i="17"/>
  <c r="B1554" i="17"/>
  <c r="I1553" i="17"/>
  <c r="C1553" i="17"/>
  <c r="B1553" i="17"/>
  <c r="I1552" i="17"/>
  <c r="C1552" i="17"/>
  <c r="B1552" i="17"/>
  <c r="I1551" i="17"/>
  <c r="C1551" i="17"/>
  <c r="B1551" i="17"/>
  <c r="I1550" i="17"/>
  <c r="C1550" i="17"/>
  <c r="B1550" i="17"/>
  <c r="I1549" i="17"/>
  <c r="C1549" i="17"/>
  <c r="B1549" i="17"/>
  <c r="I1548" i="17"/>
  <c r="C1548" i="17"/>
  <c r="B1548" i="17"/>
  <c r="I1547" i="17"/>
  <c r="C1547" i="17"/>
  <c r="B1547" i="17"/>
  <c r="I1546" i="17"/>
  <c r="C1546" i="17"/>
  <c r="B1546" i="17"/>
  <c r="I1545" i="17"/>
  <c r="C1545" i="17"/>
  <c r="B1545" i="17"/>
  <c r="I1544" i="17"/>
  <c r="C1544" i="17"/>
  <c r="B1544" i="17"/>
  <c r="I1543" i="17"/>
  <c r="C1543" i="17"/>
  <c r="B1543" i="17"/>
  <c r="I1542" i="17"/>
  <c r="C1542" i="17"/>
  <c r="B1542" i="17"/>
  <c r="I1541" i="17"/>
  <c r="C1541" i="17"/>
  <c r="B1541" i="17"/>
  <c r="I1540" i="17"/>
  <c r="C1540" i="17"/>
  <c r="B1540" i="17"/>
  <c r="I1539" i="17"/>
  <c r="C1539" i="17"/>
  <c r="B1539" i="17"/>
  <c r="I1538" i="17"/>
  <c r="C1538" i="17"/>
  <c r="B1538" i="17"/>
  <c r="I1537" i="17"/>
  <c r="C1537" i="17"/>
  <c r="B1537" i="17"/>
  <c r="I1536" i="17"/>
  <c r="C1536" i="17"/>
  <c r="B1536" i="17"/>
  <c r="I1535" i="17"/>
  <c r="C1535" i="17"/>
  <c r="B1535" i="17"/>
  <c r="I1534" i="17"/>
  <c r="C1534" i="17"/>
  <c r="B1534" i="17"/>
  <c r="I1533" i="17"/>
  <c r="C1533" i="17"/>
  <c r="B1533" i="17"/>
  <c r="I1532" i="17"/>
  <c r="C1532" i="17"/>
  <c r="B1532" i="17"/>
  <c r="I1531" i="17"/>
  <c r="C1531" i="17"/>
  <c r="B1531" i="17"/>
  <c r="I1530" i="17"/>
  <c r="C1530" i="17"/>
  <c r="B1530" i="17"/>
  <c r="I1529" i="17"/>
  <c r="C1529" i="17"/>
  <c r="B1529" i="17"/>
  <c r="I1528" i="17"/>
  <c r="C1528" i="17"/>
  <c r="B1528" i="17"/>
  <c r="I1527" i="17"/>
  <c r="C1527" i="17"/>
  <c r="B1527" i="17"/>
  <c r="I1526" i="17"/>
  <c r="C1526" i="17"/>
  <c r="B1526" i="17"/>
  <c r="I1525" i="17"/>
  <c r="C1525" i="17"/>
  <c r="B1525" i="17"/>
  <c r="I1524" i="17"/>
  <c r="C1524" i="17"/>
  <c r="B1524" i="17"/>
  <c r="I1523" i="17"/>
  <c r="C1523" i="17"/>
  <c r="B1523" i="17"/>
  <c r="I1522" i="17"/>
  <c r="C1522" i="17"/>
  <c r="B1522" i="17"/>
  <c r="I1521" i="17"/>
  <c r="C1521" i="17"/>
  <c r="B1521" i="17"/>
  <c r="I1520" i="17"/>
  <c r="C1520" i="17"/>
  <c r="B1520" i="17"/>
  <c r="I1519" i="17"/>
  <c r="C1519" i="17"/>
  <c r="B1519" i="17"/>
  <c r="I1518" i="17"/>
  <c r="C1518" i="17"/>
  <c r="B1518" i="17"/>
  <c r="I1517" i="17"/>
  <c r="C1517" i="17"/>
  <c r="B1517" i="17"/>
  <c r="I1516" i="17"/>
  <c r="C1516" i="17"/>
  <c r="B1516" i="17"/>
  <c r="I1515" i="17"/>
  <c r="C1515" i="17"/>
  <c r="B1515" i="17"/>
  <c r="I1514" i="17"/>
  <c r="C1514" i="17"/>
  <c r="B1514" i="17"/>
  <c r="I1513" i="17"/>
  <c r="C1513" i="17"/>
  <c r="B1513" i="17"/>
  <c r="I1512" i="17"/>
  <c r="C1512" i="17"/>
  <c r="B1512" i="17"/>
  <c r="I1511" i="17"/>
  <c r="C1511" i="17"/>
  <c r="B1511" i="17"/>
  <c r="I1510" i="17"/>
  <c r="C1510" i="17"/>
  <c r="B1510" i="17"/>
  <c r="I1509" i="17"/>
  <c r="C1509" i="17"/>
  <c r="B1509" i="17"/>
  <c r="I1508" i="17"/>
  <c r="C1508" i="17"/>
  <c r="B1508" i="17"/>
  <c r="I1507" i="17"/>
  <c r="C1507" i="17"/>
  <c r="B1507" i="17"/>
  <c r="I1506" i="17"/>
  <c r="C1506" i="17"/>
  <c r="B1506" i="17"/>
  <c r="I1505" i="17"/>
  <c r="C1505" i="17"/>
  <c r="B1505" i="17"/>
  <c r="I1504" i="17"/>
  <c r="C1504" i="17"/>
  <c r="B1504" i="17"/>
  <c r="I1503" i="17"/>
  <c r="C1503" i="17"/>
  <c r="B1503" i="17"/>
  <c r="I1502" i="17"/>
  <c r="C1502" i="17"/>
  <c r="B1502" i="17"/>
  <c r="I1501" i="17"/>
  <c r="C1501" i="17"/>
  <c r="B1501" i="17"/>
  <c r="I1500" i="17"/>
  <c r="C1500" i="17"/>
  <c r="B1500" i="17"/>
  <c r="I1499" i="17"/>
  <c r="C1499" i="17"/>
  <c r="B1499" i="17"/>
  <c r="I1498" i="17"/>
  <c r="C1498" i="17"/>
  <c r="B1498" i="17"/>
  <c r="I1497" i="17"/>
  <c r="C1497" i="17"/>
  <c r="B1497" i="17"/>
  <c r="I1496" i="17"/>
  <c r="C1496" i="17"/>
  <c r="B1496" i="17"/>
  <c r="I1495" i="17"/>
  <c r="C1495" i="17"/>
  <c r="B1495" i="17"/>
  <c r="I1494" i="17"/>
  <c r="C1494" i="17"/>
  <c r="B1494" i="17"/>
  <c r="I1493" i="17"/>
  <c r="C1493" i="17"/>
  <c r="B1493" i="17"/>
  <c r="I1492" i="17"/>
  <c r="C1492" i="17"/>
  <c r="B1492" i="17"/>
  <c r="I1491" i="17"/>
  <c r="C1491" i="17"/>
  <c r="B1491" i="17"/>
  <c r="I1490" i="17"/>
  <c r="C1490" i="17"/>
  <c r="B1490" i="17"/>
  <c r="I1489" i="17"/>
  <c r="C1489" i="17"/>
  <c r="B1489" i="17"/>
  <c r="I1488" i="17"/>
  <c r="C1488" i="17"/>
  <c r="B1488" i="17"/>
  <c r="I1487" i="17"/>
  <c r="C1487" i="17"/>
  <c r="B1487" i="17"/>
  <c r="I1486" i="17"/>
  <c r="C1486" i="17"/>
  <c r="B1486" i="17"/>
  <c r="I1485" i="17"/>
  <c r="C1485" i="17"/>
  <c r="B1485" i="17"/>
  <c r="I1484" i="17"/>
  <c r="C1484" i="17"/>
  <c r="B1484" i="17"/>
  <c r="I1483" i="17"/>
  <c r="C1483" i="17"/>
  <c r="B1483" i="17"/>
  <c r="I1482" i="17"/>
  <c r="C1482" i="17"/>
  <c r="B1482" i="17"/>
  <c r="I1481" i="17"/>
  <c r="C1481" i="17"/>
  <c r="B1481" i="17"/>
  <c r="I1480" i="17"/>
  <c r="C1480" i="17"/>
  <c r="B1480" i="17"/>
  <c r="I1479" i="17"/>
  <c r="C1479" i="17"/>
  <c r="B1479" i="17"/>
  <c r="I1478" i="17"/>
  <c r="C1478" i="17"/>
  <c r="B1478" i="17"/>
  <c r="I1477" i="17"/>
  <c r="C1477" i="17"/>
  <c r="B1477" i="17"/>
  <c r="I1476" i="17"/>
  <c r="C1476" i="17"/>
  <c r="B1476" i="17"/>
  <c r="I1475" i="17"/>
  <c r="C1475" i="17"/>
  <c r="B1475" i="17"/>
  <c r="I1474" i="17"/>
  <c r="C1474" i="17"/>
  <c r="B1474" i="17"/>
  <c r="I1473" i="17"/>
  <c r="C1473" i="17"/>
  <c r="B1473" i="17"/>
  <c r="I1472" i="17"/>
  <c r="C1472" i="17"/>
  <c r="B1472" i="17"/>
  <c r="I1471" i="17"/>
  <c r="C1471" i="17"/>
  <c r="B1471" i="17"/>
  <c r="I1470" i="17"/>
  <c r="C1470" i="17"/>
  <c r="B1470" i="17"/>
  <c r="I1469" i="17"/>
  <c r="C1469" i="17"/>
  <c r="B1469" i="17"/>
  <c r="I1468" i="17"/>
  <c r="C1468" i="17"/>
  <c r="B1468" i="17"/>
  <c r="I1467" i="17"/>
  <c r="C1467" i="17"/>
  <c r="B1467" i="17"/>
  <c r="I1466" i="17"/>
  <c r="C1466" i="17"/>
  <c r="B1466" i="17"/>
  <c r="I1465" i="17"/>
  <c r="C1465" i="17"/>
  <c r="B1465" i="17"/>
  <c r="I1464" i="17"/>
  <c r="C1464" i="17"/>
  <c r="B1464" i="17"/>
  <c r="I1463" i="17"/>
  <c r="C1463" i="17"/>
  <c r="B1463" i="17"/>
  <c r="I1462" i="17"/>
  <c r="C1462" i="17"/>
  <c r="B1462" i="17"/>
  <c r="I1461" i="17"/>
  <c r="C1461" i="17"/>
  <c r="B1461" i="17"/>
  <c r="I1460" i="17"/>
  <c r="C1460" i="17"/>
  <c r="B1460" i="17"/>
  <c r="I1459" i="17"/>
  <c r="C1459" i="17"/>
  <c r="B1459" i="17"/>
  <c r="I1458" i="17"/>
  <c r="C1458" i="17"/>
  <c r="B1458" i="17"/>
  <c r="I1457" i="17"/>
  <c r="C1457" i="17"/>
  <c r="B1457" i="17"/>
  <c r="I1456" i="17"/>
  <c r="C1456" i="17"/>
  <c r="B1456" i="17"/>
  <c r="I1455" i="17"/>
  <c r="C1455" i="17"/>
  <c r="B1455" i="17"/>
  <c r="I1454" i="17"/>
  <c r="C1454" i="17"/>
  <c r="B1454" i="17"/>
  <c r="I1453" i="17"/>
  <c r="C1453" i="17"/>
  <c r="B1453" i="17"/>
  <c r="I1452" i="17"/>
  <c r="C1452" i="17"/>
  <c r="B1452" i="17"/>
  <c r="I1451" i="17"/>
  <c r="C1451" i="17"/>
  <c r="B1451" i="17"/>
  <c r="I1450" i="17"/>
  <c r="C1450" i="17"/>
  <c r="B1450" i="17"/>
  <c r="I1449" i="17"/>
  <c r="C1449" i="17"/>
  <c r="B1449" i="17"/>
  <c r="I1448" i="17"/>
  <c r="C1448" i="17"/>
  <c r="B1448" i="17"/>
  <c r="I1447" i="17"/>
  <c r="C1447" i="17"/>
  <c r="B1447" i="17"/>
  <c r="I1446" i="17"/>
  <c r="C1446" i="17"/>
  <c r="B1446" i="17"/>
  <c r="I1445" i="17"/>
  <c r="C1445" i="17"/>
  <c r="B1445" i="17"/>
  <c r="I1444" i="17"/>
  <c r="C1444" i="17"/>
  <c r="B1444" i="17"/>
  <c r="I1443" i="17"/>
  <c r="C1443" i="17"/>
  <c r="B1443" i="17"/>
  <c r="I1442" i="17"/>
  <c r="C1442" i="17"/>
  <c r="B1442" i="17"/>
  <c r="I1441" i="17"/>
  <c r="C1441" i="17"/>
  <c r="B1441" i="17"/>
  <c r="I1440" i="17"/>
  <c r="C1440" i="17"/>
  <c r="B1440" i="17"/>
  <c r="I1439" i="17"/>
  <c r="C1439" i="17"/>
  <c r="B1439" i="17"/>
  <c r="I1438" i="17"/>
  <c r="C1438" i="17"/>
  <c r="B1438" i="17"/>
  <c r="I1437" i="17"/>
  <c r="C1437" i="17"/>
  <c r="B1437" i="17"/>
  <c r="I1436" i="17"/>
  <c r="C1436" i="17"/>
  <c r="B1436" i="17"/>
  <c r="I1435" i="17"/>
  <c r="C1435" i="17"/>
  <c r="B1435" i="17"/>
  <c r="I1434" i="17"/>
  <c r="C1434" i="17"/>
  <c r="B1434" i="17"/>
  <c r="I1433" i="17"/>
  <c r="C1433" i="17"/>
  <c r="B1433" i="17"/>
  <c r="I1432" i="17"/>
  <c r="C1432" i="17"/>
  <c r="B1432" i="17"/>
  <c r="I1431" i="17"/>
  <c r="C1431" i="17"/>
  <c r="B1431" i="17"/>
  <c r="I1430" i="17"/>
  <c r="C1430" i="17"/>
  <c r="B1430" i="17"/>
  <c r="I1429" i="17"/>
  <c r="C1429" i="17"/>
  <c r="B1429" i="17"/>
  <c r="I1428" i="17"/>
  <c r="C1428" i="17"/>
  <c r="B1428" i="17"/>
  <c r="I1427" i="17"/>
  <c r="C1427" i="17"/>
  <c r="B1427" i="17"/>
  <c r="I1426" i="17"/>
  <c r="C1426" i="17"/>
  <c r="B1426" i="17"/>
  <c r="I1425" i="17"/>
  <c r="C1425" i="17"/>
  <c r="B1425" i="17"/>
  <c r="I1424" i="17"/>
  <c r="C1424" i="17"/>
  <c r="B1424" i="17"/>
  <c r="I1423" i="17"/>
  <c r="C1423" i="17"/>
  <c r="B1423" i="17"/>
  <c r="I1422" i="17"/>
  <c r="C1422" i="17"/>
  <c r="B1422" i="17"/>
  <c r="I1421" i="17"/>
  <c r="C1421" i="17"/>
  <c r="B1421" i="17"/>
  <c r="I1420" i="17"/>
  <c r="C1420" i="17"/>
  <c r="B1420" i="17"/>
  <c r="I1419" i="17"/>
  <c r="C1419" i="17"/>
  <c r="B1419" i="17"/>
  <c r="I1418" i="17"/>
  <c r="C1418" i="17"/>
  <c r="B1418" i="17"/>
  <c r="I1417" i="17"/>
  <c r="C1417" i="17"/>
  <c r="B1417" i="17"/>
  <c r="I1416" i="17"/>
  <c r="C1416" i="17"/>
  <c r="B1416" i="17"/>
  <c r="I1415" i="17"/>
  <c r="C1415" i="17"/>
  <c r="B1415" i="17"/>
  <c r="I1414" i="17"/>
  <c r="C1414" i="17"/>
  <c r="B1414" i="17"/>
  <c r="I1413" i="17"/>
  <c r="C1413" i="17"/>
  <c r="B1413" i="17"/>
  <c r="I1412" i="17"/>
  <c r="C1412" i="17"/>
  <c r="B1412" i="17"/>
  <c r="I1411" i="17"/>
  <c r="C1411" i="17"/>
  <c r="B1411" i="17"/>
  <c r="I1410" i="17"/>
  <c r="C1410" i="17"/>
  <c r="B1410" i="17"/>
  <c r="I1409" i="17"/>
  <c r="C1409" i="17"/>
  <c r="B1409" i="17"/>
  <c r="I1408" i="17"/>
  <c r="C1408" i="17"/>
  <c r="B1408" i="17"/>
  <c r="I1407" i="17"/>
  <c r="C1407" i="17"/>
  <c r="B1407" i="17"/>
  <c r="I1406" i="17"/>
  <c r="C1406" i="17"/>
  <c r="B1406" i="17"/>
  <c r="I1405" i="17"/>
  <c r="C1405" i="17"/>
  <c r="B1405" i="17"/>
  <c r="I1404" i="17"/>
  <c r="C1404" i="17"/>
  <c r="B1404" i="17"/>
  <c r="I1403" i="17"/>
  <c r="C1403" i="17"/>
  <c r="B1403" i="17"/>
  <c r="I1402" i="17"/>
  <c r="C1402" i="17"/>
  <c r="B1402" i="17"/>
  <c r="I1401" i="17"/>
  <c r="C1401" i="17"/>
  <c r="B1401" i="17"/>
  <c r="I1400" i="17"/>
  <c r="C1400" i="17"/>
  <c r="B1400" i="17"/>
  <c r="I1399" i="17"/>
  <c r="C1399" i="17"/>
  <c r="B1399" i="17"/>
  <c r="I1398" i="17"/>
  <c r="C1398" i="17"/>
  <c r="B1398" i="17"/>
  <c r="I1397" i="17"/>
  <c r="C1397" i="17"/>
  <c r="B1397" i="17"/>
  <c r="I1396" i="17"/>
  <c r="C1396" i="17"/>
  <c r="B1396" i="17"/>
  <c r="I1395" i="17"/>
  <c r="C1395" i="17"/>
  <c r="B1395" i="17"/>
  <c r="I1394" i="17"/>
  <c r="C1394" i="17"/>
  <c r="B1394" i="17"/>
  <c r="I1393" i="17"/>
  <c r="C1393" i="17"/>
  <c r="B1393" i="17"/>
  <c r="I1392" i="17"/>
  <c r="C1392" i="17"/>
  <c r="B1392" i="17"/>
  <c r="I1391" i="17"/>
  <c r="C1391" i="17"/>
  <c r="B1391" i="17"/>
  <c r="I1390" i="17"/>
  <c r="C1390" i="17"/>
  <c r="B1390" i="17"/>
  <c r="I1389" i="17"/>
  <c r="C1389" i="17"/>
  <c r="B1389" i="17"/>
  <c r="I1388" i="17"/>
  <c r="C1388" i="17"/>
  <c r="B1388" i="17"/>
  <c r="I1387" i="17"/>
  <c r="C1387" i="17"/>
  <c r="B1387" i="17"/>
  <c r="I1386" i="17"/>
  <c r="C1386" i="17"/>
  <c r="B1386" i="17"/>
  <c r="I1385" i="17"/>
  <c r="C1385" i="17"/>
  <c r="B1385" i="17"/>
  <c r="I1384" i="17"/>
  <c r="C1384" i="17"/>
  <c r="B1384" i="17"/>
  <c r="I1383" i="17"/>
  <c r="C1383" i="17"/>
  <c r="B1383" i="17"/>
  <c r="I1382" i="17"/>
  <c r="C1382" i="17"/>
  <c r="B1382" i="17"/>
  <c r="I1381" i="17"/>
  <c r="C1381" i="17"/>
  <c r="B1381" i="17"/>
  <c r="I1380" i="17"/>
  <c r="C1380" i="17"/>
  <c r="B1380" i="17"/>
  <c r="I1379" i="17"/>
  <c r="C1379" i="17"/>
  <c r="B1379" i="17"/>
  <c r="I1378" i="17"/>
  <c r="C1378" i="17"/>
  <c r="B1378" i="17"/>
  <c r="I1377" i="17"/>
  <c r="C1377" i="17"/>
  <c r="B1377" i="17"/>
  <c r="I1376" i="17"/>
  <c r="C1376" i="17"/>
  <c r="B1376" i="17"/>
  <c r="I1375" i="17"/>
  <c r="C1375" i="17"/>
  <c r="B1375" i="17"/>
  <c r="I1374" i="17"/>
  <c r="C1374" i="17"/>
  <c r="B1374" i="17"/>
  <c r="I1373" i="17"/>
  <c r="C1373" i="17"/>
  <c r="B1373" i="17"/>
  <c r="I1372" i="17"/>
  <c r="C1372" i="17"/>
  <c r="B1372" i="17"/>
  <c r="I1371" i="17"/>
  <c r="C1371" i="17"/>
  <c r="B1371" i="17"/>
  <c r="I1370" i="17"/>
  <c r="C1370" i="17"/>
  <c r="B1370" i="17"/>
  <c r="I1369" i="17"/>
  <c r="C1369" i="17"/>
  <c r="B1369" i="17"/>
  <c r="I1368" i="17"/>
  <c r="C1368" i="17"/>
  <c r="B1368" i="17"/>
  <c r="I1367" i="17"/>
  <c r="C1367" i="17"/>
  <c r="B1367" i="17"/>
  <c r="I1366" i="17"/>
  <c r="C1366" i="17"/>
  <c r="B1366" i="17"/>
  <c r="I1365" i="17"/>
  <c r="C1365" i="17"/>
  <c r="B1365" i="17"/>
  <c r="I1364" i="17"/>
  <c r="C1364" i="17"/>
  <c r="B1364" i="17"/>
  <c r="I1363" i="17"/>
  <c r="C1363" i="17"/>
  <c r="B1363" i="17"/>
  <c r="I1362" i="17"/>
  <c r="C1362" i="17"/>
  <c r="B1362" i="17"/>
  <c r="I1361" i="17"/>
  <c r="C1361" i="17"/>
  <c r="B1361" i="17"/>
  <c r="I1360" i="17"/>
  <c r="C1360" i="17"/>
  <c r="B1360" i="17"/>
  <c r="I1359" i="17"/>
  <c r="C1359" i="17"/>
  <c r="B1359" i="17"/>
  <c r="I1358" i="17"/>
  <c r="C1358" i="17"/>
  <c r="B1358" i="17"/>
  <c r="I1357" i="17"/>
  <c r="C1357" i="17"/>
  <c r="B1357" i="17"/>
  <c r="I1356" i="17"/>
  <c r="C1356" i="17"/>
  <c r="B1356" i="17"/>
  <c r="I1355" i="17"/>
  <c r="C1355" i="17"/>
  <c r="B1355" i="17"/>
  <c r="I1354" i="17"/>
  <c r="C1354" i="17"/>
  <c r="B1354" i="17"/>
  <c r="I1353" i="17"/>
  <c r="C1353" i="17"/>
  <c r="B1353" i="17"/>
  <c r="I1352" i="17"/>
  <c r="C1352" i="17"/>
  <c r="B1352" i="17"/>
  <c r="I1351" i="17"/>
  <c r="C1351" i="17"/>
  <c r="B1351" i="17"/>
  <c r="I1350" i="17"/>
  <c r="C1350" i="17"/>
  <c r="B1350" i="17"/>
  <c r="I1349" i="17"/>
  <c r="C1349" i="17"/>
  <c r="B1349" i="17"/>
  <c r="I1348" i="17"/>
  <c r="C1348" i="17"/>
  <c r="B1348" i="17"/>
  <c r="I1347" i="17"/>
  <c r="C1347" i="17"/>
  <c r="B1347" i="17"/>
  <c r="I1346" i="17"/>
  <c r="C1346" i="17"/>
  <c r="B1346" i="17"/>
  <c r="I1345" i="17"/>
  <c r="C1345" i="17"/>
  <c r="B1345" i="17"/>
  <c r="I1344" i="17"/>
  <c r="C1344" i="17"/>
  <c r="B1344" i="17"/>
  <c r="I1343" i="17"/>
  <c r="C1343" i="17"/>
  <c r="B1343" i="17"/>
  <c r="I1342" i="17"/>
  <c r="C1342" i="17"/>
  <c r="B1342" i="17"/>
  <c r="I1341" i="17"/>
  <c r="C1341" i="17"/>
  <c r="B1341" i="17"/>
  <c r="I1340" i="17"/>
  <c r="C1340" i="17"/>
  <c r="B1340" i="17"/>
  <c r="I1339" i="17"/>
  <c r="C1339" i="17"/>
  <c r="B1339" i="17"/>
  <c r="I1338" i="17"/>
  <c r="C1338" i="17"/>
  <c r="B1338" i="17"/>
  <c r="I1337" i="17"/>
  <c r="C1337" i="17"/>
  <c r="B1337" i="17"/>
  <c r="I1336" i="17"/>
  <c r="C1336" i="17"/>
  <c r="B1336" i="17"/>
  <c r="I1335" i="17"/>
  <c r="C1335" i="17"/>
  <c r="B1335" i="17"/>
  <c r="I1334" i="17"/>
  <c r="C1334" i="17"/>
  <c r="B1334" i="17"/>
  <c r="I1333" i="17"/>
  <c r="C1333" i="17"/>
  <c r="B1333" i="17"/>
  <c r="I1332" i="17"/>
  <c r="C1332" i="17"/>
  <c r="B1332" i="17"/>
  <c r="I1331" i="17"/>
  <c r="C1331" i="17"/>
  <c r="B1331" i="17"/>
  <c r="I1330" i="17"/>
  <c r="C1330" i="17"/>
  <c r="B1330" i="17"/>
  <c r="I1329" i="17"/>
  <c r="C1329" i="17"/>
  <c r="B1329" i="17"/>
  <c r="I1328" i="17"/>
  <c r="C1328" i="17"/>
  <c r="B1328" i="17"/>
  <c r="I1327" i="17"/>
  <c r="C1327" i="17"/>
  <c r="B1327" i="17"/>
  <c r="I1326" i="17"/>
  <c r="C1326" i="17"/>
  <c r="B1326" i="17"/>
  <c r="I1325" i="17"/>
  <c r="C1325" i="17"/>
  <c r="B1325" i="17"/>
  <c r="I1324" i="17"/>
  <c r="C1324" i="17"/>
  <c r="B1324" i="17"/>
  <c r="I1323" i="17"/>
  <c r="C1323" i="17"/>
  <c r="B1323" i="17"/>
  <c r="I1322" i="17"/>
  <c r="C1322" i="17"/>
  <c r="B1322" i="17"/>
  <c r="I1321" i="17"/>
  <c r="C1321" i="17"/>
  <c r="B1321" i="17"/>
  <c r="I1320" i="17"/>
  <c r="C1320" i="17"/>
  <c r="B1320" i="17"/>
  <c r="I1319" i="17"/>
  <c r="C1319" i="17"/>
  <c r="B1319" i="17"/>
  <c r="I1318" i="17"/>
  <c r="C1318" i="17"/>
  <c r="B1318" i="17"/>
  <c r="I1317" i="17"/>
  <c r="C1317" i="17"/>
  <c r="B1317" i="17"/>
  <c r="I1316" i="17"/>
  <c r="C1316" i="17"/>
  <c r="B1316" i="17"/>
  <c r="I1315" i="17"/>
  <c r="C1315" i="17"/>
  <c r="B1315" i="17"/>
  <c r="I1314" i="17"/>
  <c r="C1314" i="17"/>
  <c r="B1314" i="17"/>
  <c r="I1313" i="17"/>
  <c r="C1313" i="17"/>
  <c r="B1313" i="17"/>
  <c r="I1312" i="17"/>
  <c r="C1312" i="17"/>
  <c r="B1312" i="17"/>
  <c r="I1311" i="17"/>
  <c r="C1311" i="17"/>
  <c r="B1311" i="17"/>
  <c r="I1310" i="17"/>
  <c r="C1310" i="17"/>
  <c r="B1310" i="17"/>
  <c r="I1309" i="17"/>
  <c r="C1309" i="17"/>
  <c r="B1309" i="17"/>
  <c r="I1308" i="17"/>
  <c r="C1308" i="17"/>
  <c r="B1308" i="17"/>
  <c r="I1307" i="17"/>
  <c r="C1307" i="17"/>
  <c r="B1307" i="17"/>
  <c r="I1306" i="17"/>
  <c r="C1306" i="17"/>
  <c r="B1306" i="17"/>
  <c r="I1305" i="17"/>
  <c r="C1305" i="17"/>
  <c r="B1305" i="17"/>
  <c r="I1304" i="17"/>
  <c r="C1304" i="17"/>
  <c r="B1304" i="17"/>
  <c r="I1303" i="17"/>
  <c r="C1303" i="17"/>
  <c r="B1303" i="17"/>
  <c r="I1302" i="17"/>
  <c r="C1302" i="17"/>
  <c r="B1302" i="17"/>
  <c r="I1301" i="17"/>
  <c r="C1301" i="17"/>
  <c r="B1301" i="17"/>
  <c r="I1300" i="17"/>
  <c r="C1300" i="17"/>
  <c r="B1300" i="17"/>
  <c r="I1299" i="17"/>
  <c r="C1299" i="17"/>
  <c r="B1299" i="17"/>
  <c r="I1298" i="17"/>
  <c r="C1298" i="17"/>
  <c r="B1298" i="17"/>
  <c r="I1297" i="17"/>
  <c r="C1297" i="17"/>
  <c r="B1297" i="17"/>
  <c r="I1296" i="17"/>
  <c r="C1296" i="17"/>
  <c r="B1296" i="17"/>
  <c r="I1295" i="17"/>
  <c r="C1295" i="17"/>
  <c r="B1295" i="17"/>
  <c r="I1294" i="17"/>
  <c r="C1294" i="17"/>
  <c r="B1294" i="17"/>
  <c r="I1293" i="17"/>
  <c r="C1293" i="17"/>
  <c r="B1293" i="17"/>
  <c r="I1292" i="17"/>
  <c r="C1292" i="17"/>
  <c r="B1292" i="17"/>
  <c r="I1291" i="17"/>
  <c r="C1291" i="17"/>
  <c r="B1291" i="17"/>
  <c r="I1290" i="17"/>
  <c r="C1290" i="17"/>
  <c r="B1290" i="17"/>
  <c r="I1289" i="17"/>
  <c r="C1289" i="17"/>
  <c r="B1289" i="17"/>
  <c r="I1288" i="17"/>
  <c r="C1288" i="17"/>
  <c r="B1288" i="17"/>
  <c r="I1287" i="17"/>
  <c r="C1287" i="17"/>
  <c r="B1287" i="17"/>
  <c r="I1286" i="17"/>
  <c r="C1286" i="17"/>
  <c r="B1286" i="17"/>
  <c r="I1285" i="17"/>
  <c r="C1285" i="17"/>
  <c r="B1285" i="17"/>
  <c r="I1284" i="17"/>
  <c r="C1284" i="17"/>
  <c r="B1284" i="17"/>
  <c r="I1283" i="17"/>
  <c r="C1283" i="17"/>
  <c r="B1283" i="17"/>
  <c r="I1282" i="17"/>
  <c r="C1282" i="17"/>
  <c r="B1282" i="17"/>
  <c r="I1281" i="17"/>
  <c r="C1281" i="17"/>
  <c r="B1281" i="17"/>
  <c r="I1280" i="17"/>
  <c r="C1280" i="17"/>
  <c r="B1280" i="17"/>
  <c r="I1279" i="17"/>
  <c r="C1279" i="17"/>
  <c r="B1279" i="17"/>
  <c r="I1278" i="17"/>
  <c r="C1278" i="17"/>
  <c r="B1278" i="17"/>
  <c r="I1277" i="17"/>
  <c r="C1277" i="17"/>
  <c r="B1277" i="17"/>
  <c r="I1276" i="17"/>
  <c r="C1276" i="17"/>
  <c r="B1276" i="17"/>
  <c r="I1275" i="17"/>
  <c r="C1275" i="17"/>
  <c r="B1275" i="17"/>
  <c r="I1274" i="17"/>
  <c r="C1274" i="17"/>
  <c r="B1274" i="17"/>
  <c r="I1273" i="17"/>
  <c r="C1273" i="17"/>
  <c r="B1273" i="17"/>
  <c r="I1272" i="17"/>
  <c r="C1272" i="17"/>
  <c r="B1272" i="17"/>
  <c r="I1271" i="17"/>
  <c r="C1271" i="17"/>
  <c r="B1271" i="17"/>
  <c r="I1270" i="17"/>
  <c r="C1270" i="17"/>
  <c r="B1270" i="17"/>
  <c r="I1269" i="17"/>
  <c r="C1269" i="17"/>
  <c r="B1269" i="17"/>
  <c r="I1268" i="17"/>
  <c r="C1268" i="17"/>
  <c r="B1268" i="17"/>
  <c r="I1267" i="17"/>
  <c r="C1267" i="17"/>
  <c r="B1267" i="17"/>
  <c r="I1266" i="17"/>
  <c r="C1266" i="17"/>
  <c r="B1266" i="17"/>
  <c r="I1265" i="17"/>
  <c r="C1265" i="17"/>
  <c r="B1265" i="17"/>
  <c r="I1264" i="17"/>
  <c r="C1264" i="17"/>
  <c r="B1264" i="17"/>
  <c r="I1263" i="17"/>
  <c r="C1263" i="17"/>
  <c r="B1263" i="17"/>
  <c r="I1262" i="17"/>
  <c r="C1262" i="17"/>
  <c r="B1262" i="17"/>
  <c r="I1261" i="17"/>
  <c r="C1261" i="17"/>
  <c r="B1261" i="17"/>
  <c r="I1260" i="17"/>
  <c r="C1260" i="17"/>
  <c r="B1260" i="17"/>
  <c r="I1259" i="17"/>
  <c r="C1259" i="17"/>
  <c r="B1259" i="17"/>
  <c r="I1258" i="17"/>
  <c r="C1258" i="17"/>
  <c r="B1258" i="17"/>
  <c r="I1257" i="17"/>
  <c r="C1257" i="17"/>
  <c r="B1257" i="17"/>
  <c r="I1256" i="17"/>
  <c r="C1256" i="17"/>
  <c r="B1256" i="17"/>
  <c r="I1255" i="17"/>
  <c r="C1255" i="17"/>
  <c r="B1255" i="17"/>
  <c r="I1254" i="17"/>
  <c r="C1254" i="17"/>
  <c r="B1254" i="17"/>
  <c r="I1253" i="17"/>
  <c r="C1253" i="17"/>
  <c r="B1253" i="17"/>
  <c r="I1252" i="17"/>
  <c r="C1252" i="17"/>
  <c r="B1252" i="17"/>
  <c r="I1251" i="17"/>
  <c r="C1251" i="17"/>
  <c r="B1251" i="17"/>
  <c r="I1250" i="17"/>
  <c r="C1250" i="17"/>
  <c r="B1250" i="17"/>
  <c r="I1249" i="17"/>
  <c r="C1249" i="17"/>
  <c r="B1249" i="17"/>
  <c r="I1248" i="17"/>
  <c r="C1248" i="17"/>
  <c r="B1248" i="17"/>
  <c r="I1247" i="17"/>
  <c r="C1247" i="17"/>
  <c r="B1247" i="17"/>
  <c r="I1246" i="17"/>
  <c r="C1246" i="17"/>
  <c r="B1246" i="17"/>
  <c r="I1245" i="17"/>
  <c r="C1245" i="17"/>
  <c r="B1245" i="17"/>
  <c r="I1244" i="17"/>
  <c r="C1244" i="17"/>
  <c r="B1244" i="17"/>
  <c r="I1243" i="17"/>
  <c r="C1243" i="17"/>
  <c r="B1243" i="17"/>
  <c r="I1242" i="17"/>
  <c r="C1242" i="17"/>
  <c r="B1242" i="17"/>
  <c r="I1241" i="17"/>
  <c r="C1241" i="17"/>
  <c r="B1241" i="17"/>
  <c r="I1240" i="17"/>
  <c r="C1240" i="17"/>
  <c r="B1240" i="17"/>
  <c r="I1239" i="17"/>
  <c r="C1239" i="17"/>
  <c r="B1239" i="17"/>
  <c r="I1238" i="17"/>
  <c r="C1238" i="17"/>
  <c r="B1238" i="17"/>
  <c r="I1237" i="17"/>
  <c r="C1237" i="17"/>
  <c r="B1237" i="17"/>
  <c r="I1236" i="17"/>
  <c r="C1236" i="17"/>
  <c r="B1236" i="17"/>
  <c r="I1235" i="17"/>
  <c r="C1235" i="17"/>
  <c r="B1235" i="17"/>
  <c r="I1234" i="17"/>
  <c r="C1234" i="17"/>
  <c r="B1234" i="17"/>
  <c r="I1233" i="17"/>
  <c r="C1233" i="17"/>
  <c r="B1233" i="17"/>
  <c r="I1232" i="17"/>
  <c r="C1232" i="17"/>
  <c r="B1232" i="17"/>
  <c r="I1231" i="17"/>
  <c r="C1231" i="17"/>
  <c r="B1231" i="17"/>
  <c r="I1230" i="17"/>
  <c r="C1230" i="17"/>
  <c r="B1230" i="17"/>
  <c r="I1229" i="17"/>
  <c r="C1229" i="17"/>
  <c r="B1229" i="17"/>
  <c r="I1228" i="17"/>
  <c r="C1228" i="17"/>
  <c r="B1228" i="17"/>
  <c r="I1227" i="17"/>
  <c r="C1227" i="17"/>
  <c r="B1227" i="17"/>
  <c r="I1226" i="17"/>
  <c r="C1226" i="17"/>
  <c r="B1226" i="17"/>
  <c r="I1225" i="17"/>
  <c r="C1225" i="17"/>
  <c r="B1225" i="17"/>
  <c r="I1224" i="17"/>
  <c r="C1224" i="17"/>
  <c r="B1224" i="17"/>
  <c r="I1223" i="17"/>
  <c r="C1223" i="17"/>
  <c r="B1223" i="17"/>
  <c r="I1222" i="17"/>
  <c r="C1222" i="17"/>
  <c r="B1222" i="17"/>
  <c r="I1221" i="17"/>
  <c r="C1221" i="17"/>
  <c r="B1221" i="17"/>
  <c r="I1220" i="17"/>
  <c r="C1220" i="17"/>
  <c r="B1220" i="17"/>
  <c r="I1219" i="17"/>
  <c r="C1219" i="17"/>
  <c r="B1219" i="17"/>
  <c r="I1218" i="17"/>
  <c r="C1218" i="17"/>
  <c r="B1218" i="17"/>
  <c r="I1217" i="17"/>
  <c r="C1217" i="17"/>
  <c r="B1217" i="17"/>
  <c r="I1216" i="17"/>
  <c r="C1216" i="17"/>
  <c r="B1216" i="17"/>
  <c r="I1215" i="17"/>
  <c r="C1215" i="17"/>
  <c r="B1215" i="17"/>
  <c r="I1214" i="17"/>
  <c r="C1214" i="17"/>
  <c r="B1214" i="17"/>
  <c r="I1213" i="17"/>
  <c r="C1213" i="17"/>
  <c r="B1213" i="17"/>
  <c r="I1212" i="17"/>
  <c r="C1212" i="17"/>
  <c r="B1212" i="17"/>
  <c r="I1211" i="17"/>
  <c r="C1211" i="17"/>
  <c r="B1211" i="17"/>
  <c r="I1210" i="17"/>
  <c r="C1210" i="17"/>
  <c r="B1210" i="17"/>
  <c r="I1209" i="17"/>
  <c r="C1209" i="17"/>
  <c r="B1209" i="17"/>
  <c r="I1208" i="17"/>
  <c r="C1208" i="17"/>
  <c r="B1208" i="17"/>
  <c r="I1207" i="17"/>
  <c r="C1207" i="17"/>
  <c r="B1207" i="17"/>
  <c r="I1206" i="17"/>
  <c r="C1206" i="17"/>
  <c r="B1206" i="17"/>
  <c r="I1205" i="17"/>
  <c r="C1205" i="17"/>
  <c r="B1205" i="17"/>
  <c r="I1204" i="17"/>
  <c r="C1204" i="17"/>
  <c r="B1204" i="17"/>
  <c r="I1203" i="17"/>
  <c r="C1203" i="17"/>
  <c r="B1203" i="17"/>
  <c r="I1202" i="17"/>
  <c r="C1202" i="17"/>
  <c r="B1202" i="17"/>
  <c r="I1201" i="17"/>
  <c r="C1201" i="17"/>
  <c r="B1201" i="17"/>
  <c r="I1200" i="17"/>
  <c r="C1200" i="17"/>
  <c r="B1200" i="17"/>
  <c r="I1199" i="17"/>
  <c r="C1199" i="17"/>
  <c r="B1199" i="17"/>
  <c r="I1198" i="17"/>
  <c r="C1198" i="17"/>
  <c r="B1198" i="17"/>
  <c r="I1197" i="17"/>
  <c r="C1197" i="17"/>
  <c r="B1197" i="17"/>
  <c r="I1196" i="17"/>
  <c r="C1196" i="17"/>
  <c r="B1196" i="17"/>
  <c r="I1195" i="17"/>
  <c r="C1195" i="17"/>
  <c r="B1195" i="17"/>
  <c r="I1194" i="17"/>
  <c r="C1194" i="17"/>
  <c r="B1194" i="17"/>
  <c r="I1193" i="17"/>
  <c r="C1193" i="17"/>
  <c r="B1193" i="17"/>
  <c r="I1192" i="17"/>
  <c r="C1192" i="17"/>
  <c r="B1192" i="17"/>
  <c r="I1191" i="17"/>
  <c r="C1191" i="17"/>
  <c r="B1191" i="17"/>
  <c r="I1190" i="17"/>
  <c r="C1190" i="17"/>
  <c r="B1190" i="17"/>
  <c r="I1189" i="17"/>
  <c r="C1189" i="17"/>
  <c r="B1189" i="17"/>
  <c r="I1188" i="17"/>
  <c r="C1188" i="17"/>
  <c r="B1188" i="17"/>
  <c r="I1187" i="17"/>
  <c r="C1187" i="17"/>
  <c r="B1187" i="17"/>
  <c r="I1186" i="17"/>
  <c r="C1186" i="17"/>
  <c r="B1186" i="17"/>
  <c r="I1185" i="17"/>
  <c r="C1185" i="17"/>
  <c r="B1185" i="17"/>
  <c r="I1184" i="17"/>
  <c r="C1184" i="17"/>
  <c r="B1184" i="17"/>
  <c r="I1183" i="17"/>
  <c r="C1183" i="17"/>
  <c r="B1183" i="17"/>
  <c r="I1182" i="17"/>
  <c r="C1182" i="17"/>
  <c r="B1182" i="17"/>
  <c r="I1181" i="17"/>
  <c r="C1181" i="17"/>
  <c r="B1181" i="17"/>
  <c r="I1180" i="17"/>
  <c r="C1180" i="17"/>
  <c r="B1180" i="17"/>
  <c r="I1179" i="17"/>
  <c r="C1179" i="17"/>
  <c r="B1179" i="17"/>
  <c r="I1178" i="17"/>
  <c r="C1178" i="17"/>
  <c r="B1178" i="17"/>
  <c r="I1177" i="17"/>
  <c r="C1177" i="17"/>
  <c r="B1177" i="17"/>
  <c r="I1176" i="17"/>
  <c r="C1176" i="17"/>
  <c r="B1176" i="17"/>
  <c r="I1175" i="17"/>
  <c r="C1175" i="17"/>
  <c r="B1175" i="17"/>
  <c r="I1174" i="17"/>
  <c r="C1174" i="17"/>
  <c r="B1174" i="17"/>
  <c r="I1173" i="17"/>
  <c r="C1173" i="17"/>
  <c r="B1173" i="17"/>
  <c r="I1172" i="17"/>
  <c r="C1172" i="17"/>
  <c r="B1172" i="17"/>
  <c r="I1171" i="17"/>
  <c r="C1171" i="17"/>
  <c r="B1171" i="17"/>
  <c r="I1170" i="17"/>
  <c r="C1170" i="17"/>
  <c r="B1170" i="17"/>
  <c r="I1169" i="17"/>
  <c r="C1169" i="17"/>
  <c r="B1169" i="17"/>
  <c r="I1168" i="17"/>
  <c r="C1168" i="17"/>
  <c r="B1168" i="17"/>
  <c r="I1167" i="17"/>
  <c r="C1167" i="17"/>
  <c r="B1167" i="17"/>
  <c r="I1166" i="17"/>
  <c r="C1166" i="17"/>
  <c r="B1166" i="17"/>
  <c r="I1165" i="17"/>
  <c r="C1165" i="17"/>
  <c r="B1165" i="17"/>
  <c r="I1164" i="17"/>
  <c r="C1164" i="17"/>
  <c r="B1164" i="17"/>
  <c r="I1163" i="17"/>
  <c r="C1163" i="17"/>
  <c r="B1163" i="17"/>
  <c r="I1162" i="17"/>
  <c r="C1162" i="17"/>
  <c r="B1162" i="17"/>
  <c r="I1161" i="17"/>
  <c r="C1161" i="17"/>
  <c r="B1161" i="17"/>
  <c r="I1160" i="17"/>
  <c r="C1160" i="17"/>
  <c r="B1160" i="17"/>
  <c r="I1159" i="17"/>
  <c r="C1159" i="17"/>
  <c r="B1159" i="17"/>
  <c r="I1158" i="17"/>
  <c r="C1158" i="17"/>
  <c r="B1158" i="17"/>
  <c r="I1157" i="17"/>
  <c r="C1157" i="17"/>
  <c r="B1157" i="17"/>
  <c r="I1156" i="17"/>
  <c r="C1156" i="17"/>
  <c r="B1156" i="17"/>
  <c r="I1155" i="17"/>
  <c r="C1155" i="17"/>
  <c r="B1155" i="17"/>
  <c r="I1154" i="17"/>
  <c r="C1154" i="17"/>
  <c r="B1154" i="17"/>
  <c r="I1153" i="17"/>
  <c r="C1153" i="17"/>
  <c r="B1153" i="17"/>
  <c r="I1152" i="17"/>
  <c r="C1152" i="17"/>
  <c r="B1152" i="17"/>
  <c r="I1151" i="17"/>
  <c r="C1151" i="17"/>
  <c r="B1151" i="17"/>
  <c r="I1150" i="17"/>
  <c r="C1150" i="17"/>
  <c r="B1150" i="17"/>
  <c r="I1149" i="17"/>
  <c r="C1149" i="17"/>
  <c r="B1149" i="17"/>
  <c r="I1148" i="17"/>
  <c r="C1148" i="17"/>
  <c r="B1148" i="17"/>
  <c r="I1147" i="17"/>
  <c r="C1147" i="17"/>
  <c r="B1147" i="17"/>
  <c r="I1146" i="17"/>
  <c r="C1146" i="17"/>
  <c r="B1146" i="17"/>
  <c r="I1145" i="17"/>
  <c r="C1145" i="17"/>
  <c r="B1145" i="17"/>
  <c r="I1144" i="17"/>
  <c r="C1144" i="17"/>
  <c r="B1144" i="17"/>
  <c r="I1143" i="17"/>
  <c r="C1143" i="17"/>
  <c r="B1143" i="17"/>
  <c r="I1142" i="17"/>
  <c r="C1142" i="17"/>
  <c r="B1142" i="17"/>
  <c r="I1141" i="17"/>
  <c r="C1141" i="17"/>
  <c r="B1141" i="17"/>
  <c r="I1140" i="17"/>
  <c r="C1140" i="17"/>
  <c r="B1140" i="17"/>
  <c r="I1139" i="17"/>
  <c r="C1139" i="17"/>
  <c r="B1139" i="17"/>
  <c r="I1138" i="17"/>
  <c r="C1138" i="17"/>
  <c r="B1138" i="17"/>
  <c r="I1137" i="17"/>
  <c r="C1137" i="17"/>
  <c r="B1137" i="17"/>
  <c r="I1136" i="17"/>
  <c r="C1136" i="17"/>
  <c r="B1136" i="17"/>
  <c r="I1135" i="17"/>
  <c r="C1135" i="17"/>
  <c r="B1135" i="17"/>
  <c r="I1134" i="17"/>
  <c r="C1134" i="17"/>
  <c r="B1134" i="17"/>
  <c r="I1133" i="17"/>
  <c r="C1133" i="17"/>
  <c r="B1133" i="17"/>
  <c r="I1132" i="17"/>
  <c r="C1132" i="17"/>
  <c r="B1132" i="17"/>
  <c r="I1131" i="17"/>
  <c r="C1131" i="17"/>
  <c r="B1131" i="17"/>
  <c r="I1130" i="17"/>
  <c r="C1130" i="17"/>
  <c r="B1130" i="17"/>
  <c r="I1129" i="17"/>
  <c r="C1129" i="17"/>
  <c r="B1129" i="17"/>
  <c r="I1128" i="17"/>
  <c r="C1128" i="17"/>
  <c r="B1128" i="17"/>
  <c r="I1127" i="17"/>
  <c r="C1127" i="17"/>
  <c r="B1127" i="17"/>
  <c r="I1126" i="17"/>
  <c r="C1126" i="17"/>
  <c r="B1126" i="17"/>
  <c r="I1125" i="17"/>
  <c r="C1125" i="17"/>
  <c r="B1125" i="17"/>
  <c r="I1124" i="17"/>
  <c r="C1124" i="17"/>
  <c r="B1124" i="17"/>
  <c r="I1123" i="17"/>
  <c r="C1123" i="17"/>
  <c r="B1123" i="17"/>
  <c r="I1122" i="17"/>
  <c r="C1122" i="17"/>
  <c r="B1122" i="17"/>
  <c r="I1121" i="17"/>
  <c r="C1121" i="17"/>
  <c r="B1121" i="17"/>
  <c r="I1120" i="17"/>
  <c r="C1120" i="17"/>
  <c r="B1120" i="17"/>
  <c r="I1119" i="17"/>
  <c r="C1119" i="17"/>
  <c r="B1119" i="17"/>
  <c r="I1118" i="17"/>
  <c r="C1118" i="17"/>
  <c r="B1118" i="17"/>
  <c r="I1117" i="17"/>
  <c r="C1117" i="17"/>
  <c r="B1117" i="17"/>
  <c r="I1116" i="17"/>
  <c r="C1116" i="17"/>
  <c r="B1116" i="17"/>
  <c r="I1115" i="17"/>
  <c r="C1115" i="17"/>
  <c r="B1115" i="17"/>
  <c r="I1114" i="17"/>
  <c r="C1114" i="17"/>
  <c r="B1114" i="17"/>
  <c r="I1113" i="17"/>
  <c r="C1113" i="17"/>
  <c r="B1113" i="17"/>
  <c r="I1112" i="17"/>
  <c r="C1112" i="17"/>
  <c r="B1112" i="17"/>
  <c r="I1111" i="17"/>
  <c r="C1111" i="17"/>
  <c r="B1111" i="17"/>
  <c r="I1110" i="17"/>
  <c r="C1110" i="17"/>
  <c r="B1110" i="17"/>
  <c r="I1109" i="17"/>
  <c r="C1109" i="17"/>
  <c r="B1109" i="17"/>
  <c r="I1108" i="17"/>
  <c r="C1108" i="17"/>
  <c r="B1108" i="17"/>
  <c r="I1107" i="17"/>
  <c r="C1107" i="17"/>
  <c r="B1107" i="17"/>
  <c r="I1106" i="17"/>
  <c r="C1106" i="17"/>
  <c r="B1106" i="17"/>
  <c r="I1105" i="17"/>
  <c r="C1105" i="17"/>
  <c r="B1105" i="17"/>
  <c r="I1104" i="17"/>
  <c r="C1104" i="17"/>
  <c r="B1104" i="17"/>
  <c r="I1103" i="17"/>
  <c r="C1103" i="17"/>
  <c r="B1103" i="17"/>
  <c r="I1102" i="17"/>
  <c r="C1102" i="17"/>
  <c r="B1102" i="17"/>
  <c r="I1101" i="17"/>
  <c r="C1101" i="17"/>
  <c r="B1101" i="17"/>
  <c r="I1100" i="17"/>
  <c r="C1100" i="17"/>
  <c r="B1100" i="17"/>
  <c r="I1099" i="17"/>
  <c r="C1099" i="17"/>
  <c r="B1099" i="17"/>
  <c r="I1098" i="17"/>
  <c r="C1098" i="17"/>
  <c r="B1098" i="17"/>
  <c r="I1097" i="17"/>
  <c r="C1097" i="17"/>
  <c r="B1097" i="17"/>
  <c r="I1096" i="17"/>
  <c r="C1096" i="17"/>
  <c r="B1096" i="17"/>
  <c r="I1095" i="17"/>
  <c r="C1095" i="17"/>
  <c r="B1095" i="17"/>
  <c r="I1094" i="17"/>
  <c r="C1094" i="17"/>
  <c r="B1094" i="17"/>
  <c r="I1093" i="17"/>
  <c r="C1093" i="17"/>
  <c r="B1093" i="17"/>
  <c r="I1092" i="17"/>
  <c r="C1092" i="17"/>
  <c r="B1092" i="17"/>
  <c r="I1091" i="17"/>
  <c r="C1091" i="17"/>
  <c r="B1091" i="17"/>
  <c r="I1090" i="17"/>
  <c r="C1090" i="17"/>
  <c r="B1090" i="17"/>
  <c r="I1089" i="17"/>
  <c r="C1089" i="17"/>
  <c r="B1089" i="17"/>
  <c r="I1088" i="17"/>
  <c r="C1088" i="17"/>
  <c r="B1088" i="17"/>
  <c r="I1087" i="17"/>
  <c r="C1087" i="17"/>
  <c r="B1087" i="17"/>
  <c r="I1086" i="17"/>
  <c r="C1086" i="17"/>
  <c r="B1086" i="17"/>
  <c r="I1085" i="17"/>
  <c r="C1085" i="17"/>
  <c r="B1085" i="17"/>
  <c r="I1084" i="17"/>
  <c r="C1084" i="17"/>
  <c r="B1084" i="17"/>
  <c r="I1083" i="17"/>
  <c r="C1083" i="17"/>
  <c r="B1083" i="17"/>
  <c r="I1082" i="17"/>
  <c r="C1082" i="17"/>
  <c r="B1082" i="17"/>
  <c r="I1081" i="17"/>
  <c r="C1081" i="17"/>
  <c r="B1081" i="17"/>
  <c r="I1080" i="17"/>
  <c r="C1080" i="17"/>
  <c r="B1080" i="17"/>
  <c r="I1079" i="17"/>
  <c r="C1079" i="17"/>
  <c r="B1079" i="17"/>
  <c r="I1078" i="17"/>
  <c r="C1078" i="17"/>
  <c r="B1078" i="17"/>
  <c r="I1077" i="17"/>
  <c r="C1077" i="17"/>
  <c r="B1077" i="17"/>
  <c r="I1076" i="17"/>
  <c r="C1076" i="17"/>
  <c r="B1076" i="17"/>
  <c r="I1075" i="17"/>
  <c r="C1075" i="17"/>
  <c r="B1075" i="17"/>
  <c r="I1074" i="17"/>
  <c r="C1074" i="17"/>
  <c r="B1074" i="17"/>
  <c r="I1073" i="17"/>
  <c r="C1073" i="17"/>
  <c r="B1073" i="17"/>
  <c r="I1072" i="17"/>
  <c r="C1072" i="17"/>
  <c r="B1072" i="17"/>
  <c r="I1071" i="17"/>
  <c r="C1071" i="17"/>
  <c r="B1071" i="17"/>
  <c r="I1070" i="17"/>
  <c r="C1070" i="17"/>
  <c r="B1070" i="17"/>
  <c r="I1069" i="17"/>
  <c r="C1069" i="17"/>
  <c r="B1069" i="17"/>
  <c r="I1068" i="17"/>
  <c r="C1068" i="17"/>
  <c r="B1068" i="17"/>
  <c r="I1067" i="17"/>
  <c r="C1067" i="17"/>
  <c r="B1067" i="17"/>
  <c r="I1066" i="17"/>
  <c r="C1066" i="17"/>
  <c r="B1066" i="17"/>
  <c r="I1065" i="17"/>
  <c r="C1065" i="17"/>
  <c r="B1065" i="17"/>
  <c r="I1064" i="17"/>
  <c r="C1064" i="17"/>
  <c r="B1064" i="17"/>
  <c r="I1063" i="17"/>
  <c r="C1063" i="17"/>
  <c r="B1063" i="17"/>
  <c r="I1062" i="17"/>
  <c r="C1062" i="17"/>
  <c r="B1062" i="17"/>
  <c r="I1061" i="17"/>
  <c r="C1061" i="17"/>
  <c r="B1061" i="17"/>
  <c r="I1060" i="17"/>
  <c r="C1060" i="17"/>
  <c r="B1060" i="17"/>
  <c r="I1059" i="17"/>
  <c r="C1059" i="17"/>
  <c r="B1059" i="17"/>
  <c r="I1058" i="17"/>
  <c r="C1058" i="17"/>
  <c r="B1058" i="17"/>
  <c r="I1057" i="17"/>
  <c r="C1057" i="17"/>
  <c r="B1057" i="17"/>
  <c r="I1056" i="17"/>
  <c r="C1056" i="17"/>
  <c r="B1056" i="17"/>
  <c r="I1055" i="17"/>
  <c r="C1055" i="17"/>
  <c r="B1055" i="17"/>
  <c r="I1054" i="17"/>
  <c r="C1054" i="17"/>
  <c r="B1054" i="17"/>
  <c r="I1053" i="17"/>
  <c r="C1053" i="17"/>
  <c r="B1053" i="17"/>
  <c r="I1052" i="17"/>
  <c r="C1052" i="17"/>
  <c r="B1052" i="17"/>
  <c r="I1051" i="17"/>
  <c r="C1051" i="17"/>
  <c r="B1051" i="17"/>
  <c r="I1050" i="17"/>
  <c r="C1050" i="17"/>
  <c r="B1050" i="17"/>
  <c r="I1049" i="17"/>
  <c r="C1049" i="17"/>
  <c r="B1049" i="17"/>
  <c r="I1048" i="17"/>
  <c r="C1048" i="17"/>
  <c r="B1048" i="17"/>
  <c r="I1047" i="17"/>
  <c r="C1047" i="17"/>
  <c r="B1047" i="17"/>
  <c r="I1046" i="17"/>
  <c r="C1046" i="17"/>
  <c r="B1046" i="17"/>
  <c r="I1045" i="17"/>
  <c r="C1045" i="17"/>
  <c r="B1045" i="17"/>
  <c r="I1044" i="17"/>
  <c r="C1044" i="17"/>
  <c r="B1044" i="17"/>
  <c r="I1043" i="17"/>
  <c r="C1043" i="17"/>
  <c r="B1043" i="17"/>
  <c r="I1042" i="17"/>
  <c r="C1042" i="17"/>
  <c r="B1042" i="17"/>
  <c r="I1041" i="17"/>
  <c r="C1041" i="17"/>
  <c r="B1041" i="17"/>
  <c r="I1040" i="17"/>
  <c r="C1040" i="17"/>
  <c r="B1040" i="17"/>
  <c r="I1039" i="17"/>
  <c r="C1039" i="17"/>
  <c r="B1039" i="17"/>
  <c r="I1038" i="17"/>
  <c r="C1038" i="17"/>
  <c r="B1038" i="17"/>
  <c r="I1037" i="17"/>
  <c r="C1037" i="17"/>
  <c r="B1037" i="17"/>
  <c r="I1036" i="17"/>
  <c r="C1036" i="17"/>
  <c r="B1036" i="17"/>
  <c r="I1035" i="17"/>
  <c r="C1035" i="17"/>
  <c r="B1035" i="17"/>
  <c r="I1034" i="17"/>
  <c r="C1034" i="17"/>
  <c r="B1034" i="17"/>
  <c r="I1033" i="17"/>
  <c r="C1033" i="17"/>
  <c r="B1033" i="17"/>
  <c r="I1032" i="17"/>
  <c r="C1032" i="17"/>
  <c r="B1032" i="17"/>
  <c r="I1031" i="17"/>
  <c r="C1031" i="17"/>
  <c r="B1031" i="17"/>
  <c r="I1030" i="17"/>
  <c r="C1030" i="17"/>
  <c r="B1030" i="17"/>
  <c r="I1029" i="17"/>
  <c r="C1029" i="17"/>
  <c r="B1029" i="17"/>
  <c r="I1028" i="17"/>
  <c r="C1028" i="17"/>
  <c r="B1028" i="17"/>
  <c r="I1027" i="17"/>
  <c r="C1027" i="17"/>
  <c r="B1027" i="17"/>
  <c r="I1026" i="17"/>
  <c r="C1026" i="17"/>
  <c r="B1026" i="17"/>
  <c r="I1025" i="17"/>
  <c r="C1025" i="17"/>
  <c r="B1025" i="17"/>
  <c r="I1024" i="17"/>
  <c r="C1024" i="17"/>
  <c r="B1024" i="17"/>
  <c r="I1023" i="17"/>
  <c r="C1023" i="17"/>
  <c r="B1023" i="17"/>
  <c r="I1022" i="17"/>
  <c r="C1022" i="17"/>
  <c r="B1022" i="17"/>
  <c r="I1021" i="17"/>
  <c r="C1021" i="17"/>
  <c r="B1021" i="17"/>
  <c r="I1020" i="17"/>
  <c r="C1020" i="17"/>
  <c r="B1020" i="17"/>
  <c r="I1019" i="17"/>
  <c r="C1019" i="17"/>
  <c r="B1019" i="17"/>
  <c r="I1018" i="17"/>
  <c r="C1018" i="17"/>
  <c r="B1018" i="17"/>
  <c r="I1017" i="17"/>
  <c r="C1017" i="17"/>
  <c r="B1017" i="17"/>
  <c r="I1016" i="17"/>
  <c r="C1016" i="17"/>
  <c r="B1016" i="17"/>
  <c r="I1015" i="17"/>
  <c r="C1015" i="17"/>
  <c r="B1015" i="17"/>
  <c r="I1014" i="17"/>
  <c r="C1014" i="17"/>
  <c r="B1014" i="17"/>
  <c r="I1013" i="17"/>
  <c r="C1013" i="17"/>
  <c r="B1013" i="17"/>
  <c r="I1012" i="17"/>
  <c r="C1012" i="17"/>
  <c r="B1012" i="17"/>
  <c r="I1011" i="17"/>
  <c r="C1011" i="17"/>
  <c r="B1011" i="17"/>
  <c r="I1010" i="17"/>
  <c r="C1010" i="17"/>
  <c r="B1010" i="17"/>
  <c r="I1009" i="17"/>
  <c r="C1009" i="17"/>
  <c r="B1009" i="17"/>
  <c r="I1008" i="17"/>
  <c r="C1008" i="17"/>
  <c r="B1008" i="17"/>
  <c r="I1007" i="17"/>
  <c r="C1007" i="17"/>
  <c r="B1007" i="17"/>
  <c r="I1006" i="17"/>
  <c r="C1006" i="17"/>
  <c r="B1006" i="17"/>
  <c r="I1005" i="17"/>
  <c r="C1005" i="17"/>
  <c r="B1005" i="17"/>
  <c r="I1004" i="17"/>
  <c r="C1004" i="17"/>
  <c r="B1004" i="17"/>
  <c r="I1003" i="17"/>
  <c r="C1003" i="17"/>
  <c r="B1003" i="17"/>
  <c r="I1002" i="17"/>
  <c r="C1002" i="17"/>
  <c r="B1002" i="17"/>
  <c r="I1001" i="17"/>
  <c r="C1001" i="17"/>
  <c r="B1001" i="17"/>
  <c r="I1000" i="17"/>
  <c r="C1000" i="17"/>
  <c r="B1000" i="17"/>
  <c r="I999" i="17"/>
  <c r="C999" i="17"/>
  <c r="B999" i="17"/>
  <c r="I998" i="17"/>
  <c r="C998" i="17"/>
  <c r="B998" i="17"/>
  <c r="I997" i="17"/>
  <c r="C997" i="17"/>
  <c r="B997" i="17"/>
  <c r="I996" i="17"/>
  <c r="C996" i="17"/>
  <c r="B996" i="17"/>
  <c r="I995" i="17"/>
  <c r="C995" i="17"/>
  <c r="B995" i="17"/>
  <c r="I994" i="17"/>
  <c r="C994" i="17"/>
  <c r="B994" i="17"/>
  <c r="I993" i="17"/>
  <c r="C993" i="17"/>
  <c r="B993" i="17"/>
  <c r="I992" i="17"/>
  <c r="C992" i="17"/>
  <c r="B992" i="17"/>
  <c r="I991" i="17"/>
  <c r="C991" i="17"/>
  <c r="B991" i="17"/>
  <c r="I990" i="17"/>
  <c r="C990" i="17"/>
  <c r="B990" i="17"/>
  <c r="I989" i="17"/>
  <c r="C989" i="17"/>
  <c r="B989" i="17"/>
  <c r="I988" i="17"/>
  <c r="C988" i="17"/>
  <c r="B988" i="17"/>
  <c r="I987" i="17"/>
  <c r="C987" i="17"/>
  <c r="B987" i="17"/>
  <c r="I986" i="17"/>
  <c r="C986" i="17"/>
  <c r="B986" i="17"/>
  <c r="I985" i="17"/>
  <c r="C985" i="17"/>
  <c r="B985" i="17"/>
  <c r="I984" i="17"/>
  <c r="C984" i="17"/>
  <c r="B984" i="17"/>
  <c r="I983" i="17"/>
  <c r="C983" i="17"/>
  <c r="B983" i="17"/>
  <c r="I982" i="17"/>
  <c r="C982" i="17"/>
  <c r="B982" i="17"/>
  <c r="I981" i="17"/>
  <c r="C981" i="17"/>
  <c r="B981" i="17"/>
  <c r="I980" i="17"/>
  <c r="C980" i="17"/>
  <c r="B980" i="17"/>
  <c r="I979" i="17"/>
  <c r="C979" i="17"/>
  <c r="B979" i="17"/>
  <c r="I978" i="17"/>
  <c r="C978" i="17"/>
  <c r="B978" i="17"/>
  <c r="I977" i="17"/>
  <c r="C977" i="17"/>
  <c r="B977" i="17"/>
  <c r="I976" i="17"/>
  <c r="C976" i="17"/>
  <c r="B976" i="17"/>
  <c r="I975" i="17"/>
  <c r="C975" i="17"/>
  <c r="B975" i="17"/>
  <c r="I974" i="17"/>
  <c r="C974" i="17"/>
  <c r="B974" i="17"/>
  <c r="I973" i="17"/>
  <c r="C973" i="17"/>
  <c r="B973" i="17"/>
  <c r="I972" i="17"/>
  <c r="C972" i="17"/>
  <c r="B972" i="17"/>
  <c r="I971" i="17"/>
  <c r="C971" i="17"/>
  <c r="B971" i="17"/>
  <c r="I970" i="17"/>
  <c r="C970" i="17"/>
  <c r="B970" i="17"/>
  <c r="I969" i="17"/>
  <c r="C969" i="17"/>
  <c r="B969" i="17"/>
  <c r="I968" i="17"/>
  <c r="C968" i="17"/>
  <c r="B968" i="17"/>
  <c r="I967" i="17"/>
  <c r="C967" i="17"/>
  <c r="B967" i="17"/>
  <c r="I966" i="17"/>
  <c r="C966" i="17"/>
  <c r="B966" i="17"/>
  <c r="I965" i="17"/>
  <c r="C965" i="17"/>
  <c r="B965" i="17"/>
  <c r="I964" i="17"/>
  <c r="C964" i="17"/>
  <c r="B964" i="17"/>
  <c r="I963" i="17"/>
  <c r="C963" i="17"/>
  <c r="B963" i="17"/>
  <c r="I962" i="17"/>
  <c r="C962" i="17"/>
  <c r="B962" i="17"/>
  <c r="I961" i="17"/>
  <c r="C961" i="17"/>
  <c r="B961" i="17"/>
  <c r="I960" i="17"/>
  <c r="C960" i="17"/>
  <c r="B960" i="17"/>
  <c r="I959" i="17"/>
  <c r="C959" i="17"/>
  <c r="B959" i="17"/>
  <c r="I958" i="17"/>
  <c r="C958" i="17"/>
  <c r="B958" i="17"/>
  <c r="I957" i="17"/>
  <c r="C957" i="17"/>
  <c r="B957" i="17"/>
  <c r="I956" i="17"/>
  <c r="C956" i="17"/>
  <c r="B956" i="17"/>
  <c r="I955" i="17"/>
  <c r="C955" i="17"/>
  <c r="B955" i="17"/>
  <c r="I954" i="17"/>
  <c r="C954" i="17"/>
  <c r="B954" i="17"/>
  <c r="I953" i="17"/>
  <c r="C953" i="17"/>
  <c r="B953" i="17"/>
  <c r="I952" i="17"/>
  <c r="C952" i="17"/>
  <c r="B952" i="17"/>
  <c r="I951" i="17"/>
  <c r="C951" i="17"/>
  <c r="B951" i="17"/>
  <c r="I950" i="17"/>
  <c r="C950" i="17"/>
  <c r="B950" i="17"/>
  <c r="I949" i="17"/>
  <c r="C949" i="17"/>
  <c r="B949" i="17"/>
  <c r="I948" i="17"/>
  <c r="C948" i="17"/>
  <c r="B948" i="17"/>
  <c r="I947" i="17"/>
  <c r="C947" i="17"/>
  <c r="B947" i="17"/>
  <c r="I946" i="17"/>
  <c r="C946" i="17"/>
  <c r="B946" i="17"/>
  <c r="I945" i="17"/>
  <c r="C945" i="17"/>
  <c r="B945" i="17"/>
  <c r="I944" i="17"/>
  <c r="C944" i="17"/>
  <c r="B944" i="17"/>
  <c r="I943" i="17"/>
  <c r="C943" i="17"/>
  <c r="B943" i="17"/>
  <c r="I942" i="17"/>
  <c r="C942" i="17"/>
  <c r="B942" i="17"/>
  <c r="I941" i="17"/>
  <c r="C941" i="17"/>
  <c r="B941" i="17"/>
  <c r="I940" i="17"/>
  <c r="C940" i="17"/>
  <c r="B940" i="17"/>
  <c r="I939" i="17"/>
  <c r="C939" i="17"/>
  <c r="B939" i="17"/>
  <c r="I938" i="17"/>
  <c r="C938" i="17"/>
  <c r="B938" i="17"/>
  <c r="I937" i="17"/>
  <c r="C937" i="17"/>
  <c r="B937" i="17"/>
  <c r="I936" i="17"/>
  <c r="C936" i="17"/>
  <c r="B936" i="17"/>
  <c r="I935" i="17"/>
  <c r="C935" i="17"/>
  <c r="B935" i="17"/>
  <c r="I934" i="17"/>
  <c r="C934" i="17"/>
  <c r="B934" i="17"/>
  <c r="I933" i="17"/>
  <c r="C933" i="17"/>
  <c r="B933" i="17"/>
  <c r="I932" i="17"/>
  <c r="C932" i="17"/>
  <c r="B932" i="17"/>
  <c r="I931" i="17"/>
  <c r="C931" i="17"/>
  <c r="B931" i="17"/>
  <c r="I930" i="17"/>
  <c r="C930" i="17"/>
  <c r="B930" i="17"/>
  <c r="I929" i="17"/>
  <c r="C929" i="17"/>
  <c r="B929" i="17"/>
  <c r="I928" i="17"/>
  <c r="C928" i="17"/>
  <c r="B928" i="17"/>
  <c r="I927" i="17"/>
  <c r="C927" i="17"/>
  <c r="B927" i="17"/>
  <c r="I926" i="17"/>
  <c r="C926" i="17"/>
  <c r="B926" i="17"/>
  <c r="I925" i="17"/>
  <c r="C925" i="17"/>
  <c r="B925" i="17"/>
  <c r="I924" i="17"/>
  <c r="C924" i="17"/>
  <c r="B924" i="17"/>
  <c r="I923" i="17"/>
  <c r="C923" i="17"/>
  <c r="B923" i="17"/>
  <c r="I922" i="17"/>
  <c r="C922" i="17"/>
  <c r="B922" i="17"/>
  <c r="I921" i="17"/>
  <c r="C921" i="17"/>
  <c r="B921" i="17"/>
  <c r="I920" i="17"/>
  <c r="C920" i="17"/>
  <c r="B920" i="17"/>
  <c r="I919" i="17"/>
  <c r="C919" i="17"/>
  <c r="B919" i="17"/>
  <c r="I918" i="17"/>
  <c r="C918" i="17"/>
  <c r="B918" i="17"/>
  <c r="I917" i="17"/>
  <c r="C917" i="17"/>
  <c r="B917" i="17"/>
  <c r="I916" i="17"/>
  <c r="C916" i="17"/>
  <c r="B916" i="17"/>
  <c r="I915" i="17"/>
  <c r="C915" i="17"/>
  <c r="B915" i="17"/>
  <c r="I914" i="17"/>
  <c r="C914" i="17"/>
  <c r="B914" i="17"/>
  <c r="I913" i="17"/>
  <c r="C913" i="17"/>
  <c r="B913" i="17"/>
  <c r="I912" i="17"/>
  <c r="C912" i="17"/>
  <c r="B912" i="17"/>
  <c r="I911" i="17"/>
  <c r="C911" i="17"/>
  <c r="B911" i="17"/>
  <c r="I910" i="17"/>
  <c r="C910" i="17"/>
  <c r="B910" i="17"/>
  <c r="I909" i="17"/>
  <c r="C909" i="17"/>
  <c r="B909" i="17"/>
  <c r="I908" i="17"/>
  <c r="C908" i="17"/>
  <c r="B908" i="17"/>
  <c r="I907" i="17"/>
  <c r="C907" i="17"/>
  <c r="B907" i="17"/>
  <c r="I906" i="17"/>
  <c r="C906" i="17"/>
  <c r="B906" i="17"/>
  <c r="I905" i="17"/>
  <c r="C905" i="17"/>
  <c r="B905" i="17"/>
  <c r="I904" i="17"/>
  <c r="C904" i="17"/>
  <c r="B904" i="17"/>
  <c r="I903" i="17"/>
  <c r="C903" i="17"/>
  <c r="B903" i="17"/>
  <c r="I902" i="17"/>
  <c r="C902" i="17"/>
  <c r="B902" i="17"/>
  <c r="I901" i="17"/>
  <c r="C901" i="17"/>
  <c r="B901" i="17"/>
  <c r="I900" i="17"/>
  <c r="C900" i="17"/>
  <c r="B900" i="17"/>
  <c r="I899" i="17"/>
  <c r="C899" i="17"/>
  <c r="B899" i="17"/>
  <c r="I898" i="17"/>
  <c r="C898" i="17"/>
  <c r="B898" i="17"/>
  <c r="I897" i="17"/>
  <c r="C897" i="17"/>
  <c r="B897" i="17"/>
  <c r="I896" i="17"/>
  <c r="C896" i="17"/>
  <c r="B896" i="17"/>
  <c r="I895" i="17"/>
  <c r="C895" i="17"/>
  <c r="B895" i="17"/>
  <c r="I894" i="17"/>
  <c r="C894" i="17"/>
  <c r="B894" i="17"/>
  <c r="I893" i="17"/>
  <c r="C893" i="17"/>
  <c r="B893" i="17"/>
  <c r="I892" i="17"/>
  <c r="C892" i="17"/>
  <c r="B892" i="17"/>
  <c r="I891" i="17"/>
  <c r="C891" i="17"/>
  <c r="B891" i="17"/>
  <c r="I890" i="17"/>
  <c r="C890" i="17"/>
  <c r="B890" i="17"/>
  <c r="I889" i="17"/>
  <c r="C889" i="17"/>
  <c r="B889" i="17"/>
  <c r="I888" i="17"/>
  <c r="C888" i="17"/>
  <c r="B888" i="17"/>
  <c r="I887" i="17"/>
  <c r="C887" i="17"/>
  <c r="B887" i="17"/>
  <c r="I886" i="17"/>
  <c r="C886" i="17"/>
  <c r="B886" i="17"/>
  <c r="I885" i="17"/>
  <c r="C885" i="17"/>
  <c r="B885" i="17"/>
  <c r="I884" i="17"/>
  <c r="C884" i="17"/>
  <c r="B884" i="17"/>
  <c r="I883" i="17"/>
  <c r="C883" i="17"/>
  <c r="B883" i="17"/>
  <c r="I882" i="17"/>
  <c r="C882" i="17"/>
  <c r="B882" i="17"/>
  <c r="I881" i="17"/>
  <c r="C881" i="17"/>
  <c r="B881" i="17"/>
  <c r="I880" i="17"/>
  <c r="C880" i="17"/>
  <c r="B880" i="17"/>
  <c r="I879" i="17"/>
  <c r="C879" i="17"/>
  <c r="B879" i="17"/>
  <c r="I878" i="17"/>
  <c r="C878" i="17"/>
  <c r="B878" i="17"/>
  <c r="I877" i="17"/>
  <c r="C877" i="17"/>
  <c r="B877" i="17"/>
  <c r="I876" i="17"/>
  <c r="C876" i="17"/>
  <c r="B876" i="17"/>
  <c r="I875" i="17"/>
  <c r="C875" i="17"/>
  <c r="B875" i="17"/>
  <c r="I874" i="17"/>
  <c r="C874" i="17"/>
  <c r="B874" i="17"/>
  <c r="I873" i="17"/>
  <c r="C873" i="17"/>
  <c r="B873" i="17"/>
  <c r="I872" i="17"/>
  <c r="C872" i="17"/>
  <c r="B872" i="17"/>
  <c r="I871" i="17"/>
  <c r="C871" i="17"/>
  <c r="B871" i="17"/>
  <c r="I870" i="17"/>
  <c r="C870" i="17"/>
  <c r="B870" i="17"/>
  <c r="I869" i="17"/>
  <c r="C869" i="17"/>
  <c r="B869" i="17"/>
  <c r="I868" i="17"/>
  <c r="C868" i="17"/>
  <c r="B868" i="17"/>
  <c r="I867" i="17"/>
  <c r="C867" i="17"/>
  <c r="B867" i="17"/>
  <c r="I866" i="17"/>
  <c r="C866" i="17"/>
  <c r="B866" i="17"/>
  <c r="I865" i="17"/>
  <c r="C865" i="17"/>
  <c r="B865" i="17"/>
  <c r="I864" i="17"/>
  <c r="C864" i="17"/>
  <c r="B864" i="17"/>
  <c r="I863" i="17"/>
  <c r="C863" i="17"/>
  <c r="B863" i="17"/>
  <c r="I862" i="17"/>
  <c r="C862" i="17"/>
  <c r="B862" i="17"/>
  <c r="I861" i="17"/>
  <c r="C861" i="17"/>
  <c r="B861" i="17"/>
  <c r="I860" i="17"/>
  <c r="C860" i="17"/>
  <c r="B860" i="17"/>
  <c r="I859" i="17"/>
  <c r="C859" i="17"/>
  <c r="B859" i="17"/>
  <c r="I858" i="17"/>
  <c r="C858" i="17"/>
  <c r="B858" i="17"/>
  <c r="I857" i="17"/>
  <c r="C857" i="17"/>
  <c r="B857" i="17"/>
  <c r="I856" i="17"/>
  <c r="C856" i="17"/>
  <c r="B856" i="17"/>
  <c r="I855" i="17"/>
  <c r="C855" i="17"/>
  <c r="B855" i="17"/>
  <c r="I854" i="17"/>
  <c r="C854" i="17"/>
  <c r="B854" i="17"/>
  <c r="I853" i="17"/>
  <c r="C853" i="17"/>
  <c r="B853" i="17"/>
  <c r="I852" i="17"/>
  <c r="C852" i="17"/>
  <c r="B852" i="17"/>
  <c r="I851" i="17"/>
  <c r="C851" i="17"/>
  <c r="B851" i="17"/>
  <c r="I850" i="17"/>
  <c r="C850" i="17"/>
  <c r="B850" i="17"/>
  <c r="I849" i="17"/>
  <c r="C849" i="17"/>
  <c r="B849" i="17"/>
  <c r="I848" i="17"/>
  <c r="C848" i="17"/>
  <c r="B848" i="17"/>
  <c r="I847" i="17"/>
  <c r="C847" i="17"/>
  <c r="B847" i="17"/>
  <c r="I846" i="17"/>
  <c r="C846" i="17"/>
  <c r="B846" i="17"/>
  <c r="I845" i="17"/>
  <c r="C845" i="17"/>
  <c r="B845" i="17"/>
  <c r="I844" i="17"/>
  <c r="C844" i="17"/>
  <c r="B844" i="17"/>
  <c r="I843" i="17"/>
  <c r="C843" i="17"/>
  <c r="B843" i="17"/>
  <c r="I842" i="17"/>
  <c r="C842" i="17"/>
  <c r="B842" i="17"/>
  <c r="I841" i="17"/>
  <c r="C841" i="17"/>
  <c r="B841" i="17"/>
  <c r="I840" i="17"/>
  <c r="C840" i="17"/>
  <c r="B840" i="17"/>
  <c r="I839" i="17"/>
  <c r="C839" i="17"/>
  <c r="B839" i="17"/>
  <c r="I838" i="17"/>
  <c r="C838" i="17"/>
  <c r="B838" i="17"/>
  <c r="I837" i="17"/>
  <c r="C837" i="17"/>
  <c r="B837" i="17"/>
  <c r="I836" i="17"/>
  <c r="C836" i="17"/>
  <c r="B836" i="17"/>
  <c r="I835" i="17"/>
  <c r="C835" i="17"/>
  <c r="B835" i="17"/>
  <c r="I834" i="17"/>
  <c r="C834" i="17"/>
  <c r="B834" i="17"/>
  <c r="I833" i="17"/>
  <c r="C833" i="17"/>
  <c r="B833" i="17"/>
  <c r="I832" i="17"/>
  <c r="C832" i="17"/>
  <c r="B832" i="17"/>
  <c r="I831" i="17"/>
  <c r="C831" i="17"/>
  <c r="B831" i="17"/>
  <c r="I830" i="17"/>
  <c r="C830" i="17"/>
  <c r="B830" i="17"/>
  <c r="I829" i="17"/>
  <c r="C829" i="17"/>
  <c r="B829" i="17"/>
  <c r="I828" i="17"/>
  <c r="C828" i="17"/>
  <c r="B828" i="17"/>
  <c r="I827" i="17"/>
  <c r="C827" i="17"/>
  <c r="B827" i="17"/>
  <c r="I826" i="17"/>
  <c r="C826" i="17"/>
  <c r="B826" i="17"/>
  <c r="I825" i="17"/>
  <c r="C825" i="17"/>
  <c r="B825" i="17"/>
  <c r="I824" i="17"/>
  <c r="C824" i="17"/>
  <c r="B824" i="17"/>
  <c r="I823" i="17"/>
  <c r="C823" i="17"/>
  <c r="B823" i="17"/>
  <c r="I822" i="17"/>
  <c r="C822" i="17"/>
  <c r="B822" i="17"/>
  <c r="I821" i="17"/>
  <c r="C821" i="17"/>
  <c r="B821" i="17"/>
  <c r="I820" i="17"/>
  <c r="C820" i="17"/>
  <c r="B820" i="17"/>
  <c r="I819" i="17"/>
  <c r="C819" i="17"/>
  <c r="B819" i="17"/>
  <c r="I818" i="17"/>
  <c r="C818" i="17"/>
  <c r="B818" i="17"/>
  <c r="I817" i="17"/>
  <c r="C817" i="17"/>
  <c r="B817" i="17"/>
  <c r="I816" i="17"/>
  <c r="C816" i="17"/>
  <c r="B816" i="17"/>
  <c r="I815" i="17"/>
  <c r="C815" i="17"/>
  <c r="B815" i="17"/>
  <c r="I814" i="17"/>
  <c r="C814" i="17"/>
  <c r="B814" i="17"/>
  <c r="I813" i="17"/>
  <c r="C813" i="17"/>
  <c r="B813" i="17"/>
  <c r="I812" i="17"/>
  <c r="C812" i="17"/>
  <c r="B812" i="17"/>
  <c r="I811" i="17"/>
  <c r="C811" i="17"/>
  <c r="B811" i="17"/>
  <c r="I810" i="17"/>
  <c r="C810" i="17"/>
  <c r="B810" i="17"/>
  <c r="I809" i="17"/>
  <c r="C809" i="17"/>
  <c r="B809" i="17"/>
  <c r="I808" i="17"/>
  <c r="C808" i="17"/>
  <c r="B808" i="17"/>
  <c r="I807" i="17"/>
  <c r="C807" i="17"/>
  <c r="B807" i="17"/>
  <c r="I806" i="17"/>
  <c r="C806" i="17"/>
  <c r="B806" i="17"/>
  <c r="I805" i="17"/>
  <c r="C805" i="17"/>
  <c r="B805" i="17"/>
  <c r="I804" i="17"/>
  <c r="C804" i="17"/>
  <c r="B804" i="17"/>
  <c r="I803" i="17"/>
  <c r="C803" i="17"/>
  <c r="B803" i="17"/>
  <c r="I802" i="17"/>
  <c r="C802" i="17"/>
  <c r="B802" i="17"/>
  <c r="I801" i="17"/>
  <c r="C801" i="17"/>
  <c r="B801" i="17"/>
  <c r="I800" i="17"/>
  <c r="C800" i="17"/>
  <c r="B800" i="17"/>
  <c r="I799" i="17"/>
  <c r="C799" i="17"/>
  <c r="B799" i="17"/>
  <c r="I798" i="17"/>
  <c r="C798" i="17"/>
  <c r="B798" i="17"/>
  <c r="I797" i="17"/>
  <c r="C797" i="17"/>
  <c r="B797" i="17"/>
  <c r="I796" i="17"/>
  <c r="C796" i="17"/>
  <c r="B796" i="17"/>
  <c r="I795" i="17"/>
  <c r="C795" i="17"/>
  <c r="B795" i="17"/>
  <c r="I794" i="17"/>
  <c r="C794" i="17"/>
  <c r="B794" i="17"/>
  <c r="I793" i="17"/>
  <c r="C793" i="17"/>
  <c r="B793" i="17"/>
  <c r="I792" i="17"/>
  <c r="C792" i="17"/>
  <c r="B792" i="17"/>
  <c r="I791" i="17"/>
  <c r="C791" i="17"/>
  <c r="B791" i="17"/>
  <c r="I790" i="17"/>
  <c r="C790" i="17"/>
  <c r="B790" i="17"/>
  <c r="I789" i="17"/>
  <c r="C789" i="17"/>
  <c r="B789" i="17"/>
  <c r="I788" i="17"/>
  <c r="C788" i="17"/>
  <c r="B788" i="17"/>
  <c r="I787" i="17"/>
  <c r="C787" i="17"/>
  <c r="B787" i="17"/>
  <c r="I786" i="17"/>
  <c r="C786" i="17"/>
  <c r="B786" i="17"/>
  <c r="I785" i="17"/>
  <c r="C785" i="17"/>
  <c r="B785" i="17"/>
  <c r="I784" i="17"/>
  <c r="C784" i="17"/>
  <c r="B784" i="17"/>
  <c r="I783" i="17"/>
  <c r="C783" i="17"/>
  <c r="B783" i="17"/>
  <c r="I782" i="17"/>
  <c r="C782" i="17"/>
  <c r="B782" i="17"/>
  <c r="I781" i="17"/>
  <c r="C781" i="17"/>
  <c r="B781" i="17"/>
  <c r="I780" i="17"/>
  <c r="C780" i="17"/>
  <c r="B780" i="17"/>
  <c r="I779" i="17"/>
  <c r="C779" i="17"/>
  <c r="B779" i="17"/>
  <c r="I778" i="17"/>
  <c r="C778" i="17"/>
  <c r="B778" i="17"/>
  <c r="I777" i="17"/>
  <c r="C777" i="17"/>
  <c r="B777" i="17"/>
  <c r="I776" i="17"/>
  <c r="C776" i="17"/>
  <c r="B776" i="17"/>
  <c r="I775" i="17"/>
  <c r="C775" i="17"/>
  <c r="B775" i="17"/>
  <c r="I774" i="17"/>
  <c r="C774" i="17"/>
  <c r="B774" i="17"/>
  <c r="I773" i="17"/>
  <c r="C773" i="17"/>
  <c r="B773" i="17"/>
  <c r="I772" i="17"/>
  <c r="C772" i="17"/>
  <c r="B772" i="17"/>
  <c r="I771" i="17"/>
  <c r="C771" i="17"/>
  <c r="B771" i="17"/>
  <c r="I770" i="17"/>
  <c r="C770" i="17"/>
  <c r="B770" i="17"/>
  <c r="I769" i="17"/>
  <c r="C769" i="17"/>
  <c r="B769" i="17"/>
  <c r="I768" i="17"/>
  <c r="C768" i="17"/>
  <c r="B768" i="17"/>
  <c r="I767" i="17"/>
  <c r="C767" i="17"/>
  <c r="B767" i="17"/>
  <c r="I766" i="17"/>
  <c r="C766" i="17"/>
  <c r="B766" i="17"/>
  <c r="I765" i="17"/>
  <c r="C765" i="17"/>
  <c r="B765" i="17"/>
  <c r="I764" i="17"/>
  <c r="C764" i="17"/>
  <c r="B764" i="17"/>
  <c r="I763" i="17"/>
  <c r="C763" i="17"/>
  <c r="B763" i="17"/>
  <c r="I762" i="17"/>
  <c r="C762" i="17"/>
  <c r="B762" i="17"/>
  <c r="I761" i="17"/>
  <c r="C761" i="17"/>
  <c r="B761" i="17"/>
  <c r="I760" i="17"/>
  <c r="C760" i="17"/>
  <c r="B760" i="17"/>
  <c r="I759" i="17"/>
  <c r="C759" i="17"/>
  <c r="B759" i="17"/>
  <c r="I758" i="17"/>
  <c r="C758" i="17"/>
  <c r="B758" i="17"/>
  <c r="I757" i="17"/>
  <c r="C757" i="17"/>
  <c r="B757" i="17"/>
  <c r="I756" i="17"/>
  <c r="C756" i="17"/>
  <c r="B756" i="17"/>
  <c r="I755" i="17"/>
  <c r="C755" i="17"/>
  <c r="B755" i="17"/>
  <c r="I754" i="17"/>
  <c r="C754" i="17"/>
  <c r="B754" i="17"/>
  <c r="I753" i="17"/>
  <c r="C753" i="17"/>
  <c r="B753" i="17"/>
  <c r="I752" i="17"/>
  <c r="C752" i="17"/>
  <c r="B752" i="17"/>
  <c r="I751" i="17"/>
  <c r="C751" i="17"/>
  <c r="B751" i="17"/>
  <c r="I750" i="17"/>
  <c r="C750" i="17"/>
  <c r="B750" i="17"/>
  <c r="I749" i="17"/>
  <c r="C749" i="17"/>
  <c r="B749" i="17"/>
  <c r="I748" i="17"/>
  <c r="C748" i="17"/>
  <c r="B748" i="17"/>
  <c r="I747" i="17"/>
  <c r="C747" i="17"/>
  <c r="B747" i="17"/>
  <c r="I746" i="17"/>
  <c r="C746" i="17"/>
  <c r="B746" i="17"/>
  <c r="I745" i="17"/>
  <c r="C745" i="17"/>
  <c r="B745" i="17"/>
  <c r="I744" i="17"/>
  <c r="C744" i="17"/>
  <c r="B744" i="17"/>
  <c r="I743" i="17"/>
  <c r="C743" i="17"/>
  <c r="B743" i="17"/>
  <c r="I742" i="17"/>
  <c r="C742" i="17"/>
  <c r="B742" i="17"/>
  <c r="I741" i="17"/>
  <c r="C741" i="17"/>
  <c r="B741" i="17"/>
  <c r="I740" i="17"/>
  <c r="C740" i="17"/>
  <c r="B740" i="17"/>
  <c r="I739" i="17"/>
  <c r="C739" i="17"/>
  <c r="B739" i="17"/>
  <c r="I738" i="17"/>
  <c r="C738" i="17"/>
  <c r="B738" i="17"/>
  <c r="I737" i="17"/>
  <c r="C737" i="17"/>
  <c r="B737" i="17"/>
  <c r="I736" i="17"/>
  <c r="C736" i="17"/>
  <c r="B736" i="17"/>
  <c r="I735" i="17"/>
  <c r="C735" i="17"/>
  <c r="B735" i="17"/>
  <c r="I734" i="17"/>
  <c r="C734" i="17"/>
  <c r="B734" i="17"/>
  <c r="I733" i="17"/>
  <c r="C733" i="17"/>
  <c r="B733" i="17"/>
  <c r="I732" i="17"/>
  <c r="C732" i="17"/>
  <c r="B732" i="17"/>
  <c r="I731" i="17"/>
  <c r="C731" i="17"/>
  <c r="B731" i="17"/>
  <c r="I730" i="17"/>
  <c r="C730" i="17"/>
  <c r="B730" i="17"/>
  <c r="I729" i="17"/>
  <c r="C729" i="17"/>
  <c r="B729" i="17"/>
  <c r="I728" i="17"/>
  <c r="C728" i="17"/>
  <c r="B728" i="17"/>
  <c r="I727" i="17"/>
  <c r="C727" i="17"/>
  <c r="B727" i="17"/>
  <c r="I726" i="17"/>
  <c r="C726" i="17"/>
  <c r="B726" i="17"/>
  <c r="I725" i="17"/>
  <c r="C725" i="17"/>
  <c r="B725" i="17"/>
  <c r="I724" i="17"/>
  <c r="C724" i="17"/>
  <c r="B724" i="17"/>
  <c r="I723" i="17"/>
  <c r="C723" i="17"/>
  <c r="B723" i="17"/>
  <c r="I722" i="17"/>
  <c r="C722" i="17"/>
  <c r="B722" i="17"/>
  <c r="I721" i="17"/>
  <c r="C721" i="17"/>
  <c r="B721" i="17"/>
  <c r="I720" i="17"/>
  <c r="C720" i="17"/>
  <c r="B720" i="17"/>
  <c r="I719" i="17"/>
  <c r="C719" i="17"/>
  <c r="B719" i="17"/>
  <c r="I718" i="17"/>
  <c r="C718" i="17"/>
  <c r="B718" i="17"/>
  <c r="I717" i="17"/>
  <c r="C717" i="17"/>
  <c r="B717" i="17"/>
  <c r="I716" i="17"/>
  <c r="C716" i="17"/>
  <c r="B716" i="17"/>
  <c r="I715" i="17"/>
  <c r="C715" i="17"/>
  <c r="B715" i="17"/>
  <c r="I714" i="17"/>
  <c r="C714" i="17"/>
  <c r="B714" i="17"/>
  <c r="I713" i="17"/>
  <c r="C713" i="17"/>
  <c r="B713" i="17"/>
  <c r="I712" i="17"/>
  <c r="C712" i="17"/>
  <c r="B712" i="17"/>
  <c r="I711" i="17"/>
  <c r="C711" i="17"/>
  <c r="B711" i="17"/>
  <c r="I710" i="17"/>
  <c r="C710" i="17"/>
  <c r="B710" i="17"/>
  <c r="I709" i="17"/>
  <c r="C709" i="17"/>
  <c r="B709" i="17"/>
  <c r="I708" i="17"/>
  <c r="C708" i="17"/>
  <c r="B708" i="17"/>
  <c r="I707" i="17"/>
  <c r="C707" i="17"/>
  <c r="B707" i="17"/>
  <c r="I706" i="17"/>
  <c r="C706" i="17"/>
  <c r="B706" i="17"/>
  <c r="I705" i="17"/>
  <c r="C705" i="17"/>
  <c r="B705" i="17"/>
  <c r="I704" i="17"/>
  <c r="C704" i="17"/>
  <c r="B704" i="17"/>
  <c r="I703" i="17"/>
  <c r="C703" i="17"/>
  <c r="B703" i="17"/>
  <c r="I702" i="17"/>
  <c r="C702" i="17"/>
  <c r="B702" i="17"/>
  <c r="I701" i="17"/>
  <c r="C701" i="17"/>
  <c r="B701" i="17"/>
  <c r="I700" i="17"/>
  <c r="C700" i="17"/>
  <c r="B700" i="17"/>
  <c r="I699" i="17"/>
  <c r="C699" i="17"/>
  <c r="B699" i="17"/>
  <c r="I698" i="17"/>
  <c r="C698" i="17"/>
  <c r="B698" i="17"/>
  <c r="I697" i="17"/>
  <c r="C697" i="17"/>
  <c r="B697" i="17"/>
  <c r="I696" i="17"/>
  <c r="C696" i="17"/>
  <c r="B696" i="17"/>
  <c r="I695" i="17"/>
  <c r="C695" i="17"/>
  <c r="B695" i="17"/>
  <c r="I694" i="17"/>
  <c r="C694" i="17"/>
  <c r="B694" i="17"/>
  <c r="I693" i="17"/>
  <c r="C693" i="17"/>
  <c r="B693" i="17"/>
  <c r="I692" i="17"/>
  <c r="C692" i="17"/>
  <c r="B692" i="17"/>
  <c r="I691" i="17"/>
  <c r="C691" i="17"/>
  <c r="B691" i="17"/>
  <c r="I690" i="17"/>
  <c r="C690" i="17"/>
  <c r="B690" i="17"/>
  <c r="I689" i="17"/>
  <c r="C689" i="17"/>
  <c r="B689" i="17"/>
  <c r="I688" i="17"/>
  <c r="C688" i="17"/>
  <c r="B688" i="17"/>
  <c r="I687" i="17"/>
  <c r="C687" i="17"/>
  <c r="B687" i="17"/>
  <c r="I686" i="17"/>
  <c r="C686" i="17"/>
  <c r="B686" i="17"/>
  <c r="I685" i="17"/>
  <c r="C685" i="17"/>
  <c r="B685" i="17"/>
  <c r="I684" i="17"/>
  <c r="C684" i="17"/>
  <c r="B684" i="17"/>
  <c r="I683" i="17"/>
  <c r="C683" i="17"/>
  <c r="B683" i="17"/>
  <c r="I682" i="17"/>
  <c r="C682" i="17"/>
  <c r="B682" i="17"/>
  <c r="I681" i="17"/>
  <c r="C681" i="17"/>
  <c r="B681" i="17"/>
  <c r="I680" i="17"/>
  <c r="C680" i="17"/>
  <c r="B680" i="17"/>
  <c r="I679" i="17"/>
  <c r="C679" i="17"/>
  <c r="B679" i="17"/>
  <c r="I678" i="17"/>
  <c r="C678" i="17"/>
  <c r="B678" i="17"/>
  <c r="I677" i="17"/>
  <c r="C677" i="17"/>
  <c r="B677" i="17"/>
  <c r="I676" i="17"/>
  <c r="C676" i="17"/>
  <c r="B676" i="17"/>
  <c r="I675" i="17"/>
  <c r="C675" i="17"/>
  <c r="B675" i="17"/>
  <c r="I674" i="17"/>
  <c r="C674" i="17"/>
  <c r="B674" i="17"/>
  <c r="I673" i="17"/>
  <c r="C673" i="17"/>
  <c r="B673" i="17"/>
  <c r="I672" i="17"/>
  <c r="C672" i="17"/>
  <c r="B672" i="17"/>
  <c r="I671" i="17"/>
  <c r="C671" i="17"/>
  <c r="B671" i="17"/>
  <c r="I670" i="17"/>
  <c r="C670" i="17"/>
  <c r="B670" i="17"/>
  <c r="I669" i="17"/>
  <c r="C669" i="17"/>
  <c r="B669" i="17"/>
  <c r="I668" i="17"/>
  <c r="C668" i="17"/>
  <c r="B668" i="17"/>
  <c r="I667" i="17"/>
  <c r="C667" i="17"/>
  <c r="B667" i="17"/>
  <c r="I666" i="17"/>
  <c r="C666" i="17"/>
  <c r="B666" i="17"/>
  <c r="I665" i="17"/>
  <c r="C665" i="17"/>
  <c r="B665" i="17"/>
  <c r="I664" i="17"/>
  <c r="C664" i="17"/>
  <c r="B664" i="17"/>
  <c r="I663" i="17"/>
  <c r="C663" i="17"/>
  <c r="B663" i="17"/>
  <c r="I662" i="17"/>
  <c r="C662" i="17"/>
  <c r="B662" i="17"/>
  <c r="I661" i="17"/>
  <c r="C661" i="17"/>
  <c r="B661" i="17"/>
  <c r="I660" i="17"/>
  <c r="C660" i="17"/>
  <c r="B660" i="17"/>
  <c r="I659" i="17"/>
  <c r="C659" i="17"/>
  <c r="B659" i="17"/>
  <c r="I658" i="17"/>
  <c r="C658" i="17"/>
  <c r="B658" i="17"/>
  <c r="I657" i="17"/>
  <c r="C657" i="17"/>
  <c r="B657" i="17"/>
  <c r="I656" i="17"/>
  <c r="C656" i="17"/>
  <c r="B656" i="17"/>
  <c r="I655" i="17"/>
  <c r="C655" i="17"/>
  <c r="B655" i="17"/>
  <c r="I654" i="17"/>
  <c r="C654" i="17"/>
  <c r="B654" i="17"/>
  <c r="I653" i="17"/>
  <c r="C653" i="17"/>
  <c r="B653" i="17"/>
  <c r="I652" i="17"/>
  <c r="C652" i="17"/>
  <c r="B652" i="17"/>
  <c r="I651" i="17"/>
  <c r="C651" i="17"/>
  <c r="B651" i="17"/>
  <c r="I650" i="17"/>
  <c r="C650" i="17"/>
  <c r="B650" i="17"/>
  <c r="I649" i="17"/>
  <c r="C649" i="17"/>
  <c r="B649" i="17"/>
  <c r="I648" i="17"/>
  <c r="C648" i="17"/>
  <c r="B648" i="17"/>
  <c r="I647" i="17"/>
  <c r="C647" i="17"/>
  <c r="B647" i="17"/>
  <c r="I646" i="17"/>
  <c r="C646" i="17"/>
  <c r="B646" i="17"/>
  <c r="I645" i="17"/>
  <c r="C645" i="17"/>
  <c r="B645" i="17"/>
  <c r="I644" i="17"/>
  <c r="C644" i="17"/>
  <c r="B644" i="17"/>
  <c r="I643" i="17"/>
  <c r="C643" i="17"/>
  <c r="B643" i="17"/>
  <c r="I642" i="17"/>
  <c r="C642" i="17"/>
  <c r="B642" i="17"/>
  <c r="I641" i="17"/>
  <c r="C641" i="17"/>
  <c r="B641" i="17"/>
  <c r="I640" i="17"/>
  <c r="C640" i="17"/>
  <c r="B640" i="17"/>
  <c r="I639" i="17"/>
  <c r="C639" i="17"/>
  <c r="B639" i="17"/>
  <c r="I638" i="17"/>
  <c r="C638" i="17"/>
  <c r="B638" i="17"/>
  <c r="I637" i="17"/>
  <c r="C637" i="17"/>
  <c r="B637" i="17"/>
  <c r="I636" i="17"/>
  <c r="C636" i="17"/>
  <c r="B636" i="17"/>
  <c r="I635" i="17"/>
  <c r="C635" i="17"/>
  <c r="B635" i="17"/>
  <c r="I634" i="17"/>
  <c r="C634" i="17"/>
  <c r="B634" i="17"/>
  <c r="I633" i="17"/>
  <c r="C633" i="17"/>
  <c r="B633" i="17"/>
  <c r="I632" i="17"/>
  <c r="C632" i="17"/>
  <c r="B632" i="17"/>
  <c r="I631" i="17"/>
  <c r="C631" i="17"/>
  <c r="B631" i="17"/>
  <c r="I630" i="17"/>
  <c r="C630" i="17"/>
  <c r="B630" i="17"/>
  <c r="I629" i="17"/>
  <c r="C629" i="17"/>
  <c r="B629" i="17"/>
  <c r="I628" i="17"/>
  <c r="C628" i="17"/>
  <c r="B628" i="17"/>
  <c r="I627" i="17"/>
  <c r="C627" i="17"/>
  <c r="B627" i="17"/>
  <c r="I626" i="17"/>
  <c r="C626" i="17"/>
  <c r="B626" i="17"/>
  <c r="I625" i="17"/>
  <c r="C625" i="17"/>
  <c r="B625" i="17"/>
  <c r="I624" i="17"/>
  <c r="C624" i="17"/>
  <c r="B624" i="17"/>
  <c r="I623" i="17"/>
  <c r="C623" i="17"/>
  <c r="B623" i="17"/>
  <c r="I622" i="17"/>
  <c r="C622" i="17"/>
  <c r="B622" i="17"/>
  <c r="I621" i="17"/>
  <c r="C621" i="17"/>
  <c r="B621" i="17"/>
  <c r="I620" i="17"/>
  <c r="C620" i="17"/>
  <c r="B620" i="17"/>
  <c r="I619" i="17"/>
  <c r="C619" i="17"/>
  <c r="B619" i="17"/>
  <c r="I618" i="17"/>
  <c r="C618" i="17"/>
  <c r="B618" i="17"/>
  <c r="I617" i="17"/>
  <c r="C617" i="17"/>
  <c r="B617" i="17"/>
  <c r="I616" i="17"/>
  <c r="C616" i="17"/>
  <c r="B616" i="17"/>
  <c r="I615" i="17"/>
  <c r="C615" i="17"/>
  <c r="B615" i="17"/>
  <c r="I614" i="17"/>
  <c r="C614" i="17"/>
  <c r="B614" i="17"/>
  <c r="I613" i="17"/>
  <c r="C613" i="17"/>
  <c r="B613" i="17"/>
  <c r="I612" i="17"/>
  <c r="C612" i="17"/>
  <c r="B612" i="17"/>
  <c r="I611" i="17"/>
  <c r="C611" i="17"/>
  <c r="B611" i="17"/>
  <c r="I610" i="17"/>
  <c r="C610" i="17"/>
  <c r="B610" i="17"/>
  <c r="I609" i="17"/>
  <c r="C609" i="17"/>
  <c r="B609" i="17"/>
  <c r="I608" i="17"/>
  <c r="C608" i="17"/>
  <c r="B608" i="17"/>
  <c r="I607" i="17"/>
  <c r="C607" i="17"/>
  <c r="B607" i="17"/>
  <c r="I606" i="17"/>
  <c r="C606" i="17"/>
  <c r="B606" i="17"/>
  <c r="I605" i="17"/>
  <c r="C605" i="17"/>
  <c r="B605" i="17"/>
  <c r="I604" i="17"/>
  <c r="C604" i="17"/>
  <c r="B604" i="17"/>
  <c r="I603" i="17"/>
  <c r="C603" i="17"/>
  <c r="B603" i="17"/>
  <c r="I602" i="17"/>
  <c r="C602" i="17"/>
  <c r="B602" i="17"/>
  <c r="I601" i="17"/>
  <c r="C601" i="17"/>
  <c r="B601" i="17"/>
  <c r="I600" i="17"/>
  <c r="C600" i="17"/>
  <c r="B600" i="17"/>
  <c r="I599" i="17"/>
  <c r="C599" i="17"/>
  <c r="B599" i="17"/>
  <c r="I598" i="17"/>
  <c r="C598" i="17"/>
  <c r="B598" i="17"/>
  <c r="I597" i="17"/>
  <c r="C597" i="17"/>
  <c r="B597" i="17"/>
  <c r="I596" i="17"/>
  <c r="C596" i="17"/>
  <c r="B596" i="17"/>
  <c r="I595" i="17"/>
  <c r="C595" i="17"/>
  <c r="B595" i="17"/>
  <c r="I594" i="17"/>
  <c r="C594" i="17"/>
  <c r="B594" i="17"/>
  <c r="I593" i="17"/>
  <c r="C593" i="17"/>
  <c r="B593" i="17"/>
  <c r="I592" i="17"/>
  <c r="C592" i="17"/>
  <c r="B592" i="17"/>
  <c r="I591" i="17"/>
  <c r="C591" i="17"/>
  <c r="B591" i="17"/>
  <c r="I590" i="17"/>
  <c r="C590" i="17"/>
  <c r="B590" i="17"/>
  <c r="I589" i="17"/>
  <c r="C589" i="17"/>
  <c r="B589" i="17"/>
  <c r="I588" i="17"/>
  <c r="C588" i="17"/>
  <c r="B588" i="17"/>
  <c r="I587" i="17"/>
  <c r="C587" i="17"/>
  <c r="B587" i="17"/>
  <c r="I586" i="17"/>
  <c r="C586" i="17"/>
  <c r="B586" i="17"/>
  <c r="I585" i="17"/>
  <c r="C585" i="17"/>
  <c r="B585" i="17"/>
  <c r="I584" i="17"/>
  <c r="C584" i="17"/>
  <c r="B584" i="17"/>
  <c r="I583" i="17"/>
  <c r="C583" i="17"/>
  <c r="B583" i="17"/>
  <c r="I582" i="17"/>
  <c r="C582" i="17"/>
  <c r="B582" i="17"/>
  <c r="I581" i="17"/>
  <c r="C581" i="17"/>
  <c r="B581" i="17"/>
  <c r="I580" i="17"/>
  <c r="C580" i="17"/>
  <c r="B580" i="17"/>
  <c r="I579" i="17"/>
  <c r="C579" i="17"/>
  <c r="B579" i="17"/>
  <c r="I578" i="17"/>
  <c r="C578" i="17"/>
  <c r="B578" i="17"/>
  <c r="I577" i="17"/>
  <c r="C577" i="17"/>
  <c r="B577" i="17"/>
  <c r="I576" i="17"/>
  <c r="C576" i="17"/>
  <c r="B576" i="17"/>
  <c r="I575" i="17"/>
  <c r="C575" i="17"/>
  <c r="B575" i="17"/>
  <c r="I574" i="17"/>
  <c r="C574" i="17"/>
  <c r="B574" i="17"/>
  <c r="I573" i="17"/>
  <c r="C573" i="17"/>
  <c r="B573" i="17"/>
  <c r="I572" i="17"/>
  <c r="C572" i="17"/>
  <c r="B572" i="17"/>
  <c r="I571" i="17"/>
  <c r="C571" i="17"/>
  <c r="B571" i="17"/>
  <c r="I570" i="17"/>
  <c r="C570" i="17"/>
  <c r="B570" i="17"/>
  <c r="I569" i="17"/>
  <c r="C569" i="17"/>
  <c r="B569" i="17"/>
  <c r="I568" i="17"/>
  <c r="C568" i="17"/>
  <c r="B568" i="17"/>
  <c r="I567" i="17"/>
  <c r="C567" i="17"/>
  <c r="B567" i="17"/>
  <c r="I566" i="17"/>
  <c r="C566" i="17"/>
  <c r="B566" i="17"/>
  <c r="I565" i="17"/>
  <c r="C565" i="17"/>
  <c r="B565" i="17"/>
  <c r="I564" i="17"/>
  <c r="C564" i="17"/>
  <c r="B564" i="17"/>
  <c r="I563" i="17"/>
  <c r="C563" i="17"/>
  <c r="B563" i="17"/>
  <c r="I562" i="17"/>
  <c r="C562" i="17"/>
  <c r="B562" i="17"/>
  <c r="I561" i="17"/>
  <c r="C561" i="17"/>
  <c r="B561" i="17"/>
  <c r="I560" i="17"/>
  <c r="C560" i="17"/>
  <c r="B560" i="17"/>
  <c r="I559" i="17"/>
  <c r="C559" i="17"/>
  <c r="B559" i="17"/>
  <c r="I558" i="17"/>
  <c r="C558" i="17"/>
  <c r="B558" i="17"/>
  <c r="I557" i="17"/>
  <c r="C557" i="17"/>
  <c r="B557" i="17"/>
  <c r="I556" i="17"/>
  <c r="C556" i="17"/>
  <c r="B556" i="17"/>
  <c r="I555" i="17"/>
  <c r="C555" i="17"/>
  <c r="B555" i="17"/>
  <c r="I554" i="17"/>
  <c r="C554" i="17"/>
  <c r="B554" i="17"/>
  <c r="I553" i="17"/>
  <c r="C553" i="17"/>
  <c r="B553" i="17"/>
  <c r="I552" i="17"/>
  <c r="C552" i="17"/>
  <c r="B552" i="17"/>
  <c r="I551" i="17"/>
  <c r="C551" i="17"/>
  <c r="B551" i="17"/>
  <c r="I550" i="17"/>
  <c r="C550" i="17"/>
  <c r="B550" i="17"/>
  <c r="I549" i="17"/>
  <c r="C549" i="17"/>
  <c r="B549" i="17"/>
  <c r="I548" i="17"/>
  <c r="C548" i="17"/>
  <c r="B548" i="17"/>
  <c r="I547" i="17"/>
  <c r="C547" i="17"/>
  <c r="B547" i="17"/>
  <c r="I546" i="17"/>
  <c r="C546" i="17"/>
  <c r="B546" i="17"/>
  <c r="I545" i="17"/>
  <c r="C545" i="17"/>
  <c r="B545" i="17"/>
  <c r="I544" i="17"/>
  <c r="C544" i="17"/>
  <c r="B544" i="17"/>
  <c r="I543" i="17"/>
  <c r="C543" i="17"/>
  <c r="B543" i="17"/>
  <c r="I542" i="17"/>
  <c r="C542" i="17"/>
  <c r="B542" i="17"/>
  <c r="I541" i="17"/>
  <c r="C541" i="17"/>
  <c r="B541" i="17"/>
  <c r="I540" i="17"/>
  <c r="C540" i="17"/>
  <c r="B540" i="17"/>
  <c r="I539" i="17"/>
  <c r="C539" i="17"/>
  <c r="B539" i="17"/>
  <c r="I538" i="17"/>
  <c r="C538" i="17"/>
  <c r="B538" i="17"/>
  <c r="I537" i="17"/>
  <c r="C537" i="17"/>
  <c r="B537" i="17"/>
  <c r="I536" i="17"/>
  <c r="C536" i="17"/>
  <c r="B536" i="17"/>
  <c r="I535" i="17"/>
  <c r="C535" i="17"/>
  <c r="B535" i="17"/>
  <c r="I534" i="17"/>
  <c r="C534" i="17"/>
  <c r="B534" i="17"/>
  <c r="I533" i="17"/>
  <c r="C533" i="17"/>
  <c r="B533" i="17"/>
  <c r="I532" i="17"/>
  <c r="C532" i="17"/>
  <c r="B532" i="17"/>
  <c r="I531" i="17"/>
  <c r="C531" i="17"/>
  <c r="B531" i="17"/>
  <c r="I530" i="17"/>
  <c r="C530" i="17"/>
  <c r="B530" i="17"/>
  <c r="I529" i="17"/>
  <c r="C529" i="17"/>
  <c r="B529" i="17"/>
  <c r="I528" i="17"/>
  <c r="C528" i="17"/>
  <c r="B528" i="17"/>
  <c r="I527" i="17"/>
  <c r="C527" i="17"/>
  <c r="B527" i="17"/>
  <c r="I526" i="17"/>
  <c r="C526" i="17"/>
  <c r="B526" i="17"/>
  <c r="I525" i="17"/>
  <c r="C525" i="17"/>
  <c r="B525" i="17"/>
  <c r="I524" i="17"/>
  <c r="C524" i="17"/>
  <c r="B524" i="17"/>
  <c r="I523" i="17"/>
  <c r="C523" i="17"/>
  <c r="B523" i="17"/>
  <c r="I522" i="17"/>
  <c r="C522" i="17"/>
  <c r="B522" i="17"/>
  <c r="I521" i="17"/>
  <c r="C521" i="17"/>
  <c r="B521" i="17"/>
  <c r="I520" i="17"/>
  <c r="C520" i="17"/>
  <c r="B520" i="17"/>
  <c r="I519" i="17"/>
  <c r="C519" i="17"/>
  <c r="B519" i="17"/>
  <c r="I518" i="17"/>
  <c r="C518" i="17"/>
  <c r="B518" i="17"/>
  <c r="I517" i="17"/>
  <c r="C517" i="17"/>
  <c r="B517" i="17"/>
  <c r="I516" i="17"/>
  <c r="C516" i="17"/>
  <c r="B516" i="17"/>
  <c r="I515" i="17"/>
  <c r="C515" i="17"/>
  <c r="B515" i="17"/>
  <c r="I514" i="17"/>
  <c r="C514" i="17"/>
  <c r="B514" i="17"/>
  <c r="I513" i="17"/>
  <c r="C513" i="17"/>
  <c r="B513" i="17"/>
  <c r="I512" i="17"/>
  <c r="C512" i="17"/>
  <c r="B512" i="17"/>
  <c r="I511" i="17"/>
  <c r="C511" i="17"/>
  <c r="B511" i="17"/>
  <c r="I510" i="17"/>
  <c r="C510" i="17"/>
  <c r="B510" i="17"/>
  <c r="I509" i="17"/>
  <c r="C509" i="17"/>
  <c r="B509" i="17"/>
  <c r="I508" i="17"/>
  <c r="C508" i="17"/>
  <c r="B508" i="17"/>
  <c r="I507" i="17"/>
  <c r="C507" i="17"/>
  <c r="B507" i="17"/>
  <c r="I506" i="17"/>
  <c r="C506" i="17"/>
  <c r="B506" i="17"/>
  <c r="I505" i="17"/>
  <c r="C505" i="17"/>
  <c r="B505" i="17"/>
  <c r="I504" i="17"/>
  <c r="C504" i="17"/>
  <c r="B504" i="17"/>
  <c r="I503" i="17"/>
  <c r="C503" i="17"/>
  <c r="B503" i="17"/>
  <c r="I502" i="17"/>
  <c r="C502" i="17"/>
  <c r="B502" i="17"/>
  <c r="I501" i="17"/>
  <c r="C501" i="17"/>
  <c r="B501" i="17"/>
  <c r="I500" i="17"/>
  <c r="C500" i="17"/>
  <c r="B500" i="17"/>
  <c r="I499" i="17"/>
  <c r="C499" i="17"/>
  <c r="B499" i="17"/>
  <c r="I498" i="17"/>
  <c r="C498" i="17"/>
  <c r="B498" i="17"/>
  <c r="I497" i="17"/>
  <c r="C497" i="17"/>
  <c r="B497" i="17"/>
  <c r="I496" i="17"/>
  <c r="C496" i="17"/>
  <c r="B496" i="17"/>
  <c r="I495" i="17"/>
  <c r="C495" i="17"/>
  <c r="B495" i="17"/>
  <c r="I494" i="17"/>
  <c r="C494" i="17"/>
  <c r="B494" i="17"/>
  <c r="I493" i="17"/>
  <c r="C493" i="17"/>
  <c r="B493" i="17"/>
  <c r="I492" i="17"/>
  <c r="C492" i="17"/>
  <c r="B492" i="17"/>
  <c r="I491" i="17"/>
  <c r="C491" i="17"/>
  <c r="B491" i="17"/>
  <c r="I490" i="17"/>
  <c r="C490" i="17"/>
  <c r="B490" i="17"/>
  <c r="I489" i="17"/>
  <c r="C489" i="17"/>
  <c r="B489" i="17"/>
  <c r="I488" i="17"/>
  <c r="C488" i="17"/>
  <c r="B488" i="17"/>
  <c r="I487" i="17"/>
  <c r="C487" i="17"/>
  <c r="B487" i="17"/>
  <c r="I486" i="17"/>
  <c r="C486" i="17"/>
  <c r="B486" i="17"/>
  <c r="I485" i="17"/>
  <c r="C485" i="17"/>
  <c r="B485" i="17"/>
  <c r="I484" i="17"/>
  <c r="C484" i="17"/>
  <c r="B484" i="17"/>
  <c r="I483" i="17"/>
  <c r="C483" i="17"/>
  <c r="B483" i="17"/>
  <c r="I482" i="17"/>
  <c r="C482" i="17"/>
  <c r="B482" i="17"/>
  <c r="I481" i="17"/>
  <c r="C481" i="17"/>
  <c r="B481" i="17"/>
  <c r="I480" i="17"/>
  <c r="C480" i="17"/>
  <c r="B480" i="17"/>
  <c r="I479" i="17"/>
  <c r="C479" i="17"/>
  <c r="B479" i="17"/>
  <c r="I478" i="17"/>
  <c r="C478" i="17"/>
  <c r="B478" i="17"/>
  <c r="I477" i="17"/>
  <c r="C477" i="17"/>
  <c r="B477" i="17"/>
  <c r="I476" i="17"/>
  <c r="C476" i="17"/>
  <c r="B476" i="17"/>
  <c r="I475" i="17"/>
  <c r="C475" i="17"/>
  <c r="B475" i="17"/>
  <c r="I474" i="17"/>
  <c r="C474" i="17"/>
  <c r="B474" i="17"/>
  <c r="I473" i="17"/>
  <c r="C473" i="17"/>
  <c r="B473" i="17"/>
  <c r="I472" i="17"/>
  <c r="C472" i="17"/>
  <c r="B472" i="17"/>
  <c r="I471" i="17"/>
  <c r="C471" i="17"/>
  <c r="B471" i="17"/>
  <c r="I470" i="17"/>
  <c r="C470" i="17"/>
  <c r="B470" i="17"/>
  <c r="I469" i="17"/>
  <c r="C469" i="17"/>
  <c r="B469" i="17"/>
  <c r="I468" i="17"/>
  <c r="C468" i="17"/>
  <c r="B468" i="17"/>
  <c r="I467" i="17"/>
  <c r="C467" i="17"/>
  <c r="B467" i="17"/>
  <c r="I466" i="17"/>
  <c r="C466" i="17"/>
  <c r="B466" i="17"/>
  <c r="I465" i="17"/>
  <c r="C465" i="17"/>
  <c r="B465" i="17"/>
  <c r="I464" i="17"/>
  <c r="C464" i="17"/>
  <c r="B464" i="17"/>
  <c r="I463" i="17"/>
  <c r="C463" i="17"/>
  <c r="B463" i="17"/>
  <c r="I462" i="17"/>
  <c r="C462" i="17"/>
  <c r="B462" i="17"/>
  <c r="I461" i="17"/>
  <c r="C461" i="17"/>
  <c r="B461" i="17"/>
  <c r="I460" i="17"/>
  <c r="C460" i="17"/>
  <c r="B460" i="17"/>
  <c r="I459" i="17"/>
  <c r="C459" i="17"/>
  <c r="B459" i="17"/>
  <c r="I458" i="17"/>
  <c r="C458" i="17"/>
  <c r="B458" i="17"/>
  <c r="I457" i="17"/>
  <c r="C457" i="17"/>
  <c r="B457" i="17"/>
  <c r="I456" i="17"/>
  <c r="C456" i="17"/>
  <c r="B456" i="17"/>
  <c r="I455" i="17"/>
  <c r="C455" i="17"/>
  <c r="B455" i="17"/>
  <c r="I454" i="17"/>
  <c r="C454" i="17"/>
  <c r="B454" i="17"/>
  <c r="I453" i="17"/>
  <c r="C453" i="17"/>
  <c r="B453" i="17"/>
  <c r="I452" i="17"/>
  <c r="C452" i="17"/>
  <c r="B452" i="17"/>
  <c r="I451" i="17"/>
  <c r="C451" i="17"/>
  <c r="B451" i="17"/>
  <c r="I450" i="17"/>
  <c r="C450" i="17"/>
  <c r="B450" i="17"/>
  <c r="I449" i="17"/>
  <c r="C449" i="17"/>
  <c r="B449" i="17"/>
  <c r="I448" i="17"/>
  <c r="C448" i="17"/>
  <c r="B448" i="17"/>
  <c r="I447" i="17"/>
  <c r="C447" i="17"/>
  <c r="B447" i="17"/>
  <c r="I446" i="17"/>
  <c r="C446" i="17"/>
  <c r="B446" i="17"/>
  <c r="I445" i="17"/>
  <c r="C445" i="17"/>
  <c r="B445" i="17"/>
  <c r="I444" i="17"/>
  <c r="C444" i="17"/>
  <c r="B444" i="17"/>
  <c r="I443" i="17"/>
  <c r="C443" i="17"/>
  <c r="B443" i="17"/>
  <c r="I442" i="17"/>
  <c r="C442" i="17"/>
  <c r="B442" i="17"/>
  <c r="I441" i="17"/>
  <c r="C441" i="17"/>
  <c r="B441" i="17"/>
  <c r="I440" i="17"/>
  <c r="C440" i="17"/>
  <c r="B440" i="17"/>
  <c r="I439" i="17"/>
  <c r="C439" i="17"/>
  <c r="B439" i="17"/>
  <c r="I438" i="17"/>
  <c r="C438" i="17"/>
  <c r="B438" i="17"/>
  <c r="I437" i="17"/>
  <c r="C437" i="17"/>
  <c r="B437" i="17"/>
  <c r="I436" i="17"/>
  <c r="C436" i="17"/>
  <c r="B436" i="17"/>
  <c r="I435" i="17"/>
  <c r="C435" i="17"/>
  <c r="B435" i="17"/>
  <c r="I434" i="17"/>
  <c r="C434" i="17"/>
  <c r="B434" i="17"/>
  <c r="I433" i="17"/>
  <c r="C433" i="17"/>
  <c r="B433" i="17"/>
  <c r="I432" i="17"/>
  <c r="C432" i="17"/>
  <c r="B432" i="17"/>
  <c r="I431" i="17"/>
  <c r="C431" i="17"/>
  <c r="B431" i="17"/>
  <c r="I430" i="17"/>
  <c r="C430" i="17"/>
  <c r="B430" i="17"/>
  <c r="I429" i="17"/>
  <c r="C429" i="17"/>
  <c r="B429" i="17"/>
  <c r="I428" i="17"/>
  <c r="C428" i="17"/>
  <c r="B428" i="17"/>
  <c r="I427" i="17"/>
  <c r="C427" i="17"/>
  <c r="B427" i="17"/>
  <c r="I426" i="17"/>
  <c r="C426" i="17"/>
  <c r="B426" i="17"/>
  <c r="I425" i="17"/>
  <c r="C425" i="17"/>
  <c r="B425" i="17"/>
  <c r="I424" i="17"/>
  <c r="C424" i="17"/>
  <c r="B424" i="17"/>
  <c r="I423" i="17"/>
  <c r="C423" i="17"/>
  <c r="B423" i="17"/>
  <c r="I422" i="17"/>
  <c r="C422" i="17"/>
  <c r="B422" i="17"/>
  <c r="I421" i="17"/>
  <c r="C421" i="17"/>
  <c r="B421" i="17"/>
  <c r="I420" i="17"/>
  <c r="C420" i="17"/>
  <c r="B420" i="17"/>
  <c r="I419" i="17"/>
  <c r="C419" i="17"/>
  <c r="B419" i="17"/>
  <c r="I418" i="17"/>
  <c r="C418" i="17"/>
  <c r="B418" i="17"/>
  <c r="I417" i="17"/>
  <c r="C417" i="17"/>
  <c r="B417" i="17"/>
  <c r="I416" i="17"/>
  <c r="C416" i="17"/>
  <c r="B416" i="17"/>
  <c r="I415" i="17"/>
  <c r="C415" i="17"/>
  <c r="B415" i="17"/>
  <c r="I414" i="17"/>
  <c r="C414" i="17"/>
  <c r="B414" i="17"/>
  <c r="I413" i="17"/>
  <c r="C413" i="17"/>
  <c r="B413" i="17"/>
  <c r="I412" i="17"/>
  <c r="C412" i="17"/>
  <c r="B412" i="17"/>
  <c r="I411" i="17"/>
  <c r="C411" i="17"/>
  <c r="B411" i="17"/>
  <c r="I410" i="17"/>
  <c r="C410" i="17"/>
  <c r="B410" i="17"/>
  <c r="I409" i="17"/>
  <c r="C409" i="17"/>
  <c r="B409" i="17"/>
  <c r="I408" i="17"/>
  <c r="C408" i="17"/>
  <c r="B408" i="17"/>
  <c r="I407" i="17"/>
  <c r="C407" i="17"/>
  <c r="B407" i="17"/>
  <c r="I406" i="17"/>
  <c r="C406" i="17"/>
  <c r="B406" i="17"/>
  <c r="I405" i="17"/>
  <c r="C405" i="17"/>
  <c r="B405" i="17"/>
  <c r="I404" i="17"/>
  <c r="C404" i="17"/>
  <c r="B404" i="17"/>
  <c r="I403" i="17"/>
  <c r="C403" i="17"/>
  <c r="B403" i="17"/>
  <c r="I402" i="17"/>
  <c r="C402" i="17"/>
  <c r="B402" i="17"/>
  <c r="I401" i="17"/>
  <c r="C401" i="17"/>
  <c r="B401" i="17"/>
  <c r="I400" i="17"/>
  <c r="C400" i="17"/>
  <c r="B400" i="17"/>
  <c r="I399" i="17"/>
  <c r="C399" i="17"/>
  <c r="B399" i="17"/>
  <c r="I398" i="17"/>
  <c r="C398" i="17"/>
  <c r="B398" i="17"/>
  <c r="I397" i="17"/>
  <c r="C397" i="17"/>
  <c r="B397" i="17"/>
  <c r="I396" i="17"/>
  <c r="C396" i="17"/>
  <c r="B396" i="17"/>
  <c r="I395" i="17"/>
  <c r="C395" i="17"/>
  <c r="B395" i="17"/>
  <c r="I394" i="17"/>
  <c r="C394" i="17"/>
  <c r="B394" i="17"/>
  <c r="I393" i="17"/>
  <c r="C393" i="17"/>
  <c r="B393" i="17"/>
  <c r="I392" i="17"/>
  <c r="C392" i="17"/>
  <c r="B392" i="17"/>
  <c r="I391" i="17"/>
  <c r="C391" i="17"/>
  <c r="B391" i="17"/>
  <c r="I390" i="17"/>
  <c r="C390" i="17"/>
  <c r="B390" i="17"/>
  <c r="I389" i="17"/>
  <c r="C389" i="17"/>
  <c r="B389" i="17"/>
  <c r="I388" i="17"/>
  <c r="C388" i="17"/>
  <c r="B388" i="17"/>
  <c r="I387" i="17"/>
  <c r="C387" i="17"/>
  <c r="B387" i="17"/>
  <c r="I386" i="17"/>
  <c r="C386" i="17"/>
  <c r="B386" i="17"/>
  <c r="I385" i="17"/>
  <c r="C385" i="17"/>
  <c r="B385" i="17"/>
  <c r="I384" i="17"/>
  <c r="C384" i="17"/>
  <c r="B384" i="17"/>
  <c r="I383" i="17"/>
  <c r="C383" i="17"/>
  <c r="B383" i="17"/>
  <c r="I382" i="17"/>
  <c r="C382" i="17"/>
  <c r="B382" i="17"/>
  <c r="I381" i="17"/>
  <c r="C381" i="17"/>
  <c r="B381" i="17"/>
  <c r="I380" i="17"/>
  <c r="C380" i="17"/>
  <c r="B380" i="17"/>
  <c r="I379" i="17"/>
  <c r="C379" i="17"/>
  <c r="B379" i="17"/>
  <c r="I378" i="17"/>
  <c r="C378" i="17"/>
  <c r="B378" i="17"/>
  <c r="I377" i="17"/>
  <c r="C377" i="17"/>
  <c r="B377" i="17"/>
  <c r="I376" i="17"/>
  <c r="C376" i="17"/>
  <c r="B376" i="17"/>
  <c r="I375" i="17"/>
  <c r="C375" i="17"/>
  <c r="B375" i="17"/>
  <c r="I374" i="17"/>
  <c r="C374" i="17"/>
  <c r="B374" i="17"/>
  <c r="I373" i="17"/>
  <c r="C373" i="17"/>
  <c r="B373" i="17"/>
  <c r="I372" i="17"/>
  <c r="C372" i="17"/>
  <c r="B372" i="17"/>
  <c r="I371" i="17"/>
  <c r="C371" i="17"/>
  <c r="B371" i="17"/>
  <c r="I370" i="17"/>
  <c r="C370" i="17"/>
  <c r="B370" i="17"/>
  <c r="I369" i="17"/>
  <c r="C369" i="17"/>
  <c r="B369" i="17"/>
  <c r="I368" i="17"/>
  <c r="C368" i="17"/>
  <c r="B368" i="17"/>
  <c r="I367" i="17"/>
  <c r="C367" i="17"/>
  <c r="B367" i="17"/>
  <c r="I366" i="17"/>
  <c r="C366" i="17"/>
  <c r="B366" i="17"/>
  <c r="I365" i="17"/>
  <c r="C365" i="17"/>
  <c r="B365" i="17"/>
  <c r="I364" i="17"/>
  <c r="C364" i="17"/>
  <c r="B364" i="17"/>
  <c r="I363" i="17"/>
  <c r="C363" i="17"/>
  <c r="B363" i="17"/>
  <c r="I362" i="17"/>
  <c r="C362" i="17"/>
  <c r="B362" i="17"/>
  <c r="I361" i="17"/>
  <c r="C361" i="17"/>
  <c r="B361" i="17"/>
  <c r="I360" i="17"/>
  <c r="C360" i="17"/>
  <c r="B360" i="17"/>
  <c r="I359" i="17"/>
  <c r="C359" i="17"/>
  <c r="B359" i="17"/>
  <c r="I358" i="17"/>
  <c r="C358" i="17"/>
  <c r="B358" i="17"/>
  <c r="I357" i="17"/>
  <c r="C357" i="17"/>
  <c r="B357" i="17"/>
  <c r="I356" i="17"/>
  <c r="C356" i="17"/>
  <c r="B356" i="17"/>
  <c r="I355" i="17"/>
  <c r="C355" i="17"/>
  <c r="B355" i="17"/>
  <c r="I354" i="17"/>
  <c r="C354" i="17"/>
  <c r="B354" i="17"/>
  <c r="I353" i="17"/>
  <c r="C353" i="17"/>
  <c r="B353" i="17"/>
  <c r="I352" i="17"/>
  <c r="C352" i="17"/>
  <c r="B352" i="17"/>
  <c r="I351" i="17"/>
  <c r="C351" i="17"/>
  <c r="B351" i="17"/>
  <c r="I350" i="17"/>
  <c r="C350" i="17"/>
  <c r="B350" i="17"/>
  <c r="I349" i="17"/>
  <c r="C349" i="17"/>
  <c r="B349" i="17"/>
  <c r="I348" i="17"/>
  <c r="C348" i="17"/>
  <c r="B348" i="17"/>
  <c r="I347" i="17"/>
  <c r="C347" i="17"/>
  <c r="B347" i="17"/>
  <c r="I346" i="17"/>
  <c r="C346" i="17"/>
  <c r="B346" i="17"/>
  <c r="I345" i="17"/>
  <c r="C345" i="17"/>
  <c r="B345" i="17"/>
  <c r="I344" i="17"/>
  <c r="C344" i="17"/>
  <c r="B344" i="17"/>
  <c r="I343" i="17"/>
  <c r="C343" i="17"/>
  <c r="B343" i="17"/>
  <c r="I342" i="17"/>
  <c r="C342" i="17"/>
  <c r="B342" i="17"/>
  <c r="I341" i="17"/>
  <c r="C341" i="17"/>
  <c r="B341" i="17"/>
  <c r="I340" i="17"/>
  <c r="C340" i="17"/>
  <c r="B340" i="17"/>
  <c r="I339" i="17"/>
  <c r="C339" i="17"/>
  <c r="B339" i="17"/>
  <c r="I338" i="17"/>
  <c r="C338" i="17"/>
  <c r="B338" i="17"/>
  <c r="I337" i="17"/>
  <c r="C337" i="17"/>
  <c r="B337" i="17"/>
  <c r="I336" i="17"/>
  <c r="C336" i="17"/>
  <c r="B336" i="17"/>
  <c r="I335" i="17"/>
  <c r="C335" i="17"/>
  <c r="B335" i="17"/>
  <c r="I334" i="17"/>
  <c r="C334" i="17"/>
  <c r="B334" i="17"/>
  <c r="I333" i="17"/>
  <c r="C333" i="17"/>
  <c r="B333" i="17"/>
  <c r="I332" i="17"/>
  <c r="C332" i="17"/>
  <c r="B332" i="17"/>
  <c r="I331" i="17"/>
  <c r="C331" i="17"/>
  <c r="B331" i="17"/>
  <c r="I330" i="17"/>
  <c r="C330" i="17"/>
  <c r="B330" i="17"/>
  <c r="I329" i="17"/>
  <c r="C329" i="17"/>
  <c r="B329" i="17"/>
  <c r="I328" i="17"/>
  <c r="C328" i="17"/>
  <c r="B328" i="17"/>
  <c r="I327" i="17"/>
  <c r="C327" i="17"/>
  <c r="B327" i="17"/>
  <c r="I326" i="17"/>
  <c r="C326" i="17"/>
  <c r="B326" i="17"/>
  <c r="I325" i="17"/>
  <c r="C325" i="17"/>
  <c r="B325" i="17"/>
  <c r="I324" i="17"/>
  <c r="C324" i="17"/>
  <c r="B324" i="17"/>
  <c r="I323" i="17"/>
  <c r="C323" i="17"/>
  <c r="B323" i="17"/>
  <c r="I322" i="17"/>
  <c r="C322" i="17"/>
  <c r="B322" i="17"/>
  <c r="I321" i="17"/>
  <c r="C321" i="17"/>
  <c r="B321" i="17"/>
  <c r="I320" i="17"/>
  <c r="C320" i="17"/>
  <c r="B320" i="17"/>
  <c r="I319" i="17"/>
  <c r="C319" i="17"/>
  <c r="B319" i="17"/>
  <c r="I318" i="17"/>
  <c r="C318" i="17"/>
  <c r="B318" i="17"/>
  <c r="I317" i="17"/>
  <c r="C317" i="17"/>
  <c r="B317" i="17"/>
  <c r="I316" i="17"/>
  <c r="C316" i="17"/>
  <c r="B316" i="17"/>
  <c r="I315" i="17"/>
  <c r="C315" i="17"/>
  <c r="B315" i="17"/>
  <c r="I314" i="17"/>
  <c r="C314" i="17"/>
  <c r="B314" i="17"/>
  <c r="I313" i="17"/>
  <c r="C313" i="17"/>
  <c r="B313" i="17"/>
  <c r="I312" i="17"/>
  <c r="C312" i="17"/>
  <c r="B312" i="17"/>
  <c r="I311" i="17"/>
  <c r="C311" i="17"/>
  <c r="B311" i="17"/>
  <c r="I310" i="17"/>
  <c r="C310" i="17"/>
  <c r="B310" i="17"/>
  <c r="I309" i="17"/>
  <c r="C309" i="17"/>
  <c r="B309" i="17"/>
  <c r="I308" i="17"/>
  <c r="C308" i="17"/>
  <c r="B308" i="17"/>
  <c r="I307" i="17"/>
  <c r="C307" i="17"/>
  <c r="B307" i="17"/>
  <c r="I306" i="17"/>
  <c r="C306" i="17"/>
  <c r="B306" i="17"/>
  <c r="I305" i="17"/>
  <c r="C305" i="17"/>
  <c r="B305" i="17"/>
  <c r="I304" i="17"/>
  <c r="C304" i="17"/>
  <c r="B304" i="17"/>
  <c r="I303" i="17"/>
  <c r="C303" i="17"/>
  <c r="B303" i="17"/>
  <c r="I302" i="17"/>
  <c r="C302" i="17"/>
  <c r="B302" i="17"/>
  <c r="I301" i="17"/>
  <c r="C301" i="17"/>
  <c r="B301" i="17"/>
  <c r="I300" i="17"/>
  <c r="C300" i="17"/>
  <c r="B300" i="17"/>
  <c r="I299" i="17"/>
  <c r="C299" i="17"/>
  <c r="B299" i="17"/>
  <c r="I298" i="17"/>
  <c r="C298" i="17"/>
  <c r="B298" i="17"/>
  <c r="I297" i="17"/>
  <c r="C297" i="17"/>
  <c r="B297" i="17"/>
  <c r="I296" i="17"/>
  <c r="C296" i="17"/>
  <c r="B296" i="17"/>
  <c r="I295" i="17"/>
  <c r="C295" i="17"/>
  <c r="B295" i="17"/>
  <c r="I294" i="17"/>
  <c r="C294" i="17"/>
  <c r="B294" i="17"/>
  <c r="I293" i="17"/>
  <c r="C293" i="17"/>
  <c r="B293" i="17"/>
  <c r="I292" i="17"/>
  <c r="C292" i="17"/>
  <c r="B292" i="17"/>
  <c r="I291" i="17"/>
  <c r="C291" i="17"/>
  <c r="B291" i="17"/>
  <c r="I290" i="17"/>
  <c r="C290" i="17"/>
  <c r="B290" i="17"/>
  <c r="I289" i="17"/>
  <c r="C289" i="17"/>
  <c r="B289" i="17"/>
  <c r="I288" i="17"/>
  <c r="C288" i="17"/>
  <c r="B288" i="17"/>
  <c r="I287" i="17"/>
  <c r="C287" i="17"/>
  <c r="B287" i="17"/>
  <c r="I286" i="17"/>
  <c r="C286" i="17"/>
  <c r="B286" i="17"/>
  <c r="I285" i="17"/>
  <c r="C285" i="17"/>
  <c r="B285" i="17"/>
  <c r="I284" i="17"/>
  <c r="C284" i="17"/>
  <c r="B284" i="17"/>
  <c r="I283" i="17"/>
  <c r="C283" i="17"/>
  <c r="B283" i="17"/>
  <c r="I282" i="17"/>
  <c r="C282" i="17"/>
  <c r="B282" i="17"/>
  <c r="I281" i="17"/>
  <c r="C281" i="17"/>
  <c r="B281" i="17"/>
  <c r="I280" i="17"/>
  <c r="C280" i="17"/>
  <c r="B280" i="17"/>
  <c r="I279" i="17"/>
  <c r="C279" i="17"/>
  <c r="B279" i="17"/>
  <c r="I278" i="17"/>
  <c r="C278" i="17"/>
  <c r="B278" i="17"/>
  <c r="I277" i="17"/>
  <c r="C277" i="17"/>
  <c r="B277" i="17"/>
  <c r="I276" i="17"/>
  <c r="C276" i="17"/>
  <c r="B276" i="17"/>
  <c r="I275" i="17"/>
  <c r="C275" i="17"/>
  <c r="B275" i="17"/>
  <c r="I274" i="17"/>
  <c r="C274" i="17"/>
  <c r="B274" i="17"/>
  <c r="I273" i="17"/>
  <c r="C273" i="17"/>
  <c r="B273" i="17"/>
  <c r="I272" i="17"/>
  <c r="C272" i="17"/>
  <c r="B272" i="17"/>
  <c r="I271" i="17"/>
  <c r="C271" i="17"/>
  <c r="B271" i="17"/>
  <c r="I270" i="17"/>
  <c r="C270" i="17"/>
  <c r="B270" i="17"/>
  <c r="I269" i="17"/>
  <c r="C269" i="17"/>
  <c r="B269" i="17"/>
  <c r="I268" i="17"/>
  <c r="C268" i="17"/>
  <c r="B268" i="17"/>
  <c r="I267" i="17"/>
  <c r="C267" i="17"/>
  <c r="B267" i="17"/>
  <c r="I266" i="17"/>
  <c r="C266" i="17"/>
  <c r="B266" i="17"/>
  <c r="I265" i="17"/>
  <c r="C265" i="17"/>
  <c r="B265" i="17"/>
  <c r="I264" i="17"/>
  <c r="C264" i="17"/>
  <c r="B264" i="17"/>
  <c r="I263" i="17"/>
  <c r="C263" i="17"/>
  <c r="B263" i="17"/>
  <c r="I262" i="17"/>
  <c r="C262" i="17"/>
  <c r="B262" i="17"/>
  <c r="I261" i="17"/>
  <c r="C261" i="17"/>
  <c r="B261" i="17"/>
  <c r="I260" i="17"/>
  <c r="C260" i="17"/>
  <c r="B260" i="17"/>
  <c r="I259" i="17"/>
  <c r="C259" i="17"/>
  <c r="B259" i="17"/>
  <c r="I258" i="17"/>
  <c r="C258" i="17"/>
  <c r="B258" i="17"/>
  <c r="I257" i="17"/>
  <c r="C257" i="17"/>
  <c r="B257" i="17"/>
  <c r="I256" i="17"/>
  <c r="C256" i="17"/>
  <c r="B256" i="17"/>
  <c r="I255" i="17"/>
  <c r="C255" i="17"/>
  <c r="B255" i="17"/>
  <c r="I254" i="17"/>
  <c r="C254" i="17"/>
  <c r="B254" i="17"/>
  <c r="I253" i="17"/>
  <c r="C253" i="17"/>
  <c r="B253" i="17"/>
  <c r="I252" i="17"/>
  <c r="C252" i="17"/>
  <c r="B252" i="17"/>
  <c r="I251" i="17"/>
  <c r="C251" i="17"/>
  <c r="B251" i="17"/>
  <c r="I250" i="17"/>
  <c r="C250" i="17"/>
  <c r="B250" i="17"/>
  <c r="I249" i="17"/>
  <c r="C249" i="17"/>
  <c r="B249" i="17"/>
  <c r="I248" i="17"/>
  <c r="C248" i="17"/>
  <c r="B248" i="17"/>
  <c r="I247" i="17"/>
  <c r="C247" i="17"/>
  <c r="B247" i="17"/>
  <c r="I246" i="17"/>
  <c r="C246" i="17"/>
  <c r="B246" i="17"/>
  <c r="I245" i="17"/>
  <c r="C245" i="17"/>
  <c r="B245" i="17"/>
  <c r="I244" i="17"/>
  <c r="C244" i="17"/>
  <c r="B244" i="17"/>
  <c r="I243" i="17"/>
  <c r="C243" i="17"/>
  <c r="B243" i="17"/>
  <c r="I242" i="17"/>
  <c r="C242" i="17"/>
  <c r="B242" i="17"/>
  <c r="I241" i="17"/>
  <c r="C241" i="17"/>
  <c r="B241" i="17"/>
  <c r="I240" i="17"/>
  <c r="C240" i="17"/>
  <c r="B240" i="17"/>
  <c r="I239" i="17"/>
  <c r="C239" i="17"/>
  <c r="B239" i="17"/>
  <c r="I238" i="17"/>
  <c r="C238" i="17"/>
  <c r="B238" i="17"/>
  <c r="I237" i="17"/>
  <c r="C237" i="17"/>
  <c r="B237" i="17"/>
  <c r="I236" i="17"/>
  <c r="C236" i="17"/>
  <c r="B236" i="17"/>
  <c r="I235" i="17"/>
  <c r="C235" i="17"/>
  <c r="B235" i="17"/>
  <c r="I234" i="17"/>
  <c r="C234" i="17"/>
  <c r="B234" i="17"/>
  <c r="I233" i="17"/>
  <c r="C233" i="17"/>
  <c r="B233" i="17"/>
  <c r="I232" i="17"/>
  <c r="C232" i="17"/>
  <c r="B232" i="17"/>
  <c r="I231" i="17"/>
  <c r="C231" i="17"/>
  <c r="B231" i="17"/>
  <c r="I230" i="17"/>
  <c r="C230" i="17"/>
  <c r="B230" i="17"/>
  <c r="I229" i="17"/>
  <c r="C229" i="17"/>
  <c r="B229" i="17"/>
  <c r="I228" i="17"/>
  <c r="C228" i="17"/>
  <c r="B228" i="17"/>
  <c r="I227" i="17"/>
  <c r="C227" i="17"/>
  <c r="B227" i="17"/>
  <c r="I226" i="17"/>
  <c r="C226" i="17"/>
  <c r="B226" i="17"/>
  <c r="I225" i="17"/>
  <c r="C225" i="17"/>
  <c r="B225" i="17"/>
  <c r="I224" i="17"/>
  <c r="C224" i="17"/>
  <c r="B224" i="17"/>
  <c r="I223" i="17"/>
  <c r="C223" i="17"/>
  <c r="B223" i="17"/>
  <c r="I222" i="17"/>
  <c r="C222" i="17"/>
  <c r="B222" i="17"/>
  <c r="I221" i="17"/>
  <c r="C221" i="17"/>
  <c r="B221" i="17"/>
  <c r="I220" i="17"/>
  <c r="C220" i="17"/>
  <c r="B220" i="17"/>
  <c r="I219" i="17"/>
  <c r="C219" i="17"/>
  <c r="B219" i="17"/>
  <c r="I218" i="17"/>
  <c r="C218" i="17"/>
  <c r="B218" i="17"/>
  <c r="I217" i="17"/>
  <c r="C217" i="17"/>
  <c r="B217" i="17"/>
  <c r="I216" i="17"/>
  <c r="C216" i="17"/>
  <c r="B216" i="17"/>
  <c r="I215" i="17"/>
  <c r="C215" i="17"/>
  <c r="B215" i="17"/>
  <c r="I214" i="17"/>
  <c r="C214" i="17"/>
  <c r="B214" i="17"/>
  <c r="I213" i="17"/>
  <c r="C213" i="17"/>
  <c r="B213" i="17"/>
  <c r="I212" i="17"/>
  <c r="C212" i="17"/>
  <c r="B212" i="17"/>
  <c r="I211" i="17"/>
  <c r="C211" i="17"/>
  <c r="B211" i="17"/>
  <c r="I210" i="17"/>
  <c r="C210" i="17"/>
  <c r="B210" i="17"/>
  <c r="I209" i="17"/>
  <c r="C209" i="17"/>
  <c r="B209" i="17"/>
  <c r="I208" i="17"/>
  <c r="C208" i="17"/>
  <c r="B208" i="17"/>
  <c r="I207" i="17"/>
  <c r="C207" i="17"/>
  <c r="B207" i="17"/>
  <c r="I206" i="17"/>
  <c r="C206" i="17"/>
  <c r="B206" i="17"/>
  <c r="I205" i="17"/>
  <c r="C205" i="17"/>
  <c r="B205" i="17"/>
  <c r="I204" i="17"/>
  <c r="C204" i="17"/>
  <c r="B204" i="17"/>
  <c r="I203" i="17"/>
  <c r="C203" i="17"/>
  <c r="B203" i="17"/>
  <c r="I202" i="17"/>
  <c r="C202" i="17"/>
  <c r="B202" i="17"/>
  <c r="I201" i="17"/>
  <c r="C201" i="17"/>
  <c r="B201" i="17"/>
  <c r="I200" i="17"/>
  <c r="C200" i="17"/>
  <c r="B200" i="17"/>
  <c r="I199" i="17"/>
  <c r="C199" i="17"/>
  <c r="B199" i="17"/>
  <c r="I198" i="17"/>
  <c r="C198" i="17"/>
  <c r="B198" i="17"/>
  <c r="I197" i="17"/>
  <c r="C197" i="17"/>
  <c r="B197" i="17"/>
  <c r="I196" i="17"/>
  <c r="C196" i="17"/>
  <c r="B196" i="17"/>
  <c r="I195" i="17"/>
  <c r="C195" i="17"/>
  <c r="B195" i="17"/>
  <c r="I194" i="17"/>
  <c r="C194" i="17"/>
  <c r="B194" i="17"/>
  <c r="I193" i="17"/>
  <c r="C193" i="17"/>
  <c r="B193" i="17"/>
  <c r="I192" i="17"/>
  <c r="C192" i="17"/>
  <c r="B192" i="17"/>
  <c r="I191" i="17"/>
  <c r="C191" i="17"/>
  <c r="B191" i="17"/>
  <c r="I190" i="17"/>
  <c r="C190" i="17"/>
  <c r="B190" i="17"/>
  <c r="I189" i="17"/>
  <c r="C189" i="17"/>
  <c r="B189" i="17"/>
  <c r="I188" i="17"/>
  <c r="C188" i="17"/>
  <c r="B188" i="17"/>
  <c r="I187" i="17"/>
  <c r="C187" i="17"/>
  <c r="B187" i="17"/>
  <c r="I186" i="17"/>
  <c r="C186" i="17"/>
  <c r="B186" i="17"/>
  <c r="I185" i="17"/>
  <c r="C185" i="17"/>
  <c r="B185" i="17"/>
  <c r="I184" i="17"/>
  <c r="C184" i="17"/>
  <c r="B184" i="17"/>
  <c r="I183" i="17"/>
  <c r="C183" i="17"/>
  <c r="B183" i="17"/>
  <c r="I182" i="17"/>
  <c r="C182" i="17"/>
  <c r="B182" i="17"/>
  <c r="I181" i="17"/>
  <c r="C181" i="17"/>
  <c r="B181" i="17"/>
  <c r="I180" i="17"/>
  <c r="C180" i="17"/>
  <c r="B180" i="17"/>
  <c r="I179" i="17"/>
  <c r="C179" i="17"/>
  <c r="B179" i="17"/>
  <c r="I178" i="17"/>
  <c r="C178" i="17"/>
  <c r="B178" i="17"/>
  <c r="I177" i="17"/>
  <c r="C177" i="17"/>
  <c r="B177" i="17"/>
  <c r="I176" i="17"/>
  <c r="C176" i="17"/>
  <c r="B176" i="17"/>
  <c r="I175" i="17"/>
  <c r="C175" i="17"/>
  <c r="B175" i="17"/>
  <c r="I174" i="17"/>
  <c r="C174" i="17"/>
  <c r="B174" i="17"/>
  <c r="I173" i="17"/>
  <c r="C173" i="17"/>
  <c r="B173" i="17"/>
  <c r="I172" i="17"/>
  <c r="C172" i="17"/>
  <c r="B172" i="17"/>
  <c r="I171" i="17"/>
  <c r="C171" i="17"/>
  <c r="B171" i="17"/>
  <c r="I170" i="17"/>
  <c r="C170" i="17"/>
  <c r="B170" i="17"/>
  <c r="I169" i="17"/>
  <c r="C169" i="17"/>
  <c r="B169" i="17"/>
  <c r="I168" i="17"/>
  <c r="C168" i="17"/>
  <c r="B168" i="17"/>
  <c r="I167" i="17"/>
  <c r="C167" i="17"/>
  <c r="B167" i="17"/>
  <c r="I166" i="17"/>
  <c r="C166" i="17"/>
  <c r="B166" i="17"/>
  <c r="I165" i="17"/>
  <c r="C165" i="17"/>
  <c r="B165" i="17"/>
  <c r="I164" i="17"/>
  <c r="C164" i="17"/>
  <c r="B164" i="17"/>
  <c r="I163" i="17"/>
  <c r="C163" i="17"/>
  <c r="B163" i="17"/>
  <c r="I162" i="17"/>
  <c r="C162" i="17"/>
  <c r="B162" i="17"/>
  <c r="I161" i="17"/>
  <c r="C161" i="17"/>
  <c r="B161" i="17"/>
  <c r="I160" i="17"/>
  <c r="C160" i="17"/>
  <c r="B160" i="17"/>
  <c r="I159" i="17"/>
  <c r="C159" i="17"/>
  <c r="B159" i="17"/>
  <c r="I158" i="17"/>
  <c r="C158" i="17"/>
  <c r="B158" i="17"/>
  <c r="I157" i="17"/>
  <c r="C157" i="17"/>
  <c r="B157" i="17"/>
  <c r="I156" i="17"/>
  <c r="C156" i="17"/>
  <c r="B156" i="17"/>
  <c r="I155" i="17"/>
  <c r="C155" i="17"/>
  <c r="B155" i="17"/>
  <c r="I154" i="17"/>
  <c r="C154" i="17"/>
  <c r="B154" i="17"/>
  <c r="I153" i="17"/>
  <c r="C153" i="17"/>
  <c r="B153" i="17"/>
  <c r="I152" i="17"/>
  <c r="C152" i="17"/>
  <c r="B152" i="17"/>
  <c r="I151" i="17"/>
  <c r="C151" i="17"/>
  <c r="B151" i="17"/>
  <c r="I150" i="17"/>
  <c r="C150" i="17"/>
  <c r="B150" i="17"/>
  <c r="I149" i="17"/>
  <c r="C149" i="17"/>
  <c r="B149" i="17"/>
  <c r="I148" i="17"/>
  <c r="C148" i="17"/>
  <c r="B148" i="17"/>
  <c r="I147" i="17"/>
  <c r="C147" i="17"/>
  <c r="B147" i="17"/>
  <c r="I146" i="17"/>
  <c r="C146" i="17"/>
  <c r="B146" i="17"/>
  <c r="I145" i="17"/>
  <c r="C145" i="17"/>
  <c r="B145" i="17"/>
  <c r="I144" i="17"/>
  <c r="C144" i="17"/>
  <c r="B144" i="17"/>
  <c r="I143" i="17"/>
  <c r="C143" i="17"/>
  <c r="B143" i="17"/>
  <c r="I142" i="17"/>
  <c r="C142" i="17"/>
  <c r="B142" i="17"/>
  <c r="I141" i="17"/>
  <c r="C141" i="17"/>
  <c r="B141" i="17"/>
  <c r="I140" i="17"/>
  <c r="C140" i="17"/>
  <c r="B140" i="17"/>
  <c r="I139" i="17"/>
  <c r="C139" i="17"/>
  <c r="B139" i="17"/>
  <c r="I138" i="17"/>
  <c r="C138" i="17"/>
  <c r="B138" i="17"/>
  <c r="I137" i="17"/>
  <c r="C137" i="17"/>
  <c r="B137" i="17"/>
  <c r="I136" i="17"/>
  <c r="C136" i="17"/>
  <c r="B136" i="17"/>
  <c r="I135" i="17"/>
  <c r="C135" i="17"/>
  <c r="B135" i="17"/>
  <c r="I134" i="17"/>
  <c r="C134" i="17"/>
  <c r="B134" i="17"/>
  <c r="I133" i="17"/>
  <c r="C133" i="17"/>
  <c r="B133" i="17"/>
  <c r="I132" i="17"/>
  <c r="C132" i="17"/>
  <c r="B132" i="17"/>
  <c r="I131" i="17"/>
  <c r="C131" i="17"/>
  <c r="B131" i="17"/>
  <c r="I130" i="17"/>
  <c r="C130" i="17"/>
  <c r="B130" i="17"/>
  <c r="I129" i="17"/>
  <c r="C129" i="17"/>
  <c r="B129" i="17"/>
  <c r="I128" i="17"/>
  <c r="C128" i="17"/>
  <c r="B128" i="17"/>
  <c r="I127" i="17"/>
  <c r="C127" i="17"/>
  <c r="B127" i="17"/>
  <c r="I126" i="17"/>
  <c r="C126" i="17"/>
  <c r="B126" i="17"/>
  <c r="I125" i="17"/>
  <c r="C125" i="17"/>
  <c r="B125" i="17"/>
  <c r="I124" i="17"/>
  <c r="C124" i="17"/>
  <c r="B124" i="17"/>
  <c r="I123" i="17"/>
  <c r="C123" i="17"/>
  <c r="B123" i="17"/>
  <c r="I122" i="17"/>
  <c r="C122" i="17"/>
  <c r="B122" i="17"/>
  <c r="I121" i="17"/>
  <c r="C121" i="17"/>
  <c r="B121" i="17"/>
  <c r="I120" i="17"/>
  <c r="C120" i="17"/>
  <c r="B120" i="17"/>
  <c r="I119" i="17"/>
  <c r="C119" i="17"/>
  <c r="B119" i="17"/>
  <c r="I118" i="17"/>
  <c r="C118" i="17"/>
  <c r="B118" i="17"/>
  <c r="I117" i="17"/>
  <c r="C117" i="17"/>
  <c r="B117" i="17"/>
  <c r="I116" i="17"/>
  <c r="C116" i="17"/>
  <c r="B116" i="17"/>
  <c r="I115" i="17"/>
  <c r="C115" i="17"/>
  <c r="B115" i="17"/>
  <c r="I114" i="17"/>
  <c r="C114" i="17"/>
  <c r="B114" i="17"/>
  <c r="I113" i="17"/>
  <c r="C113" i="17"/>
  <c r="B113" i="17"/>
  <c r="I112" i="17"/>
  <c r="C112" i="17"/>
  <c r="B112" i="17"/>
  <c r="I111" i="17"/>
  <c r="C111" i="17"/>
  <c r="B111" i="17"/>
  <c r="I110" i="17"/>
  <c r="C110" i="17"/>
  <c r="B110" i="17"/>
  <c r="I109" i="17"/>
  <c r="C109" i="17"/>
  <c r="B109" i="17"/>
  <c r="I108" i="17"/>
  <c r="C108" i="17"/>
  <c r="B108" i="17"/>
  <c r="I107" i="17"/>
  <c r="C107" i="17"/>
  <c r="B107" i="17"/>
  <c r="I106" i="17"/>
  <c r="C106" i="17"/>
  <c r="B106" i="17"/>
  <c r="I105" i="17"/>
  <c r="C105" i="17"/>
  <c r="B105" i="17"/>
  <c r="I104" i="17"/>
  <c r="C104" i="17"/>
  <c r="B104" i="17"/>
  <c r="I103" i="17"/>
  <c r="C103" i="17"/>
  <c r="B103" i="17"/>
  <c r="I102" i="17"/>
  <c r="C102" i="17"/>
  <c r="B102" i="17"/>
  <c r="I101" i="17"/>
  <c r="C101" i="17"/>
  <c r="B101" i="17"/>
  <c r="I100" i="17"/>
  <c r="C100" i="17"/>
  <c r="B100" i="17"/>
  <c r="I99" i="17"/>
  <c r="C99" i="17"/>
  <c r="B99" i="17"/>
  <c r="I98" i="17"/>
  <c r="C98" i="17"/>
  <c r="B98" i="17"/>
  <c r="I97" i="17"/>
  <c r="C97" i="17"/>
  <c r="B97" i="17"/>
  <c r="I96" i="17"/>
  <c r="C96" i="17"/>
  <c r="B96" i="17"/>
  <c r="I95" i="17"/>
  <c r="C95" i="17"/>
  <c r="B95" i="17"/>
  <c r="I94" i="17"/>
  <c r="C94" i="17"/>
  <c r="B94" i="17"/>
  <c r="I93" i="17"/>
  <c r="C93" i="17"/>
  <c r="B93" i="17"/>
  <c r="I92" i="17"/>
  <c r="C92" i="17"/>
  <c r="B92" i="17"/>
  <c r="I91" i="17"/>
  <c r="C91" i="17"/>
  <c r="B91" i="17"/>
  <c r="I90" i="17"/>
  <c r="C90" i="17"/>
  <c r="B90" i="17"/>
  <c r="I89" i="17"/>
  <c r="C89" i="17"/>
  <c r="B89" i="17"/>
  <c r="I88" i="17"/>
  <c r="C88" i="17"/>
  <c r="B88" i="17"/>
  <c r="I87" i="17"/>
  <c r="C87" i="17"/>
  <c r="B87" i="17"/>
  <c r="I86" i="17"/>
  <c r="C86" i="17"/>
  <c r="B86" i="17"/>
  <c r="I85" i="17"/>
  <c r="C85" i="17"/>
  <c r="B85" i="17"/>
  <c r="I84" i="17"/>
  <c r="C84" i="17"/>
  <c r="B84" i="17"/>
  <c r="I83" i="17"/>
  <c r="C83" i="17"/>
  <c r="B83" i="17"/>
  <c r="I82" i="17"/>
  <c r="C82" i="17"/>
  <c r="B82" i="17"/>
  <c r="I81" i="17"/>
  <c r="C81" i="17"/>
  <c r="B81" i="17"/>
  <c r="I80" i="17"/>
  <c r="C80" i="17"/>
  <c r="B80" i="17"/>
  <c r="I79" i="17"/>
  <c r="C79" i="17"/>
  <c r="B79" i="17"/>
  <c r="I78" i="17"/>
  <c r="C78" i="17"/>
  <c r="B78" i="17"/>
  <c r="I77" i="17"/>
  <c r="C77" i="17"/>
  <c r="B77" i="17"/>
  <c r="I76" i="17"/>
  <c r="C76" i="17"/>
  <c r="B76" i="17"/>
  <c r="I75" i="17"/>
  <c r="C75" i="17"/>
  <c r="B75" i="17"/>
  <c r="I74" i="17"/>
  <c r="C74" i="17"/>
  <c r="B74" i="17"/>
  <c r="I73" i="17"/>
  <c r="C73" i="17"/>
  <c r="B73" i="17"/>
  <c r="I72" i="17"/>
  <c r="C72" i="17"/>
  <c r="B72" i="17"/>
  <c r="I71" i="17"/>
  <c r="C71" i="17"/>
  <c r="B71" i="17"/>
  <c r="I70" i="17"/>
  <c r="C70" i="17"/>
  <c r="B70" i="17"/>
  <c r="I69" i="17"/>
  <c r="C69" i="17"/>
  <c r="B69" i="17"/>
  <c r="I68" i="17"/>
  <c r="C68" i="17"/>
  <c r="B68" i="17"/>
  <c r="I67" i="17"/>
  <c r="C67" i="17"/>
  <c r="B67" i="17"/>
  <c r="I66" i="17"/>
  <c r="C66" i="17"/>
  <c r="B66" i="17"/>
  <c r="I65" i="17"/>
  <c r="C65" i="17"/>
  <c r="B65" i="17"/>
  <c r="I64" i="17"/>
  <c r="C64" i="17"/>
  <c r="B64" i="17"/>
  <c r="I63" i="17"/>
  <c r="C63" i="17"/>
  <c r="B63" i="17"/>
  <c r="I62" i="17"/>
  <c r="C62" i="17"/>
  <c r="B62" i="17"/>
  <c r="I61" i="17"/>
  <c r="C61" i="17"/>
  <c r="B61" i="17"/>
  <c r="I60" i="17"/>
  <c r="C60" i="17"/>
  <c r="B60" i="17"/>
  <c r="I59" i="17"/>
  <c r="C59" i="17"/>
  <c r="B59" i="17"/>
  <c r="I58" i="17"/>
  <c r="C58" i="17"/>
  <c r="B58" i="17"/>
  <c r="I57" i="17"/>
  <c r="C57" i="17"/>
  <c r="B57" i="17"/>
  <c r="I56" i="17"/>
  <c r="C56" i="17"/>
  <c r="B56" i="17"/>
  <c r="I55" i="17"/>
  <c r="C55" i="17"/>
  <c r="B55" i="17"/>
  <c r="I54" i="17"/>
  <c r="C54" i="17"/>
  <c r="B54" i="17"/>
  <c r="I53" i="17"/>
  <c r="C53" i="17"/>
  <c r="B53" i="17"/>
  <c r="I52" i="17"/>
  <c r="C52" i="17"/>
  <c r="B52" i="17"/>
  <c r="I51" i="17"/>
  <c r="C51" i="17"/>
  <c r="B51" i="17"/>
  <c r="I50" i="17"/>
  <c r="C50" i="17"/>
  <c r="B50" i="17"/>
  <c r="I49" i="17"/>
  <c r="C49" i="17"/>
  <c r="B49" i="17"/>
  <c r="I48" i="17"/>
  <c r="C48" i="17"/>
  <c r="B48" i="17"/>
  <c r="I47" i="17"/>
  <c r="C47" i="17"/>
  <c r="B47" i="17"/>
  <c r="I46" i="17"/>
  <c r="C46" i="17"/>
  <c r="B46" i="17"/>
  <c r="I45" i="17"/>
  <c r="C45" i="17"/>
  <c r="B45" i="17"/>
  <c r="I44" i="17"/>
  <c r="C44" i="17"/>
  <c r="B44" i="17"/>
  <c r="I43" i="17"/>
  <c r="C43" i="17"/>
  <c r="B43" i="17"/>
  <c r="I42" i="17"/>
  <c r="C42" i="17"/>
  <c r="B42" i="17"/>
  <c r="I41" i="17"/>
  <c r="C41" i="17"/>
  <c r="B41" i="17"/>
  <c r="I40" i="17"/>
  <c r="C40" i="17"/>
  <c r="B40" i="17"/>
  <c r="I39" i="17"/>
  <c r="C39" i="17"/>
  <c r="B39" i="17"/>
  <c r="I38" i="17"/>
  <c r="C38" i="17"/>
  <c r="B38" i="17"/>
  <c r="I37" i="17"/>
  <c r="C37" i="17"/>
  <c r="B37" i="17"/>
  <c r="I36" i="17"/>
  <c r="C36" i="17"/>
  <c r="B36" i="17"/>
  <c r="I35" i="17"/>
  <c r="C35" i="17"/>
  <c r="B35" i="17"/>
  <c r="I34" i="17"/>
  <c r="C34" i="17"/>
  <c r="B34" i="17"/>
  <c r="I33" i="17"/>
  <c r="C33" i="17"/>
  <c r="B33" i="17"/>
  <c r="I32" i="17"/>
  <c r="C32" i="17"/>
  <c r="B32" i="17"/>
  <c r="I31" i="17"/>
  <c r="C31" i="17"/>
  <c r="B31" i="17"/>
  <c r="I30" i="17"/>
  <c r="C30" i="17"/>
  <c r="B30" i="17"/>
  <c r="I29" i="17"/>
  <c r="C29" i="17"/>
  <c r="B29" i="17"/>
  <c r="I28" i="17"/>
  <c r="C28" i="17"/>
  <c r="B28" i="17"/>
  <c r="I27" i="17"/>
  <c r="C27" i="17"/>
  <c r="B27" i="17"/>
  <c r="I26" i="17"/>
  <c r="C26" i="17"/>
  <c r="B26" i="17"/>
  <c r="I25" i="17"/>
  <c r="C25" i="17"/>
  <c r="B25" i="17"/>
  <c r="I24" i="17"/>
  <c r="C24" i="17"/>
  <c r="B24" i="17"/>
  <c r="I23" i="17"/>
  <c r="C23" i="17"/>
  <c r="B23" i="17"/>
  <c r="I22" i="17"/>
  <c r="C22" i="17"/>
  <c r="B22" i="17"/>
  <c r="I21" i="17"/>
  <c r="C21" i="17"/>
  <c r="B21" i="17"/>
  <c r="I20" i="17"/>
  <c r="C20" i="17"/>
  <c r="B20" i="17"/>
  <c r="I19" i="17"/>
  <c r="C19" i="17"/>
  <c r="B19" i="17"/>
  <c r="I18" i="17"/>
  <c r="C18" i="17"/>
  <c r="B18" i="17"/>
  <c r="I17" i="17"/>
  <c r="C17" i="17"/>
  <c r="B17" i="17"/>
  <c r="I16" i="17"/>
  <c r="C16" i="17"/>
  <c r="B16" i="17"/>
  <c r="I15" i="17"/>
  <c r="C15" i="17"/>
  <c r="B15" i="17"/>
  <c r="I14" i="17"/>
  <c r="C14" i="17"/>
  <c r="B14" i="17"/>
  <c r="I13" i="17"/>
  <c r="C13" i="17"/>
  <c r="B13" i="17"/>
  <c r="I12" i="17"/>
  <c r="C12" i="17"/>
  <c r="B12" i="17"/>
  <c r="I11" i="17"/>
  <c r="C11" i="17"/>
  <c r="B11" i="17"/>
  <c r="I10" i="17"/>
  <c r="B10" i="17"/>
  <c r="I9" i="17"/>
  <c r="C9" i="17"/>
  <c r="B9" i="17"/>
  <c r="I8" i="17"/>
  <c r="C8" i="17"/>
  <c r="B8" i="17"/>
  <c r="I7" i="17"/>
  <c r="C7" i="17"/>
  <c r="B7" i="17"/>
  <c r="I6" i="17"/>
  <c r="C6" i="17"/>
  <c r="B6" i="17"/>
  <c r="I5" i="17"/>
  <c r="C5" i="17"/>
  <c r="B5" i="17"/>
  <c r="I4" i="17"/>
  <c r="C4" i="17"/>
  <c r="I3" i="17"/>
  <c r="C3" i="17"/>
  <c r="B3" i="17"/>
  <c r="O1" i="15"/>
  <c r="Q1" i="11"/>
  <c r="I2976" i="15"/>
  <c r="F2976" i="15"/>
  <c r="E2976" i="15"/>
  <c r="I2975" i="15"/>
  <c r="F2975" i="15"/>
  <c r="E2975" i="15"/>
  <c r="I2974" i="15"/>
  <c r="F2974" i="15"/>
  <c r="E2974" i="15"/>
  <c r="I2973" i="15"/>
  <c r="F2973" i="15"/>
  <c r="E2973" i="15"/>
  <c r="I2972" i="15"/>
  <c r="F2972" i="15"/>
  <c r="E2972" i="15"/>
  <c r="I2971" i="15"/>
  <c r="F2971" i="15"/>
  <c r="E2971" i="15"/>
  <c r="I2970" i="15"/>
  <c r="F2970" i="15"/>
  <c r="E2970" i="15"/>
  <c r="I2969" i="15"/>
  <c r="F2969" i="15"/>
  <c r="E2969" i="15"/>
  <c r="I2968" i="15"/>
  <c r="F2968" i="15"/>
  <c r="E2968" i="15"/>
  <c r="I2967" i="15"/>
  <c r="F2967" i="15"/>
  <c r="E2967" i="15"/>
  <c r="I2966" i="15"/>
  <c r="F2966" i="15"/>
  <c r="E2966" i="15"/>
  <c r="I2965" i="15"/>
  <c r="F2965" i="15"/>
  <c r="E2965" i="15"/>
  <c r="I2964" i="15"/>
  <c r="F2964" i="15"/>
  <c r="E2964" i="15"/>
  <c r="I2963" i="15"/>
  <c r="F2963" i="15"/>
  <c r="E2963" i="15"/>
  <c r="I2962" i="15"/>
  <c r="F2962" i="15"/>
  <c r="E2962" i="15"/>
  <c r="I2961" i="15"/>
  <c r="F2961" i="15"/>
  <c r="E2961" i="15"/>
  <c r="I2960" i="15"/>
  <c r="F2960" i="15"/>
  <c r="E2960" i="15"/>
  <c r="I2959" i="15"/>
  <c r="F2959" i="15"/>
  <c r="E2959" i="15"/>
  <c r="I2958" i="15"/>
  <c r="F2958" i="15"/>
  <c r="E2958" i="15"/>
  <c r="I2957" i="15"/>
  <c r="F2957" i="15"/>
  <c r="E2957" i="15"/>
  <c r="I2956" i="15"/>
  <c r="F2956" i="15"/>
  <c r="E2956" i="15"/>
  <c r="I2955" i="15"/>
  <c r="F2955" i="15"/>
  <c r="E2955" i="15"/>
  <c r="I2954" i="15"/>
  <c r="F2954" i="15"/>
  <c r="E2954" i="15"/>
  <c r="I2953" i="15"/>
  <c r="F2953" i="15"/>
  <c r="E2953" i="15"/>
  <c r="I2952" i="15"/>
  <c r="F2952" i="15"/>
  <c r="E2952" i="15"/>
  <c r="I2951" i="15"/>
  <c r="F2951" i="15"/>
  <c r="E2951" i="15"/>
  <c r="I2950" i="15"/>
  <c r="F2950" i="15"/>
  <c r="E2950" i="15"/>
  <c r="I2949" i="15"/>
  <c r="F2949" i="15"/>
  <c r="E2949" i="15"/>
  <c r="I2948" i="15"/>
  <c r="F2948" i="15"/>
  <c r="E2948" i="15"/>
  <c r="I2947" i="15"/>
  <c r="F2947" i="15"/>
  <c r="E2947" i="15"/>
  <c r="I2946" i="15"/>
  <c r="F2946" i="15"/>
  <c r="E2946" i="15"/>
  <c r="I2945" i="15"/>
  <c r="F2945" i="15"/>
  <c r="E2945" i="15"/>
  <c r="I2944" i="15"/>
  <c r="F2944" i="15"/>
  <c r="E2944" i="15"/>
  <c r="I2943" i="15"/>
  <c r="F2943" i="15"/>
  <c r="E2943" i="15"/>
  <c r="I2942" i="15"/>
  <c r="F2942" i="15"/>
  <c r="E2942" i="15"/>
  <c r="I2941" i="15"/>
  <c r="F2941" i="15"/>
  <c r="E2941" i="15"/>
  <c r="I2940" i="15"/>
  <c r="F2940" i="15"/>
  <c r="E2940" i="15"/>
  <c r="I2939" i="15"/>
  <c r="F2939" i="15"/>
  <c r="E2939" i="15"/>
  <c r="I2938" i="15"/>
  <c r="F2938" i="15"/>
  <c r="E2938" i="15"/>
  <c r="I2937" i="15"/>
  <c r="F2937" i="15"/>
  <c r="E2937" i="15"/>
  <c r="I2936" i="15"/>
  <c r="F2936" i="15"/>
  <c r="E2936" i="15"/>
  <c r="I2935" i="15"/>
  <c r="F2935" i="15"/>
  <c r="E2935" i="15"/>
  <c r="I2934" i="15"/>
  <c r="F2934" i="15"/>
  <c r="E2934" i="15"/>
  <c r="I2933" i="15"/>
  <c r="F2933" i="15"/>
  <c r="E2933" i="15"/>
  <c r="I2932" i="15"/>
  <c r="F2932" i="15"/>
  <c r="E2932" i="15"/>
  <c r="I2931" i="15"/>
  <c r="F2931" i="15"/>
  <c r="E2931" i="15"/>
  <c r="I2930" i="15"/>
  <c r="F2930" i="15"/>
  <c r="E2930" i="15"/>
  <c r="I2929" i="15"/>
  <c r="F2929" i="15"/>
  <c r="E2929" i="15"/>
  <c r="I2928" i="15"/>
  <c r="F2928" i="15"/>
  <c r="E2928" i="15"/>
  <c r="I2927" i="15"/>
  <c r="F2927" i="15"/>
  <c r="E2927" i="15"/>
  <c r="I2926" i="15"/>
  <c r="F2926" i="15"/>
  <c r="E2926" i="15"/>
  <c r="I2925" i="15"/>
  <c r="F2925" i="15"/>
  <c r="E2925" i="15"/>
  <c r="I2924" i="15"/>
  <c r="F2924" i="15"/>
  <c r="E2924" i="15"/>
  <c r="I2923" i="15"/>
  <c r="F2923" i="15"/>
  <c r="E2923" i="15"/>
  <c r="I2922" i="15"/>
  <c r="F2922" i="15"/>
  <c r="E2922" i="15"/>
  <c r="I2921" i="15"/>
  <c r="F2921" i="15"/>
  <c r="E2921" i="15"/>
  <c r="I2920" i="15"/>
  <c r="F2920" i="15"/>
  <c r="E2920" i="15"/>
  <c r="I2919" i="15"/>
  <c r="F2919" i="15"/>
  <c r="E2919" i="15"/>
  <c r="I2918" i="15"/>
  <c r="F2918" i="15"/>
  <c r="E2918" i="15"/>
  <c r="I2917" i="15"/>
  <c r="F2917" i="15"/>
  <c r="E2917" i="15"/>
  <c r="I2916" i="15"/>
  <c r="F2916" i="15"/>
  <c r="E2916" i="15"/>
  <c r="I2915" i="15"/>
  <c r="F2915" i="15"/>
  <c r="E2915" i="15"/>
  <c r="I2914" i="15"/>
  <c r="F2914" i="15"/>
  <c r="E2914" i="15"/>
  <c r="I2913" i="15"/>
  <c r="F2913" i="15"/>
  <c r="E2913" i="15"/>
  <c r="I2912" i="15"/>
  <c r="F2912" i="15"/>
  <c r="E2912" i="15"/>
  <c r="I2911" i="15"/>
  <c r="F2911" i="15"/>
  <c r="E2911" i="15"/>
  <c r="I2910" i="15"/>
  <c r="F2910" i="15"/>
  <c r="E2910" i="15"/>
  <c r="I2909" i="15"/>
  <c r="F2909" i="15"/>
  <c r="E2909" i="15"/>
  <c r="I2908" i="15"/>
  <c r="F2908" i="15"/>
  <c r="E2908" i="15"/>
  <c r="I2907" i="15"/>
  <c r="F2907" i="15"/>
  <c r="E2907" i="15"/>
  <c r="I2906" i="15"/>
  <c r="F2906" i="15"/>
  <c r="E2906" i="15"/>
  <c r="I2905" i="15"/>
  <c r="F2905" i="15"/>
  <c r="E2905" i="15"/>
  <c r="I2904" i="15"/>
  <c r="F2904" i="15"/>
  <c r="E2904" i="15"/>
  <c r="I2903" i="15"/>
  <c r="F2903" i="15"/>
  <c r="E2903" i="15"/>
  <c r="I2902" i="15"/>
  <c r="F2902" i="15"/>
  <c r="E2902" i="15"/>
  <c r="I2901" i="15"/>
  <c r="F2901" i="15"/>
  <c r="E2901" i="15"/>
  <c r="I2900" i="15"/>
  <c r="F2900" i="15"/>
  <c r="E2900" i="15"/>
  <c r="I2899" i="15"/>
  <c r="F2899" i="15"/>
  <c r="E2899" i="15"/>
  <c r="I2898" i="15"/>
  <c r="F2898" i="15"/>
  <c r="E2898" i="15"/>
  <c r="I2897" i="15"/>
  <c r="F2897" i="15"/>
  <c r="E2897" i="15"/>
  <c r="I2896" i="15"/>
  <c r="F2896" i="15"/>
  <c r="E2896" i="15"/>
  <c r="I2895" i="15"/>
  <c r="F2895" i="15"/>
  <c r="E2895" i="15"/>
  <c r="I2894" i="15"/>
  <c r="F2894" i="15"/>
  <c r="E2894" i="15"/>
  <c r="I2893" i="15"/>
  <c r="F2893" i="15"/>
  <c r="E2893" i="15"/>
  <c r="I2892" i="15"/>
  <c r="F2892" i="15"/>
  <c r="E2892" i="15"/>
  <c r="I2891" i="15"/>
  <c r="F2891" i="15"/>
  <c r="E2891" i="15"/>
  <c r="I2890" i="15"/>
  <c r="F2890" i="15"/>
  <c r="E2890" i="15"/>
  <c r="I2889" i="15"/>
  <c r="F2889" i="15"/>
  <c r="E2889" i="15"/>
  <c r="I2888" i="15"/>
  <c r="F2888" i="15"/>
  <c r="E2888" i="15"/>
  <c r="I2887" i="15"/>
  <c r="F2887" i="15"/>
  <c r="E2887" i="15"/>
  <c r="I2886" i="15"/>
  <c r="F2886" i="15"/>
  <c r="E2886" i="15"/>
  <c r="I2885" i="15"/>
  <c r="F2885" i="15"/>
  <c r="E2885" i="15"/>
  <c r="I2884" i="15"/>
  <c r="F2884" i="15"/>
  <c r="E2884" i="15"/>
  <c r="I2883" i="15"/>
  <c r="F2883" i="15"/>
  <c r="E2883" i="15"/>
  <c r="I2882" i="15"/>
  <c r="F2882" i="15"/>
  <c r="E2882" i="15"/>
  <c r="I2881" i="15"/>
  <c r="F2881" i="15"/>
  <c r="E2881" i="15"/>
  <c r="I2880" i="15"/>
  <c r="F2880" i="15"/>
  <c r="E2880" i="15"/>
  <c r="I2879" i="15"/>
  <c r="F2879" i="15"/>
  <c r="E2879" i="15"/>
  <c r="I2878" i="15"/>
  <c r="F2878" i="15"/>
  <c r="E2878" i="15"/>
  <c r="I2877" i="15"/>
  <c r="F2877" i="15"/>
  <c r="E2877" i="15"/>
  <c r="I2876" i="15"/>
  <c r="F2876" i="15"/>
  <c r="E2876" i="15"/>
  <c r="I2875" i="15"/>
  <c r="F2875" i="15"/>
  <c r="E2875" i="15"/>
  <c r="I2874" i="15"/>
  <c r="F2874" i="15"/>
  <c r="E2874" i="15"/>
  <c r="I2873" i="15"/>
  <c r="F2873" i="15"/>
  <c r="E2873" i="15"/>
  <c r="I2872" i="15"/>
  <c r="F2872" i="15"/>
  <c r="E2872" i="15"/>
  <c r="I2871" i="15"/>
  <c r="F2871" i="15"/>
  <c r="E2871" i="15"/>
  <c r="I2870" i="15"/>
  <c r="F2870" i="15"/>
  <c r="E2870" i="15"/>
  <c r="I2869" i="15"/>
  <c r="F2869" i="15"/>
  <c r="E2869" i="15"/>
  <c r="I2868" i="15"/>
  <c r="F2868" i="15"/>
  <c r="E2868" i="15"/>
  <c r="I2867" i="15"/>
  <c r="F2867" i="15"/>
  <c r="E2867" i="15"/>
  <c r="I2866" i="15"/>
  <c r="F2866" i="15"/>
  <c r="E2866" i="15"/>
  <c r="I2865" i="15"/>
  <c r="F2865" i="15"/>
  <c r="E2865" i="15"/>
  <c r="I2864" i="15"/>
  <c r="F2864" i="15"/>
  <c r="E2864" i="15"/>
  <c r="I2863" i="15"/>
  <c r="F2863" i="15"/>
  <c r="E2863" i="15"/>
  <c r="I2862" i="15"/>
  <c r="F2862" i="15"/>
  <c r="E2862" i="15"/>
  <c r="I2861" i="15"/>
  <c r="F2861" i="15"/>
  <c r="E2861" i="15"/>
  <c r="I2860" i="15"/>
  <c r="F2860" i="15"/>
  <c r="E2860" i="15"/>
  <c r="I2859" i="15"/>
  <c r="F2859" i="15"/>
  <c r="E2859" i="15"/>
  <c r="I2858" i="15"/>
  <c r="F2858" i="15"/>
  <c r="E2858" i="15"/>
  <c r="I2857" i="15"/>
  <c r="F2857" i="15"/>
  <c r="E2857" i="15"/>
  <c r="I2856" i="15"/>
  <c r="F2856" i="15"/>
  <c r="E2856" i="15"/>
  <c r="I2855" i="15"/>
  <c r="F2855" i="15"/>
  <c r="E2855" i="15"/>
  <c r="I2854" i="15"/>
  <c r="F2854" i="15"/>
  <c r="E2854" i="15"/>
  <c r="I2853" i="15"/>
  <c r="F2853" i="15"/>
  <c r="E2853" i="15"/>
  <c r="I2852" i="15"/>
  <c r="F2852" i="15"/>
  <c r="E2852" i="15"/>
  <c r="I2851" i="15"/>
  <c r="F2851" i="15"/>
  <c r="E2851" i="15"/>
  <c r="I2850" i="15"/>
  <c r="F2850" i="15"/>
  <c r="E2850" i="15"/>
  <c r="I2849" i="15"/>
  <c r="F2849" i="15"/>
  <c r="E2849" i="15"/>
  <c r="I2848" i="15"/>
  <c r="F2848" i="15"/>
  <c r="E2848" i="15"/>
  <c r="I2847" i="15"/>
  <c r="F2847" i="15"/>
  <c r="E2847" i="15"/>
  <c r="I2846" i="15"/>
  <c r="F2846" i="15"/>
  <c r="E2846" i="15"/>
  <c r="I2845" i="15"/>
  <c r="F2845" i="15"/>
  <c r="E2845" i="15"/>
  <c r="I2844" i="15"/>
  <c r="F2844" i="15"/>
  <c r="E2844" i="15"/>
  <c r="I2843" i="15"/>
  <c r="F2843" i="15"/>
  <c r="E2843" i="15"/>
  <c r="I2842" i="15"/>
  <c r="F2842" i="15"/>
  <c r="E2842" i="15"/>
  <c r="I2841" i="15"/>
  <c r="F2841" i="15"/>
  <c r="E2841" i="15"/>
  <c r="I2840" i="15"/>
  <c r="F2840" i="15"/>
  <c r="E2840" i="15"/>
  <c r="I2839" i="15"/>
  <c r="F2839" i="15"/>
  <c r="E2839" i="15"/>
  <c r="I2838" i="15"/>
  <c r="F2838" i="15"/>
  <c r="E2838" i="15"/>
  <c r="I2837" i="15"/>
  <c r="F2837" i="15"/>
  <c r="E2837" i="15"/>
  <c r="I2836" i="15"/>
  <c r="F2836" i="15"/>
  <c r="E2836" i="15"/>
  <c r="I2835" i="15"/>
  <c r="F2835" i="15"/>
  <c r="E2835" i="15"/>
  <c r="I2834" i="15"/>
  <c r="F2834" i="15"/>
  <c r="E2834" i="15"/>
  <c r="I2833" i="15"/>
  <c r="F2833" i="15"/>
  <c r="E2833" i="15"/>
  <c r="I2832" i="15"/>
  <c r="F2832" i="15"/>
  <c r="E2832" i="15"/>
  <c r="I2831" i="15"/>
  <c r="F2831" i="15"/>
  <c r="E2831" i="15"/>
  <c r="I2830" i="15"/>
  <c r="F2830" i="15"/>
  <c r="E2830" i="15"/>
  <c r="I2829" i="15"/>
  <c r="F2829" i="15"/>
  <c r="E2829" i="15"/>
  <c r="I2828" i="15"/>
  <c r="F2828" i="15"/>
  <c r="E2828" i="15"/>
  <c r="I2827" i="15"/>
  <c r="F2827" i="15"/>
  <c r="E2827" i="15"/>
  <c r="I2826" i="15"/>
  <c r="F2826" i="15"/>
  <c r="E2826" i="15"/>
  <c r="I2825" i="15"/>
  <c r="F2825" i="15"/>
  <c r="E2825" i="15"/>
  <c r="I2824" i="15"/>
  <c r="F2824" i="15"/>
  <c r="E2824" i="15"/>
  <c r="I2823" i="15"/>
  <c r="F2823" i="15"/>
  <c r="E2823" i="15"/>
  <c r="I2822" i="15"/>
  <c r="F2822" i="15"/>
  <c r="E2822" i="15"/>
  <c r="I2821" i="15"/>
  <c r="F2821" i="15"/>
  <c r="E2821" i="15"/>
  <c r="I2820" i="15"/>
  <c r="F2820" i="15"/>
  <c r="E2820" i="15"/>
  <c r="I2819" i="15"/>
  <c r="F2819" i="15"/>
  <c r="E2819" i="15"/>
  <c r="I2818" i="15"/>
  <c r="F2818" i="15"/>
  <c r="E2818" i="15"/>
  <c r="I2817" i="15"/>
  <c r="F2817" i="15"/>
  <c r="E2817" i="15"/>
  <c r="I2816" i="15"/>
  <c r="F2816" i="15"/>
  <c r="E2816" i="15"/>
  <c r="I2815" i="15"/>
  <c r="F2815" i="15"/>
  <c r="E2815" i="15"/>
  <c r="I2814" i="15"/>
  <c r="F2814" i="15"/>
  <c r="E2814" i="15"/>
  <c r="I2813" i="15"/>
  <c r="F2813" i="15"/>
  <c r="E2813" i="15"/>
  <c r="I2812" i="15"/>
  <c r="F2812" i="15"/>
  <c r="E2812" i="15"/>
  <c r="I2811" i="15"/>
  <c r="F2811" i="15"/>
  <c r="E2811" i="15"/>
  <c r="I2810" i="15"/>
  <c r="F2810" i="15"/>
  <c r="E2810" i="15"/>
  <c r="I2809" i="15"/>
  <c r="F2809" i="15"/>
  <c r="E2809" i="15"/>
  <c r="I2808" i="15"/>
  <c r="F2808" i="15"/>
  <c r="E2808" i="15"/>
  <c r="I2807" i="15"/>
  <c r="F2807" i="15"/>
  <c r="E2807" i="15"/>
  <c r="I2806" i="15"/>
  <c r="F2806" i="15"/>
  <c r="E2806" i="15"/>
  <c r="I2805" i="15"/>
  <c r="F2805" i="15"/>
  <c r="E2805" i="15"/>
  <c r="I2804" i="15"/>
  <c r="F2804" i="15"/>
  <c r="E2804" i="15"/>
  <c r="I2803" i="15"/>
  <c r="F2803" i="15"/>
  <c r="E2803" i="15"/>
  <c r="I2802" i="15"/>
  <c r="F2802" i="15"/>
  <c r="E2802" i="15"/>
  <c r="I2801" i="15"/>
  <c r="F2801" i="15"/>
  <c r="E2801" i="15"/>
  <c r="I2800" i="15"/>
  <c r="F2800" i="15"/>
  <c r="E2800" i="15"/>
  <c r="I2799" i="15"/>
  <c r="F2799" i="15"/>
  <c r="E2799" i="15"/>
  <c r="I2798" i="15"/>
  <c r="F2798" i="15"/>
  <c r="E2798" i="15"/>
  <c r="I2797" i="15"/>
  <c r="F2797" i="15"/>
  <c r="E2797" i="15"/>
  <c r="I2796" i="15"/>
  <c r="F2796" i="15"/>
  <c r="E2796" i="15"/>
  <c r="I2795" i="15"/>
  <c r="F2795" i="15"/>
  <c r="E2795" i="15"/>
  <c r="I2794" i="15"/>
  <c r="F2794" i="15"/>
  <c r="E2794" i="15"/>
  <c r="I2793" i="15"/>
  <c r="F2793" i="15"/>
  <c r="E2793" i="15"/>
  <c r="I2792" i="15"/>
  <c r="F2792" i="15"/>
  <c r="E2792" i="15"/>
  <c r="I2791" i="15"/>
  <c r="F2791" i="15"/>
  <c r="E2791" i="15"/>
  <c r="I2790" i="15"/>
  <c r="F2790" i="15"/>
  <c r="E2790" i="15"/>
  <c r="I2789" i="15"/>
  <c r="F2789" i="15"/>
  <c r="E2789" i="15"/>
  <c r="I2788" i="15"/>
  <c r="F2788" i="15"/>
  <c r="E2788" i="15"/>
  <c r="I2787" i="15"/>
  <c r="F2787" i="15"/>
  <c r="E2787" i="15"/>
  <c r="I2786" i="15"/>
  <c r="F2786" i="15"/>
  <c r="E2786" i="15"/>
  <c r="I2785" i="15"/>
  <c r="F2785" i="15"/>
  <c r="E2785" i="15"/>
  <c r="I2784" i="15"/>
  <c r="F2784" i="15"/>
  <c r="E2784" i="15"/>
  <c r="I2783" i="15"/>
  <c r="F2783" i="15"/>
  <c r="E2783" i="15"/>
  <c r="I2782" i="15"/>
  <c r="F2782" i="15"/>
  <c r="E2782" i="15"/>
  <c r="I2781" i="15"/>
  <c r="F2781" i="15"/>
  <c r="E2781" i="15"/>
  <c r="I2780" i="15"/>
  <c r="F2780" i="15"/>
  <c r="E2780" i="15"/>
  <c r="I2779" i="15"/>
  <c r="F2779" i="15"/>
  <c r="E2779" i="15"/>
  <c r="I2778" i="15"/>
  <c r="F2778" i="15"/>
  <c r="E2778" i="15"/>
  <c r="I2777" i="15"/>
  <c r="F2777" i="15"/>
  <c r="E2777" i="15"/>
  <c r="I2776" i="15"/>
  <c r="F2776" i="15"/>
  <c r="E2776" i="15"/>
  <c r="I2775" i="15"/>
  <c r="F2775" i="15"/>
  <c r="E2775" i="15"/>
  <c r="I2774" i="15"/>
  <c r="F2774" i="15"/>
  <c r="E2774" i="15"/>
  <c r="I2773" i="15"/>
  <c r="F2773" i="15"/>
  <c r="E2773" i="15"/>
  <c r="I2772" i="15"/>
  <c r="F2772" i="15"/>
  <c r="E2772" i="15"/>
  <c r="I2771" i="15"/>
  <c r="F2771" i="15"/>
  <c r="E2771" i="15"/>
  <c r="I2770" i="15"/>
  <c r="F2770" i="15"/>
  <c r="E2770" i="15"/>
  <c r="I2769" i="15"/>
  <c r="F2769" i="15"/>
  <c r="E2769" i="15"/>
  <c r="I2768" i="15"/>
  <c r="F2768" i="15"/>
  <c r="E2768" i="15"/>
  <c r="I2767" i="15"/>
  <c r="F2767" i="15"/>
  <c r="E2767" i="15"/>
  <c r="I2766" i="15"/>
  <c r="F2766" i="15"/>
  <c r="E2766" i="15"/>
  <c r="I2765" i="15"/>
  <c r="F2765" i="15"/>
  <c r="E2765" i="15"/>
  <c r="I2764" i="15"/>
  <c r="F2764" i="15"/>
  <c r="E2764" i="15"/>
  <c r="I2763" i="15"/>
  <c r="F2763" i="15"/>
  <c r="E2763" i="15"/>
  <c r="I2762" i="15"/>
  <c r="F2762" i="15"/>
  <c r="E2762" i="15"/>
  <c r="I2761" i="15"/>
  <c r="F2761" i="15"/>
  <c r="E2761" i="15"/>
  <c r="I2760" i="15"/>
  <c r="F2760" i="15"/>
  <c r="E2760" i="15"/>
  <c r="I2759" i="15"/>
  <c r="F2759" i="15"/>
  <c r="E2759" i="15"/>
  <c r="I2758" i="15"/>
  <c r="F2758" i="15"/>
  <c r="E2758" i="15"/>
  <c r="I2757" i="15"/>
  <c r="F2757" i="15"/>
  <c r="E2757" i="15"/>
  <c r="I2756" i="15"/>
  <c r="F2756" i="15"/>
  <c r="E2756" i="15"/>
  <c r="I2755" i="15"/>
  <c r="F2755" i="15"/>
  <c r="E2755" i="15"/>
  <c r="I2754" i="15"/>
  <c r="F2754" i="15"/>
  <c r="E2754" i="15"/>
  <c r="I2753" i="15"/>
  <c r="F2753" i="15"/>
  <c r="E2753" i="15"/>
  <c r="I2752" i="15"/>
  <c r="F2752" i="15"/>
  <c r="E2752" i="15"/>
  <c r="I2751" i="15"/>
  <c r="F2751" i="15"/>
  <c r="E2751" i="15"/>
  <c r="I2750" i="15"/>
  <c r="F2750" i="15"/>
  <c r="E2750" i="15"/>
  <c r="I2749" i="15"/>
  <c r="F2749" i="15"/>
  <c r="E2749" i="15"/>
  <c r="I2748" i="15"/>
  <c r="F2748" i="15"/>
  <c r="E2748" i="15"/>
  <c r="I2747" i="15"/>
  <c r="F2747" i="15"/>
  <c r="E2747" i="15"/>
  <c r="I2746" i="15"/>
  <c r="F2746" i="15"/>
  <c r="E2746" i="15"/>
  <c r="I2745" i="15"/>
  <c r="F2745" i="15"/>
  <c r="E2745" i="15"/>
  <c r="I2744" i="15"/>
  <c r="F2744" i="15"/>
  <c r="E2744" i="15"/>
  <c r="I2743" i="15"/>
  <c r="F2743" i="15"/>
  <c r="E2743" i="15"/>
  <c r="I2742" i="15"/>
  <c r="F2742" i="15"/>
  <c r="E2742" i="15"/>
  <c r="I2741" i="15"/>
  <c r="F2741" i="15"/>
  <c r="E2741" i="15"/>
  <c r="I2740" i="15"/>
  <c r="F2740" i="15"/>
  <c r="E2740" i="15"/>
  <c r="I2739" i="15"/>
  <c r="F2739" i="15"/>
  <c r="E2739" i="15"/>
  <c r="I2738" i="15"/>
  <c r="F2738" i="15"/>
  <c r="E2738" i="15"/>
  <c r="I2737" i="15"/>
  <c r="F2737" i="15"/>
  <c r="E2737" i="15"/>
  <c r="I2736" i="15"/>
  <c r="F2736" i="15"/>
  <c r="E2736" i="15"/>
  <c r="I2735" i="15"/>
  <c r="F2735" i="15"/>
  <c r="E2735" i="15"/>
  <c r="I2734" i="15"/>
  <c r="F2734" i="15"/>
  <c r="E2734" i="15"/>
  <c r="I2733" i="15"/>
  <c r="F2733" i="15"/>
  <c r="E2733" i="15"/>
  <c r="I2732" i="15"/>
  <c r="F2732" i="15"/>
  <c r="E2732" i="15"/>
  <c r="I2731" i="15"/>
  <c r="F2731" i="15"/>
  <c r="E2731" i="15"/>
  <c r="I2730" i="15"/>
  <c r="F2730" i="15"/>
  <c r="E2730" i="15"/>
  <c r="I2729" i="15"/>
  <c r="F2729" i="15"/>
  <c r="E2729" i="15"/>
  <c r="I2728" i="15"/>
  <c r="F2728" i="15"/>
  <c r="E2728" i="15"/>
  <c r="I2727" i="15"/>
  <c r="F2727" i="15"/>
  <c r="E2727" i="15"/>
  <c r="I2726" i="15"/>
  <c r="F2726" i="15"/>
  <c r="E2726" i="15"/>
  <c r="I2725" i="15"/>
  <c r="F2725" i="15"/>
  <c r="E2725" i="15"/>
  <c r="I2724" i="15"/>
  <c r="F2724" i="15"/>
  <c r="E2724" i="15"/>
  <c r="I2723" i="15"/>
  <c r="F2723" i="15"/>
  <c r="E2723" i="15"/>
  <c r="I2722" i="15"/>
  <c r="F2722" i="15"/>
  <c r="E2722" i="15"/>
  <c r="I2721" i="15"/>
  <c r="F2721" i="15"/>
  <c r="E2721" i="15"/>
  <c r="I2720" i="15"/>
  <c r="F2720" i="15"/>
  <c r="E2720" i="15"/>
  <c r="I2719" i="15"/>
  <c r="F2719" i="15"/>
  <c r="E2719" i="15"/>
  <c r="I2718" i="15"/>
  <c r="F2718" i="15"/>
  <c r="E2718" i="15"/>
  <c r="I2717" i="15"/>
  <c r="F2717" i="15"/>
  <c r="E2717" i="15"/>
  <c r="I2716" i="15"/>
  <c r="F2716" i="15"/>
  <c r="E2716" i="15"/>
  <c r="I2715" i="15"/>
  <c r="F2715" i="15"/>
  <c r="E2715" i="15"/>
  <c r="I2714" i="15"/>
  <c r="F2714" i="15"/>
  <c r="E2714" i="15"/>
  <c r="I2713" i="15"/>
  <c r="F2713" i="15"/>
  <c r="E2713" i="15"/>
  <c r="I2712" i="15"/>
  <c r="F2712" i="15"/>
  <c r="E2712" i="15"/>
  <c r="I2711" i="15"/>
  <c r="F2711" i="15"/>
  <c r="E2711" i="15"/>
  <c r="I2710" i="15"/>
  <c r="F2710" i="15"/>
  <c r="E2710" i="15"/>
  <c r="I2709" i="15"/>
  <c r="F2709" i="15"/>
  <c r="E2709" i="15"/>
  <c r="I2708" i="15"/>
  <c r="F2708" i="15"/>
  <c r="E2708" i="15"/>
  <c r="I2707" i="15"/>
  <c r="F2707" i="15"/>
  <c r="E2707" i="15"/>
  <c r="I2706" i="15"/>
  <c r="F2706" i="15"/>
  <c r="E2706" i="15"/>
  <c r="I2705" i="15"/>
  <c r="F2705" i="15"/>
  <c r="E2705" i="15"/>
  <c r="I2704" i="15"/>
  <c r="F2704" i="15"/>
  <c r="E2704" i="15"/>
  <c r="I2703" i="15"/>
  <c r="F2703" i="15"/>
  <c r="E2703" i="15"/>
  <c r="I2702" i="15"/>
  <c r="F2702" i="15"/>
  <c r="E2702" i="15"/>
  <c r="I2701" i="15"/>
  <c r="F2701" i="15"/>
  <c r="E2701" i="15"/>
  <c r="I2700" i="15"/>
  <c r="F2700" i="15"/>
  <c r="E2700" i="15"/>
  <c r="I2699" i="15"/>
  <c r="F2699" i="15"/>
  <c r="E2699" i="15"/>
  <c r="I2698" i="15"/>
  <c r="F2698" i="15"/>
  <c r="E2698" i="15"/>
  <c r="I2697" i="15"/>
  <c r="F2697" i="15"/>
  <c r="E2697" i="15"/>
  <c r="I2696" i="15"/>
  <c r="F2696" i="15"/>
  <c r="E2696" i="15"/>
  <c r="I2695" i="15"/>
  <c r="F2695" i="15"/>
  <c r="E2695" i="15"/>
  <c r="I2694" i="15"/>
  <c r="F2694" i="15"/>
  <c r="E2694" i="15"/>
  <c r="I2693" i="15"/>
  <c r="F2693" i="15"/>
  <c r="E2693" i="15"/>
  <c r="I2692" i="15"/>
  <c r="F2692" i="15"/>
  <c r="E2692" i="15"/>
  <c r="I2691" i="15"/>
  <c r="F2691" i="15"/>
  <c r="E2691" i="15"/>
  <c r="I2690" i="15"/>
  <c r="F2690" i="15"/>
  <c r="E2690" i="15"/>
  <c r="I2689" i="15"/>
  <c r="F2689" i="15"/>
  <c r="E2689" i="15"/>
  <c r="I2688" i="15"/>
  <c r="F2688" i="15"/>
  <c r="E2688" i="15"/>
  <c r="I2687" i="15"/>
  <c r="F2687" i="15"/>
  <c r="E2687" i="15"/>
  <c r="I2686" i="15"/>
  <c r="F2686" i="15"/>
  <c r="E2686" i="15"/>
  <c r="I2685" i="15"/>
  <c r="F2685" i="15"/>
  <c r="E2685" i="15"/>
  <c r="I2684" i="15"/>
  <c r="F2684" i="15"/>
  <c r="E2684" i="15"/>
  <c r="I2683" i="15"/>
  <c r="F2683" i="15"/>
  <c r="E2683" i="15"/>
  <c r="I2682" i="15"/>
  <c r="F2682" i="15"/>
  <c r="E2682" i="15"/>
  <c r="I2681" i="15"/>
  <c r="F2681" i="15"/>
  <c r="E2681" i="15"/>
  <c r="I2680" i="15"/>
  <c r="F2680" i="15"/>
  <c r="E2680" i="15"/>
  <c r="I2679" i="15"/>
  <c r="F2679" i="15"/>
  <c r="E2679" i="15"/>
  <c r="I2678" i="15"/>
  <c r="F2678" i="15"/>
  <c r="E2678" i="15"/>
  <c r="I2677" i="15"/>
  <c r="F2677" i="15"/>
  <c r="E2677" i="15"/>
  <c r="I2676" i="15"/>
  <c r="F2676" i="15"/>
  <c r="E2676" i="15"/>
  <c r="I2675" i="15"/>
  <c r="F2675" i="15"/>
  <c r="E2675" i="15"/>
  <c r="I2674" i="15"/>
  <c r="F2674" i="15"/>
  <c r="E2674" i="15"/>
  <c r="I2673" i="15"/>
  <c r="F2673" i="15"/>
  <c r="E2673" i="15"/>
  <c r="I2672" i="15"/>
  <c r="F2672" i="15"/>
  <c r="E2672" i="15"/>
  <c r="I2671" i="15"/>
  <c r="F2671" i="15"/>
  <c r="E2671" i="15"/>
  <c r="I2670" i="15"/>
  <c r="F2670" i="15"/>
  <c r="E2670" i="15"/>
  <c r="I2669" i="15"/>
  <c r="F2669" i="15"/>
  <c r="E2669" i="15"/>
  <c r="I2668" i="15"/>
  <c r="F2668" i="15"/>
  <c r="E2668" i="15"/>
  <c r="I2667" i="15"/>
  <c r="F2667" i="15"/>
  <c r="E2667" i="15"/>
  <c r="I2666" i="15"/>
  <c r="F2666" i="15"/>
  <c r="E2666" i="15"/>
  <c r="I2665" i="15"/>
  <c r="F2665" i="15"/>
  <c r="E2665" i="15"/>
  <c r="I2664" i="15"/>
  <c r="F2664" i="15"/>
  <c r="E2664" i="15"/>
  <c r="I2663" i="15"/>
  <c r="F2663" i="15"/>
  <c r="E2663" i="15"/>
  <c r="I2662" i="15"/>
  <c r="F2662" i="15"/>
  <c r="E2662" i="15"/>
  <c r="I2661" i="15"/>
  <c r="F2661" i="15"/>
  <c r="E2661" i="15"/>
  <c r="I2660" i="15"/>
  <c r="F2660" i="15"/>
  <c r="E2660" i="15"/>
  <c r="I2659" i="15"/>
  <c r="F2659" i="15"/>
  <c r="E2659" i="15"/>
  <c r="I2658" i="15"/>
  <c r="F2658" i="15"/>
  <c r="E2658" i="15"/>
  <c r="I2657" i="15"/>
  <c r="F2657" i="15"/>
  <c r="E2657" i="15"/>
  <c r="I2656" i="15"/>
  <c r="F2656" i="15"/>
  <c r="E2656" i="15"/>
  <c r="I2655" i="15"/>
  <c r="F2655" i="15"/>
  <c r="E2655" i="15"/>
  <c r="I2654" i="15"/>
  <c r="F2654" i="15"/>
  <c r="E2654" i="15"/>
  <c r="I2653" i="15"/>
  <c r="F2653" i="15"/>
  <c r="E2653" i="15"/>
  <c r="I2652" i="15"/>
  <c r="F2652" i="15"/>
  <c r="E2652" i="15"/>
  <c r="I2651" i="15"/>
  <c r="F2651" i="15"/>
  <c r="E2651" i="15"/>
  <c r="I2650" i="15"/>
  <c r="F2650" i="15"/>
  <c r="E2650" i="15"/>
  <c r="I2649" i="15"/>
  <c r="F2649" i="15"/>
  <c r="E2649" i="15"/>
  <c r="I2648" i="15"/>
  <c r="F2648" i="15"/>
  <c r="E2648" i="15"/>
  <c r="I2647" i="15"/>
  <c r="F2647" i="15"/>
  <c r="E2647" i="15"/>
  <c r="I2646" i="15"/>
  <c r="F2646" i="15"/>
  <c r="E2646" i="15"/>
  <c r="I2645" i="15"/>
  <c r="F2645" i="15"/>
  <c r="E2645" i="15"/>
  <c r="I2644" i="15"/>
  <c r="F2644" i="15"/>
  <c r="E2644" i="15"/>
  <c r="I2643" i="15"/>
  <c r="F2643" i="15"/>
  <c r="E2643" i="15"/>
  <c r="I2642" i="15"/>
  <c r="F2642" i="15"/>
  <c r="E2642" i="15"/>
  <c r="I2641" i="15"/>
  <c r="F2641" i="15"/>
  <c r="E2641" i="15"/>
  <c r="I2640" i="15"/>
  <c r="F2640" i="15"/>
  <c r="E2640" i="15"/>
  <c r="I2639" i="15"/>
  <c r="F2639" i="15"/>
  <c r="E2639" i="15"/>
  <c r="I2638" i="15"/>
  <c r="F2638" i="15"/>
  <c r="E2638" i="15"/>
  <c r="I2637" i="15"/>
  <c r="F2637" i="15"/>
  <c r="E2637" i="15"/>
  <c r="I2636" i="15"/>
  <c r="F2636" i="15"/>
  <c r="E2636" i="15"/>
  <c r="I2635" i="15"/>
  <c r="F2635" i="15"/>
  <c r="E2635" i="15"/>
  <c r="I2634" i="15"/>
  <c r="F2634" i="15"/>
  <c r="E2634" i="15"/>
  <c r="I2633" i="15"/>
  <c r="F2633" i="15"/>
  <c r="E2633" i="15"/>
  <c r="I2632" i="15"/>
  <c r="F2632" i="15"/>
  <c r="E2632" i="15"/>
  <c r="I2631" i="15"/>
  <c r="F2631" i="15"/>
  <c r="E2631" i="15"/>
  <c r="I2630" i="15"/>
  <c r="F2630" i="15"/>
  <c r="E2630" i="15"/>
  <c r="I2629" i="15"/>
  <c r="F2629" i="15"/>
  <c r="E2629" i="15"/>
  <c r="I2628" i="15"/>
  <c r="F2628" i="15"/>
  <c r="E2628" i="15"/>
  <c r="I2627" i="15"/>
  <c r="F2627" i="15"/>
  <c r="E2627" i="15"/>
  <c r="I2626" i="15"/>
  <c r="F2626" i="15"/>
  <c r="E2626" i="15"/>
  <c r="I2625" i="15"/>
  <c r="F2625" i="15"/>
  <c r="E2625" i="15"/>
  <c r="I2624" i="15"/>
  <c r="F2624" i="15"/>
  <c r="E2624" i="15"/>
  <c r="I2623" i="15"/>
  <c r="F2623" i="15"/>
  <c r="E2623" i="15"/>
  <c r="I2622" i="15"/>
  <c r="F2622" i="15"/>
  <c r="E2622" i="15"/>
  <c r="I2621" i="15"/>
  <c r="F2621" i="15"/>
  <c r="E2621" i="15"/>
  <c r="I2620" i="15"/>
  <c r="F2620" i="15"/>
  <c r="E2620" i="15"/>
  <c r="I2619" i="15"/>
  <c r="F2619" i="15"/>
  <c r="E2619" i="15"/>
  <c r="I2618" i="15"/>
  <c r="F2618" i="15"/>
  <c r="E2618" i="15"/>
  <c r="I2617" i="15"/>
  <c r="F2617" i="15"/>
  <c r="E2617" i="15"/>
  <c r="I2616" i="15"/>
  <c r="F2616" i="15"/>
  <c r="E2616" i="15"/>
  <c r="I2615" i="15"/>
  <c r="F2615" i="15"/>
  <c r="E2615" i="15"/>
  <c r="I2614" i="15"/>
  <c r="F2614" i="15"/>
  <c r="E2614" i="15"/>
  <c r="I2613" i="15"/>
  <c r="F2613" i="15"/>
  <c r="E2613" i="15"/>
  <c r="I2612" i="15"/>
  <c r="F2612" i="15"/>
  <c r="E2612" i="15"/>
  <c r="I2611" i="15"/>
  <c r="F2611" i="15"/>
  <c r="E2611" i="15"/>
  <c r="I2610" i="15"/>
  <c r="F2610" i="15"/>
  <c r="E2610" i="15"/>
  <c r="I2609" i="15"/>
  <c r="F2609" i="15"/>
  <c r="E2609" i="15"/>
  <c r="I2608" i="15"/>
  <c r="F2608" i="15"/>
  <c r="E2608" i="15"/>
  <c r="I2607" i="15"/>
  <c r="F2607" i="15"/>
  <c r="E2607" i="15"/>
  <c r="I2606" i="15"/>
  <c r="F2606" i="15"/>
  <c r="E2606" i="15"/>
  <c r="I2605" i="15"/>
  <c r="F2605" i="15"/>
  <c r="E2605" i="15"/>
  <c r="I2604" i="15"/>
  <c r="F2604" i="15"/>
  <c r="E2604" i="15"/>
  <c r="I2603" i="15"/>
  <c r="F2603" i="15"/>
  <c r="E2603" i="15"/>
  <c r="I2602" i="15"/>
  <c r="F2602" i="15"/>
  <c r="E2602" i="15"/>
  <c r="I2601" i="15"/>
  <c r="F2601" i="15"/>
  <c r="E2601" i="15"/>
  <c r="I2600" i="15"/>
  <c r="F2600" i="15"/>
  <c r="E2600" i="15"/>
  <c r="I2599" i="15"/>
  <c r="F2599" i="15"/>
  <c r="E2599" i="15"/>
  <c r="I2598" i="15"/>
  <c r="F2598" i="15"/>
  <c r="E2598" i="15"/>
  <c r="I2597" i="15"/>
  <c r="F2597" i="15"/>
  <c r="E2597" i="15"/>
  <c r="I2596" i="15"/>
  <c r="F2596" i="15"/>
  <c r="E2596" i="15"/>
  <c r="I2595" i="15"/>
  <c r="F2595" i="15"/>
  <c r="E2595" i="15"/>
  <c r="I2594" i="15"/>
  <c r="F2594" i="15"/>
  <c r="E2594" i="15"/>
  <c r="I2593" i="15"/>
  <c r="F2593" i="15"/>
  <c r="E2593" i="15"/>
  <c r="I2592" i="15"/>
  <c r="F2592" i="15"/>
  <c r="E2592" i="15"/>
  <c r="I2591" i="15"/>
  <c r="F2591" i="15"/>
  <c r="E2591" i="15"/>
  <c r="I2590" i="15"/>
  <c r="F2590" i="15"/>
  <c r="E2590" i="15"/>
  <c r="I2589" i="15"/>
  <c r="F2589" i="15"/>
  <c r="E2589" i="15"/>
  <c r="I2588" i="15"/>
  <c r="F2588" i="15"/>
  <c r="E2588" i="15"/>
  <c r="I2587" i="15"/>
  <c r="F2587" i="15"/>
  <c r="E2587" i="15"/>
  <c r="I2586" i="15"/>
  <c r="F2586" i="15"/>
  <c r="E2586" i="15"/>
  <c r="I2585" i="15"/>
  <c r="F2585" i="15"/>
  <c r="E2585" i="15"/>
  <c r="I2584" i="15"/>
  <c r="F2584" i="15"/>
  <c r="E2584" i="15"/>
  <c r="I2583" i="15"/>
  <c r="F2583" i="15"/>
  <c r="E2583" i="15"/>
  <c r="I2582" i="15"/>
  <c r="F2582" i="15"/>
  <c r="E2582" i="15"/>
  <c r="I2581" i="15"/>
  <c r="F2581" i="15"/>
  <c r="E2581" i="15"/>
  <c r="I2580" i="15"/>
  <c r="F2580" i="15"/>
  <c r="E2580" i="15"/>
  <c r="I2579" i="15"/>
  <c r="F2579" i="15"/>
  <c r="E2579" i="15"/>
  <c r="I2578" i="15"/>
  <c r="F2578" i="15"/>
  <c r="E2578" i="15"/>
  <c r="I2577" i="15"/>
  <c r="F2577" i="15"/>
  <c r="E2577" i="15"/>
  <c r="I2576" i="15"/>
  <c r="F2576" i="15"/>
  <c r="E2576" i="15"/>
  <c r="I2575" i="15"/>
  <c r="F2575" i="15"/>
  <c r="E2575" i="15"/>
  <c r="I2574" i="15"/>
  <c r="F2574" i="15"/>
  <c r="E2574" i="15"/>
  <c r="I2573" i="15"/>
  <c r="F2573" i="15"/>
  <c r="E2573" i="15"/>
  <c r="I2572" i="15"/>
  <c r="F2572" i="15"/>
  <c r="E2572" i="15"/>
  <c r="I2571" i="15"/>
  <c r="F2571" i="15"/>
  <c r="E2571" i="15"/>
  <c r="I2570" i="15"/>
  <c r="F2570" i="15"/>
  <c r="E2570" i="15"/>
  <c r="I2569" i="15"/>
  <c r="F2569" i="15"/>
  <c r="E2569" i="15"/>
  <c r="I2568" i="15"/>
  <c r="F2568" i="15"/>
  <c r="E2568" i="15"/>
  <c r="I2567" i="15"/>
  <c r="F2567" i="15"/>
  <c r="E2567" i="15"/>
  <c r="I2566" i="15"/>
  <c r="F2566" i="15"/>
  <c r="E2566" i="15"/>
  <c r="I2565" i="15"/>
  <c r="F2565" i="15"/>
  <c r="E2565" i="15"/>
  <c r="I2564" i="15"/>
  <c r="F2564" i="15"/>
  <c r="E2564" i="15"/>
  <c r="I2563" i="15"/>
  <c r="F2563" i="15"/>
  <c r="E2563" i="15"/>
  <c r="I2562" i="15"/>
  <c r="F2562" i="15"/>
  <c r="E2562" i="15"/>
  <c r="I2561" i="15"/>
  <c r="F2561" i="15"/>
  <c r="E2561" i="15"/>
  <c r="I2560" i="15"/>
  <c r="F2560" i="15"/>
  <c r="E2560" i="15"/>
  <c r="I2559" i="15"/>
  <c r="F2559" i="15"/>
  <c r="E2559" i="15"/>
  <c r="I2558" i="15"/>
  <c r="F2558" i="15"/>
  <c r="E2558" i="15"/>
  <c r="I2557" i="15"/>
  <c r="F2557" i="15"/>
  <c r="E2557" i="15"/>
  <c r="I2556" i="15"/>
  <c r="F2556" i="15"/>
  <c r="E2556" i="15"/>
  <c r="I2555" i="15"/>
  <c r="F2555" i="15"/>
  <c r="E2555" i="15"/>
  <c r="I2554" i="15"/>
  <c r="F2554" i="15"/>
  <c r="E2554" i="15"/>
  <c r="I2553" i="15"/>
  <c r="F2553" i="15"/>
  <c r="E2553" i="15"/>
  <c r="I2552" i="15"/>
  <c r="F2552" i="15"/>
  <c r="E2552" i="15"/>
  <c r="I2551" i="15"/>
  <c r="F2551" i="15"/>
  <c r="E2551" i="15"/>
  <c r="I2550" i="15"/>
  <c r="F2550" i="15"/>
  <c r="E2550" i="15"/>
  <c r="I2549" i="15"/>
  <c r="F2549" i="15"/>
  <c r="E2549" i="15"/>
  <c r="I2548" i="15"/>
  <c r="F2548" i="15"/>
  <c r="E2548" i="15"/>
  <c r="I2547" i="15"/>
  <c r="F2547" i="15"/>
  <c r="E2547" i="15"/>
  <c r="I2546" i="15"/>
  <c r="F2546" i="15"/>
  <c r="E2546" i="15"/>
  <c r="I2545" i="15"/>
  <c r="F2545" i="15"/>
  <c r="E2545" i="15"/>
  <c r="I2544" i="15"/>
  <c r="F2544" i="15"/>
  <c r="E2544" i="15"/>
  <c r="I2543" i="15"/>
  <c r="F2543" i="15"/>
  <c r="E2543" i="15"/>
  <c r="I2542" i="15"/>
  <c r="F2542" i="15"/>
  <c r="E2542" i="15"/>
  <c r="I2541" i="15"/>
  <c r="F2541" i="15"/>
  <c r="E2541" i="15"/>
  <c r="I2540" i="15"/>
  <c r="F2540" i="15"/>
  <c r="E2540" i="15"/>
  <c r="I2539" i="15"/>
  <c r="F2539" i="15"/>
  <c r="E2539" i="15"/>
  <c r="I2538" i="15"/>
  <c r="F2538" i="15"/>
  <c r="E2538" i="15"/>
  <c r="I2537" i="15"/>
  <c r="F2537" i="15"/>
  <c r="E2537" i="15"/>
  <c r="I2536" i="15"/>
  <c r="F2536" i="15"/>
  <c r="E2536" i="15"/>
  <c r="I2535" i="15"/>
  <c r="F2535" i="15"/>
  <c r="E2535" i="15"/>
  <c r="I2534" i="15"/>
  <c r="F2534" i="15"/>
  <c r="E2534" i="15"/>
  <c r="I2533" i="15"/>
  <c r="F2533" i="15"/>
  <c r="E2533" i="15"/>
  <c r="I2532" i="15"/>
  <c r="F2532" i="15"/>
  <c r="E2532" i="15"/>
  <c r="I2531" i="15"/>
  <c r="F2531" i="15"/>
  <c r="E2531" i="15"/>
  <c r="I2530" i="15"/>
  <c r="F2530" i="15"/>
  <c r="E2530" i="15"/>
  <c r="I2529" i="15"/>
  <c r="F2529" i="15"/>
  <c r="E2529" i="15"/>
  <c r="I2528" i="15"/>
  <c r="F2528" i="15"/>
  <c r="E2528" i="15"/>
  <c r="I2527" i="15"/>
  <c r="F2527" i="15"/>
  <c r="E2527" i="15"/>
  <c r="I2526" i="15"/>
  <c r="F2526" i="15"/>
  <c r="E2526" i="15"/>
  <c r="I2525" i="15"/>
  <c r="F2525" i="15"/>
  <c r="E2525" i="15"/>
  <c r="I2524" i="15"/>
  <c r="F2524" i="15"/>
  <c r="E2524" i="15"/>
  <c r="I2523" i="15"/>
  <c r="F2523" i="15"/>
  <c r="E2523" i="15"/>
  <c r="I2522" i="15"/>
  <c r="F2522" i="15"/>
  <c r="E2522" i="15"/>
  <c r="I2521" i="15"/>
  <c r="F2521" i="15"/>
  <c r="E2521" i="15"/>
  <c r="I2520" i="15"/>
  <c r="F2520" i="15"/>
  <c r="E2520" i="15"/>
  <c r="I2519" i="15"/>
  <c r="F2519" i="15"/>
  <c r="E2519" i="15"/>
  <c r="I2518" i="15"/>
  <c r="F2518" i="15"/>
  <c r="E2518" i="15"/>
  <c r="I2517" i="15"/>
  <c r="F2517" i="15"/>
  <c r="E2517" i="15"/>
  <c r="I2516" i="15"/>
  <c r="F2516" i="15"/>
  <c r="E2516" i="15"/>
  <c r="I2515" i="15"/>
  <c r="F2515" i="15"/>
  <c r="E2515" i="15"/>
  <c r="I2514" i="15"/>
  <c r="F2514" i="15"/>
  <c r="E2514" i="15"/>
  <c r="I2513" i="15"/>
  <c r="F2513" i="15"/>
  <c r="E2513" i="15"/>
  <c r="I2512" i="15"/>
  <c r="F2512" i="15"/>
  <c r="E2512" i="15"/>
  <c r="I2511" i="15"/>
  <c r="F2511" i="15"/>
  <c r="E2511" i="15"/>
  <c r="I2510" i="15"/>
  <c r="F2510" i="15"/>
  <c r="E2510" i="15"/>
  <c r="I2509" i="15"/>
  <c r="F2509" i="15"/>
  <c r="E2509" i="15"/>
  <c r="I2508" i="15"/>
  <c r="F2508" i="15"/>
  <c r="E2508" i="15"/>
  <c r="I2507" i="15"/>
  <c r="F2507" i="15"/>
  <c r="E2507" i="15"/>
  <c r="I2506" i="15"/>
  <c r="F2506" i="15"/>
  <c r="E2506" i="15"/>
  <c r="I2505" i="15"/>
  <c r="F2505" i="15"/>
  <c r="E2505" i="15"/>
  <c r="I2504" i="15"/>
  <c r="F2504" i="15"/>
  <c r="E2504" i="15"/>
  <c r="I2503" i="15"/>
  <c r="F2503" i="15"/>
  <c r="E2503" i="15"/>
  <c r="I2502" i="15"/>
  <c r="F2502" i="15"/>
  <c r="E2502" i="15"/>
  <c r="I2501" i="15"/>
  <c r="F2501" i="15"/>
  <c r="E2501" i="15"/>
  <c r="I2500" i="15"/>
  <c r="F2500" i="15"/>
  <c r="E2500" i="15"/>
  <c r="I2499" i="15"/>
  <c r="F2499" i="15"/>
  <c r="E2499" i="15"/>
  <c r="I2498" i="15"/>
  <c r="F2498" i="15"/>
  <c r="E2498" i="15"/>
  <c r="I2497" i="15"/>
  <c r="F2497" i="15"/>
  <c r="E2497" i="15"/>
  <c r="I2496" i="15"/>
  <c r="F2496" i="15"/>
  <c r="E2496" i="15"/>
  <c r="I2495" i="15"/>
  <c r="F2495" i="15"/>
  <c r="E2495" i="15"/>
  <c r="I2494" i="15"/>
  <c r="F2494" i="15"/>
  <c r="E2494" i="15"/>
  <c r="I2493" i="15"/>
  <c r="F2493" i="15"/>
  <c r="E2493" i="15"/>
  <c r="I2492" i="15"/>
  <c r="F2492" i="15"/>
  <c r="E2492" i="15"/>
  <c r="I2491" i="15"/>
  <c r="F2491" i="15"/>
  <c r="E2491" i="15"/>
  <c r="I2490" i="15"/>
  <c r="F2490" i="15"/>
  <c r="E2490" i="15"/>
  <c r="I2489" i="15"/>
  <c r="F2489" i="15"/>
  <c r="E2489" i="15"/>
  <c r="I2488" i="15"/>
  <c r="F2488" i="15"/>
  <c r="E2488" i="15"/>
  <c r="I2487" i="15"/>
  <c r="F2487" i="15"/>
  <c r="E2487" i="15"/>
  <c r="I2486" i="15"/>
  <c r="F2486" i="15"/>
  <c r="E2486" i="15"/>
  <c r="I2485" i="15"/>
  <c r="F2485" i="15"/>
  <c r="E2485" i="15"/>
  <c r="I2484" i="15"/>
  <c r="F2484" i="15"/>
  <c r="E2484" i="15"/>
  <c r="I2483" i="15"/>
  <c r="F2483" i="15"/>
  <c r="E2483" i="15"/>
  <c r="I2482" i="15"/>
  <c r="F2482" i="15"/>
  <c r="E2482" i="15"/>
  <c r="I2481" i="15"/>
  <c r="F2481" i="15"/>
  <c r="E2481" i="15"/>
  <c r="I2480" i="15"/>
  <c r="F2480" i="15"/>
  <c r="E2480" i="15"/>
  <c r="I2479" i="15"/>
  <c r="F2479" i="15"/>
  <c r="E2479" i="15"/>
  <c r="I2478" i="15"/>
  <c r="F2478" i="15"/>
  <c r="E2478" i="15"/>
  <c r="I2477" i="15"/>
  <c r="F2477" i="15"/>
  <c r="E2477" i="15"/>
  <c r="I2476" i="15"/>
  <c r="F2476" i="15"/>
  <c r="E2476" i="15"/>
  <c r="I2475" i="15"/>
  <c r="F2475" i="15"/>
  <c r="E2475" i="15"/>
  <c r="I2474" i="15"/>
  <c r="F2474" i="15"/>
  <c r="E2474" i="15"/>
  <c r="I2473" i="15"/>
  <c r="F2473" i="15"/>
  <c r="E2473" i="15"/>
  <c r="I2472" i="15"/>
  <c r="F2472" i="15"/>
  <c r="E2472" i="15"/>
  <c r="I2471" i="15"/>
  <c r="F2471" i="15"/>
  <c r="E2471" i="15"/>
  <c r="I2470" i="15"/>
  <c r="F2470" i="15"/>
  <c r="E2470" i="15"/>
  <c r="I2469" i="15"/>
  <c r="F2469" i="15"/>
  <c r="E2469" i="15"/>
  <c r="I2468" i="15"/>
  <c r="F2468" i="15"/>
  <c r="E2468" i="15"/>
  <c r="I2467" i="15"/>
  <c r="F2467" i="15"/>
  <c r="E2467" i="15"/>
  <c r="I2466" i="15"/>
  <c r="F2466" i="15"/>
  <c r="E2466" i="15"/>
  <c r="I2465" i="15"/>
  <c r="F2465" i="15"/>
  <c r="E2465" i="15"/>
  <c r="I2464" i="15"/>
  <c r="F2464" i="15"/>
  <c r="E2464" i="15"/>
  <c r="I2463" i="15"/>
  <c r="F2463" i="15"/>
  <c r="E2463" i="15"/>
  <c r="I2462" i="15"/>
  <c r="F2462" i="15"/>
  <c r="E2462" i="15"/>
  <c r="I2461" i="15"/>
  <c r="F2461" i="15"/>
  <c r="E2461" i="15"/>
  <c r="I2460" i="15"/>
  <c r="F2460" i="15"/>
  <c r="E2460" i="15"/>
  <c r="I2459" i="15"/>
  <c r="F2459" i="15"/>
  <c r="E2459" i="15"/>
  <c r="I2458" i="15"/>
  <c r="F2458" i="15"/>
  <c r="E2458" i="15"/>
  <c r="I2457" i="15"/>
  <c r="F2457" i="15"/>
  <c r="E2457" i="15"/>
  <c r="I2456" i="15"/>
  <c r="F2456" i="15"/>
  <c r="E2456" i="15"/>
  <c r="I2455" i="15"/>
  <c r="F2455" i="15"/>
  <c r="E2455" i="15"/>
  <c r="I2454" i="15"/>
  <c r="F2454" i="15"/>
  <c r="E2454" i="15"/>
  <c r="I2453" i="15"/>
  <c r="F2453" i="15"/>
  <c r="E2453" i="15"/>
  <c r="I2452" i="15"/>
  <c r="F2452" i="15"/>
  <c r="E2452" i="15"/>
  <c r="I2451" i="15"/>
  <c r="F2451" i="15"/>
  <c r="E2451" i="15"/>
  <c r="I2450" i="15"/>
  <c r="F2450" i="15"/>
  <c r="E2450" i="15"/>
  <c r="I2449" i="15"/>
  <c r="F2449" i="15"/>
  <c r="E2449" i="15"/>
  <c r="I2448" i="15"/>
  <c r="F2448" i="15"/>
  <c r="E2448" i="15"/>
  <c r="I2447" i="15"/>
  <c r="F2447" i="15"/>
  <c r="E2447" i="15"/>
  <c r="I2446" i="15"/>
  <c r="F2446" i="15"/>
  <c r="E2446" i="15"/>
  <c r="I2445" i="15"/>
  <c r="F2445" i="15"/>
  <c r="E2445" i="15"/>
  <c r="I2444" i="15"/>
  <c r="F2444" i="15"/>
  <c r="E2444" i="15"/>
  <c r="I2443" i="15"/>
  <c r="F2443" i="15"/>
  <c r="E2443" i="15"/>
  <c r="I2442" i="15"/>
  <c r="F2442" i="15"/>
  <c r="E2442" i="15"/>
  <c r="I2441" i="15"/>
  <c r="F2441" i="15"/>
  <c r="E2441" i="15"/>
  <c r="I2440" i="15"/>
  <c r="F2440" i="15"/>
  <c r="E2440" i="15"/>
  <c r="I2439" i="15"/>
  <c r="F2439" i="15"/>
  <c r="E2439" i="15"/>
  <c r="I2438" i="15"/>
  <c r="F2438" i="15"/>
  <c r="E2438" i="15"/>
  <c r="I2437" i="15"/>
  <c r="F2437" i="15"/>
  <c r="E2437" i="15"/>
  <c r="I2436" i="15"/>
  <c r="F2436" i="15"/>
  <c r="E2436" i="15"/>
  <c r="I2435" i="15"/>
  <c r="F2435" i="15"/>
  <c r="E2435" i="15"/>
  <c r="I2434" i="15"/>
  <c r="F2434" i="15"/>
  <c r="E2434" i="15"/>
  <c r="I2433" i="15"/>
  <c r="F2433" i="15"/>
  <c r="E2433" i="15"/>
  <c r="I2432" i="15"/>
  <c r="F2432" i="15"/>
  <c r="E2432" i="15"/>
  <c r="I2431" i="15"/>
  <c r="F2431" i="15"/>
  <c r="E2431" i="15"/>
  <c r="I2430" i="15"/>
  <c r="F2430" i="15"/>
  <c r="E2430" i="15"/>
  <c r="I2429" i="15"/>
  <c r="F2429" i="15"/>
  <c r="E2429" i="15"/>
  <c r="I2428" i="15"/>
  <c r="F2428" i="15"/>
  <c r="E2428" i="15"/>
  <c r="I2427" i="15"/>
  <c r="F2427" i="15"/>
  <c r="E2427" i="15"/>
  <c r="I2426" i="15"/>
  <c r="F2426" i="15"/>
  <c r="E2426" i="15"/>
  <c r="I2425" i="15"/>
  <c r="F2425" i="15"/>
  <c r="E2425" i="15"/>
  <c r="I2424" i="15"/>
  <c r="F2424" i="15"/>
  <c r="E2424" i="15"/>
  <c r="I2423" i="15"/>
  <c r="F2423" i="15"/>
  <c r="E2423" i="15"/>
  <c r="I2422" i="15"/>
  <c r="F2422" i="15"/>
  <c r="E2422" i="15"/>
  <c r="I2421" i="15"/>
  <c r="F2421" i="15"/>
  <c r="E2421" i="15"/>
  <c r="I2420" i="15"/>
  <c r="F2420" i="15"/>
  <c r="E2420" i="15"/>
  <c r="I2419" i="15"/>
  <c r="F2419" i="15"/>
  <c r="E2419" i="15"/>
  <c r="I2418" i="15"/>
  <c r="F2418" i="15"/>
  <c r="E2418" i="15"/>
  <c r="I2417" i="15"/>
  <c r="F2417" i="15"/>
  <c r="E2417" i="15"/>
  <c r="I2416" i="15"/>
  <c r="F2416" i="15"/>
  <c r="E2416" i="15"/>
  <c r="I2415" i="15"/>
  <c r="F2415" i="15"/>
  <c r="E2415" i="15"/>
  <c r="I2414" i="15"/>
  <c r="F2414" i="15"/>
  <c r="E2414" i="15"/>
  <c r="I2413" i="15"/>
  <c r="F2413" i="15"/>
  <c r="E2413" i="15"/>
  <c r="I2412" i="15"/>
  <c r="F2412" i="15"/>
  <c r="E2412" i="15"/>
  <c r="I2411" i="15"/>
  <c r="F2411" i="15"/>
  <c r="E2411" i="15"/>
  <c r="I2410" i="15"/>
  <c r="F2410" i="15"/>
  <c r="E2410" i="15"/>
  <c r="I2409" i="15"/>
  <c r="F2409" i="15"/>
  <c r="E2409" i="15"/>
  <c r="I2408" i="15"/>
  <c r="F2408" i="15"/>
  <c r="E2408" i="15"/>
  <c r="I2407" i="15"/>
  <c r="F2407" i="15"/>
  <c r="E2407" i="15"/>
  <c r="I2406" i="15"/>
  <c r="F2406" i="15"/>
  <c r="E2406" i="15"/>
  <c r="I2405" i="15"/>
  <c r="F2405" i="15"/>
  <c r="E2405" i="15"/>
  <c r="I2404" i="15"/>
  <c r="F2404" i="15"/>
  <c r="E2404" i="15"/>
  <c r="I2403" i="15"/>
  <c r="F2403" i="15"/>
  <c r="E2403" i="15"/>
  <c r="I2402" i="15"/>
  <c r="F2402" i="15"/>
  <c r="E2402" i="15"/>
  <c r="I2401" i="15"/>
  <c r="F2401" i="15"/>
  <c r="E2401" i="15"/>
  <c r="I2400" i="15"/>
  <c r="F2400" i="15"/>
  <c r="E2400" i="15"/>
  <c r="I2399" i="15"/>
  <c r="F2399" i="15"/>
  <c r="E2399" i="15"/>
  <c r="I2398" i="15"/>
  <c r="F2398" i="15"/>
  <c r="E2398" i="15"/>
  <c r="I2397" i="15"/>
  <c r="F2397" i="15"/>
  <c r="E2397" i="15"/>
  <c r="I2396" i="15"/>
  <c r="F2396" i="15"/>
  <c r="E2396" i="15"/>
  <c r="I2395" i="15"/>
  <c r="F2395" i="15"/>
  <c r="E2395" i="15"/>
  <c r="I2394" i="15"/>
  <c r="F2394" i="15"/>
  <c r="E2394" i="15"/>
  <c r="I2393" i="15"/>
  <c r="F2393" i="15"/>
  <c r="E2393" i="15"/>
  <c r="I2392" i="15"/>
  <c r="F2392" i="15"/>
  <c r="E2392" i="15"/>
  <c r="I2391" i="15"/>
  <c r="F2391" i="15"/>
  <c r="E2391" i="15"/>
  <c r="I2390" i="15"/>
  <c r="F2390" i="15"/>
  <c r="E2390" i="15"/>
  <c r="I2389" i="15"/>
  <c r="F2389" i="15"/>
  <c r="E2389" i="15"/>
  <c r="I2388" i="15"/>
  <c r="F2388" i="15"/>
  <c r="E2388" i="15"/>
  <c r="I2387" i="15"/>
  <c r="F2387" i="15"/>
  <c r="E2387" i="15"/>
  <c r="I2386" i="15"/>
  <c r="F2386" i="15"/>
  <c r="E2386" i="15"/>
  <c r="I2385" i="15"/>
  <c r="F2385" i="15"/>
  <c r="E2385" i="15"/>
  <c r="I2384" i="15"/>
  <c r="F2384" i="15"/>
  <c r="E2384" i="15"/>
  <c r="I2383" i="15"/>
  <c r="F2383" i="15"/>
  <c r="E2383" i="15"/>
  <c r="I2382" i="15"/>
  <c r="F2382" i="15"/>
  <c r="E2382" i="15"/>
  <c r="I2381" i="15"/>
  <c r="F2381" i="15"/>
  <c r="E2381" i="15"/>
  <c r="I2380" i="15"/>
  <c r="F2380" i="15"/>
  <c r="E2380" i="15"/>
  <c r="I2379" i="15"/>
  <c r="F2379" i="15"/>
  <c r="E2379" i="15"/>
  <c r="I2378" i="15"/>
  <c r="F2378" i="15"/>
  <c r="E2378" i="15"/>
  <c r="I2377" i="15"/>
  <c r="F2377" i="15"/>
  <c r="E2377" i="15"/>
  <c r="I2376" i="15"/>
  <c r="F2376" i="15"/>
  <c r="E2376" i="15"/>
  <c r="I2375" i="15"/>
  <c r="F2375" i="15"/>
  <c r="E2375" i="15"/>
  <c r="I2374" i="15"/>
  <c r="F2374" i="15"/>
  <c r="E2374" i="15"/>
  <c r="I2373" i="15"/>
  <c r="F2373" i="15"/>
  <c r="E2373" i="15"/>
  <c r="I2372" i="15"/>
  <c r="F2372" i="15"/>
  <c r="E2372" i="15"/>
  <c r="I2371" i="15"/>
  <c r="F2371" i="15"/>
  <c r="E2371" i="15"/>
  <c r="I2370" i="15"/>
  <c r="F2370" i="15"/>
  <c r="E2370" i="15"/>
  <c r="I2369" i="15"/>
  <c r="F2369" i="15"/>
  <c r="E2369" i="15"/>
  <c r="I2368" i="15"/>
  <c r="F2368" i="15"/>
  <c r="E2368" i="15"/>
  <c r="I2367" i="15"/>
  <c r="F2367" i="15"/>
  <c r="E2367" i="15"/>
  <c r="I2366" i="15"/>
  <c r="F2366" i="15"/>
  <c r="E2366" i="15"/>
  <c r="I2365" i="15"/>
  <c r="F2365" i="15"/>
  <c r="E2365" i="15"/>
  <c r="I2364" i="15"/>
  <c r="F2364" i="15"/>
  <c r="E2364" i="15"/>
  <c r="I2363" i="15"/>
  <c r="F2363" i="15"/>
  <c r="E2363" i="15"/>
  <c r="I2362" i="15"/>
  <c r="F2362" i="15"/>
  <c r="E2362" i="15"/>
  <c r="I2361" i="15"/>
  <c r="F2361" i="15"/>
  <c r="E2361" i="15"/>
  <c r="I2360" i="15"/>
  <c r="F2360" i="15"/>
  <c r="E2360" i="15"/>
  <c r="I2359" i="15"/>
  <c r="F2359" i="15"/>
  <c r="E2359" i="15"/>
  <c r="I2358" i="15"/>
  <c r="F2358" i="15"/>
  <c r="E2358" i="15"/>
  <c r="I2357" i="15"/>
  <c r="F2357" i="15"/>
  <c r="E2357" i="15"/>
  <c r="I2356" i="15"/>
  <c r="F2356" i="15"/>
  <c r="E2356" i="15"/>
  <c r="I2355" i="15"/>
  <c r="F2355" i="15"/>
  <c r="E2355" i="15"/>
  <c r="I2354" i="15"/>
  <c r="F2354" i="15"/>
  <c r="E2354" i="15"/>
  <c r="I2353" i="15"/>
  <c r="F2353" i="15"/>
  <c r="E2353" i="15"/>
  <c r="I2352" i="15"/>
  <c r="F2352" i="15"/>
  <c r="E2352" i="15"/>
  <c r="I2351" i="15"/>
  <c r="F2351" i="15"/>
  <c r="E2351" i="15"/>
  <c r="I2350" i="15"/>
  <c r="F2350" i="15"/>
  <c r="E2350" i="15"/>
  <c r="I2349" i="15"/>
  <c r="F2349" i="15"/>
  <c r="E2349" i="15"/>
  <c r="I2348" i="15"/>
  <c r="F2348" i="15"/>
  <c r="E2348" i="15"/>
  <c r="I2347" i="15"/>
  <c r="F2347" i="15"/>
  <c r="E2347" i="15"/>
  <c r="I2346" i="15"/>
  <c r="F2346" i="15"/>
  <c r="E2346" i="15"/>
  <c r="I2345" i="15"/>
  <c r="F2345" i="15"/>
  <c r="E2345" i="15"/>
  <c r="I2344" i="15"/>
  <c r="F2344" i="15"/>
  <c r="E2344" i="15"/>
  <c r="I2343" i="15"/>
  <c r="F2343" i="15"/>
  <c r="E2343" i="15"/>
  <c r="I2342" i="15"/>
  <c r="F2342" i="15"/>
  <c r="E2342" i="15"/>
  <c r="I2341" i="15"/>
  <c r="F2341" i="15"/>
  <c r="E2341" i="15"/>
  <c r="I2340" i="15"/>
  <c r="F2340" i="15"/>
  <c r="E2340" i="15"/>
  <c r="I2339" i="15"/>
  <c r="F2339" i="15"/>
  <c r="E2339" i="15"/>
  <c r="I2338" i="15"/>
  <c r="F2338" i="15"/>
  <c r="E2338" i="15"/>
  <c r="I2337" i="15"/>
  <c r="F2337" i="15"/>
  <c r="E2337" i="15"/>
  <c r="I2336" i="15"/>
  <c r="F2336" i="15"/>
  <c r="E2336" i="15"/>
  <c r="I2335" i="15"/>
  <c r="F2335" i="15"/>
  <c r="E2335" i="15"/>
  <c r="I2334" i="15"/>
  <c r="F2334" i="15"/>
  <c r="E2334" i="15"/>
  <c r="I2333" i="15"/>
  <c r="F2333" i="15"/>
  <c r="E2333" i="15"/>
  <c r="I2332" i="15"/>
  <c r="F2332" i="15"/>
  <c r="E2332" i="15"/>
  <c r="I2331" i="15"/>
  <c r="F2331" i="15"/>
  <c r="E2331" i="15"/>
  <c r="I2330" i="15"/>
  <c r="F2330" i="15"/>
  <c r="E2330" i="15"/>
  <c r="I2329" i="15"/>
  <c r="F2329" i="15"/>
  <c r="E2329" i="15"/>
  <c r="I2328" i="15"/>
  <c r="F2328" i="15"/>
  <c r="E2328" i="15"/>
  <c r="I2327" i="15"/>
  <c r="F2327" i="15"/>
  <c r="E2327" i="15"/>
  <c r="I2326" i="15"/>
  <c r="F2326" i="15"/>
  <c r="E2326" i="15"/>
  <c r="I2325" i="15"/>
  <c r="F2325" i="15"/>
  <c r="E2325" i="15"/>
  <c r="I2324" i="15"/>
  <c r="F2324" i="15"/>
  <c r="E2324" i="15"/>
  <c r="I2323" i="15"/>
  <c r="F2323" i="15"/>
  <c r="E2323" i="15"/>
  <c r="I2322" i="15"/>
  <c r="F2322" i="15"/>
  <c r="E2322" i="15"/>
  <c r="I2321" i="15"/>
  <c r="F2321" i="15"/>
  <c r="E2321" i="15"/>
  <c r="I2320" i="15"/>
  <c r="F2320" i="15"/>
  <c r="E2320" i="15"/>
  <c r="I2319" i="15"/>
  <c r="F2319" i="15"/>
  <c r="E2319" i="15"/>
  <c r="I2318" i="15"/>
  <c r="F2318" i="15"/>
  <c r="E2318" i="15"/>
  <c r="I2317" i="15"/>
  <c r="F2317" i="15"/>
  <c r="E2317" i="15"/>
  <c r="I2316" i="15"/>
  <c r="F2316" i="15"/>
  <c r="E2316" i="15"/>
  <c r="I2315" i="15"/>
  <c r="F2315" i="15"/>
  <c r="E2315" i="15"/>
  <c r="I2314" i="15"/>
  <c r="F2314" i="15"/>
  <c r="E2314" i="15"/>
  <c r="I2313" i="15"/>
  <c r="F2313" i="15"/>
  <c r="E2313" i="15"/>
  <c r="I2312" i="15"/>
  <c r="F2312" i="15"/>
  <c r="E2312" i="15"/>
  <c r="I2311" i="15"/>
  <c r="F2311" i="15"/>
  <c r="E2311" i="15"/>
  <c r="I2310" i="15"/>
  <c r="F2310" i="15"/>
  <c r="E2310" i="15"/>
  <c r="I2309" i="15"/>
  <c r="F2309" i="15"/>
  <c r="E2309" i="15"/>
  <c r="I2308" i="15"/>
  <c r="F2308" i="15"/>
  <c r="E2308" i="15"/>
  <c r="I2307" i="15"/>
  <c r="F2307" i="15"/>
  <c r="E2307" i="15"/>
  <c r="I2306" i="15"/>
  <c r="F2306" i="15"/>
  <c r="E2306" i="15"/>
  <c r="I2305" i="15"/>
  <c r="F2305" i="15"/>
  <c r="E2305" i="15"/>
  <c r="I2304" i="15"/>
  <c r="F2304" i="15"/>
  <c r="E2304" i="15"/>
  <c r="I2303" i="15"/>
  <c r="F2303" i="15"/>
  <c r="E2303" i="15"/>
  <c r="I2302" i="15"/>
  <c r="F2302" i="15"/>
  <c r="E2302" i="15"/>
  <c r="I2301" i="15"/>
  <c r="F2301" i="15"/>
  <c r="E2301" i="15"/>
  <c r="I2300" i="15"/>
  <c r="F2300" i="15"/>
  <c r="E2300" i="15"/>
  <c r="I2299" i="15"/>
  <c r="F2299" i="15"/>
  <c r="E2299" i="15"/>
  <c r="I2298" i="15"/>
  <c r="F2298" i="15"/>
  <c r="E2298" i="15"/>
  <c r="I2297" i="15"/>
  <c r="F2297" i="15"/>
  <c r="E2297" i="15"/>
  <c r="I2296" i="15"/>
  <c r="F2296" i="15"/>
  <c r="E2296" i="15"/>
  <c r="I2295" i="15"/>
  <c r="F2295" i="15"/>
  <c r="E2295" i="15"/>
  <c r="I2294" i="15"/>
  <c r="F2294" i="15"/>
  <c r="E2294" i="15"/>
  <c r="I2293" i="15"/>
  <c r="F2293" i="15"/>
  <c r="E2293" i="15"/>
  <c r="I2292" i="15"/>
  <c r="F2292" i="15"/>
  <c r="E2292" i="15"/>
  <c r="I2291" i="15"/>
  <c r="F2291" i="15"/>
  <c r="E2291" i="15"/>
  <c r="I2290" i="15"/>
  <c r="F2290" i="15"/>
  <c r="E2290" i="15"/>
  <c r="I2289" i="15"/>
  <c r="F2289" i="15"/>
  <c r="E2289" i="15"/>
  <c r="I2288" i="15"/>
  <c r="F2288" i="15"/>
  <c r="E2288" i="15"/>
  <c r="I2287" i="15"/>
  <c r="F2287" i="15"/>
  <c r="E2287" i="15"/>
  <c r="I2286" i="15"/>
  <c r="F2286" i="15"/>
  <c r="E2286" i="15"/>
  <c r="I2285" i="15"/>
  <c r="F2285" i="15"/>
  <c r="E2285" i="15"/>
  <c r="I2284" i="15"/>
  <c r="F2284" i="15"/>
  <c r="E2284" i="15"/>
  <c r="I2283" i="15"/>
  <c r="F2283" i="15"/>
  <c r="E2283" i="15"/>
  <c r="I2282" i="15"/>
  <c r="F2282" i="15"/>
  <c r="E2282" i="15"/>
  <c r="I2281" i="15"/>
  <c r="F2281" i="15"/>
  <c r="E2281" i="15"/>
  <c r="I2280" i="15"/>
  <c r="F2280" i="15"/>
  <c r="E2280" i="15"/>
  <c r="I2279" i="15"/>
  <c r="F2279" i="15"/>
  <c r="E2279" i="15"/>
  <c r="I2278" i="15"/>
  <c r="F2278" i="15"/>
  <c r="E2278" i="15"/>
  <c r="I2277" i="15"/>
  <c r="F2277" i="15"/>
  <c r="E2277" i="15"/>
  <c r="I2276" i="15"/>
  <c r="F2276" i="15"/>
  <c r="E2276" i="15"/>
  <c r="I2275" i="15"/>
  <c r="F2275" i="15"/>
  <c r="E2275" i="15"/>
  <c r="I2274" i="15"/>
  <c r="F2274" i="15"/>
  <c r="E2274" i="15"/>
  <c r="I2273" i="15"/>
  <c r="F2273" i="15"/>
  <c r="E2273" i="15"/>
  <c r="I2272" i="15"/>
  <c r="F2272" i="15"/>
  <c r="E2272" i="15"/>
  <c r="I2271" i="15"/>
  <c r="F2271" i="15"/>
  <c r="E2271" i="15"/>
  <c r="I2270" i="15"/>
  <c r="F2270" i="15"/>
  <c r="E2270" i="15"/>
  <c r="I2269" i="15"/>
  <c r="F2269" i="15"/>
  <c r="E2269" i="15"/>
  <c r="I2268" i="15"/>
  <c r="F2268" i="15"/>
  <c r="E2268" i="15"/>
  <c r="I2267" i="15"/>
  <c r="F2267" i="15"/>
  <c r="E2267" i="15"/>
  <c r="I2266" i="15"/>
  <c r="F2266" i="15"/>
  <c r="E2266" i="15"/>
  <c r="I2265" i="15"/>
  <c r="F2265" i="15"/>
  <c r="E2265" i="15"/>
  <c r="I2264" i="15"/>
  <c r="F2264" i="15"/>
  <c r="E2264" i="15"/>
  <c r="I2263" i="15"/>
  <c r="F2263" i="15"/>
  <c r="E2263" i="15"/>
  <c r="I2262" i="15"/>
  <c r="F2262" i="15"/>
  <c r="E2262" i="15"/>
  <c r="I2261" i="15"/>
  <c r="F2261" i="15"/>
  <c r="E2261" i="15"/>
  <c r="I2260" i="15"/>
  <c r="F2260" i="15"/>
  <c r="E2260" i="15"/>
  <c r="I2259" i="15"/>
  <c r="F2259" i="15"/>
  <c r="E2259" i="15"/>
  <c r="I2258" i="15"/>
  <c r="F2258" i="15"/>
  <c r="E2258" i="15"/>
  <c r="I2257" i="15"/>
  <c r="F2257" i="15"/>
  <c r="E2257" i="15"/>
  <c r="I2256" i="15"/>
  <c r="F2256" i="15"/>
  <c r="E2256" i="15"/>
  <c r="I2255" i="15"/>
  <c r="F2255" i="15"/>
  <c r="E2255" i="15"/>
  <c r="I2254" i="15"/>
  <c r="F2254" i="15"/>
  <c r="E2254" i="15"/>
  <c r="I2253" i="15"/>
  <c r="F2253" i="15"/>
  <c r="E2253" i="15"/>
  <c r="I2252" i="15"/>
  <c r="F2252" i="15"/>
  <c r="E2252" i="15"/>
  <c r="I2251" i="15"/>
  <c r="F2251" i="15"/>
  <c r="E2251" i="15"/>
  <c r="I2250" i="15"/>
  <c r="F2250" i="15"/>
  <c r="E2250" i="15"/>
  <c r="I2249" i="15"/>
  <c r="F2249" i="15"/>
  <c r="E2249" i="15"/>
  <c r="I2248" i="15"/>
  <c r="F2248" i="15"/>
  <c r="E2248" i="15"/>
  <c r="I2247" i="15"/>
  <c r="F2247" i="15"/>
  <c r="E2247" i="15"/>
  <c r="I2246" i="15"/>
  <c r="F2246" i="15"/>
  <c r="E2246" i="15"/>
  <c r="I2245" i="15"/>
  <c r="F2245" i="15"/>
  <c r="E2245" i="15"/>
  <c r="I2244" i="15"/>
  <c r="F2244" i="15"/>
  <c r="E2244" i="15"/>
  <c r="I2243" i="15"/>
  <c r="F2243" i="15"/>
  <c r="E2243" i="15"/>
  <c r="I2242" i="15"/>
  <c r="F2242" i="15"/>
  <c r="E2242" i="15"/>
  <c r="I2241" i="15"/>
  <c r="F2241" i="15"/>
  <c r="E2241" i="15"/>
  <c r="I2240" i="15"/>
  <c r="F2240" i="15"/>
  <c r="E2240" i="15"/>
  <c r="I2239" i="15"/>
  <c r="F2239" i="15"/>
  <c r="E2239" i="15"/>
  <c r="I2238" i="15"/>
  <c r="F2238" i="15"/>
  <c r="E2238" i="15"/>
  <c r="I2237" i="15"/>
  <c r="F2237" i="15"/>
  <c r="E2237" i="15"/>
  <c r="I2236" i="15"/>
  <c r="F2236" i="15"/>
  <c r="E2236" i="15"/>
  <c r="I2235" i="15"/>
  <c r="F2235" i="15"/>
  <c r="E2235" i="15"/>
  <c r="I2234" i="15"/>
  <c r="F2234" i="15"/>
  <c r="E2234" i="15"/>
  <c r="I2233" i="15"/>
  <c r="F2233" i="15"/>
  <c r="E2233" i="15"/>
  <c r="I2232" i="15"/>
  <c r="F2232" i="15"/>
  <c r="E2232" i="15"/>
  <c r="I2231" i="15"/>
  <c r="F2231" i="15"/>
  <c r="E2231" i="15"/>
  <c r="I2230" i="15"/>
  <c r="F2230" i="15"/>
  <c r="E2230" i="15"/>
  <c r="I2229" i="15"/>
  <c r="F2229" i="15"/>
  <c r="E2229" i="15"/>
  <c r="I2228" i="15"/>
  <c r="F2228" i="15"/>
  <c r="E2228" i="15"/>
  <c r="I2227" i="15"/>
  <c r="F2227" i="15"/>
  <c r="E2227" i="15"/>
  <c r="I2226" i="15"/>
  <c r="F2226" i="15"/>
  <c r="E2226" i="15"/>
  <c r="I2225" i="15"/>
  <c r="F2225" i="15"/>
  <c r="E2225" i="15"/>
  <c r="I2224" i="15"/>
  <c r="F2224" i="15"/>
  <c r="E2224" i="15"/>
  <c r="I2223" i="15"/>
  <c r="F2223" i="15"/>
  <c r="E2223" i="15"/>
  <c r="I2222" i="15"/>
  <c r="F2222" i="15"/>
  <c r="E2222" i="15"/>
  <c r="I2221" i="15"/>
  <c r="F2221" i="15"/>
  <c r="E2221" i="15"/>
  <c r="I2220" i="15"/>
  <c r="F2220" i="15"/>
  <c r="E2220" i="15"/>
  <c r="I2219" i="15"/>
  <c r="F2219" i="15"/>
  <c r="E2219" i="15"/>
  <c r="I2218" i="15"/>
  <c r="F2218" i="15"/>
  <c r="E2218" i="15"/>
  <c r="I2217" i="15"/>
  <c r="F2217" i="15"/>
  <c r="E2217" i="15"/>
  <c r="I2216" i="15"/>
  <c r="F2216" i="15"/>
  <c r="E2216" i="15"/>
  <c r="I2215" i="15"/>
  <c r="F2215" i="15"/>
  <c r="E2215" i="15"/>
  <c r="I2214" i="15"/>
  <c r="F2214" i="15"/>
  <c r="E2214" i="15"/>
  <c r="I2213" i="15"/>
  <c r="F2213" i="15"/>
  <c r="E2213" i="15"/>
  <c r="I2212" i="15"/>
  <c r="F2212" i="15"/>
  <c r="E2212" i="15"/>
  <c r="I2211" i="15"/>
  <c r="F2211" i="15"/>
  <c r="E2211" i="15"/>
  <c r="I2210" i="15"/>
  <c r="F2210" i="15"/>
  <c r="E2210" i="15"/>
  <c r="I2209" i="15"/>
  <c r="F2209" i="15"/>
  <c r="E2209" i="15"/>
  <c r="I2208" i="15"/>
  <c r="F2208" i="15"/>
  <c r="E2208" i="15"/>
  <c r="I2207" i="15"/>
  <c r="F2207" i="15"/>
  <c r="E2207" i="15"/>
  <c r="I2206" i="15"/>
  <c r="F2206" i="15"/>
  <c r="E2206" i="15"/>
  <c r="I2205" i="15"/>
  <c r="F2205" i="15"/>
  <c r="E2205" i="15"/>
  <c r="I2204" i="15"/>
  <c r="F2204" i="15"/>
  <c r="E2204" i="15"/>
  <c r="I2203" i="15"/>
  <c r="F2203" i="15"/>
  <c r="E2203" i="15"/>
  <c r="I2202" i="15"/>
  <c r="F2202" i="15"/>
  <c r="E2202" i="15"/>
  <c r="I2201" i="15"/>
  <c r="F2201" i="15"/>
  <c r="E2201" i="15"/>
  <c r="I2200" i="15"/>
  <c r="F2200" i="15"/>
  <c r="E2200" i="15"/>
  <c r="I2199" i="15"/>
  <c r="F2199" i="15"/>
  <c r="E2199" i="15"/>
  <c r="I2198" i="15"/>
  <c r="F2198" i="15"/>
  <c r="E2198" i="15"/>
  <c r="I2197" i="15"/>
  <c r="F2197" i="15"/>
  <c r="E2197" i="15"/>
  <c r="I2196" i="15"/>
  <c r="F2196" i="15"/>
  <c r="E2196" i="15"/>
  <c r="I2195" i="15"/>
  <c r="F2195" i="15"/>
  <c r="E2195" i="15"/>
  <c r="I2194" i="15"/>
  <c r="F2194" i="15"/>
  <c r="E2194" i="15"/>
  <c r="I2193" i="15"/>
  <c r="F2193" i="15"/>
  <c r="E2193" i="15"/>
  <c r="I2192" i="15"/>
  <c r="F2192" i="15"/>
  <c r="E2192" i="15"/>
  <c r="I2191" i="15"/>
  <c r="F2191" i="15"/>
  <c r="E2191" i="15"/>
  <c r="I2190" i="15"/>
  <c r="F2190" i="15"/>
  <c r="E2190" i="15"/>
  <c r="I2189" i="15"/>
  <c r="F2189" i="15"/>
  <c r="E2189" i="15"/>
  <c r="I2188" i="15"/>
  <c r="F2188" i="15"/>
  <c r="E2188" i="15"/>
  <c r="I2187" i="15"/>
  <c r="F2187" i="15"/>
  <c r="E2187" i="15"/>
  <c r="I2186" i="15"/>
  <c r="F2186" i="15"/>
  <c r="E2186" i="15"/>
  <c r="I2185" i="15"/>
  <c r="F2185" i="15"/>
  <c r="E2185" i="15"/>
  <c r="I2184" i="15"/>
  <c r="F2184" i="15"/>
  <c r="E2184" i="15"/>
  <c r="I2183" i="15"/>
  <c r="F2183" i="15"/>
  <c r="E2183" i="15"/>
  <c r="I2182" i="15"/>
  <c r="F2182" i="15"/>
  <c r="E2182" i="15"/>
  <c r="I2181" i="15"/>
  <c r="F2181" i="15"/>
  <c r="E2181" i="15"/>
  <c r="I2180" i="15"/>
  <c r="F2180" i="15"/>
  <c r="E2180" i="15"/>
  <c r="I2179" i="15"/>
  <c r="F2179" i="15"/>
  <c r="E2179" i="15"/>
  <c r="I2178" i="15"/>
  <c r="F2178" i="15"/>
  <c r="E2178" i="15"/>
  <c r="I2177" i="15"/>
  <c r="F2177" i="15"/>
  <c r="E2177" i="15"/>
  <c r="I2176" i="15"/>
  <c r="F2176" i="15"/>
  <c r="E2176" i="15"/>
  <c r="I2175" i="15"/>
  <c r="F2175" i="15"/>
  <c r="E2175" i="15"/>
  <c r="I2174" i="15"/>
  <c r="F2174" i="15"/>
  <c r="E2174" i="15"/>
  <c r="I2173" i="15"/>
  <c r="F2173" i="15"/>
  <c r="E2173" i="15"/>
  <c r="I2172" i="15"/>
  <c r="F2172" i="15"/>
  <c r="E2172" i="15"/>
  <c r="I2171" i="15"/>
  <c r="F2171" i="15"/>
  <c r="E2171" i="15"/>
  <c r="I2170" i="15"/>
  <c r="F2170" i="15"/>
  <c r="E2170" i="15"/>
  <c r="I2169" i="15"/>
  <c r="F2169" i="15"/>
  <c r="E2169" i="15"/>
  <c r="I2168" i="15"/>
  <c r="F2168" i="15"/>
  <c r="E2168" i="15"/>
  <c r="I2167" i="15"/>
  <c r="F2167" i="15"/>
  <c r="E2167" i="15"/>
  <c r="I2166" i="15"/>
  <c r="F2166" i="15"/>
  <c r="E2166" i="15"/>
  <c r="I2165" i="15"/>
  <c r="F2165" i="15"/>
  <c r="E2165" i="15"/>
  <c r="I2164" i="15"/>
  <c r="F2164" i="15"/>
  <c r="E2164" i="15"/>
  <c r="I2163" i="15"/>
  <c r="F2163" i="15"/>
  <c r="E2163" i="15"/>
  <c r="I2162" i="15"/>
  <c r="F2162" i="15"/>
  <c r="E2162" i="15"/>
  <c r="I2161" i="15"/>
  <c r="F2161" i="15"/>
  <c r="E2161" i="15"/>
  <c r="I2160" i="15"/>
  <c r="F2160" i="15"/>
  <c r="E2160" i="15"/>
  <c r="I2159" i="15"/>
  <c r="F2159" i="15"/>
  <c r="E2159" i="15"/>
  <c r="I2158" i="15"/>
  <c r="F2158" i="15"/>
  <c r="E2158" i="15"/>
  <c r="I2157" i="15"/>
  <c r="F2157" i="15"/>
  <c r="E2157" i="15"/>
  <c r="I2156" i="15"/>
  <c r="F2156" i="15"/>
  <c r="E2156" i="15"/>
  <c r="I2155" i="15"/>
  <c r="F2155" i="15"/>
  <c r="E2155" i="15"/>
  <c r="I2154" i="15"/>
  <c r="F2154" i="15"/>
  <c r="E2154" i="15"/>
  <c r="I2153" i="15"/>
  <c r="F2153" i="15"/>
  <c r="E2153" i="15"/>
  <c r="I2152" i="15"/>
  <c r="F2152" i="15"/>
  <c r="E2152" i="15"/>
  <c r="I2151" i="15"/>
  <c r="F2151" i="15"/>
  <c r="E2151" i="15"/>
  <c r="I2150" i="15"/>
  <c r="F2150" i="15"/>
  <c r="E2150" i="15"/>
  <c r="I2149" i="15"/>
  <c r="F2149" i="15"/>
  <c r="E2149" i="15"/>
  <c r="I2148" i="15"/>
  <c r="F2148" i="15"/>
  <c r="E2148" i="15"/>
  <c r="I2147" i="15"/>
  <c r="F2147" i="15"/>
  <c r="E2147" i="15"/>
  <c r="I2146" i="15"/>
  <c r="F2146" i="15"/>
  <c r="E2146" i="15"/>
  <c r="I2145" i="15"/>
  <c r="F2145" i="15"/>
  <c r="E2145" i="15"/>
  <c r="I2144" i="15"/>
  <c r="F2144" i="15"/>
  <c r="E2144" i="15"/>
  <c r="I2143" i="15"/>
  <c r="F2143" i="15"/>
  <c r="E2143" i="15"/>
  <c r="I2142" i="15"/>
  <c r="F2142" i="15"/>
  <c r="E2142" i="15"/>
  <c r="I2141" i="15"/>
  <c r="F2141" i="15"/>
  <c r="E2141" i="15"/>
  <c r="I2140" i="15"/>
  <c r="F2140" i="15"/>
  <c r="E2140" i="15"/>
  <c r="I2139" i="15"/>
  <c r="F2139" i="15"/>
  <c r="E2139" i="15"/>
  <c r="I2138" i="15"/>
  <c r="F2138" i="15"/>
  <c r="E2138" i="15"/>
  <c r="I2137" i="15"/>
  <c r="F2137" i="15"/>
  <c r="E2137" i="15"/>
  <c r="I2136" i="15"/>
  <c r="F2136" i="15"/>
  <c r="E2136" i="15"/>
  <c r="I2135" i="15"/>
  <c r="F2135" i="15"/>
  <c r="E2135" i="15"/>
  <c r="I2134" i="15"/>
  <c r="F2134" i="15"/>
  <c r="E2134" i="15"/>
  <c r="I2133" i="15"/>
  <c r="F2133" i="15"/>
  <c r="E2133" i="15"/>
  <c r="I2132" i="15"/>
  <c r="F2132" i="15"/>
  <c r="E2132" i="15"/>
  <c r="I2131" i="15"/>
  <c r="F2131" i="15"/>
  <c r="E2131" i="15"/>
  <c r="I2130" i="15"/>
  <c r="F2130" i="15"/>
  <c r="E2130" i="15"/>
  <c r="I2129" i="15"/>
  <c r="F2129" i="15"/>
  <c r="E2129" i="15"/>
  <c r="I2128" i="15"/>
  <c r="F2128" i="15"/>
  <c r="E2128" i="15"/>
  <c r="I2127" i="15"/>
  <c r="F2127" i="15"/>
  <c r="E2127" i="15"/>
  <c r="I2126" i="15"/>
  <c r="F2126" i="15"/>
  <c r="E2126" i="15"/>
  <c r="I2125" i="15"/>
  <c r="F2125" i="15"/>
  <c r="E2125" i="15"/>
  <c r="I2124" i="15"/>
  <c r="F2124" i="15"/>
  <c r="E2124" i="15"/>
  <c r="I2123" i="15"/>
  <c r="F2123" i="15"/>
  <c r="E2123" i="15"/>
  <c r="I2122" i="15"/>
  <c r="F2122" i="15"/>
  <c r="E2122" i="15"/>
  <c r="I2121" i="15"/>
  <c r="F2121" i="15"/>
  <c r="E2121" i="15"/>
  <c r="I2120" i="15"/>
  <c r="F2120" i="15"/>
  <c r="E2120" i="15"/>
  <c r="I2119" i="15"/>
  <c r="F2119" i="15"/>
  <c r="E2119" i="15"/>
  <c r="I2118" i="15"/>
  <c r="F2118" i="15"/>
  <c r="E2118" i="15"/>
  <c r="I2117" i="15"/>
  <c r="F2117" i="15"/>
  <c r="E2117" i="15"/>
  <c r="I2116" i="15"/>
  <c r="F2116" i="15"/>
  <c r="E2116" i="15"/>
  <c r="I2115" i="15"/>
  <c r="F2115" i="15"/>
  <c r="E2115" i="15"/>
  <c r="I2114" i="15"/>
  <c r="F2114" i="15"/>
  <c r="E2114" i="15"/>
  <c r="I2113" i="15"/>
  <c r="F2113" i="15"/>
  <c r="E2113" i="15"/>
  <c r="I2112" i="15"/>
  <c r="F2112" i="15"/>
  <c r="E2112" i="15"/>
  <c r="I2111" i="15"/>
  <c r="F2111" i="15"/>
  <c r="E2111" i="15"/>
  <c r="I2110" i="15"/>
  <c r="F2110" i="15"/>
  <c r="E2110" i="15"/>
  <c r="I2109" i="15"/>
  <c r="F2109" i="15"/>
  <c r="E2109" i="15"/>
  <c r="I2108" i="15"/>
  <c r="F2108" i="15"/>
  <c r="E2108" i="15"/>
  <c r="I2107" i="15"/>
  <c r="F2107" i="15"/>
  <c r="E2107" i="15"/>
  <c r="I2106" i="15"/>
  <c r="F2106" i="15"/>
  <c r="E2106" i="15"/>
  <c r="I2105" i="15"/>
  <c r="F2105" i="15"/>
  <c r="E2105" i="15"/>
  <c r="I2104" i="15"/>
  <c r="F2104" i="15"/>
  <c r="E2104" i="15"/>
  <c r="I2103" i="15"/>
  <c r="F2103" i="15"/>
  <c r="E2103" i="15"/>
  <c r="I2102" i="15"/>
  <c r="F2102" i="15"/>
  <c r="E2102" i="15"/>
  <c r="I2101" i="15"/>
  <c r="F2101" i="15"/>
  <c r="E2101" i="15"/>
  <c r="I2100" i="15"/>
  <c r="F2100" i="15"/>
  <c r="E2100" i="15"/>
  <c r="I2099" i="15"/>
  <c r="F2099" i="15"/>
  <c r="E2099" i="15"/>
  <c r="I2098" i="15"/>
  <c r="F2098" i="15"/>
  <c r="E2098" i="15"/>
  <c r="I2097" i="15"/>
  <c r="F2097" i="15"/>
  <c r="E2097" i="15"/>
  <c r="I2096" i="15"/>
  <c r="F2096" i="15"/>
  <c r="E2096" i="15"/>
  <c r="I2095" i="15"/>
  <c r="F2095" i="15"/>
  <c r="E2095" i="15"/>
  <c r="I2094" i="15"/>
  <c r="F2094" i="15"/>
  <c r="E2094" i="15"/>
  <c r="I2093" i="15"/>
  <c r="F2093" i="15"/>
  <c r="E2093" i="15"/>
  <c r="I2092" i="15"/>
  <c r="F2092" i="15"/>
  <c r="E2092" i="15"/>
  <c r="I2091" i="15"/>
  <c r="F2091" i="15"/>
  <c r="E2091" i="15"/>
  <c r="I2090" i="15"/>
  <c r="F2090" i="15"/>
  <c r="E2090" i="15"/>
  <c r="I2089" i="15"/>
  <c r="F2089" i="15"/>
  <c r="E2089" i="15"/>
  <c r="I2088" i="15"/>
  <c r="F2088" i="15"/>
  <c r="E2088" i="15"/>
  <c r="I2087" i="15"/>
  <c r="F2087" i="15"/>
  <c r="E2087" i="15"/>
  <c r="I2086" i="15"/>
  <c r="F2086" i="15"/>
  <c r="E2086" i="15"/>
  <c r="I2085" i="15"/>
  <c r="F2085" i="15"/>
  <c r="E2085" i="15"/>
  <c r="I2084" i="15"/>
  <c r="F2084" i="15"/>
  <c r="E2084" i="15"/>
  <c r="I2083" i="15"/>
  <c r="F2083" i="15"/>
  <c r="E2083" i="15"/>
  <c r="I2082" i="15"/>
  <c r="F2082" i="15"/>
  <c r="E2082" i="15"/>
  <c r="I2081" i="15"/>
  <c r="F2081" i="15"/>
  <c r="E2081" i="15"/>
  <c r="I2080" i="15"/>
  <c r="F2080" i="15"/>
  <c r="E2080" i="15"/>
  <c r="I2079" i="15"/>
  <c r="F2079" i="15"/>
  <c r="E2079" i="15"/>
  <c r="I2078" i="15"/>
  <c r="F2078" i="15"/>
  <c r="E2078" i="15"/>
  <c r="I2077" i="15"/>
  <c r="F2077" i="15"/>
  <c r="E2077" i="15"/>
  <c r="I2076" i="15"/>
  <c r="F2076" i="15"/>
  <c r="E2076" i="15"/>
  <c r="I2075" i="15"/>
  <c r="F2075" i="15"/>
  <c r="E2075" i="15"/>
  <c r="I2074" i="15"/>
  <c r="F2074" i="15"/>
  <c r="E2074" i="15"/>
  <c r="I2073" i="15"/>
  <c r="F2073" i="15"/>
  <c r="E2073" i="15"/>
  <c r="I2072" i="15"/>
  <c r="F2072" i="15"/>
  <c r="E2072" i="15"/>
  <c r="I2071" i="15"/>
  <c r="F2071" i="15"/>
  <c r="E2071" i="15"/>
  <c r="I2070" i="15"/>
  <c r="F2070" i="15"/>
  <c r="E2070" i="15"/>
  <c r="I2069" i="15"/>
  <c r="F2069" i="15"/>
  <c r="E2069" i="15"/>
  <c r="I2068" i="15"/>
  <c r="F2068" i="15"/>
  <c r="E2068" i="15"/>
  <c r="I2067" i="15"/>
  <c r="F2067" i="15"/>
  <c r="E2067" i="15"/>
  <c r="I2066" i="15"/>
  <c r="F2066" i="15"/>
  <c r="E2066" i="15"/>
  <c r="I2065" i="15"/>
  <c r="F2065" i="15"/>
  <c r="E2065" i="15"/>
  <c r="I2064" i="15"/>
  <c r="F2064" i="15"/>
  <c r="E2064" i="15"/>
  <c r="I2063" i="15"/>
  <c r="F2063" i="15"/>
  <c r="E2063" i="15"/>
  <c r="I2062" i="15"/>
  <c r="F2062" i="15"/>
  <c r="E2062" i="15"/>
  <c r="I2061" i="15"/>
  <c r="F2061" i="15"/>
  <c r="E2061" i="15"/>
  <c r="I2060" i="15"/>
  <c r="F2060" i="15"/>
  <c r="E2060" i="15"/>
  <c r="I2059" i="15"/>
  <c r="F2059" i="15"/>
  <c r="E2059" i="15"/>
  <c r="I2058" i="15"/>
  <c r="F2058" i="15"/>
  <c r="E2058" i="15"/>
  <c r="I2057" i="15"/>
  <c r="F2057" i="15"/>
  <c r="E2057" i="15"/>
  <c r="I2056" i="15"/>
  <c r="F2056" i="15"/>
  <c r="E2056" i="15"/>
  <c r="I2055" i="15"/>
  <c r="F2055" i="15"/>
  <c r="E2055" i="15"/>
  <c r="I2054" i="15"/>
  <c r="F2054" i="15"/>
  <c r="E2054" i="15"/>
  <c r="I2053" i="15"/>
  <c r="F2053" i="15"/>
  <c r="E2053" i="15"/>
  <c r="I2052" i="15"/>
  <c r="F2052" i="15"/>
  <c r="E2052" i="15"/>
  <c r="I2051" i="15"/>
  <c r="F2051" i="15"/>
  <c r="E2051" i="15"/>
  <c r="I2050" i="15"/>
  <c r="F2050" i="15"/>
  <c r="E2050" i="15"/>
  <c r="I2049" i="15"/>
  <c r="F2049" i="15"/>
  <c r="E2049" i="15"/>
  <c r="I2048" i="15"/>
  <c r="F2048" i="15"/>
  <c r="E2048" i="15"/>
  <c r="I2047" i="15"/>
  <c r="F2047" i="15"/>
  <c r="E2047" i="15"/>
  <c r="I2046" i="15"/>
  <c r="F2046" i="15"/>
  <c r="E2046" i="15"/>
  <c r="I2045" i="15"/>
  <c r="F2045" i="15"/>
  <c r="E2045" i="15"/>
  <c r="I2044" i="15"/>
  <c r="F2044" i="15"/>
  <c r="E2044" i="15"/>
  <c r="I2043" i="15"/>
  <c r="F2043" i="15"/>
  <c r="E2043" i="15"/>
  <c r="I2042" i="15"/>
  <c r="F2042" i="15"/>
  <c r="E2042" i="15"/>
  <c r="I2041" i="15"/>
  <c r="F2041" i="15"/>
  <c r="E2041" i="15"/>
  <c r="I2040" i="15"/>
  <c r="F2040" i="15"/>
  <c r="E2040" i="15"/>
  <c r="I2039" i="15"/>
  <c r="F2039" i="15"/>
  <c r="E2039" i="15"/>
  <c r="I2038" i="15"/>
  <c r="F2038" i="15"/>
  <c r="E2038" i="15"/>
  <c r="I2037" i="15"/>
  <c r="F2037" i="15"/>
  <c r="E2037" i="15"/>
  <c r="I2036" i="15"/>
  <c r="F2036" i="15"/>
  <c r="E2036" i="15"/>
  <c r="I2035" i="15"/>
  <c r="F2035" i="15"/>
  <c r="E2035" i="15"/>
  <c r="I2034" i="15"/>
  <c r="F2034" i="15"/>
  <c r="E2034" i="15"/>
  <c r="I2033" i="15"/>
  <c r="F2033" i="15"/>
  <c r="E2033" i="15"/>
  <c r="I2032" i="15"/>
  <c r="F2032" i="15"/>
  <c r="E2032" i="15"/>
  <c r="I2031" i="15"/>
  <c r="F2031" i="15"/>
  <c r="E2031" i="15"/>
  <c r="I2030" i="15"/>
  <c r="F2030" i="15"/>
  <c r="E2030" i="15"/>
  <c r="I2029" i="15"/>
  <c r="F2029" i="15"/>
  <c r="E2029" i="15"/>
  <c r="I2028" i="15"/>
  <c r="F2028" i="15"/>
  <c r="E2028" i="15"/>
  <c r="I2027" i="15"/>
  <c r="F2027" i="15"/>
  <c r="E2027" i="15"/>
  <c r="I2026" i="15"/>
  <c r="F2026" i="15"/>
  <c r="E2026" i="15"/>
  <c r="I2025" i="15"/>
  <c r="F2025" i="15"/>
  <c r="E2025" i="15"/>
  <c r="I2024" i="15"/>
  <c r="F2024" i="15"/>
  <c r="E2024" i="15"/>
  <c r="I2023" i="15"/>
  <c r="F2023" i="15"/>
  <c r="E2023" i="15"/>
  <c r="I2022" i="15"/>
  <c r="F2022" i="15"/>
  <c r="E2022" i="15"/>
  <c r="I2021" i="15"/>
  <c r="F2021" i="15"/>
  <c r="E2021" i="15"/>
  <c r="I2020" i="15"/>
  <c r="F2020" i="15"/>
  <c r="E2020" i="15"/>
  <c r="I2019" i="15"/>
  <c r="F2019" i="15"/>
  <c r="E2019" i="15"/>
  <c r="I2018" i="15"/>
  <c r="F2018" i="15"/>
  <c r="E2018" i="15"/>
  <c r="I2017" i="15"/>
  <c r="F2017" i="15"/>
  <c r="E2017" i="15"/>
  <c r="I2016" i="15"/>
  <c r="F2016" i="15"/>
  <c r="E2016" i="15"/>
  <c r="I2015" i="15"/>
  <c r="F2015" i="15"/>
  <c r="E2015" i="15"/>
  <c r="I2014" i="15"/>
  <c r="F2014" i="15"/>
  <c r="E2014" i="15"/>
  <c r="I2013" i="15"/>
  <c r="F2013" i="15"/>
  <c r="E2013" i="15"/>
  <c r="I2012" i="15"/>
  <c r="F2012" i="15"/>
  <c r="E2012" i="15"/>
  <c r="I2011" i="15"/>
  <c r="F2011" i="15"/>
  <c r="E2011" i="15"/>
  <c r="I2010" i="15"/>
  <c r="F2010" i="15"/>
  <c r="E2010" i="15"/>
  <c r="I2009" i="15"/>
  <c r="F2009" i="15"/>
  <c r="E2009" i="15"/>
  <c r="I2008" i="15"/>
  <c r="F2008" i="15"/>
  <c r="E2008" i="15"/>
  <c r="I2007" i="15"/>
  <c r="F2007" i="15"/>
  <c r="E2007" i="15"/>
  <c r="I2006" i="15"/>
  <c r="F2006" i="15"/>
  <c r="E2006" i="15"/>
  <c r="I2005" i="15"/>
  <c r="F2005" i="15"/>
  <c r="E2005" i="15"/>
  <c r="I2004" i="15"/>
  <c r="F2004" i="15"/>
  <c r="E2004" i="15"/>
  <c r="I2003" i="15"/>
  <c r="F2003" i="15"/>
  <c r="E2003" i="15"/>
  <c r="I2002" i="15"/>
  <c r="F2002" i="15"/>
  <c r="E2002" i="15"/>
  <c r="I2001" i="15"/>
  <c r="F2001" i="15"/>
  <c r="E2001" i="15"/>
  <c r="I2000" i="15"/>
  <c r="F2000" i="15"/>
  <c r="E2000" i="15"/>
  <c r="I1999" i="15"/>
  <c r="F1999" i="15"/>
  <c r="E1999" i="15"/>
  <c r="I1998" i="15"/>
  <c r="F1998" i="15"/>
  <c r="E1998" i="15"/>
  <c r="I1997" i="15"/>
  <c r="F1997" i="15"/>
  <c r="E1997" i="15"/>
  <c r="I1996" i="15"/>
  <c r="F1996" i="15"/>
  <c r="E1996" i="15"/>
  <c r="I1995" i="15"/>
  <c r="F1995" i="15"/>
  <c r="E1995" i="15"/>
  <c r="I1994" i="15"/>
  <c r="F1994" i="15"/>
  <c r="E1994" i="15"/>
  <c r="I1993" i="15"/>
  <c r="F1993" i="15"/>
  <c r="E1993" i="15"/>
  <c r="I1992" i="15"/>
  <c r="F1992" i="15"/>
  <c r="E1992" i="15"/>
  <c r="I1991" i="15"/>
  <c r="F1991" i="15"/>
  <c r="E1991" i="15"/>
  <c r="I1990" i="15"/>
  <c r="F1990" i="15"/>
  <c r="E1990" i="15"/>
  <c r="I1989" i="15"/>
  <c r="F1989" i="15"/>
  <c r="E1989" i="15"/>
  <c r="I1988" i="15"/>
  <c r="F1988" i="15"/>
  <c r="E1988" i="15"/>
  <c r="I1987" i="15"/>
  <c r="F1987" i="15"/>
  <c r="E1987" i="15"/>
  <c r="I1986" i="15"/>
  <c r="F1986" i="15"/>
  <c r="E1986" i="15"/>
  <c r="I1985" i="15"/>
  <c r="F1985" i="15"/>
  <c r="E1985" i="15"/>
  <c r="I1984" i="15"/>
  <c r="F1984" i="15"/>
  <c r="E1984" i="15"/>
  <c r="I1983" i="15"/>
  <c r="F1983" i="15"/>
  <c r="E1983" i="15"/>
  <c r="I1982" i="15"/>
  <c r="F1982" i="15"/>
  <c r="E1982" i="15"/>
  <c r="I1981" i="15"/>
  <c r="F1981" i="15"/>
  <c r="E1981" i="15"/>
  <c r="I1980" i="15"/>
  <c r="F1980" i="15"/>
  <c r="E1980" i="15"/>
  <c r="I1979" i="15"/>
  <c r="F1979" i="15"/>
  <c r="E1979" i="15"/>
  <c r="I1978" i="15"/>
  <c r="F1978" i="15"/>
  <c r="E1978" i="15"/>
  <c r="I1977" i="15"/>
  <c r="F1977" i="15"/>
  <c r="E1977" i="15"/>
  <c r="I1976" i="15"/>
  <c r="F1976" i="15"/>
  <c r="E1976" i="15"/>
  <c r="I1975" i="15"/>
  <c r="F1975" i="15"/>
  <c r="E1975" i="15"/>
  <c r="I1974" i="15"/>
  <c r="F1974" i="15"/>
  <c r="E1974" i="15"/>
  <c r="I1973" i="15"/>
  <c r="F1973" i="15"/>
  <c r="E1973" i="15"/>
  <c r="I1972" i="15"/>
  <c r="F1972" i="15"/>
  <c r="E1972" i="15"/>
  <c r="I1971" i="15"/>
  <c r="F1971" i="15"/>
  <c r="E1971" i="15"/>
  <c r="I1970" i="15"/>
  <c r="F1970" i="15"/>
  <c r="E1970" i="15"/>
  <c r="I1969" i="15"/>
  <c r="F1969" i="15"/>
  <c r="E1969" i="15"/>
  <c r="I1968" i="15"/>
  <c r="F1968" i="15"/>
  <c r="E1968" i="15"/>
  <c r="I1967" i="15"/>
  <c r="F1967" i="15"/>
  <c r="E1967" i="15"/>
  <c r="I1966" i="15"/>
  <c r="F1966" i="15"/>
  <c r="E1966" i="15"/>
  <c r="I1965" i="15"/>
  <c r="F1965" i="15"/>
  <c r="E1965" i="15"/>
  <c r="I1964" i="15"/>
  <c r="F1964" i="15"/>
  <c r="E1964" i="15"/>
  <c r="I1963" i="15"/>
  <c r="F1963" i="15"/>
  <c r="E1963" i="15"/>
  <c r="I1962" i="15"/>
  <c r="F1962" i="15"/>
  <c r="E1962" i="15"/>
  <c r="I1961" i="15"/>
  <c r="F1961" i="15"/>
  <c r="E1961" i="15"/>
  <c r="I1960" i="15"/>
  <c r="F1960" i="15"/>
  <c r="E1960" i="15"/>
  <c r="I1959" i="15"/>
  <c r="F1959" i="15"/>
  <c r="E1959" i="15"/>
  <c r="I1958" i="15"/>
  <c r="F1958" i="15"/>
  <c r="E1958" i="15"/>
  <c r="I1957" i="15"/>
  <c r="F1957" i="15"/>
  <c r="E1957" i="15"/>
  <c r="I1956" i="15"/>
  <c r="F1956" i="15"/>
  <c r="E1956" i="15"/>
  <c r="I1955" i="15"/>
  <c r="F1955" i="15"/>
  <c r="E1955" i="15"/>
  <c r="I1954" i="15"/>
  <c r="F1954" i="15"/>
  <c r="E1954" i="15"/>
  <c r="I1953" i="15"/>
  <c r="F1953" i="15"/>
  <c r="E1953" i="15"/>
  <c r="I1952" i="15"/>
  <c r="F1952" i="15"/>
  <c r="E1952" i="15"/>
  <c r="I1951" i="15"/>
  <c r="F1951" i="15"/>
  <c r="E1951" i="15"/>
  <c r="I1950" i="15"/>
  <c r="F1950" i="15"/>
  <c r="E1950" i="15"/>
  <c r="I1949" i="15"/>
  <c r="F1949" i="15"/>
  <c r="E1949" i="15"/>
  <c r="I1948" i="15"/>
  <c r="F1948" i="15"/>
  <c r="E1948" i="15"/>
  <c r="I1947" i="15"/>
  <c r="F1947" i="15"/>
  <c r="E1947" i="15"/>
  <c r="I1946" i="15"/>
  <c r="F1946" i="15"/>
  <c r="E1946" i="15"/>
  <c r="I1945" i="15"/>
  <c r="F1945" i="15"/>
  <c r="E1945" i="15"/>
  <c r="I1944" i="15"/>
  <c r="F1944" i="15"/>
  <c r="E1944" i="15"/>
  <c r="I1943" i="15"/>
  <c r="F1943" i="15"/>
  <c r="E1943" i="15"/>
  <c r="I1942" i="15"/>
  <c r="F1942" i="15"/>
  <c r="E1942" i="15"/>
  <c r="I1941" i="15"/>
  <c r="F1941" i="15"/>
  <c r="E1941" i="15"/>
  <c r="I1940" i="15"/>
  <c r="F1940" i="15"/>
  <c r="E1940" i="15"/>
  <c r="I1939" i="15"/>
  <c r="F1939" i="15"/>
  <c r="E1939" i="15"/>
  <c r="I1938" i="15"/>
  <c r="F1938" i="15"/>
  <c r="E1938" i="15"/>
  <c r="I1937" i="15"/>
  <c r="F1937" i="15"/>
  <c r="E1937" i="15"/>
  <c r="I1936" i="15"/>
  <c r="F1936" i="15"/>
  <c r="E1936" i="15"/>
  <c r="I1935" i="15"/>
  <c r="F1935" i="15"/>
  <c r="E1935" i="15"/>
  <c r="I1934" i="15"/>
  <c r="F1934" i="15"/>
  <c r="E1934" i="15"/>
  <c r="I1933" i="15"/>
  <c r="F1933" i="15"/>
  <c r="E1933" i="15"/>
  <c r="I1932" i="15"/>
  <c r="F1932" i="15"/>
  <c r="E1932" i="15"/>
  <c r="I1931" i="15"/>
  <c r="F1931" i="15"/>
  <c r="E1931" i="15"/>
  <c r="I1930" i="15"/>
  <c r="F1930" i="15"/>
  <c r="E1930" i="15"/>
  <c r="I1929" i="15"/>
  <c r="F1929" i="15"/>
  <c r="E1929" i="15"/>
  <c r="I1928" i="15"/>
  <c r="F1928" i="15"/>
  <c r="E1928" i="15"/>
  <c r="I1927" i="15"/>
  <c r="F1927" i="15"/>
  <c r="E1927" i="15"/>
  <c r="I1926" i="15"/>
  <c r="F1926" i="15"/>
  <c r="E1926" i="15"/>
  <c r="I1925" i="15"/>
  <c r="F1925" i="15"/>
  <c r="E1925" i="15"/>
  <c r="I1924" i="15"/>
  <c r="F1924" i="15"/>
  <c r="E1924" i="15"/>
  <c r="I1923" i="15"/>
  <c r="F1923" i="15"/>
  <c r="E1923" i="15"/>
  <c r="I1922" i="15"/>
  <c r="F1922" i="15"/>
  <c r="E1922" i="15"/>
  <c r="I1921" i="15"/>
  <c r="F1921" i="15"/>
  <c r="E1921" i="15"/>
  <c r="I1920" i="15"/>
  <c r="F1920" i="15"/>
  <c r="E1920" i="15"/>
  <c r="I1919" i="15"/>
  <c r="F1919" i="15"/>
  <c r="E1919" i="15"/>
  <c r="I1918" i="15"/>
  <c r="F1918" i="15"/>
  <c r="E1918" i="15"/>
  <c r="I1917" i="15"/>
  <c r="F1917" i="15"/>
  <c r="E1917" i="15"/>
  <c r="I1916" i="15"/>
  <c r="F1916" i="15"/>
  <c r="E1916" i="15"/>
  <c r="I1915" i="15"/>
  <c r="F1915" i="15"/>
  <c r="E1915" i="15"/>
  <c r="I1914" i="15"/>
  <c r="F1914" i="15"/>
  <c r="E1914" i="15"/>
  <c r="I1913" i="15"/>
  <c r="F1913" i="15"/>
  <c r="E1913" i="15"/>
  <c r="I1912" i="15"/>
  <c r="F1912" i="15"/>
  <c r="E1912" i="15"/>
  <c r="I1911" i="15"/>
  <c r="F1911" i="15"/>
  <c r="E1911" i="15"/>
  <c r="I1910" i="15"/>
  <c r="F1910" i="15"/>
  <c r="E1910" i="15"/>
  <c r="I1909" i="15"/>
  <c r="F1909" i="15"/>
  <c r="E1909" i="15"/>
  <c r="I1908" i="15"/>
  <c r="F1908" i="15"/>
  <c r="E1908" i="15"/>
  <c r="I1907" i="15"/>
  <c r="F1907" i="15"/>
  <c r="E1907" i="15"/>
  <c r="I1906" i="15"/>
  <c r="F1906" i="15"/>
  <c r="E1906" i="15"/>
  <c r="I1905" i="15"/>
  <c r="F1905" i="15"/>
  <c r="E1905" i="15"/>
  <c r="I1904" i="15"/>
  <c r="F1904" i="15"/>
  <c r="E1904" i="15"/>
  <c r="I1903" i="15"/>
  <c r="F1903" i="15"/>
  <c r="E1903" i="15"/>
  <c r="I1902" i="15"/>
  <c r="F1902" i="15"/>
  <c r="E1902" i="15"/>
  <c r="I1901" i="15"/>
  <c r="F1901" i="15"/>
  <c r="E1901" i="15"/>
  <c r="I1900" i="15"/>
  <c r="F1900" i="15"/>
  <c r="E1900" i="15"/>
  <c r="I1899" i="15"/>
  <c r="F1899" i="15"/>
  <c r="E1899" i="15"/>
  <c r="I1898" i="15"/>
  <c r="F1898" i="15"/>
  <c r="E1898" i="15"/>
  <c r="I1897" i="15"/>
  <c r="F1897" i="15"/>
  <c r="E1897" i="15"/>
  <c r="I1896" i="15"/>
  <c r="F1896" i="15"/>
  <c r="E1896" i="15"/>
  <c r="I1895" i="15"/>
  <c r="F1895" i="15"/>
  <c r="E1895" i="15"/>
  <c r="I1894" i="15"/>
  <c r="F1894" i="15"/>
  <c r="E1894" i="15"/>
  <c r="I1893" i="15"/>
  <c r="F1893" i="15"/>
  <c r="E1893" i="15"/>
  <c r="I1892" i="15"/>
  <c r="F1892" i="15"/>
  <c r="E1892" i="15"/>
  <c r="I1891" i="15"/>
  <c r="F1891" i="15"/>
  <c r="E1891" i="15"/>
  <c r="I1890" i="15"/>
  <c r="F1890" i="15"/>
  <c r="E1890" i="15"/>
  <c r="I1889" i="15"/>
  <c r="F1889" i="15"/>
  <c r="E1889" i="15"/>
  <c r="I1888" i="15"/>
  <c r="F1888" i="15"/>
  <c r="E1888" i="15"/>
  <c r="I1887" i="15"/>
  <c r="F1887" i="15"/>
  <c r="E1887" i="15"/>
  <c r="I1886" i="15"/>
  <c r="F1886" i="15"/>
  <c r="E1886" i="15"/>
  <c r="I1885" i="15"/>
  <c r="F1885" i="15"/>
  <c r="E1885" i="15"/>
  <c r="I1884" i="15"/>
  <c r="F1884" i="15"/>
  <c r="E1884" i="15"/>
  <c r="I1883" i="15"/>
  <c r="F1883" i="15"/>
  <c r="E1883" i="15"/>
  <c r="I1882" i="15"/>
  <c r="F1882" i="15"/>
  <c r="E1882" i="15"/>
  <c r="I1881" i="15"/>
  <c r="F1881" i="15"/>
  <c r="E1881" i="15"/>
  <c r="I1880" i="15"/>
  <c r="F1880" i="15"/>
  <c r="E1880" i="15"/>
  <c r="I1879" i="15"/>
  <c r="F1879" i="15"/>
  <c r="E1879" i="15"/>
  <c r="I1878" i="15"/>
  <c r="F1878" i="15"/>
  <c r="E1878" i="15"/>
  <c r="I1877" i="15"/>
  <c r="F1877" i="15"/>
  <c r="E1877" i="15"/>
  <c r="I1876" i="15"/>
  <c r="F1876" i="15"/>
  <c r="E1876" i="15"/>
  <c r="I1875" i="15"/>
  <c r="F1875" i="15"/>
  <c r="E1875" i="15"/>
  <c r="I1874" i="15"/>
  <c r="F1874" i="15"/>
  <c r="E1874" i="15"/>
  <c r="I1873" i="15"/>
  <c r="F1873" i="15"/>
  <c r="E1873" i="15"/>
  <c r="I1872" i="15"/>
  <c r="F1872" i="15"/>
  <c r="E1872" i="15"/>
  <c r="I1871" i="15"/>
  <c r="F1871" i="15"/>
  <c r="E1871" i="15"/>
  <c r="I1870" i="15"/>
  <c r="F1870" i="15"/>
  <c r="E1870" i="15"/>
  <c r="I1869" i="15"/>
  <c r="F1869" i="15"/>
  <c r="E1869" i="15"/>
  <c r="I1868" i="15"/>
  <c r="F1868" i="15"/>
  <c r="E1868" i="15"/>
  <c r="I1867" i="15"/>
  <c r="F1867" i="15"/>
  <c r="E1867" i="15"/>
  <c r="I1866" i="15"/>
  <c r="F1866" i="15"/>
  <c r="E1866" i="15"/>
  <c r="I1865" i="15"/>
  <c r="F1865" i="15"/>
  <c r="E1865" i="15"/>
  <c r="I1864" i="15"/>
  <c r="F1864" i="15"/>
  <c r="E1864" i="15"/>
  <c r="I1863" i="15"/>
  <c r="F1863" i="15"/>
  <c r="E1863" i="15"/>
  <c r="I1862" i="15"/>
  <c r="F1862" i="15"/>
  <c r="E1862" i="15"/>
  <c r="I1861" i="15"/>
  <c r="F1861" i="15"/>
  <c r="E1861" i="15"/>
  <c r="I1860" i="15"/>
  <c r="F1860" i="15"/>
  <c r="E1860" i="15"/>
  <c r="I1859" i="15"/>
  <c r="F1859" i="15"/>
  <c r="E1859" i="15"/>
  <c r="I1858" i="15"/>
  <c r="F1858" i="15"/>
  <c r="E1858" i="15"/>
  <c r="I1857" i="15"/>
  <c r="F1857" i="15"/>
  <c r="E1857" i="15"/>
  <c r="I1856" i="15"/>
  <c r="F1856" i="15"/>
  <c r="E1856" i="15"/>
  <c r="I1855" i="15"/>
  <c r="F1855" i="15"/>
  <c r="E1855" i="15"/>
  <c r="I1854" i="15"/>
  <c r="F1854" i="15"/>
  <c r="E1854" i="15"/>
  <c r="I1853" i="15"/>
  <c r="F1853" i="15"/>
  <c r="E1853" i="15"/>
  <c r="I1852" i="15"/>
  <c r="F1852" i="15"/>
  <c r="E1852" i="15"/>
  <c r="I1851" i="15"/>
  <c r="F1851" i="15"/>
  <c r="E1851" i="15"/>
  <c r="I1850" i="15"/>
  <c r="F1850" i="15"/>
  <c r="E1850" i="15"/>
  <c r="I1849" i="15"/>
  <c r="F1849" i="15"/>
  <c r="E1849" i="15"/>
  <c r="I1848" i="15"/>
  <c r="F1848" i="15"/>
  <c r="E1848" i="15"/>
  <c r="I1847" i="15"/>
  <c r="F1847" i="15"/>
  <c r="E1847" i="15"/>
  <c r="I1846" i="15"/>
  <c r="F1846" i="15"/>
  <c r="E1846" i="15"/>
  <c r="I1845" i="15"/>
  <c r="F1845" i="15"/>
  <c r="E1845" i="15"/>
  <c r="I1844" i="15"/>
  <c r="F1844" i="15"/>
  <c r="E1844" i="15"/>
  <c r="I1843" i="15"/>
  <c r="F1843" i="15"/>
  <c r="E1843" i="15"/>
  <c r="I1842" i="15"/>
  <c r="F1842" i="15"/>
  <c r="E1842" i="15"/>
  <c r="I1841" i="15"/>
  <c r="F1841" i="15"/>
  <c r="E1841" i="15"/>
  <c r="I1840" i="15"/>
  <c r="F1840" i="15"/>
  <c r="E1840" i="15"/>
  <c r="I1839" i="15"/>
  <c r="F1839" i="15"/>
  <c r="E1839" i="15"/>
  <c r="I1838" i="15"/>
  <c r="F1838" i="15"/>
  <c r="E1838" i="15"/>
  <c r="I1837" i="15"/>
  <c r="F1837" i="15"/>
  <c r="E1837" i="15"/>
  <c r="I1836" i="15"/>
  <c r="F1836" i="15"/>
  <c r="E1836" i="15"/>
  <c r="I1835" i="15"/>
  <c r="F1835" i="15"/>
  <c r="E1835" i="15"/>
  <c r="I1834" i="15"/>
  <c r="F1834" i="15"/>
  <c r="E1834" i="15"/>
  <c r="I1833" i="15"/>
  <c r="F1833" i="15"/>
  <c r="E1833" i="15"/>
  <c r="I1832" i="15"/>
  <c r="F1832" i="15"/>
  <c r="E1832" i="15"/>
  <c r="I1831" i="15"/>
  <c r="F1831" i="15"/>
  <c r="E1831" i="15"/>
  <c r="I1830" i="15"/>
  <c r="F1830" i="15"/>
  <c r="E1830" i="15"/>
  <c r="I1829" i="15"/>
  <c r="F1829" i="15"/>
  <c r="E1829" i="15"/>
  <c r="I1828" i="15"/>
  <c r="F1828" i="15"/>
  <c r="E1828" i="15"/>
  <c r="I1827" i="15"/>
  <c r="F1827" i="15"/>
  <c r="E1827" i="15"/>
  <c r="I1826" i="15"/>
  <c r="F1826" i="15"/>
  <c r="E1826" i="15"/>
  <c r="I1825" i="15"/>
  <c r="F1825" i="15"/>
  <c r="E1825" i="15"/>
  <c r="I1824" i="15"/>
  <c r="F1824" i="15"/>
  <c r="E1824" i="15"/>
  <c r="I1823" i="15"/>
  <c r="F1823" i="15"/>
  <c r="E1823" i="15"/>
  <c r="I1822" i="15"/>
  <c r="F1822" i="15"/>
  <c r="E1822" i="15"/>
  <c r="I1821" i="15"/>
  <c r="F1821" i="15"/>
  <c r="E1821" i="15"/>
  <c r="I1820" i="15"/>
  <c r="F1820" i="15"/>
  <c r="E1820" i="15"/>
  <c r="I1819" i="15"/>
  <c r="F1819" i="15"/>
  <c r="E1819" i="15"/>
  <c r="I1818" i="15"/>
  <c r="F1818" i="15"/>
  <c r="E1818" i="15"/>
  <c r="I1817" i="15"/>
  <c r="F1817" i="15"/>
  <c r="E1817" i="15"/>
  <c r="I1816" i="15"/>
  <c r="F1816" i="15"/>
  <c r="E1816" i="15"/>
  <c r="I1815" i="15"/>
  <c r="F1815" i="15"/>
  <c r="E1815" i="15"/>
  <c r="I1814" i="15"/>
  <c r="F1814" i="15"/>
  <c r="E1814" i="15"/>
  <c r="I1813" i="15"/>
  <c r="F1813" i="15"/>
  <c r="E1813" i="15"/>
  <c r="I1812" i="15"/>
  <c r="F1812" i="15"/>
  <c r="E1812" i="15"/>
  <c r="I1811" i="15"/>
  <c r="F1811" i="15"/>
  <c r="E1811" i="15"/>
  <c r="I1810" i="15"/>
  <c r="F1810" i="15"/>
  <c r="E1810" i="15"/>
  <c r="I1809" i="15"/>
  <c r="F1809" i="15"/>
  <c r="E1809" i="15"/>
  <c r="I1808" i="15"/>
  <c r="F1808" i="15"/>
  <c r="E1808" i="15"/>
  <c r="I1807" i="15"/>
  <c r="F1807" i="15"/>
  <c r="E1807" i="15"/>
  <c r="I1806" i="15"/>
  <c r="F1806" i="15"/>
  <c r="E1806" i="15"/>
  <c r="I1805" i="15"/>
  <c r="F1805" i="15"/>
  <c r="E1805" i="15"/>
  <c r="I1804" i="15"/>
  <c r="F1804" i="15"/>
  <c r="E1804" i="15"/>
  <c r="I1803" i="15"/>
  <c r="F1803" i="15"/>
  <c r="E1803" i="15"/>
  <c r="I1802" i="15"/>
  <c r="F1802" i="15"/>
  <c r="E1802" i="15"/>
  <c r="I1801" i="15"/>
  <c r="F1801" i="15"/>
  <c r="E1801" i="15"/>
  <c r="I1800" i="15"/>
  <c r="F1800" i="15"/>
  <c r="E1800" i="15"/>
  <c r="I1799" i="15"/>
  <c r="F1799" i="15"/>
  <c r="E1799" i="15"/>
  <c r="I1798" i="15"/>
  <c r="F1798" i="15"/>
  <c r="E1798" i="15"/>
  <c r="I1797" i="15"/>
  <c r="F1797" i="15"/>
  <c r="E1797" i="15"/>
  <c r="I1796" i="15"/>
  <c r="F1796" i="15"/>
  <c r="E1796" i="15"/>
  <c r="I1795" i="15"/>
  <c r="F1795" i="15"/>
  <c r="E1795" i="15"/>
  <c r="I1794" i="15"/>
  <c r="F1794" i="15"/>
  <c r="E1794" i="15"/>
  <c r="I1793" i="15"/>
  <c r="F1793" i="15"/>
  <c r="E1793" i="15"/>
  <c r="I1792" i="15"/>
  <c r="F1792" i="15"/>
  <c r="E1792" i="15"/>
  <c r="I1791" i="15"/>
  <c r="F1791" i="15"/>
  <c r="E1791" i="15"/>
  <c r="I1790" i="15"/>
  <c r="F1790" i="15"/>
  <c r="E1790" i="15"/>
  <c r="I1789" i="15"/>
  <c r="F1789" i="15"/>
  <c r="E1789" i="15"/>
  <c r="I1788" i="15"/>
  <c r="F1788" i="15"/>
  <c r="E1788" i="15"/>
  <c r="I1787" i="15"/>
  <c r="F1787" i="15"/>
  <c r="E1787" i="15"/>
  <c r="I1786" i="15"/>
  <c r="F1786" i="15"/>
  <c r="E1786" i="15"/>
  <c r="I1785" i="15"/>
  <c r="F1785" i="15"/>
  <c r="E1785" i="15"/>
  <c r="I1784" i="15"/>
  <c r="F1784" i="15"/>
  <c r="E1784" i="15"/>
  <c r="I1783" i="15"/>
  <c r="F1783" i="15"/>
  <c r="E1783" i="15"/>
  <c r="I1782" i="15"/>
  <c r="F1782" i="15"/>
  <c r="E1782" i="15"/>
  <c r="I1781" i="15"/>
  <c r="F1781" i="15"/>
  <c r="E1781" i="15"/>
  <c r="I1780" i="15"/>
  <c r="F1780" i="15"/>
  <c r="E1780" i="15"/>
  <c r="I1779" i="15"/>
  <c r="F1779" i="15"/>
  <c r="E1779" i="15"/>
  <c r="I1778" i="15"/>
  <c r="F1778" i="15"/>
  <c r="E1778" i="15"/>
  <c r="I1777" i="15"/>
  <c r="F1777" i="15"/>
  <c r="E1777" i="15"/>
  <c r="I1776" i="15"/>
  <c r="F1776" i="15"/>
  <c r="E1776" i="15"/>
  <c r="I1775" i="15"/>
  <c r="F1775" i="15"/>
  <c r="E1775" i="15"/>
  <c r="I1774" i="15"/>
  <c r="F1774" i="15"/>
  <c r="E1774" i="15"/>
  <c r="I1773" i="15"/>
  <c r="F1773" i="15"/>
  <c r="E1773" i="15"/>
  <c r="I1772" i="15"/>
  <c r="F1772" i="15"/>
  <c r="E1772" i="15"/>
  <c r="I1771" i="15"/>
  <c r="F1771" i="15"/>
  <c r="E1771" i="15"/>
  <c r="I1770" i="15"/>
  <c r="F1770" i="15"/>
  <c r="E1770" i="15"/>
  <c r="I1769" i="15"/>
  <c r="F1769" i="15"/>
  <c r="E1769" i="15"/>
  <c r="I1768" i="15"/>
  <c r="F1768" i="15"/>
  <c r="E1768" i="15"/>
  <c r="I1767" i="15"/>
  <c r="F1767" i="15"/>
  <c r="E1767" i="15"/>
  <c r="I1766" i="15"/>
  <c r="F1766" i="15"/>
  <c r="E1766" i="15"/>
  <c r="I1765" i="15"/>
  <c r="F1765" i="15"/>
  <c r="E1765" i="15"/>
  <c r="I1764" i="15"/>
  <c r="F1764" i="15"/>
  <c r="E1764" i="15"/>
  <c r="I1763" i="15"/>
  <c r="F1763" i="15"/>
  <c r="E1763" i="15"/>
  <c r="I1762" i="15"/>
  <c r="F1762" i="15"/>
  <c r="E1762" i="15"/>
  <c r="I1761" i="15"/>
  <c r="F1761" i="15"/>
  <c r="E1761" i="15"/>
  <c r="I1760" i="15"/>
  <c r="F1760" i="15"/>
  <c r="E1760" i="15"/>
  <c r="I1759" i="15"/>
  <c r="F1759" i="15"/>
  <c r="E1759" i="15"/>
  <c r="I1758" i="15"/>
  <c r="F1758" i="15"/>
  <c r="E1758" i="15"/>
  <c r="I1757" i="15"/>
  <c r="F1757" i="15"/>
  <c r="E1757" i="15"/>
  <c r="I1756" i="15"/>
  <c r="F1756" i="15"/>
  <c r="E1756" i="15"/>
  <c r="I1755" i="15"/>
  <c r="F1755" i="15"/>
  <c r="E1755" i="15"/>
  <c r="I1754" i="15"/>
  <c r="F1754" i="15"/>
  <c r="E1754" i="15"/>
  <c r="I1753" i="15"/>
  <c r="F1753" i="15"/>
  <c r="E1753" i="15"/>
  <c r="I1752" i="15"/>
  <c r="F1752" i="15"/>
  <c r="E1752" i="15"/>
  <c r="I1751" i="15"/>
  <c r="F1751" i="15"/>
  <c r="E1751" i="15"/>
  <c r="I1750" i="15"/>
  <c r="F1750" i="15"/>
  <c r="E1750" i="15"/>
  <c r="I1749" i="15"/>
  <c r="F1749" i="15"/>
  <c r="E1749" i="15"/>
  <c r="I1748" i="15"/>
  <c r="F1748" i="15"/>
  <c r="E1748" i="15"/>
  <c r="I1747" i="15"/>
  <c r="F1747" i="15"/>
  <c r="E1747" i="15"/>
  <c r="I1746" i="15"/>
  <c r="F1746" i="15"/>
  <c r="E1746" i="15"/>
  <c r="I1745" i="15"/>
  <c r="F1745" i="15"/>
  <c r="E1745" i="15"/>
  <c r="I1744" i="15"/>
  <c r="F1744" i="15"/>
  <c r="E1744" i="15"/>
  <c r="I1743" i="15"/>
  <c r="F1743" i="15"/>
  <c r="E1743" i="15"/>
  <c r="I1742" i="15"/>
  <c r="F1742" i="15"/>
  <c r="E1742" i="15"/>
  <c r="I1741" i="15"/>
  <c r="F1741" i="15"/>
  <c r="E1741" i="15"/>
  <c r="I1740" i="15"/>
  <c r="F1740" i="15"/>
  <c r="E1740" i="15"/>
  <c r="I1739" i="15"/>
  <c r="F1739" i="15"/>
  <c r="E1739" i="15"/>
  <c r="I1738" i="15"/>
  <c r="F1738" i="15"/>
  <c r="E1738" i="15"/>
  <c r="I1737" i="15"/>
  <c r="F1737" i="15"/>
  <c r="E1737" i="15"/>
  <c r="I1736" i="15"/>
  <c r="F1736" i="15"/>
  <c r="E1736" i="15"/>
  <c r="I1735" i="15"/>
  <c r="F1735" i="15"/>
  <c r="E1735" i="15"/>
  <c r="I1734" i="15"/>
  <c r="F1734" i="15"/>
  <c r="E1734" i="15"/>
  <c r="I1733" i="15"/>
  <c r="F1733" i="15"/>
  <c r="E1733" i="15"/>
  <c r="I1732" i="15"/>
  <c r="F1732" i="15"/>
  <c r="E1732" i="15"/>
  <c r="I1731" i="15"/>
  <c r="F1731" i="15"/>
  <c r="E1731" i="15"/>
  <c r="I1730" i="15"/>
  <c r="F1730" i="15"/>
  <c r="E1730" i="15"/>
  <c r="I1729" i="15"/>
  <c r="F1729" i="15"/>
  <c r="E1729" i="15"/>
  <c r="I1728" i="15"/>
  <c r="F1728" i="15"/>
  <c r="E1728" i="15"/>
  <c r="I1727" i="15"/>
  <c r="F1727" i="15"/>
  <c r="E1727" i="15"/>
  <c r="I1726" i="15"/>
  <c r="F1726" i="15"/>
  <c r="E1726" i="15"/>
  <c r="I1725" i="15"/>
  <c r="F1725" i="15"/>
  <c r="E1725" i="15"/>
  <c r="I1724" i="15"/>
  <c r="F1724" i="15"/>
  <c r="E1724" i="15"/>
  <c r="I1723" i="15"/>
  <c r="F1723" i="15"/>
  <c r="E1723" i="15"/>
  <c r="I1722" i="15"/>
  <c r="F1722" i="15"/>
  <c r="E1722" i="15"/>
  <c r="I1721" i="15"/>
  <c r="F1721" i="15"/>
  <c r="E1721" i="15"/>
  <c r="I1720" i="15"/>
  <c r="F1720" i="15"/>
  <c r="E1720" i="15"/>
  <c r="I1719" i="15"/>
  <c r="F1719" i="15"/>
  <c r="E1719" i="15"/>
  <c r="I1718" i="15"/>
  <c r="F1718" i="15"/>
  <c r="E1718" i="15"/>
  <c r="I1717" i="15"/>
  <c r="F1717" i="15"/>
  <c r="E1717" i="15"/>
  <c r="I1716" i="15"/>
  <c r="F1716" i="15"/>
  <c r="E1716" i="15"/>
  <c r="I1715" i="15"/>
  <c r="F1715" i="15"/>
  <c r="E1715" i="15"/>
  <c r="I1714" i="15"/>
  <c r="F1714" i="15"/>
  <c r="E1714" i="15"/>
  <c r="I1713" i="15"/>
  <c r="F1713" i="15"/>
  <c r="E1713" i="15"/>
  <c r="I1712" i="15"/>
  <c r="F1712" i="15"/>
  <c r="E1712" i="15"/>
  <c r="I1711" i="15"/>
  <c r="F1711" i="15"/>
  <c r="E1711" i="15"/>
  <c r="I1710" i="15"/>
  <c r="F1710" i="15"/>
  <c r="E1710" i="15"/>
  <c r="I1709" i="15"/>
  <c r="F1709" i="15"/>
  <c r="E1709" i="15"/>
  <c r="I1708" i="15"/>
  <c r="F1708" i="15"/>
  <c r="E1708" i="15"/>
  <c r="I1707" i="15"/>
  <c r="F1707" i="15"/>
  <c r="E1707" i="15"/>
  <c r="I1706" i="15"/>
  <c r="F1706" i="15"/>
  <c r="E1706" i="15"/>
  <c r="I1705" i="15"/>
  <c r="F1705" i="15"/>
  <c r="E1705" i="15"/>
  <c r="I1704" i="15"/>
  <c r="F1704" i="15"/>
  <c r="E1704" i="15"/>
  <c r="I1703" i="15"/>
  <c r="F1703" i="15"/>
  <c r="E1703" i="15"/>
  <c r="I1702" i="15"/>
  <c r="F1702" i="15"/>
  <c r="E1702" i="15"/>
  <c r="I1701" i="15"/>
  <c r="F1701" i="15"/>
  <c r="E1701" i="15"/>
  <c r="I1700" i="15"/>
  <c r="F1700" i="15"/>
  <c r="E1700" i="15"/>
  <c r="I1699" i="15"/>
  <c r="F1699" i="15"/>
  <c r="E1699" i="15"/>
  <c r="I1698" i="15"/>
  <c r="F1698" i="15"/>
  <c r="E1698" i="15"/>
  <c r="I1697" i="15"/>
  <c r="F1697" i="15"/>
  <c r="E1697" i="15"/>
  <c r="I1696" i="15"/>
  <c r="F1696" i="15"/>
  <c r="E1696" i="15"/>
  <c r="I1695" i="15"/>
  <c r="F1695" i="15"/>
  <c r="E1695" i="15"/>
  <c r="I1694" i="15"/>
  <c r="F1694" i="15"/>
  <c r="E1694" i="15"/>
  <c r="I1693" i="15"/>
  <c r="F1693" i="15"/>
  <c r="E1693" i="15"/>
  <c r="I1692" i="15"/>
  <c r="F1692" i="15"/>
  <c r="E1692" i="15"/>
  <c r="I1691" i="15"/>
  <c r="F1691" i="15"/>
  <c r="E1691" i="15"/>
  <c r="I1690" i="15"/>
  <c r="F1690" i="15"/>
  <c r="E1690" i="15"/>
  <c r="I1689" i="15"/>
  <c r="F1689" i="15"/>
  <c r="E1689" i="15"/>
  <c r="I1688" i="15"/>
  <c r="F1688" i="15"/>
  <c r="E1688" i="15"/>
  <c r="I1687" i="15"/>
  <c r="F1687" i="15"/>
  <c r="E1687" i="15"/>
  <c r="I1686" i="15"/>
  <c r="F1686" i="15"/>
  <c r="E1686" i="15"/>
  <c r="I1685" i="15"/>
  <c r="F1685" i="15"/>
  <c r="E1685" i="15"/>
  <c r="I1684" i="15"/>
  <c r="F1684" i="15"/>
  <c r="E1684" i="15"/>
  <c r="I1683" i="15"/>
  <c r="F1683" i="15"/>
  <c r="E1683" i="15"/>
  <c r="I1682" i="15"/>
  <c r="F1682" i="15"/>
  <c r="E1682" i="15"/>
  <c r="I1681" i="15"/>
  <c r="F1681" i="15"/>
  <c r="E1681" i="15"/>
  <c r="I1680" i="15"/>
  <c r="F1680" i="15"/>
  <c r="E1680" i="15"/>
  <c r="I1679" i="15"/>
  <c r="F1679" i="15"/>
  <c r="E1679" i="15"/>
  <c r="I1678" i="15"/>
  <c r="F1678" i="15"/>
  <c r="E1678" i="15"/>
  <c r="I1677" i="15"/>
  <c r="F1677" i="15"/>
  <c r="E1677" i="15"/>
  <c r="I1676" i="15"/>
  <c r="F1676" i="15"/>
  <c r="E1676" i="15"/>
  <c r="I1675" i="15"/>
  <c r="F1675" i="15"/>
  <c r="E1675" i="15"/>
  <c r="I1674" i="15"/>
  <c r="F1674" i="15"/>
  <c r="E1674" i="15"/>
  <c r="I1673" i="15"/>
  <c r="F1673" i="15"/>
  <c r="E1673" i="15"/>
  <c r="I1672" i="15"/>
  <c r="F1672" i="15"/>
  <c r="E1672" i="15"/>
  <c r="I1671" i="15"/>
  <c r="F1671" i="15"/>
  <c r="E1671" i="15"/>
  <c r="I1670" i="15"/>
  <c r="F1670" i="15"/>
  <c r="E1670" i="15"/>
  <c r="I1669" i="15"/>
  <c r="F1669" i="15"/>
  <c r="E1669" i="15"/>
  <c r="I1668" i="15"/>
  <c r="F1668" i="15"/>
  <c r="E1668" i="15"/>
  <c r="I1667" i="15"/>
  <c r="F1667" i="15"/>
  <c r="E1667" i="15"/>
  <c r="I1666" i="15"/>
  <c r="F1666" i="15"/>
  <c r="E1666" i="15"/>
  <c r="I1665" i="15"/>
  <c r="F1665" i="15"/>
  <c r="E1665" i="15"/>
  <c r="I1664" i="15"/>
  <c r="F1664" i="15"/>
  <c r="E1664" i="15"/>
  <c r="I1663" i="15"/>
  <c r="F1663" i="15"/>
  <c r="E1663" i="15"/>
  <c r="I1662" i="15"/>
  <c r="F1662" i="15"/>
  <c r="E1662" i="15"/>
  <c r="I1661" i="15"/>
  <c r="F1661" i="15"/>
  <c r="E1661" i="15"/>
  <c r="I1660" i="15"/>
  <c r="F1660" i="15"/>
  <c r="E1660" i="15"/>
  <c r="I1659" i="15"/>
  <c r="F1659" i="15"/>
  <c r="E1659" i="15"/>
  <c r="I1658" i="15"/>
  <c r="F1658" i="15"/>
  <c r="E1658" i="15"/>
  <c r="I1657" i="15"/>
  <c r="F1657" i="15"/>
  <c r="E1657" i="15"/>
  <c r="I1656" i="15"/>
  <c r="F1656" i="15"/>
  <c r="E1656" i="15"/>
  <c r="I1655" i="15"/>
  <c r="F1655" i="15"/>
  <c r="E1655" i="15"/>
  <c r="I1654" i="15"/>
  <c r="F1654" i="15"/>
  <c r="E1654" i="15"/>
  <c r="I1653" i="15"/>
  <c r="F1653" i="15"/>
  <c r="E1653" i="15"/>
  <c r="I1652" i="15"/>
  <c r="F1652" i="15"/>
  <c r="E1652" i="15"/>
  <c r="I1651" i="15"/>
  <c r="F1651" i="15"/>
  <c r="E1651" i="15"/>
  <c r="I1650" i="15"/>
  <c r="F1650" i="15"/>
  <c r="E1650" i="15"/>
  <c r="I1649" i="15"/>
  <c r="F1649" i="15"/>
  <c r="E1649" i="15"/>
  <c r="I1648" i="15"/>
  <c r="F1648" i="15"/>
  <c r="E1648" i="15"/>
  <c r="I1647" i="15"/>
  <c r="F1647" i="15"/>
  <c r="E1647" i="15"/>
  <c r="I1646" i="15"/>
  <c r="F1646" i="15"/>
  <c r="E1646" i="15"/>
  <c r="I1645" i="15"/>
  <c r="F1645" i="15"/>
  <c r="E1645" i="15"/>
  <c r="I1644" i="15"/>
  <c r="F1644" i="15"/>
  <c r="E1644" i="15"/>
  <c r="I1643" i="15"/>
  <c r="F1643" i="15"/>
  <c r="E1643" i="15"/>
  <c r="I1642" i="15"/>
  <c r="F1642" i="15"/>
  <c r="E1642" i="15"/>
  <c r="I1641" i="15"/>
  <c r="F1641" i="15"/>
  <c r="E1641" i="15"/>
  <c r="I1640" i="15"/>
  <c r="F1640" i="15"/>
  <c r="E1640" i="15"/>
  <c r="I1639" i="15"/>
  <c r="F1639" i="15"/>
  <c r="E1639" i="15"/>
  <c r="I1638" i="15"/>
  <c r="F1638" i="15"/>
  <c r="E1638" i="15"/>
  <c r="I1637" i="15"/>
  <c r="F1637" i="15"/>
  <c r="E1637" i="15"/>
  <c r="I1636" i="15"/>
  <c r="F1636" i="15"/>
  <c r="E1636" i="15"/>
  <c r="I1635" i="15"/>
  <c r="F1635" i="15"/>
  <c r="E1635" i="15"/>
  <c r="I1634" i="15"/>
  <c r="F1634" i="15"/>
  <c r="E1634" i="15"/>
  <c r="I1633" i="15"/>
  <c r="F1633" i="15"/>
  <c r="E1633" i="15"/>
  <c r="I1632" i="15"/>
  <c r="F1632" i="15"/>
  <c r="E1632" i="15"/>
  <c r="I1631" i="15"/>
  <c r="F1631" i="15"/>
  <c r="E1631" i="15"/>
  <c r="I1630" i="15"/>
  <c r="F1630" i="15"/>
  <c r="E1630" i="15"/>
  <c r="I1629" i="15"/>
  <c r="F1629" i="15"/>
  <c r="E1629" i="15"/>
  <c r="I1628" i="15"/>
  <c r="F1628" i="15"/>
  <c r="E1628" i="15"/>
  <c r="I1627" i="15"/>
  <c r="F1627" i="15"/>
  <c r="E1627" i="15"/>
  <c r="I1626" i="15"/>
  <c r="F1626" i="15"/>
  <c r="E1626" i="15"/>
  <c r="I1625" i="15"/>
  <c r="F1625" i="15"/>
  <c r="E1625" i="15"/>
  <c r="I1624" i="15"/>
  <c r="F1624" i="15"/>
  <c r="E1624" i="15"/>
  <c r="I1623" i="15"/>
  <c r="F1623" i="15"/>
  <c r="E1623" i="15"/>
  <c r="I1622" i="15"/>
  <c r="F1622" i="15"/>
  <c r="E1622" i="15"/>
  <c r="I1621" i="15"/>
  <c r="F1621" i="15"/>
  <c r="E1621" i="15"/>
  <c r="I1620" i="15"/>
  <c r="F1620" i="15"/>
  <c r="E1620" i="15"/>
  <c r="I1619" i="15"/>
  <c r="F1619" i="15"/>
  <c r="E1619" i="15"/>
  <c r="I1618" i="15"/>
  <c r="F1618" i="15"/>
  <c r="E1618" i="15"/>
  <c r="I1617" i="15"/>
  <c r="F1617" i="15"/>
  <c r="E1617" i="15"/>
  <c r="I1616" i="15"/>
  <c r="F1616" i="15"/>
  <c r="E1616" i="15"/>
  <c r="I1615" i="15"/>
  <c r="F1615" i="15"/>
  <c r="E1615" i="15"/>
  <c r="I1614" i="15"/>
  <c r="F1614" i="15"/>
  <c r="E1614" i="15"/>
  <c r="I1613" i="15"/>
  <c r="F1613" i="15"/>
  <c r="E1613" i="15"/>
  <c r="I1612" i="15"/>
  <c r="F1612" i="15"/>
  <c r="E1612" i="15"/>
  <c r="I1611" i="15"/>
  <c r="F1611" i="15"/>
  <c r="E1611" i="15"/>
  <c r="I1610" i="15"/>
  <c r="F1610" i="15"/>
  <c r="E1610" i="15"/>
  <c r="I1609" i="15"/>
  <c r="F1609" i="15"/>
  <c r="E1609" i="15"/>
  <c r="I1608" i="15"/>
  <c r="F1608" i="15"/>
  <c r="E1608" i="15"/>
  <c r="I1607" i="15"/>
  <c r="F1607" i="15"/>
  <c r="E1607" i="15"/>
  <c r="I1606" i="15"/>
  <c r="F1606" i="15"/>
  <c r="E1606" i="15"/>
  <c r="I1605" i="15"/>
  <c r="F1605" i="15"/>
  <c r="E1605" i="15"/>
  <c r="I1604" i="15"/>
  <c r="F1604" i="15"/>
  <c r="E1604" i="15"/>
  <c r="I1603" i="15"/>
  <c r="F1603" i="15"/>
  <c r="E1603" i="15"/>
  <c r="I1602" i="15"/>
  <c r="F1602" i="15"/>
  <c r="E1602" i="15"/>
  <c r="I1601" i="15"/>
  <c r="F1601" i="15"/>
  <c r="E1601" i="15"/>
  <c r="I1600" i="15"/>
  <c r="F1600" i="15"/>
  <c r="E1600" i="15"/>
  <c r="I1599" i="15"/>
  <c r="F1599" i="15"/>
  <c r="E1599" i="15"/>
  <c r="I1598" i="15"/>
  <c r="F1598" i="15"/>
  <c r="E1598" i="15"/>
  <c r="I1597" i="15"/>
  <c r="F1597" i="15"/>
  <c r="E1597" i="15"/>
  <c r="I1596" i="15"/>
  <c r="F1596" i="15"/>
  <c r="E1596" i="15"/>
  <c r="I1595" i="15"/>
  <c r="F1595" i="15"/>
  <c r="E1595" i="15"/>
  <c r="I1594" i="15"/>
  <c r="F1594" i="15"/>
  <c r="E1594" i="15"/>
  <c r="I1593" i="15"/>
  <c r="F1593" i="15"/>
  <c r="E1593" i="15"/>
  <c r="I1592" i="15"/>
  <c r="F1592" i="15"/>
  <c r="E1592" i="15"/>
  <c r="I1591" i="15"/>
  <c r="F1591" i="15"/>
  <c r="E1591" i="15"/>
  <c r="I1590" i="15"/>
  <c r="F1590" i="15"/>
  <c r="E1590" i="15"/>
  <c r="I1589" i="15"/>
  <c r="F1589" i="15"/>
  <c r="E1589" i="15"/>
  <c r="I1588" i="15"/>
  <c r="F1588" i="15"/>
  <c r="E1588" i="15"/>
  <c r="I1587" i="15"/>
  <c r="F1587" i="15"/>
  <c r="E1587" i="15"/>
  <c r="I1586" i="15"/>
  <c r="F1586" i="15"/>
  <c r="E1586" i="15"/>
  <c r="I1585" i="15"/>
  <c r="F1585" i="15"/>
  <c r="E1585" i="15"/>
  <c r="I1584" i="15"/>
  <c r="F1584" i="15"/>
  <c r="E1584" i="15"/>
  <c r="I1583" i="15"/>
  <c r="F1583" i="15"/>
  <c r="E1583" i="15"/>
  <c r="I1582" i="15"/>
  <c r="F1582" i="15"/>
  <c r="E1582" i="15"/>
  <c r="I1581" i="15"/>
  <c r="F1581" i="15"/>
  <c r="E1581" i="15"/>
  <c r="I1580" i="15"/>
  <c r="F1580" i="15"/>
  <c r="E1580" i="15"/>
  <c r="I1579" i="15"/>
  <c r="F1579" i="15"/>
  <c r="E1579" i="15"/>
  <c r="I1578" i="15"/>
  <c r="F1578" i="15"/>
  <c r="E1578" i="15"/>
  <c r="I1577" i="15"/>
  <c r="F1577" i="15"/>
  <c r="E1577" i="15"/>
  <c r="I1576" i="15"/>
  <c r="F1576" i="15"/>
  <c r="E1576" i="15"/>
  <c r="I1575" i="15"/>
  <c r="F1575" i="15"/>
  <c r="E1575" i="15"/>
  <c r="I1574" i="15"/>
  <c r="F1574" i="15"/>
  <c r="E1574" i="15"/>
  <c r="I1573" i="15"/>
  <c r="F1573" i="15"/>
  <c r="E1573" i="15"/>
  <c r="I1572" i="15"/>
  <c r="F1572" i="15"/>
  <c r="E1572" i="15"/>
  <c r="I1571" i="15"/>
  <c r="F1571" i="15"/>
  <c r="E1571" i="15"/>
  <c r="I1570" i="15"/>
  <c r="F1570" i="15"/>
  <c r="E1570" i="15"/>
  <c r="I1569" i="15"/>
  <c r="F1569" i="15"/>
  <c r="E1569" i="15"/>
  <c r="I1568" i="15"/>
  <c r="F1568" i="15"/>
  <c r="E1568" i="15"/>
  <c r="I1567" i="15"/>
  <c r="F1567" i="15"/>
  <c r="E1567" i="15"/>
  <c r="I1566" i="15"/>
  <c r="F1566" i="15"/>
  <c r="E1566" i="15"/>
  <c r="I1565" i="15"/>
  <c r="F1565" i="15"/>
  <c r="E1565" i="15"/>
  <c r="I1564" i="15"/>
  <c r="F1564" i="15"/>
  <c r="E1564" i="15"/>
  <c r="I1563" i="15"/>
  <c r="F1563" i="15"/>
  <c r="E1563" i="15"/>
  <c r="I1562" i="15"/>
  <c r="F1562" i="15"/>
  <c r="E1562" i="15"/>
  <c r="I1561" i="15"/>
  <c r="F1561" i="15"/>
  <c r="E1561" i="15"/>
  <c r="I1560" i="15"/>
  <c r="F1560" i="15"/>
  <c r="E1560" i="15"/>
  <c r="I1559" i="15"/>
  <c r="F1559" i="15"/>
  <c r="E1559" i="15"/>
  <c r="I1558" i="15"/>
  <c r="F1558" i="15"/>
  <c r="E1558" i="15"/>
  <c r="I1557" i="15"/>
  <c r="F1557" i="15"/>
  <c r="E1557" i="15"/>
  <c r="I1556" i="15"/>
  <c r="F1556" i="15"/>
  <c r="E1556" i="15"/>
  <c r="I1555" i="15"/>
  <c r="F1555" i="15"/>
  <c r="E1555" i="15"/>
  <c r="I1554" i="15"/>
  <c r="F1554" i="15"/>
  <c r="E1554" i="15"/>
  <c r="I1553" i="15"/>
  <c r="F1553" i="15"/>
  <c r="E1553" i="15"/>
  <c r="I1552" i="15"/>
  <c r="F1552" i="15"/>
  <c r="E1552" i="15"/>
  <c r="I1551" i="15"/>
  <c r="F1551" i="15"/>
  <c r="E1551" i="15"/>
  <c r="I1550" i="15"/>
  <c r="F1550" i="15"/>
  <c r="E1550" i="15"/>
  <c r="I1549" i="15"/>
  <c r="F1549" i="15"/>
  <c r="E1549" i="15"/>
  <c r="I1548" i="15"/>
  <c r="F1548" i="15"/>
  <c r="E1548" i="15"/>
  <c r="I1547" i="15"/>
  <c r="F1547" i="15"/>
  <c r="E1547" i="15"/>
  <c r="I1546" i="15"/>
  <c r="F1546" i="15"/>
  <c r="E1546" i="15"/>
  <c r="I1545" i="15"/>
  <c r="F1545" i="15"/>
  <c r="E1545" i="15"/>
  <c r="I1544" i="15"/>
  <c r="F1544" i="15"/>
  <c r="E1544" i="15"/>
  <c r="I1543" i="15"/>
  <c r="F1543" i="15"/>
  <c r="E1543" i="15"/>
  <c r="I1542" i="15"/>
  <c r="F1542" i="15"/>
  <c r="E1542" i="15"/>
  <c r="I1541" i="15"/>
  <c r="F1541" i="15"/>
  <c r="E1541" i="15"/>
  <c r="I1540" i="15"/>
  <c r="F1540" i="15"/>
  <c r="E1540" i="15"/>
  <c r="I1539" i="15"/>
  <c r="F1539" i="15"/>
  <c r="E1539" i="15"/>
  <c r="I1538" i="15"/>
  <c r="F1538" i="15"/>
  <c r="E1538" i="15"/>
  <c r="I1537" i="15"/>
  <c r="F1537" i="15"/>
  <c r="E1537" i="15"/>
  <c r="I1536" i="15"/>
  <c r="F1536" i="15"/>
  <c r="E1536" i="15"/>
  <c r="I1535" i="15"/>
  <c r="F1535" i="15"/>
  <c r="E1535" i="15"/>
  <c r="I1534" i="15"/>
  <c r="F1534" i="15"/>
  <c r="E1534" i="15"/>
  <c r="I1533" i="15"/>
  <c r="F1533" i="15"/>
  <c r="E1533" i="15"/>
  <c r="I1532" i="15"/>
  <c r="F1532" i="15"/>
  <c r="E1532" i="15"/>
  <c r="I1531" i="15"/>
  <c r="F1531" i="15"/>
  <c r="E1531" i="15"/>
  <c r="I1530" i="15"/>
  <c r="F1530" i="15"/>
  <c r="E1530" i="15"/>
  <c r="I1529" i="15"/>
  <c r="F1529" i="15"/>
  <c r="E1529" i="15"/>
  <c r="I1528" i="15"/>
  <c r="F1528" i="15"/>
  <c r="E1528" i="15"/>
  <c r="I1527" i="15"/>
  <c r="F1527" i="15"/>
  <c r="E1527" i="15"/>
  <c r="I1526" i="15"/>
  <c r="F1526" i="15"/>
  <c r="E1526" i="15"/>
  <c r="I1525" i="15"/>
  <c r="F1525" i="15"/>
  <c r="E1525" i="15"/>
  <c r="I1524" i="15"/>
  <c r="F1524" i="15"/>
  <c r="E1524" i="15"/>
  <c r="I1523" i="15"/>
  <c r="F1523" i="15"/>
  <c r="E1523" i="15"/>
  <c r="I1522" i="15"/>
  <c r="F1522" i="15"/>
  <c r="E1522" i="15"/>
  <c r="I1521" i="15"/>
  <c r="F1521" i="15"/>
  <c r="E1521" i="15"/>
  <c r="I1520" i="15"/>
  <c r="F1520" i="15"/>
  <c r="E1520" i="15"/>
  <c r="I1519" i="15"/>
  <c r="F1519" i="15"/>
  <c r="E1519" i="15"/>
  <c r="I1518" i="15"/>
  <c r="F1518" i="15"/>
  <c r="E1518" i="15"/>
  <c r="I1517" i="15"/>
  <c r="F1517" i="15"/>
  <c r="E1517" i="15"/>
  <c r="I1516" i="15"/>
  <c r="F1516" i="15"/>
  <c r="E1516" i="15"/>
  <c r="I1515" i="15"/>
  <c r="F1515" i="15"/>
  <c r="E1515" i="15"/>
  <c r="I1514" i="15"/>
  <c r="F1514" i="15"/>
  <c r="E1514" i="15"/>
  <c r="I1513" i="15"/>
  <c r="F1513" i="15"/>
  <c r="E1513" i="15"/>
  <c r="I1512" i="15"/>
  <c r="F1512" i="15"/>
  <c r="E1512" i="15"/>
  <c r="I1511" i="15"/>
  <c r="F1511" i="15"/>
  <c r="E1511" i="15"/>
  <c r="I1510" i="15"/>
  <c r="F1510" i="15"/>
  <c r="E1510" i="15"/>
  <c r="I1509" i="15"/>
  <c r="F1509" i="15"/>
  <c r="E1509" i="15"/>
  <c r="I1508" i="15"/>
  <c r="F1508" i="15"/>
  <c r="E1508" i="15"/>
  <c r="I1507" i="15"/>
  <c r="F1507" i="15"/>
  <c r="E1507" i="15"/>
  <c r="I1506" i="15"/>
  <c r="F1506" i="15"/>
  <c r="E1506" i="15"/>
  <c r="I1505" i="15"/>
  <c r="F1505" i="15"/>
  <c r="E1505" i="15"/>
  <c r="I1504" i="15"/>
  <c r="F1504" i="15"/>
  <c r="E1504" i="15"/>
  <c r="I1503" i="15"/>
  <c r="F1503" i="15"/>
  <c r="E1503" i="15"/>
  <c r="I1502" i="15"/>
  <c r="F1502" i="15"/>
  <c r="E1502" i="15"/>
  <c r="I1501" i="15"/>
  <c r="F1501" i="15"/>
  <c r="E1501" i="15"/>
  <c r="I1500" i="15"/>
  <c r="F1500" i="15"/>
  <c r="E1500" i="15"/>
  <c r="I1499" i="15"/>
  <c r="F1499" i="15"/>
  <c r="E1499" i="15"/>
  <c r="I1498" i="15"/>
  <c r="F1498" i="15"/>
  <c r="E1498" i="15"/>
  <c r="I1497" i="15"/>
  <c r="F1497" i="15"/>
  <c r="E1497" i="15"/>
  <c r="I1496" i="15"/>
  <c r="F1496" i="15"/>
  <c r="E1496" i="15"/>
  <c r="I1495" i="15"/>
  <c r="F1495" i="15"/>
  <c r="E1495" i="15"/>
  <c r="I1494" i="15"/>
  <c r="F1494" i="15"/>
  <c r="E1494" i="15"/>
  <c r="I1493" i="15"/>
  <c r="F1493" i="15"/>
  <c r="E1493" i="15"/>
  <c r="I1492" i="15"/>
  <c r="F1492" i="15"/>
  <c r="E1492" i="15"/>
  <c r="I1491" i="15"/>
  <c r="F1491" i="15"/>
  <c r="E1491" i="15"/>
  <c r="I1490" i="15"/>
  <c r="F1490" i="15"/>
  <c r="E1490" i="15"/>
  <c r="I1489" i="15"/>
  <c r="F1489" i="15"/>
  <c r="E1489" i="15"/>
  <c r="I1488" i="15"/>
  <c r="F1488" i="15"/>
  <c r="E1488" i="15"/>
  <c r="I1487" i="15"/>
  <c r="F1487" i="15"/>
  <c r="E1487" i="15"/>
  <c r="I1486" i="15"/>
  <c r="F1486" i="15"/>
  <c r="E1486" i="15"/>
  <c r="I1485" i="15"/>
  <c r="F1485" i="15"/>
  <c r="E1485" i="15"/>
  <c r="I1484" i="15"/>
  <c r="F1484" i="15"/>
  <c r="E1484" i="15"/>
  <c r="I1483" i="15"/>
  <c r="F1483" i="15"/>
  <c r="E1483" i="15"/>
  <c r="I1482" i="15"/>
  <c r="F1482" i="15"/>
  <c r="E1482" i="15"/>
  <c r="I1481" i="15"/>
  <c r="F1481" i="15"/>
  <c r="E1481" i="15"/>
  <c r="I1480" i="15"/>
  <c r="F1480" i="15"/>
  <c r="E1480" i="15"/>
  <c r="I1479" i="15"/>
  <c r="F1479" i="15"/>
  <c r="E1479" i="15"/>
  <c r="I1478" i="15"/>
  <c r="F1478" i="15"/>
  <c r="E1478" i="15"/>
  <c r="I1477" i="15"/>
  <c r="F1477" i="15"/>
  <c r="E1477" i="15"/>
  <c r="I1476" i="15"/>
  <c r="F1476" i="15"/>
  <c r="E1476" i="15"/>
  <c r="I1475" i="15"/>
  <c r="F1475" i="15"/>
  <c r="E1475" i="15"/>
  <c r="I1474" i="15"/>
  <c r="F1474" i="15"/>
  <c r="E1474" i="15"/>
  <c r="I1473" i="15"/>
  <c r="F1473" i="15"/>
  <c r="E1473" i="15"/>
  <c r="I1472" i="15"/>
  <c r="F1472" i="15"/>
  <c r="E1472" i="15"/>
  <c r="I1471" i="15"/>
  <c r="F1471" i="15"/>
  <c r="E1471" i="15"/>
  <c r="I1470" i="15"/>
  <c r="F1470" i="15"/>
  <c r="E1470" i="15"/>
  <c r="I1469" i="15"/>
  <c r="F1469" i="15"/>
  <c r="E1469" i="15"/>
  <c r="I1468" i="15"/>
  <c r="F1468" i="15"/>
  <c r="E1468" i="15"/>
  <c r="I1467" i="15"/>
  <c r="F1467" i="15"/>
  <c r="E1467" i="15"/>
  <c r="I1466" i="15"/>
  <c r="F1466" i="15"/>
  <c r="E1466" i="15"/>
  <c r="I1465" i="15"/>
  <c r="F1465" i="15"/>
  <c r="E1465" i="15"/>
  <c r="I1464" i="15"/>
  <c r="F1464" i="15"/>
  <c r="E1464" i="15"/>
  <c r="I1463" i="15"/>
  <c r="F1463" i="15"/>
  <c r="E1463" i="15"/>
  <c r="I1462" i="15"/>
  <c r="F1462" i="15"/>
  <c r="E1462" i="15"/>
  <c r="I1461" i="15"/>
  <c r="F1461" i="15"/>
  <c r="E1461" i="15"/>
  <c r="I1460" i="15"/>
  <c r="F1460" i="15"/>
  <c r="E1460" i="15"/>
  <c r="I1459" i="15"/>
  <c r="F1459" i="15"/>
  <c r="E1459" i="15"/>
  <c r="I1458" i="15"/>
  <c r="F1458" i="15"/>
  <c r="E1458" i="15"/>
  <c r="I1457" i="15"/>
  <c r="F1457" i="15"/>
  <c r="E1457" i="15"/>
  <c r="I1456" i="15"/>
  <c r="F1456" i="15"/>
  <c r="E1456" i="15"/>
  <c r="I1455" i="15"/>
  <c r="F1455" i="15"/>
  <c r="E1455" i="15"/>
  <c r="I1454" i="15"/>
  <c r="F1454" i="15"/>
  <c r="E1454" i="15"/>
  <c r="I1453" i="15"/>
  <c r="F1453" i="15"/>
  <c r="E1453" i="15"/>
  <c r="I1452" i="15"/>
  <c r="F1452" i="15"/>
  <c r="E1452" i="15"/>
  <c r="I1451" i="15"/>
  <c r="F1451" i="15"/>
  <c r="E1451" i="15"/>
  <c r="I1450" i="15"/>
  <c r="F1450" i="15"/>
  <c r="E1450" i="15"/>
  <c r="I1449" i="15"/>
  <c r="F1449" i="15"/>
  <c r="E1449" i="15"/>
  <c r="I1448" i="15"/>
  <c r="F1448" i="15"/>
  <c r="E1448" i="15"/>
  <c r="I1447" i="15"/>
  <c r="F1447" i="15"/>
  <c r="E1447" i="15"/>
  <c r="I1446" i="15"/>
  <c r="F1446" i="15"/>
  <c r="E1446" i="15"/>
  <c r="I1445" i="15"/>
  <c r="F1445" i="15"/>
  <c r="E1445" i="15"/>
  <c r="I1444" i="15"/>
  <c r="F1444" i="15"/>
  <c r="E1444" i="15"/>
  <c r="I1443" i="15"/>
  <c r="F1443" i="15"/>
  <c r="E1443" i="15"/>
  <c r="I1442" i="15"/>
  <c r="F1442" i="15"/>
  <c r="E1442" i="15"/>
  <c r="I1441" i="15"/>
  <c r="F1441" i="15"/>
  <c r="E1441" i="15"/>
  <c r="I1440" i="15"/>
  <c r="F1440" i="15"/>
  <c r="E1440" i="15"/>
  <c r="I1439" i="15"/>
  <c r="F1439" i="15"/>
  <c r="E1439" i="15"/>
  <c r="I1438" i="15"/>
  <c r="F1438" i="15"/>
  <c r="E1438" i="15"/>
  <c r="I1437" i="15"/>
  <c r="F1437" i="15"/>
  <c r="E1437" i="15"/>
  <c r="I1436" i="15"/>
  <c r="F1436" i="15"/>
  <c r="E1436" i="15"/>
  <c r="I1435" i="15"/>
  <c r="F1435" i="15"/>
  <c r="E1435" i="15"/>
  <c r="I1434" i="15"/>
  <c r="F1434" i="15"/>
  <c r="E1434" i="15"/>
  <c r="I1433" i="15"/>
  <c r="F1433" i="15"/>
  <c r="E1433" i="15"/>
  <c r="I1432" i="15"/>
  <c r="F1432" i="15"/>
  <c r="E1432" i="15"/>
  <c r="I1431" i="15"/>
  <c r="F1431" i="15"/>
  <c r="E1431" i="15"/>
  <c r="I1430" i="15"/>
  <c r="F1430" i="15"/>
  <c r="E1430" i="15"/>
  <c r="I1429" i="15"/>
  <c r="F1429" i="15"/>
  <c r="E1429" i="15"/>
  <c r="I1428" i="15"/>
  <c r="F1428" i="15"/>
  <c r="E1428" i="15"/>
  <c r="I1427" i="15"/>
  <c r="F1427" i="15"/>
  <c r="E1427" i="15"/>
  <c r="I1426" i="15"/>
  <c r="F1426" i="15"/>
  <c r="E1426" i="15"/>
  <c r="I1425" i="15"/>
  <c r="F1425" i="15"/>
  <c r="E1425" i="15"/>
  <c r="I1424" i="15"/>
  <c r="F1424" i="15"/>
  <c r="E1424" i="15"/>
  <c r="I1423" i="15"/>
  <c r="F1423" i="15"/>
  <c r="E1423" i="15"/>
  <c r="I1422" i="15"/>
  <c r="F1422" i="15"/>
  <c r="E1422" i="15"/>
  <c r="I1421" i="15"/>
  <c r="F1421" i="15"/>
  <c r="E1421" i="15"/>
  <c r="I1420" i="15"/>
  <c r="F1420" i="15"/>
  <c r="E1420" i="15"/>
  <c r="I1419" i="15"/>
  <c r="F1419" i="15"/>
  <c r="E1419" i="15"/>
  <c r="I1418" i="15"/>
  <c r="F1418" i="15"/>
  <c r="E1418" i="15"/>
  <c r="I1417" i="15"/>
  <c r="F1417" i="15"/>
  <c r="E1417" i="15"/>
  <c r="I1416" i="15"/>
  <c r="F1416" i="15"/>
  <c r="E1416" i="15"/>
  <c r="I1415" i="15"/>
  <c r="F1415" i="15"/>
  <c r="E1415" i="15"/>
  <c r="I1414" i="15"/>
  <c r="F1414" i="15"/>
  <c r="E1414" i="15"/>
  <c r="I1413" i="15"/>
  <c r="F1413" i="15"/>
  <c r="E1413" i="15"/>
  <c r="I1412" i="15"/>
  <c r="F1412" i="15"/>
  <c r="E1412" i="15"/>
  <c r="I1411" i="15"/>
  <c r="F1411" i="15"/>
  <c r="E1411" i="15"/>
  <c r="I1410" i="15"/>
  <c r="F1410" i="15"/>
  <c r="E1410" i="15"/>
  <c r="I1409" i="15"/>
  <c r="F1409" i="15"/>
  <c r="E1409" i="15"/>
  <c r="I1408" i="15"/>
  <c r="F1408" i="15"/>
  <c r="E1408" i="15"/>
  <c r="I1407" i="15"/>
  <c r="F1407" i="15"/>
  <c r="E1407" i="15"/>
  <c r="I1406" i="15"/>
  <c r="F1406" i="15"/>
  <c r="E1406" i="15"/>
  <c r="I1405" i="15"/>
  <c r="F1405" i="15"/>
  <c r="E1405" i="15"/>
  <c r="I1404" i="15"/>
  <c r="F1404" i="15"/>
  <c r="E1404" i="15"/>
  <c r="I1403" i="15"/>
  <c r="F1403" i="15"/>
  <c r="E1403" i="15"/>
  <c r="I1402" i="15"/>
  <c r="F1402" i="15"/>
  <c r="E1402" i="15"/>
  <c r="I1401" i="15"/>
  <c r="F1401" i="15"/>
  <c r="E1401" i="15"/>
  <c r="I1400" i="15"/>
  <c r="F1400" i="15"/>
  <c r="E1400" i="15"/>
  <c r="I1399" i="15"/>
  <c r="F1399" i="15"/>
  <c r="E1399" i="15"/>
  <c r="I1398" i="15"/>
  <c r="F1398" i="15"/>
  <c r="E1398" i="15"/>
  <c r="I1397" i="15"/>
  <c r="F1397" i="15"/>
  <c r="E1397" i="15"/>
  <c r="I1396" i="15"/>
  <c r="F1396" i="15"/>
  <c r="E1396" i="15"/>
  <c r="I1395" i="15"/>
  <c r="F1395" i="15"/>
  <c r="E1395" i="15"/>
  <c r="I1394" i="15"/>
  <c r="F1394" i="15"/>
  <c r="E1394" i="15"/>
  <c r="I1393" i="15"/>
  <c r="F1393" i="15"/>
  <c r="E1393" i="15"/>
  <c r="I1392" i="15"/>
  <c r="F1392" i="15"/>
  <c r="E1392" i="15"/>
  <c r="I1391" i="15"/>
  <c r="F1391" i="15"/>
  <c r="E1391" i="15"/>
  <c r="I1390" i="15"/>
  <c r="F1390" i="15"/>
  <c r="E1390" i="15"/>
  <c r="I1389" i="15"/>
  <c r="F1389" i="15"/>
  <c r="E1389" i="15"/>
  <c r="I1388" i="15"/>
  <c r="F1388" i="15"/>
  <c r="E1388" i="15"/>
  <c r="I1387" i="15"/>
  <c r="F1387" i="15"/>
  <c r="E1387" i="15"/>
  <c r="I1386" i="15"/>
  <c r="F1386" i="15"/>
  <c r="E1386" i="15"/>
  <c r="I1385" i="15"/>
  <c r="F1385" i="15"/>
  <c r="E1385" i="15"/>
  <c r="I1384" i="15"/>
  <c r="F1384" i="15"/>
  <c r="E1384" i="15"/>
  <c r="I1383" i="15"/>
  <c r="F1383" i="15"/>
  <c r="E1383" i="15"/>
  <c r="I1382" i="15"/>
  <c r="F1382" i="15"/>
  <c r="E1382" i="15"/>
  <c r="I1381" i="15"/>
  <c r="F1381" i="15"/>
  <c r="E1381" i="15"/>
  <c r="I1380" i="15"/>
  <c r="F1380" i="15"/>
  <c r="E1380" i="15"/>
  <c r="I1379" i="15"/>
  <c r="F1379" i="15"/>
  <c r="E1379" i="15"/>
  <c r="I1378" i="15"/>
  <c r="F1378" i="15"/>
  <c r="E1378" i="15"/>
  <c r="I1377" i="15"/>
  <c r="F1377" i="15"/>
  <c r="E1377" i="15"/>
  <c r="I1376" i="15"/>
  <c r="F1376" i="15"/>
  <c r="E1376" i="15"/>
  <c r="I1375" i="15"/>
  <c r="F1375" i="15"/>
  <c r="E1375" i="15"/>
  <c r="I1374" i="15"/>
  <c r="F1374" i="15"/>
  <c r="E1374" i="15"/>
  <c r="I1373" i="15"/>
  <c r="F1373" i="15"/>
  <c r="E1373" i="15"/>
  <c r="I1372" i="15"/>
  <c r="F1372" i="15"/>
  <c r="E1372" i="15"/>
  <c r="I1371" i="15"/>
  <c r="F1371" i="15"/>
  <c r="E1371" i="15"/>
  <c r="I1370" i="15"/>
  <c r="F1370" i="15"/>
  <c r="E1370" i="15"/>
  <c r="I1369" i="15"/>
  <c r="F1369" i="15"/>
  <c r="E1369" i="15"/>
  <c r="I1368" i="15"/>
  <c r="F1368" i="15"/>
  <c r="E1368" i="15"/>
  <c r="I1367" i="15"/>
  <c r="F1367" i="15"/>
  <c r="E1367" i="15"/>
  <c r="I1366" i="15"/>
  <c r="F1366" i="15"/>
  <c r="E1366" i="15"/>
  <c r="I1365" i="15"/>
  <c r="F1365" i="15"/>
  <c r="E1365" i="15"/>
  <c r="I1364" i="15"/>
  <c r="F1364" i="15"/>
  <c r="E1364" i="15"/>
  <c r="I1363" i="15"/>
  <c r="F1363" i="15"/>
  <c r="E1363" i="15"/>
  <c r="I1362" i="15"/>
  <c r="F1362" i="15"/>
  <c r="E1362" i="15"/>
  <c r="I1361" i="15"/>
  <c r="F1361" i="15"/>
  <c r="E1361" i="15"/>
  <c r="I1360" i="15"/>
  <c r="F1360" i="15"/>
  <c r="E1360" i="15"/>
  <c r="I1359" i="15"/>
  <c r="F1359" i="15"/>
  <c r="E1359" i="15"/>
  <c r="I1358" i="15"/>
  <c r="F1358" i="15"/>
  <c r="E1358" i="15"/>
  <c r="I1357" i="15"/>
  <c r="F1357" i="15"/>
  <c r="E1357" i="15"/>
  <c r="I1356" i="15"/>
  <c r="F1356" i="15"/>
  <c r="E1356" i="15"/>
  <c r="I1355" i="15"/>
  <c r="F1355" i="15"/>
  <c r="E1355" i="15"/>
  <c r="I1354" i="15"/>
  <c r="F1354" i="15"/>
  <c r="E1354" i="15"/>
  <c r="I1353" i="15"/>
  <c r="F1353" i="15"/>
  <c r="E1353" i="15"/>
  <c r="I1352" i="15"/>
  <c r="F1352" i="15"/>
  <c r="E1352" i="15"/>
  <c r="I1351" i="15"/>
  <c r="F1351" i="15"/>
  <c r="E1351" i="15"/>
  <c r="I1350" i="15"/>
  <c r="F1350" i="15"/>
  <c r="E1350" i="15"/>
  <c r="I1349" i="15"/>
  <c r="F1349" i="15"/>
  <c r="E1349" i="15"/>
  <c r="I1348" i="15"/>
  <c r="F1348" i="15"/>
  <c r="E1348" i="15"/>
  <c r="I1347" i="15"/>
  <c r="F1347" i="15"/>
  <c r="E1347" i="15"/>
  <c r="I1346" i="15"/>
  <c r="F1346" i="15"/>
  <c r="E1346" i="15"/>
  <c r="I1345" i="15"/>
  <c r="F1345" i="15"/>
  <c r="E1345" i="15"/>
  <c r="I1344" i="15"/>
  <c r="F1344" i="15"/>
  <c r="E1344" i="15"/>
  <c r="I1343" i="15"/>
  <c r="F1343" i="15"/>
  <c r="E1343" i="15"/>
  <c r="I1342" i="15"/>
  <c r="F1342" i="15"/>
  <c r="E1342" i="15"/>
  <c r="I1341" i="15"/>
  <c r="F1341" i="15"/>
  <c r="E1341" i="15"/>
  <c r="I1340" i="15"/>
  <c r="F1340" i="15"/>
  <c r="E1340" i="15"/>
  <c r="I1339" i="15"/>
  <c r="F1339" i="15"/>
  <c r="E1339" i="15"/>
  <c r="I1338" i="15"/>
  <c r="F1338" i="15"/>
  <c r="E1338" i="15"/>
  <c r="I1337" i="15"/>
  <c r="F1337" i="15"/>
  <c r="E1337" i="15"/>
  <c r="I1336" i="15"/>
  <c r="F1336" i="15"/>
  <c r="E1336" i="15"/>
  <c r="I1335" i="15"/>
  <c r="F1335" i="15"/>
  <c r="E1335" i="15"/>
  <c r="I1334" i="15"/>
  <c r="F1334" i="15"/>
  <c r="E1334" i="15"/>
  <c r="I1333" i="15"/>
  <c r="F1333" i="15"/>
  <c r="E1333" i="15"/>
  <c r="I1332" i="15"/>
  <c r="F1332" i="15"/>
  <c r="E1332" i="15"/>
  <c r="I1331" i="15"/>
  <c r="F1331" i="15"/>
  <c r="E1331" i="15"/>
  <c r="I1330" i="15"/>
  <c r="F1330" i="15"/>
  <c r="E1330" i="15"/>
  <c r="I1329" i="15"/>
  <c r="F1329" i="15"/>
  <c r="E1329" i="15"/>
  <c r="I1328" i="15"/>
  <c r="F1328" i="15"/>
  <c r="E1328" i="15"/>
  <c r="I1327" i="15"/>
  <c r="F1327" i="15"/>
  <c r="E1327" i="15"/>
  <c r="I1326" i="15"/>
  <c r="F1326" i="15"/>
  <c r="E1326" i="15"/>
  <c r="I1325" i="15"/>
  <c r="F1325" i="15"/>
  <c r="E1325" i="15"/>
  <c r="I1324" i="15"/>
  <c r="F1324" i="15"/>
  <c r="E1324" i="15"/>
  <c r="I1323" i="15"/>
  <c r="F1323" i="15"/>
  <c r="E1323" i="15"/>
  <c r="I1322" i="15"/>
  <c r="F1322" i="15"/>
  <c r="E1322" i="15"/>
  <c r="I1321" i="15"/>
  <c r="F1321" i="15"/>
  <c r="E1321" i="15"/>
  <c r="I1320" i="15"/>
  <c r="F1320" i="15"/>
  <c r="E1320" i="15"/>
  <c r="I1319" i="15"/>
  <c r="F1319" i="15"/>
  <c r="E1319" i="15"/>
  <c r="I1318" i="15"/>
  <c r="F1318" i="15"/>
  <c r="E1318" i="15"/>
  <c r="I1317" i="15"/>
  <c r="F1317" i="15"/>
  <c r="E1317" i="15"/>
  <c r="I1316" i="15"/>
  <c r="F1316" i="15"/>
  <c r="E1316" i="15"/>
  <c r="I1315" i="15"/>
  <c r="F1315" i="15"/>
  <c r="E1315" i="15"/>
  <c r="I1314" i="15"/>
  <c r="F1314" i="15"/>
  <c r="E1314" i="15"/>
  <c r="I1313" i="15"/>
  <c r="F1313" i="15"/>
  <c r="E1313" i="15"/>
  <c r="I1312" i="15"/>
  <c r="F1312" i="15"/>
  <c r="E1312" i="15"/>
  <c r="I1311" i="15"/>
  <c r="F1311" i="15"/>
  <c r="E1311" i="15"/>
  <c r="I1310" i="15"/>
  <c r="F1310" i="15"/>
  <c r="E1310" i="15"/>
  <c r="I1309" i="15"/>
  <c r="F1309" i="15"/>
  <c r="E1309" i="15"/>
  <c r="I1308" i="15"/>
  <c r="F1308" i="15"/>
  <c r="E1308" i="15"/>
  <c r="I1307" i="15"/>
  <c r="F1307" i="15"/>
  <c r="E1307" i="15"/>
  <c r="I1306" i="15"/>
  <c r="F1306" i="15"/>
  <c r="E1306" i="15"/>
  <c r="I1305" i="15"/>
  <c r="F1305" i="15"/>
  <c r="E1305" i="15"/>
  <c r="I1304" i="15"/>
  <c r="F1304" i="15"/>
  <c r="E1304" i="15"/>
  <c r="I1303" i="15"/>
  <c r="F1303" i="15"/>
  <c r="E1303" i="15"/>
  <c r="I1302" i="15"/>
  <c r="F1302" i="15"/>
  <c r="E1302" i="15"/>
  <c r="I1301" i="15"/>
  <c r="F1301" i="15"/>
  <c r="E1301" i="15"/>
  <c r="I1300" i="15"/>
  <c r="F1300" i="15"/>
  <c r="E1300" i="15"/>
  <c r="I1299" i="15"/>
  <c r="F1299" i="15"/>
  <c r="E1299" i="15"/>
  <c r="I1298" i="15"/>
  <c r="F1298" i="15"/>
  <c r="E1298" i="15"/>
  <c r="I1297" i="15"/>
  <c r="F1297" i="15"/>
  <c r="E1297" i="15"/>
  <c r="I1296" i="15"/>
  <c r="F1296" i="15"/>
  <c r="E1296" i="15"/>
  <c r="I1295" i="15"/>
  <c r="F1295" i="15"/>
  <c r="E1295" i="15"/>
  <c r="I1294" i="15"/>
  <c r="F1294" i="15"/>
  <c r="E1294" i="15"/>
  <c r="I1293" i="15"/>
  <c r="F1293" i="15"/>
  <c r="E1293" i="15"/>
  <c r="I1292" i="15"/>
  <c r="F1292" i="15"/>
  <c r="E1292" i="15"/>
  <c r="I1291" i="15"/>
  <c r="F1291" i="15"/>
  <c r="E1291" i="15"/>
  <c r="I1290" i="15"/>
  <c r="F1290" i="15"/>
  <c r="E1290" i="15"/>
  <c r="I1289" i="15"/>
  <c r="F1289" i="15"/>
  <c r="E1289" i="15"/>
  <c r="I1288" i="15"/>
  <c r="F1288" i="15"/>
  <c r="E1288" i="15"/>
  <c r="I1287" i="15"/>
  <c r="F1287" i="15"/>
  <c r="E1287" i="15"/>
  <c r="I1286" i="15"/>
  <c r="F1286" i="15"/>
  <c r="E1286" i="15"/>
  <c r="I1285" i="15"/>
  <c r="F1285" i="15"/>
  <c r="E1285" i="15"/>
  <c r="I1284" i="15"/>
  <c r="F1284" i="15"/>
  <c r="E1284" i="15"/>
  <c r="I1283" i="15"/>
  <c r="F1283" i="15"/>
  <c r="E1283" i="15"/>
  <c r="I1282" i="15"/>
  <c r="F1282" i="15"/>
  <c r="E1282" i="15"/>
  <c r="I1281" i="15"/>
  <c r="F1281" i="15"/>
  <c r="E1281" i="15"/>
  <c r="I1280" i="15"/>
  <c r="F1280" i="15"/>
  <c r="E1280" i="15"/>
  <c r="I1279" i="15"/>
  <c r="F1279" i="15"/>
  <c r="E1279" i="15"/>
  <c r="I1278" i="15"/>
  <c r="F1278" i="15"/>
  <c r="E1278" i="15"/>
  <c r="I1277" i="15"/>
  <c r="F1277" i="15"/>
  <c r="E1277" i="15"/>
  <c r="I1276" i="15"/>
  <c r="F1276" i="15"/>
  <c r="E1276" i="15"/>
  <c r="I1275" i="15"/>
  <c r="F1275" i="15"/>
  <c r="E1275" i="15"/>
  <c r="I1274" i="15"/>
  <c r="F1274" i="15"/>
  <c r="E1274" i="15"/>
  <c r="I1273" i="15"/>
  <c r="F1273" i="15"/>
  <c r="E1273" i="15"/>
  <c r="I1272" i="15"/>
  <c r="F1272" i="15"/>
  <c r="E1272" i="15"/>
  <c r="I1271" i="15"/>
  <c r="F1271" i="15"/>
  <c r="E1271" i="15"/>
  <c r="I1270" i="15"/>
  <c r="F1270" i="15"/>
  <c r="E1270" i="15"/>
  <c r="I1269" i="15"/>
  <c r="F1269" i="15"/>
  <c r="E1269" i="15"/>
  <c r="I1268" i="15"/>
  <c r="F1268" i="15"/>
  <c r="E1268" i="15"/>
  <c r="I1267" i="15"/>
  <c r="F1267" i="15"/>
  <c r="E1267" i="15"/>
  <c r="I1266" i="15"/>
  <c r="F1266" i="15"/>
  <c r="E1266" i="15"/>
  <c r="I1265" i="15"/>
  <c r="F1265" i="15"/>
  <c r="E1265" i="15"/>
  <c r="I1264" i="15"/>
  <c r="F1264" i="15"/>
  <c r="E1264" i="15"/>
  <c r="I1263" i="15"/>
  <c r="F1263" i="15"/>
  <c r="E1263" i="15"/>
  <c r="I1262" i="15"/>
  <c r="F1262" i="15"/>
  <c r="E1262" i="15"/>
  <c r="I1261" i="15"/>
  <c r="F1261" i="15"/>
  <c r="E1261" i="15"/>
  <c r="I1260" i="15"/>
  <c r="F1260" i="15"/>
  <c r="E1260" i="15"/>
  <c r="I1259" i="15"/>
  <c r="F1259" i="15"/>
  <c r="E1259" i="15"/>
  <c r="I1258" i="15"/>
  <c r="F1258" i="15"/>
  <c r="E1258" i="15"/>
  <c r="I1257" i="15"/>
  <c r="F1257" i="15"/>
  <c r="E1257" i="15"/>
  <c r="I1256" i="15"/>
  <c r="F1256" i="15"/>
  <c r="E1256" i="15"/>
  <c r="I1255" i="15"/>
  <c r="F1255" i="15"/>
  <c r="E1255" i="15"/>
  <c r="I1254" i="15"/>
  <c r="F1254" i="15"/>
  <c r="E1254" i="15"/>
  <c r="I1253" i="15"/>
  <c r="F1253" i="15"/>
  <c r="E1253" i="15"/>
  <c r="I1252" i="15"/>
  <c r="F1252" i="15"/>
  <c r="E1252" i="15"/>
  <c r="I1251" i="15"/>
  <c r="F1251" i="15"/>
  <c r="E1251" i="15"/>
  <c r="I1250" i="15"/>
  <c r="F1250" i="15"/>
  <c r="E1250" i="15"/>
  <c r="I1249" i="15"/>
  <c r="F1249" i="15"/>
  <c r="E1249" i="15"/>
  <c r="I1248" i="15"/>
  <c r="F1248" i="15"/>
  <c r="E1248" i="15"/>
  <c r="I1247" i="15"/>
  <c r="F1247" i="15"/>
  <c r="E1247" i="15"/>
  <c r="I1246" i="15"/>
  <c r="F1246" i="15"/>
  <c r="E1246" i="15"/>
  <c r="I1245" i="15"/>
  <c r="F1245" i="15"/>
  <c r="E1245" i="15"/>
  <c r="I1244" i="15"/>
  <c r="F1244" i="15"/>
  <c r="E1244" i="15"/>
  <c r="I1243" i="15"/>
  <c r="F1243" i="15"/>
  <c r="E1243" i="15"/>
  <c r="I1242" i="15"/>
  <c r="F1242" i="15"/>
  <c r="E1242" i="15"/>
  <c r="I1241" i="15"/>
  <c r="F1241" i="15"/>
  <c r="E1241" i="15"/>
  <c r="I1240" i="15"/>
  <c r="F1240" i="15"/>
  <c r="E1240" i="15"/>
  <c r="I1239" i="15"/>
  <c r="F1239" i="15"/>
  <c r="E1239" i="15"/>
  <c r="I1238" i="15"/>
  <c r="F1238" i="15"/>
  <c r="E1238" i="15"/>
  <c r="I1237" i="15"/>
  <c r="F1237" i="15"/>
  <c r="E1237" i="15"/>
  <c r="I1236" i="15"/>
  <c r="F1236" i="15"/>
  <c r="E1236" i="15"/>
  <c r="I1235" i="15"/>
  <c r="F1235" i="15"/>
  <c r="E1235" i="15"/>
  <c r="I1234" i="15"/>
  <c r="F1234" i="15"/>
  <c r="E1234" i="15"/>
  <c r="I1233" i="15"/>
  <c r="F1233" i="15"/>
  <c r="E1233" i="15"/>
  <c r="I1232" i="15"/>
  <c r="F1232" i="15"/>
  <c r="E1232" i="15"/>
  <c r="I1231" i="15"/>
  <c r="F1231" i="15"/>
  <c r="E1231" i="15"/>
  <c r="I1230" i="15"/>
  <c r="F1230" i="15"/>
  <c r="E1230" i="15"/>
  <c r="I1229" i="15"/>
  <c r="F1229" i="15"/>
  <c r="E1229" i="15"/>
  <c r="I1228" i="15"/>
  <c r="F1228" i="15"/>
  <c r="E1228" i="15"/>
  <c r="I1227" i="15"/>
  <c r="F1227" i="15"/>
  <c r="E1227" i="15"/>
  <c r="I1226" i="15"/>
  <c r="F1226" i="15"/>
  <c r="E1226" i="15"/>
  <c r="I1225" i="15"/>
  <c r="F1225" i="15"/>
  <c r="E1225" i="15"/>
  <c r="I1224" i="15"/>
  <c r="F1224" i="15"/>
  <c r="E1224" i="15"/>
  <c r="I1223" i="15"/>
  <c r="F1223" i="15"/>
  <c r="E1223" i="15"/>
  <c r="I1222" i="15"/>
  <c r="F1222" i="15"/>
  <c r="E1222" i="15"/>
  <c r="I1221" i="15"/>
  <c r="F1221" i="15"/>
  <c r="E1221" i="15"/>
  <c r="I1220" i="15"/>
  <c r="F1220" i="15"/>
  <c r="E1220" i="15"/>
  <c r="I1219" i="15"/>
  <c r="F1219" i="15"/>
  <c r="E1219" i="15"/>
  <c r="I1218" i="15"/>
  <c r="F1218" i="15"/>
  <c r="E1218" i="15"/>
  <c r="I1217" i="15"/>
  <c r="F1217" i="15"/>
  <c r="E1217" i="15"/>
  <c r="I1216" i="15"/>
  <c r="F1216" i="15"/>
  <c r="E1216" i="15"/>
  <c r="I1215" i="15"/>
  <c r="F1215" i="15"/>
  <c r="E1215" i="15"/>
  <c r="I1214" i="15"/>
  <c r="F1214" i="15"/>
  <c r="E1214" i="15"/>
  <c r="I1213" i="15"/>
  <c r="F1213" i="15"/>
  <c r="E1213" i="15"/>
  <c r="I1212" i="15"/>
  <c r="F1212" i="15"/>
  <c r="E1212" i="15"/>
  <c r="I1211" i="15"/>
  <c r="F1211" i="15"/>
  <c r="E1211" i="15"/>
  <c r="I1210" i="15"/>
  <c r="F1210" i="15"/>
  <c r="E1210" i="15"/>
  <c r="I1209" i="15"/>
  <c r="F1209" i="15"/>
  <c r="E1209" i="15"/>
  <c r="I1208" i="15"/>
  <c r="F1208" i="15"/>
  <c r="E1208" i="15"/>
  <c r="I1207" i="15"/>
  <c r="F1207" i="15"/>
  <c r="E1207" i="15"/>
  <c r="I1206" i="15"/>
  <c r="F1206" i="15"/>
  <c r="E1206" i="15"/>
  <c r="I1205" i="15"/>
  <c r="F1205" i="15"/>
  <c r="E1205" i="15"/>
  <c r="I1204" i="15"/>
  <c r="F1204" i="15"/>
  <c r="E1204" i="15"/>
  <c r="I1203" i="15"/>
  <c r="F1203" i="15"/>
  <c r="E1203" i="15"/>
  <c r="I1202" i="15"/>
  <c r="F1202" i="15"/>
  <c r="E1202" i="15"/>
  <c r="I1201" i="15"/>
  <c r="F1201" i="15"/>
  <c r="E1201" i="15"/>
  <c r="I1200" i="15"/>
  <c r="F1200" i="15"/>
  <c r="E1200" i="15"/>
  <c r="I1199" i="15"/>
  <c r="F1199" i="15"/>
  <c r="E1199" i="15"/>
  <c r="I1198" i="15"/>
  <c r="F1198" i="15"/>
  <c r="E1198" i="15"/>
  <c r="I1197" i="15"/>
  <c r="F1197" i="15"/>
  <c r="E1197" i="15"/>
  <c r="I1196" i="15"/>
  <c r="F1196" i="15"/>
  <c r="E1196" i="15"/>
  <c r="I1195" i="15"/>
  <c r="F1195" i="15"/>
  <c r="E1195" i="15"/>
  <c r="I1194" i="15"/>
  <c r="F1194" i="15"/>
  <c r="E1194" i="15"/>
  <c r="I1193" i="15"/>
  <c r="F1193" i="15"/>
  <c r="E1193" i="15"/>
  <c r="I1192" i="15"/>
  <c r="F1192" i="15"/>
  <c r="E1192" i="15"/>
  <c r="I1191" i="15"/>
  <c r="F1191" i="15"/>
  <c r="E1191" i="15"/>
  <c r="I1190" i="15"/>
  <c r="F1190" i="15"/>
  <c r="E1190" i="15"/>
  <c r="I1189" i="15"/>
  <c r="F1189" i="15"/>
  <c r="E1189" i="15"/>
  <c r="I1188" i="15"/>
  <c r="F1188" i="15"/>
  <c r="E1188" i="15"/>
  <c r="I1187" i="15"/>
  <c r="F1187" i="15"/>
  <c r="E1187" i="15"/>
  <c r="I1186" i="15"/>
  <c r="F1186" i="15"/>
  <c r="E1186" i="15"/>
  <c r="I1185" i="15"/>
  <c r="F1185" i="15"/>
  <c r="E1185" i="15"/>
  <c r="I1184" i="15"/>
  <c r="F1184" i="15"/>
  <c r="E1184" i="15"/>
  <c r="I1183" i="15"/>
  <c r="F1183" i="15"/>
  <c r="E1183" i="15"/>
  <c r="I1182" i="15"/>
  <c r="F1182" i="15"/>
  <c r="E1182" i="15"/>
  <c r="I1181" i="15"/>
  <c r="F1181" i="15"/>
  <c r="E1181" i="15"/>
  <c r="I1180" i="15"/>
  <c r="F1180" i="15"/>
  <c r="E1180" i="15"/>
  <c r="I1179" i="15"/>
  <c r="F1179" i="15"/>
  <c r="E1179" i="15"/>
  <c r="I1178" i="15"/>
  <c r="F1178" i="15"/>
  <c r="E1178" i="15"/>
  <c r="I1177" i="15"/>
  <c r="F1177" i="15"/>
  <c r="E1177" i="15"/>
  <c r="I1176" i="15"/>
  <c r="F1176" i="15"/>
  <c r="E1176" i="15"/>
  <c r="I1175" i="15"/>
  <c r="F1175" i="15"/>
  <c r="E1175" i="15"/>
  <c r="I1174" i="15"/>
  <c r="F1174" i="15"/>
  <c r="E1174" i="15"/>
  <c r="I1173" i="15"/>
  <c r="F1173" i="15"/>
  <c r="E1173" i="15"/>
  <c r="I1172" i="15"/>
  <c r="F1172" i="15"/>
  <c r="E1172" i="15"/>
  <c r="I1171" i="15"/>
  <c r="F1171" i="15"/>
  <c r="E1171" i="15"/>
  <c r="I1170" i="15"/>
  <c r="F1170" i="15"/>
  <c r="E1170" i="15"/>
  <c r="I1169" i="15"/>
  <c r="F1169" i="15"/>
  <c r="E1169" i="15"/>
  <c r="I1168" i="15"/>
  <c r="F1168" i="15"/>
  <c r="E1168" i="15"/>
  <c r="I1167" i="15"/>
  <c r="F1167" i="15"/>
  <c r="E1167" i="15"/>
  <c r="I1166" i="15"/>
  <c r="F1166" i="15"/>
  <c r="E1166" i="15"/>
  <c r="I1165" i="15"/>
  <c r="F1165" i="15"/>
  <c r="E1165" i="15"/>
  <c r="I1164" i="15"/>
  <c r="F1164" i="15"/>
  <c r="E1164" i="15"/>
  <c r="I1163" i="15"/>
  <c r="F1163" i="15"/>
  <c r="E1163" i="15"/>
  <c r="I1162" i="15"/>
  <c r="F1162" i="15"/>
  <c r="E1162" i="15"/>
  <c r="I1161" i="15"/>
  <c r="F1161" i="15"/>
  <c r="E1161" i="15"/>
  <c r="I1160" i="15"/>
  <c r="F1160" i="15"/>
  <c r="E1160" i="15"/>
  <c r="I1159" i="15"/>
  <c r="F1159" i="15"/>
  <c r="E1159" i="15"/>
  <c r="I1158" i="15"/>
  <c r="F1158" i="15"/>
  <c r="E1158" i="15"/>
  <c r="I1157" i="15"/>
  <c r="F1157" i="15"/>
  <c r="E1157" i="15"/>
  <c r="I1156" i="15"/>
  <c r="F1156" i="15"/>
  <c r="E1156" i="15"/>
  <c r="I1155" i="15"/>
  <c r="F1155" i="15"/>
  <c r="E1155" i="15"/>
  <c r="I1154" i="15"/>
  <c r="F1154" i="15"/>
  <c r="E1154" i="15"/>
  <c r="I1153" i="15"/>
  <c r="F1153" i="15"/>
  <c r="E1153" i="15"/>
  <c r="I1152" i="15"/>
  <c r="F1152" i="15"/>
  <c r="E1152" i="15"/>
  <c r="I1151" i="15"/>
  <c r="F1151" i="15"/>
  <c r="E1151" i="15"/>
  <c r="I1150" i="15"/>
  <c r="F1150" i="15"/>
  <c r="E1150" i="15"/>
  <c r="I1149" i="15"/>
  <c r="F1149" i="15"/>
  <c r="E1149" i="15"/>
  <c r="I1148" i="15"/>
  <c r="F1148" i="15"/>
  <c r="E1148" i="15"/>
  <c r="I1147" i="15"/>
  <c r="F1147" i="15"/>
  <c r="E1147" i="15"/>
  <c r="I1146" i="15"/>
  <c r="F1146" i="15"/>
  <c r="E1146" i="15"/>
  <c r="I1145" i="15"/>
  <c r="F1145" i="15"/>
  <c r="E1145" i="15"/>
  <c r="I1144" i="15"/>
  <c r="F1144" i="15"/>
  <c r="E1144" i="15"/>
  <c r="I1143" i="15"/>
  <c r="F1143" i="15"/>
  <c r="E1143" i="15"/>
  <c r="I1142" i="15"/>
  <c r="F1142" i="15"/>
  <c r="E1142" i="15"/>
  <c r="I1141" i="15"/>
  <c r="F1141" i="15"/>
  <c r="E1141" i="15"/>
  <c r="I1140" i="15"/>
  <c r="F1140" i="15"/>
  <c r="E1140" i="15"/>
  <c r="I1139" i="15"/>
  <c r="F1139" i="15"/>
  <c r="E1139" i="15"/>
  <c r="I1138" i="15"/>
  <c r="F1138" i="15"/>
  <c r="E1138" i="15"/>
  <c r="I1137" i="15"/>
  <c r="F1137" i="15"/>
  <c r="E1137" i="15"/>
  <c r="I1136" i="15"/>
  <c r="F1136" i="15"/>
  <c r="E1136" i="15"/>
  <c r="I1135" i="15"/>
  <c r="F1135" i="15"/>
  <c r="E1135" i="15"/>
  <c r="I1134" i="15"/>
  <c r="F1134" i="15"/>
  <c r="E1134" i="15"/>
  <c r="I1133" i="15"/>
  <c r="F1133" i="15"/>
  <c r="E1133" i="15"/>
  <c r="I1132" i="15"/>
  <c r="F1132" i="15"/>
  <c r="E1132" i="15"/>
  <c r="I1131" i="15"/>
  <c r="F1131" i="15"/>
  <c r="E1131" i="15"/>
  <c r="I1130" i="15"/>
  <c r="F1130" i="15"/>
  <c r="E1130" i="15"/>
  <c r="I1129" i="15"/>
  <c r="F1129" i="15"/>
  <c r="E1129" i="15"/>
  <c r="I1128" i="15"/>
  <c r="F1128" i="15"/>
  <c r="E1128" i="15"/>
  <c r="I1127" i="15"/>
  <c r="F1127" i="15"/>
  <c r="E1127" i="15"/>
  <c r="I1126" i="15"/>
  <c r="F1126" i="15"/>
  <c r="E1126" i="15"/>
  <c r="I1125" i="15"/>
  <c r="F1125" i="15"/>
  <c r="E1125" i="15"/>
  <c r="I1124" i="15"/>
  <c r="F1124" i="15"/>
  <c r="E1124" i="15"/>
  <c r="I1123" i="15"/>
  <c r="F1123" i="15"/>
  <c r="E1123" i="15"/>
  <c r="I1122" i="15"/>
  <c r="F1122" i="15"/>
  <c r="E1122" i="15"/>
  <c r="I1121" i="15"/>
  <c r="F1121" i="15"/>
  <c r="E1121" i="15"/>
  <c r="I1120" i="15"/>
  <c r="F1120" i="15"/>
  <c r="E1120" i="15"/>
  <c r="I1119" i="15"/>
  <c r="F1119" i="15"/>
  <c r="E1119" i="15"/>
  <c r="I1118" i="15"/>
  <c r="F1118" i="15"/>
  <c r="E1118" i="15"/>
  <c r="I1117" i="15"/>
  <c r="F1117" i="15"/>
  <c r="E1117" i="15"/>
  <c r="I1116" i="15"/>
  <c r="F1116" i="15"/>
  <c r="E1116" i="15"/>
  <c r="I1115" i="15"/>
  <c r="F1115" i="15"/>
  <c r="E1115" i="15"/>
  <c r="I1114" i="15"/>
  <c r="F1114" i="15"/>
  <c r="E1114" i="15"/>
  <c r="I1113" i="15"/>
  <c r="F1113" i="15"/>
  <c r="E1113" i="15"/>
  <c r="I1112" i="15"/>
  <c r="F1112" i="15"/>
  <c r="E1112" i="15"/>
  <c r="I1111" i="15"/>
  <c r="F1111" i="15"/>
  <c r="E1111" i="15"/>
  <c r="I1110" i="15"/>
  <c r="F1110" i="15"/>
  <c r="E1110" i="15"/>
  <c r="I1109" i="15"/>
  <c r="F1109" i="15"/>
  <c r="E1109" i="15"/>
  <c r="I1108" i="15"/>
  <c r="F1108" i="15"/>
  <c r="E1108" i="15"/>
  <c r="I1107" i="15"/>
  <c r="F1107" i="15"/>
  <c r="E1107" i="15"/>
  <c r="I1106" i="15"/>
  <c r="F1106" i="15"/>
  <c r="E1106" i="15"/>
  <c r="I1105" i="15"/>
  <c r="F1105" i="15"/>
  <c r="E1105" i="15"/>
  <c r="I1104" i="15"/>
  <c r="F1104" i="15"/>
  <c r="E1104" i="15"/>
  <c r="I1103" i="15"/>
  <c r="F1103" i="15"/>
  <c r="E1103" i="15"/>
  <c r="I1102" i="15"/>
  <c r="F1102" i="15"/>
  <c r="E1102" i="15"/>
  <c r="I1101" i="15"/>
  <c r="F1101" i="15"/>
  <c r="E1101" i="15"/>
  <c r="I1100" i="15"/>
  <c r="F1100" i="15"/>
  <c r="E1100" i="15"/>
  <c r="I1099" i="15"/>
  <c r="F1099" i="15"/>
  <c r="E1099" i="15"/>
  <c r="I1098" i="15"/>
  <c r="F1098" i="15"/>
  <c r="E1098" i="15"/>
  <c r="I1097" i="15"/>
  <c r="F1097" i="15"/>
  <c r="E1097" i="15"/>
  <c r="I1096" i="15"/>
  <c r="F1096" i="15"/>
  <c r="E1096" i="15"/>
  <c r="I1095" i="15"/>
  <c r="F1095" i="15"/>
  <c r="E1095" i="15"/>
  <c r="I1094" i="15"/>
  <c r="F1094" i="15"/>
  <c r="E1094" i="15"/>
  <c r="I1093" i="15"/>
  <c r="F1093" i="15"/>
  <c r="E1093" i="15"/>
  <c r="I1092" i="15"/>
  <c r="F1092" i="15"/>
  <c r="E1092" i="15"/>
  <c r="I1091" i="15"/>
  <c r="F1091" i="15"/>
  <c r="E1091" i="15"/>
  <c r="I1090" i="15"/>
  <c r="F1090" i="15"/>
  <c r="E1090" i="15"/>
  <c r="I1089" i="15"/>
  <c r="F1089" i="15"/>
  <c r="E1089" i="15"/>
  <c r="I1088" i="15"/>
  <c r="F1088" i="15"/>
  <c r="E1088" i="15"/>
  <c r="I1087" i="15"/>
  <c r="F1087" i="15"/>
  <c r="E1087" i="15"/>
  <c r="I1086" i="15"/>
  <c r="F1086" i="15"/>
  <c r="E1086" i="15"/>
  <c r="I1085" i="15"/>
  <c r="F1085" i="15"/>
  <c r="E1085" i="15"/>
  <c r="I1084" i="15"/>
  <c r="F1084" i="15"/>
  <c r="E1084" i="15"/>
  <c r="I1083" i="15"/>
  <c r="F1083" i="15"/>
  <c r="E1083" i="15"/>
  <c r="I1082" i="15"/>
  <c r="F1082" i="15"/>
  <c r="E1082" i="15"/>
  <c r="I1081" i="15"/>
  <c r="F1081" i="15"/>
  <c r="E1081" i="15"/>
  <c r="I1080" i="15"/>
  <c r="F1080" i="15"/>
  <c r="E1080" i="15"/>
  <c r="I1079" i="15"/>
  <c r="F1079" i="15"/>
  <c r="E1079" i="15"/>
  <c r="I1078" i="15"/>
  <c r="F1078" i="15"/>
  <c r="E1078" i="15"/>
  <c r="I1077" i="15"/>
  <c r="F1077" i="15"/>
  <c r="E1077" i="15"/>
  <c r="I1076" i="15"/>
  <c r="F1076" i="15"/>
  <c r="E1076" i="15"/>
  <c r="I1075" i="15"/>
  <c r="F1075" i="15"/>
  <c r="E1075" i="15"/>
  <c r="I1074" i="15"/>
  <c r="F1074" i="15"/>
  <c r="E1074" i="15"/>
  <c r="I1073" i="15"/>
  <c r="F1073" i="15"/>
  <c r="E1073" i="15"/>
  <c r="I1072" i="15"/>
  <c r="F1072" i="15"/>
  <c r="E1072" i="15"/>
  <c r="I1071" i="15"/>
  <c r="F1071" i="15"/>
  <c r="E1071" i="15"/>
  <c r="I1070" i="15"/>
  <c r="F1070" i="15"/>
  <c r="E1070" i="15"/>
  <c r="I1069" i="15"/>
  <c r="F1069" i="15"/>
  <c r="E1069" i="15"/>
  <c r="I1068" i="15"/>
  <c r="F1068" i="15"/>
  <c r="E1068" i="15"/>
  <c r="I1067" i="15"/>
  <c r="F1067" i="15"/>
  <c r="E1067" i="15"/>
  <c r="I1066" i="15"/>
  <c r="F1066" i="15"/>
  <c r="E1066" i="15"/>
  <c r="I1065" i="15"/>
  <c r="F1065" i="15"/>
  <c r="E1065" i="15"/>
  <c r="I1064" i="15"/>
  <c r="F1064" i="15"/>
  <c r="E1064" i="15"/>
  <c r="I1063" i="15"/>
  <c r="F1063" i="15"/>
  <c r="E1063" i="15"/>
  <c r="I1062" i="15"/>
  <c r="F1062" i="15"/>
  <c r="E1062" i="15"/>
  <c r="I1061" i="15"/>
  <c r="F1061" i="15"/>
  <c r="E1061" i="15"/>
  <c r="I1060" i="15"/>
  <c r="F1060" i="15"/>
  <c r="E1060" i="15"/>
  <c r="I1059" i="15"/>
  <c r="F1059" i="15"/>
  <c r="E1059" i="15"/>
  <c r="I1058" i="15"/>
  <c r="F1058" i="15"/>
  <c r="E1058" i="15"/>
  <c r="I1057" i="15"/>
  <c r="F1057" i="15"/>
  <c r="E1057" i="15"/>
  <c r="I1056" i="15"/>
  <c r="F1056" i="15"/>
  <c r="E1056" i="15"/>
  <c r="I1055" i="15"/>
  <c r="F1055" i="15"/>
  <c r="E1055" i="15"/>
  <c r="I1054" i="15"/>
  <c r="F1054" i="15"/>
  <c r="E1054" i="15"/>
  <c r="I1053" i="15"/>
  <c r="F1053" i="15"/>
  <c r="E1053" i="15"/>
  <c r="I1052" i="15"/>
  <c r="F1052" i="15"/>
  <c r="E1052" i="15"/>
  <c r="I1051" i="15"/>
  <c r="F1051" i="15"/>
  <c r="E1051" i="15"/>
  <c r="I1050" i="15"/>
  <c r="F1050" i="15"/>
  <c r="E1050" i="15"/>
  <c r="I1049" i="15"/>
  <c r="F1049" i="15"/>
  <c r="E1049" i="15"/>
  <c r="I1048" i="15"/>
  <c r="F1048" i="15"/>
  <c r="E1048" i="15"/>
  <c r="I1047" i="15"/>
  <c r="F1047" i="15"/>
  <c r="E1047" i="15"/>
  <c r="I1046" i="15"/>
  <c r="F1046" i="15"/>
  <c r="E1046" i="15"/>
  <c r="I1045" i="15"/>
  <c r="F1045" i="15"/>
  <c r="E1045" i="15"/>
  <c r="I1044" i="15"/>
  <c r="F1044" i="15"/>
  <c r="E1044" i="15"/>
  <c r="I1043" i="15"/>
  <c r="F1043" i="15"/>
  <c r="E1043" i="15"/>
  <c r="I1042" i="15"/>
  <c r="F1042" i="15"/>
  <c r="E1042" i="15"/>
  <c r="I1041" i="15"/>
  <c r="F1041" i="15"/>
  <c r="E1041" i="15"/>
  <c r="I1040" i="15"/>
  <c r="F1040" i="15"/>
  <c r="E1040" i="15"/>
  <c r="I1039" i="15"/>
  <c r="F1039" i="15"/>
  <c r="E1039" i="15"/>
  <c r="I1038" i="15"/>
  <c r="F1038" i="15"/>
  <c r="E1038" i="15"/>
  <c r="I1037" i="15"/>
  <c r="F1037" i="15"/>
  <c r="E1037" i="15"/>
  <c r="I1036" i="15"/>
  <c r="F1036" i="15"/>
  <c r="E1036" i="15"/>
  <c r="I1035" i="15"/>
  <c r="F1035" i="15"/>
  <c r="E1035" i="15"/>
  <c r="I1034" i="15"/>
  <c r="F1034" i="15"/>
  <c r="E1034" i="15"/>
  <c r="I1033" i="15"/>
  <c r="F1033" i="15"/>
  <c r="E1033" i="15"/>
  <c r="I1032" i="15"/>
  <c r="F1032" i="15"/>
  <c r="E1032" i="15"/>
  <c r="I1031" i="15"/>
  <c r="F1031" i="15"/>
  <c r="E1031" i="15"/>
  <c r="I1030" i="15"/>
  <c r="F1030" i="15"/>
  <c r="E1030" i="15"/>
  <c r="I1029" i="15"/>
  <c r="F1029" i="15"/>
  <c r="E1029" i="15"/>
  <c r="I1028" i="15"/>
  <c r="F1028" i="15"/>
  <c r="E1028" i="15"/>
  <c r="I1027" i="15"/>
  <c r="F1027" i="15"/>
  <c r="E1027" i="15"/>
  <c r="I1026" i="15"/>
  <c r="F1026" i="15"/>
  <c r="E1026" i="15"/>
  <c r="I1025" i="15"/>
  <c r="F1025" i="15"/>
  <c r="E1025" i="15"/>
  <c r="I1024" i="15"/>
  <c r="F1024" i="15"/>
  <c r="E1024" i="15"/>
  <c r="I1023" i="15"/>
  <c r="F1023" i="15"/>
  <c r="E1023" i="15"/>
  <c r="I1022" i="15"/>
  <c r="F1022" i="15"/>
  <c r="E1022" i="15"/>
  <c r="I1021" i="15"/>
  <c r="F1021" i="15"/>
  <c r="E1021" i="15"/>
  <c r="I1020" i="15"/>
  <c r="F1020" i="15"/>
  <c r="E1020" i="15"/>
  <c r="I1019" i="15"/>
  <c r="F1019" i="15"/>
  <c r="E1019" i="15"/>
  <c r="I1018" i="15"/>
  <c r="F1018" i="15"/>
  <c r="E1018" i="15"/>
  <c r="I1017" i="15"/>
  <c r="F1017" i="15"/>
  <c r="E1017" i="15"/>
  <c r="I1016" i="15"/>
  <c r="F1016" i="15"/>
  <c r="E1016" i="15"/>
  <c r="I1015" i="15"/>
  <c r="F1015" i="15"/>
  <c r="E1015" i="15"/>
  <c r="I1014" i="15"/>
  <c r="F1014" i="15"/>
  <c r="E1014" i="15"/>
  <c r="I1013" i="15"/>
  <c r="F1013" i="15"/>
  <c r="E1013" i="15"/>
  <c r="I1012" i="15"/>
  <c r="F1012" i="15"/>
  <c r="E1012" i="15"/>
  <c r="I1011" i="15"/>
  <c r="F1011" i="15"/>
  <c r="E1011" i="15"/>
  <c r="I1010" i="15"/>
  <c r="F1010" i="15"/>
  <c r="E1010" i="15"/>
  <c r="I1009" i="15"/>
  <c r="F1009" i="15"/>
  <c r="E1009" i="15"/>
  <c r="I1008" i="15"/>
  <c r="F1008" i="15"/>
  <c r="E1008" i="15"/>
  <c r="I1007" i="15"/>
  <c r="F1007" i="15"/>
  <c r="E1007" i="15"/>
  <c r="I1006" i="15"/>
  <c r="F1006" i="15"/>
  <c r="E1006" i="15"/>
  <c r="I1005" i="15"/>
  <c r="F1005" i="15"/>
  <c r="E1005" i="15"/>
  <c r="I1004" i="15"/>
  <c r="F1004" i="15"/>
  <c r="E1004" i="15"/>
  <c r="I1003" i="15"/>
  <c r="F1003" i="15"/>
  <c r="E1003" i="15"/>
  <c r="I1002" i="15"/>
  <c r="F1002" i="15"/>
  <c r="E1002" i="15"/>
  <c r="I1001" i="15"/>
  <c r="F1001" i="15"/>
  <c r="E1001" i="15"/>
  <c r="I1000" i="15"/>
  <c r="F1000" i="15"/>
  <c r="E1000" i="15"/>
  <c r="I999" i="15"/>
  <c r="F999" i="15"/>
  <c r="E999" i="15"/>
  <c r="I998" i="15"/>
  <c r="F998" i="15"/>
  <c r="E998" i="15"/>
  <c r="I997" i="15"/>
  <c r="F997" i="15"/>
  <c r="E997" i="15"/>
  <c r="I996" i="15"/>
  <c r="F996" i="15"/>
  <c r="E996" i="15"/>
  <c r="I995" i="15"/>
  <c r="F995" i="15"/>
  <c r="E995" i="15"/>
  <c r="I994" i="15"/>
  <c r="F994" i="15"/>
  <c r="E994" i="15"/>
  <c r="I993" i="15"/>
  <c r="F993" i="15"/>
  <c r="E993" i="15"/>
  <c r="I992" i="15"/>
  <c r="F992" i="15"/>
  <c r="E992" i="15"/>
  <c r="I991" i="15"/>
  <c r="F991" i="15"/>
  <c r="E991" i="15"/>
  <c r="I990" i="15"/>
  <c r="F990" i="15"/>
  <c r="E990" i="15"/>
  <c r="I989" i="15"/>
  <c r="F989" i="15"/>
  <c r="E989" i="15"/>
  <c r="I988" i="15"/>
  <c r="F988" i="15"/>
  <c r="E988" i="15"/>
  <c r="I987" i="15"/>
  <c r="F987" i="15"/>
  <c r="E987" i="15"/>
  <c r="I986" i="15"/>
  <c r="F986" i="15"/>
  <c r="E986" i="15"/>
  <c r="I985" i="15"/>
  <c r="F985" i="15"/>
  <c r="E985" i="15"/>
  <c r="I984" i="15"/>
  <c r="F984" i="15"/>
  <c r="E984" i="15"/>
  <c r="I983" i="15"/>
  <c r="F983" i="15"/>
  <c r="E983" i="15"/>
  <c r="I982" i="15"/>
  <c r="F982" i="15"/>
  <c r="E982" i="15"/>
  <c r="I981" i="15"/>
  <c r="F981" i="15"/>
  <c r="E981" i="15"/>
  <c r="I980" i="15"/>
  <c r="F980" i="15"/>
  <c r="E980" i="15"/>
  <c r="I979" i="15"/>
  <c r="F979" i="15"/>
  <c r="E979" i="15"/>
  <c r="I978" i="15"/>
  <c r="F978" i="15"/>
  <c r="E978" i="15"/>
  <c r="I977" i="15"/>
  <c r="F977" i="15"/>
  <c r="E977" i="15"/>
  <c r="I976" i="15"/>
  <c r="F976" i="15"/>
  <c r="E976" i="15"/>
  <c r="I975" i="15"/>
  <c r="F975" i="15"/>
  <c r="E975" i="15"/>
  <c r="I974" i="15"/>
  <c r="F974" i="15"/>
  <c r="E974" i="15"/>
  <c r="I973" i="15"/>
  <c r="F973" i="15"/>
  <c r="E973" i="15"/>
  <c r="I972" i="15"/>
  <c r="F972" i="15"/>
  <c r="E972" i="15"/>
  <c r="I971" i="15"/>
  <c r="F971" i="15"/>
  <c r="E971" i="15"/>
  <c r="I970" i="15"/>
  <c r="F970" i="15"/>
  <c r="E970" i="15"/>
  <c r="I969" i="15"/>
  <c r="F969" i="15"/>
  <c r="E969" i="15"/>
  <c r="I968" i="15"/>
  <c r="F968" i="15"/>
  <c r="E968" i="15"/>
  <c r="I967" i="15"/>
  <c r="F967" i="15"/>
  <c r="E967" i="15"/>
  <c r="I966" i="15"/>
  <c r="F966" i="15"/>
  <c r="E966" i="15"/>
  <c r="I965" i="15"/>
  <c r="F965" i="15"/>
  <c r="E965" i="15"/>
  <c r="I964" i="15"/>
  <c r="F964" i="15"/>
  <c r="E964" i="15"/>
  <c r="I963" i="15"/>
  <c r="F963" i="15"/>
  <c r="E963" i="15"/>
  <c r="I962" i="15"/>
  <c r="F962" i="15"/>
  <c r="E962" i="15"/>
  <c r="I961" i="15"/>
  <c r="F961" i="15"/>
  <c r="E961" i="15"/>
  <c r="I960" i="15"/>
  <c r="F960" i="15"/>
  <c r="E960" i="15"/>
  <c r="I959" i="15"/>
  <c r="F959" i="15"/>
  <c r="E959" i="15"/>
  <c r="I958" i="15"/>
  <c r="F958" i="15"/>
  <c r="E958" i="15"/>
  <c r="I957" i="15"/>
  <c r="F957" i="15"/>
  <c r="E957" i="15"/>
  <c r="I956" i="15"/>
  <c r="F956" i="15"/>
  <c r="E956" i="15"/>
  <c r="I955" i="15"/>
  <c r="F955" i="15"/>
  <c r="E955" i="15"/>
  <c r="I954" i="15"/>
  <c r="F954" i="15"/>
  <c r="E954" i="15"/>
  <c r="I953" i="15"/>
  <c r="F953" i="15"/>
  <c r="E953" i="15"/>
  <c r="I952" i="15"/>
  <c r="F952" i="15"/>
  <c r="E952" i="15"/>
  <c r="I951" i="15"/>
  <c r="F951" i="15"/>
  <c r="E951" i="15"/>
  <c r="I950" i="15"/>
  <c r="F950" i="15"/>
  <c r="E950" i="15"/>
  <c r="I949" i="15"/>
  <c r="F949" i="15"/>
  <c r="E949" i="15"/>
  <c r="I948" i="15"/>
  <c r="F948" i="15"/>
  <c r="E948" i="15"/>
  <c r="I947" i="15"/>
  <c r="F947" i="15"/>
  <c r="E947" i="15"/>
  <c r="I946" i="15"/>
  <c r="F946" i="15"/>
  <c r="E946" i="15"/>
  <c r="I945" i="15"/>
  <c r="F945" i="15"/>
  <c r="E945" i="15"/>
  <c r="I944" i="15"/>
  <c r="F944" i="15"/>
  <c r="E944" i="15"/>
  <c r="I943" i="15"/>
  <c r="F943" i="15"/>
  <c r="E943" i="15"/>
  <c r="I942" i="15"/>
  <c r="F942" i="15"/>
  <c r="E942" i="15"/>
  <c r="I941" i="15"/>
  <c r="F941" i="15"/>
  <c r="E941" i="15"/>
  <c r="I940" i="15"/>
  <c r="F940" i="15"/>
  <c r="E940" i="15"/>
  <c r="I939" i="15"/>
  <c r="F939" i="15"/>
  <c r="E939" i="15"/>
  <c r="I938" i="15"/>
  <c r="F938" i="15"/>
  <c r="E938" i="15"/>
  <c r="I937" i="15"/>
  <c r="F937" i="15"/>
  <c r="E937" i="15"/>
  <c r="I936" i="15"/>
  <c r="F936" i="15"/>
  <c r="E936" i="15"/>
  <c r="I935" i="15"/>
  <c r="F935" i="15"/>
  <c r="E935" i="15"/>
  <c r="I934" i="15"/>
  <c r="F934" i="15"/>
  <c r="E934" i="15"/>
  <c r="I933" i="15"/>
  <c r="F933" i="15"/>
  <c r="E933" i="15"/>
  <c r="I932" i="15"/>
  <c r="F932" i="15"/>
  <c r="E932" i="15"/>
  <c r="I931" i="15"/>
  <c r="F931" i="15"/>
  <c r="E931" i="15"/>
  <c r="I930" i="15"/>
  <c r="F930" i="15"/>
  <c r="E930" i="15"/>
  <c r="I929" i="15"/>
  <c r="F929" i="15"/>
  <c r="E929" i="15"/>
  <c r="I928" i="15"/>
  <c r="F928" i="15"/>
  <c r="E928" i="15"/>
  <c r="I927" i="15"/>
  <c r="F927" i="15"/>
  <c r="E927" i="15"/>
  <c r="I926" i="15"/>
  <c r="F926" i="15"/>
  <c r="E926" i="15"/>
  <c r="I925" i="15"/>
  <c r="F925" i="15"/>
  <c r="E925" i="15"/>
  <c r="I924" i="15"/>
  <c r="F924" i="15"/>
  <c r="E924" i="15"/>
  <c r="I923" i="15"/>
  <c r="F923" i="15"/>
  <c r="E923" i="15"/>
  <c r="I922" i="15"/>
  <c r="F922" i="15"/>
  <c r="E922" i="15"/>
  <c r="I921" i="15"/>
  <c r="F921" i="15"/>
  <c r="E921" i="15"/>
  <c r="I920" i="15"/>
  <c r="F920" i="15"/>
  <c r="E920" i="15"/>
  <c r="I919" i="15"/>
  <c r="F919" i="15"/>
  <c r="E919" i="15"/>
  <c r="I918" i="15"/>
  <c r="F918" i="15"/>
  <c r="E918" i="15"/>
  <c r="I917" i="15"/>
  <c r="F917" i="15"/>
  <c r="E917" i="15"/>
  <c r="I916" i="15"/>
  <c r="F916" i="15"/>
  <c r="E916" i="15"/>
  <c r="I915" i="15"/>
  <c r="F915" i="15"/>
  <c r="E915" i="15"/>
  <c r="I914" i="15"/>
  <c r="F914" i="15"/>
  <c r="E914" i="15"/>
  <c r="I913" i="15"/>
  <c r="F913" i="15"/>
  <c r="E913" i="15"/>
  <c r="I912" i="15"/>
  <c r="F912" i="15"/>
  <c r="E912" i="15"/>
  <c r="I911" i="15"/>
  <c r="F911" i="15"/>
  <c r="E911" i="15"/>
  <c r="I910" i="15"/>
  <c r="F910" i="15"/>
  <c r="E910" i="15"/>
  <c r="I909" i="15"/>
  <c r="F909" i="15"/>
  <c r="E909" i="15"/>
  <c r="I908" i="15"/>
  <c r="F908" i="15"/>
  <c r="E908" i="15"/>
  <c r="I907" i="15"/>
  <c r="F907" i="15"/>
  <c r="E907" i="15"/>
  <c r="I906" i="15"/>
  <c r="F906" i="15"/>
  <c r="E906" i="15"/>
  <c r="I905" i="15"/>
  <c r="F905" i="15"/>
  <c r="E905" i="15"/>
  <c r="I904" i="15"/>
  <c r="F904" i="15"/>
  <c r="E904" i="15"/>
  <c r="I903" i="15"/>
  <c r="F903" i="15"/>
  <c r="E903" i="15"/>
  <c r="I902" i="15"/>
  <c r="F902" i="15"/>
  <c r="E902" i="15"/>
  <c r="I901" i="15"/>
  <c r="F901" i="15"/>
  <c r="E901" i="15"/>
  <c r="I900" i="15"/>
  <c r="F900" i="15"/>
  <c r="E900" i="15"/>
  <c r="I899" i="15"/>
  <c r="F899" i="15"/>
  <c r="E899" i="15"/>
  <c r="I898" i="15"/>
  <c r="F898" i="15"/>
  <c r="E898" i="15"/>
  <c r="I897" i="15"/>
  <c r="F897" i="15"/>
  <c r="E897" i="15"/>
  <c r="I896" i="15"/>
  <c r="F896" i="15"/>
  <c r="E896" i="15"/>
  <c r="I895" i="15"/>
  <c r="F895" i="15"/>
  <c r="E895" i="15"/>
  <c r="I894" i="15"/>
  <c r="F894" i="15"/>
  <c r="E894" i="15"/>
  <c r="I893" i="15"/>
  <c r="F893" i="15"/>
  <c r="E893" i="15"/>
  <c r="I892" i="15"/>
  <c r="F892" i="15"/>
  <c r="E892" i="15"/>
  <c r="I891" i="15"/>
  <c r="F891" i="15"/>
  <c r="E891" i="15"/>
  <c r="I890" i="15"/>
  <c r="F890" i="15"/>
  <c r="E890" i="15"/>
  <c r="I889" i="15"/>
  <c r="F889" i="15"/>
  <c r="E889" i="15"/>
  <c r="I888" i="15"/>
  <c r="F888" i="15"/>
  <c r="E888" i="15"/>
  <c r="I887" i="15"/>
  <c r="F887" i="15"/>
  <c r="E887" i="15"/>
  <c r="I886" i="15"/>
  <c r="F886" i="15"/>
  <c r="E886" i="15"/>
  <c r="I885" i="15"/>
  <c r="F885" i="15"/>
  <c r="E885" i="15"/>
  <c r="I884" i="15"/>
  <c r="F884" i="15"/>
  <c r="E884" i="15"/>
  <c r="I883" i="15"/>
  <c r="F883" i="15"/>
  <c r="E883" i="15"/>
  <c r="I882" i="15"/>
  <c r="F882" i="15"/>
  <c r="E882" i="15"/>
  <c r="I881" i="15"/>
  <c r="F881" i="15"/>
  <c r="E881" i="15"/>
  <c r="I880" i="15"/>
  <c r="F880" i="15"/>
  <c r="E880" i="15"/>
  <c r="I879" i="15"/>
  <c r="F879" i="15"/>
  <c r="E879" i="15"/>
  <c r="I878" i="15"/>
  <c r="F878" i="15"/>
  <c r="E878" i="15"/>
  <c r="I877" i="15"/>
  <c r="F877" i="15"/>
  <c r="E877" i="15"/>
  <c r="I876" i="15"/>
  <c r="F876" i="15"/>
  <c r="E876" i="15"/>
  <c r="I875" i="15"/>
  <c r="F875" i="15"/>
  <c r="E875" i="15"/>
  <c r="I874" i="15"/>
  <c r="F874" i="15"/>
  <c r="E874" i="15"/>
  <c r="I873" i="15"/>
  <c r="F873" i="15"/>
  <c r="E873" i="15"/>
  <c r="I872" i="15"/>
  <c r="F872" i="15"/>
  <c r="E872" i="15"/>
  <c r="I871" i="15"/>
  <c r="F871" i="15"/>
  <c r="E871" i="15"/>
  <c r="I870" i="15"/>
  <c r="F870" i="15"/>
  <c r="E870" i="15"/>
  <c r="I869" i="15"/>
  <c r="F869" i="15"/>
  <c r="E869" i="15"/>
  <c r="I868" i="15"/>
  <c r="F868" i="15"/>
  <c r="E868" i="15"/>
  <c r="I867" i="15"/>
  <c r="F867" i="15"/>
  <c r="E867" i="15"/>
  <c r="I866" i="15"/>
  <c r="F866" i="15"/>
  <c r="E866" i="15"/>
  <c r="I865" i="15"/>
  <c r="F865" i="15"/>
  <c r="E865" i="15"/>
  <c r="I864" i="15"/>
  <c r="F864" i="15"/>
  <c r="E864" i="15"/>
  <c r="I863" i="15"/>
  <c r="F863" i="15"/>
  <c r="E863" i="15"/>
  <c r="I862" i="15"/>
  <c r="F862" i="15"/>
  <c r="E862" i="15"/>
  <c r="I861" i="15"/>
  <c r="F861" i="15"/>
  <c r="E861" i="15"/>
  <c r="I860" i="15"/>
  <c r="F860" i="15"/>
  <c r="E860" i="15"/>
  <c r="I859" i="15"/>
  <c r="F859" i="15"/>
  <c r="E859" i="15"/>
  <c r="I858" i="15"/>
  <c r="F858" i="15"/>
  <c r="E858" i="15"/>
  <c r="I857" i="15"/>
  <c r="F857" i="15"/>
  <c r="E857" i="15"/>
  <c r="I856" i="15"/>
  <c r="F856" i="15"/>
  <c r="E856" i="15"/>
  <c r="I855" i="15"/>
  <c r="F855" i="15"/>
  <c r="E855" i="15"/>
  <c r="I854" i="15"/>
  <c r="F854" i="15"/>
  <c r="E854" i="15"/>
  <c r="I853" i="15"/>
  <c r="F853" i="15"/>
  <c r="E853" i="15"/>
  <c r="I852" i="15"/>
  <c r="F852" i="15"/>
  <c r="E852" i="15"/>
  <c r="I851" i="15"/>
  <c r="F851" i="15"/>
  <c r="E851" i="15"/>
  <c r="I850" i="15"/>
  <c r="F850" i="15"/>
  <c r="E850" i="15"/>
  <c r="I849" i="15"/>
  <c r="F849" i="15"/>
  <c r="E849" i="15"/>
  <c r="I848" i="15"/>
  <c r="F848" i="15"/>
  <c r="E848" i="15"/>
  <c r="I847" i="15"/>
  <c r="F847" i="15"/>
  <c r="E847" i="15"/>
  <c r="I846" i="15"/>
  <c r="F846" i="15"/>
  <c r="E846" i="15"/>
  <c r="I845" i="15"/>
  <c r="F845" i="15"/>
  <c r="E845" i="15"/>
  <c r="I844" i="15"/>
  <c r="F844" i="15"/>
  <c r="E844" i="15"/>
  <c r="I843" i="15"/>
  <c r="F843" i="15"/>
  <c r="E843" i="15"/>
  <c r="I842" i="15"/>
  <c r="F842" i="15"/>
  <c r="E842" i="15"/>
  <c r="I841" i="15"/>
  <c r="F841" i="15"/>
  <c r="E841" i="15"/>
  <c r="I840" i="15"/>
  <c r="F840" i="15"/>
  <c r="E840" i="15"/>
  <c r="I839" i="15"/>
  <c r="F839" i="15"/>
  <c r="E839" i="15"/>
  <c r="I838" i="15"/>
  <c r="F838" i="15"/>
  <c r="E838" i="15"/>
  <c r="I837" i="15"/>
  <c r="F837" i="15"/>
  <c r="E837" i="15"/>
  <c r="I836" i="15"/>
  <c r="F836" i="15"/>
  <c r="E836" i="15"/>
  <c r="I835" i="15"/>
  <c r="F835" i="15"/>
  <c r="E835" i="15"/>
  <c r="I834" i="15"/>
  <c r="F834" i="15"/>
  <c r="E834" i="15"/>
  <c r="I833" i="15"/>
  <c r="F833" i="15"/>
  <c r="E833" i="15"/>
  <c r="I832" i="15"/>
  <c r="F832" i="15"/>
  <c r="E832" i="15"/>
  <c r="I831" i="15"/>
  <c r="F831" i="15"/>
  <c r="E831" i="15"/>
  <c r="I830" i="15"/>
  <c r="F830" i="15"/>
  <c r="E830" i="15"/>
  <c r="I829" i="15"/>
  <c r="F829" i="15"/>
  <c r="E829" i="15"/>
  <c r="I828" i="15"/>
  <c r="F828" i="15"/>
  <c r="E828" i="15"/>
  <c r="I827" i="15"/>
  <c r="F827" i="15"/>
  <c r="E827" i="15"/>
  <c r="I826" i="15"/>
  <c r="F826" i="15"/>
  <c r="E826" i="15"/>
  <c r="I825" i="15"/>
  <c r="F825" i="15"/>
  <c r="E825" i="15"/>
  <c r="I824" i="15"/>
  <c r="F824" i="15"/>
  <c r="E824" i="15"/>
  <c r="I823" i="15"/>
  <c r="F823" i="15"/>
  <c r="E823" i="15"/>
  <c r="I822" i="15"/>
  <c r="F822" i="15"/>
  <c r="E822" i="15"/>
  <c r="I821" i="15"/>
  <c r="F821" i="15"/>
  <c r="E821" i="15"/>
  <c r="I820" i="15"/>
  <c r="F820" i="15"/>
  <c r="E820" i="15"/>
  <c r="I819" i="15"/>
  <c r="F819" i="15"/>
  <c r="E819" i="15"/>
  <c r="I818" i="15"/>
  <c r="F818" i="15"/>
  <c r="E818" i="15"/>
  <c r="I817" i="15"/>
  <c r="F817" i="15"/>
  <c r="E817" i="15"/>
  <c r="I816" i="15"/>
  <c r="F816" i="15"/>
  <c r="E816" i="15"/>
  <c r="I815" i="15"/>
  <c r="F815" i="15"/>
  <c r="E815" i="15"/>
  <c r="I814" i="15"/>
  <c r="F814" i="15"/>
  <c r="E814" i="15"/>
  <c r="I813" i="15"/>
  <c r="F813" i="15"/>
  <c r="E813" i="15"/>
  <c r="I812" i="15"/>
  <c r="F812" i="15"/>
  <c r="E812" i="15"/>
  <c r="I811" i="15"/>
  <c r="F811" i="15"/>
  <c r="E811" i="15"/>
  <c r="I810" i="15"/>
  <c r="F810" i="15"/>
  <c r="E810" i="15"/>
  <c r="I809" i="15"/>
  <c r="F809" i="15"/>
  <c r="E809" i="15"/>
  <c r="I808" i="15"/>
  <c r="F808" i="15"/>
  <c r="E808" i="15"/>
  <c r="I807" i="15"/>
  <c r="F807" i="15"/>
  <c r="E807" i="15"/>
  <c r="I806" i="15"/>
  <c r="F806" i="15"/>
  <c r="E806" i="15"/>
  <c r="I805" i="15"/>
  <c r="F805" i="15"/>
  <c r="E805" i="15"/>
  <c r="I804" i="15"/>
  <c r="F804" i="15"/>
  <c r="E804" i="15"/>
  <c r="I803" i="15"/>
  <c r="F803" i="15"/>
  <c r="E803" i="15"/>
  <c r="I802" i="15"/>
  <c r="F802" i="15"/>
  <c r="E802" i="15"/>
  <c r="I801" i="15"/>
  <c r="F801" i="15"/>
  <c r="E801" i="15"/>
  <c r="I800" i="15"/>
  <c r="F800" i="15"/>
  <c r="E800" i="15"/>
  <c r="I799" i="15"/>
  <c r="F799" i="15"/>
  <c r="E799" i="15"/>
  <c r="I798" i="15"/>
  <c r="F798" i="15"/>
  <c r="E798" i="15"/>
  <c r="I797" i="15"/>
  <c r="F797" i="15"/>
  <c r="E797" i="15"/>
  <c r="I796" i="15"/>
  <c r="F796" i="15"/>
  <c r="E796" i="15"/>
  <c r="I795" i="15"/>
  <c r="F795" i="15"/>
  <c r="E795" i="15"/>
  <c r="I794" i="15"/>
  <c r="F794" i="15"/>
  <c r="E794" i="15"/>
  <c r="I793" i="15"/>
  <c r="F793" i="15"/>
  <c r="E793" i="15"/>
  <c r="I792" i="15"/>
  <c r="F792" i="15"/>
  <c r="E792" i="15"/>
  <c r="I791" i="15"/>
  <c r="F791" i="15"/>
  <c r="E791" i="15"/>
  <c r="I790" i="15"/>
  <c r="F790" i="15"/>
  <c r="E790" i="15"/>
  <c r="I789" i="15"/>
  <c r="F789" i="15"/>
  <c r="E789" i="15"/>
  <c r="I788" i="15"/>
  <c r="F788" i="15"/>
  <c r="E788" i="15"/>
  <c r="I787" i="15"/>
  <c r="F787" i="15"/>
  <c r="E787" i="15"/>
  <c r="I786" i="15"/>
  <c r="F786" i="15"/>
  <c r="E786" i="15"/>
  <c r="I785" i="15"/>
  <c r="F785" i="15"/>
  <c r="E785" i="15"/>
  <c r="I784" i="15"/>
  <c r="F784" i="15"/>
  <c r="E784" i="15"/>
  <c r="I783" i="15"/>
  <c r="F783" i="15"/>
  <c r="E783" i="15"/>
  <c r="I782" i="15"/>
  <c r="F782" i="15"/>
  <c r="E782" i="15"/>
  <c r="I781" i="15"/>
  <c r="F781" i="15"/>
  <c r="E781" i="15"/>
  <c r="I780" i="15"/>
  <c r="F780" i="15"/>
  <c r="E780" i="15"/>
  <c r="I779" i="15"/>
  <c r="F779" i="15"/>
  <c r="E779" i="15"/>
  <c r="I778" i="15"/>
  <c r="F778" i="15"/>
  <c r="E778" i="15"/>
  <c r="I777" i="15"/>
  <c r="F777" i="15"/>
  <c r="E777" i="15"/>
  <c r="I776" i="15"/>
  <c r="F776" i="15"/>
  <c r="E776" i="15"/>
  <c r="I775" i="15"/>
  <c r="F775" i="15"/>
  <c r="E775" i="15"/>
  <c r="I774" i="15"/>
  <c r="F774" i="15"/>
  <c r="E774" i="15"/>
  <c r="I773" i="15"/>
  <c r="F773" i="15"/>
  <c r="E773" i="15"/>
  <c r="I772" i="15"/>
  <c r="F772" i="15"/>
  <c r="E772" i="15"/>
  <c r="I771" i="15"/>
  <c r="F771" i="15"/>
  <c r="E771" i="15"/>
  <c r="I770" i="15"/>
  <c r="F770" i="15"/>
  <c r="E770" i="15"/>
  <c r="I769" i="15"/>
  <c r="F769" i="15"/>
  <c r="E769" i="15"/>
  <c r="I768" i="15"/>
  <c r="F768" i="15"/>
  <c r="E768" i="15"/>
  <c r="I767" i="15"/>
  <c r="F767" i="15"/>
  <c r="E767" i="15"/>
  <c r="I766" i="15"/>
  <c r="F766" i="15"/>
  <c r="E766" i="15"/>
  <c r="I765" i="15"/>
  <c r="F765" i="15"/>
  <c r="E765" i="15"/>
  <c r="I764" i="15"/>
  <c r="F764" i="15"/>
  <c r="E764" i="15"/>
  <c r="I763" i="15"/>
  <c r="F763" i="15"/>
  <c r="E763" i="15"/>
  <c r="I762" i="15"/>
  <c r="F762" i="15"/>
  <c r="E762" i="15"/>
  <c r="I761" i="15"/>
  <c r="F761" i="15"/>
  <c r="E761" i="15"/>
  <c r="I760" i="15"/>
  <c r="F760" i="15"/>
  <c r="E760" i="15"/>
  <c r="I759" i="15"/>
  <c r="F759" i="15"/>
  <c r="E759" i="15"/>
  <c r="I758" i="15"/>
  <c r="F758" i="15"/>
  <c r="E758" i="15"/>
  <c r="I757" i="15"/>
  <c r="F757" i="15"/>
  <c r="E757" i="15"/>
  <c r="I756" i="15"/>
  <c r="F756" i="15"/>
  <c r="E756" i="15"/>
  <c r="I755" i="15"/>
  <c r="F755" i="15"/>
  <c r="E755" i="15"/>
  <c r="I754" i="15"/>
  <c r="F754" i="15"/>
  <c r="E754" i="15"/>
  <c r="I753" i="15"/>
  <c r="F753" i="15"/>
  <c r="E753" i="15"/>
  <c r="I752" i="15"/>
  <c r="F752" i="15"/>
  <c r="E752" i="15"/>
  <c r="I751" i="15"/>
  <c r="F751" i="15"/>
  <c r="E751" i="15"/>
  <c r="I750" i="15"/>
  <c r="F750" i="15"/>
  <c r="E750" i="15"/>
  <c r="I749" i="15"/>
  <c r="F749" i="15"/>
  <c r="E749" i="15"/>
  <c r="I748" i="15"/>
  <c r="F748" i="15"/>
  <c r="E748" i="15"/>
  <c r="I747" i="15"/>
  <c r="F747" i="15"/>
  <c r="E747" i="15"/>
  <c r="I746" i="15"/>
  <c r="F746" i="15"/>
  <c r="E746" i="15"/>
  <c r="I745" i="15"/>
  <c r="F745" i="15"/>
  <c r="E745" i="15"/>
  <c r="I744" i="15"/>
  <c r="F744" i="15"/>
  <c r="E744" i="15"/>
  <c r="I743" i="15"/>
  <c r="F743" i="15"/>
  <c r="E743" i="15"/>
  <c r="I742" i="15"/>
  <c r="F742" i="15"/>
  <c r="E742" i="15"/>
  <c r="I741" i="15"/>
  <c r="F741" i="15"/>
  <c r="E741" i="15"/>
  <c r="I740" i="15"/>
  <c r="F740" i="15"/>
  <c r="E740" i="15"/>
  <c r="I739" i="15"/>
  <c r="F739" i="15"/>
  <c r="E739" i="15"/>
  <c r="I738" i="15"/>
  <c r="F738" i="15"/>
  <c r="E738" i="15"/>
  <c r="I737" i="15"/>
  <c r="F737" i="15"/>
  <c r="E737" i="15"/>
  <c r="I736" i="15"/>
  <c r="F736" i="15"/>
  <c r="E736" i="15"/>
  <c r="I735" i="15"/>
  <c r="F735" i="15"/>
  <c r="E735" i="15"/>
  <c r="I734" i="15"/>
  <c r="F734" i="15"/>
  <c r="E734" i="15"/>
  <c r="I733" i="15"/>
  <c r="F733" i="15"/>
  <c r="E733" i="15"/>
  <c r="I732" i="15"/>
  <c r="F732" i="15"/>
  <c r="E732" i="15"/>
  <c r="I731" i="15"/>
  <c r="F731" i="15"/>
  <c r="E731" i="15"/>
  <c r="I730" i="15"/>
  <c r="F730" i="15"/>
  <c r="E730" i="15"/>
  <c r="I729" i="15"/>
  <c r="F729" i="15"/>
  <c r="E729" i="15"/>
  <c r="I728" i="15"/>
  <c r="F728" i="15"/>
  <c r="E728" i="15"/>
  <c r="I727" i="15"/>
  <c r="F727" i="15"/>
  <c r="E727" i="15"/>
  <c r="I726" i="15"/>
  <c r="F726" i="15"/>
  <c r="E726" i="15"/>
  <c r="I725" i="15"/>
  <c r="F725" i="15"/>
  <c r="E725" i="15"/>
  <c r="I724" i="15"/>
  <c r="F724" i="15"/>
  <c r="E724" i="15"/>
  <c r="I723" i="15"/>
  <c r="F723" i="15"/>
  <c r="E723" i="15"/>
  <c r="I722" i="15"/>
  <c r="F722" i="15"/>
  <c r="E722" i="15"/>
  <c r="I721" i="15"/>
  <c r="F721" i="15"/>
  <c r="E721" i="15"/>
  <c r="I720" i="15"/>
  <c r="F720" i="15"/>
  <c r="E720" i="15"/>
  <c r="I719" i="15"/>
  <c r="F719" i="15"/>
  <c r="E719" i="15"/>
  <c r="I718" i="15"/>
  <c r="F718" i="15"/>
  <c r="E718" i="15"/>
  <c r="I717" i="15"/>
  <c r="F717" i="15"/>
  <c r="E717" i="15"/>
  <c r="I716" i="15"/>
  <c r="F716" i="15"/>
  <c r="E716" i="15"/>
  <c r="I715" i="15"/>
  <c r="F715" i="15"/>
  <c r="E715" i="15"/>
  <c r="I714" i="15"/>
  <c r="F714" i="15"/>
  <c r="E714" i="15"/>
  <c r="I713" i="15"/>
  <c r="F713" i="15"/>
  <c r="E713" i="15"/>
  <c r="I712" i="15"/>
  <c r="F712" i="15"/>
  <c r="E712" i="15"/>
  <c r="I711" i="15"/>
  <c r="F711" i="15"/>
  <c r="E711" i="15"/>
  <c r="I710" i="15"/>
  <c r="F710" i="15"/>
  <c r="E710" i="15"/>
  <c r="I709" i="15"/>
  <c r="F709" i="15"/>
  <c r="E709" i="15"/>
  <c r="I708" i="15"/>
  <c r="F708" i="15"/>
  <c r="E708" i="15"/>
  <c r="I707" i="15"/>
  <c r="F707" i="15"/>
  <c r="E707" i="15"/>
  <c r="I706" i="15"/>
  <c r="F706" i="15"/>
  <c r="E706" i="15"/>
  <c r="I705" i="15"/>
  <c r="F705" i="15"/>
  <c r="E705" i="15"/>
  <c r="I704" i="15"/>
  <c r="F704" i="15"/>
  <c r="E704" i="15"/>
  <c r="I703" i="15"/>
  <c r="F703" i="15"/>
  <c r="E703" i="15"/>
  <c r="I702" i="15"/>
  <c r="F702" i="15"/>
  <c r="E702" i="15"/>
  <c r="I701" i="15"/>
  <c r="F701" i="15"/>
  <c r="E701" i="15"/>
  <c r="I700" i="15"/>
  <c r="F700" i="15"/>
  <c r="E700" i="15"/>
  <c r="I699" i="15"/>
  <c r="F699" i="15"/>
  <c r="E699" i="15"/>
  <c r="I698" i="15"/>
  <c r="F698" i="15"/>
  <c r="E698" i="15"/>
  <c r="I697" i="15"/>
  <c r="F697" i="15"/>
  <c r="E697" i="15"/>
  <c r="I696" i="15"/>
  <c r="F696" i="15"/>
  <c r="E696" i="15"/>
  <c r="I695" i="15"/>
  <c r="F695" i="15"/>
  <c r="E695" i="15"/>
  <c r="I694" i="15"/>
  <c r="F694" i="15"/>
  <c r="E694" i="15"/>
  <c r="I693" i="15"/>
  <c r="F693" i="15"/>
  <c r="E693" i="15"/>
  <c r="I692" i="15"/>
  <c r="F692" i="15"/>
  <c r="E692" i="15"/>
  <c r="I691" i="15"/>
  <c r="F691" i="15"/>
  <c r="E691" i="15"/>
  <c r="I690" i="15"/>
  <c r="F690" i="15"/>
  <c r="E690" i="15"/>
  <c r="I689" i="15"/>
  <c r="F689" i="15"/>
  <c r="E689" i="15"/>
  <c r="I688" i="15"/>
  <c r="F688" i="15"/>
  <c r="E688" i="15"/>
  <c r="I687" i="15"/>
  <c r="F687" i="15"/>
  <c r="E687" i="15"/>
  <c r="I686" i="15"/>
  <c r="F686" i="15"/>
  <c r="E686" i="15"/>
  <c r="I685" i="15"/>
  <c r="F685" i="15"/>
  <c r="E685" i="15"/>
  <c r="I684" i="15"/>
  <c r="F684" i="15"/>
  <c r="E684" i="15"/>
  <c r="I683" i="15"/>
  <c r="F683" i="15"/>
  <c r="E683" i="15"/>
  <c r="I682" i="15"/>
  <c r="F682" i="15"/>
  <c r="E682" i="15"/>
  <c r="I681" i="15"/>
  <c r="F681" i="15"/>
  <c r="E681" i="15"/>
  <c r="I680" i="15"/>
  <c r="F680" i="15"/>
  <c r="E680" i="15"/>
  <c r="I679" i="15"/>
  <c r="F679" i="15"/>
  <c r="E679" i="15"/>
  <c r="I678" i="15"/>
  <c r="F678" i="15"/>
  <c r="E678" i="15"/>
  <c r="I677" i="15"/>
  <c r="F677" i="15"/>
  <c r="E677" i="15"/>
  <c r="I676" i="15"/>
  <c r="F676" i="15"/>
  <c r="E676" i="15"/>
  <c r="I675" i="15"/>
  <c r="F675" i="15"/>
  <c r="E675" i="15"/>
  <c r="I674" i="15"/>
  <c r="F674" i="15"/>
  <c r="E674" i="15"/>
  <c r="I673" i="15"/>
  <c r="F673" i="15"/>
  <c r="E673" i="15"/>
  <c r="I672" i="15"/>
  <c r="F672" i="15"/>
  <c r="E672" i="15"/>
  <c r="I671" i="15"/>
  <c r="F671" i="15"/>
  <c r="E671" i="15"/>
  <c r="I670" i="15"/>
  <c r="F670" i="15"/>
  <c r="E670" i="15"/>
  <c r="I669" i="15"/>
  <c r="F669" i="15"/>
  <c r="E669" i="15"/>
  <c r="I668" i="15"/>
  <c r="F668" i="15"/>
  <c r="E668" i="15"/>
  <c r="I667" i="15"/>
  <c r="F667" i="15"/>
  <c r="E667" i="15"/>
  <c r="I666" i="15"/>
  <c r="F666" i="15"/>
  <c r="E666" i="15"/>
  <c r="I665" i="15"/>
  <c r="F665" i="15"/>
  <c r="E665" i="15"/>
  <c r="I664" i="15"/>
  <c r="F664" i="15"/>
  <c r="E664" i="15"/>
  <c r="I663" i="15"/>
  <c r="F663" i="15"/>
  <c r="E663" i="15"/>
  <c r="I662" i="15"/>
  <c r="F662" i="15"/>
  <c r="E662" i="15"/>
  <c r="I661" i="15"/>
  <c r="F661" i="15"/>
  <c r="E661" i="15"/>
  <c r="I660" i="15"/>
  <c r="F660" i="15"/>
  <c r="E660" i="15"/>
  <c r="I659" i="15"/>
  <c r="F659" i="15"/>
  <c r="E659" i="15"/>
  <c r="I658" i="15"/>
  <c r="F658" i="15"/>
  <c r="E658" i="15"/>
  <c r="I657" i="15"/>
  <c r="F657" i="15"/>
  <c r="E657" i="15"/>
  <c r="I656" i="15"/>
  <c r="F656" i="15"/>
  <c r="E656" i="15"/>
  <c r="I655" i="15"/>
  <c r="F655" i="15"/>
  <c r="E655" i="15"/>
  <c r="I654" i="15"/>
  <c r="F654" i="15"/>
  <c r="E654" i="15"/>
  <c r="I653" i="15"/>
  <c r="F653" i="15"/>
  <c r="E653" i="15"/>
  <c r="I652" i="15"/>
  <c r="F652" i="15"/>
  <c r="E652" i="15"/>
  <c r="I651" i="15"/>
  <c r="F651" i="15"/>
  <c r="E651" i="15"/>
  <c r="I650" i="15"/>
  <c r="F650" i="15"/>
  <c r="E650" i="15"/>
  <c r="I649" i="15"/>
  <c r="F649" i="15"/>
  <c r="E649" i="15"/>
  <c r="I648" i="15"/>
  <c r="F648" i="15"/>
  <c r="E648" i="15"/>
  <c r="I647" i="15"/>
  <c r="F647" i="15"/>
  <c r="E647" i="15"/>
  <c r="I646" i="15"/>
  <c r="F646" i="15"/>
  <c r="E646" i="15"/>
  <c r="I645" i="15"/>
  <c r="F645" i="15"/>
  <c r="E645" i="15"/>
  <c r="I644" i="15"/>
  <c r="F644" i="15"/>
  <c r="E644" i="15"/>
  <c r="I643" i="15"/>
  <c r="F643" i="15"/>
  <c r="E643" i="15"/>
  <c r="I642" i="15"/>
  <c r="F642" i="15"/>
  <c r="E642" i="15"/>
  <c r="I641" i="15"/>
  <c r="F641" i="15"/>
  <c r="E641" i="15"/>
  <c r="I640" i="15"/>
  <c r="F640" i="15"/>
  <c r="E640" i="15"/>
  <c r="I639" i="15"/>
  <c r="F639" i="15"/>
  <c r="E639" i="15"/>
  <c r="I638" i="15"/>
  <c r="F638" i="15"/>
  <c r="E638" i="15"/>
  <c r="I637" i="15"/>
  <c r="F637" i="15"/>
  <c r="E637" i="15"/>
  <c r="I636" i="15"/>
  <c r="F636" i="15"/>
  <c r="E636" i="15"/>
  <c r="I635" i="15"/>
  <c r="F635" i="15"/>
  <c r="E635" i="15"/>
  <c r="I634" i="15"/>
  <c r="F634" i="15"/>
  <c r="E634" i="15"/>
  <c r="I633" i="15"/>
  <c r="F633" i="15"/>
  <c r="E633" i="15"/>
  <c r="I632" i="15"/>
  <c r="F632" i="15"/>
  <c r="E632" i="15"/>
  <c r="I631" i="15"/>
  <c r="F631" i="15"/>
  <c r="E631" i="15"/>
  <c r="I630" i="15"/>
  <c r="F630" i="15"/>
  <c r="E630" i="15"/>
  <c r="I629" i="15"/>
  <c r="F629" i="15"/>
  <c r="E629" i="15"/>
  <c r="I628" i="15"/>
  <c r="F628" i="15"/>
  <c r="E628" i="15"/>
  <c r="I627" i="15"/>
  <c r="F627" i="15"/>
  <c r="E627" i="15"/>
  <c r="I626" i="15"/>
  <c r="F626" i="15"/>
  <c r="E626" i="15"/>
  <c r="I625" i="15"/>
  <c r="F625" i="15"/>
  <c r="E625" i="15"/>
  <c r="I624" i="15"/>
  <c r="F624" i="15"/>
  <c r="E624" i="15"/>
  <c r="I623" i="15"/>
  <c r="F623" i="15"/>
  <c r="E623" i="15"/>
  <c r="I622" i="15"/>
  <c r="F622" i="15"/>
  <c r="E622" i="15"/>
  <c r="I621" i="15"/>
  <c r="F621" i="15"/>
  <c r="E621" i="15"/>
  <c r="I620" i="15"/>
  <c r="F620" i="15"/>
  <c r="E620" i="15"/>
  <c r="I619" i="15"/>
  <c r="F619" i="15"/>
  <c r="E619" i="15"/>
  <c r="I618" i="15"/>
  <c r="F618" i="15"/>
  <c r="E618" i="15"/>
  <c r="I617" i="15"/>
  <c r="F617" i="15"/>
  <c r="E617" i="15"/>
  <c r="I616" i="15"/>
  <c r="F616" i="15"/>
  <c r="E616" i="15"/>
  <c r="I615" i="15"/>
  <c r="F615" i="15"/>
  <c r="E615" i="15"/>
  <c r="I614" i="15"/>
  <c r="F614" i="15"/>
  <c r="E614" i="15"/>
  <c r="I613" i="15"/>
  <c r="F613" i="15"/>
  <c r="E613" i="15"/>
  <c r="I612" i="15"/>
  <c r="F612" i="15"/>
  <c r="E612" i="15"/>
  <c r="I611" i="15"/>
  <c r="F611" i="15"/>
  <c r="E611" i="15"/>
  <c r="I610" i="15"/>
  <c r="F610" i="15"/>
  <c r="E610" i="15"/>
  <c r="I609" i="15"/>
  <c r="F609" i="15"/>
  <c r="E609" i="15"/>
  <c r="I608" i="15"/>
  <c r="F608" i="15"/>
  <c r="E608" i="15"/>
  <c r="I607" i="15"/>
  <c r="F607" i="15"/>
  <c r="E607" i="15"/>
  <c r="I606" i="15"/>
  <c r="F606" i="15"/>
  <c r="E606" i="15"/>
  <c r="I605" i="15"/>
  <c r="F605" i="15"/>
  <c r="E605" i="15"/>
  <c r="I604" i="15"/>
  <c r="F604" i="15"/>
  <c r="E604" i="15"/>
  <c r="I603" i="15"/>
  <c r="F603" i="15"/>
  <c r="E603" i="15"/>
  <c r="I602" i="15"/>
  <c r="F602" i="15"/>
  <c r="E602" i="15"/>
  <c r="I601" i="15"/>
  <c r="F601" i="15"/>
  <c r="E601" i="15"/>
  <c r="I600" i="15"/>
  <c r="F600" i="15"/>
  <c r="E600" i="15"/>
  <c r="I599" i="15"/>
  <c r="F599" i="15"/>
  <c r="E599" i="15"/>
  <c r="I598" i="15"/>
  <c r="F598" i="15"/>
  <c r="E598" i="15"/>
  <c r="I597" i="15"/>
  <c r="F597" i="15"/>
  <c r="E597" i="15"/>
  <c r="I596" i="15"/>
  <c r="F596" i="15"/>
  <c r="E596" i="15"/>
  <c r="I595" i="15"/>
  <c r="F595" i="15"/>
  <c r="E595" i="15"/>
  <c r="I594" i="15"/>
  <c r="F594" i="15"/>
  <c r="E594" i="15"/>
  <c r="I593" i="15"/>
  <c r="F593" i="15"/>
  <c r="E593" i="15"/>
  <c r="I592" i="15"/>
  <c r="F592" i="15"/>
  <c r="E592" i="15"/>
  <c r="I591" i="15"/>
  <c r="F591" i="15"/>
  <c r="E591" i="15"/>
  <c r="I590" i="15"/>
  <c r="F590" i="15"/>
  <c r="E590" i="15"/>
  <c r="I589" i="15"/>
  <c r="F589" i="15"/>
  <c r="E589" i="15"/>
  <c r="I588" i="15"/>
  <c r="F588" i="15"/>
  <c r="E588" i="15"/>
  <c r="I587" i="15"/>
  <c r="F587" i="15"/>
  <c r="E587" i="15"/>
  <c r="I586" i="15"/>
  <c r="F586" i="15"/>
  <c r="E586" i="15"/>
  <c r="I585" i="15"/>
  <c r="F585" i="15"/>
  <c r="E585" i="15"/>
  <c r="I584" i="15"/>
  <c r="F584" i="15"/>
  <c r="E584" i="15"/>
  <c r="I583" i="15"/>
  <c r="F583" i="15"/>
  <c r="E583" i="15"/>
  <c r="I582" i="15"/>
  <c r="F582" i="15"/>
  <c r="E582" i="15"/>
  <c r="I581" i="15"/>
  <c r="F581" i="15"/>
  <c r="E581" i="15"/>
  <c r="I580" i="15"/>
  <c r="F580" i="15"/>
  <c r="E580" i="15"/>
  <c r="I579" i="15"/>
  <c r="F579" i="15"/>
  <c r="E579" i="15"/>
  <c r="I578" i="15"/>
  <c r="F578" i="15"/>
  <c r="E578" i="15"/>
  <c r="I577" i="15"/>
  <c r="F577" i="15"/>
  <c r="E577" i="15"/>
  <c r="I576" i="15"/>
  <c r="F576" i="15"/>
  <c r="E576" i="15"/>
  <c r="I575" i="15"/>
  <c r="F575" i="15"/>
  <c r="E575" i="15"/>
  <c r="I574" i="15"/>
  <c r="F574" i="15"/>
  <c r="E574" i="15"/>
  <c r="I573" i="15"/>
  <c r="F573" i="15"/>
  <c r="E573" i="15"/>
  <c r="I572" i="15"/>
  <c r="F572" i="15"/>
  <c r="E572" i="15"/>
  <c r="I571" i="15"/>
  <c r="F571" i="15"/>
  <c r="E571" i="15"/>
  <c r="I570" i="15"/>
  <c r="F570" i="15"/>
  <c r="E570" i="15"/>
  <c r="I569" i="15"/>
  <c r="F569" i="15"/>
  <c r="E569" i="15"/>
  <c r="I568" i="15"/>
  <c r="F568" i="15"/>
  <c r="E568" i="15"/>
  <c r="I567" i="15"/>
  <c r="F567" i="15"/>
  <c r="E567" i="15"/>
  <c r="I566" i="15"/>
  <c r="F566" i="15"/>
  <c r="E566" i="15"/>
  <c r="I565" i="15"/>
  <c r="F565" i="15"/>
  <c r="E565" i="15"/>
  <c r="I564" i="15"/>
  <c r="F564" i="15"/>
  <c r="E564" i="15"/>
  <c r="I563" i="15"/>
  <c r="F563" i="15"/>
  <c r="E563" i="15"/>
  <c r="I562" i="15"/>
  <c r="F562" i="15"/>
  <c r="E562" i="15"/>
  <c r="I561" i="15"/>
  <c r="F561" i="15"/>
  <c r="E561" i="15"/>
  <c r="I560" i="15"/>
  <c r="F560" i="15"/>
  <c r="E560" i="15"/>
  <c r="I559" i="15"/>
  <c r="F559" i="15"/>
  <c r="E559" i="15"/>
  <c r="I558" i="15"/>
  <c r="F558" i="15"/>
  <c r="E558" i="15"/>
  <c r="I557" i="15"/>
  <c r="F557" i="15"/>
  <c r="E557" i="15"/>
  <c r="I556" i="15"/>
  <c r="F556" i="15"/>
  <c r="E556" i="15"/>
  <c r="I555" i="15"/>
  <c r="F555" i="15"/>
  <c r="E555" i="15"/>
  <c r="I554" i="15"/>
  <c r="F554" i="15"/>
  <c r="E554" i="15"/>
  <c r="I553" i="15"/>
  <c r="F553" i="15"/>
  <c r="E553" i="15"/>
  <c r="I552" i="15"/>
  <c r="F552" i="15"/>
  <c r="E552" i="15"/>
  <c r="I551" i="15"/>
  <c r="F551" i="15"/>
  <c r="E551" i="15"/>
  <c r="I550" i="15"/>
  <c r="F550" i="15"/>
  <c r="E550" i="15"/>
  <c r="I549" i="15"/>
  <c r="F549" i="15"/>
  <c r="E549" i="15"/>
  <c r="I548" i="15"/>
  <c r="F548" i="15"/>
  <c r="E548" i="15"/>
  <c r="I547" i="15"/>
  <c r="F547" i="15"/>
  <c r="E547" i="15"/>
  <c r="I546" i="15"/>
  <c r="F546" i="15"/>
  <c r="E546" i="15"/>
  <c r="I545" i="15"/>
  <c r="F545" i="15"/>
  <c r="E545" i="15"/>
  <c r="I544" i="15"/>
  <c r="F544" i="15"/>
  <c r="E544" i="15"/>
  <c r="I543" i="15"/>
  <c r="F543" i="15"/>
  <c r="E543" i="15"/>
  <c r="I542" i="15"/>
  <c r="F542" i="15"/>
  <c r="E542" i="15"/>
  <c r="I541" i="15"/>
  <c r="F541" i="15"/>
  <c r="E541" i="15"/>
  <c r="I540" i="15"/>
  <c r="F540" i="15"/>
  <c r="E540" i="15"/>
  <c r="I539" i="15"/>
  <c r="F539" i="15"/>
  <c r="E539" i="15"/>
  <c r="I538" i="15"/>
  <c r="F538" i="15"/>
  <c r="E538" i="15"/>
  <c r="I537" i="15"/>
  <c r="F537" i="15"/>
  <c r="E537" i="15"/>
  <c r="I536" i="15"/>
  <c r="F536" i="15"/>
  <c r="E536" i="15"/>
  <c r="I535" i="15"/>
  <c r="F535" i="15"/>
  <c r="E535" i="15"/>
  <c r="I534" i="15"/>
  <c r="F534" i="15"/>
  <c r="E534" i="15"/>
  <c r="I533" i="15"/>
  <c r="F533" i="15"/>
  <c r="E533" i="15"/>
  <c r="I532" i="15"/>
  <c r="F532" i="15"/>
  <c r="E532" i="15"/>
  <c r="I531" i="15"/>
  <c r="F531" i="15"/>
  <c r="E531" i="15"/>
  <c r="I530" i="15"/>
  <c r="F530" i="15"/>
  <c r="E530" i="15"/>
  <c r="I529" i="15"/>
  <c r="F529" i="15"/>
  <c r="E529" i="15"/>
  <c r="I528" i="15"/>
  <c r="F528" i="15"/>
  <c r="E528" i="15"/>
  <c r="I527" i="15"/>
  <c r="F527" i="15"/>
  <c r="E527" i="15"/>
  <c r="I526" i="15"/>
  <c r="F526" i="15"/>
  <c r="E526" i="15"/>
  <c r="I525" i="15"/>
  <c r="F525" i="15"/>
  <c r="E525" i="15"/>
  <c r="I524" i="15"/>
  <c r="F524" i="15"/>
  <c r="E524" i="15"/>
  <c r="I523" i="15"/>
  <c r="F523" i="15"/>
  <c r="E523" i="15"/>
  <c r="I522" i="15"/>
  <c r="F522" i="15"/>
  <c r="E522" i="15"/>
  <c r="I521" i="15"/>
  <c r="F521" i="15"/>
  <c r="E521" i="15"/>
  <c r="I520" i="15"/>
  <c r="F520" i="15"/>
  <c r="E520" i="15"/>
  <c r="I519" i="15"/>
  <c r="F519" i="15"/>
  <c r="E519" i="15"/>
  <c r="I518" i="15"/>
  <c r="F518" i="15"/>
  <c r="E518" i="15"/>
  <c r="I517" i="15"/>
  <c r="F517" i="15"/>
  <c r="E517" i="15"/>
  <c r="I516" i="15"/>
  <c r="F516" i="15"/>
  <c r="E516" i="15"/>
  <c r="I515" i="15"/>
  <c r="F515" i="15"/>
  <c r="E515" i="15"/>
  <c r="I514" i="15"/>
  <c r="F514" i="15"/>
  <c r="E514" i="15"/>
  <c r="I513" i="15"/>
  <c r="F513" i="15"/>
  <c r="E513" i="15"/>
  <c r="I512" i="15"/>
  <c r="F512" i="15"/>
  <c r="E512" i="15"/>
  <c r="I511" i="15"/>
  <c r="F511" i="15"/>
  <c r="E511" i="15"/>
  <c r="I510" i="15"/>
  <c r="F510" i="15"/>
  <c r="E510" i="15"/>
  <c r="I509" i="15"/>
  <c r="F509" i="15"/>
  <c r="E509" i="15"/>
  <c r="I508" i="15"/>
  <c r="F508" i="15"/>
  <c r="E508" i="15"/>
  <c r="I507" i="15"/>
  <c r="F507" i="15"/>
  <c r="E507" i="15"/>
  <c r="I506" i="15"/>
  <c r="F506" i="15"/>
  <c r="E506" i="15"/>
  <c r="I505" i="15"/>
  <c r="F505" i="15"/>
  <c r="E505" i="15"/>
  <c r="I504" i="15"/>
  <c r="F504" i="15"/>
  <c r="E504" i="15"/>
  <c r="I503" i="15"/>
  <c r="F503" i="15"/>
  <c r="E503" i="15"/>
  <c r="I502" i="15"/>
  <c r="F502" i="15"/>
  <c r="E502" i="15"/>
  <c r="I501" i="15"/>
  <c r="F501" i="15"/>
  <c r="E501" i="15"/>
  <c r="I500" i="15"/>
  <c r="F500" i="15"/>
  <c r="E500" i="15"/>
  <c r="I499" i="15"/>
  <c r="F499" i="15"/>
  <c r="E499" i="15"/>
  <c r="I498" i="15"/>
  <c r="F498" i="15"/>
  <c r="E498" i="15"/>
  <c r="I497" i="15"/>
  <c r="F497" i="15"/>
  <c r="E497" i="15"/>
  <c r="I496" i="15"/>
  <c r="F496" i="15"/>
  <c r="E496" i="15"/>
  <c r="I495" i="15"/>
  <c r="F495" i="15"/>
  <c r="E495" i="15"/>
  <c r="I494" i="15"/>
  <c r="F494" i="15"/>
  <c r="E494" i="15"/>
  <c r="I493" i="15"/>
  <c r="F493" i="15"/>
  <c r="E493" i="15"/>
  <c r="I492" i="15"/>
  <c r="F492" i="15"/>
  <c r="E492" i="15"/>
  <c r="I491" i="15"/>
  <c r="F491" i="15"/>
  <c r="E491" i="15"/>
  <c r="I490" i="15"/>
  <c r="F490" i="15"/>
  <c r="E490" i="15"/>
  <c r="I489" i="15"/>
  <c r="F489" i="15"/>
  <c r="E489" i="15"/>
  <c r="I488" i="15"/>
  <c r="F488" i="15"/>
  <c r="E488" i="15"/>
  <c r="I487" i="15"/>
  <c r="F487" i="15"/>
  <c r="E487" i="15"/>
  <c r="I486" i="15"/>
  <c r="F486" i="15"/>
  <c r="E486" i="15"/>
  <c r="I485" i="15"/>
  <c r="F485" i="15"/>
  <c r="E485" i="15"/>
  <c r="I484" i="15"/>
  <c r="F484" i="15"/>
  <c r="E484" i="15"/>
  <c r="I483" i="15"/>
  <c r="F483" i="15"/>
  <c r="E483" i="15"/>
  <c r="I482" i="15"/>
  <c r="F482" i="15"/>
  <c r="E482" i="15"/>
  <c r="I481" i="15"/>
  <c r="F481" i="15"/>
  <c r="E481" i="15"/>
  <c r="I480" i="15"/>
  <c r="F480" i="15"/>
  <c r="E480" i="15"/>
  <c r="I479" i="15"/>
  <c r="F479" i="15"/>
  <c r="E479" i="15"/>
  <c r="I478" i="15"/>
  <c r="F478" i="15"/>
  <c r="E478" i="15"/>
  <c r="I477" i="15"/>
  <c r="F477" i="15"/>
  <c r="E477" i="15"/>
  <c r="I476" i="15"/>
  <c r="F476" i="15"/>
  <c r="E476" i="15"/>
  <c r="I475" i="15"/>
  <c r="F475" i="15"/>
  <c r="E475" i="15"/>
  <c r="I474" i="15"/>
  <c r="F474" i="15"/>
  <c r="E474" i="15"/>
  <c r="I473" i="15"/>
  <c r="F473" i="15"/>
  <c r="E473" i="15"/>
  <c r="I472" i="15"/>
  <c r="F472" i="15"/>
  <c r="E472" i="15"/>
  <c r="I471" i="15"/>
  <c r="F471" i="15"/>
  <c r="E471" i="15"/>
  <c r="I470" i="15"/>
  <c r="F470" i="15"/>
  <c r="E470" i="15"/>
  <c r="I469" i="15"/>
  <c r="F469" i="15"/>
  <c r="E469" i="15"/>
  <c r="I468" i="15"/>
  <c r="F468" i="15"/>
  <c r="E468" i="15"/>
  <c r="I467" i="15"/>
  <c r="F467" i="15"/>
  <c r="E467" i="15"/>
  <c r="I466" i="15"/>
  <c r="F466" i="15"/>
  <c r="E466" i="15"/>
  <c r="I465" i="15"/>
  <c r="F465" i="15"/>
  <c r="E465" i="15"/>
  <c r="I464" i="15"/>
  <c r="F464" i="15"/>
  <c r="E464" i="15"/>
  <c r="I463" i="15"/>
  <c r="F463" i="15"/>
  <c r="E463" i="15"/>
  <c r="I462" i="15"/>
  <c r="F462" i="15"/>
  <c r="E462" i="15"/>
  <c r="I461" i="15"/>
  <c r="F461" i="15"/>
  <c r="E461" i="15"/>
  <c r="I460" i="15"/>
  <c r="F460" i="15"/>
  <c r="E460" i="15"/>
  <c r="I459" i="15"/>
  <c r="F459" i="15"/>
  <c r="E459" i="15"/>
  <c r="I458" i="15"/>
  <c r="F458" i="15"/>
  <c r="E458" i="15"/>
  <c r="I457" i="15"/>
  <c r="F457" i="15"/>
  <c r="E457" i="15"/>
  <c r="I456" i="15"/>
  <c r="F456" i="15"/>
  <c r="E456" i="15"/>
  <c r="I455" i="15"/>
  <c r="F455" i="15"/>
  <c r="E455" i="15"/>
  <c r="I454" i="15"/>
  <c r="F454" i="15"/>
  <c r="E454" i="15"/>
  <c r="I453" i="15"/>
  <c r="F453" i="15"/>
  <c r="E453" i="15"/>
  <c r="I452" i="15"/>
  <c r="F452" i="15"/>
  <c r="E452" i="15"/>
  <c r="I451" i="15"/>
  <c r="F451" i="15"/>
  <c r="E451" i="15"/>
  <c r="I450" i="15"/>
  <c r="F450" i="15"/>
  <c r="E450" i="15"/>
  <c r="I449" i="15"/>
  <c r="F449" i="15"/>
  <c r="E449" i="15"/>
  <c r="I448" i="15"/>
  <c r="F448" i="15"/>
  <c r="E448" i="15"/>
  <c r="I447" i="15"/>
  <c r="F447" i="15"/>
  <c r="E447" i="15"/>
  <c r="I446" i="15"/>
  <c r="F446" i="15"/>
  <c r="E446" i="15"/>
  <c r="I445" i="15"/>
  <c r="F445" i="15"/>
  <c r="E445" i="15"/>
  <c r="I444" i="15"/>
  <c r="F444" i="15"/>
  <c r="E444" i="15"/>
  <c r="I443" i="15"/>
  <c r="F443" i="15"/>
  <c r="E443" i="15"/>
  <c r="I442" i="15"/>
  <c r="F442" i="15"/>
  <c r="E442" i="15"/>
  <c r="I441" i="15"/>
  <c r="F441" i="15"/>
  <c r="E441" i="15"/>
  <c r="I440" i="15"/>
  <c r="F440" i="15"/>
  <c r="E440" i="15"/>
  <c r="I439" i="15"/>
  <c r="F439" i="15"/>
  <c r="E439" i="15"/>
  <c r="I438" i="15"/>
  <c r="F438" i="15"/>
  <c r="E438" i="15"/>
  <c r="I437" i="15"/>
  <c r="F437" i="15"/>
  <c r="E437" i="15"/>
  <c r="I436" i="15"/>
  <c r="F436" i="15"/>
  <c r="E436" i="15"/>
  <c r="I435" i="15"/>
  <c r="F435" i="15"/>
  <c r="E435" i="15"/>
  <c r="I434" i="15"/>
  <c r="F434" i="15"/>
  <c r="E434" i="15"/>
  <c r="I433" i="15"/>
  <c r="F433" i="15"/>
  <c r="E433" i="15"/>
  <c r="I432" i="15"/>
  <c r="F432" i="15"/>
  <c r="E432" i="15"/>
  <c r="I431" i="15"/>
  <c r="F431" i="15"/>
  <c r="E431" i="15"/>
  <c r="I430" i="15"/>
  <c r="F430" i="15"/>
  <c r="E430" i="15"/>
  <c r="I429" i="15"/>
  <c r="F429" i="15"/>
  <c r="E429" i="15"/>
  <c r="I428" i="15"/>
  <c r="F428" i="15"/>
  <c r="E428" i="15"/>
  <c r="I427" i="15"/>
  <c r="F427" i="15"/>
  <c r="E427" i="15"/>
  <c r="I426" i="15"/>
  <c r="F426" i="15"/>
  <c r="E426" i="15"/>
  <c r="I425" i="15"/>
  <c r="F425" i="15"/>
  <c r="E425" i="15"/>
  <c r="I424" i="15"/>
  <c r="F424" i="15"/>
  <c r="E424" i="15"/>
  <c r="I423" i="15"/>
  <c r="F423" i="15"/>
  <c r="E423" i="15"/>
  <c r="I422" i="15"/>
  <c r="F422" i="15"/>
  <c r="E422" i="15"/>
  <c r="I421" i="15"/>
  <c r="F421" i="15"/>
  <c r="E421" i="15"/>
  <c r="I420" i="15"/>
  <c r="F420" i="15"/>
  <c r="E420" i="15"/>
  <c r="I419" i="15"/>
  <c r="F419" i="15"/>
  <c r="E419" i="15"/>
  <c r="I418" i="15"/>
  <c r="F418" i="15"/>
  <c r="E418" i="15"/>
  <c r="I417" i="15"/>
  <c r="F417" i="15"/>
  <c r="E417" i="15"/>
  <c r="I416" i="15"/>
  <c r="F416" i="15"/>
  <c r="E416" i="15"/>
  <c r="I415" i="15"/>
  <c r="F415" i="15"/>
  <c r="E415" i="15"/>
  <c r="I414" i="15"/>
  <c r="F414" i="15"/>
  <c r="E414" i="15"/>
  <c r="I413" i="15"/>
  <c r="F413" i="15"/>
  <c r="E413" i="15"/>
  <c r="I412" i="15"/>
  <c r="F412" i="15"/>
  <c r="E412" i="15"/>
  <c r="I411" i="15"/>
  <c r="F411" i="15"/>
  <c r="E411" i="15"/>
  <c r="I410" i="15"/>
  <c r="F410" i="15"/>
  <c r="E410" i="15"/>
  <c r="I409" i="15"/>
  <c r="F409" i="15"/>
  <c r="E409" i="15"/>
  <c r="I408" i="15"/>
  <c r="F408" i="15"/>
  <c r="E408" i="15"/>
  <c r="I407" i="15"/>
  <c r="F407" i="15"/>
  <c r="E407" i="15"/>
  <c r="I406" i="15"/>
  <c r="F406" i="15"/>
  <c r="E406" i="15"/>
  <c r="I405" i="15"/>
  <c r="F405" i="15"/>
  <c r="E405" i="15"/>
  <c r="I404" i="15"/>
  <c r="F404" i="15"/>
  <c r="E404" i="15"/>
  <c r="I403" i="15"/>
  <c r="F403" i="15"/>
  <c r="E403" i="15"/>
  <c r="I402" i="15"/>
  <c r="F402" i="15"/>
  <c r="E402" i="15"/>
  <c r="I401" i="15"/>
  <c r="F401" i="15"/>
  <c r="E401" i="15"/>
  <c r="I400" i="15"/>
  <c r="F400" i="15"/>
  <c r="E400" i="15"/>
  <c r="I399" i="15"/>
  <c r="F399" i="15"/>
  <c r="E399" i="15"/>
  <c r="I398" i="15"/>
  <c r="F398" i="15"/>
  <c r="E398" i="15"/>
  <c r="I397" i="15"/>
  <c r="F397" i="15"/>
  <c r="E397" i="15"/>
  <c r="I396" i="15"/>
  <c r="F396" i="15"/>
  <c r="E396" i="15"/>
  <c r="I395" i="15"/>
  <c r="F395" i="15"/>
  <c r="E395" i="15"/>
  <c r="I394" i="15"/>
  <c r="F394" i="15"/>
  <c r="E394" i="15"/>
  <c r="I393" i="15"/>
  <c r="F393" i="15"/>
  <c r="E393" i="15"/>
  <c r="I392" i="15"/>
  <c r="F392" i="15"/>
  <c r="E392" i="15"/>
  <c r="I391" i="15"/>
  <c r="F391" i="15"/>
  <c r="E391" i="15"/>
  <c r="I390" i="15"/>
  <c r="F390" i="15"/>
  <c r="E390" i="15"/>
  <c r="I389" i="15"/>
  <c r="F389" i="15"/>
  <c r="E389" i="15"/>
  <c r="I388" i="15"/>
  <c r="F388" i="15"/>
  <c r="E388" i="15"/>
  <c r="I387" i="15"/>
  <c r="F387" i="15"/>
  <c r="E387" i="15"/>
  <c r="I386" i="15"/>
  <c r="F386" i="15"/>
  <c r="E386" i="15"/>
  <c r="I385" i="15"/>
  <c r="F385" i="15"/>
  <c r="E385" i="15"/>
  <c r="I384" i="15"/>
  <c r="F384" i="15"/>
  <c r="E384" i="15"/>
  <c r="I383" i="15"/>
  <c r="F383" i="15"/>
  <c r="E383" i="15"/>
  <c r="I382" i="15"/>
  <c r="F382" i="15"/>
  <c r="E382" i="15"/>
  <c r="I381" i="15"/>
  <c r="F381" i="15"/>
  <c r="E381" i="15"/>
  <c r="I380" i="15"/>
  <c r="F380" i="15"/>
  <c r="E380" i="15"/>
  <c r="I379" i="15"/>
  <c r="F379" i="15"/>
  <c r="E379" i="15"/>
  <c r="I378" i="15"/>
  <c r="F378" i="15"/>
  <c r="E378" i="15"/>
  <c r="I377" i="15"/>
  <c r="F377" i="15"/>
  <c r="E377" i="15"/>
  <c r="I376" i="15"/>
  <c r="F376" i="15"/>
  <c r="E376" i="15"/>
  <c r="I375" i="15"/>
  <c r="F375" i="15"/>
  <c r="E375" i="15"/>
  <c r="I374" i="15"/>
  <c r="F374" i="15"/>
  <c r="E374" i="15"/>
  <c r="I373" i="15"/>
  <c r="F373" i="15"/>
  <c r="E373" i="15"/>
  <c r="I372" i="15"/>
  <c r="F372" i="15"/>
  <c r="E372" i="15"/>
  <c r="I371" i="15"/>
  <c r="F371" i="15"/>
  <c r="E371" i="15"/>
  <c r="I370" i="15"/>
  <c r="F370" i="15"/>
  <c r="E370" i="15"/>
  <c r="I369" i="15"/>
  <c r="F369" i="15"/>
  <c r="E369" i="15"/>
  <c r="I368" i="15"/>
  <c r="F368" i="15"/>
  <c r="E368" i="15"/>
  <c r="I367" i="15"/>
  <c r="F367" i="15"/>
  <c r="E367" i="15"/>
  <c r="I366" i="15"/>
  <c r="F366" i="15"/>
  <c r="E366" i="15"/>
  <c r="I365" i="15"/>
  <c r="F365" i="15"/>
  <c r="E365" i="15"/>
  <c r="I364" i="15"/>
  <c r="F364" i="15"/>
  <c r="E364" i="15"/>
  <c r="I363" i="15"/>
  <c r="F363" i="15"/>
  <c r="E363" i="15"/>
  <c r="I362" i="15"/>
  <c r="F362" i="15"/>
  <c r="E362" i="15"/>
  <c r="I361" i="15"/>
  <c r="F361" i="15"/>
  <c r="E361" i="15"/>
  <c r="I360" i="15"/>
  <c r="F360" i="15"/>
  <c r="E360" i="15"/>
  <c r="I359" i="15"/>
  <c r="F359" i="15"/>
  <c r="E359" i="15"/>
  <c r="I358" i="15"/>
  <c r="F358" i="15"/>
  <c r="E358" i="15"/>
  <c r="I357" i="15"/>
  <c r="F357" i="15"/>
  <c r="E357" i="15"/>
  <c r="I356" i="15"/>
  <c r="F356" i="15"/>
  <c r="E356" i="15"/>
  <c r="I355" i="15"/>
  <c r="F355" i="15"/>
  <c r="E355" i="15"/>
  <c r="I354" i="15"/>
  <c r="F354" i="15"/>
  <c r="E354" i="15"/>
  <c r="I353" i="15"/>
  <c r="F353" i="15"/>
  <c r="E353" i="15"/>
  <c r="I352" i="15"/>
  <c r="F352" i="15"/>
  <c r="E352" i="15"/>
  <c r="I351" i="15"/>
  <c r="F351" i="15"/>
  <c r="E351" i="15"/>
  <c r="I350" i="15"/>
  <c r="F350" i="15"/>
  <c r="E350" i="15"/>
  <c r="I349" i="15"/>
  <c r="F349" i="15"/>
  <c r="E349" i="15"/>
  <c r="I348" i="15"/>
  <c r="F348" i="15"/>
  <c r="E348" i="15"/>
  <c r="I347" i="15"/>
  <c r="F347" i="15"/>
  <c r="E347" i="15"/>
  <c r="I346" i="15"/>
  <c r="F346" i="15"/>
  <c r="E346" i="15"/>
  <c r="I345" i="15"/>
  <c r="F345" i="15"/>
  <c r="E345" i="15"/>
  <c r="I344" i="15"/>
  <c r="F344" i="15"/>
  <c r="E344" i="15"/>
  <c r="I343" i="15"/>
  <c r="F343" i="15"/>
  <c r="E343" i="15"/>
  <c r="I342" i="15"/>
  <c r="F342" i="15"/>
  <c r="E342" i="15"/>
  <c r="I341" i="15"/>
  <c r="F341" i="15"/>
  <c r="E341" i="15"/>
  <c r="I340" i="15"/>
  <c r="F340" i="15"/>
  <c r="E340" i="15"/>
  <c r="I339" i="15"/>
  <c r="F339" i="15"/>
  <c r="E339" i="15"/>
  <c r="I338" i="15"/>
  <c r="F338" i="15"/>
  <c r="E338" i="15"/>
  <c r="I337" i="15"/>
  <c r="F337" i="15"/>
  <c r="E337" i="15"/>
  <c r="I336" i="15"/>
  <c r="F336" i="15"/>
  <c r="E336" i="15"/>
  <c r="I335" i="15"/>
  <c r="F335" i="15"/>
  <c r="E335" i="15"/>
  <c r="I334" i="15"/>
  <c r="F334" i="15"/>
  <c r="E334" i="15"/>
  <c r="I333" i="15"/>
  <c r="F333" i="15"/>
  <c r="E333" i="15"/>
  <c r="I332" i="15"/>
  <c r="F332" i="15"/>
  <c r="E332" i="15"/>
  <c r="I331" i="15"/>
  <c r="F331" i="15"/>
  <c r="E331" i="15"/>
  <c r="I330" i="15"/>
  <c r="F330" i="15"/>
  <c r="E330" i="15"/>
  <c r="I329" i="15"/>
  <c r="F329" i="15"/>
  <c r="E329" i="15"/>
  <c r="I328" i="15"/>
  <c r="F328" i="15"/>
  <c r="E328" i="15"/>
  <c r="I327" i="15"/>
  <c r="F327" i="15"/>
  <c r="E327" i="15"/>
  <c r="I326" i="15"/>
  <c r="F326" i="15"/>
  <c r="E326" i="15"/>
  <c r="I325" i="15"/>
  <c r="F325" i="15"/>
  <c r="E325" i="15"/>
  <c r="I324" i="15"/>
  <c r="F324" i="15"/>
  <c r="E324" i="15"/>
  <c r="I323" i="15"/>
  <c r="F323" i="15"/>
  <c r="E323" i="15"/>
  <c r="I322" i="15"/>
  <c r="F322" i="15"/>
  <c r="E322" i="15"/>
  <c r="I321" i="15"/>
  <c r="F321" i="15"/>
  <c r="E321" i="15"/>
  <c r="I320" i="15"/>
  <c r="F320" i="15"/>
  <c r="E320" i="15"/>
  <c r="I319" i="15"/>
  <c r="F319" i="15"/>
  <c r="E319" i="15"/>
  <c r="I318" i="15"/>
  <c r="F318" i="15"/>
  <c r="E318" i="15"/>
  <c r="I317" i="15"/>
  <c r="F317" i="15"/>
  <c r="E317" i="15"/>
  <c r="I316" i="15"/>
  <c r="F316" i="15"/>
  <c r="E316" i="15"/>
  <c r="I315" i="15"/>
  <c r="F315" i="15"/>
  <c r="E315" i="15"/>
  <c r="I314" i="15"/>
  <c r="F314" i="15"/>
  <c r="E314" i="15"/>
  <c r="I313" i="15"/>
  <c r="F313" i="15"/>
  <c r="E313" i="15"/>
  <c r="I312" i="15"/>
  <c r="F312" i="15"/>
  <c r="E312" i="15"/>
  <c r="I311" i="15"/>
  <c r="F311" i="15"/>
  <c r="E311" i="15"/>
  <c r="I310" i="15"/>
  <c r="F310" i="15"/>
  <c r="E310" i="15"/>
  <c r="I309" i="15"/>
  <c r="F309" i="15"/>
  <c r="E309" i="15"/>
  <c r="I308" i="15"/>
  <c r="F308" i="15"/>
  <c r="E308" i="15"/>
  <c r="I307" i="15"/>
  <c r="F307" i="15"/>
  <c r="E307" i="15"/>
  <c r="I306" i="15"/>
  <c r="F306" i="15"/>
  <c r="E306" i="15"/>
  <c r="I305" i="15"/>
  <c r="F305" i="15"/>
  <c r="E305" i="15"/>
  <c r="I304" i="15"/>
  <c r="F304" i="15"/>
  <c r="E304" i="15"/>
  <c r="I303" i="15"/>
  <c r="F303" i="15"/>
  <c r="E303" i="15"/>
  <c r="I302" i="15"/>
  <c r="F302" i="15"/>
  <c r="E302" i="15"/>
  <c r="I301" i="15"/>
  <c r="F301" i="15"/>
  <c r="E301" i="15"/>
  <c r="I300" i="15"/>
  <c r="F300" i="15"/>
  <c r="E300" i="15"/>
  <c r="I299" i="15"/>
  <c r="F299" i="15"/>
  <c r="E299" i="15"/>
  <c r="I298" i="15"/>
  <c r="F298" i="15"/>
  <c r="E298" i="15"/>
  <c r="I297" i="15"/>
  <c r="F297" i="15"/>
  <c r="E297" i="15"/>
  <c r="I296" i="15"/>
  <c r="F296" i="15"/>
  <c r="E296" i="15"/>
  <c r="I295" i="15"/>
  <c r="F295" i="15"/>
  <c r="E295" i="15"/>
  <c r="I294" i="15"/>
  <c r="F294" i="15"/>
  <c r="E294" i="15"/>
  <c r="I293" i="15"/>
  <c r="F293" i="15"/>
  <c r="E293" i="15"/>
  <c r="I292" i="15"/>
  <c r="F292" i="15"/>
  <c r="E292" i="15"/>
  <c r="I291" i="15"/>
  <c r="F291" i="15"/>
  <c r="E291" i="15"/>
  <c r="I290" i="15"/>
  <c r="F290" i="15"/>
  <c r="E290" i="15"/>
  <c r="I289" i="15"/>
  <c r="F289" i="15"/>
  <c r="E289" i="15"/>
  <c r="I288" i="15"/>
  <c r="F288" i="15"/>
  <c r="E288" i="15"/>
  <c r="I287" i="15"/>
  <c r="F287" i="15"/>
  <c r="E287" i="15"/>
  <c r="I286" i="15"/>
  <c r="F286" i="15"/>
  <c r="E286" i="15"/>
  <c r="I285" i="15"/>
  <c r="F285" i="15"/>
  <c r="E285" i="15"/>
  <c r="I284" i="15"/>
  <c r="F284" i="15"/>
  <c r="E284" i="15"/>
  <c r="I283" i="15"/>
  <c r="F283" i="15"/>
  <c r="E283" i="15"/>
  <c r="I282" i="15"/>
  <c r="F282" i="15"/>
  <c r="E282" i="15"/>
  <c r="I281" i="15"/>
  <c r="F281" i="15"/>
  <c r="E281" i="15"/>
  <c r="I280" i="15"/>
  <c r="F280" i="15"/>
  <c r="E280" i="15"/>
  <c r="I279" i="15"/>
  <c r="F279" i="15"/>
  <c r="E279" i="15"/>
  <c r="I278" i="15"/>
  <c r="F278" i="15"/>
  <c r="E278" i="15"/>
  <c r="I277" i="15"/>
  <c r="F277" i="15"/>
  <c r="E277" i="15"/>
  <c r="I276" i="15"/>
  <c r="F276" i="15"/>
  <c r="E276" i="15"/>
  <c r="I275" i="15"/>
  <c r="F275" i="15"/>
  <c r="E275" i="15"/>
  <c r="I274" i="15"/>
  <c r="F274" i="15"/>
  <c r="E274" i="15"/>
  <c r="I273" i="15"/>
  <c r="F273" i="15"/>
  <c r="E273" i="15"/>
  <c r="I272" i="15"/>
  <c r="F272" i="15"/>
  <c r="E272" i="15"/>
  <c r="I271" i="15"/>
  <c r="F271" i="15"/>
  <c r="E271" i="15"/>
  <c r="I270" i="15"/>
  <c r="F270" i="15"/>
  <c r="E270" i="15"/>
  <c r="I269" i="15"/>
  <c r="F269" i="15"/>
  <c r="E269" i="15"/>
  <c r="I268" i="15"/>
  <c r="F268" i="15"/>
  <c r="E268" i="15"/>
  <c r="I267" i="15"/>
  <c r="F267" i="15"/>
  <c r="E267" i="15"/>
  <c r="I266" i="15"/>
  <c r="F266" i="15"/>
  <c r="E266" i="15"/>
  <c r="I265" i="15"/>
  <c r="F265" i="15"/>
  <c r="E265" i="15"/>
  <c r="I264" i="15"/>
  <c r="F264" i="15"/>
  <c r="E264" i="15"/>
  <c r="I263" i="15"/>
  <c r="F263" i="15"/>
  <c r="E263" i="15"/>
  <c r="I262" i="15"/>
  <c r="F262" i="15"/>
  <c r="E262" i="15"/>
  <c r="I261" i="15"/>
  <c r="F261" i="15"/>
  <c r="E261" i="15"/>
  <c r="I260" i="15"/>
  <c r="F260" i="15"/>
  <c r="E260" i="15"/>
  <c r="I259" i="15"/>
  <c r="F259" i="15"/>
  <c r="E259" i="15"/>
  <c r="I258" i="15"/>
  <c r="F258" i="15"/>
  <c r="E258" i="15"/>
  <c r="I257" i="15"/>
  <c r="F257" i="15"/>
  <c r="E257" i="15"/>
  <c r="I256" i="15"/>
  <c r="F256" i="15"/>
  <c r="E256" i="15"/>
  <c r="I255" i="15"/>
  <c r="F255" i="15"/>
  <c r="E255" i="15"/>
  <c r="I254" i="15"/>
  <c r="F254" i="15"/>
  <c r="E254" i="15"/>
  <c r="I253" i="15"/>
  <c r="F253" i="15"/>
  <c r="E253" i="15"/>
  <c r="I252" i="15"/>
  <c r="F252" i="15"/>
  <c r="E252" i="15"/>
  <c r="I251" i="15"/>
  <c r="F251" i="15"/>
  <c r="E251" i="15"/>
  <c r="I250" i="15"/>
  <c r="F250" i="15"/>
  <c r="E250" i="15"/>
  <c r="I249" i="15"/>
  <c r="F249" i="15"/>
  <c r="E249" i="15"/>
  <c r="I248" i="15"/>
  <c r="F248" i="15"/>
  <c r="E248" i="15"/>
  <c r="I247" i="15"/>
  <c r="F247" i="15"/>
  <c r="E247" i="15"/>
  <c r="I246" i="15"/>
  <c r="F246" i="15"/>
  <c r="E246" i="15"/>
  <c r="I245" i="15"/>
  <c r="F245" i="15"/>
  <c r="E245" i="15"/>
  <c r="I244" i="15"/>
  <c r="F244" i="15"/>
  <c r="E244" i="15"/>
  <c r="I243" i="15"/>
  <c r="F243" i="15"/>
  <c r="E243" i="15"/>
  <c r="I242" i="15"/>
  <c r="F242" i="15"/>
  <c r="E242" i="15"/>
  <c r="I241" i="15"/>
  <c r="F241" i="15"/>
  <c r="E241" i="15"/>
  <c r="I240" i="15"/>
  <c r="F240" i="15"/>
  <c r="E240" i="15"/>
  <c r="I239" i="15"/>
  <c r="F239" i="15"/>
  <c r="E239" i="15"/>
  <c r="I238" i="15"/>
  <c r="F238" i="15"/>
  <c r="E238" i="15"/>
  <c r="I237" i="15"/>
  <c r="F237" i="15"/>
  <c r="E237" i="15"/>
  <c r="I236" i="15"/>
  <c r="F236" i="15"/>
  <c r="E236" i="15"/>
  <c r="I235" i="15"/>
  <c r="F235" i="15"/>
  <c r="E235" i="15"/>
  <c r="I234" i="15"/>
  <c r="F234" i="15"/>
  <c r="E234" i="15"/>
  <c r="I233" i="15"/>
  <c r="F233" i="15"/>
  <c r="E233" i="15"/>
  <c r="I232" i="15"/>
  <c r="F232" i="15"/>
  <c r="E232" i="15"/>
  <c r="I231" i="15"/>
  <c r="F231" i="15"/>
  <c r="E231" i="15"/>
  <c r="I230" i="15"/>
  <c r="F230" i="15"/>
  <c r="E230" i="15"/>
  <c r="I229" i="15"/>
  <c r="F229" i="15"/>
  <c r="E229" i="15"/>
  <c r="I228" i="15"/>
  <c r="F228" i="15"/>
  <c r="E228" i="15"/>
  <c r="I227" i="15"/>
  <c r="F227" i="15"/>
  <c r="E227" i="15"/>
  <c r="I226" i="15"/>
  <c r="F226" i="15"/>
  <c r="E226" i="15"/>
  <c r="I225" i="15"/>
  <c r="F225" i="15"/>
  <c r="E225" i="15"/>
  <c r="I224" i="15"/>
  <c r="F224" i="15"/>
  <c r="E224" i="15"/>
  <c r="I223" i="15"/>
  <c r="F223" i="15"/>
  <c r="E223" i="15"/>
  <c r="I222" i="15"/>
  <c r="F222" i="15"/>
  <c r="E222" i="15"/>
  <c r="I221" i="15"/>
  <c r="F221" i="15"/>
  <c r="E221" i="15"/>
  <c r="I220" i="15"/>
  <c r="F220" i="15"/>
  <c r="E220" i="15"/>
  <c r="I219" i="15"/>
  <c r="F219" i="15"/>
  <c r="E219" i="15"/>
  <c r="I218" i="15"/>
  <c r="F218" i="15"/>
  <c r="E218" i="15"/>
  <c r="I217" i="15"/>
  <c r="F217" i="15"/>
  <c r="E217" i="15"/>
  <c r="I216" i="15"/>
  <c r="F216" i="15"/>
  <c r="E216" i="15"/>
  <c r="I215" i="15"/>
  <c r="F215" i="15"/>
  <c r="E215" i="15"/>
  <c r="I214" i="15"/>
  <c r="F214" i="15"/>
  <c r="E214" i="15"/>
  <c r="I213" i="15"/>
  <c r="F213" i="15"/>
  <c r="E213" i="15"/>
  <c r="I212" i="15"/>
  <c r="F212" i="15"/>
  <c r="E212" i="15"/>
  <c r="I211" i="15"/>
  <c r="F211" i="15"/>
  <c r="E211" i="15"/>
  <c r="I210" i="15"/>
  <c r="F210" i="15"/>
  <c r="E210" i="15"/>
  <c r="I209" i="15"/>
  <c r="F209" i="15"/>
  <c r="E209" i="15"/>
  <c r="I208" i="15"/>
  <c r="F208" i="15"/>
  <c r="E208" i="15"/>
  <c r="I207" i="15"/>
  <c r="F207" i="15"/>
  <c r="E207" i="15"/>
  <c r="I206" i="15"/>
  <c r="F206" i="15"/>
  <c r="E206" i="15"/>
  <c r="I205" i="15"/>
  <c r="F205" i="15"/>
  <c r="E205" i="15"/>
  <c r="I204" i="15"/>
  <c r="F204" i="15"/>
  <c r="E204" i="15"/>
  <c r="I203" i="15"/>
  <c r="F203" i="15"/>
  <c r="E203" i="15"/>
  <c r="I202" i="15"/>
  <c r="F202" i="15"/>
  <c r="E202" i="15"/>
  <c r="I201" i="15"/>
  <c r="F201" i="15"/>
  <c r="E201" i="15"/>
  <c r="I200" i="15"/>
  <c r="F200" i="15"/>
  <c r="E200" i="15"/>
  <c r="I199" i="15"/>
  <c r="F199" i="15"/>
  <c r="E199" i="15"/>
  <c r="I198" i="15"/>
  <c r="F198" i="15"/>
  <c r="E198" i="15"/>
  <c r="I197" i="15"/>
  <c r="F197" i="15"/>
  <c r="E197" i="15"/>
  <c r="I196" i="15"/>
  <c r="F196" i="15"/>
  <c r="E196" i="15"/>
  <c r="I195" i="15"/>
  <c r="F195" i="15"/>
  <c r="E195" i="15"/>
  <c r="I194" i="15"/>
  <c r="F194" i="15"/>
  <c r="E194" i="15"/>
  <c r="I193" i="15"/>
  <c r="F193" i="15"/>
  <c r="E193" i="15"/>
  <c r="I192" i="15"/>
  <c r="F192" i="15"/>
  <c r="E192" i="15"/>
  <c r="I191" i="15"/>
  <c r="F191" i="15"/>
  <c r="E191" i="15"/>
  <c r="I190" i="15"/>
  <c r="F190" i="15"/>
  <c r="E190" i="15"/>
  <c r="I189" i="15"/>
  <c r="F189" i="15"/>
  <c r="E189" i="15"/>
  <c r="I188" i="15"/>
  <c r="F188" i="15"/>
  <c r="E188" i="15"/>
  <c r="I187" i="15"/>
  <c r="F187" i="15"/>
  <c r="E187" i="15"/>
  <c r="I186" i="15"/>
  <c r="F186" i="15"/>
  <c r="E186" i="15"/>
  <c r="I185" i="15"/>
  <c r="F185" i="15"/>
  <c r="E185" i="15"/>
  <c r="I184" i="15"/>
  <c r="F184" i="15"/>
  <c r="E184" i="15"/>
  <c r="I183" i="15"/>
  <c r="F183" i="15"/>
  <c r="E183" i="15"/>
  <c r="I182" i="15"/>
  <c r="F182" i="15"/>
  <c r="E182" i="15"/>
  <c r="I181" i="15"/>
  <c r="F181" i="15"/>
  <c r="E181" i="15"/>
  <c r="I180" i="15"/>
  <c r="F180" i="15"/>
  <c r="E180" i="15"/>
  <c r="I179" i="15"/>
  <c r="F179" i="15"/>
  <c r="E179" i="15"/>
  <c r="I178" i="15"/>
  <c r="F178" i="15"/>
  <c r="E178" i="15"/>
  <c r="I177" i="15"/>
  <c r="F177" i="15"/>
  <c r="E177" i="15"/>
  <c r="I176" i="15"/>
  <c r="F176" i="15"/>
  <c r="E176" i="15"/>
  <c r="I175" i="15"/>
  <c r="F175" i="15"/>
  <c r="E175" i="15"/>
  <c r="I174" i="15"/>
  <c r="F174" i="15"/>
  <c r="E174" i="15"/>
  <c r="I173" i="15"/>
  <c r="F173" i="15"/>
  <c r="E173" i="15"/>
  <c r="I172" i="15"/>
  <c r="F172" i="15"/>
  <c r="E172" i="15"/>
  <c r="I171" i="15"/>
  <c r="F171" i="15"/>
  <c r="E171" i="15"/>
  <c r="I170" i="15"/>
  <c r="F170" i="15"/>
  <c r="E170" i="15"/>
  <c r="I169" i="15"/>
  <c r="F169" i="15"/>
  <c r="E169" i="15"/>
  <c r="I168" i="15"/>
  <c r="F168" i="15"/>
  <c r="E168" i="15"/>
  <c r="I167" i="15"/>
  <c r="F167" i="15"/>
  <c r="E167" i="15"/>
  <c r="I166" i="15"/>
  <c r="F166" i="15"/>
  <c r="E166" i="15"/>
  <c r="I165" i="15"/>
  <c r="F165" i="15"/>
  <c r="E165" i="15"/>
  <c r="I164" i="15"/>
  <c r="F164" i="15"/>
  <c r="E164" i="15"/>
  <c r="I163" i="15"/>
  <c r="F163" i="15"/>
  <c r="E163" i="15"/>
  <c r="I162" i="15"/>
  <c r="F162" i="15"/>
  <c r="E162" i="15"/>
  <c r="I161" i="15"/>
  <c r="F161" i="15"/>
  <c r="E161" i="15"/>
  <c r="I160" i="15"/>
  <c r="F160" i="15"/>
  <c r="E160" i="15"/>
  <c r="I159" i="15"/>
  <c r="F159" i="15"/>
  <c r="E159" i="15"/>
  <c r="I158" i="15"/>
  <c r="F158" i="15"/>
  <c r="E158" i="15"/>
  <c r="I157" i="15"/>
  <c r="F157" i="15"/>
  <c r="E157" i="15"/>
  <c r="I156" i="15"/>
  <c r="F156" i="15"/>
  <c r="E156" i="15"/>
  <c r="I155" i="15"/>
  <c r="F155" i="15"/>
  <c r="E155" i="15"/>
  <c r="I154" i="15"/>
  <c r="F154" i="15"/>
  <c r="E154" i="15"/>
  <c r="I153" i="15"/>
  <c r="F153" i="15"/>
  <c r="E153" i="15"/>
  <c r="I152" i="15"/>
  <c r="F152" i="15"/>
  <c r="E152" i="15"/>
  <c r="I151" i="15"/>
  <c r="F151" i="15"/>
  <c r="E151" i="15"/>
  <c r="I150" i="15"/>
  <c r="F150" i="15"/>
  <c r="E150" i="15"/>
  <c r="I149" i="15"/>
  <c r="F149" i="15"/>
  <c r="E149" i="15"/>
  <c r="I148" i="15"/>
  <c r="F148" i="15"/>
  <c r="E148" i="15"/>
  <c r="I147" i="15"/>
  <c r="F147" i="15"/>
  <c r="E147" i="15"/>
  <c r="I146" i="15"/>
  <c r="F146" i="15"/>
  <c r="E146" i="15"/>
  <c r="I145" i="15"/>
  <c r="F145" i="15"/>
  <c r="E145" i="15"/>
  <c r="I144" i="15"/>
  <c r="F144" i="15"/>
  <c r="E144" i="15"/>
  <c r="I143" i="15"/>
  <c r="F143" i="15"/>
  <c r="E143" i="15"/>
  <c r="I142" i="15"/>
  <c r="F142" i="15"/>
  <c r="E142" i="15"/>
  <c r="I141" i="15"/>
  <c r="F141" i="15"/>
  <c r="E141" i="15"/>
  <c r="I140" i="15"/>
  <c r="F140" i="15"/>
  <c r="E140" i="15"/>
  <c r="I139" i="15"/>
  <c r="F139" i="15"/>
  <c r="E139" i="15"/>
  <c r="I138" i="15"/>
  <c r="F138" i="15"/>
  <c r="E138" i="15"/>
  <c r="I137" i="15"/>
  <c r="F137" i="15"/>
  <c r="E137" i="15"/>
  <c r="I136" i="15"/>
  <c r="F136" i="15"/>
  <c r="E136" i="15"/>
  <c r="I135" i="15"/>
  <c r="F135" i="15"/>
  <c r="E135" i="15"/>
  <c r="I134" i="15"/>
  <c r="F134" i="15"/>
  <c r="E134" i="15"/>
  <c r="I133" i="15"/>
  <c r="F133" i="15"/>
  <c r="E133" i="15"/>
  <c r="I132" i="15"/>
  <c r="F132" i="15"/>
  <c r="E132" i="15"/>
  <c r="I131" i="15"/>
  <c r="F131" i="15"/>
  <c r="E131" i="15"/>
  <c r="I130" i="15"/>
  <c r="F130" i="15"/>
  <c r="E130" i="15"/>
  <c r="I129" i="15"/>
  <c r="F129" i="15"/>
  <c r="E129" i="15"/>
  <c r="I128" i="15"/>
  <c r="F128" i="15"/>
  <c r="E128" i="15"/>
  <c r="I127" i="15"/>
  <c r="F127" i="15"/>
  <c r="E127" i="15"/>
  <c r="I126" i="15"/>
  <c r="F126" i="15"/>
  <c r="E126" i="15"/>
  <c r="I125" i="15"/>
  <c r="F125" i="15"/>
  <c r="E125" i="15"/>
  <c r="I124" i="15"/>
  <c r="F124" i="15"/>
  <c r="E124" i="15"/>
  <c r="I123" i="15"/>
  <c r="F123" i="15"/>
  <c r="E123" i="15"/>
  <c r="I122" i="15"/>
  <c r="F122" i="15"/>
  <c r="E122" i="15"/>
  <c r="I121" i="15"/>
  <c r="F121" i="15"/>
  <c r="E121" i="15"/>
  <c r="I120" i="15"/>
  <c r="F120" i="15"/>
  <c r="E120" i="15"/>
  <c r="I119" i="15"/>
  <c r="F119" i="15"/>
  <c r="E119" i="15"/>
  <c r="I118" i="15"/>
  <c r="F118" i="15"/>
  <c r="E118" i="15"/>
  <c r="I117" i="15"/>
  <c r="F117" i="15"/>
  <c r="E117" i="15"/>
  <c r="I116" i="15"/>
  <c r="F116" i="15"/>
  <c r="E116" i="15"/>
  <c r="I115" i="15"/>
  <c r="F115" i="15"/>
  <c r="E115" i="15"/>
  <c r="I114" i="15"/>
  <c r="F114" i="15"/>
  <c r="E114" i="15"/>
  <c r="I113" i="15"/>
  <c r="F113" i="15"/>
  <c r="E113" i="15"/>
  <c r="I112" i="15"/>
  <c r="F112" i="15"/>
  <c r="E112" i="15"/>
  <c r="I111" i="15"/>
  <c r="F111" i="15"/>
  <c r="E111" i="15"/>
  <c r="I110" i="15"/>
  <c r="F110" i="15"/>
  <c r="E110" i="15"/>
  <c r="I109" i="15"/>
  <c r="F109" i="15"/>
  <c r="E109" i="15"/>
  <c r="I108" i="15"/>
  <c r="F108" i="15"/>
  <c r="E108" i="15"/>
  <c r="I107" i="15"/>
  <c r="F107" i="15"/>
  <c r="E107" i="15"/>
  <c r="I106" i="15"/>
  <c r="F106" i="15"/>
  <c r="E106" i="15"/>
  <c r="I105" i="15"/>
  <c r="F105" i="15"/>
  <c r="E105" i="15"/>
  <c r="I104" i="15"/>
  <c r="F104" i="15"/>
  <c r="E104" i="15"/>
  <c r="I103" i="15"/>
  <c r="F103" i="15"/>
  <c r="E103" i="15"/>
  <c r="I102" i="15"/>
  <c r="F102" i="15"/>
  <c r="E102" i="15"/>
  <c r="I101" i="15"/>
  <c r="F101" i="15"/>
  <c r="E101" i="15"/>
  <c r="I100" i="15"/>
  <c r="F100" i="15"/>
  <c r="E100" i="15"/>
  <c r="I99" i="15"/>
  <c r="F99" i="15"/>
  <c r="E99" i="15"/>
  <c r="I98" i="15"/>
  <c r="F98" i="15"/>
  <c r="E98" i="15"/>
  <c r="I97" i="15"/>
  <c r="F97" i="15"/>
  <c r="E97" i="15"/>
  <c r="I96" i="15"/>
  <c r="F96" i="15"/>
  <c r="E96" i="15"/>
  <c r="I95" i="15"/>
  <c r="F95" i="15"/>
  <c r="E95" i="15"/>
  <c r="I94" i="15"/>
  <c r="F94" i="15"/>
  <c r="E94" i="15"/>
  <c r="I93" i="15"/>
  <c r="F93" i="15"/>
  <c r="E93" i="15"/>
  <c r="I92" i="15"/>
  <c r="F92" i="15"/>
  <c r="E92" i="15"/>
  <c r="I91" i="15"/>
  <c r="F91" i="15"/>
  <c r="E91" i="15"/>
  <c r="I90" i="15"/>
  <c r="F90" i="15"/>
  <c r="E90" i="15"/>
  <c r="I89" i="15"/>
  <c r="F89" i="15"/>
  <c r="E89" i="15"/>
  <c r="I88" i="15"/>
  <c r="F88" i="15"/>
  <c r="E88" i="15"/>
  <c r="I87" i="15"/>
  <c r="F87" i="15"/>
  <c r="E87" i="15"/>
  <c r="I86" i="15"/>
  <c r="F86" i="15"/>
  <c r="E86" i="15"/>
  <c r="I85" i="15"/>
  <c r="F85" i="15"/>
  <c r="E85" i="15"/>
  <c r="I84" i="15"/>
  <c r="F84" i="15"/>
  <c r="E84" i="15"/>
  <c r="I83" i="15"/>
  <c r="F83" i="15"/>
  <c r="E83" i="15"/>
  <c r="I82" i="15"/>
  <c r="F82" i="15"/>
  <c r="E82" i="15"/>
  <c r="I81" i="15"/>
  <c r="F81" i="15"/>
  <c r="E81" i="15"/>
  <c r="I80" i="15"/>
  <c r="F80" i="15"/>
  <c r="E80" i="15"/>
  <c r="I79" i="15"/>
  <c r="F79" i="15"/>
  <c r="E79" i="15"/>
  <c r="I78" i="15"/>
  <c r="F78" i="15"/>
  <c r="E78" i="15"/>
  <c r="I77" i="15"/>
  <c r="F77" i="15"/>
  <c r="E77" i="15"/>
  <c r="I76" i="15"/>
  <c r="F76" i="15"/>
  <c r="E76" i="15"/>
  <c r="I75" i="15"/>
  <c r="F75" i="15"/>
  <c r="E75" i="15"/>
  <c r="I74" i="15"/>
  <c r="F74" i="15"/>
  <c r="E74" i="15"/>
  <c r="I73" i="15"/>
  <c r="F73" i="15"/>
  <c r="E73" i="15"/>
  <c r="I72" i="15"/>
  <c r="F72" i="15"/>
  <c r="E72" i="15"/>
  <c r="I71" i="15"/>
  <c r="F71" i="15"/>
  <c r="E71" i="15"/>
  <c r="I70" i="15"/>
  <c r="F70" i="15"/>
  <c r="E70" i="15"/>
  <c r="I69" i="15"/>
  <c r="F69" i="15"/>
  <c r="E69" i="15"/>
  <c r="I68" i="15"/>
  <c r="F68" i="15"/>
  <c r="E68" i="15"/>
  <c r="I67" i="15"/>
  <c r="F67" i="15"/>
  <c r="E67" i="15"/>
  <c r="I66" i="15"/>
  <c r="F66" i="15"/>
  <c r="E66" i="15"/>
  <c r="I65" i="15"/>
  <c r="F65" i="15"/>
  <c r="E65" i="15"/>
  <c r="I64" i="15"/>
  <c r="F64" i="15"/>
  <c r="E64" i="15"/>
  <c r="I63" i="15"/>
  <c r="F63" i="15"/>
  <c r="E63" i="15"/>
  <c r="I62" i="15"/>
  <c r="F62" i="15"/>
  <c r="E62" i="15"/>
  <c r="I61" i="15"/>
  <c r="F61" i="15"/>
  <c r="E61" i="15"/>
  <c r="I60" i="15"/>
  <c r="F60" i="15"/>
  <c r="E60" i="15"/>
  <c r="I59" i="15"/>
  <c r="F59" i="15"/>
  <c r="E59" i="15"/>
  <c r="I58" i="15"/>
  <c r="F58" i="15"/>
  <c r="E58" i="15"/>
  <c r="I57" i="15"/>
  <c r="F57" i="15"/>
  <c r="E57" i="15"/>
  <c r="I56" i="15"/>
  <c r="F56" i="15"/>
  <c r="E56" i="15"/>
  <c r="I55" i="15"/>
  <c r="F55" i="15"/>
  <c r="E55" i="15"/>
  <c r="I54" i="15"/>
  <c r="F54" i="15"/>
  <c r="E54" i="15"/>
  <c r="I53" i="15"/>
  <c r="F53" i="15"/>
  <c r="E53" i="15"/>
  <c r="I52" i="15"/>
  <c r="F52" i="15"/>
  <c r="E52" i="15"/>
  <c r="I51" i="15"/>
  <c r="F51" i="15"/>
  <c r="E51" i="15"/>
  <c r="I50" i="15"/>
  <c r="F50" i="15"/>
  <c r="E50" i="15"/>
  <c r="I49" i="15"/>
  <c r="F49" i="15"/>
  <c r="E49" i="15"/>
  <c r="I48" i="15"/>
  <c r="F48" i="15"/>
  <c r="E48" i="15"/>
  <c r="I47" i="15"/>
  <c r="F47" i="15"/>
  <c r="E47" i="15"/>
  <c r="I46" i="15"/>
  <c r="F46" i="15"/>
  <c r="E46" i="15"/>
  <c r="I45" i="15"/>
  <c r="F45" i="15"/>
  <c r="E45" i="15"/>
  <c r="I44" i="15"/>
  <c r="F44" i="15"/>
  <c r="E44" i="15"/>
  <c r="I43" i="15"/>
  <c r="F43" i="15"/>
  <c r="E43" i="15"/>
  <c r="I42" i="15"/>
  <c r="F42" i="15"/>
  <c r="E42" i="15"/>
  <c r="I41" i="15"/>
  <c r="F41" i="15"/>
  <c r="E41" i="15"/>
  <c r="I40" i="15"/>
  <c r="F40" i="15"/>
  <c r="E40" i="15"/>
  <c r="I39" i="15"/>
  <c r="F39" i="15"/>
  <c r="E39" i="15"/>
  <c r="I38" i="15"/>
  <c r="F38" i="15"/>
  <c r="E38" i="15"/>
  <c r="I37" i="15"/>
  <c r="F37" i="15"/>
  <c r="E37" i="15"/>
  <c r="I36" i="15"/>
  <c r="F36" i="15"/>
  <c r="E36" i="15"/>
  <c r="I35" i="15"/>
  <c r="F35" i="15"/>
  <c r="E35" i="15"/>
  <c r="I34" i="15"/>
  <c r="F34" i="15"/>
  <c r="E34" i="15"/>
  <c r="I33" i="15"/>
  <c r="F33" i="15"/>
  <c r="E33" i="15"/>
  <c r="I32" i="15"/>
  <c r="F32" i="15"/>
  <c r="E32" i="15"/>
  <c r="I31" i="15"/>
  <c r="F31" i="15"/>
  <c r="E31" i="15"/>
  <c r="I30" i="15"/>
  <c r="F30" i="15"/>
  <c r="E30" i="15"/>
  <c r="I29" i="15"/>
  <c r="F29" i="15"/>
  <c r="E29" i="15"/>
  <c r="I28" i="15"/>
  <c r="F28" i="15"/>
  <c r="E28" i="15"/>
  <c r="I27" i="15"/>
  <c r="F27" i="15"/>
  <c r="E27" i="15"/>
  <c r="I26" i="15"/>
  <c r="F26" i="15"/>
  <c r="E26" i="15"/>
  <c r="I25" i="15"/>
  <c r="F25" i="15"/>
  <c r="E25" i="15"/>
  <c r="I24" i="15"/>
  <c r="F24" i="15"/>
  <c r="E24" i="15"/>
  <c r="I23" i="15"/>
  <c r="F23" i="15"/>
  <c r="E23" i="15"/>
  <c r="I22" i="15"/>
  <c r="F22" i="15"/>
  <c r="E22" i="15"/>
  <c r="I21" i="15"/>
  <c r="F21" i="15"/>
  <c r="E21" i="15"/>
  <c r="I20" i="15"/>
  <c r="F20" i="15"/>
  <c r="E20" i="15"/>
  <c r="I19" i="15"/>
  <c r="F19" i="15"/>
  <c r="E19" i="15"/>
  <c r="I18" i="15"/>
  <c r="F18" i="15"/>
  <c r="E18" i="15"/>
  <c r="I17" i="15"/>
  <c r="F17" i="15"/>
  <c r="E17" i="15"/>
  <c r="I16" i="15"/>
  <c r="F16" i="15"/>
  <c r="E16" i="15"/>
  <c r="I15" i="15"/>
  <c r="F15" i="15"/>
  <c r="E15" i="15"/>
  <c r="I14" i="15"/>
  <c r="F14" i="15"/>
  <c r="E14" i="15"/>
  <c r="I13" i="15"/>
  <c r="F13" i="15"/>
  <c r="E13" i="15"/>
  <c r="I12" i="15"/>
  <c r="F12" i="15"/>
  <c r="E12" i="15"/>
  <c r="I11" i="15"/>
  <c r="F11" i="15"/>
  <c r="E11" i="15"/>
  <c r="Q1" i="13"/>
  <c r="N1" i="13"/>
  <c r="W2" i="11"/>
  <c r="W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88" i="11"/>
  <c r="W89" i="11"/>
  <c r="W90" i="11"/>
  <c r="Y1" i="11"/>
  <c r="F2994" i="10"/>
  <c r="E2994" i="10"/>
  <c r="F2993" i="10"/>
  <c r="E2993" i="10"/>
  <c r="F2992" i="10"/>
  <c r="E2992" i="10"/>
  <c r="F2991" i="10"/>
  <c r="E2991" i="10"/>
  <c r="F2990" i="10"/>
  <c r="E2990" i="10"/>
  <c r="F2989" i="10"/>
  <c r="E2989" i="10"/>
  <c r="F2988" i="10"/>
  <c r="E2988" i="10"/>
  <c r="F2987" i="10"/>
  <c r="E2987" i="10"/>
  <c r="F2986" i="10"/>
  <c r="E2986" i="10"/>
  <c r="F2985" i="10"/>
  <c r="E2985" i="10"/>
  <c r="F2984" i="10"/>
  <c r="E2984" i="10"/>
  <c r="F2983" i="10"/>
  <c r="E2983" i="10"/>
  <c r="F2982" i="10"/>
  <c r="E2982" i="10"/>
  <c r="F2981" i="10"/>
  <c r="E2981" i="10"/>
  <c r="F2980" i="10"/>
  <c r="E2980" i="10"/>
  <c r="F2979" i="10"/>
  <c r="E2979" i="10"/>
  <c r="F2978" i="10"/>
  <c r="E2978" i="10"/>
  <c r="F2977" i="10"/>
  <c r="E2977" i="10"/>
  <c r="F2976" i="10"/>
  <c r="E2976" i="10"/>
  <c r="F2975" i="10"/>
  <c r="E2975" i="10"/>
  <c r="F2974" i="10"/>
  <c r="E2974" i="10"/>
  <c r="F2973" i="10"/>
  <c r="E2973" i="10"/>
  <c r="F2972" i="10"/>
  <c r="E2972" i="10"/>
  <c r="F2971" i="10"/>
  <c r="E2971" i="10"/>
  <c r="F2970" i="10"/>
  <c r="E2970" i="10"/>
  <c r="F2969" i="10"/>
  <c r="E2969" i="10"/>
  <c r="F2968" i="10"/>
  <c r="E2968" i="10"/>
  <c r="F2967" i="10"/>
  <c r="E2967" i="10"/>
  <c r="F2966" i="10"/>
  <c r="E2966" i="10"/>
  <c r="F2965" i="10"/>
  <c r="E2965" i="10"/>
  <c r="F2964" i="10"/>
  <c r="E2964" i="10"/>
  <c r="F2963" i="10"/>
  <c r="E2963" i="10"/>
  <c r="F2962" i="10"/>
  <c r="E2962" i="10"/>
  <c r="F2961" i="10"/>
  <c r="E2961" i="10"/>
  <c r="F2960" i="10"/>
  <c r="E2960" i="10"/>
  <c r="F2959" i="10"/>
  <c r="E2959" i="10"/>
  <c r="F2958" i="10"/>
  <c r="E2958" i="10"/>
  <c r="F2957" i="10"/>
  <c r="E2957" i="10"/>
  <c r="F2956" i="10"/>
  <c r="E2956" i="10"/>
  <c r="F2955" i="10"/>
  <c r="E2955" i="10"/>
  <c r="F2954" i="10"/>
  <c r="E2954" i="10"/>
  <c r="F2953" i="10"/>
  <c r="E2953" i="10"/>
  <c r="F2952" i="10"/>
  <c r="E2952" i="10"/>
  <c r="F2951" i="10"/>
  <c r="E2951" i="10"/>
  <c r="F2950" i="10"/>
  <c r="E2950" i="10"/>
  <c r="F2949" i="10"/>
  <c r="E2949" i="10"/>
  <c r="F2948" i="10"/>
  <c r="E2948" i="10"/>
  <c r="F2947" i="10"/>
  <c r="E2947" i="10"/>
  <c r="F2946" i="10"/>
  <c r="E2946" i="10"/>
  <c r="F2945" i="10"/>
  <c r="E2945" i="10"/>
  <c r="F2944" i="10"/>
  <c r="E2944" i="10"/>
  <c r="F2943" i="10"/>
  <c r="E2943" i="10"/>
  <c r="F2942" i="10"/>
  <c r="E2942" i="10"/>
  <c r="F2941" i="10"/>
  <c r="E2941" i="10"/>
  <c r="F2940" i="10"/>
  <c r="E2940" i="10"/>
  <c r="F2939" i="10"/>
  <c r="E2939" i="10"/>
  <c r="F2938" i="10"/>
  <c r="E2938" i="10"/>
  <c r="F2937" i="10"/>
  <c r="E2937" i="10"/>
  <c r="F2936" i="10"/>
  <c r="E2936" i="10"/>
  <c r="F2935" i="10"/>
  <c r="E2935" i="10"/>
  <c r="F2934" i="10"/>
  <c r="E2934" i="10"/>
  <c r="F2933" i="10"/>
  <c r="E2933" i="10"/>
  <c r="F2932" i="10"/>
  <c r="E2932" i="10"/>
  <c r="F2931" i="10"/>
  <c r="E2931" i="10"/>
  <c r="F2930" i="10"/>
  <c r="E2930" i="10"/>
  <c r="F2929" i="10"/>
  <c r="E2929" i="10"/>
  <c r="F2928" i="10"/>
  <c r="E2928" i="10"/>
  <c r="F2927" i="10"/>
  <c r="E2927" i="10"/>
  <c r="F2926" i="10"/>
  <c r="E2926" i="10"/>
  <c r="F2925" i="10"/>
  <c r="E2925" i="10"/>
  <c r="F2924" i="10"/>
  <c r="E2924" i="10"/>
  <c r="F2923" i="10"/>
  <c r="E2923" i="10"/>
  <c r="F2922" i="10"/>
  <c r="E2922" i="10"/>
  <c r="F2921" i="10"/>
  <c r="E2921" i="10"/>
  <c r="F2920" i="10"/>
  <c r="E2920" i="10"/>
  <c r="F2919" i="10"/>
  <c r="E2919" i="10"/>
  <c r="F2918" i="10"/>
  <c r="E2918" i="10"/>
  <c r="F2917" i="10"/>
  <c r="E2917" i="10"/>
  <c r="F2916" i="10"/>
  <c r="E2916" i="10"/>
  <c r="F2915" i="10"/>
  <c r="E2915" i="10"/>
  <c r="F2914" i="10"/>
  <c r="E2914" i="10"/>
  <c r="F2913" i="10"/>
  <c r="E2913" i="10"/>
  <c r="F2912" i="10"/>
  <c r="E2912" i="10"/>
  <c r="F2911" i="10"/>
  <c r="E2911" i="10"/>
  <c r="F2910" i="10"/>
  <c r="E2910" i="10"/>
  <c r="F2909" i="10"/>
  <c r="E2909" i="10"/>
  <c r="F2908" i="10"/>
  <c r="E2908" i="10"/>
  <c r="F2907" i="10"/>
  <c r="E2907" i="10"/>
  <c r="F2906" i="10"/>
  <c r="E2906" i="10"/>
  <c r="F2905" i="10"/>
  <c r="E2905" i="10"/>
  <c r="F2904" i="10"/>
  <c r="E2904" i="10"/>
  <c r="F2903" i="10"/>
  <c r="E2903" i="10"/>
  <c r="F2902" i="10"/>
  <c r="E2902" i="10"/>
  <c r="F2901" i="10"/>
  <c r="E2901" i="10"/>
  <c r="F2900" i="10"/>
  <c r="E2900" i="10"/>
  <c r="F2899" i="10"/>
  <c r="E2899" i="10"/>
  <c r="F2898" i="10"/>
  <c r="E2898" i="10"/>
  <c r="F2897" i="10"/>
  <c r="E2897" i="10"/>
  <c r="F2896" i="10"/>
  <c r="E2896" i="10"/>
  <c r="F2895" i="10"/>
  <c r="E2895" i="10"/>
  <c r="F2894" i="10"/>
  <c r="E2894" i="10"/>
  <c r="F2893" i="10"/>
  <c r="E2893" i="10"/>
  <c r="F2892" i="10"/>
  <c r="E2892" i="10"/>
  <c r="F2891" i="10"/>
  <c r="E2891" i="10"/>
  <c r="F2890" i="10"/>
  <c r="E2890" i="10"/>
  <c r="F2889" i="10"/>
  <c r="E2889" i="10"/>
  <c r="F2888" i="10"/>
  <c r="E2888" i="10"/>
  <c r="F2887" i="10"/>
  <c r="E2887" i="10"/>
  <c r="F2886" i="10"/>
  <c r="E2886" i="10"/>
  <c r="F2885" i="10"/>
  <c r="E2885" i="10"/>
  <c r="F2884" i="10"/>
  <c r="E2884" i="10"/>
  <c r="F2883" i="10"/>
  <c r="E2883" i="10"/>
  <c r="F2882" i="10"/>
  <c r="E2882" i="10"/>
  <c r="F2881" i="10"/>
  <c r="E2881" i="10"/>
  <c r="F2880" i="10"/>
  <c r="E2880" i="10"/>
  <c r="F2879" i="10"/>
  <c r="E2879" i="10"/>
  <c r="F2878" i="10"/>
  <c r="E2878" i="10"/>
  <c r="F2877" i="10"/>
  <c r="E2877" i="10"/>
  <c r="F2876" i="10"/>
  <c r="E2876" i="10"/>
  <c r="F2875" i="10"/>
  <c r="E2875" i="10"/>
  <c r="F2874" i="10"/>
  <c r="E2874" i="10"/>
  <c r="F2873" i="10"/>
  <c r="E2873" i="10"/>
  <c r="F2872" i="10"/>
  <c r="E2872" i="10"/>
  <c r="F2871" i="10"/>
  <c r="E2871" i="10"/>
  <c r="F2870" i="10"/>
  <c r="E2870" i="10"/>
  <c r="F2869" i="10"/>
  <c r="E2869" i="10"/>
  <c r="F2868" i="10"/>
  <c r="E2868" i="10"/>
  <c r="F2867" i="10"/>
  <c r="E2867" i="10"/>
  <c r="F2866" i="10"/>
  <c r="E2866" i="10"/>
  <c r="F2865" i="10"/>
  <c r="E2865" i="10"/>
  <c r="F2864" i="10"/>
  <c r="E2864" i="10"/>
  <c r="F2863" i="10"/>
  <c r="E2863" i="10"/>
  <c r="F2862" i="10"/>
  <c r="E2862" i="10"/>
  <c r="F2861" i="10"/>
  <c r="E2861" i="10"/>
  <c r="F2860" i="10"/>
  <c r="E2860" i="10"/>
  <c r="F2859" i="10"/>
  <c r="E2859" i="10"/>
  <c r="F2858" i="10"/>
  <c r="E2858" i="10"/>
  <c r="F2857" i="10"/>
  <c r="E2857" i="10"/>
  <c r="F2856" i="10"/>
  <c r="E2856" i="10"/>
  <c r="F2855" i="10"/>
  <c r="E2855" i="10"/>
  <c r="F2854" i="10"/>
  <c r="E2854" i="10"/>
  <c r="F2853" i="10"/>
  <c r="E2853" i="10"/>
  <c r="F2852" i="10"/>
  <c r="E2852" i="10"/>
  <c r="F2851" i="10"/>
  <c r="E2851" i="10"/>
  <c r="F2850" i="10"/>
  <c r="E2850" i="10"/>
  <c r="F2849" i="10"/>
  <c r="E2849" i="10"/>
  <c r="F2848" i="10"/>
  <c r="E2848" i="10"/>
  <c r="F2847" i="10"/>
  <c r="E2847" i="10"/>
  <c r="F2846" i="10"/>
  <c r="E2846" i="10"/>
  <c r="F2845" i="10"/>
  <c r="E2845" i="10"/>
  <c r="F2844" i="10"/>
  <c r="E2844" i="10"/>
  <c r="F2843" i="10"/>
  <c r="E2843" i="10"/>
  <c r="F2842" i="10"/>
  <c r="E2842" i="10"/>
  <c r="F2841" i="10"/>
  <c r="E2841" i="10"/>
  <c r="F2840" i="10"/>
  <c r="E2840" i="10"/>
  <c r="F2839" i="10"/>
  <c r="E2839" i="10"/>
  <c r="F2838" i="10"/>
  <c r="E2838" i="10"/>
  <c r="F2837" i="10"/>
  <c r="E2837" i="10"/>
  <c r="F2836" i="10"/>
  <c r="E2836" i="10"/>
  <c r="F2835" i="10"/>
  <c r="E2835" i="10"/>
  <c r="F2834" i="10"/>
  <c r="E2834" i="10"/>
  <c r="F2833" i="10"/>
  <c r="E2833" i="10"/>
  <c r="F2832" i="10"/>
  <c r="E2832" i="10"/>
  <c r="F2831" i="10"/>
  <c r="E2831" i="10"/>
  <c r="F2830" i="10"/>
  <c r="E2830" i="10"/>
  <c r="F2829" i="10"/>
  <c r="E2829" i="10"/>
  <c r="F2828" i="10"/>
  <c r="E2828" i="10"/>
  <c r="F2827" i="10"/>
  <c r="E2827" i="10"/>
  <c r="F2826" i="10"/>
  <c r="E2826" i="10"/>
  <c r="F2825" i="10"/>
  <c r="E2825" i="10"/>
  <c r="F2824" i="10"/>
  <c r="E2824" i="10"/>
  <c r="F2823" i="10"/>
  <c r="E2823" i="10"/>
  <c r="F2822" i="10"/>
  <c r="E2822" i="10"/>
  <c r="F2821" i="10"/>
  <c r="E2821" i="10"/>
  <c r="F2820" i="10"/>
  <c r="E2820" i="10"/>
  <c r="F2819" i="10"/>
  <c r="E2819" i="10"/>
  <c r="F2818" i="10"/>
  <c r="E2818" i="10"/>
  <c r="F2817" i="10"/>
  <c r="E2817" i="10"/>
  <c r="F2816" i="10"/>
  <c r="E2816" i="10"/>
  <c r="F2815" i="10"/>
  <c r="E2815" i="10"/>
  <c r="F2814" i="10"/>
  <c r="E2814" i="10"/>
  <c r="F2813" i="10"/>
  <c r="E2813" i="10"/>
  <c r="F2812" i="10"/>
  <c r="E2812" i="10"/>
  <c r="F2811" i="10"/>
  <c r="E2811" i="10"/>
  <c r="F2810" i="10"/>
  <c r="E2810" i="10"/>
  <c r="F2809" i="10"/>
  <c r="E2809" i="10"/>
  <c r="F2808" i="10"/>
  <c r="E2808" i="10"/>
  <c r="F2807" i="10"/>
  <c r="E2807" i="10"/>
  <c r="F2806" i="10"/>
  <c r="E2806" i="10"/>
  <c r="F2805" i="10"/>
  <c r="E2805" i="10"/>
  <c r="F2804" i="10"/>
  <c r="E2804" i="10"/>
  <c r="F2803" i="10"/>
  <c r="E2803" i="10"/>
  <c r="F2802" i="10"/>
  <c r="E2802" i="10"/>
  <c r="F2801" i="10"/>
  <c r="E2801" i="10"/>
  <c r="F2800" i="10"/>
  <c r="E2800" i="10"/>
  <c r="F2799" i="10"/>
  <c r="E2799" i="10"/>
  <c r="F2798" i="10"/>
  <c r="E2798" i="10"/>
  <c r="F2797" i="10"/>
  <c r="E2797" i="10"/>
  <c r="F2796" i="10"/>
  <c r="E2796" i="10"/>
  <c r="F2795" i="10"/>
  <c r="E2795" i="10"/>
  <c r="F2794" i="10"/>
  <c r="E2794" i="10"/>
  <c r="F2793" i="10"/>
  <c r="E2793" i="10"/>
  <c r="F2792" i="10"/>
  <c r="E2792" i="10"/>
  <c r="F2791" i="10"/>
  <c r="E2791" i="10"/>
  <c r="F2790" i="10"/>
  <c r="E2790" i="10"/>
  <c r="F2789" i="10"/>
  <c r="E2789" i="10"/>
  <c r="F2788" i="10"/>
  <c r="E2788" i="10"/>
  <c r="F2787" i="10"/>
  <c r="E2787" i="10"/>
  <c r="F2786" i="10"/>
  <c r="E2786" i="10"/>
  <c r="F2785" i="10"/>
  <c r="E2785" i="10"/>
  <c r="F2784" i="10"/>
  <c r="E2784" i="10"/>
  <c r="F2783" i="10"/>
  <c r="E2783" i="10"/>
  <c r="F2782" i="10"/>
  <c r="E2782" i="10"/>
  <c r="F2781" i="10"/>
  <c r="E2781" i="10"/>
  <c r="F2780" i="10"/>
  <c r="E2780" i="10"/>
  <c r="F2779" i="10"/>
  <c r="E2779" i="10"/>
  <c r="F2778" i="10"/>
  <c r="E2778" i="10"/>
  <c r="F2777" i="10"/>
  <c r="E2777" i="10"/>
  <c r="F2776" i="10"/>
  <c r="E2776" i="10"/>
  <c r="F2775" i="10"/>
  <c r="E2775" i="10"/>
  <c r="F2774" i="10"/>
  <c r="E2774" i="10"/>
  <c r="F2773" i="10"/>
  <c r="E2773" i="10"/>
  <c r="F2772" i="10"/>
  <c r="E2772" i="10"/>
  <c r="F2771" i="10"/>
  <c r="E2771" i="10"/>
  <c r="F2770" i="10"/>
  <c r="E2770" i="10"/>
  <c r="F2769" i="10"/>
  <c r="E2769" i="10"/>
  <c r="F2768" i="10"/>
  <c r="E2768" i="10"/>
  <c r="F2767" i="10"/>
  <c r="E2767" i="10"/>
  <c r="F2766" i="10"/>
  <c r="E2766" i="10"/>
  <c r="F2765" i="10"/>
  <c r="E2765" i="10"/>
  <c r="F2764" i="10"/>
  <c r="E2764" i="10"/>
  <c r="F2763" i="10"/>
  <c r="E2763" i="10"/>
  <c r="F2762" i="10"/>
  <c r="E2762" i="10"/>
  <c r="F2761" i="10"/>
  <c r="E2761" i="10"/>
  <c r="F2760" i="10"/>
  <c r="E2760" i="10"/>
  <c r="F2759" i="10"/>
  <c r="E2759" i="10"/>
  <c r="F2758" i="10"/>
  <c r="E2758" i="10"/>
  <c r="F2757" i="10"/>
  <c r="E2757" i="10"/>
  <c r="F2756" i="10"/>
  <c r="E2756" i="10"/>
  <c r="F2755" i="10"/>
  <c r="E2755" i="10"/>
  <c r="F2754" i="10"/>
  <c r="E2754" i="10"/>
  <c r="F2753" i="10"/>
  <c r="E2753" i="10"/>
  <c r="F2752" i="10"/>
  <c r="E2752" i="10"/>
  <c r="F2751" i="10"/>
  <c r="E2751" i="10"/>
  <c r="F2750" i="10"/>
  <c r="E2750" i="10"/>
  <c r="F2749" i="10"/>
  <c r="E2749" i="10"/>
  <c r="F2748" i="10"/>
  <c r="E2748" i="10"/>
  <c r="F2747" i="10"/>
  <c r="E2747" i="10"/>
  <c r="F2746" i="10"/>
  <c r="E2746" i="10"/>
  <c r="F2745" i="10"/>
  <c r="E2745" i="10"/>
  <c r="F2744" i="10"/>
  <c r="E2744" i="10"/>
  <c r="F2743" i="10"/>
  <c r="E2743" i="10"/>
  <c r="F2742" i="10"/>
  <c r="E2742" i="10"/>
  <c r="F2741" i="10"/>
  <c r="E2741" i="10"/>
  <c r="F2740" i="10"/>
  <c r="E2740" i="10"/>
  <c r="F2739" i="10"/>
  <c r="E2739" i="10"/>
  <c r="F2738" i="10"/>
  <c r="E2738" i="10"/>
  <c r="F2737" i="10"/>
  <c r="E2737" i="10"/>
  <c r="F2736" i="10"/>
  <c r="E2736" i="10"/>
  <c r="F2735" i="10"/>
  <c r="E2735" i="10"/>
  <c r="F2734" i="10"/>
  <c r="E2734" i="10"/>
  <c r="F2733" i="10"/>
  <c r="E2733" i="10"/>
  <c r="F2732" i="10"/>
  <c r="E2732" i="10"/>
  <c r="F2731" i="10"/>
  <c r="E2731" i="10"/>
  <c r="F2730" i="10"/>
  <c r="E2730" i="10"/>
  <c r="F2729" i="10"/>
  <c r="E2729" i="10"/>
  <c r="F2728" i="10"/>
  <c r="E2728" i="10"/>
  <c r="F2727" i="10"/>
  <c r="E2727" i="10"/>
  <c r="F2726" i="10"/>
  <c r="E2726" i="10"/>
  <c r="F2725" i="10"/>
  <c r="E2725" i="10"/>
  <c r="F2724" i="10"/>
  <c r="E2724" i="10"/>
  <c r="F2723" i="10"/>
  <c r="E2723" i="10"/>
  <c r="F2722" i="10"/>
  <c r="E2722" i="10"/>
  <c r="F2721" i="10"/>
  <c r="E2721" i="10"/>
  <c r="F2720" i="10"/>
  <c r="E2720" i="10"/>
  <c r="F2719" i="10"/>
  <c r="E2719" i="10"/>
  <c r="F2718" i="10"/>
  <c r="E2718" i="10"/>
  <c r="F2717" i="10"/>
  <c r="E2717" i="10"/>
  <c r="F2716" i="10"/>
  <c r="E2716" i="10"/>
  <c r="F2715" i="10"/>
  <c r="E2715" i="10"/>
  <c r="F2714" i="10"/>
  <c r="E2714" i="10"/>
  <c r="F2713" i="10"/>
  <c r="E2713" i="10"/>
  <c r="F2712" i="10"/>
  <c r="E2712" i="10"/>
  <c r="F2711" i="10"/>
  <c r="E2711" i="10"/>
  <c r="F2710" i="10"/>
  <c r="E2710" i="10"/>
  <c r="F2709" i="10"/>
  <c r="E2709" i="10"/>
  <c r="F2708" i="10"/>
  <c r="E2708" i="10"/>
  <c r="F2707" i="10"/>
  <c r="E2707" i="10"/>
  <c r="F2706" i="10"/>
  <c r="E2706" i="10"/>
  <c r="F2705" i="10"/>
  <c r="E2705" i="10"/>
  <c r="F2704" i="10"/>
  <c r="E2704" i="10"/>
  <c r="F2703" i="10"/>
  <c r="E2703" i="10"/>
  <c r="F2702" i="10"/>
  <c r="E2702" i="10"/>
  <c r="F2701" i="10"/>
  <c r="E2701" i="10"/>
  <c r="F2700" i="10"/>
  <c r="E2700" i="10"/>
  <c r="F2699" i="10"/>
  <c r="E2699" i="10"/>
  <c r="F2698" i="10"/>
  <c r="E2698" i="10"/>
  <c r="F2697" i="10"/>
  <c r="E2697" i="10"/>
  <c r="F2696" i="10"/>
  <c r="E2696" i="10"/>
  <c r="F2695" i="10"/>
  <c r="E2695" i="10"/>
  <c r="F2694" i="10"/>
  <c r="E2694" i="10"/>
  <c r="F2693" i="10"/>
  <c r="E2693" i="10"/>
  <c r="F2692" i="10"/>
  <c r="E2692" i="10"/>
  <c r="F2691" i="10"/>
  <c r="E2691" i="10"/>
  <c r="F2690" i="10"/>
  <c r="E2690" i="10"/>
  <c r="F2689" i="10"/>
  <c r="E2689" i="10"/>
  <c r="F2688" i="10"/>
  <c r="E2688" i="10"/>
  <c r="F2687" i="10"/>
  <c r="E2687" i="10"/>
  <c r="F2686" i="10"/>
  <c r="E2686" i="10"/>
  <c r="F2685" i="10"/>
  <c r="E2685" i="10"/>
  <c r="F2684" i="10"/>
  <c r="E2684" i="10"/>
  <c r="F2683" i="10"/>
  <c r="E2683" i="10"/>
  <c r="F2682" i="10"/>
  <c r="E2682" i="10"/>
  <c r="F2681" i="10"/>
  <c r="E2681" i="10"/>
  <c r="F2680" i="10"/>
  <c r="E2680" i="10"/>
  <c r="F2679" i="10"/>
  <c r="E2679" i="10"/>
  <c r="F2678" i="10"/>
  <c r="E2678" i="10"/>
  <c r="F2677" i="10"/>
  <c r="E2677" i="10"/>
  <c r="F2676" i="10"/>
  <c r="E2676" i="10"/>
  <c r="F2675" i="10"/>
  <c r="E2675" i="10"/>
  <c r="F2674" i="10"/>
  <c r="E2674" i="10"/>
  <c r="F2673" i="10"/>
  <c r="E2673" i="10"/>
  <c r="F2672" i="10"/>
  <c r="E2672" i="10"/>
  <c r="F2671" i="10"/>
  <c r="E2671" i="10"/>
  <c r="F2670" i="10"/>
  <c r="E2670" i="10"/>
  <c r="F2669" i="10"/>
  <c r="E2669" i="10"/>
  <c r="F2668" i="10"/>
  <c r="E2668" i="10"/>
  <c r="F2667" i="10"/>
  <c r="E2667" i="10"/>
  <c r="F2666" i="10"/>
  <c r="E2666" i="10"/>
  <c r="F2665" i="10"/>
  <c r="E2665" i="10"/>
  <c r="F2664" i="10"/>
  <c r="E2664" i="10"/>
  <c r="F2663" i="10"/>
  <c r="E2663" i="10"/>
  <c r="F2662" i="10"/>
  <c r="E2662" i="10"/>
  <c r="F2661" i="10"/>
  <c r="E2661" i="10"/>
  <c r="F2660" i="10"/>
  <c r="E2660" i="10"/>
  <c r="F2659" i="10"/>
  <c r="E2659" i="10"/>
  <c r="F2658" i="10"/>
  <c r="E2658" i="10"/>
  <c r="F2657" i="10"/>
  <c r="E2657" i="10"/>
  <c r="F2656" i="10"/>
  <c r="E2656" i="10"/>
  <c r="F2655" i="10"/>
  <c r="E2655" i="10"/>
  <c r="F2654" i="10"/>
  <c r="E2654" i="10"/>
  <c r="F2653" i="10"/>
  <c r="E2653" i="10"/>
  <c r="F2652" i="10"/>
  <c r="E2652" i="10"/>
  <c r="F2651" i="10"/>
  <c r="E2651" i="10"/>
  <c r="F2650" i="10"/>
  <c r="E2650" i="10"/>
  <c r="F2649" i="10"/>
  <c r="E2649" i="10"/>
  <c r="F2648" i="10"/>
  <c r="E2648" i="10"/>
  <c r="F2647" i="10"/>
  <c r="E2647" i="10"/>
  <c r="F2646" i="10"/>
  <c r="E2646" i="10"/>
  <c r="F2645" i="10"/>
  <c r="E2645" i="10"/>
  <c r="F2644" i="10"/>
  <c r="E2644" i="10"/>
  <c r="F2643" i="10"/>
  <c r="E2643" i="10"/>
  <c r="F2642" i="10"/>
  <c r="E2642" i="10"/>
  <c r="F2641" i="10"/>
  <c r="E2641" i="10"/>
  <c r="F2640" i="10"/>
  <c r="E2640" i="10"/>
  <c r="F2639" i="10"/>
  <c r="E2639" i="10"/>
  <c r="F2638" i="10"/>
  <c r="E2638" i="10"/>
  <c r="F2637" i="10"/>
  <c r="E2637" i="10"/>
  <c r="F2636" i="10"/>
  <c r="E2636" i="10"/>
  <c r="F2635" i="10"/>
  <c r="E2635" i="10"/>
  <c r="F2634" i="10"/>
  <c r="E2634" i="10"/>
  <c r="F2633" i="10"/>
  <c r="E2633" i="10"/>
  <c r="F2632" i="10"/>
  <c r="E2632" i="10"/>
  <c r="F2631" i="10"/>
  <c r="E2631" i="10"/>
  <c r="F2630" i="10"/>
  <c r="E2630" i="10"/>
  <c r="F2629" i="10"/>
  <c r="E2629" i="10"/>
  <c r="F2628" i="10"/>
  <c r="E2628" i="10"/>
  <c r="F2627" i="10"/>
  <c r="E2627" i="10"/>
  <c r="F2626" i="10"/>
  <c r="E2626" i="10"/>
  <c r="F2625" i="10"/>
  <c r="E2625" i="10"/>
  <c r="F2624" i="10"/>
  <c r="E2624" i="10"/>
  <c r="F2623" i="10"/>
  <c r="E2623" i="10"/>
  <c r="F2622" i="10"/>
  <c r="E2622" i="10"/>
  <c r="F2621" i="10"/>
  <c r="E2621" i="10"/>
  <c r="F2620" i="10"/>
  <c r="E2620" i="10"/>
  <c r="F2619" i="10"/>
  <c r="E2619" i="10"/>
  <c r="F2618" i="10"/>
  <c r="E2618" i="10"/>
  <c r="F2617" i="10"/>
  <c r="E2617" i="10"/>
  <c r="F2616" i="10"/>
  <c r="E2616" i="10"/>
  <c r="F2615" i="10"/>
  <c r="E2615" i="10"/>
  <c r="F2614" i="10"/>
  <c r="E2614" i="10"/>
  <c r="F2613" i="10"/>
  <c r="E2613" i="10"/>
  <c r="F2612" i="10"/>
  <c r="E2612" i="10"/>
  <c r="F2611" i="10"/>
  <c r="E2611" i="10"/>
  <c r="F2610" i="10"/>
  <c r="E2610" i="10"/>
  <c r="F2609" i="10"/>
  <c r="E2609" i="10"/>
  <c r="F2608" i="10"/>
  <c r="E2608" i="10"/>
  <c r="F2607" i="10"/>
  <c r="E2607" i="10"/>
  <c r="F2606" i="10"/>
  <c r="E2606" i="10"/>
  <c r="F2605" i="10"/>
  <c r="E2605" i="10"/>
  <c r="F2604" i="10"/>
  <c r="E2604" i="10"/>
  <c r="F2603" i="10"/>
  <c r="E2603" i="10"/>
  <c r="F2602" i="10"/>
  <c r="E2602" i="10"/>
  <c r="F2601" i="10"/>
  <c r="E2601" i="10"/>
  <c r="F2600" i="10"/>
  <c r="E2600" i="10"/>
  <c r="F2599" i="10"/>
  <c r="E2599" i="10"/>
  <c r="F2598" i="10"/>
  <c r="E2598" i="10"/>
  <c r="F2597" i="10"/>
  <c r="E2597" i="10"/>
  <c r="F2596" i="10"/>
  <c r="E2596" i="10"/>
  <c r="F2595" i="10"/>
  <c r="E2595" i="10"/>
  <c r="F2594" i="10"/>
  <c r="E2594" i="10"/>
  <c r="F2593" i="10"/>
  <c r="E2593" i="10"/>
  <c r="F2592" i="10"/>
  <c r="E2592" i="10"/>
  <c r="F2591" i="10"/>
  <c r="E2591" i="10"/>
  <c r="F2590" i="10"/>
  <c r="E2590" i="10"/>
  <c r="F2589" i="10"/>
  <c r="E2589" i="10"/>
  <c r="F2588" i="10"/>
  <c r="E2588" i="10"/>
  <c r="F2587" i="10"/>
  <c r="E2587" i="10"/>
  <c r="F2586" i="10"/>
  <c r="E2586" i="10"/>
  <c r="F2585" i="10"/>
  <c r="E2585" i="10"/>
  <c r="F2584" i="10"/>
  <c r="E2584" i="10"/>
  <c r="F2583" i="10"/>
  <c r="E2583" i="10"/>
  <c r="F2582" i="10"/>
  <c r="E2582" i="10"/>
  <c r="F2581" i="10"/>
  <c r="E2581" i="10"/>
  <c r="F2580" i="10"/>
  <c r="E2580" i="10"/>
  <c r="F2579" i="10"/>
  <c r="E2579" i="10"/>
  <c r="F2578" i="10"/>
  <c r="E2578" i="10"/>
  <c r="F2577" i="10"/>
  <c r="E2577" i="10"/>
  <c r="F2576" i="10"/>
  <c r="E2576" i="10"/>
  <c r="F2575" i="10"/>
  <c r="E2575" i="10"/>
  <c r="F2574" i="10"/>
  <c r="E2574" i="10"/>
  <c r="F2573" i="10"/>
  <c r="E2573" i="10"/>
  <c r="F2572" i="10"/>
  <c r="E2572" i="10"/>
  <c r="F2571" i="10"/>
  <c r="E2571" i="10"/>
  <c r="F2570" i="10"/>
  <c r="E2570" i="10"/>
  <c r="F2569" i="10"/>
  <c r="E2569" i="10"/>
  <c r="F2568" i="10"/>
  <c r="E2568" i="10"/>
  <c r="F2567" i="10"/>
  <c r="E2567" i="10"/>
  <c r="F2566" i="10"/>
  <c r="E2566" i="10"/>
  <c r="F2565" i="10"/>
  <c r="E2565" i="10"/>
  <c r="F2564" i="10"/>
  <c r="E2564" i="10"/>
  <c r="F2563" i="10"/>
  <c r="E2563" i="10"/>
  <c r="F2562" i="10"/>
  <c r="E2562" i="10"/>
  <c r="F2561" i="10"/>
  <c r="E2561" i="10"/>
  <c r="F2560" i="10"/>
  <c r="E2560" i="10"/>
  <c r="F2559" i="10"/>
  <c r="E2559" i="10"/>
  <c r="F2558" i="10"/>
  <c r="E2558" i="10"/>
  <c r="F2557" i="10"/>
  <c r="E2557" i="10"/>
  <c r="F2556" i="10"/>
  <c r="E2556" i="10"/>
  <c r="F2555" i="10"/>
  <c r="E2555" i="10"/>
  <c r="F2554" i="10"/>
  <c r="E2554" i="10"/>
  <c r="F2553" i="10"/>
  <c r="E2553" i="10"/>
  <c r="F2552" i="10"/>
  <c r="E2552" i="10"/>
  <c r="F2551" i="10"/>
  <c r="E2551" i="10"/>
  <c r="F2550" i="10"/>
  <c r="E2550" i="10"/>
  <c r="F2549" i="10"/>
  <c r="E2549" i="10"/>
  <c r="F2548" i="10"/>
  <c r="E2548" i="10"/>
  <c r="F2547" i="10"/>
  <c r="E2547" i="10"/>
  <c r="F2546" i="10"/>
  <c r="E2546" i="10"/>
  <c r="F2545" i="10"/>
  <c r="E2545" i="10"/>
  <c r="F2544" i="10"/>
  <c r="E2544" i="10"/>
  <c r="F2543" i="10"/>
  <c r="E2543" i="10"/>
  <c r="F2542" i="10"/>
  <c r="E2542" i="10"/>
  <c r="F2541" i="10"/>
  <c r="E2541" i="10"/>
  <c r="F2540" i="10"/>
  <c r="E2540" i="10"/>
  <c r="F2539" i="10"/>
  <c r="E2539" i="10"/>
  <c r="F2538" i="10"/>
  <c r="E2538" i="10"/>
  <c r="F2537" i="10"/>
  <c r="E2537" i="10"/>
  <c r="F2536" i="10"/>
  <c r="E2536" i="10"/>
  <c r="F2535" i="10"/>
  <c r="E2535" i="10"/>
  <c r="F2534" i="10"/>
  <c r="E2534" i="10"/>
  <c r="F2533" i="10"/>
  <c r="E2533" i="10"/>
  <c r="F2532" i="10"/>
  <c r="E2532" i="10"/>
  <c r="F2531" i="10"/>
  <c r="E2531" i="10"/>
  <c r="F2530" i="10"/>
  <c r="E2530" i="10"/>
  <c r="F2529" i="10"/>
  <c r="E2529" i="10"/>
  <c r="F2528" i="10"/>
  <c r="E2528" i="10"/>
  <c r="F2527" i="10"/>
  <c r="E2527" i="10"/>
  <c r="F2526" i="10"/>
  <c r="E2526" i="10"/>
  <c r="F2525" i="10"/>
  <c r="E2525" i="10"/>
  <c r="F2524" i="10"/>
  <c r="E2524" i="10"/>
  <c r="F2523" i="10"/>
  <c r="E2523" i="10"/>
  <c r="F2522" i="10"/>
  <c r="E2522" i="10"/>
  <c r="F2521" i="10"/>
  <c r="E2521" i="10"/>
  <c r="F2520" i="10"/>
  <c r="E2520" i="10"/>
  <c r="F2519" i="10"/>
  <c r="E2519" i="10"/>
  <c r="F2518" i="10"/>
  <c r="E2518" i="10"/>
  <c r="F2517" i="10"/>
  <c r="E2517" i="10"/>
  <c r="F2516" i="10"/>
  <c r="E2516" i="10"/>
  <c r="F2515" i="10"/>
  <c r="E2515" i="10"/>
  <c r="F2514" i="10"/>
  <c r="E2514" i="10"/>
  <c r="F2513" i="10"/>
  <c r="E2513" i="10"/>
  <c r="F2512" i="10"/>
  <c r="E2512" i="10"/>
  <c r="F2511" i="10"/>
  <c r="E2511" i="10"/>
  <c r="F2510" i="10"/>
  <c r="E2510" i="10"/>
  <c r="F2509" i="10"/>
  <c r="E2509" i="10"/>
  <c r="F2508" i="10"/>
  <c r="E2508" i="10"/>
  <c r="F2507" i="10"/>
  <c r="E2507" i="10"/>
  <c r="F2506" i="10"/>
  <c r="E2506" i="10"/>
  <c r="F2505" i="10"/>
  <c r="E2505" i="10"/>
  <c r="F2504" i="10"/>
  <c r="E2504" i="10"/>
  <c r="F2503" i="10"/>
  <c r="E2503" i="10"/>
  <c r="F2502" i="10"/>
  <c r="E2502" i="10"/>
  <c r="F2501" i="10"/>
  <c r="E2501" i="10"/>
  <c r="F2500" i="10"/>
  <c r="E2500" i="10"/>
  <c r="F2499" i="10"/>
  <c r="E2499" i="10"/>
  <c r="F2498" i="10"/>
  <c r="E2498" i="10"/>
  <c r="F2497" i="10"/>
  <c r="E2497" i="10"/>
  <c r="F2496" i="10"/>
  <c r="E2496" i="10"/>
  <c r="F2495" i="10"/>
  <c r="E2495" i="10"/>
  <c r="F2494" i="10"/>
  <c r="E2494" i="10"/>
  <c r="F2493" i="10"/>
  <c r="E2493" i="10"/>
  <c r="F2492" i="10"/>
  <c r="E2492" i="10"/>
  <c r="F2491" i="10"/>
  <c r="E2491" i="10"/>
  <c r="F2490" i="10"/>
  <c r="E2490" i="10"/>
  <c r="F2489" i="10"/>
  <c r="E2489" i="10"/>
  <c r="F2488" i="10"/>
  <c r="E2488" i="10"/>
  <c r="F2487" i="10"/>
  <c r="E2487" i="10"/>
  <c r="F2486" i="10"/>
  <c r="E2486" i="10"/>
  <c r="F2485" i="10"/>
  <c r="E2485" i="10"/>
  <c r="F2484" i="10"/>
  <c r="E2484" i="10"/>
  <c r="F2483" i="10"/>
  <c r="E2483" i="10"/>
  <c r="F2482" i="10"/>
  <c r="E2482" i="10"/>
  <c r="F2481" i="10"/>
  <c r="E2481" i="10"/>
  <c r="F2480" i="10"/>
  <c r="E2480" i="10"/>
  <c r="F2479" i="10"/>
  <c r="E2479" i="10"/>
  <c r="F2478" i="10"/>
  <c r="E2478" i="10"/>
  <c r="F2477" i="10"/>
  <c r="E2477" i="10"/>
  <c r="F2476" i="10"/>
  <c r="E2476" i="10"/>
  <c r="F2475" i="10"/>
  <c r="E2475" i="10"/>
  <c r="F2474" i="10"/>
  <c r="E2474" i="10"/>
  <c r="F2473" i="10"/>
  <c r="E2473" i="10"/>
  <c r="F2472" i="10"/>
  <c r="E2472" i="10"/>
  <c r="F2471" i="10"/>
  <c r="E2471" i="10"/>
  <c r="F2470" i="10"/>
  <c r="E2470" i="10"/>
  <c r="F2469" i="10"/>
  <c r="E2469" i="10"/>
  <c r="F2468" i="10"/>
  <c r="E2468" i="10"/>
  <c r="F2467" i="10"/>
  <c r="E2467" i="10"/>
  <c r="F2466" i="10"/>
  <c r="E2466" i="10"/>
  <c r="F2465" i="10"/>
  <c r="E2465" i="10"/>
  <c r="F2464" i="10"/>
  <c r="E2464" i="10"/>
  <c r="F2463" i="10"/>
  <c r="E2463" i="10"/>
  <c r="F2462" i="10"/>
  <c r="E2462" i="10"/>
  <c r="F2461" i="10"/>
  <c r="E2461" i="10"/>
  <c r="F2460" i="10"/>
  <c r="E2460" i="10"/>
  <c r="F2459" i="10"/>
  <c r="E2459" i="10"/>
  <c r="F2458" i="10"/>
  <c r="E2458" i="10"/>
  <c r="F2457" i="10"/>
  <c r="E2457" i="10"/>
  <c r="F2456" i="10"/>
  <c r="E2456" i="10"/>
  <c r="F2455" i="10"/>
  <c r="E2455" i="10"/>
  <c r="F2454" i="10"/>
  <c r="E2454" i="10"/>
  <c r="F2453" i="10"/>
  <c r="E2453" i="10"/>
  <c r="F2452" i="10"/>
  <c r="E2452" i="10"/>
  <c r="F2451" i="10"/>
  <c r="E2451" i="10"/>
  <c r="F2450" i="10"/>
  <c r="E2450" i="10"/>
  <c r="F2449" i="10"/>
  <c r="E2449" i="10"/>
  <c r="F2448" i="10"/>
  <c r="E2448" i="10"/>
  <c r="F2447" i="10"/>
  <c r="E2447" i="10"/>
  <c r="F2446" i="10"/>
  <c r="E2446" i="10"/>
  <c r="F2445" i="10"/>
  <c r="E2445" i="10"/>
  <c r="F2444" i="10"/>
  <c r="E2444" i="10"/>
  <c r="F2443" i="10"/>
  <c r="E2443" i="10"/>
  <c r="F2442" i="10"/>
  <c r="E2442" i="10"/>
  <c r="F2441" i="10"/>
  <c r="E2441" i="10"/>
  <c r="F2440" i="10"/>
  <c r="E2440" i="10"/>
  <c r="F2439" i="10"/>
  <c r="E2439" i="10"/>
  <c r="F2438" i="10"/>
  <c r="E2438" i="10"/>
  <c r="F2437" i="10"/>
  <c r="E2437" i="10"/>
  <c r="F2436" i="10"/>
  <c r="E2436" i="10"/>
  <c r="F2435" i="10"/>
  <c r="E2435" i="10"/>
  <c r="F2434" i="10"/>
  <c r="E2434" i="10"/>
  <c r="F2433" i="10"/>
  <c r="E2433" i="10"/>
  <c r="F2432" i="10"/>
  <c r="E2432" i="10"/>
  <c r="F2431" i="10"/>
  <c r="E2431" i="10"/>
  <c r="F2430" i="10"/>
  <c r="E2430" i="10"/>
  <c r="F2429" i="10"/>
  <c r="E2429" i="10"/>
  <c r="F2428" i="10"/>
  <c r="E2428" i="10"/>
  <c r="F2427" i="10"/>
  <c r="E2427" i="10"/>
  <c r="F2426" i="10"/>
  <c r="E2426" i="10"/>
  <c r="F2425" i="10"/>
  <c r="E2425" i="10"/>
  <c r="F2424" i="10"/>
  <c r="E2424" i="10"/>
  <c r="F2423" i="10"/>
  <c r="E2423" i="10"/>
  <c r="F2422" i="10"/>
  <c r="E2422" i="10"/>
  <c r="F2421" i="10"/>
  <c r="E2421" i="10"/>
  <c r="F2420" i="10"/>
  <c r="E2420" i="10"/>
  <c r="F2419" i="10"/>
  <c r="E2419" i="10"/>
  <c r="F2418" i="10"/>
  <c r="E2418" i="10"/>
  <c r="F2417" i="10"/>
  <c r="E2417" i="10"/>
  <c r="F2416" i="10"/>
  <c r="E2416" i="10"/>
  <c r="F2415" i="10"/>
  <c r="E2415" i="10"/>
  <c r="F2414" i="10"/>
  <c r="E2414" i="10"/>
  <c r="F2413" i="10"/>
  <c r="E2413" i="10"/>
  <c r="F2412" i="10"/>
  <c r="E2412" i="10"/>
  <c r="F2411" i="10"/>
  <c r="E2411" i="10"/>
  <c r="F2410" i="10"/>
  <c r="E2410" i="10"/>
  <c r="F2409" i="10"/>
  <c r="E2409" i="10"/>
  <c r="F2408" i="10"/>
  <c r="E2408" i="10"/>
  <c r="F2407" i="10"/>
  <c r="E2407" i="10"/>
  <c r="F2406" i="10"/>
  <c r="E2406" i="10"/>
  <c r="F2405" i="10"/>
  <c r="E2405" i="10"/>
  <c r="F2404" i="10"/>
  <c r="E2404" i="10"/>
  <c r="F2403" i="10"/>
  <c r="E2403" i="10"/>
  <c r="F2402" i="10"/>
  <c r="E2402" i="10"/>
  <c r="F2401" i="10"/>
  <c r="E2401" i="10"/>
  <c r="F2400" i="10"/>
  <c r="E2400" i="10"/>
  <c r="F2399" i="10"/>
  <c r="E2399" i="10"/>
  <c r="F2398" i="10"/>
  <c r="E2398" i="10"/>
  <c r="F2397" i="10"/>
  <c r="E2397" i="10"/>
  <c r="F2396" i="10"/>
  <c r="E2396" i="10"/>
  <c r="F2395" i="10"/>
  <c r="E2395" i="10"/>
  <c r="F2394" i="10"/>
  <c r="E2394" i="10"/>
  <c r="F2393" i="10"/>
  <c r="E2393" i="10"/>
  <c r="F2392" i="10"/>
  <c r="E2392" i="10"/>
  <c r="F2391" i="10"/>
  <c r="E2391" i="10"/>
  <c r="F2390" i="10"/>
  <c r="E2390" i="10"/>
  <c r="F2389" i="10"/>
  <c r="E2389" i="10"/>
  <c r="F2388" i="10"/>
  <c r="E2388" i="10"/>
  <c r="F2387" i="10"/>
  <c r="E2387" i="10"/>
  <c r="F2386" i="10"/>
  <c r="E2386" i="10"/>
  <c r="F2385" i="10"/>
  <c r="E2385" i="10"/>
  <c r="F2384" i="10"/>
  <c r="E2384" i="10"/>
  <c r="F2383" i="10"/>
  <c r="E2383" i="10"/>
  <c r="F2382" i="10"/>
  <c r="E2382" i="10"/>
  <c r="F2381" i="10"/>
  <c r="E2381" i="10"/>
  <c r="F2380" i="10"/>
  <c r="E2380" i="10"/>
  <c r="F2379" i="10"/>
  <c r="E2379" i="10"/>
  <c r="F2378" i="10"/>
  <c r="E2378" i="10"/>
  <c r="F2377" i="10"/>
  <c r="E2377" i="10"/>
  <c r="F2376" i="10"/>
  <c r="E2376" i="10"/>
  <c r="F2375" i="10"/>
  <c r="E2375" i="10"/>
  <c r="F2374" i="10"/>
  <c r="E2374" i="10"/>
  <c r="F2373" i="10"/>
  <c r="E2373" i="10"/>
  <c r="F2372" i="10"/>
  <c r="E2372" i="10"/>
  <c r="F2371" i="10"/>
  <c r="E2371" i="10"/>
  <c r="F2370" i="10"/>
  <c r="E2370" i="10"/>
  <c r="F2369" i="10"/>
  <c r="E2369" i="10"/>
  <c r="F2368" i="10"/>
  <c r="E2368" i="10"/>
  <c r="F2367" i="10"/>
  <c r="E2367" i="10"/>
  <c r="F2366" i="10"/>
  <c r="E2366" i="10"/>
  <c r="F2365" i="10"/>
  <c r="E2365" i="10"/>
  <c r="F2364" i="10"/>
  <c r="E2364" i="10"/>
  <c r="F2363" i="10"/>
  <c r="E2363" i="10"/>
  <c r="F2362" i="10"/>
  <c r="E2362" i="10"/>
  <c r="F2361" i="10"/>
  <c r="E2361" i="10"/>
  <c r="F2360" i="10"/>
  <c r="E2360" i="10"/>
  <c r="F2359" i="10"/>
  <c r="E2359" i="10"/>
  <c r="F2358" i="10"/>
  <c r="E2358" i="10"/>
  <c r="F2357" i="10"/>
  <c r="E2357" i="10"/>
  <c r="F2356" i="10"/>
  <c r="E2356" i="10"/>
  <c r="F2355" i="10"/>
  <c r="E2355" i="10"/>
  <c r="F2354" i="10"/>
  <c r="E2354" i="10"/>
  <c r="F2353" i="10"/>
  <c r="E2353" i="10"/>
  <c r="F2352" i="10"/>
  <c r="E2352" i="10"/>
  <c r="F2351" i="10"/>
  <c r="E2351" i="10"/>
  <c r="F2350" i="10"/>
  <c r="E2350" i="10"/>
  <c r="F2349" i="10"/>
  <c r="E2349" i="10"/>
  <c r="F2348" i="10"/>
  <c r="E2348" i="10"/>
  <c r="F2347" i="10"/>
  <c r="E2347" i="10"/>
  <c r="F2346" i="10"/>
  <c r="E2346" i="10"/>
  <c r="F2345" i="10"/>
  <c r="E2345" i="10"/>
  <c r="F2344" i="10"/>
  <c r="E2344" i="10"/>
  <c r="F2343" i="10"/>
  <c r="E2343" i="10"/>
  <c r="F2342" i="10"/>
  <c r="E2342" i="10"/>
  <c r="F2341" i="10"/>
  <c r="E2341" i="10"/>
  <c r="F2340" i="10"/>
  <c r="E2340" i="10"/>
  <c r="F2339" i="10"/>
  <c r="E2339" i="10"/>
  <c r="F2338" i="10"/>
  <c r="E2338" i="10"/>
  <c r="F2337" i="10"/>
  <c r="E2337" i="10"/>
  <c r="F2336" i="10"/>
  <c r="E2336" i="10"/>
  <c r="F2335" i="10"/>
  <c r="E2335" i="10"/>
  <c r="F2334" i="10"/>
  <c r="E2334" i="10"/>
  <c r="F2333" i="10"/>
  <c r="E2333" i="10"/>
  <c r="F2332" i="10"/>
  <c r="E2332" i="10"/>
  <c r="F2331" i="10"/>
  <c r="E2331" i="10"/>
  <c r="F2330" i="10"/>
  <c r="E2330" i="10"/>
  <c r="F2329" i="10"/>
  <c r="E2329" i="10"/>
  <c r="F2328" i="10"/>
  <c r="E2328" i="10"/>
  <c r="F2327" i="10"/>
  <c r="E2327" i="10"/>
  <c r="F2326" i="10"/>
  <c r="E2326" i="10"/>
  <c r="F2325" i="10"/>
  <c r="E2325" i="10"/>
  <c r="F2324" i="10"/>
  <c r="E2324" i="10"/>
  <c r="F2323" i="10"/>
  <c r="E2323" i="10"/>
  <c r="F2322" i="10"/>
  <c r="E2322" i="10"/>
  <c r="F2321" i="10"/>
  <c r="E2321" i="10"/>
  <c r="F2320" i="10"/>
  <c r="E2320" i="10"/>
  <c r="F2319" i="10"/>
  <c r="E2319" i="10"/>
  <c r="F2318" i="10"/>
  <c r="E2318" i="10"/>
  <c r="F2317" i="10"/>
  <c r="E2317" i="10"/>
  <c r="F2316" i="10"/>
  <c r="E2316" i="10"/>
  <c r="F2315" i="10"/>
  <c r="E2315" i="10"/>
  <c r="F2314" i="10"/>
  <c r="E2314" i="10"/>
  <c r="F2313" i="10"/>
  <c r="E2313" i="10"/>
  <c r="F2312" i="10"/>
  <c r="E2312" i="10"/>
  <c r="F2311" i="10"/>
  <c r="E2311" i="10"/>
  <c r="F2310" i="10"/>
  <c r="E2310" i="10"/>
  <c r="F2309" i="10"/>
  <c r="E2309" i="10"/>
  <c r="F2308" i="10"/>
  <c r="E2308" i="10"/>
  <c r="F2307" i="10"/>
  <c r="E2307" i="10"/>
  <c r="F2306" i="10"/>
  <c r="E2306" i="10"/>
  <c r="F2305" i="10"/>
  <c r="E2305" i="10"/>
  <c r="F2304" i="10"/>
  <c r="E2304" i="10"/>
  <c r="F2303" i="10"/>
  <c r="E2303" i="10"/>
  <c r="F2302" i="10"/>
  <c r="E2302" i="10"/>
  <c r="F2301" i="10"/>
  <c r="E2301" i="10"/>
  <c r="F2300" i="10"/>
  <c r="E2300" i="10"/>
  <c r="F2299" i="10"/>
  <c r="E2299" i="10"/>
  <c r="F2298" i="10"/>
  <c r="E2298" i="10"/>
  <c r="F2297" i="10"/>
  <c r="E2297" i="10"/>
  <c r="F2296" i="10"/>
  <c r="E2296" i="10"/>
  <c r="F2295" i="10"/>
  <c r="E2295" i="10"/>
  <c r="F2294" i="10"/>
  <c r="E2294" i="10"/>
  <c r="F2293" i="10"/>
  <c r="E2293" i="10"/>
  <c r="F2292" i="10"/>
  <c r="E2292" i="10"/>
  <c r="F2291" i="10"/>
  <c r="E2291" i="10"/>
  <c r="F2290" i="10"/>
  <c r="E2290" i="10"/>
  <c r="F2289" i="10"/>
  <c r="E2289" i="10"/>
  <c r="F2288" i="10"/>
  <c r="E2288" i="10"/>
  <c r="F2287" i="10"/>
  <c r="E2287" i="10"/>
  <c r="F2286" i="10"/>
  <c r="E2286" i="10"/>
  <c r="F2285" i="10"/>
  <c r="E2285" i="10"/>
  <c r="F2284" i="10"/>
  <c r="E2284" i="10"/>
  <c r="F2283" i="10"/>
  <c r="E2283" i="10"/>
  <c r="F2282" i="10"/>
  <c r="E2282" i="10"/>
  <c r="F2281" i="10"/>
  <c r="E2281" i="10"/>
  <c r="F2280" i="10"/>
  <c r="E2280" i="10"/>
  <c r="F2279" i="10"/>
  <c r="E2279" i="10"/>
  <c r="F2278" i="10"/>
  <c r="E2278" i="10"/>
  <c r="F2277" i="10"/>
  <c r="E2277" i="10"/>
  <c r="F2276" i="10"/>
  <c r="E2276" i="10"/>
  <c r="F2275" i="10"/>
  <c r="E2275" i="10"/>
  <c r="F2274" i="10"/>
  <c r="E2274" i="10"/>
  <c r="F2273" i="10"/>
  <c r="E2273" i="10"/>
  <c r="F2272" i="10"/>
  <c r="E2272" i="10"/>
  <c r="F2271" i="10"/>
  <c r="E2271" i="10"/>
  <c r="F2270" i="10"/>
  <c r="E2270" i="10"/>
  <c r="F2269" i="10"/>
  <c r="E2269" i="10"/>
  <c r="F2268" i="10"/>
  <c r="E2268" i="10"/>
  <c r="F2267" i="10"/>
  <c r="E2267" i="10"/>
  <c r="F2266" i="10"/>
  <c r="E2266" i="10"/>
  <c r="F2265" i="10"/>
  <c r="E2265" i="10"/>
  <c r="F2264" i="10"/>
  <c r="E2264" i="10"/>
  <c r="F2263" i="10"/>
  <c r="E2263" i="10"/>
  <c r="F2262" i="10"/>
  <c r="E2262" i="10"/>
  <c r="F2261" i="10"/>
  <c r="E2261" i="10"/>
  <c r="F2260" i="10"/>
  <c r="E2260" i="10"/>
  <c r="F2259" i="10"/>
  <c r="E2259" i="10"/>
  <c r="F2258" i="10"/>
  <c r="E2258" i="10"/>
  <c r="F2257" i="10"/>
  <c r="E2257" i="10"/>
  <c r="F2256" i="10"/>
  <c r="E2256" i="10"/>
  <c r="F2255" i="10"/>
  <c r="E2255" i="10"/>
  <c r="F2254" i="10"/>
  <c r="E2254" i="10"/>
  <c r="F2253" i="10"/>
  <c r="E2253" i="10"/>
  <c r="F2252" i="10"/>
  <c r="E2252" i="10"/>
  <c r="F2251" i="10"/>
  <c r="E2251" i="10"/>
  <c r="F2250" i="10"/>
  <c r="E2250" i="10"/>
  <c r="F2249" i="10"/>
  <c r="E2249" i="10"/>
  <c r="F2248" i="10"/>
  <c r="E2248" i="10"/>
  <c r="F2247" i="10"/>
  <c r="E2247" i="10"/>
  <c r="F2246" i="10"/>
  <c r="E2246" i="10"/>
  <c r="F2245" i="10"/>
  <c r="E2245" i="10"/>
  <c r="F2244" i="10"/>
  <c r="E2244" i="10"/>
  <c r="F2243" i="10"/>
  <c r="E2243" i="10"/>
  <c r="F2242" i="10"/>
  <c r="E2242" i="10"/>
  <c r="F2241" i="10"/>
  <c r="E2241" i="10"/>
  <c r="F2240" i="10"/>
  <c r="E2240" i="10"/>
  <c r="F2239" i="10"/>
  <c r="E2239" i="10"/>
  <c r="F2238" i="10"/>
  <c r="E2238" i="10"/>
  <c r="F2237" i="10"/>
  <c r="E2237" i="10"/>
  <c r="F2236" i="10"/>
  <c r="E2236" i="10"/>
  <c r="F2235" i="10"/>
  <c r="E2235" i="10"/>
  <c r="F2234" i="10"/>
  <c r="E2234" i="10"/>
  <c r="F2233" i="10"/>
  <c r="E2233" i="10"/>
  <c r="F2232" i="10"/>
  <c r="E2232" i="10"/>
  <c r="F2231" i="10"/>
  <c r="E2231" i="10"/>
  <c r="F2230" i="10"/>
  <c r="E2230" i="10"/>
  <c r="F2229" i="10"/>
  <c r="E2229" i="10"/>
  <c r="F2228" i="10"/>
  <c r="E2228" i="10"/>
  <c r="F2227" i="10"/>
  <c r="E2227" i="10"/>
  <c r="F2226" i="10"/>
  <c r="E2226" i="10"/>
  <c r="F2225" i="10"/>
  <c r="E2225" i="10"/>
  <c r="F2224" i="10"/>
  <c r="E2224" i="10"/>
  <c r="F2223" i="10"/>
  <c r="E2223" i="10"/>
  <c r="F2222" i="10"/>
  <c r="E2222" i="10"/>
  <c r="F2221" i="10"/>
  <c r="E2221" i="10"/>
  <c r="F2220" i="10"/>
  <c r="E2220" i="10"/>
  <c r="F2219" i="10"/>
  <c r="E2219" i="10"/>
  <c r="F2218" i="10"/>
  <c r="E2218" i="10"/>
  <c r="F2217" i="10"/>
  <c r="E2217" i="10"/>
  <c r="F2216" i="10"/>
  <c r="E2216" i="10"/>
  <c r="F2215" i="10"/>
  <c r="E2215" i="10"/>
  <c r="F2214" i="10"/>
  <c r="E2214" i="10"/>
  <c r="F2213" i="10"/>
  <c r="E2213" i="10"/>
  <c r="F2212" i="10"/>
  <c r="E2212" i="10"/>
  <c r="F2211" i="10"/>
  <c r="E2211" i="10"/>
  <c r="F2210" i="10"/>
  <c r="E2210" i="10"/>
  <c r="F2209" i="10"/>
  <c r="E2209" i="10"/>
  <c r="F2208" i="10"/>
  <c r="E2208" i="10"/>
  <c r="F2207" i="10"/>
  <c r="E2207" i="10"/>
  <c r="F2206" i="10"/>
  <c r="E2206" i="10"/>
  <c r="F2205" i="10"/>
  <c r="E2205" i="10"/>
  <c r="F2204" i="10"/>
  <c r="E2204" i="10"/>
  <c r="F2203" i="10"/>
  <c r="E2203" i="10"/>
  <c r="F2202" i="10"/>
  <c r="E2202" i="10"/>
  <c r="F2201" i="10"/>
  <c r="E2201" i="10"/>
  <c r="F2200" i="10"/>
  <c r="E2200" i="10"/>
  <c r="F2199" i="10"/>
  <c r="E2199" i="10"/>
  <c r="F2198" i="10"/>
  <c r="E2198" i="10"/>
  <c r="F2197" i="10"/>
  <c r="E2197" i="10"/>
  <c r="F2196" i="10"/>
  <c r="E2196" i="10"/>
  <c r="F2195" i="10"/>
  <c r="E2195" i="10"/>
  <c r="F2194" i="10"/>
  <c r="E2194" i="10"/>
  <c r="F2193" i="10"/>
  <c r="E2193" i="10"/>
  <c r="F2192" i="10"/>
  <c r="E2192" i="10"/>
  <c r="F2191" i="10"/>
  <c r="E2191" i="10"/>
  <c r="F2190" i="10"/>
  <c r="E2190" i="10"/>
  <c r="F2189" i="10"/>
  <c r="E2189" i="10"/>
  <c r="F2188" i="10"/>
  <c r="E2188" i="10"/>
  <c r="F2187" i="10"/>
  <c r="E2187" i="10"/>
  <c r="F2186" i="10"/>
  <c r="E2186" i="10"/>
  <c r="F2185" i="10"/>
  <c r="E2185" i="10"/>
  <c r="F2184" i="10"/>
  <c r="E2184" i="10"/>
  <c r="F2183" i="10"/>
  <c r="E2183" i="10"/>
  <c r="F2182" i="10"/>
  <c r="E2182" i="10"/>
  <c r="F2181" i="10"/>
  <c r="E2181" i="10"/>
  <c r="F2180" i="10"/>
  <c r="E2180" i="10"/>
  <c r="F2179" i="10"/>
  <c r="E2179" i="10"/>
  <c r="F2178" i="10"/>
  <c r="E2178" i="10"/>
  <c r="F2177" i="10"/>
  <c r="E2177" i="10"/>
  <c r="F2176" i="10"/>
  <c r="E2176" i="10"/>
  <c r="F2175" i="10"/>
  <c r="E2175" i="10"/>
  <c r="F2174" i="10"/>
  <c r="E2174" i="10"/>
  <c r="F2173" i="10"/>
  <c r="E2173" i="10"/>
  <c r="F2172" i="10"/>
  <c r="E2172" i="10"/>
  <c r="F2171" i="10"/>
  <c r="E2171" i="10"/>
  <c r="F2170" i="10"/>
  <c r="E2170" i="10"/>
  <c r="F2169" i="10"/>
  <c r="E2169" i="10"/>
  <c r="F2168" i="10"/>
  <c r="E2168" i="10"/>
  <c r="F2167" i="10"/>
  <c r="E2167" i="10"/>
  <c r="F2166" i="10"/>
  <c r="E2166" i="10"/>
  <c r="F2165" i="10"/>
  <c r="E2165" i="10"/>
  <c r="F2164" i="10"/>
  <c r="E2164" i="10"/>
  <c r="F2163" i="10"/>
  <c r="E2163" i="10"/>
  <c r="F2162" i="10"/>
  <c r="E2162" i="10"/>
  <c r="F2161" i="10"/>
  <c r="E2161" i="10"/>
  <c r="F2160" i="10"/>
  <c r="E2160" i="10"/>
  <c r="F2159" i="10"/>
  <c r="E2159" i="10"/>
  <c r="F2158" i="10"/>
  <c r="E2158" i="10"/>
  <c r="F2157" i="10"/>
  <c r="E2157" i="10"/>
  <c r="F2156" i="10"/>
  <c r="E2156" i="10"/>
  <c r="F2155" i="10"/>
  <c r="E2155" i="10"/>
  <c r="F2154" i="10"/>
  <c r="E2154" i="10"/>
  <c r="F2153" i="10"/>
  <c r="E2153" i="10"/>
  <c r="F2152" i="10"/>
  <c r="E2152" i="10"/>
  <c r="F2151" i="10"/>
  <c r="E2151" i="10"/>
  <c r="F2150" i="10"/>
  <c r="E2150" i="10"/>
  <c r="F2149" i="10"/>
  <c r="E2149" i="10"/>
  <c r="F2148" i="10"/>
  <c r="E2148" i="10"/>
  <c r="F2147" i="10"/>
  <c r="E2147" i="10"/>
  <c r="F2146" i="10"/>
  <c r="E2146" i="10"/>
  <c r="F2145" i="10"/>
  <c r="E2145" i="10"/>
  <c r="F2144" i="10"/>
  <c r="E2144" i="10"/>
  <c r="F2143" i="10"/>
  <c r="E2143" i="10"/>
  <c r="F2142" i="10"/>
  <c r="E2142" i="10"/>
  <c r="F2141" i="10"/>
  <c r="E2141" i="10"/>
  <c r="F2140" i="10"/>
  <c r="E2140" i="10"/>
  <c r="F2139" i="10"/>
  <c r="E2139" i="10"/>
  <c r="F2138" i="10"/>
  <c r="E2138" i="10"/>
  <c r="F2137" i="10"/>
  <c r="E2137" i="10"/>
  <c r="F2136" i="10"/>
  <c r="E2136" i="10"/>
  <c r="F2135" i="10"/>
  <c r="E2135" i="10"/>
  <c r="F2134" i="10"/>
  <c r="E2134" i="10"/>
  <c r="F2133" i="10"/>
  <c r="E2133" i="10"/>
  <c r="F2132" i="10"/>
  <c r="E2132" i="10"/>
  <c r="F2131" i="10"/>
  <c r="E2131" i="10"/>
  <c r="F2130" i="10"/>
  <c r="E2130" i="10"/>
  <c r="F2129" i="10"/>
  <c r="E2129" i="10"/>
  <c r="F2128" i="10"/>
  <c r="E2128" i="10"/>
  <c r="F2127" i="10"/>
  <c r="E2127" i="10"/>
  <c r="F2126" i="10"/>
  <c r="E2126" i="10"/>
  <c r="F2125" i="10"/>
  <c r="E2125" i="10"/>
  <c r="F2124" i="10"/>
  <c r="E2124" i="10"/>
  <c r="F2123" i="10"/>
  <c r="E2123" i="10"/>
  <c r="F2122" i="10"/>
  <c r="E2122" i="10"/>
  <c r="F2121" i="10"/>
  <c r="E2121" i="10"/>
  <c r="F2120" i="10"/>
  <c r="E2120" i="10"/>
  <c r="F2119" i="10"/>
  <c r="E2119" i="10"/>
  <c r="F2118" i="10"/>
  <c r="E2118" i="10"/>
  <c r="F2117" i="10"/>
  <c r="E2117" i="10"/>
  <c r="F2116" i="10"/>
  <c r="E2116" i="10"/>
  <c r="F2115" i="10"/>
  <c r="E2115" i="10"/>
  <c r="F2114" i="10"/>
  <c r="E2114" i="10"/>
  <c r="F2113" i="10"/>
  <c r="E2113" i="10"/>
  <c r="F2112" i="10"/>
  <c r="E2112" i="10"/>
  <c r="F2111" i="10"/>
  <c r="E2111" i="10"/>
  <c r="F2110" i="10"/>
  <c r="E2110" i="10"/>
  <c r="F2109" i="10"/>
  <c r="E2109" i="10"/>
  <c r="F2108" i="10"/>
  <c r="E2108" i="10"/>
  <c r="F2107" i="10"/>
  <c r="E2107" i="10"/>
  <c r="F2106" i="10"/>
  <c r="E2106" i="10"/>
  <c r="F2105" i="10"/>
  <c r="E2105" i="10"/>
  <c r="F2104" i="10"/>
  <c r="E2104" i="10"/>
  <c r="F2103" i="10"/>
  <c r="E2103" i="10"/>
  <c r="F2102" i="10"/>
  <c r="E2102" i="10"/>
  <c r="F2101" i="10"/>
  <c r="E2101" i="10"/>
  <c r="F2100" i="10"/>
  <c r="E2100" i="10"/>
  <c r="F2099" i="10"/>
  <c r="E2099" i="10"/>
  <c r="F2098" i="10"/>
  <c r="E2098" i="10"/>
  <c r="F2097" i="10"/>
  <c r="E2097" i="10"/>
  <c r="F2096" i="10"/>
  <c r="E2096" i="10"/>
  <c r="F2095" i="10"/>
  <c r="E2095" i="10"/>
  <c r="F2094" i="10"/>
  <c r="E2094" i="10"/>
  <c r="F2093" i="10"/>
  <c r="E2093" i="10"/>
  <c r="F2092" i="10"/>
  <c r="E2092" i="10"/>
  <c r="F2091" i="10"/>
  <c r="E2091" i="10"/>
  <c r="F2090" i="10"/>
  <c r="E2090" i="10"/>
  <c r="F2089" i="10"/>
  <c r="E2089" i="10"/>
  <c r="F2088" i="10"/>
  <c r="E2088" i="10"/>
  <c r="F2087" i="10"/>
  <c r="E2087" i="10"/>
  <c r="F2086" i="10"/>
  <c r="E2086" i="10"/>
  <c r="F2085" i="10"/>
  <c r="E2085" i="10"/>
  <c r="F2084" i="10"/>
  <c r="E2084" i="10"/>
  <c r="F2083" i="10"/>
  <c r="E2083" i="10"/>
  <c r="F2082" i="10"/>
  <c r="E2082" i="10"/>
  <c r="F2081" i="10"/>
  <c r="E2081" i="10"/>
  <c r="F2080" i="10"/>
  <c r="E2080" i="10"/>
  <c r="F2079" i="10"/>
  <c r="E2079" i="10"/>
  <c r="F2078" i="10"/>
  <c r="E2078" i="10"/>
  <c r="F2077" i="10"/>
  <c r="E2077" i="10"/>
  <c r="F2076" i="10"/>
  <c r="E2076" i="10"/>
  <c r="F2075" i="10"/>
  <c r="E2075" i="10"/>
  <c r="F2074" i="10"/>
  <c r="E2074" i="10"/>
  <c r="F2073" i="10"/>
  <c r="E2073" i="10"/>
  <c r="F2072" i="10"/>
  <c r="E2072" i="10"/>
  <c r="F2071" i="10"/>
  <c r="E2071" i="10"/>
  <c r="F2070" i="10"/>
  <c r="E2070" i="10"/>
  <c r="F2069" i="10"/>
  <c r="E2069" i="10"/>
  <c r="F2068" i="10"/>
  <c r="E2068" i="10"/>
  <c r="F2067" i="10"/>
  <c r="E2067" i="10"/>
  <c r="F2066" i="10"/>
  <c r="E2066" i="10"/>
  <c r="F2065" i="10"/>
  <c r="E2065" i="10"/>
  <c r="F2064" i="10"/>
  <c r="E2064" i="10"/>
  <c r="F2063" i="10"/>
  <c r="E2063" i="10"/>
  <c r="F2062" i="10"/>
  <c r="E2062" i="10"/>
  <c r="F2061" i="10"/>
  <c r="E2061" i="10"/>
  <c r="F2060" i="10"/>
  <c r="E2060" i="10"/>
  <c r="F2059" i="10"/>
  <c r="E2059" i="10"/>
  <c r="F2058" i="10"/>
  <c r="E2058" i="10"/>
  <c r="F2057" i="10"/>
  <c r="E2057" i="10"/>
  <c r="F2056" i="10"/>
  <c r="E2056" i="10"/>
  <c r="F2055" i="10"/>
  <c r="E2055" i="10"/>
  <c r="F2054" i="10"/>
  <c r="E2054" i="10"/>
  <c r="F2053" i="10"/>
  <c r="E2053" i="10"/>
  <c r="F2052" i="10"/>
  <c r="E2052" i="10"/>
  <c r="F2051" i="10"/>
  <c r="E2051" i="10"/>
  <c r="F2050" i="10"/>
  <c r="E2050" i="10"/>
  <c r="F2049" i="10"/>
  <c r="E2049" i="10"/>
  <c r="F2048" i="10"/>
  <c r="E2048" i="10"/>
  <c r="F2047" i="10"/>
  <c r="E2047" i="10"/>
  <c r="F2046" i="10"/>
  <c r="E2046" i="10"/>
  <c r="F2045" i="10"/>
  <c r="E2045" i="10"/>
  <c r="F2044" i="10"/>
  <c r="E2044" i="10"/>
  <c r="F2043" i="10"/>
  <c r="E2043" i="10"/>
  <c r="F2042" i="10"/>
  <c r="E2042" i="10"/>
  <c r="F2041" i="10"/>
  <c r="E2041" i="10"/>
  <c r="F2040" i="10"/>
  <c r="E2040" i="10"/>
  <c r="F2039" i="10"/>
  <c r="E2039" i="10"/>
  <c r="F2038" i="10"/>
  <c r="E2038" i="10"/>
  <c r="F2037" i="10"/>
  <c r="E2037" i="10"/>
  <c r="F2036" i="10"/>
  <c r="E2036" i="10"/>
  <c r="F2035" i="10"/>
  <c r="E2035" i="10"/>
  <c r="F2034" i="10"/>
  <c r="E2034" i="10"/>
  <c r="F2033" i="10"/>
  <c r="E2033" i="10"/>
  <c r="F2032" i="10"/>
  <c r="E2032" i="10"/>
  <c r="F2031" i="10"/>
  <c r="E2031" i="10"/>
  <c r="F2030" i="10"/>
  <c r="E2030" i="10"/>
  <c r="F2029" i="10"/>
  <c r="E2029" i="10"/>
  <c r="F2028" i="10"/>
  <c r="E2028" i="10"/>
  <c r="F2027" i="10"/>
  <c r="E2027" i="10"/>
  <c r="F2026" i="10"/>
  <c r="E2026" i="10"/>
  <c r="F2025" i="10"/>
  <c r="E2025" i="10"/>
  <c r="F2024" i="10"/>
  <c r="E2024" i="10"/>
  <c r="F2023" i="10"/>
  <c r="E2023" i="10"/>
  <c r="F2022" i="10"/>
  <c r="E2022" i="10"/>
  <c r="F2021" i="10"/>
  <c r="E2021" i="10"/>
  <c r="F2020" i="10"/>
  <c r="E2020" i="10"/>
  <c r="F2019" i="10"/>
  <c r="E2019" i="10"/>
  <c r="F2018" i="10"/>
  <c r="E2018" i="10"/>
  <c r="F2017" i="10"/>
  <c r="E2017" i="10"/>
  <c r="F2016" i="10"/>
  <c r="E2016" i="10"/>
  <c r="F2015" i="10"/>
  <c r="E2015" i="10"/>
  <c r="F2014" i="10"/>
  <c r="E2014" i="10"/>
  <c r="F2013" i="10"/>
  <c r="E2013" i="10"/>
  <c r="F2012" i="10"/>
  <c r="E2012" i="10"/>
  <c r="F2011" i="10"/>
  <c r="E2011" i="10"/>
  <c r="F2010" i="10"/>
  <c r="E2010" i="10"/>
  <c r="F2009" i="10"/>
  <c r="E2009" i="10"/>
  <c r="F2008" i="10"/>
  <c r="E2008" i="10"/>
  <c r="F2007" i="10"/>
  <c r="E2007" i="10"/>
  <c r="F2006" i="10"/>
  <c r="E2006" i="10"/>
  <c r="F2005" i="10"/>
  <c r="E2005" i="10"/>
  <c r="F2004" i="10"/>
  <c r="E2004" i="10"/>
  <c r="F2003" i="10"/>
  <c r="E2003" i="10"/>
  <c r="F2002" i="10"/>
  <c r="E2002" i="10"/>
  <c r="F2001" i="10"/>
  <c r="E2001" i="10"/>
  <c r="F2000" i="10"/>
  <c r="E2000" i="10"/>
  <c r="F1999" i="10"/>
  <c r="E1999" i="10"/>
  <c r="F1998" i="10"/>
  <c r="E1998" i="10"/>
  <c r="F1997" i="10"/>
  <c r="E1997" i="10"/>
  <c r="F1996" i="10"/>
  <c r="E1996" i="10"/>
  <c r="F1995" i="10"/>
  <c r="E1995" i="10"/>
  <c r="F1994" i="10"/>
  <c r="E1994" i="10"/>
  <c r="F1993" i="10"/>
  <c r="E1993" i="10"/>
  <c r="F1992" i="10"/>
  <c r="E1992" i="10"/>
  <c r="F1991" i="10"/>
  <c r="E1991" i="10"/>
  <c r="F1990" i="10"/>
  <c r="E1990" i="10"/>
  <c r="F1989" i="10"/>
  <c r="E1989" i="10"/>
  <c r="F1988" i="10"/>
  <c r="E1988" i="10"/>
  <c r="F1987" i="10"/>
  <c r="E1987" i="10"/>
  <c r="F1986" i="10"/>
  <c r="E1986" i="10"/>
  <c r="F1985" i="10"/>
  <c r="E1985" i="10"/>
  <c r="F1984" i="10"/>
  <c r="E1984" i="10"/>
  <c r="F1983" i="10"/>
  <c r="E1983" i="10"/>
  <c r="F1982" i="10"/>
  <c r="E1982" i="10"/>
  <c r="F1981" i="10"/>
  <c r="E1981" i="10"/>
  <c r="F1980" i="10"/>
  <c r="E1980" i="10"/>
  <c r="F1979" i="10"/>
  <c r="E1979" i="10"/>
  <c r="F1978" i="10"/>
  <c r="E1978" i="10"/>
  <c r="F1977" i="10"/>
  <c r="E1977" i="10"/>
  <c r="F1976" i="10"/>
  <c r="E1976" i="10"/>
  <c r="F1975" i="10"/>
  <c r="E1975" i="10"/>
  <c r="F1974" i="10"/>
  <c r="E1974" i="10"/>
  <c r="F1973" i="10"/>
  <c r="E1973" i="10"/>
  <c r="F1972" i="10"/>
  <c r="E1972" i="10"/>
  <c r="F1971" i="10"/>
  <c r="E1971" i="10"/>
  <c r="F1970" i="10"/>
  <c r="E1970" i="10"/>
  <c r="F1969" i="10"/>
  <c r="E1969" i="10"/>
  <c r="F1968" i="10"/>
  <c r="E1968" i="10"/>
  <c r="F1967" i="10"/>
  <c r="E1967" i="10"/>
  <c r="F1966" i="10"/>
  <c r="E1966" i="10"/>
  <c r="F1965" i="10"/>
  <c r="E1965" i="10"/>
  <c r="F1964" i="10"/>
  <c r="E1964" i="10"/>
  <c r="F1963" i="10"/>
  <c r="E1963" i="10"/>
  <c r="F1962" i="10"/>
  <c r="E1962" i="10"/>
  <c r="F1961" i="10"/>
  <c r="E1961" i="10"/>
  <c r="F1960" i="10"/>
  <c r="E1960" i="10"/>
  <c r="F1959" i="10"/>
  <c r="E1959" i="10"/>
  <c r="F1958" i="10"/>
  <c r="E1958" i="10"/>
  <c r="F1957" i="10"/>
  <c r="E1957" i="10"/>
  <c r="F1956" i="10"/>
  <c r="E1956" i="10"/>
  <c r="F1955" i="10"/>
  <c r="E1955" i="10"/>
  <c r="F1954" i="10"/>
  <c r="E1954" i="10"/>
  <c r="F1953" i="10"/>
  <c r="E1953" i="10"/>
  <c r="F1952" i="10"/>
  <c r="E1952" i="10"/>
  <c r="F1951" i="10"/>
  <c r="E1951" i="10"/>
  <c r="F1950" i="10"/>
  <c r="E1950" i="10"/>
  <c r="F1949" i="10"/>
  <c r="E1949" i="10"/>
  <c r="F1948" i="10"/>
  <c r="E1948" i="10"/>
  <c r="F1947" i="10"/>
  <c r="E1947" i="10"/>
  <c r="F1946" i="10"/>
  <c r="E1946" i="10"/>
  <c r="F1945" i="10"/>
  <c r="E1945" i="10"/>
  <c r="F1944" i="10"/>
  <c r="E1944" i="10"/>
  <c r="F1943" i="10"/>
  <c r="E1943" i="10"/>
  <c r="F1942" i="10"/>
  <c r="E1942" i="10"/>
  <c r="F1941" i="10"/>
  <c r="E1941" i="10"/>
  <c r="F1940" i="10"/>
  <c r="E1940" i="10"/>
  <c r="F1939" i="10"/>
  <c r="E1939" i="10"/>
  <c r="F1938" i="10"/>
  <c r="E1938" i="10"/>
  <c r="F1937" i="10"/>
  <c r="E1937" i="10"/>
  <c r="F1936" i="10"/>
  <c r="E1936" i="10"/>
  <c r="F1935" i="10"/>
  <c r="E1935" i="10"/>
  <c r="F1934" i="10"/>
  <c r="E1934" i="10"/>
  <c r="F1933" i="10"/>
  <c r="E1933" i="10"/>
  <c r="F1932" i="10"/>
  <c r="E1932" i="10"/>
  <c r="F1931" i="10"/>
  <c r="E1931" i="10"/>
  <c r="F1930" i="10"/>
  <c r="E1930" i="10"/>
  <c r="F1929" i="10"/>
  <c r="E1929" i="10"/>
  <c r="F1928" i="10"/>
  <c r="E1928" i="10"/>
  <c r="F1927" i="10"/>
  <c r="E1927" i="10"/>
  <c r="F1926" i="10"/>
  <c r="E1926" i="10"/>
  <c r="F1925" i="10"/>
  <c r="E1925" i="10"/>
  <c r="F1924" i="10"/>
  <c r="E1924" i="10"/>
  <c r="F1923" i="10"/>
  <c r="E1923" i="10"/>
  <c r="F1922" i="10"/>
  <c r="E1922" i="10"/>
  <c r="F1921" i="10"/>
  <c r="E1921" i="10"/>
  <c r="F1920" i="10"/>
  <c r="E1920" i="10"/>
  <c r="F1919" i="10"/>
  <c r="E1919" i="10"/>
  <c r="F1918" i="10"/>
  <c r="E1918" i="10"/>
  <c r="F1917" i="10"/>
  <c r="E1917" i="10"/>
  <c r="F1916" i="10"/>
  <c r="E1916" i="10"/>
  <c r="F1915" i="10"/>
  <c r="E1915" i="10"/>
  <c r="F1914" i="10"/>
  <c r="E1914" i="10"/>
  <c r="F1913" i="10"/>
  <c r="E1913" i="10"/>
  <c r="F1912" i="10"/>
  <c r="E1912" i="10"/>
  <c r="F1911" i="10"/>
  <c r="E1911" i="10"/>
  <c r="F1910" i="10"/>
  <c r="E1910" i="10"/>
  <c r="F1909" i="10"/>
  <c r="E1909" i="10"/>
  <c r="F1908" i="10"/>
  <c r="E1908" i="10"/>
  <c r="F1907" i="10"/>
  <c r="E1907" i="10"/>
  <c r="F1906" i="10"/>
  <c r="E1906" i="10"/>
  <c r="F1905" i="10"/>
  <c r="E1905" i="10"/>
  <c r="F1904" i="10"/>
  <c r="E1904" i="10"/>
  <c r="F1903" i="10"/>
  <c r="E1903" i="10"/>
  <c r="F1902" i="10"/>
  <c r="E1902" i="10"/>
  <c r="F1901" i="10"/>
  <c r="E1901" i="10"/>
  <c r="F1900" i="10"/>
  <c r="E1900" i="10"/>
  <c r="F1899" i="10"/>
  <c r="E1899" i="10"/>
  <c r="F1898" i="10"/>
  <c r="E1898" i="10"/>
  <c r="F1897" i="10"/>
  <c r="E1897" i="10"/>
  <c r="F1896" i="10"/>
  <c r="E1896" i="10"/>
  <c r="F1895" i="10"/>
  <c r="E1895" i="10"/>
  <c r="F1894" i="10"/>
  <c r="E1894" i="10"/>
  <c r="F1893" i="10"/>
  <c r="E1893" i="10"/>
  <c r="F1892" i="10"/>
  <c r="E1892" i="10"/>
  <c r="F1891" i="10"/>
  <c r="E1891" i="10"/>
  <c r="F1890" i="10"/>
  <c r="E1890" i="10"/>
  <c r="F1889" i="10"/>
  <c r="E1889" i="10"/>
  <c r="F1888" i="10"/>
  <c r="E1888" i="10"/>
  <c r="F1887" i="10"/>
  <c r="E1887" i="10"/>
  <c r="F1886" i="10"/>
  <c r="E1886" i="10"/>
  <c r="F1885" i="10"/>
  <c r="E1885" i="10"/>
  <c r="F1884" i="10"/>
  <c r="E1884" i="10"/>
  <c r="F1883" i="10"/>
  <c r="E1883" i="10"/>
  <c r="F1882" i="10"/>
  <c r="E1882" i="10"/>
  <c r="F1881" i="10"/>
  <c r="E1881" i="10"/>
  <c r="F1880" i="10"/>
  <c r="E1880" i="10"/>
  <c r="F1879" i="10"/>
  <c r="E1879" i="10"/>
  <c r="F1878" i="10"/>
  <c r="E1878" i="10"/>
  <c r="F1877" i="10"/>
  <c r="E1877" i="10"/>
  <c r="F1876" i="10"/>
  <c r="E1876" i="10"/>
  <c r="F1875" i="10"/>
  <c r="E1875" i="10"/>
  <c r="F1874" i="10"/>
  <c r="E1874" i="10"/>
  <c r="F1873" i="10"/>
  <c r="E1873" i="10"/>
  <c r="F1872" i="10"/>
  <c r="E1872" i="10"/>
  <c r="F1871" i="10"/>
  <c r="E1871" i="10"/>
  <c r="F1870" i="10"/>
  <c r="E1870" i="10"/>
  <c r="F1869" i="10"/>
  <c r="E1869" i="10"/>
  <c r="F1868" i="10"/>
  <c r="E1868" i="10"/>
  <c r="F1867" i="10"/>
  <c r="E1867" i="10"/>
  <c r="F1866" i="10"/>
  <c r="E1866" i="10"/>
  <c r="F1865" i="10"/>
  <c r="E1865" i="10"/>
  <c r="F1864" i="10"/>
  <c r="E1864" i="10"/>
  <c r="F1863" i="10"/>
  <c r="E1863" i="10"/>
  <c r="F1862" i="10"/>
  <c r="E1862" i="10"/>
  <c r="F1861" i="10"/>
  <c r="E1861" i="10"/>
  <c r="F1860" i="10"/>
  <c r="E1860" i="10"/>
  <c r="F1859" i="10"/>
  <c r="E1859" i="10"/>
  <c r="F1858" i="10"/>
  <c r="E1858" i="10"/>
  <c r="F1857" i="10"/>
  <c r="E1857" i="10"/>
  <c r="F1856" i="10"/>
  <c r="E1856" i="10"/>
  <c r="F1855" i="10"/>
  <c r="E1855" i="10"/>
  <c r="F1854" i="10"/>
  <c r="E1854" i="10"/>
  <c r="F1853" i="10"/>
  <c r="E1853" i="10"/>
  <c r="F1852" i="10"/>
  <c r="E1852" i="10"/>
  <c r="F1851" i="10"/>
  <c r="E1851" i="10"/>
  <c r="F1850" i="10"/>
  <c r="E1850" i="10"/>
  <c r="F1849" i="10"/>
  <c r="E1849" i="10"/>
  <c r="F1848" i="10"/>
  <c r="E1848" i="10"/>
  <c r="F1847" i="10"/>
  <c r="E1847" i="10"/>
  <c r="F1846" i="10"/>
  <c r="E1846" i="10"/>
  <c r="F1845" i="10"/>
  <c r="E1845" i="10"/>
  <c r="F1844" i="10"/>
  <c r="E1844" i="10"/>
  <c r="F1843" i="10"/>
  <c r="E1843" i="10"/>
  <c r="F1842" i="10"/>
  <c r="E1842" i="10"/>
  <c r="F1841" i="10"/>
  <c r="E1841" i="10"/>
  <c r="F1840" i="10"/>
  <c r="E1840" i="10"/>
  <c r="F1839" i="10"/>
  <c r="E1839" i="10"/>
  <c r="F1838" i="10"/>
  <c r="E1838" i="10"/>
  <c r="F1837" i="10"/>
  <c r="E1837" i="10"/>
  <c r="F1836" i="10"/>
  <c r="E1836" i="10"/>
  <c r="F1835" i="10"/>
  <c r="E1835" i="10"/>
  <c r="F1834" i="10"/>
  <c r="E1834" i="10"/>
  <c r="F1833" i="10"/>
  <c r="E1833" i="10"/>
  <c r="F1832" i="10"/>
  <c r="E1832" i="10"/>
  <c r="F1831" i="10"/>
  <c r="E1831" i="10"/>
  <c r="F1830" i="10"/>
  <c r="E1830" i="10"/>
  <c r="F1829" i="10"/>
  <c r="E1829" i="10"/>
  <c r="F1828" i="10"/>
  <c r="E1828" i="10"/>
  <c r="F1827" i="10"/>
  <c r="E1827" i="10"/>
  <c r="F1826" i="10"/>
  <c r="E1826" i="10"/>
  <c r="F1825" i="10"/>
  <c r="E1825" i="10"/>
  <c r="F1824" i="10"/>
  <c r="E1824" i="10"/>
  <c r="F1823" i="10"/>
  <c r="E1823" i="10"/>
  <c r="F1822" i="10"/>
  <c r="E1822" i="10"/>
  <c r="F1821" i="10"/>
  <c r="E1821" i="10"/>
  <c r="F1820" i="10"/>
  <c r="E1820" i="10"/>
  <c r="F1819" i="10"/>
  <c r="E1819" i="10"/>
  <c r="F1818" i="10"/>
  <c r="E1818" i="10"/>
  <c r="F1817" i="10"/>
  <c r="E1817" i="10"/>
  <c r="F1816" i="10"/>
  <c r="E1816" i="10"/>
  <c r="F1815" i="10"/>
  <c r="E1815" i="10"/>
  <c r="F1814" i="10"/>
  <c r="E1814" i="10"/>
  <c r="F1813" i="10"/>
  <c r="E1813" i="10"/>
  <c r="F1812" i="10"/>
  <c r="E1812" i="10"/>
  <c r="F1811" i="10"/>
  <c r="E1811" i="10"/>
  <c r="F1810" i="10"/>
  <c r="E1810" i="10"/>
  <c r="F1809" i="10"/>
  <c r="E1809" i="10"/>
  <c r="F1808" i="10"/>
  <c r="E1808" i="10"/>
  <c r="F1807" i="10"/>
  <c r="E1807" i="10"/>
  <c r="F1806" i="10"/>
  <c r="E1806" i="10"/>
  <c r="F1805" i="10"/>
  <c r="E1805" i="10"/>
  <c r="F1804" i="10"/>
  <c r="E1804" i="10"/>
  <c r="F1803" i="10"/>
  <c r="E1803" i="10"/>
  <c r="F1802" i="10"/>
  <c r="E1802" i="10"/>
  <c r="F1801" i="10"/>
  <c r="E1801" i="10"/>
  <c r="F1800" i="10"/>
  <c r="E1800" i="10"/>
  <c r="F1799" i="10"/>
  <c r="E1799" i="10"/>
  <c r="F1798" i="10"/>
  <c r="E1798" i="10"/>
  <c r="F1797" i="10"/>
  <c r="E1797" i="10"/>
  <c r="F1796" i="10"/>
  <c r="E1796" i="10"/>
  <c r="F1795" i="10"/>
  <c r="E1795" i="10"/>
  <c r="F1794" i="10"/>
  <c r="E1794" i="10"/>
  <c r="F1793" i="10"/>
  <c r="E1793" i="10"/>
  <c r="F1792" i="10"/>
  <c r="E1792" i="10"/>
  <c r="F1791" i="10"/>
  <c r="E1791" i="10"/>
  <c r="F1790" i="10"/>
  <c r="E1790" i="10"/>
  <c r="F1789" i="10"/>
  <c r="E1789" i="10"/>
  <c r="F1788" i="10"/>
  <c r="E1788" i="10"/>
  <c r="F1787" i="10"/>
  <c r="E1787" i="10"/>
  <c r="F1786" i="10"/>
  <c r="E1786" i="10"/>
  <c r="F1785" i="10"/>
  <c r="E1785" i="10"/>
  <c r="F1784" i="10"/>
  <c r="E1784" i="10"/>
  <c r="F1783" i="10"/>
  <c r="E1783" i="10"/>
  <c r="F1782" i="10"/>
  <c r="E1782" i="10"/>
  <c r="F1781" i="10"/>
  <c r="E1781" i="10"/>
  <c r="F1780" i="10"/>
  <c r="E1780" i="10"/>
  <c r="F1779" i="10"/>
  <c r="E1779" i="10"/>
  <c r="F1778" i="10"/>
  <c r="E1778" i="10"/>
  <c r="F1777" i="10"/>
  <c r="E1777" i="10"/>
  <c r="F1776" i="10"/>
  <c r="E1776" i="10"/>
  <c r="F1775" i="10"/>
  <c r="E1775" i="10"/>
  <c r="F1774" i="10"/>
  <c r="E1774" i="10"/>
  <c r="F1773" i="10"/>
  <c r="E1773" i="10"/>
  <c r="F1772" i="10"/>
  <c r="E1772" i="10"/>
  <c r="F1771" i="10"/>
  <c r="E1771" i="10"/>
  <c r="F1770" i="10"/>
  <c r="E1770" i="10"/>
  <c r="F1769" i="10"/>
  <c r="E1769" i="10"/>
  <c r="F1768" i="10"/>
  <c r="E1768" i="10"/>
  <c r="F1767" i="10"/>
  <c r="E1767" i="10"/>
  <c r="F1766" i="10"/>
  <c r="E1766" i="10"/>
  <c r="F1765" i="10"/>
  <c r="E1765" i="10"/>
  <c r="F1764" i="10"/>
  <c r="E1764" i="10"/>
  <c r="F1763" i="10"/>
  <c r="E1763" i="10"/>
  <c r="F1762" i="10"/>
  <c r="E1762" i="10"/>
  <c r="F1761" i="10"/>
  <c r="E1761" i="10"/>
  <c r="F1760" i="10"/>
  <c r="E1760" i="10"/>
  <c r="F1759" i="10"/>
  <c r="E1759" i="10"/>
  <c r="F1758" i="10"/>
  <c r="E1758" i="10"/>
  <c r="F1757" i="10"/>
  <c r="E1757" i="10"/>
  <c r="F1756" i="10"/>
  <c r="E1756" i="10"/>
  <c r="F1755" i="10"/>
  <c r="E1755" i="10"/>
  <c r="F1754" i="10"/>
  <c r="E1754" i="10"/>
  <c r="F1753" i="10"/>
  <c r="E1753" i="10"/>
  <c r="F1752" i="10"/>
  <c r="E1752" i="10"/>
  <c r="F1751" i="10"/>
  <c r="E1751" i="10"/>
  <c r="F1750" i="10"/>
  <c r="E1750" i="10"/>
  <c r="F1749" i="10"/>
  <c r="E1749" i="10"/>
  <c r="F1748" i="10"/>
  <c r="E1748" i="10"/>
  <c r="F1747" i="10"/>
  <c r="E1747" i="10"/>
  <c r="F1746" i="10"/>
  <c r="E1746" i="10"/>
  <c r="F1745" i="10"/>
  <c r="E1745" i="10"/>
  <c r="F1744" i="10"/>
  <c r="E1744" i="10"/>
  <c r="F1743" i="10"/>
  <c r="E1743" i="10"/>
  <c r="F1742" i="10"/>
  <c r="E1742" i="10"/>
  <c r="F1741" i="10"/>
  <c r="E1741" i="10"/>
  <c r="F1740" i="10"/>
  <c r="E1740" i="10"/>
  <c r="F1739" i="10"/>
  <c r="E1739" i="10"/>
  <c r="F1738" i="10"/>
  <c r="E1738" i="10"/>
  <c r="F1737" i="10"/>
  <c r="E1737" i="10"/>
  <c r="F1736" i="10"/>
  <c r="E1736" i="10"/>
  <c r="F1735" i="10"/>
  <c r="E1735" i="10"/>
  <c r="F1734" i="10"/>
  <c r="E1734" i="10"/>
  <c r="F1733" i="10"/>
  <c r="E1733" i="10"/>
  <c r="F1732" i="10"/>
  <c r="E1732" i="10"/>
  <c r="F1731" i="10"/>
  <c r="E1731" i="10"/>
  <c r="F1730" i="10"/>
  <c r="E1730" i="10"/>
  <c r="F1729" i="10"/>
  <c r="E1729" i="10"/>
  <c r="F1728" i="10"/>
  <c r="E1728" i="10"/>
  <c r="F1727" i="10"/>
  <c r="E1727" i="10"/>
  <c r="F1726" i="10"/>
  <c r="E1726" i="10"/>
  <c r="F1725" i="10"/>
  <c r="E1725" i="10"/>
  <c r="F1724" i="10"/>
  <c r="E1724" i="10"/>
  <c r="F1723" i="10"/>
  <c r="E1723" i="10"/>
  <c r="F1722" i="10"/>
  <c r="E1722" i="10"/>
  <c r="F1721" i="10"/>
  <c r="E1721" i="10"/>
  <c r="F1720" i="10"/>
  <c r="E1720" i="10"/>
  <c r="F1719" i="10"/>
  <c r="E1719" i="10"/>
  <c r="F1718" i="10"/>
  <c r="E1718" i="10"/>
  <c r="F1717" i="10"/>
  <c r="E1717" i="10"/>
  <c r="F1716" i="10"/>
  <c r="E1716" i="10"/>
  <c r="F1715" i="10"/>
  <c r="E1715" i="10"/>
  <c r="F1714" i="10"/>
  <c r="E1714" i="10"/>
  <c r="F1713" i="10"/>
  <c r="E1713" i="10"/>
  <c r="F1712" i="10"/>
  <c r="E1712" i="10"/>
  <c r="F1711" i="10"/>
  <c r="E1711" i="10"/>
  <c r="F1710" i="10"/>
  <c r="E1710" i="10"/>
  <c r="F1709" i="10"/>
  <c r="E1709" i="10"/>
  <c r="F1708" i="10"/>
  <c r="E1708" i="10"/>
  <c r="F1707" i="10"/>
  <c r="E1707" i="10"/>
  <c r="F1706" i="10"/>
  <c r="E1706" i="10"/>
  <c r="F1705" i="10"/>
  <c r="E1705" i="10"/>
  <c r="F1704" i="10"/>
  <c r="E1704" i="10"/>
  <c r="F1703" i="10"/>
  <c r="E1703" i="10"/>
  <c r="F1702" i="10"/>
  <c r="E1702" i="10"/>
  <c r="F1701" i="10"/>
  <c r="E1701" i="10"/>
  <c r="F1700" i="10"/>
  <c r="E1700" i="10"/>
  <c r="F1699" i="10"/>
  <c r="E1699" i="10"/>
  <c r="F1698" i="10"/>
  <c r="E1698" i="10"/>
  <c r="F1697" i="10"/>
  <c r="E1697" i="10"/>
  <c r="F1696" i="10"/>
  <c r="E1696" i="10"/>
  <c r="F1695" i="10"/>
  <c r="E1695" i="10"/>
  <c r="F1694" i="10"/>
  <c r="E1694" i="10"/>
  <c r="F1693" i="10"/>
  <c r="E1693" i="10"/>
  <c r="F1692" i="10"/>
  <c r="E1692" i="10"/>
  <c r="F1691" i="10"/>
  <c r="E1691" i="10"/>
  <c r="F1690" i="10"/>
  <c r="E1690" i="10"/>
  <c r="F1689" i="10"/>
  <c r="E1689" i="10"/>
  <c r="F1688" i="10"/>
  <c r="E1688" i="10"/>
  <c r="F1687" i="10"/>
  <c r="E1687" i="10"/>
  <c r="F1686" i="10"/>
  <c r="E1686" i="10"/>
  <c r="F1685" i="10"/>
  <c r="E1685" i="10"/>
  <c r="F1684" i="10"/>
  <c r="E1684" i="10"/>
  <c r="F1683" i="10"/>
  <c r="E1683" i="10"/>
  <c r="F1682" i="10"/>
  <c r="E1682" i="10"/>
  <c r="F1681" i="10"/>
  <c r="E1681" i="10"/>
  <c r="F1680" i="10"/>
  <c r="E1680" i="10"/>
  <c r="F1679" i="10"/>
  <c r="E1679" i="10"/>
  <c r="F1678" i="10"/>
  <c r="E1678" i="10"/>
  <c r="F1677" i="10"/>
  <c r="E1677" i="10"/>
  <c r="F1676" i="10"/>
  <c r="E1676" i="10"/>
  <c r="F1675" i="10"/>
  <c r="E1675" i="10"/>
  <c r="F1674" i="10"/>
  <c r="E1674" i="10"/>
  <c r="F1673" i="10"/>
  <c r="E1673" i="10"/>
  <c r="F1672" i="10"/>
  <c r="E1672" i="10"/>
  <c r="F1671" i="10"/>
  <c r="E1671" i="10"/>
  <c r="F1670" i="10"/>
  <c r="E1670" i="10"/>
  <c r="F1669" i="10"/>
  <c r="E1669" i="10"/>
  <c r="F1668" i="10"/>
  <c r="E1668" i="10"/>
  <c r="F1667" i="10"/>
  <c r="E1667" i="10"/>
  <c r="F1666" i="10"/>
  <c r="E1666" i="10"/>
  <c r="F1665" i="10"/>
  <c r="E1665" i="10"/>
  <c r="F1664" i="10"/>
  <c r="E1664" i="10"/>
  <c r="F1663" i="10"/>
  <c r="E1663" i="10"/>
  <c r="F1662" i="10"/>
  <c r="E1662" i="10"/>
  <c r="F1661" i="10"/>
  <c r="E1661" i="10"/>
  <c r="F1660" i="10"/>
  <c r="E1660" i="10"/>
  <c r="F1659" i="10"/>
  <c r="E1659" i="10"/>
  <c r="F1658" i="10"/>
  <c r="E1658" i="10"/>
  <c r="F1657" i="10"/>
  <c r="E1657" i="10"/>
  <c r="F1656" i="10"/>
  <c r="E1656" i="10"/>
  <c r="F1655" i="10"/>
  <c r="E1655" i="10"/>
  <c r="F1654" i="10"/>
  <c r="E1654" i="10"/>
  <c r="F1653" i="10"/>
  <c r="E1653" i="10"/>
  <c r="F1652" i="10"/>
  <c r="E1652" i="10"/>
  <c r="F1651" i="10"/>
  <c r="E1651" i="10"/>
  <c r="F1650" i="10"/>
  <c r="E1650" i="10"/>
  <c r="F1649" i="10"/>
  <c r="E1649" i="10"/>
  <c r="F1648" i="10"/>
  <c r="E1648" i="10"/>
  <c r="F1647" i="10"/>
  <c r="E1647" i="10"/>
  <c r="F1646" i="10"/>
  <c r="E1646" i="10"/>
  <c r="F1645" i="10"/>
  <c r="E1645" i="10"/>
  <c r="F1644" i="10"/>
  <c r="E1644" i="10"/>
  <c r="F1643" i="10"/>
  <c r="E1643" i="10"/>
  <c r="F1642" i="10"/>
  <c r="E1642" i="10"/>
  <c r="F1641" i="10"/>
  <c r="E1641" i="10"/>
  <c r="F1640" i="10"/>
  <c r="E1640" i="10"/>
  <c r="F1639" i="10"/>
  <c r="E1639" i="10"/>
  <c r="F1638" i="10"/>
  <c r="E1638" i="10"/>
  <c r="F1637" i="10"/>
  <c r="E1637" i="10"/>
  <c r="F1636" i="10"/>
  <c r="E1636" i="10"/>
  <c r="F1635" i="10"/>
  <c r="E1635" i="10"/>
  <c r="F1634" i="10"/>
  <c r="E1634" i="10"/>
  <c r="F1633" i="10"/>
  <c r="E1633" i="10"/>
  <c r="F1632" i="10"/>
  <c r="E1632" i="10"/>
  <c r="F1631" i="10"/>
  <c r="E1631" i="10"/>
  <c r="F1630" i="10"/>
  <c r="E1630" i="10"/>
  <c r="F1629" i="10"/>
  <c r="E1629" i="10"/>
  <c r="F1628" i="10"/>
  <c r="E1628" i="10"/>
  <c r="F1627" i="10"/>
  <c r="E1627" i="10"/>
  <c r="F1626" i="10"/>
  <c r="E1626" i="10"/>
  <c r="F1625" i="10"/>
  <c r="E1625" i="10"/>
  <c r="F1624" i="10"/>
  <c r="E1624" i="10"/>
  <c r="F1623" i="10"/>
  <c r="E1623" i="10"/>
  <c r="F1622" i="10"/>
  <c r="E1622" i="10"/>
  <c r="F1621" i="10"/>
  <c r="E1621" i="10"/>
  <c r="F1620" i="10"/>
  <c r="E1620" i="10"/>
  <c r="F1619" i="10"/>
  <c r="E1619" i="10"/>
  <c r="F1618" i="10"/>
  <c r="E1618" i="10"/>
  <c r="F1617" i="10"/>
  <c r="E1617" i="10"/>
  <c r="F1616" i="10"/>
  <c r="E1616" i="10"/>
  <c r="F1615" i="10"/>
  <c r="E1615" i="10"/>
  <c r="F1614" i="10"/>
  <c r="E1614" i="10"/>
  <c r="F1613" i="10"/>
  <c r="E1613" i="10"/>
  <c r="F1612" i="10"/>
  <c r="E1612" i="10"/>
  <c r="F1611" i="10"/>
  <c r="E1611" i="10"/>
  <c r="F1610" i="10"/>
  <c r="E1610" i="10"/>
  <c r="F1609" i="10"/>
  <c r="E1609" i="10"/>
  <c r="F1608" i="10"/>
  <c r="E1608" i="10"/>
  <c r="F1607" i="10"/>
  <c r="E1607" i="10"/>
  <c r="F1606" i="10"/>
  <c r="E1606" i="10"/>
  <c r="F1605" i="10"/>
  <c r="E1605" i="10"/>
  <c r="F1604" i="10"/>
  <c r="E1604" i="10"/>
  <c r="F1603" i="10"/>
  <c r="E1603" i="10"/>
  <c r="F1602" i="10"/>
  <c r="E1602" i="10"/>
  <c r="F1601" i="10"/>
  <c r="E1601" i="10"/>
  <c r="F1600" i="10"/>
  <c r="E1600" i="10"/>
  <c r="F1599" i="10"/>
  <c r="E1599" i="10"/>
  <c r="F1598" i="10"/>
  <c r="E1598" i="10"/>
  <c r="F1597" i="10"/>
  <c r="E1597" i="10"/>
  <c r="F1596" i="10"/>
  <c r="E1596" i="10"/>
  <c r="F1595" i="10"/>
  <c r="E1595" i="10"/>
  <c r="F1594" i="10"/>
  <c r="E1594" i="10"/>
  <c r="F1593" i="10"/>
  <c r="E1593" i="10"/>
  <c r="F1592" i="10"/>
  <c r="E1592" i="10"/>
  <c r="F1591" i="10"/>
  <c r="E1591" i="10"/>
  <c r="F1590" i="10"/>
  <c r="E1590" i="10"/>
  <c r="F1589" i="10"/>
  <c r="E1589" i="10"/>
  <c r="F1588" i="10"/>
  <c r="E1588" i="10"/>
  <c r="F1587" i="10"/>
  <c r="E1587" i="10"/>
  <c r="F1586" i="10"/>
  <c r="E1586" i="10"/>
  <c r="F1585" i="10"/>
  <c r="E1585" i="10"/>
  <c r="F1584" i="10"/>
  <c r="E1584" i="10"/>
  <c r="F1583" i="10"/>
  <c r="E1583" i="10"/>
  <c r="F1582" i="10"/>
  <c r="E1582" i="10"/>
  <c r="F1581" i="10"/>
  <c r="E1581" i="10"/>
  <c r="F1580" i="10"/>
  <c r="E1580" i="10"/>
  <c r="F1579" i="10"/>
  <c r="E1579" i="10"/>
  <c r="F1578" i="10"/>
  <c r="E1578" i="10"/>
  <c r="F1577" i="10"/>
  <c r="E1577" i="10"/>
  <c r="F1576" i="10"/>
  <c r="E1576" i="10"/>
  <c r="F1575" i="10"/>
  <c r="E1575" i="10"/>
  <c r="F1574" i="10"/>
  <c r="E1574" i="10"/>
  <c r="F1573" i="10"/>
  <c r="E1573" i="10"/>
  <c r="F1572" i="10"/>
  <c r="E1572" i="10"/>
  <c r="F1571" i="10"/>
  <c r="E1571" i="10"/>
  <c r="F1570" i="10"/>
  <c r="E1570" i="10"/>
  <c r="F1569" i="10"/>
  <c r="E1569" i="10"/>
  <c r="F1568" i="10"/>
  <c r="E1568" i="10"/>
  <c r="F1567" i="10"/>
  <c r="E1567" i="10"/>
  <c r="F1566" i="10"/>
  <c r="E1566" i="10"/>
  <c r="F1565" i="10"/>
  <c r="E1565" i="10"/>
  <c r="F1564" i="10"/>
  <c r="E1564" i="10"/>
  <c r="F1563" i="10"/>
  <c r="E1563" i="10"/>
  <c r="F1562" i="10"/>
  <c r="E1562" i="10"/>
  <c r="F1561" i="10"/>
  <c r="E1561" i="10"/>
  <c r="F1560" i="10"/>
  <c r="E1560" i="10"/>
  <c r="F1559" i="10"/>
  <c r="E1559" i="10"/>
  <c r="F1558" i="10"/>
  <c r="E1558" i="10"/>
  <c r="F1557" i="10"/>
  <c r="E1557" i="10"/>
  <c r="F1556" i="10"/>
  <c r="E1556" i="10"/>
  <c r="F1555" i="10"/>
  <c r="E1555" i="10"/>
  <c r="F1554" i="10"/>
  <c r="E1554" i="10"/>
  <c r="F1553" i="10"/>
  <c r="E1553" i="10"/>
  <c r="F1552" i="10"/>
  <c r="E1552" i="10"/>
  <c r="F1551" i="10"/>
  <c r="E1551" i="10"/>
  <c r="F1550" i="10"/>
  <c r="E1550" i="10"/>
  <c r="F1549" i="10"/>
  <c r="E1549" i="10"/>
  <c r="F1548" i="10"/>
  <c r="E1548" i="10"/>
  <c r="F1547" i="10"/>
  <c r="E1547" i="10"/>
  <c r="F1546" i="10"/>
  <c r="E1546" i="10"/>
  <c r="F1545" i="10"/>
  <c r="E1545" i="10"/>
  <c r="F1544" i="10"/>
  <c r="E1544" i="10"/>
  <c r="F1543" i="10"/>
  <c r="E1543" i="10"/>
  <c r="F1542" i="10"/>
  <c r="E1542" i="10"/>
  <c r="F1541" i="10"/>
  <c r="E1541" i="10"/>
  <c r="F1540" i="10"/>
  <c r="E1540" i="10"/>
  <c r="F1539" i="10"/>
  <c r="E1539" i="10"/>
  <c r="F1538" i="10"/>
  <c r="E1538" i="10"/>
  <c r="F1537" i="10"/>
  <c r="E1537" i="10"/>
  <c r="F1536" i="10"/>
  <c r="E1536" i="10"/>
  <c r="F1535" i="10"/>
  <c r="E1535" i="10"/>
  <c r="F1534" i="10"/>
  <c r="E1534" i="10"/>
  <c r="F1533" i="10"/>
  <c r="E1533" i="10"/>
  <c r="F1532" i="10"/>
  <c r="E1532" i="10"/>
  <c r="F1531" i="10"/>
  <c r="E1531" i="10"/>
  <c r="F1530" i="10"/>
  <c r="E1530" i="10"/>
  <c r="F1529" i="10"/>
  <c r="E1529" i="10"/>
  <c r="F1528" i="10"/>
  <c r="E1528" i="10"/>
  <c r="F1527" i="10"/>
  <c r="E1527" i="10"/>
  <c r="F1526" i="10"/>
  <c r="E1526" i="10"/>
  <c r="F1525" i="10"/>
  <c r="E1525" i="10"/>
  <c r="F1524" i="10"/>
  <c r="E1524" i="10"/>
  <c r="F1523" i="10"/>
  <c r="E1523" i="10"/>
  <c r="F1522" i="10"/>
  <c r="E1522" i="10"/>
  <c r="F1521" i="10"/>
  <c r="E1521" i="10"/>
  <c r="F1520" i="10"/>
  <c r="E1520" i="10"/>
  <c r="F1519" i="10"/>
  <c r="E1519" i="10"/>
  <c r="F1518" i="10"/>
  <c r="E1518" i="10"/>
  <c r="F1517" i="10"/>
  <c r="E1517" i="10"/>
  <c r="F1516" i="10"/>
  <c r="E1516" i="10"/>
  <c r="F1515" i="10"/>
  <c r="E1515" i="10"/>
  <c r="F1514" i="10"/>
  <c r="E1514" i="10"/>
  <c r="F1513" i="10"/>
  <c r="E1513" i="10"/>
  <c r="F1512" i="10"/>
  <c r="E1512" i="10"/>
  <c r="F1511" i="10"/>
  <c r="E1511" i="10"/>
  <c r="F1510" i="10"/>
  <c r="E1510" i="10"/>
  <c r="F1509" i="10"/>
  <c r="E1509" i="10"/>
  <c r="F1508" i="10"/>
  <c r="E1508" i="10"/>
  <c r="F1507" i="10"/>
  <c r="E1507" i="10"/>
  <c r="F1506" i="10"/>
  <c r="E1506" i="10"/>
  <c r="F1505" i="10"/>
  <c r="E1505" i="10"/>
  <c r="F1504" i="10"/>
  <c r="E1504" i="10"/>
  <c r="F1503" i="10"/>
  <c r="E1503" i="10"/>
  <c r="F1502" i="10"/>
  <c r="E1502" i="10"/>
  <c r="F1501" i="10"/>
  <c r="E1501" i="10"/>
  <c r="F1500" i="10"/>
  <c r="E1500" i="10"/>
  <c r="F1499" i="10"/>
  <c r="E1499" i="10"/>
  <c r="F1498" i="10"/>
  <c r="E1498" i="10"/>
  <c r="F1497" i="10"/>
  <c r="E1497" i="10"/>
  <c r="F1496" i="10"/>
  <c r="E1496" i="10"/>
  <c r="F1495" i="10"/>
  <c r="E1495" i="10"/>
  <c r="F1494" i="10"/>
  <c r="E1494" i="10"/>
  <c r="F1493" i="10"/>
  <c r="E1493" i="10"/>
  <c r="F1492" i="10"/>
  <c r="E1492" i="10"/>
  <c r="F1491" i="10"/>
  <c r="E1491" i="10"/>
  <c r="F1490" i="10"/>
  <c r="E1490" i="10"/>
  <c r="F1489" i="10"/>
  <c r="E1489" i="10"/>
  <c r="F1488" i="10"/>
  <c r="E1488" i="10"/>
  <c r="F1487" i="10"/>
  <c r="E1487" i="10"/>
  <c r="F1486" i="10"/>
  <c r="E1486" i="10"/>
  <c r="F1485" i="10"/>
  <c r="E1485" i="10"/>
  <c r="F1484" i="10"/>
  <c r="E1484" i="10"/>
  <c r="F1483" i="10"/>
  <c r="E1483" i="10"/>
  <c r="F1482" i="10"/>
  <c r="E1482" i="10"/>
  <c r="F1481" i="10"/>
  <c r="E1481" i="10"/>
  <c r="F1480" i="10"/>
  <c r="E1480" i="10"/>
  <c r="F1479" i="10"/>
  <c r="E1479" i="10"/>
  <c r="F1478" i="10"/>
  <c r="E1478" i="10"/>
  <c r="F1477" i="10"/>
  <c r="E1477" i="10"/>
  <c r="F1476" i="10"/>
  <c r="E1476" i="10"/>
  <c r="F1475" i="10"/>
  <c r="E1475" i="10"/>
  <c r="F1474" i="10"/>
  <c r="E1474" i="10"/>
  <c r="F1473" i="10"/>
  <c r="E1473" i="10"/>
  <c r="F1472" i="10"/>
  <c r="E1472" i="10"/>
  <c r="F1471" i="10"/>
  <c r="E1471" i="10"/>
  <c r="F1470" i="10"/>
  <c r="E1470" i="10"/>
  <c r="F1469" i="10"/>
  <c r="E1469" i="10"/>
  <c r="F1468" i="10"/>
  <c r="E1468" i="10"/>
  <c r="F1467" i="10"/>
  <c r="E1467" i="10"/>
  <c r="F1466" i="10"/>
  <c r="E1466" i="10"/>
  <c r="F1465" i="10"/>
  <c r="E1465" i="10"/>
  <c r="F1464" i="10"/>
  <c r="E1464" i="10"/>
  <c r="F1463" i="10"/>
  <c r="E1463" i="10"/>
  <c r="F1462" i="10"/>
  <c r="E1462" i="10"/>
  <c r="F1461" i="10"/>
  <c r="E1461" i="10"/>
  <c r="F1460" i="10"/>
  <c r="E1460" i="10"/>
  <c r="F1459" i="10"/>
  <c r="E1459" i="10"/>
  <c r="F1458" i="10"/>
  <c r="E1458" i="10"/>
  <c r="F1457" i="10"/>
  <c r="E1457" i="10"/>
  <c r="F1456" i="10"/>
  <c r="E1456" i="10"/>
  <c r="F1455" i="10"/>
  <c r="E1455" i="10"/>
  <c r="F1454" i="10"/>
  <c r="E1454" i="10"/>
  <c r="F1453" i="10"/>
  <c r="E1453" i="10"/>
  <c r="F1452" i="10"/>
  <c r="E1452" i="10"/>
  <c r="F1451" i="10"/>
  <c r="E1451" i="10"/>
  <c r="F1450" i="10"/>
  <c r="E1450" i="10"/>
  <c r="F1449" i="10"/>
  <c r="E1449" i="10"/>
  <c r="F1448" i="10"/>
  <c r="E1448" i="10"/>
  <c r="F1447" i="10"/>
  <c r="E1447" i="10"/>
  <c r="F1446" i="10"/>
  <c r="E1446" i="10"/>
  <c r="F1445" i="10"/>
  <c r="E1445" i="10"/>
  <c r="F1444" i="10"/>
  <c r="E1444" i="10"/>
  <c r="F1443" i="10"/>
  <c r="E1443" i="10"/>
  <c r="F1442" i="10"/>
  <c r="E1442" i="10"/>
  <c r="F1441" i="10"/>
  <c r="E1441" i="10"/>
  <c r="F1440" i="10"/>
  <c r="E1440" i="10"/>
  <c r="F1439" i="10"/>
  <c r="E1439" i="10"/>
  <c r="F1438" i="10"/>
  <c r="E1438" i="10"/>
  <c r="F1437" i="10"/>
  <c r="E1437" i="10"/>
  <c r="F1436" i="10"/>
  <c r="E1436" i="10"/>
  <c r="F1435" i="10"/>
  <c r="E1435" i="10"/>
  <c r="F1434" i="10"/>
  <c r="E1434" i="10"/>
  <c r="F1433" i="10"/>
  <c r="E1433" i="10"/>
  <c r="F1432" i="10"/>
  <c r="E1432" i="10"/>
  <c r="F1431" i="10"/>
  <c r="E1431" i="10"/>
  <c r="F1430" i="10"/>
  <c r="E1430" i="10"/>
  <c r="F1429" i="10"/>
  <c r="E1429" i="10"/>
  <c r="F1428" i="10"/>
  <c r="E1428" i="10"/>
  <c r="F1427" i="10"/>
  <c r="E1427" i="10"/>
  <c r="F1426" i="10"/>
  <c r="E1426" i="10"/>
  <c r="F1425" i="10"/>
  <c r="E1425" i="10"/>
  <c r="F1424" i="10"/>
  <c r="E1424" i="10"/>
  <c r="F1423" i="10"/>
  <c r="E1423" i="10"/>
  <c r="F1422" i="10"/>
  <c r="E1422" i="10"/>
  <c r="F1421" i="10"/>
  <c r="E1421" i="10"/>
  <c r="F1420" i="10"/>
  <c r="E1420" i="10"/>
  <c r="F1419" i="10"/>
  <c r="E1419" i="10"/>
  <c r="F1418" i="10"/>
  <c r="E1418" i="10"/>
  <c r="F1417" i="10"/>
  <c r="E1417" i="10"/>
  <c r="F1416" i="10"/>
  <c r="E1416" i="10"/>
  <c r="F1415" i="10"/>
  <c r="E1415" i="10"/>
  <c r="F1414" i="10"/>
  <c r="E1414" i="10"/>
  <c r="F1413" i="10"/>
  <c r="E1413" i="10"/>
  <c r="F1412" i="10"/>
  <c r="E1412" i="10"/>
  <c r="F1411" i="10"/>
  <c r="E1411" i="10"/>
  <c r="F1410" i="10"/>
  <c r="E1410" i="10"/>
  <c r="F1409" i="10"/>
  <c r="E1409" i="10"/>
  <c r="F1408" i="10"/>
  <c r="E1408" i="10"/>
  <c r="F1407" i="10"/>
  <c r="E1407" i="10"/>
  <c r="F1406" i="10"/>
  <c r="E1406" i="10"/>
  <c r="F1405" i="10"/>
  <c r="E1405" i="10"/>
  <c r="F1404" i="10"/>
  <c r="E1404" i="10"/>
  <c r="F1403" i="10"/>
  <c r="E1403" i="10"/>
  <c r="F1402" i="10"/>
  <c r="E1402" i="10"/>
  <c r="F1401" i="10"/>
  <c r="E1401" i="10"/>
  <c r="F1400" i="10"/>
  <c r="E1400" i="10"/>
  <c r="F1399" i="10"/>
  <c r="E1399" i="10"/>
  <c r="F1398" i="10"/>
  <c r="E1398" i="10"/>
  <c r="F1397" i="10"/>
  <c r="E1397" i="10"/>
  <c r="F1396" i="10"/>
  <c r="E1396" i="10"/>
  <c r="F1395" i="10"/>
  <c r="E1395" i="10"/>
  <c r="F1394" i="10"/>
  <c r="E1394" i="10"/>
  <c r="F1393" i="10"/>
  <c r="E1393" i="10"/>
  <c r="F1392" i="10"/>
  <c r="E1392" i="10"/>
  <c r="F1391" i="10"/>
  <c r="E1391" i="10"/>
  <c r="F1390" i="10"/>
  <c r="E1390" i="10"/>
  <c r="F1389" i="10"/>
  <c r="E1389" i="10"/>
  <c r="F1388" i="10"/>
  <c r="E1388" i="10"/>
  <c r="F1387" i="10"/>
  <c r="E1387" i="10"/>
  <c r="F1386" i="10"/>
  <c r="E1386" i="10"/>
  <c r="F1385" i="10"/>
  <c r="E1385" i="10"/>
  <c r="F1384" i="10"/>
  <c r="E1384" i="10"/>
  <c r="F1383" i="10"/>
  <c r="E1383" i="10"/>
  <c r="F1382" i="10"/>
  <c r="E1382" i="10"/>
  <c r="F1381" i="10"/>
  <c r="E1381" i="10"/>
  <c r="F1380" i="10"/>
  <c r="E1380" i="10"/>
  <c r="F1379" i="10"/>
  <c r="E1379" i="10"/>
  <c r="F1378" i="10"/>
  <c r="E1378" i="10"/>
  <c r="F1377" i="10"/>
  <c r="E1377" i="10"/>
  <c r="F1376" i="10"/>
  <c r="E1376" i="10"/>
  <c r="F1375" i="10"/>
  <c r="E1375" i="10"/>
  <c r="F1374" i="10"/>
  <c r="E1374" i="10"/>
  <c r="F1373" i="10"/>
  <c r="E1373" i="10"/>
  <c r="F1372" i="10"/>
  <c r="E1372" i="10"/>
  <c r="F1371" i="10"/>
  <c r="E1371" i="10"/>
  <c r="F1370" i="10"/>
  <c r="E1370" i="10"/>
  <c r="F1369" i="10"/>
  <c r="E1369" i="10"/>
  <c r="F1368" i="10"/>
  <c r="E1368" i="10"/>
  <c r="F1367" i="10"/>
  <c r="E1367" i="10"/>
  <c r="F1366" i="10"/>
  <c r="E1366" i="10"/>
  <c r="F1365" i="10"/>
  <c r="E1365" i="10"/>
  <c r="F1364" i="10"/>
  <c r="E1364" i="10"/>
  <c r="F1363" i="10"/>
  <c r="E1363" i="10"/>
  <c r="F1362" i="10"/>
  <c r="E1362" i="10"/>
  <c r="F1361" i="10"/>
  <c r="E1361" i="10"/>
  <c r="F1360" i="10"/>
  <c r="E1360" i="10"/>
  <c r="F1359" i="10"/>
  <c r="E1359" i="10"/>
  <c r="F1358" i="10"/>
  <c r="E1358" i="10"/>
  <c r="F1357" i="10"/>
  <c r="E1357" i="10"/>
  <c r="F1356" i="10"/>
  <c r="E1356" i="10"/>
  <c r="F1355" i="10"/>
  <c r="E1355" i="10"/>
  <c r="F1354" i="10"/>
  <c r="E1354" i="10"/>
  <c r="F1353" i="10"/>
  <c r="E1353" i="10"/>
  <c r="F1352" i="10"/>
  <c r="E1352" i="10"/>
  <c r="F1351" i="10"/>
  <c r="E1351" i="10"/>
  <c r="F1350" i="10"/>
  <c r="E1350" i="10"/>
  <c r="F1349" i="10"/>
  <c r="E1349" i="10"/>
  <c r="F1348" i="10"/>
  <c r="E1348" i="10"/>
  <c r="F1347" i="10"/>
  <c r="E1347" i="10"/>
  <c r="F1346" i="10"/>
  <c r="E1346" i="10"/>
  <c r="F1345" i="10"/>
  <c r="E1345" i="10"/>
  <c r="F1344" i="10"/>
  <c r="E1344" i="10"/>
  <c r="F1343" i="10"/>
  <c r="E1343" i="10"/>
  <c r="F1342" i="10"/>
  <c r="E1342" i="10"/>
  <c r="F1341" i="10"/>
  <c r="E1341" i="10"/>
  <c r="F1340" i="10"/>
  <c r="E1340" i="10"/>
  <c r="F1339" i="10"/>
  <c r="E1339" i="10"/>
  <c r="F1338" i="10"/>
  <c r="E1338" i="10"/>
  <c r="F1337" i="10"/>
  <c r="E1337" i="10"/>
  <c r="F1336" i="10"/>
  <c r="E1336" i="10"/>
  <c r="F1335" i="10"/>
  <c r="E1335" i="10"/>
  <c r="F1334" i="10"/>
  <c r="E1334" i="10"/>
  <c r="F1333" i="10"/>
  <c r="E1333" i="10"/>
  <c r="F1332" i="10"/>
  <c r="E1332" i="10"/>
  <c r="F1331" i="10"/>
  <c r="E1331" i="10"/>
  <c r="F1330" i="10"/>
  <c r="E1330" i="10"/>
  <c r="F1329" i="10"/>
  <c r="E1329" i="10"/>
  <c r="F1328" i="10"/>
  <c r="E1328" i="10"/>
  <c r="F1327" i="10"/>
  <c r="E1327" i="10"/>
  <c r="F1326" i="10"/>
  <c r="E1326" i="10"/>
  <c r="F1325" i="10"/>
  <c r="E1325" i="10"/>
  <c r="F1324" i="10"/>
  <c r="E1324" i="10"/>
  <c r="F1323" i="10"/>
  <c r="E1323" i="10"/>
  <c r="F1322" i="10"/>
  <c r="E1322" i="10"/>
  <c r="F1321" i="10"/>
  <c r="E1321" i="10"/>
  <c r="F1320" i="10"/>
  <c r="E1320" i="10"/>
  <c r="F1319" i="10"/>
  <c r="E1319" i="10"/>
  <c r="F1318" i="10"/>
  <c r="E1318" i="10"/>
  <c r="F1317" i="10"/>
  <c r="E1317" i="10"/>
  <c r="F1316" i="10"/>
  <c r="E1316" i="10"/>
  <c r="F1315" i="10"/>
  <c r="E1315" i="10"/>
  <c r="F1314" i="10"/>
  <c r="E1314" i="10"/>
  <c r="F1313" i="10"/>
  <c r="E1313" i="10"/>
  <c r="F1312" i="10"/>
  <c r="E1312" i="10"/>
  <c r="F1311" i="10"/>
  <c r="E1311" i="10"/>
  <c r="F1310" i="10"/>
  <c r="E1310" i="10"/>
  <c r="F1309" i="10"/>
  <c r="E1309" i="10"/>
  <c r="F1308" i="10"/>
  <c r="E1308" i="10"/>
  <c r="F1307" i="10"/>
  <c r="E1307" i="10"/>
  <c r="F1306" i="10"/>
  <c r="E1306" i="10"/>
  <c r="F1305" i="10"/>
  <c r="E1305" i="10"/>
  <c r="F1304" i="10"/>
  <c r="E1304" i="10"/>
  <c r="F1303" i="10"/>
  <c r="E1303" i="10"/>
  <c r="F1302" i="10"/>
  <c r="E1302" i="10"/>
  <c r="F1301" i="10"/>
  <c r="E1301" i="10"/>
  <c r="F1300" i="10"/>
  <c r="E1300" i="10"/>
  <c r="F1299" i="10"/>
  <c r="E1299" i="10"/>
  <c r="F1298" i="10"/>
  <c r="E1298" i="10"/>
  <c r="F1297" i="10"/>
  <c r="E1297" i="10"/>
  <c r="F1296" i="10"/>
  <c r="E1296" i="10"/>
  <c r="F1295" i="10"/>
  <c r="E1295" i="10"/>
  <c r="F1294" i="10"/>
  <c r="E1294" i="10"/>
  <c r="F1293" i="10"/>
  <c r="E1293" i="10"/>
  <c r="F1292" i="10"/>
  <c r="E1292" i="10"/>
  <c r="F1291" i="10"/>
  <c r="E1291" i="10"/>
  <c r="F1290" i="10"/>
  <c r="E1290" i="10"/>
  <c r="F1289" i="10"/>
  <c r="E1289" i="10"/>
  <c r="F1288" i="10"/>
  <c r="E1288" i="10"/>
  <c r="F1287" i="10"/>
  <c r="E1287" i="10"/>
  <c r="F1286" i="10"/>
  <c r="E1286" i="10"/>
  <c r="F1285" i="10"/>
  <c r="E1285" i="10"/>
  <c r="F1284" i="10"/>
  <c r="E1284" i="10"/>
  <c r="F1283" i="10"/>
  <c r="E1283" i="10"/>
  <c r="F1282" i="10"/>
  <c r="E1282" i="10"/>
  <c r="F1281" i="10"/>
  <c r="E1281" i="10"/>
  <c r="F1280" i="10"/>
  <c r="E1280" i="10"/>
  <c r="F1279" i="10"/>
  <c r="E1279" i="10"/>
  <c r="F1278" i="10"/>
  <c r="E1278" i="10"/>
  <c r="F1277" i="10"/>
  <c r="E1277" i="10"/>
  <c r="F1276" i="10"/>
  <c r="E1276" i="10"/>
  <c r="F1275" i="10"/>
  <c r="E1275" i="10"/>
  <c r="F1274" i="10"/>
  <c r="E1274" i="10"/>
  <c r="F1273" i="10"/>
  <c r="E1273" i="10"/>
  <c r="F1272" i="10"/>
  <c r="E1272" i="10"/>
  <c r="F1271" i="10"/>
  <c r="E1271" i="10"/>
  <c r="F1270" i="10"/>
  <c r="E1270" i="10"/>
  <c r="F1269" i="10"/>
  <c r="E1269" i="10"/>
  <c r="F1268" i="10"/>
  <c r="E1268" i="10"/>
  <c r="F1267" i="10"/>
  <c r="E1267" i="10"/>
  <c r="F1266" i="10"/>
  <c r="E1266" i="10"/>
  <c r="F1265" i="10"/>
  <c r="E1265" i="10"/>
  <c r="F1264" i="10"/>
  <c r="E1264" i="10"/>
  <c r="F1263" i="10"/>
  <c r="E1263" i="10"/>
  <c r="F1262" i="10"/>
  <c r="E1262" i="10"/>
  <c r="F1261" i="10"/>
  <c r="E1261" i="10"/>
  <c r="F1260" i="10"/>
  <c r="E1260" i="10"/>
  <c r="F1259" i="10"/>
  <c r="E1259" i="10"/>
  <c r="F1258" i="10"/>
  <c r="E1258" i="10"/>
  <c r="F1257" i="10"/>
  <c r="E1257" i="10"/>
  <c r="F1256" i="10"/>
  <c r="E1256" i="10"/>
  <c r="F1255" i="10"/>
  <c r="E1255" i="10"/>
  <c r="F1254" i="10"/>
  <c r="E1254" i="10"/>
  <c r="F1253" i="10"/>
  <c r="E1253" i="10"/>
  <c r="F1252" i="10"/>
  <c r="E1252" i="10"/>
  <c r="F1251" i="10"/>
  <c r="E1251" i="10"/>
  <c r="F1250" i="10"/>
  <c r="E1250" i="10"/>
  <c r="F1249" i="10"/>
  <c r="E1249" i="10"/>
  <c r="F1248" i="10"/>
  <c r="E1248" i="10"/>
  <c r="F1247" i="10"/>
  <c r="E1247" i="10"/>
  <c r="F1246" i="10"/>
  <c r="E1246" i="10"/>
  <c r="F1245" i="10"/>
  <c r="E1245" i="10"/>
  <c r="F1244" i="10"/>
  <c r="E1244" i="10"/>
  <c r="F1243" i="10"/>
  <c r="E1243" i="10"/>
  <c r="F1242" i="10"/>
  <c r="E1242" i="10"/>
  <c r="F1241" i="10"/>
  <c r="E1241" i="10"/>
  <c r="F1240" i="10"/>
  <c r="E1240" i="10"/>
  <c r="F1239" i="10"/>
  <c r="E1239" i="10"/>
  <c r="F1238" i="10"/>
  <c r="E1238" i="10"/>
  <c r="F1237" i="10"/>
  <c r="E1237" i="10"/>
  <c r="F1236" i="10"/>
  <c r="E1236" i="10"/>
  <c r="F1235" i="10"/>
  <c r="E1235" i="10"/>
  <c r="F1234" i="10"/>
  <c r="E1234" i="10"/>
  <c r="F1233" i="10"/>
  <c r="E1233" i="10"/>
  <c r="F1232" i="10"/>
  <c r="E1232" i="10"/>
  <c r="F1231" i="10"/>
  <c r="E1231" i="10"/>
  <c r="F1230" i="10"/>
  <c r="E1230" i="10"/>
  <c r="F1229" i="10"/>
  <c r="E1229" i="10"/>
  <c r="F1228" i="10"/>
  <c r="E1228" i="10"/>
  <c r="F1227" i="10"/>
  <c r="E1227" i="10"/>
  <c r="F1226" i="10"/>
  <c r="E1226" i="10"/>
  <c r="F1225" i="10"/>
  <c r="E1225" i="10"/>
  <c r="F1224" i="10"/>
  <c r="E1224" i="10"/>
  <c r="F1223" i="10"/>
  <c r="E1223" i="10"/>
  <c r="F1222" i="10"/>
  <c r="E1222" i="10"/>
  <c r="F1221" i="10"/>
  <c r="E1221" i="10"/>
  <c r="F1220" i="10"/>
  <c r="E1220" i="10"/>
  <c r="F1219" i="10"/>
  <c r="E1219" i="10"/>
  <c r="F1218" i="10"/>
  <c r="E1218" i="10"/>
  <c r="F1217" i="10"/>
  <c r="E1217" i="10"/>
  <c r="F1216" i="10"/>
  <c r="E1216" i="10"/>
  <c r="F1215" i="10"/>
  <c r="E1215" i="10"/>
  <c r="F1214" i="10"/>
  <c r="E1214" i="10"/>
  <c r="F1213" i="10"/>
  <c r="E1213" i="10"/>
  <c r="F1212" i="10"/>
  <c r="E1212" i="10"/>
  <c r="F1211" i="10"/>
  <c r="E1211" i="10"/>
  <c r="F1210" i="10"/>
  <c r="E1210" i="10"/>
  <c r="F1209" i="10"/>
  <c r="E1209" i="10"/>
  <c r="F1208" i="10"/>
  <c r="E1208" i="10"/>
  <c r="F1207" i="10"/>
  <c r="E1207" i="10"/>
  <c r="F1206" i="10"/>
  <c r="E1206" i="10"/>
  <c r="F1205" i="10"/>
  <c r="E1205" i="10"/>
  <c r="F1204" i="10"/>
  <c r="E1204" i="10"/>
  <c r="F1203" i="10"/>
  <c r="E1203" i="10"/>
  <c r="F1202" i="10"/>
  <c r="E1202" i="10"/>
  <c r="F1201" i="10"/>
  <c r="E1201" i="10"/>
  <c r="F1200" i="10"/>
  <c r="E1200" i="10"/>
  <c r="F1199" i="10"/>
  <c r="E1199" i="10"/>
  <c r="F1198" i="10"/>
  <c r="E1198" i="10"/>
  <c r="F1197" i="10"/>
  <c r="E1197" i="10"/>
  <c r="F1196" i="10"/>
  <c r="E1196" i="10"/>
  <c r="F1195" i="10"/>
  <c r="E1195" i="10"/>
  <c r="F1194" i="10"/>
  <c r="E1194" i="10"/>
  <c r="F1193" i="10"/>
  <c r="E1193" i="10"/>
  <c r="F1192" i="10"/>
  <c r="E1192" i="10"/>
  <c r="F1191" i="10"/>
  <c r="E1191" i="10"/>
  <c r="F1190" i="10"/>
  <c r="E1190" i="10"/>
  <c r="F1189" i="10"/>
  <c r="E1189" i="10"/>
  <c r="F1188" i="10"/>
  <c r="E1188" i="10"/>
  <c r="F1187" i="10"/>
  <c r="E1187" i="10"/>
  <c r="F1186" i="10"/>
  <c r="E1186" i="10"/>
  <c r="F1185" i="10"/>
  <c r="E1185" i="10"/>
  <c r="F1184" i="10"/>
  <c r="E1184" i="10"/>
  <c r="F1183" i="10"/>
  <c r="E1183" i="10"/>
  <c r="F1182" i="10"/>
  <c r="E1182" i="10"/>
  <c r="F1181" i="10"/>
  <c r="E1181" i="10"/>
  <c r="F1180" i="10"/>
  <c r="E1180" i="10"/>
  <c r="F1179" i="10"/>
  <c r="E1179" i="10"/>
  <c r="F1178" i="10"/>
  <c r="E1178" i="10"/>
  <c r="F1177" i="10"/>
  <c r="E1177" i="10"/>
  <c r="F1176" i="10"/>
  <c r="E1176" i="10"/>
  <c r="F1175" i="10"/>
  <c r="E1175" i="10"/>
  <c r="F1174" i="10"/>
  <c r="E1174" i="10"/>
  <c r="F1173" i="10"/>
  <c r="E1173" i="10"/>
  <c r="F1172" i="10"/>
  <c r="E1172" i="10"/>
  <c r="F1171" i="10"/>
  <c r="E1171" i="10"/>
  <c r="F1170" i="10"/>
  <c r="E1170" i="10"/>
  <c r="F1169" i="10"/>
  <c r="E1169" i="10"/>
  <c r="F1168" i="10"/>
  <c r="E1168" i="10"/>
  <c r="F1167" i="10"/>
  <c r="E1167" i="10"/>
  <c r="F1166" i="10"/>
  <c r="E1166" i="10"/>
  <c r="F1165" i="10"/>
  <c r="E1165" i="10"/>
  <c r="F1164" i="10"/>
  <c r="E1164" i="10"/>
  <c r="F1163" i="10"/>
  <c r="E1163" i="10"/>
  <c r="F1162" i="10"/>
  <c r="E1162" i="10"/>
  <c r="F1161" i="10"/>
  <c r="E1161" i="10"/>
  <c r="F1160" i="10"/>
  <c r="E1160" i="10"/>
  <c r="F1159" i="10"/>
  <c r="E1159" i="10"/>
  <c r="F1158" i="10"/>
  <c r="E1158" i="10"/>
  <c r="F1157" i="10"/>
  <c r="E1157" i="10"/>
  <c r="F1156" i="10"/>
  <c r="E1156" i="10"/>
  <c r="F1155" i="10"/>
  <c r="E1155" i="10"/>
  <c r="F1154" i="10"/>
  <c r="E1154" i="10"/>
  <c r="F1153" i="10"/>
  <c r="E1153" i="10"/>
  <c r="F1152" i="10"/>
  <c r="E1152" i="10"/>
  <c r="F1151" i="10"/>
  <c r="E1151" i="10"/>
  <c r="F1150" i="10"/>
  <c r="E1150" i="10"/>
  <c r="F1149" i="10"/>
  <c r="E1149" i="10"/>
  <c r="F1148" i="10"/>
  <c r="E1148" i="10"/>
  <c r="F1147" i="10"/>
  <c r="E1147" i="10"/>
  <c r="F1146" i="10"/>
  <c r="E1146" i="10"/>
  <c r="F1145" i="10"/>
  <c r="E1145" i="10"/>
  <c r="F1144" i="10"/>
  <c r="E1144" i="10"/>
  <c r="F1143" i="10"/>
  <c r="E1143" i="10"/>
  <c r="F1142" i="10"/>
  <c r="E1142" i="10"/>
  <c r="F1141" i="10"/>
  <c r="E1141" i="10"/>
  <c r="F1140" i="10"/>
  <c r="E1140" i="10"/>
  <c r="F1139" i="10"/>
  <c r="E1139" i="10"/>
  <c r="F1138" i="10"/>
  <c r="E1138" i="10"/>
  <c r="F1137" i="10"/>
  <c r="E1137" i="10"/>
  <c r="F1136" i="10"/>
  <c r="E1136" i="10"/>
  <c r="F1135" i="10"/>
  <c r="E1135" i="10"/>
  <c r="F1134" i="10"/>
  <c r="E1134" i="10"/>
  <c r="F1133" i="10"/>
  <c r="E1133" i="10"/>
  <c r="F1132" i="10"/>
  <c r="E1132" i="10"/>
  <c r="F1131" i="10"/>
  <c r="E1131" i="10"/>
  <c r="F1130" i="10"/>
  <c r="E1130" i="10"/>
  <c r="F1129" i="10"/>
  <c r="E1129" i="10"/>
  <c r="F1128" i="10"/>
  <c r="E1128" i="10"/>
  <c r="F1127" i="10"/>
  <c r="E1127" i="10"/>
  <c r="F1126" i="10"/>
  <c r="E1126" i="10"/>
  <c r="F1125" i="10"/>
  <c r="E1125" i="10"/>
  <c r="F1124" i="10"/>
  <c r="E1124" i="10"/>
  <c r="F1123" i="10"/>
  <c r="E1123" i="10"/>
  <c r="F1122" i="10"/>
  <c r="E1122" i="10"/>
  <c r="F1121" i="10"/>
  <c r="E1121" i="10"/>
  <c r="F1120" i="10"/>
  <c r="E1120" i="10"/>
  <c r="F1119" i="10"/>
  <c r="E1119" i="10"/>
  <c r="F1118" i="10"/>
  <c r="E1118" i="10"/>
  <c r="F1117" i="10"/>
  <c r="E1117" i="10"/>
  <c r="F1116" i="10"/>
  <c r="E1116" i="10"/>
  <c r="F1115" i="10"/>
  <c r="E1115" i="10"/>
  <c r="F1114" i="10"/>
  <c r="E1114" i="10"/>
  <c r="F1113" i="10"/>
  <c r="E1113" i="10"/>
  <c r="F1112" i="10"/>
  <c r="E1112" i="10"/>
  <c r="F1111" i="10"/>
  <c r="E1111" i="10"/>
  <c r="F1110" i="10"/>
  <c r="E1110" i="10"/>
  <c r="F1109" i="10"/>
  <c r="E1109" i="10"/>
  <c r="F1108" i="10"/>
  <c r="E1108" i="10"/>
  <c r="F1107" i="10"/>
  <c r="E1107" i="10"/>
  <c r="F1106" i="10"/>
  <c r="E1106" i="10"/>
  <c r="F1105" i="10"/>
  <c r="E1105" i="10"/>
  <c r="F1104" i="10"/>
  <c r="E1104" i="10"/>
  <c r="F1103" i="10"/>
  <c r="E1103" i="10"/>
  <c r="F1102" i="10"/>
  <c r="E1102" i="10"/>
  <c r="F1101" i="10"/>
  <c r="E1101" i="10"/>
  <c r="F1100" i="10"/>
  <c r="E1100" i="10"/>
  <c r="F1099" i="10"/>
  <c r="E1099" i="10"/>
  <c r="F1098" i="10"/>
  <c r="E1098" i="10"/>
  <c r="F1097" i="10"/>
  <c r="E1097" i="10"/>
  <c r="F1096" i="10"/>
  <c r="E1096" i="10"/>
  <c r="F1095" i="10"/>
  <c r="E1095" i="10"/>
  <c r="F1094" i="10"/>
  <c r="E1094" i="10"/>
  <c r="F1093" i="10"/>
  <c r="E1093" i="10"/>
  <c r="F1092" i="10"/>
  <c r="E1092" i="10"/>
  <c r="F1091" i="10"/>
  <c r="E1091" i="10"/>
  <c r="F1090" i="10"/>
  <c r="E1090" i="10"/>
  <c r="F1089" i="10"/>
  <c r="E1089" i="10"/>
  <c r="F1088" i="10"/>
  <c r="E1088" i="10"/>
  <c r="F1087" i="10"/>
  <c r="E1087" i="10"/>
  <c r="F1086" i="10"/>
  <c r="E1086" i="10"/>
  <c r="F1085" i="10"/>
  <c r="E1085" i="10"/>
  <c r="F1084" i="10"/>
  <c r="E1084" i="10"/>
  <c r="F1083" i="10"/>
  <c r="E1083" i="10"/>
  <c r="F1082" i="10"/>
  <c r="E1082" i="10"/>
  <c r="F1081" i="10"/>
  <c r="E1081" i="10"/>
  <c r="F1080" i="10"/>
  <c r="E1080" i="10"/>
  <c r="F1079" i="10"/>
  <c r="E1079" i="10"/>
  <c r="F1078" i="10"/>
  <c r="E1078" i="10"/>
  <c r="F1077" i="10"/>
  <c r="E1077" i="10"/>
  <c r="F1076" i="10"/>
  <c r="E1076" i="10"/>
  <c r="F1075" i="10"/>
  <c r="E1075" i="10"/>
  <c r="F1074" i="10"/>
  <c r="E1074" i="10"/>
  <c r="F1073" i="10"/>
  <c r="E1073" i="10"/>
  <c r="F1072" i="10"/>
  <c r="E1072" i="10"/>
  <c r="F1071" i="10"/>
  <c r="E1071" i="10"/>
  <c r="F1070" i="10"/>
  <c r="E1070" i="10"/>
  <c r="F1069" i="10"/>
  <c r="E1069" i="10"/>
  <c r="F1068" i="10"/>
  <c r="E1068" i="10"/>
  <c r="F1067" i="10"/>
  <c r="E1067" i="10"/>
  <c r="F1066" i="10"/>
  <c r="E1066" i="10"/>
  <c r="F1065" i="10"/>
  <c r="E1065" i="10"/>
  <c r="F1064" i="10"/>
  <c r="E1064" i="10"/>
  <c r="F1063" i="10"/>
  <c r="E1063" i="10"/>
  <c r="F1062" i="10"/>
  <c r="E1062" i="10"/>
  <c r="F1061" i="10"/>
  <c r="E1061" i="10"/>
  <c r="F1060" i="10"/>
  <c r="E1060" i="10"/>
  <c r="F1059" i="10"/>
  <c r="E1059" i="10"/>
  <c r="F1058" i="10"/>
  <c r="E1058" i="10"/>
  <c r="F1057" i="10"/>
  <c r="E1057" i="10"/>
  <c r="F1056" i="10"/>
  <c r="E1056" i="10"/>
  <c r="F1055" i="10"/>
  <c r="E1055" i="10"/>
  <c r="F1054" i="10"/>
  <c r="E1054" i="10"/>
  <c r="F1053" i="10"/>
  <c r="E1053" i="10"/>
  <c r="F1052" i="10"/>
  <c r="E1052" i="10"/>
  <c r="F1051" i="10"/>
  <c r="E1051" i="10"/>
  <c r="F1050" i="10"/>
  <c r="E1050" i="10"/>
  <c r="F1049" i="10"/>
  <c r="E1049" i="10"/>
  <c r="F1048" i="10"/>
  <c r="E1048" i="10"/>
  <c r="F1047" i="10"/>
  <c r="E1047" i="10"/>
  <c r="F1046" i="10"/>
  <c r="E1046" i="10"/>
  <c r="F1045" i="10"/>
  <c r="E1045" i="10"/>
  <c r="F1044" i="10"/>
  <c r="E1044" i="10"/>
  <c r="F1043" i="10"/>
  <c r="E1043" i="10"/>
  <c r="F1042" i="10"/>
  <c r="E1042" i="10"/>
  <c r="F1041" i="10"/>
  <c r="E1041" i="10"/>
  <c r="F1040" i="10"/>
  <c r="E1040" i="10"/>
  <c r="F1039" i="10"/>
  <c r="E1039" i="10"/>
  <c r="F1038" i="10"/>
  <c r="E1038" i="10"/>
  <c r="F1037" i="10"/>
  <c r="E1037" i="10"/>
  <c r="F1036" i="10"/>
  <c r="E1036" i="10"/>
  <c r="F1035" i="10"/>
  <c r="E1035" i="10"/>
  <c r="F1034" i="10"/>
  <c r="E1034" i="10"/>
  <c r="F1033" i="10"/>
  <c r="E1033" i="10"/>
  <c r="F1032" i="10"/>
  <c r="E1032" i="10"/>
  <c r="F1031" i="10"/>
  <c r="E1031" i="10"/>
  <c r="F1030" i="10"/>
  <c r="E1030" i="10"/>
  <c r="F1029" i="10"/>
  <c r="E1029" i="10"/>
  <c r="F1028" i="10"/>
  <c r="E1028" i="10"/>
  <c r="F1027" i="10"/>
  <c r="E1027" i="10"/>
  <c r="F1026" i="10"/>
  <c r="E1026" i="10"/>
  <c r="F1025" i="10"/>
  <c r="E1025" i="10"/>
  <c r="F1024" i="10"/>
  <c r="E1024" i="10"/>
  <c r="F1023" i="10"/>
  <c r="E1023" i="10"/>
  <c r="F1022" i="10"/>
  <c r="E1022" i="10"/>
  <c r="F1021" i="10"/>
  <c r="E1021" i="10"/>
  <c r="F1020" i="10"/>
  <c r="E1020" i="10"/>
  <c r="F1019" i="10"/>
  <c r="E1019" i="10"/>
  <c r="F1018" i="10"/>
  <c r="E1018" i="10"/>
  <c r="F1017" i="10"/>
  <c r="E1017" i="10"/>
  <c r="F1016" i="10"/>
  <c r="E1016" i="10"/>
  <c r="F1015" i="10"/>
  <c r="E1015" i="10"/>
  <c r="F1014" i="10"/>
  <c r="E1014" i="10"/>
  <c r="F1013" i="10"/>
  <c r="E1013" i="10"/>
  <c r="F1012" i="10"/>
  <c r="E1012" i="10"/>
  <c r="F1011" i="10"/>
  <c r="E1011" i="10"/>
  <c r="F1010" i="10"/>
  <c r="E1010" i="10"/>
  <c r="F1009" i="10"/>
  <c r="E1009" i="10"/>
  <c r="F1008" i="10"/>
  <c r="E1008" i="10"/>
  <c r="F1007" i="10"/>
  <c r="E1007" i="10"/>
  <c r="F1006" i="10"/>
  <c r="E1006" i="10"/>
  <c r="F1005" i="10"/>
  <c r="E1005" i="10"/>
  <c r="F1004" i="10"/>
  <c r="E1004" i="10"/>
  <c r="F1003" i="10"/>
  <c r="E1003" i="10"/>
  <c r="F1002" i="10"/>
  <c r="E1002" i="10"/>
  <c r="F1001" i="10"/>
  <c r="E1001" i="10"/>
  <c r="F1000" i="10"/>
  <c r="E1000" i="10"/>
  <c r="F999" i="10"/>
  <c r="E999" i="10"/>
  <c r="F998" i="10"/>
  <c r="E998" i="10"/>
  <c r="F997" i="10"/>
  <c r="E997" i="10"/>
  <c r="F996" i="10"/>
  <c r="E996" i="10"/>
  <c r="F995" i="10"/>
  <c r="E995" i="10"/>
  <c r="F994" i="10"/>
  <c r="E994" i="10"/>
  <c r="F993" i="10"/>
  <c r="E993" i="10"/>
  <c r="F992" i="10"/>
  <c r="E992" i="10"/>
  <c r="F991" i="10"/>
  <c r="E991" i="10"/>
  <c r="F990" i="10"/>
  <c r="E990" i="10"/>
  <c r="F989" i="10"/>
  <c r="E989" i="10"/>
  <c r="F988" i="10"/>
  <c r="E988" i="10"/>
  <c r="F987" i="10"/>
  <c r="E987" i="10"/>
  <c r="F986" i="10"/>
  <c r="E986" i="10"/>
  <c r="F985" i="10"/>
  <c r="E985" i="10"/>
  <c r="F984" i="10"/>
  <c r="E984" i="10"/>
  <c r="F983" i="10"/>
  <c r="E983" i="10"/>
  <c r="F982" i="10"/>
  <c r="E982" i="10"/>
  <c r="F981" i="10"/>
  <c r="E981" i="10"/>
  <c r="F980" i="10"/>
  <c r="E980" i="10"/>
  <c r="F979" i="10"/>
  <c r="E979" i="10"/>
  <c r="F978" i="10"/>
  <c r="E978" i="10"/>
  <c r="F977" i="10"/>
  <c r="E977" i="10"/>
  <c r="F976" i="10"/>
  <c r="E976" i="10"/>
  <c r="F975" i="10"/>
  <c r="E975" i="10"/>
  <c r="F974" i="10"/>
  <c r="E974" i="10"/>
  <c r="F973" i="10"/>
  <c r="E973" i="10"/>
  <c r="F972" i="10"/>
  <c r="E972" i="10"/>
  <c r="F971" i="10"/>
  <c r="E971" i="10"/>
  <c r="F970" i="10"/>
  <c r="E970" i="10"/>
  <c r="F969" i="10"/>
  <c r="E969" i="10"/>
  <c r="F968" i="10"/>
  <c r="E968" i="10"/>
  <c r="F967" i="10"/>
  <c r="E967" i="10"/>
  <c r="F966" i="10"/>
  <c r="E966" i="10"/>
  <c r="F965" i="10"/>
  <c r="E965" i="10"/>
  <c r="F964" i="10"/>
  <c r="E964" i="10"/>
  <c r="F963" i="10"/>
  <c r="E963" i="10"/>
  <c r="F962" i="10"/>
  <c r="E962" i="10"/>
  <c r="F961" i="10"/>
  <c r="E961" i="10"/>
  <c r="F960" i="10"/>
  <c r="E960" i="10"/>
  <c r="F959" i="10"/>
  <c r="E959" i="10"/>
  <c r="F958" i="10"/>
  <c r="E958" i="10"/>
  <c r="F957" i="10"/>
  <c r="E957" i="10"/>
  <c r="F956" i="10"/>
  <c r="E956" i="10"/>
  <c r="F955" i="10"/>
  <c r="E955" i="10"/>
  <c r="F954" i="10"/>
  <c r="E954" i="10"/>
  <c r="F953" i="10"/>
  <c r="E953" i="10"/>
  <c r="F952" i="10"/>
  <c r="E952" i="10"/>
  <c r="F951" i="10"/>
  <c r="E951" i="10"/>
  <c r="F950" i="10"/>
  <c r="E950" i="10"/>
  <c r="F949" i="10"/>
  <c r="E949" i="10"/>
  <c r="F948" i="10"/>
  <c r="E948" i="10"/>
  <c r="F947" i="10"/>
  <c r="E947" i="10"/>
  <c r="F946" i="10"/>
  <c r="E946" i="10"/>
  <c r="F945" i="10"/>
  <c r="E945" i="10"/>
  <c r="F944" i="10"/>
  <c r="E944" i="10"/>
  <c r="F943" i="10"/>
  <c r="E943" i="10"/>
  <c r="F942" i="10"/>
  <c r="E942" i="10"/>
  <c r="F941" i="10"/>
  <c r="E941" i="10"/>
  <c r="F940" i="10"/>
  <c r="E940" i="10"/>
  <c r="F939" i="10"/>
  <c r="E939" i="10"/>
  <c r="F938" i="10"/>
  <c r="E938" i="10"/>
  <c r="F937" i="10"/>
  <c r="E937" i="10"/>
  <c r="F936" i="10"/>
  <c r="E936" i="10"/>
  <c r="F935" i="10"/>
  <c r="E935" i="10"/>
  <c r="F934" i="10"/>
  <c r="E934" i="10"/>
  <c r="F933" i="10"/>
  <c r="E933" i="10"/>
  <c r="F932" i="10"/>
  <c r="E932" i="10"/>
  <c r="F931" i="10"/>
  <c r="E931" i="10"/>
  <c r="F930" i="10"/>
  <c r="E930" i="10"/>
  <c r="F929" i="10"/>
  <c r="E929" i="10"/>
  <c r="F928" i="10"/>
  <c r="E928" i="10"/>
  <c r="F927" i="10"/>
  <c r="E927" i="10"/>
  <c r="F926" i="10"/>
  <c r="E926" i="10"/>
  <c r="F925" i="10"/>
  <c r="E925" i="10"/>
  <c r="F924" i="10"/>
  <c r="E924" i="10"/>
  <c r="F923" i="10"/>
  <c r="E923" i="10"/>
  <c r="F922" i="10"/>
  <c r="E922" i="10"/>
  <c r="F921" i="10"/>
  <c r="E921" i="10"/>
  <c r="F920" i="10"/>
  <c r="E920" i="10"/>
  <c r="F919" i="10"/>
  <c r="E919" i="10"/>
  <c r="F918" i="10"/>
  <c r="E918" i="10"/>
  <c r="F917" i="10"/>
  <c r="E917" i="10"/>
  <c r="F916" i="10"/>
  <c r="E916" i="10"/>
  <c r="F915" i="10"/>
  <c r="E915" i="10"/>
  <c r="F914" i="10"/>
  <c r="E914" i="10"/>
  <c r="F913" i="10"/>
  <c r="E913" i="10"/>
  <c r="F912" i="10"/>
  <c r="E912" i="10"/>
  <c r="F911" i="10"/>
  <c r="E911" i="10"/>
  <c r="F910" i="10"/>
  <c r="E910" i="10"/>
  <c r="F909" i="10"/>
  <c r="E909" i="10"/>
  <c r="F908" i="10"/>
  <c r="E908" i="10"/>
  <c r="F907" i="10"/>
  <c r="E907" i="10"/>
  <c r="F906" i="10"/>
  <c r="E906" i="10"/>
  <c r="F905" i="10"/>
  <c r="E905" i="10"/>
  <c r="F904" i="10"/>
  <c r="E904" i="10"/>
  <c r="F903" i="10"/>
  <c r="E903" i="10"/>
  <c r="F902" i="10"/>
  <c r="E902" i="10"/>
  <c r="F901" i="10"/>
  <c r="E901" i="10"/>
  <c r="F900" i="10"/>
  <c r="E900" i="10"/>
  <c r="F899" i="10"/>
  <c r="E899" i="10"/>
  <c r="F898" i="10"/>
  <c r="E898" i="10"/>
  <c r="F897" i="10"/>
  <c r="E897" i="10"/>
  <c r="F896" i="10"/>
  <c r="E896" i="10"/>
  <c r="F895" i="10"/>
  <c r="E895" i="10"/>
  <c r="F894" i="10"/>
  <c r="E894" i="10"/>
  <c r="F893" i="10"/>
  <c r="E893" i="10"/>
  <c r="F892" i="10"/>
  <c r="E892" i="10"/>
  <c r="F891" i="10"/>
  <c r="E891" i="10"/>
  <c r="F890" i="10"/>
  <c r="E890" i="10"/>
  <c r="F889" i="10"/>
  <c r="E889" i="10"/>
  <c r="F888" i="10"/>
  <c r="E888" i="10"/>
  <c r="F887" i="10"/>
  <c r="E887" i="10"/>
  <c r="F886" i="10"/>
  <c r="E886" i="10"/>
  <c r="F885" i="10"/>
  <c r="E885" i="10"/>
  <c r="F884" i="10"/>
  <c r="E884" i="10"/>
  <c r="F883" i="10"/>
  <c r="E883" i="10"/>
  <c r="F882" i="10"/>
  <c r="E882" i="10"/>
  <c r="F881" i="10"/>
  <c r="E881" i="10"/>
  <c r="F880" i="10"/>
  <c r="E880" i="10"/>
  <c r="F879" i="10"/>
  <c r="E879" i="10"/>
  <c r="F878" i="10"/>
  <c r="E878" i="10"/>
  <c r="F877" i="10"/>
  <c r="E877" i="10"/>
  <c r="F876" i="10"/>
  <c r="E876" i="10"/>
  <c r="F875" i="10"/>
  <c r="E875" i="10"/>
  <c r="F874" i="10"/>
  <c r="E874" i="10"/>
  <c r="F873" i="10"/>
  <c r="E873" i="10"/>
  <c r="F872" i="10"/>
  <c r="E872" i="10"/>
  <c r="F871" i="10"/>
  <c r="E871" i="10"/>
  <c r="F870" i="10"/>
  <c r="E870" i="10"/>
  <c r="F869" i="10"/>
  <c r="E869" i="10"/>
  <c r="F868" i="10"/>
  <c r="E868" i="10"/>
  <c r="F867" i="10"/>
  <c r="E867" i="10"/>
  <c r="F866" i="10"/>
  <c r="E866" i="10"/>
  <c r="F865" i="10"/>
  <c r="E865" i="10"/>
  <c r="F864" i="10"/>
  <c r="E864" i="10"/>
  <c r="F863" i="10"/>
  <c r="E863" i="10"/>
  <c r="F862" i="10"/>
  <c r="E862" i="10"/>
  <c r="F861" i="10"/>
  <c r="E861" i="10"/>
  <c r="F860" i="10"/>
  <c r="E860" i="10"/>
  <c r="F859" i="10"/>
  <c r="E859" i="10"/>
  <c r="F858" i="10"/>
  <c r="E858" i="10"/>
  <c r="F857" i="10"/>
  <c r="E857" i="10"/>
  <c r="F856" i="10"/>
  <c r="E856" i="10"/>
  <c r="F855" i="10"/>
  <c r="E855" i="10"/>
  <c r="F854" i="10"/>
  <c r="E854" i="10"/>
  <c r="F853" i="10"/>
  <c r="E853" i="10"/>
  <c r="F852" i="10"/>
  <c r="E852" i="10"/>
  <c r="F851" i="10"/>
  <c r="E851" i="10"/>
  <c r="F850" i="10"/>
  <c r="E850" i="10"/>
  <c r="F849" i="10"/>
  <c r="E849" i="10"/>
  <c r="F848" i="10"/>
  <c r="E848" i="10"/>
  <c r="F847" i="10"/>
  <c r="E847" i="10"/>
  <c r="F846" i="10"/>
  <c r="E846" i="10"/>
  <c r="F845" i="10"/>
  <c r="E845" i="10"/>
  <c r="F844" i="10"/>
  <c r="E844" i="10"/>
  <c r="F843" i="10"/>
  <c r="E843" i="10"/>
  <c r="F842" i="10"/>
  <c r="E842" i="10"/>
  <c r="F841" i="10"/>
  <c r="E841" i="10"/>
  <c r="F840" i="10"/>
  <c r="E840" i="10"/>
  <c r="F839" i="10"/>
  <c r="E839" i="10"/>
  <c r="F838" i="10"/>
  <c r="E838" i="10"/>
  <c r="F837" i="10"/>
  <c r="E837" i="10"/>
  <c r="F836" i="10"/>
  <c r="E836" i="10"/>
  <c r="F835" i="10"/>
  <c r="E835" i="10"/>
  <c r="F834" i="10"/>
  <c r="E834" i="10"/>
  <c r="F833" i="10"/>
  <c r="E833" i="10"/>
  <c r="F832" i="10"/>
  <c r="E832" i="10"/>
  <c r="F831" i="10"/>
  <c r="E831" i="10"/>
  <c r="F830" i="10"/>
  <c r="E830" i="10"/>
  <c r="F829" i="10"/>
  <c r="E829" i="10"/>
  <c r="F828" i="10"/>
  <c r="E828" i="10"/>
  <c r="F827" i="10"/>
  <c r="E827" i="10"/>
  <c r="F826" i="10"/>
  <c r="E826" i="10"/>
  <c r="F825" i="10"/>
  <c r="E825" i="10"/>
  <c r="F824" i="10"/>
  <c r="E824" i="10"/>
  <c r="F823" i="10"/>
  <c r="E823" i="10"/>
  <c r="F822" i="10"/>
  <c r="E822" i="10"/>
  <c r="F821" i="10"/>
  <c r="E821" i="10"/>
  <c r="F820" i="10"/>
  <c r="E820" i="10"/>
  <c r="F819" i="10"/>
  <c r="E819" i="10"/>
  <c r="F818" i="10"/>
  <c r="E818" i="10"/>
  <c r="F817" i="10"/>
  <c r="E817" i="10"/>
  <c r="F816" i="10"/>
  <c r="E816" i="10"/>
  <c r="F815" i="10"/>
  <c r="E815" i="10"/>
  <c r="F814" i="10"/>
  <c r="E814" i="10"/>
  <c r="F813" i="10"/>
  <c r="E813" i="10"/>
  <c r="F812" i="10"/>
  <c r="E812" i="10"/>
  <c r="F811" i="10"/>
  <c r="E811" i="10"/>
  <c r="F810" i="10"/>
  <c r="E810" i="10"/>
  <c r="F809" i="10"/>
  <c r="E809" i="10"/>
  <c r="F808" i="10"/>
  <c r="E808" i="10"/>
  <c r="F807" i="10"/>
  <c r="E807" i="10"/>
  <c r="F806" i="10"/>
  <c r="E806" i="10"/>
  <c r="F805" i="10"/>
  <c r="E805" i="10"/>
  <c r="F804" i="10"/>
  <c r="E804" i="10"/>
  <c r="F803" i="10"/>
  <c r="E803" i="10"/>
  <c r="F802" i="10"/>
  <c r="E802" i="10"/>
  <c r="F801" i="10"/>
  <c r="E801" i="10"/>
  <c r="F800" i="10"/>
  <c r="E800" i="10"/>
  <c r="F799" i="10"/>
  <c r="E799" i="10"/>
  <c r="F798" i="10"/>
  <c r="E798" i="10"/>
  <c r="F797" i="10"/>
  <c r="E797" i="10"/>
  <c r="F796" i="10"/>
  <c r="E796" i="10"/>
  <c r="F795" i="10"/>
  <c r="E795" i="10"/>
  <c r="F794" i="10"/>
  <c r="E794" i="10"/>
  <c r="F793" i="10"/>
  <c r="E793" i="10"/>
  <c r="F792" i="10"/>
  <c r="E792" i="10"/>
  <c r="F791" i="10"/>
  <c r="E791" i="10"/>
  <c r="F790" i="10"/>
  <c r="E790" i="10"/>
  <c r="F789" i="10"/>
  <c r="E789" i="10"/>
  <c r="F788" i="10"/>
  <c r="E788" i="10"/>
  <c r="F787" i="10"/>
  <c r="E787" i="10"/>
  <c r="F786" i="10"/>
  <c r="E786" i="10"/>
  <c r="F785" i="10"/>
  <c r="E785" i="10"/>
  <c r="F784" i="10"/>
  <c r="E784" i="10"/>
  <c r="F783" i="10"/>
  <c r="E783" i="10"/>
  <c r="F782" i="10"/>
  <c r="E782" i="10"/>
  <c r="F781" i="10"/>
  <c r="E781" i="10"/>
  <c r="F780" i="10"/>
  <c r="E780" i="10"/>
  <c r="F779" i="10"/>
  <c r="E779" i="10"/>
  <c r="F778" i="10"/>
  <c r="E778" i="10"/>
  <c r="F777" i="10"/>
  <c r="E777" i="10"/>
  <c r="F776" i="10"/>
  <c r="E776" i="10"/>
  <c r="F775" i="10"/>
  <c r="E775" i="10"/>
  <c r="F774" i="10"/>
  <c r="E774" i="10"/>
  <c r="F773" i="10"/>
  <c r="E773" i="10"/>
  <c r="F772" i="10"/>
  <c r="E772" i="10"/>
  <c r="F771" i="10"/>
  <c r="E771" i="10"/>
  <c r="F770" i="10"/>
  <c r="E770" i="10"/>
  <c r="F769" i="10"/>
  <c r="E769" i="10"/>
  <c r="F768" i="10"/>
  <c r="E768" i="10"/>
  <c r="F767" i="10"/>
  <c r="E767" i="10"/>
  <c r="F766" i="10"/>
  <c r="E766" i="10"/>
  <c r="F765" i="10"/>
  <c r="E765" i="10"/>
  <c r="F764" i="10"/>
  <c r="E764" i="10"/>
  <c r="F763" i="10"/>
  <c r="E763" i="10"/>
  <c r="F762" i="10"/>
  <c r="E762" i="10"/>
  <c r="F761" i="10"/>
  <c r="E761" i="10"/>
  <c r="F760" i="10"/>
  <c r="E760" i="10"/>
  <c r="F759" i="10"/>
  <c r="E759" i="10"/>
  <c r="F758" i="10"/>
  <c r="E758" i="10"/>
  <c r="F757" i="10"/>
  <c r="E757" i="10"/>
  <c r="F756" i="10"/>
  <c r="E756" i="10"/>
  <c r="F755" i="10"/>
  <c r="E755" i="10"/>
  <c r="F754" i="10"/>
  <c r="E754" i="10"/>
  <c r="F753" i="10"/>
  <c r="E753" i="10"/>
  <c r="F752" i="10"/>
  <c r="E752" i="10"/>
  <c r="F751" i="10"/>
  <c r="E751" i="10"/>
  <c r="F750" i="10"/>
  <c r="E750" i="10"/>
  <c r="F749" i="10"/>
  <c r="E749" i="10"/>
  <c r="F748" i="10"/>
  <c r="E748" i="10"/>
  <c r="F747" i="10"/>
  <c r="E747" i="10"/>
  <c r="F746" i="10"/>
  <c r="E746" i="10"/>
  <c r="F745" i="10"/>
  <c r="E745" i="10"/>
  <c r="F744" i="10"/>
  <c r="E744" i="10"/>
  <c r="F743" i="10"/>
  <c r="E743" i="10"/>
  <c r="F742" i="10"/>
  <c r="E742" i="10"/>
  <c r="F741" i="10"/>
  <c r="E741" i="10"/>
  <c r="F740" i="10"/>
  <c r="E740" i="10"/>
  <c r="F739" i="10"/>
  <c r="E739" i="10"/>
  <c r="F738" i="10"/>
  <c r="E738" i="10"/>
  <c r="F737" i="10"/>
  <c r="E737" i="10"/>
  <c r="F736" i="10"/>
  <c r="E736" i="10"/>
  <c r="F735" i="10"/>
  <c r="E735" i="10"/>
  <c r="F734" i="10"/>
  <c r="E734" i="10"/>
  <c r="F733" i="10"/>
  <c r="E733" i="10"/>
  <c r="F732" i="10"/>
  <c r="E732" i="10"/>
  <c r="F731" i="10"/>
  <c r="E731" i="10"/>
  <c r="F730" i="10"/>
  <c r="E730" i="10"/>
  <c r="F729" i="10"/>
  <c r="E729" i="10"/>
  <c r="F728" i="10"/>
  <c r="E728" i="10"/>
  <c r="F727" i="10"/>
  <c r="E727" i="10"/>
  <c r="F726" i="10"/>
  <c r="E726" i="10"/>
  <c r="F725" i="10"/>
  <c r="E725" i="10"/>
  <c r="F724" i="10"/>
  <c r="E724" i="10"/>
  <c r="F723" i="10"/>
  <c r="E723" i="10"/>
  <c r="F722" i="10"/>
  <c r="E722" i="10"/>
  <c r="F721" i="10"/>
  <c r="E721" i="10"/>
  <c r="F720" i="10"/>
  <c r="E720" i="10"/>
  <c r="F719" i="10"/>
  <c r="E719" i="10"/>
  <c r="F718" i="10"/>
  <c r="E718" i="10"/>
  <c r="F717" i="10"/>
  <c r="E717" i="10"/>
  <c r="F716" i="10"/>
  <c r="E716" i="10"/>
  <c r="F715" i="10"/>
  <c r="E715" i="10"/>
  <c r="F714" i="10"/>
  <c r="E714" i="10"/>
  <c r="F713" i="10"/>
  <c r="E713" i="10"/>
  <c r="F712" i="10"/>
  <c r="E712" i="10"/>
  <c r="F711" i="10"/>
  <c r="E711" i="10"/>
  <c r="F710" i="10"/>
  <c r="E710" i="10"/>
  <c r="F709" i="10"/>
  <c r="E709" i="10"/>
  <c r="F708" i="10"/>
  <c r="E708" i="10"/>
  <c r="F707" i="10"/>
  <c r="E707" i="10"/>
  <c r="F706" i="10"/>
  <c r="E706" i="10"/>
  <c r="F705" i="10"/>
  <c r="E705" i="10"/>
  <c r="F704" i="10"/>
  <c r="E704" i="10"/>
  <c r="F703" i="10"/>
  <c r="E703" i="10"/>
  <c r="F702" i="10"/>
  <c r="E702" i="10"/>
  <c r="F701" i="10"/>
  <c r="E701" i="10"/>
  <c r="F700" i="10"/>
  <c r="E700" i="10"/>
  <c r="F699" i="10"/>
  <c r="E699" i="10"/>
  <c r="F698" i="10"/>
  <c r="E698" i="10"/>
  <c r="F697" i="10"/>
  <c r="E697" i="10"/>
  <c r="F696" i="10"/>
  <c r="E696" i="10"/>
  <c r="F695" i="10"/>
  <c r="E695" i="10"/>
  <c r="F694" i="10"/>
  <c r="E694" i="10"/>
  <c r="F693" i="10"/>
  <c r="E693" i="10"/>
  <c r="F692" i="10"/>
  <c r="E692" i="10"/>
  <c r="F691" i="10"/>
  <c r="E691" i="10"/>
  <c r="F690" i="10"/>
  <c r="E690" i="10"/>
  <c r="F689" i="10"/>
  <c r="E689" i="10"/>
  <c r="F688" i="10"/>
  <c r="E688" i="10"/>
  <c r="F687" i="10"/>
  <c r="E687" i="10"/>
  <c r="F686" i="10"/>
  <c r="E686" i="10"/>
  <c r="F685" i="10"/>
  <c r="E685" i="10"/>
  <c r="F684" i="10"/>
  <c r="E684" i="10"/>
  <c r="F683" i="10"/>
  <c r="E683" i="10"/>
  <c r="F682" i="10"/>
  <c r="E682" i="10"/>
  <c r="F681" i="10"/>
  <c r="E681" i="10"/>
  <c r="F680" i="10"/>
  <c r="E680" i="10"/>
  <c r="F679" i="10"/>
  <c r="E679" i="10"/>
  <c r="F678" i="10"/>
  <c r="E678" i="10"/>
  <c r="F677" i="10"/>
  <c r="E677" i="10"/>
  <c r="F676" i="10"/>
  <c r="E676" i="10"/>
  <c r="F675" i="10"/>
  <c r="E675" i="10"/>
  <c r="F674" i="10"/>
  <c r="E674" i="10"/>
  <c r="F673" i="10"/>
  <c r="E673" i="10"/>
  <c r="F672" i="10"/>
  <c r="E672" i="10"/>
  <c r="F671" i="10"/>
  <c r="E671" i="10"/>
  <c r="F670" i="10"/>
  <c r="E670" i="10"/>
  <c r="F669" i="10"/>
  <c r="E669" i="10"/>
  <c r="F668" i="10"/>
  <c r="E668" i="10"/>
  <c r="F667" i="10"/>
  <c r="E667" i="10"/>
  <c r="F666" i="10"/>
  <c r="E666" i="10"/>
  <c r="F665" i="10"/>
  <c r="E665" i="10"/>
  <c r="F664" i="10"/>
  <c r="E664" i="10"/>
  <c r="F663" i="10"/>
  <c r="E663" i="10"/>
  <c r="F662" i="10"/>
  <c r="E662" i="10"/>
  <c r="F661" i="10"/>
  <c r="E661" i="10"/>
  <c r="F660" i="10"/>
  <c r="E660" i="10"/>
  <c r="F659" i="10"/>
  <c r="E659" i="10"/>
  <c r="F658" i="10"/>
  <c r="E658" i="10"/>
  <c r="F657" i="10"/>
  <c r="E657" i="10"/>
  <c r="F656" i="10"/>
  <c r="E656" i="10"/>
  <c r="F655" i="10"/>
  <c r="E655" i="10"/>
  <c r="F654" i="10"/>
  <c r="E654" i="10"/>
  <c r="F653" i="10"/>
  <c r="E653" i="10"/>
  <c r="F652" i="10"/>
  <c r="E652" i="10"/>
  <c r="F651" i="10"/>
  <c r="E651" i="10"/>
  <c r="F650" i="10"/>
  <c r="E650" i="10"/>
  <c r="F649" i="10"/>
  <c r="E649" i="10"/>
  <c r="F648" i="10"/>
  <c r="E648" i="10"/>
  <c r="F647" i="10"/>
  <c r="E647" i="10"/>
  <c r="F646" i="10"/>
  <c r="E646" i="10"/>
  <c r="F645" i="10"/>
  <c r="E645" i="10"/>
  <c r="F644" i="10"/>
  <c r="E644" i="10"/>
  <c r="F643" i="10"/>
  <c r="E643" i="10"/>
  <c r="F642" i="10"/>
  <c r="E642" i="10"/>
  <c r="F641" i="10"/>
  <c r="E641" i="10"/>
  <c r="F640" i="10"/>
  <c r="E640" i="10"/>
  <c r="F639" i="10"/>
  <c r="E639" i="10"/>
  <c r="F638" i="10"/>
  <c r="E638" i="10"/>
  <c r="F637" i="10"/>
  <c r="E637" i="10"/>
  <c r="F636" i="10"/>
  <c r="E636" i="10"/>
  <c r="F635" i="10"/>
  <c r="E635" i="10"/>
  <c r="F634" i="10"/>
  <c r="E634" i="10"/>
  <c r="F633" i="10"/>
  <c r="E633" i="10"/>
  <c r="F632" i="10"/>
  <c r="E632" i="10"/>
  <c r="F631" i="10"/>
  <c r="E631" i="10"/>
  <c r="F630" i="10"/>
  <c r="E630" i="10"/>
  <c r="F629" i="10"/>
  <c r="E629" i="10"/>
  <c r="F628" i="10"/>
  <c r="E628" i="10"/>
  <c r="F627" i="10"/>
  <c r="E627" i="10"/>
  <c r="F626" i="10"/>
  <c r="E626" i="10"/>
  <c r="F625" i="10"/>
  <c r="E625" i="10"/>
  <c r="F624" i="10"/>
  <c r="E624" i="10"/>
  <c r="F623" i="10"/>
  <c r="E623" i="10"/>
  <c r="F622" i="10"/>
  <c r="E622" i="10"/>
  <c r="F621" i="10"/>
  <c r="E621" i="10"/>
  <c r="F620" i="10"/>
  <c r="E620" i="10"/>
  <c r="F619" i="10"/>
  <c r="E619" i="10"/>
  <c r="F618" i="10"/>
  <c r="E618" i="10"/>
  <c r="F617" i="10"/>
  <c r="E617" i="10"/>
  <c r="F616" i="10"/>
  <c r="E616" i="10"/>
  <c r="F615" i="10"/>
  <c r="E615" i="10"/>
  <c r="F614" i="10"/>
  <c r="E614" i="10"/>
  <c r="F613" i="10"/>
  <c r="E613" i="10"/>
  <c r="F612" i="10"/>
  <c r="E612" i="10"/>
  <c r="F611" i="10"/>
  <c r="E611" i="10"/>
  <c r="F610" i="10"/>
  <c r="E610" i="10"/>
  <c r="F609" i="10"/>
  <c r="E609" i="10"/>
  <c r="F608" i="10"/>
  <c r="E608" i="10"/>
  <c r="F607" i="10"/>
  <c r="E607" i="10"/>
  <c r="F606" i="10"/>
  <c r="E606" i="10"/>
  <c r="F605" i="10"/>
  <c r="E605" i="10"/>
  <c r="F604" i="10"/>
  <c r="E604" i="10"/>
  <c r="F603" i="10"/>
  <c r="E603" i="10"/>
  <c r="F602" i="10"/>
  <c r="E602" i="10"/>
  <c r="F601" i="10"/>
  <c r="E601" i="10"/>
  <c r="F600" i="10"/>
  <c r="E600" i="10"/>
  <c r="F599" i="10"/>
  <c r="E599" i="10"/>
  <c r="F598" i="10"/>
  <c r="E598" i="10"/>
  <c r="F597" i="10"/>
  <c r="E597" i="10"/>
  <c r="F596" i="10"/>
  <c r="E596" i="10"/>
  <c r="F595" i="10"/>
  <c r="E595" i="10"/>
  <c r="F594" i="10"/>
  <c r="E594" i="10"/>
  <c r="F593" i="10"/>
  <c r="E593" i="10"/>
  <c r="F592" i="10"/>
  <c r="E592" i="10"/>
  <c r="F591" i="10"/>
  <c r="E591" i="10"/>
  <c r="F590" i="10"/>
  <c r="E590" i="10"/>
  <c r="F589" i="10"/>
  <c r="E589" i="10"/>
  <c r="F588" i="10"/>
  <c r="E588" i="10"/>
  <c r="F587" i="10"/>
  <c r="E587" i="10"/>
  <c r="F586" i="10"/>
  <c r="E586" i="10"/>
  <c r="F585" i="10"/>
  <c r="E585" i="10"/>
  <c r="F584" i="10"/>
  <c r="E584" i="10"/>
  <c r="F583" i="10"/>
  <c r="E583" i="10"/>
  <c r="F582" i="10"/>
  <c r="E582" i="10"/>
  <c r="F581" i="10"/>
  <c r="E581" i="10"/>
  <c r="F580" i="10"/>
  <c r="E580" i="10"/>
  <c r="F579" i="10"/>
  <c r="E579" i="10"/>
  <c r="F578" i="10"/>
  <c r="E578" i="10"/>
  <c r="F577" i="10"/>
  <c r="E577" i="10"/>
  <c r="F576" i="10"/>
  <c r="E576" i="10"/>
  <c r="F575" i="10"/>
  <c r="E575" i="10"/>
  <c r="F574" i="10"/>
  <c r="E574" i="10"/>
  <c r="F573" i="10"/>
  <c r="E573" i="10"/>
  <c r="F572" i="10"/>
  <c r="E572" i="10"/>
  <c r="F571" i="10"/>
  <c r="E571" i="10"/>
  <c r="F570" i="10"/>
  <c r="E570" i="10"/>
  <c r="F569" i="10"/>
  <c r="E569" i="10"/>
  <c r="F568" i="10"/>
  <c r="E568" i="10"/>
  <c r="F567" i="10"/>
  <c r="E567" i="10"/>
  <c r="F566" i="10"/>
  <c r="E566" i="10"/>
  <c r="F565" i="10"/>
  <c r="E565" i="10"/>
  <c r="F564" i="10"/>
  <c r="E564" i="10"/>
  <c r="F563" i="10"/>
  <c r="E563" i="10"/>
  <c r="F562" i="10"/>
  <c r="E562" i="10"/>
  <c r="F561" i="10"/>
  <c r="E561" i="10"/>
  <c r="F560" i="10"/>
  <c r="E560" i="10"/>
  <c r="F559" i="10"/>
  <c r="E559" i="10"/>
  <c r="F558" i="10"/>
  <c r="E558" i="10"/>
  <c r="F557" i="10"/>
  <c r="E557" i="10"/>
  <c r="F556" i="10"/>
  <c r="E556" i="10"/>
  <c r="F555" i="10"/>
  <c r="E555" i="10"/>
  <c r="F554" i="10"/>
  <c r="E554" i="10"/>
  <c r="F553" i="10"/>
  <c r="E553" i="10"/>
  <c r="F552" i="10"/>
  <c r="E552" i="10"/>
  <c r="F551" i="10"/>
  <c r="E551" i="10"/>
  <c r="F550" i="10"/>
  <c r="E550" i="10"/>
  <c r="F549" i="10"/>
  <c r="E549" i="10"/>
  <c r="F548" i="10"/>
  <c r="E548" i="10"/>
  <c r="F547" i="10"/>
  <c r="E547" i="10"/>
  <c r="F546" i="10"/>
  <c r="E546" i="10"/>
  <c r="F545" i="10"/>
  <c r="E545" i="10"/>
  <c r="F544" i="10"/>
  <c r="E544" i="10"/>
  <c r="F543" i="10"/>
  <c r="E543" i="10"/>
  <c r="F542" i="10"/>
  <c r="E542" i="10"/>
  <c r="F541" i="10"/>
  <c r="E541" i="10"/>
  <c r="F540" i="10"/>
  <c r="E540" i="10"/>
  <c r="F539" i="10"/>
  <c r="E539" i="10"/>
  <c r="F538" i="10"/>
  <c r="E538" i="10"/>
  <c r="F537" i="10"/>
  <c r="E537" i="10"/>
  <c r="F536" i="10"/>
  <c r="E536" i="10"/>
  <c r="F535" i="10"/>
  <c r="E535" i="10"/>
  <c r="F534" i="10"/>
  <c r="E534" i="10"/>
  <c r="F533" i="10"/>
  <c r="E533" i="10"/>
  <c r="F532" i="10"/>
  <c r="E532" i="10"/>
  <c r="F531" i="10"/>
  <c r="E531" i="10"/>
  <c r="F530" i="10"/>
  <c r="E530" i="10"/>
  <c r="F529" i="10"/>
  <c r="E529" i="10"/>
  <c r="F528" i="10"/>
  <c r="E528" i="10"/>
  <c r="F527" i="10"/>
  <c r="E527" i="10"/>
  <c r="F526" i="10"/>
  <c r="E526" i="10"/>
  <c r="F525" i="10"/>
  <c r="E525" i="10"/>
  <c r="F524" i="10"/>
  <c r="E524" i="10"/>
  <c r="F523" i="10"/>
  <c r="E523" i="10"/>
  <c r="F522" i="10"/>
  <c r="E522" i="10"/>
  <c r="F521" i="10"/>
  <c r="E521" i="10"/>
  <c r="F520" i="10"/>
  <c r="E520" i="10"/>
  <c r="F519" i="10"/>
  <c r="E519" i="10"/>
  <c r="F518" i="10"/>
  <c r="E518" i="10"/>
  <c r="F517" i="10"/>
  <c r="E517" i="10"/>
  <c r="F516" i="10"/>
  <c r="E516" i="10"/>
  <c r="F515" i="10"/>
  <c r="E515" i="10"/>
  <c r="F514" i="10"/>
  <c r="E514" i="10"/>
  <c r="F513" i="10"/>
  <c r="E513" i="10"/>
  <c r="F512" i="10"/>
  <c r="E512" i="10"/>
  <c r="F511" i="10"/>
  <c r="E511" i="10"/>
  <c r="F510" i="10"/>
  <c r="E510" i="10"/>
  <c r="F509" i="10"/>
  <c r="E509" i="10"/>
  <c r="F508" i="10"/>
  <c r="E508" i="10"/>
  <c r="F507" i="10"/>
  <c r="E507" i="10"/>
  <c r="F506" i="10"/>
  <c r="E506" i="10"/>
  <c r="F505" i="10"/>
  <c r="E505" i="10"/>
  <c r="F504" i="10"/>
  <c r="E504" i="10"/>
  <c r="F503" i="10"/>
  <c r="E503" i="10"/>
  <c r="F502" i="10"/>
  <c r="E502" i="10"/>
  <c r="F501" i="10"/>
  <c r="E501" i="10"/>
  <c r="F500" i="10"/>
  <c r="E500" i="10"/>
  <c r="F499" i="10"/>
  <c r="E499" i="10"/>
  <c r="F498" i="10"/>
  <c r="E498" i="10"/>
  <c r="F497" i="10"/>
  <c r="E497" i="10"/>
  <c r="F496" i="10"/>
  <c r="E496" i="10"/>
  <c r="F495" i="10"/>
  <c r="E495" i="10"/>
  <c r="F494" i="10"/>
  <c r="E494" i="10"/>
  <c r="F493" i="10"/>
  <c r="E493" i="10"/>
  <c r="F492" i="10"/>
  <c r="E492" i="10"/>
  <c r="F491" i="10"/>
  <c r="E491" i="10"/>
  <c r="F490" i="10"/>
  <c r="E490" i="10"/>
  <c r="F489" i="10"/>
  <c r="E489" i="10"/>
  <c r="F488" i="10"/>
  <c r="E488" i="10"/>
  <c r="F487" i="10"/>
  <c r="E487" i="10"/>
  <c r="F486" i="10"/>
  <c r="E486" i="10"/>
  <c r="F485" i="10"/>
  <c r="E485" i="10"/>
  <c r="F484" i="10"/>
  <c r="E484" i="10"/>
  <c r="F483" i="10"/>
  <c r="E483" i="10"/>
  <c r="F482" i="10"/>
  <c r="E482" i="10"/>
  <c r="F481" i="10"/>
  <c r="E481" i="10"/>
  <c r="F480" i="10"/>
  <c r="E480" i="10"/>
  <c r="F479" i="10"/>
  <c r="E479" i="10"/>
  <c r="F478" i="10"/>
  <c r="E478" i="10"/>
  <c r="F477" i="10"/>
  <c r="E477" i="10"/>
  <c r="F476" i="10"/>
  <c r="E476" i="10"/>
  <c r="F475" i="10"/>
  <c r="E475" i="10"/>
  <c r="F474" i="10"/>
  <c r="E474" i="10"/>
  <c r="F473" i="10"/>
  <c r="E473" i="10"/>
  <c r="F472" i="10"/>
  <c r="E472" i="10"/>
  <c r="F471" i="10"/>
  <c r="E471" i="10"/>
  <c r="F470" i="10"/>
  <c r="E470" i="10"/>
  <c r="F469" i="10"/>
  <c r="E469" i="10"/>
  <c r="F468" i="10"/>
  <c r="E468" i="10"/>
  <c r="F467" i="10"/>
  <c r="E467" i="10"/>
  <c r="F466" i="10"/>
  <c r="E466" i="10"/>
  <c r="F465" i="10"/>
  <c r="E465" i="10"/>
  <c r="F464" i="10"/>
  <c r="E464" i="10"/>
  <c r="F463" i="10"/>
  <c r="E463" i="10"/>
  <c r="F462" i="10"/>
  <c r="E462" i="10"/>
  <c r="F461" i="10"/>
  <c r="E461" i="10"/>
  <c r="F460" i="10"/>
  <c r="E460" i="10"/>
  <c r="F459" i="10"/>
  <c r="E459" i="10"/>
  <c r="F458" i="10"/>
  <c r="E458" i="10"/>
  <c r="F457" i="10"/>
  <c r="E457" i="10"/>
  <c r="F456" i="10"/>
  <c r="E456" i="10"/>
  <c r="F455" i="10"/>
  <c r="E455" i="10"/>
  <c r="F454" i="10"/>
  <c r="E454" i="10"/>
  <c r="F453" i="10"/>
  <c r="E453" i="10"/>
  <c r="F452" i="10"/>
  <c r="E452" i="10"/>
  <c r="F451" i="10"/>
  <c r="E451" i="10"/>
  <c r="F450" i="10"/>
  <c r="E450" i="10"/>
  <c r="F449" i="10"/>
  <c r="E449" i="10"/>
  <c r="F448" i="10"/>
  <c r="E448" i="10"/>
  <c r="F447" i="10"/>
  <c r="E447" i="10"/>
  <c r="F446" i="10"/>
  <c r="E446" i="10"/>
  <c r="F445" i="10"/>
  <c r="E445" i="10"/>
  <c r="F444" i="10"/>
  <c r="E444" i="10"/>
  <c r="F443" i="10"/>
  <c r="E443" i="10"/>
  <c r="F442" i="10"/>
  <c r="E442" i="10"/>
  <c r="F441" i="10"/>
  <c r="E441" i="10"/>
  <c r="F440" i="10"/>
  <c r="E440" i="10"/>
  <c r="F439" i="10"/>
  <c r="E439" i="10"/>
  <c r="F438" i="10"/>
  <c r="E438" i="10"/>
  <c r="F437" i="10"/>
  <c r="E437" i="10"/>
  <c r="F436" i="10"/>
  <c r="E436" i="10"/>
  <c r="F435" i="10"/>
  <c r="E435" i="10"/>
  <c r="F434" i="10"/>
  <c r="E434" i="10"/>
  <c r="F433" i="10"/>
  <c r="E433" i="10"/>
  <c r="F432" i="10"/>
  <c r="E432" i="10"/>
  <c r="F431" i="10"/>
  <c r="E431" i="10"/>
  <c r="F430" i="10"/>
  <c r="E430" i="10"/>
  <c r="F429" i="10"/>
  <c r="E429" i="10"/>
  <c r="F428" i="10"/>
  <c r="E428" i="10"/>
  <c r="F427" i="10"/>
  <c r="E427" i="10"/>
  <c r="F426" i="10"/>
  <c r="E426" i="10"/>
  <c r="F425" i="10"/>
  <c r="E425" i="10"/>
  <c r="F424" i="10"/>
  <c r="E424" i="10"/>
  <c r="F423" i="10"/>
  <c r="E423" i="10"/>
  <c r="F422" i="10"/>
  <c r="E422" i="10"/>
  <c r="F421" i="10"/>
  <c r="E421" i="10"/>
  <c r="F420" i="10"/>
  <c r="E420" i="10"/>
  <c r="F419" i="10"/>
  <c r="E419" i="10"/>
  <c r="F418" i="10"/>
  <c r="E418" i="10"/>
  <c r="F417" i="10"/>
  <c r="E417" i="10"/>
  <c r="F416" i="10"/>
  <c r="E416" i="10"/>
  <c r="F415" i="10"/>
  <c r="E415" i="10"/>
  <c r="F414" i="10"/>
  <c r="E414" i="10"/>
  <c r="F413" i="10"/>
  <c r="E413" i="10"/>
  <c r="F412" i="10"/>
  <c r="E412" i="10"/>
  <c r="F411" i="10"/>
  <c r="E411" i="10"/>
  <c r="F410" i="10"/>
  <c r="E410" i="10"/>
  <c r="F409" i="10"/>
  <c r="E409" i="10"/>
  <c r="F408" i="10"/>
  <c r="E408" i="10"/>
  <c r="F407" i="10"/>
  <c r="E407" i="10"/>
  <c r="F406" i="10"/>
  <c r="E406" i="10"/>
  <c r="F405" i="10"/>
  <c r="E405" i="10"/>
  <c r="F404" i="10"/>
  <c r="E404" i="10"/>
  <c r="F403" i="10"/>
  <c r="E403" i="10"/>
  <c r="F402" i="10"/>
  <c r="E402" i="10"/>
  <c r="F401" i="10"/>
  <c r="E401" i="10"/>
  <c r="F400" i="10"/>
  <c r="E400" i="10"/>
  <c r="F399" i="10"/>
  <c r="E399" i="10"/>
  <c r="F398" i="10"/>
  <c r="E398" i="10"/>
  <c r="F397" i="10"/>
  <c r="E397" i="10"/>
  <c r="F396" i="10"/>
  <c r="E396" i="10"/>
  <c r="F395" i="10"/>
  <c r="E395" i="10"/>
  <c r="F394" i="10"/>
  <c r="E394" i="10"/>
  <c r="F393" i="10"/>
  <c r="E393" i="10"/>
  <c r="F392" i="10"/>
  <c r="E392" i="10"/>
  <c r="F391" i="10"/>
  <c r="E391" i="10"/>
  <c r="F390" i="10"/>
  <c r="E390" i="10"/>
  <c r="F389" i="10"/>
  <c r="E389" i="10"/>
  <c r="F388" i="10"/>
  <c r="E388" i="10"/>
  <c r="F387" i="10"/>
  <c r="E387" i="10"/>
  <c r="F386" i="10"/>
  <c r="E386" i="10"/>
  <c r="F385" i="10"/>
  <c r="E385" i="10"/>
  <c r="F384" i="10"/>
  <c r="E384" i="10"/>
  <c r="F383" i="10"/>
  <c r="E383" i="10"/>
  <c r="F382" i="10"/>
  <c r="E382" i="10"/>
  <c r="F381" i="10"/>
  <c r="E381" i="10"/>
  <c r="F380" i="10"/>
  <c r="E380" i="10"/>
  <c r="F379" i="10"/>
  <c r="E379" i="10"/>
  <c r="F378" i="10"/>
  <c r="E378" i="10"/>
  <c r="F377" i="10"/>
  <c r="E377" i="10"/>
  <c r="F376" i="10"/>
  <c r="E376" i="10"/>
  <c r="F375" i="10"/>
  <c r="E375" i="10"/>
  <c r="F374" i="10"/>
  <c r="E374" i="10"/>
  <c r="F373" i="10"/>
  <c r="E373" i="10"/>
  <c r="F372" i="10"/>
  <c r="E372" i="10"/>
  <c r="F371" i="10"/>
  <c r="E371" i="10"/>
  <c r="F370" i="10"/>
  <c r="E370" i="10"/>
  <c r="F369" i="10"/>
  <c r="E369" i="10"/>
  <c r="F368" i="10"/>
  <c r="E368" i="10"/>
  <c r="F367" i="10"/>
  <c r="E367" i="10"/>
  <c r="F366" i="10"/>
  <c r="E366" i="10"/>
  <c r="F365" i="10"/>
  <c r="E365" i="10"/>
  <c r="F364" i="10"/>
  <c r="E364" i="10"/>
  <c r="F363" i="10"/>
  <c r="E363" i="10"/>
  <c r="F362" i="10"/>
  <c r="E362" i="10"/>
  <c r="F361" i="10"/>
  <c r="E361" i="10"/>
  <c r="F360" i="10"/>
  <c r="E360" i="10"/>
  <c r="F359" i="10"/>
  <c r="E359" i="10"/>
  <c r="F358" i="10"/>
  <c r="E358" i="10"/>
  <c r="F357" i="10"/>
  <c r="E357" i="10"/>
  <c r="F356" i="10"/>
  <c r="E356" i="10"/>
  <c r="F355" i="10"/>
  <c r="E355" i="10"/>
  <c r="F354" i="10"/>
  <c r="E354" i="10"/>
  <c r="F353" i="10"/>
  <c r="E353" i="10"/>
  <c r="F352" i="10"/>
  <c r="E352" i="10"/>
  <c r="F351" i="10"/>
  <c r="E351" i="10"/>
  <c r="F350" i="10"/>
  <c r="E350" i="10"/>
  <c r="F349" i="10"/>
  <c r="E349" i="10"/>
  <c r="F348" i="10"/>
  <c r="E348" i="10"/>
  <c r="F347" i="10"/>
  <c r="E347" i="10"/>
  <c r="F346" i="10"/>
  <c r="E346" i="10"/>
  <c r="F345" i="10"/>
  <c r="E345" i="10"/>
  <c r="F344" i="10"/>
  <c r="E344" i="10"/>
  <c r="F343" i="10"/>
  <c r="E343" i="10"/>
  <c r="F342" i="10"/>
  <c r="E342" i="10"/>
  <c r="F341" i="10"/>
  <c r="E341" i="10"/>
  <c r="F340" i="10"/>
  <c r="E340" i="10"/>
  <c r="F339" i="10"/>
  <c r="E339" i="10"/>
  <c r="F338" i="10"/>
  <c r="E338" i="10"/>
  <c r="F337" i="10"/>
  <c r="E337" i="10"/>
  <c r="F336" i="10"/>
  <c r="E336" i="10"/>
  <c r="F335" i="10"/>
  <c r="E335" i="10"/>
  <c r="F334" i="10"/>
  <c r="E334" i="10"/>
  <c r="F333" i="10"/>
  <c r="E333" i="10"/>
  <c r="F332" i="10"/>
  <c r="E332" i="10"/>
  <c r="F331" i="10"/>
  <c r="E331" i="10"/>
  <c r="F330" i="10"/>
  <c r="E330" i="10"/>
  <c r="F329" i="10"/>
  <c r="E329" i="10"/>
  <c r="F328" i="10"/>
  <c r="E328" i="10"/>
  <c r="F327" i="10"/>
  <c r="E327" i="10"/>
  <c r="F326" i="10"/>
  <c r="E326" i="10"/>
  <c r="F325" i="10"/>
  <c r="E325" i="10"/>
  <c r="F324" i="10"/>
  <c r="E324" i="10"/>
  <c r="F323" i="10"/>
  <c r="E323" i="10"/>
  <c r="F322" i="10"/>
  <c r="E322" i="10"/>
  <c r="F321" i="10"/>
  <c r="E321" i="10"/>
  <c r="F320" i="10"/>
  <c r="E320" i="10"/>
  <c r="F319" i="10"/>
  <c r="E319" i="10"/>
  <c r="F318" i="10"/>
  <c r="E318" i="10"/>
  <c r="F317" i="10"/>
  <c r="E317" i="10"/>
  <c r="F316" i="10"/>
  <c r="E316" i="10"/>
  <c r="F315" i="10"/>
  <c r="E315" i="10"/>
  <c r="F314" i="10"/>
  <c r="E314" i="10"/>
  <c r="F313" i="10"/>
  <c r="E313" i="10"/>
  <c r="F312" i="10"/>
  <c r="E312" i="10"/>
  <c r="F311" i="10"/>
  <c r="E311" i="10"/>
  <c r="F310" i="10"/>
  <c r="E310" i="10"/>
  <c r="F309" i="10"/>
  <c r="E309" i="10"/>
  <c r="F308" i="10"/>
  <c r="E308" i="10"/>
  <c r="F307" i="10"/>
  <c r="E307" i="10"/>
  <c r="F306" i="10"/>
  <c r="E306" i="10"/>
  <c r="F305" i="10"/>
  <c r="E305" i="10"/>
  <c r="F304" i="10"/>
  <c r="E304" i="10"/>
  <c r="F303" i="10"/>
  <c r="E303" i="10"/>
  <c r="F302" i="10"/>
  <c r="E302" i="10"/>
  <c r="F301" i="10"/>
  <c r="E301" i="10"/>
  <c r="F300" i="10"/>
  <c r="E300" i="10"/>
  <c r="F299" i="10"/>
  <c r="E299" i="10"/>
  <c r="F298" i="10"/>
  <c r="E298" i="10"/>
  <c r="F297" i="10"/>
  <c r="E297" i="10"/>
  <c r="F296" i="10"/>
  <c r="E296" i="10"/>
  <c r="F295" i="10"/>
  <c r="E295" i="10"/>
  <c r="F294" i="10"/>
  <c r="E294" i="10"/>
  <c r="F293" i="10"/>
  <c r="E293" i="10"/>
  <c r="F292" i="10"/>
  <c r="E292" i="10"/>
  <c r="F291" i="10"/>
  <c r="E291" i="10"/>
  <c r="F290" i="10"/>
  <c r="E290" i="10"/>
  <c r="F289" i="10"/>
  <c r="E289" i="10"/>
  <c r="F288" i="10"/>
  <c r="E288" i="10"/>
  <c r="F287" i="10"/>
  <c r="E287" i="10"/>
  <c r="F286" i="10"/>
  <c r="E286" i="10"/>
  <c r="F285" i="10"/>
  <c r="E285" i="10"/>
  <c r="F284" i="10"/>
  <c r="E284" i="10"/>
  <c r="F283" i="10"/>
  <c r="E283" i="10"/>
  <c r="F282" i="10"/>
  <c r="E282" i="10"/>
  <c r="F281" i="10"/>
  <c r="E281" i="10"/>
  <c r="F280" i="10"/>
  <c r="E280" i="10"/>
  <c r="F279" i="10"/>
  <c r="E279" i="10"/>
  <c r="F278" i="10"/>
  <c r="E278" i="10"/>
  <c r="F277" i="10"/>
  <c r="E277" i="10"/>
  <c r="F276" i="10"/>
  <c r="E276" i="10"/>
  <c r="F275" i="10"/>
  <c r="E275" i="10"/>
  <c r="F274" i="10"/>
  <c r="E274" i="10"/>
  <c r="F273" i="10"/>
  <c r="E273" i="10"/>
  <c r="F272" i="10"/>
  <c r="E272" i="10"/>
  <c r="F271" i="10"/>
  <c r="E271" i="10"/>
  <c r="F270" i="10"/>
  <c r="E270" i="10"/>
  <c r="F269" i="10"/>
  <c r="E269" i="10"/>
  <c r="F268" i="10"/>
  <c r="E268" i="10"/>
  <c r="F267" i="10"/>
  <c r="E267" i="10"/>
  <c r="F266" i="10"/>
  <c r="E266" i="10"/>
  <c r="F265" i="10"/>
  <c r="E265" i="10"/>
  <c r="F264" i="10"/>
  <c r="E264" i="10"/>
  <c r="F263" i="10"/>
  <c r="E263" i="10"/>
  <c r="F262" i="10"/>
  <c r="E262" i="10"/>
  <c r="F261" i="10"/>
  <c r="E261" i="10"/>
  <c r="F260" i="10"/>
  <c r="E260" i="10"/>
  <c r="F259" i="10"/>
  <c r="E259" i="10"/>
  <c r="F258" i="10"/>
  <c r="E258" i="10"/>
  <c r="F257" i="10"/>
  <c r="E257" i="10"/>
  <c r="F256" i="10"/>
  <c r="E256" i="10"/>
  <c r="F255" i="10"/>
  <c r="E255" i="10"/>
  <c r="F254" i="10"/>
  <c r="E254" i="10"/>
  <c r="F253" i="10"/>
  <c r="E253" i="10"/>
  <c r="F252" i="10"/>
  <c r="E252" i="10"/>
  <c r="F251" i="10"/>
  <c r="E251" i="10"/>
  <c r="F250" i="10"/>
  <c r="E250" i="10"/>
  <c r="F249" i="10"/>
  <c r="E249" i="10"/>
  <c r="F248" i="10"/>
  <c r="E248" i="10"/>
  <c r="F247" i="10"/>
  <c r="E247" i="10"/>
  <c r="F246" i="10"/>
  <c r="E246" i="10"/>
  <c r="F245" i="10"/>
  <c r="E245" i="10"/>
  <c r="F244" i="10"/>
  <c r="E244" i="10"/>
  <c r="F243" i="10"/>
  <c r="E243" i="10"/>
  <c r="F242" i="10"/>
  <c r="E242" i="10"/>
  <c r="F241" i="10"/>
  <c r="E241" i="10"/>
  <c r="F240" i="10"/>
  <c r="E240" i="10"/>
  <c r="F239" i="10"/>
  <c r="E239" i="10"/>
  <c r="F238" i="10"/>
  <c r="E238" i="10"/>
  <c r="F237" i="10"/>
  <c r="E237" i="10"/>
  <c r="F236" i="10"/>
  <c r="E236" i="10"/>
  <c r="F235" i="10"/>
  <c r="E235" i="10"/>
  <c r="F234" i="10"/>
  <c r="E234" i="10"/>
  <c r="F233" i="10"/>
  <c r="E233" i="10"/>
  <c r="F232" i="10"/>
  <c r="E232" i="10"/>
  <c r="F231" i="10"/>
  <c r="E231" i="10"/>
  <c r="F230" i="10"/>
  <c r="E230" i="10"/>
  <c r="F229" i="10"/>
  <c r="E229" i="10"/>
  <c r="F228" i="10"/>
  <c r="E228" i="10"/>
  <c r="F227" i="10"/>
  <c r="E227" i="10"/>
  <c r="F226" i="10"/>
  <c r="E226" i="10"/>
  <c r="F225" i="10"/>
  <c r="E225" i="10"/>
  <c r="F224" i="10"/>
  <c r="E224" i="10"/>
  <c r="F223" i="10"/>
  <c r="E223" i="10"/>
  <c r="F222" i="10"/>
  <c r="E222" i="10"/>
  <c r="F221" i="10"/>
  <c r="E221" i="10"/>
  <c r="F220" i="10"/>
  <c r="E220" i="10"/>
  <c r="F219" i="10"/>
  <c r="E219" i="10"/>
  <c r="F218" i="10"/>
  <c r="E218" i="10"/>
  <c r="F217" i="10"/>
  <c r="E217" i="10"/>
  <c r="F216" i="10"/>
  <c r="E216" i="10"/>
  <c r="F215" i="10"/>
  <c r="E215" i="10"/>
  <c r="F214" i="10"/>
  <c r="E214" i="10"/>
  <c r="F213" i="10"/>
  <c r="E213" i="10"/>
  <c r="F212" i="10"/>
  <c r="E212" i="10"/>
  <c r="F211" i="10"/>
  <c r="E211" i="10"/>
  <c r="F210" i="10"/>
  <c r="E210" i="10"/>
  <c r="F209" i="10"/>
  <c r="E209" i="10"/>
  <c r="F208" i="10"/>
  <c r="E208" i="10"/>
  <c r="F207" i="10"/>
  <c r="E207" i="10"/>
  <c r="F206" i="10"/>
  <c r="E206" i="10"/>
  <c r="F205" i="10"/>
  <c r="E205" i="10"/>
  <c r="F204" i="10"/>
  <c r="E204" i="10"/>
  <c r="F203" i="10"/>
  <c r="E203" i="10"/>
  <c r="F202" i="10"/>
  <c r="E202" i="10"/>
  <c r="F201" i="10"/>
  <c r="E201" i="10"/>
  <c r="F200" i="10"/>
  <c r="E200" i="10"/>
  <c r="F199" i="10"/>
  <c r="E199" i="10"/>
  <c r="F198" i="10"/>
  <c r="E198" i="10"/>
  <c r="F197" i="10"/>
  <c r="E197" i="10"/>
  <c r="F196" i="10"/>
  <c r="E196" i="10"/>
  <c r="F195" i="10"/>
  <c r="E195" i="10"/>
  <c r="F194" i="10"/>
  <c r="E194" i="10"/>
  <c r="F193" i="10"/>
  <c r="E193" i="10"/>
  <c r="F192" i="10"/>
  <c r="E192" i="10"/>
  <c r="F191" i="10"/>
  <c r="E191" i="10"/>
  <c r="F190" i="10"/>
  <c r="E190" i="10"/>
  <c r="F189" i="10"/>
  <c r="E189" i="10"/>
  <c r="F188" i="10"/>
  <c r="E188" i="10"/>
  <c r="F187" i="10"/>
  <c r="E187" i="10"/>
  <c r="F186" i="10"/>
  <c r="E186" i="10"/>
  <c r="F185" i="10"/>
  <c r="E185" i="10"/>
  <c r="F184" i="10"/>
  <c r="E184" i="10"/>
  <c r="F183" i="10"/>
  <c r="E183" i="10"/>
  <c r="F182" i="10"/>
  <c r="E182" i="10"/>
  <c r="F181" i="10"/>
  <c r="E181" i="10"/>
  <c r="F180" i="10"/>
  <c r="E180" i="10"/>
  <c r="F179" i="10"/>
  <c r="E179" i="10"/>
  <c r="F178" i="10"/>
  <c r="E178" i="10"/>
  <c r="F177" i="10"/>
  <c r="E177" i="10"/>
  <c r="F176" i="10"/>
  <c r="E176" i="10"/>
  <c r="F175" i="10"/>
  <c r="E175" i="10"/>
  <c r="F174" i="10"/>
  <c r="E174" i="10"/>
  <c r="F173" i="10"/>
  <c r="E173" i="10"/>
  <c r="F172" i="10"/>
  <c r="E172" i="10"/>
  <c r="F171" i="10"/>
  <c r="E171" i="10"/>
  <c r="F170" i="10"/>
  <c r="E170" i="10"/>
  <c r="F169" i="10"/>
  <c r="E169" i="10"/>
  <c r="F168" i="10"/>
  <c r="E168" i="10"/>
  <c r="F167" i="10"/>
  <c r="E167" i="10"/>
  <c r="F166" i="10"/>
  <c r="E166" i="10"/>
  <c r="F165" i="10"/>
  <c r="E165" i="10"/>
  <c r="F164" i="10"/>
  <c r="E164" i="10"/>
  <c r="F163" i="10"/>
  <c r="E163" i="10"/>
  <c r="F162" i="10"/>
  <c r="E162" i="10"/>
  <c r="F161" i="10"/>
  <c r="E161" i="10"/>
  <c r="F160" i="10"/>
  <c r="E160" i="10"/>
  <c r="F159" i="10"/>
  <c r="E159" i="10"/>
  <c r="F158" i="10"/>
  <c r="E158" i="10"/>
  <c r="F157" i="10"/>
  <c r="E157" i="10"/>
  <c r="F156" i="10"/>
  <c r="E156" i="10"/>
  <c r="F155" i="10"/>
  <c r="E155" i="10"/>
  <c r="F154" i="10"/>
  <c r="E154" i="10"/>
  <c r="F153" i="10"/>
  <c r="E153" i="10"/>
  <c r="F152" i="10"/>
  <c r="E152" i="10"/>
  <c r="F151" i="10"/>
  <c r="E151" i="10"/>
  <c r="F150" i="10"/>
  <c r="E150" i="10"/>
  <c r="F149" i="10"/>
  <c r="E149" i="10"/>
  <c r="F148" i="10"/>
  <c r="E148" i="10"/>
  <c r="F147" i="10"/>
  <c r="E147" i="10"/>
  <c r="F146" i="10"/>
  <c r="E146" i="10"/>
  <c r="F145" i="10"/>
  <c r="E145" i="10"/>
  <c r="F144" i="10"/>
  <c r="E144" i="10"/>
  <c r="F143" i="10"/>
  <c r="E143" i="10"/>
  <c r="F142" i="10"/>
  <c r="E142" i="10"/>
  <c r="F141" i="10"/>
  <c r="E141" i="10"/>
  <c r="F140" i="10"/>
  <c r="E140" i="10"/>
  <c r="F139" i="10"/>
  <c r="E139" i="10"/>
  <c r="F138" i="10"/>
  <c r="E138" i="10"/>
  <c r="F137" i="10"/>
  <c r="E137" i="10"/>
  <c r="F136" i="10"/>
  <c r="E136" i="10"/>
  <c r="F135" i="10"/>
  <c r="E135" i="10"/>
  <c r="F134" i="10"/>
  <c r="E134" i="10"/>
  <c r="F133" i="10"/>
  <c r="E133" i="10"/>
  <c r="F132" i="10"/>
  <c r="E132" i="10"/>
  <c r="F131" i="10"/>
  <c r="E131" i="10"/>
  <c r="F130" i="10"/>
  <c r="E130" i="10"/>
  <c r="F129" i="10"/>
  <c r="E129" i="10"/>
  <c r="F128" i="10"/>
  <c r="E128" i="10"/>
  <c r="F127" i="10"/>
  <c r="E127" i="10"/>
  <c r="F126" i="10"/>
  <c r="E126" i="10"/>
  <c r="F125" i="10"/>
  <c r="E125" i="10"/>
  <c r="F124" i="10"/>
  <c r="E124" i="10"/>
  <c r="F123" i="10"/>
  <c r="E123" i="10"/>
  <c r="F122" i="10"/>
  <c r="E122" i="10"/>
  <c r="F121" i="10"/>
  <c r="E121" i="10"/>
  <c r="F120" i="10"/>
  <c r="E120" i="10"/>
  <c r="F119" i="10"/>
  <c r="E119" i="10"/>
  <c r="F118" i="10"/>
  <c r="E118" i="10"/>
  <c r="F117" i="10"/>
  <c r="E117" i="10"/>
  <c r="F116" i="10"/>
  <c r="E116" i="10"/>
  <c r="F115" i="10"/>
  <c r="E115" i="10"/>
  <c r="F114" i="10"/>
  <c r="E114" i="10"/>
  <c r="F113" i="10"/>
  <c r="E113" i="10"/>
  <c r="F112" i="10"/>
  <c r="E112" i="10"/>
  <c r="F111" i="10"/>
  <c r="E111" i="10"/>
  <c r="F110" i="10"/>
  <c r="E110" i="10"/>
  <c r="F109" i="10"/>
  <c r="E109" i="10"/>
  <c r="F108" i="10"/>
  <c r="E108" i="10"/>
  <c r="F107" i="10"/>
  <c r="E107" i="10"/>
  <c r="F106" i="10"/>
  <c r="E106" i="10"/>
  <c r="F105" i="10"/>
  <c r="E105" i="10"/>
  <c r="F104" i="10"/>
  <c r="E104" i="10"/>
  <c r="F103" i="10"/>
  <c r="E103" i="10"/>
  <c r="F102" i="10"/>
  <c r="E102" i="10"/>
  <c r="F101" i="10"/>
  <c r="E101" i="10"/>
  <c r="F100" i="10"/>
  <c r="E100" i="10"/>
  <c r="F99" i="10"/>
  <c r="E99" i="10"/>
  <c r="F98" i="10"/>
  <c r="E98" i="10"/>
  <c r="F97" i="10"/>
  <c r="E97" i="10"/>
  <c r="F96" i="10"/>
  <c r="E96" i="10"/>
  <c r="F95" i="10"/>
  <c r="E95" i="10"/>
  <c r="F94" i="10"/>
  <c r="E94" i="10"/>
  <c r="F93" i="10"/>
  <c r="E93" i="10"/>
  <c r="F92" i="10"/>
  <c r="E92" i="10"/>
  <c r="F91" i="10"/>
  <c r="E91" i="10"/>
  <c r="F90" i="10"/>
  <c r="E90" i="10"/>
  <c r="F89" i="10"/>
  <c r="E89" i="10"/>
  <c r="F88" i="10"/>
  <c r="E88" i="10"/>
  <c r="F87" i="10"/>
  <c r="E87" i="10"/>
  <c r="F86" i="10"/>
  <c r="E86" i="10"/>
  <c r="F85" i="10"/>
  <c r="E85" i="10"/>
  <c r="F84" i="10"/>
  <c r="E84" i="10"/>
  <c r="F83" i="10"/>
  <c r="E83" i="10"/>
  <c r="F82" i="10"/>
  <c r="E82" i="10"/>
  <c r="F81" i="10"/>
  <c r="E81" i="10"/>
  <c r="F80" i="10"/>
  <c r="E80" i="10"/>
  <c r="F79" i="10"/>
  <c r="E79" i="10"/>
  <c r="F78" i="10"/>
  <c r="E78" i="10"/>
  <c r="F77" i="10"/>
  <c r="E77" i="10"/>
  <c r="F76" i="10"/>
  <c r="E76" i="10"/>
  <c r="F75" i="10"/>
  <c r="E75" i="10"/>
  <c r="F74" i="10"/>
  <c r="E74" i="10"/>
  <c r="F73" i="10"/>
  <c r="E73" i="10"/>
  <c r="F72" i="10"/>
  <c r="E72" i="10"/>
  <c r="F71" i="10"/>
  <c r="E71" i="10"/>
  <c r="F70" i="10"/>
  <c r="E70" i="10"/>
  <c r="F69" i="10"/>
  <c r="E69" i="10"/>
  <c r="F68" i="10"/>
  <c r="E68" i="10"/>
  <c r="F67" i="10"/>
  <c r="E67" i="10"/>
  <c r="F66" i="10"/>
  <c r="E66" i="10"/>
  <c r="F65" i="10"/>
  <c r="E65" i="10"/>
  <c r="F64" i="10"/>
  <c r="E64" i="10"/>
  <c r="F63" i="10"/>
  <c r="E63" i="10"/>
  <c r="F62" i="10"/>
  <c r="E62" i="10"/>
  <c r="F61" i="10"/>
  <c r="E61" i="10"/>
  <c r="F60" i="10"/>
  <c r="E60" i="10"/>
  <c r="F59" i="10"/>
  <c r="E59" i="10"/>
  <c r="F58" i="10"/>
  <c r="E58" i="10"/>
  <c r="F57" i="10"/>
  <c r="E57" i="10"/>
  <c r="F56" i="10"/>
  <c r="E56" i="10"/>
  <c r="F1" i="6"/>
  <c r="C2" i="6"/>
  <c r="D2" i="6"/>
  <c r="C3" i="6"/>
  <c r="D3" i="6"/>
  <c r="C4" i="6"/>
  <c r="D4" i="6"/>
  <c r="C5" i="6"/>
  <c r="D5" i="6"/>
  <c r="C6" i="6"/>
  <c r="D6" i="6"/>
  <c r="C7" i="6"/>
  <c r="D7" i="6"/>
  <c r="C8" i="6"/>
  <c r="D8" i="6"/>
  <c r="C9" i="6"/>
  <c r="D9" i="6"/>
  <c r="C10" i="6"/>
  <c r="D10" i="6"/>
  <c r="C11" i="6"/>
  <c r="D11" i="6"/>
  <c r="C12" i="6"/>
  <c r="D12" i="6"/>
  <c r="C13" i="6"/>
  <c r="D13" i="6"/>
  <c r="C14" i="6"/>
  <c r="D14" i="6"/>
  <c r="C15" i="6"/>
  <c r="D15" i="6"/>
  <c r="C16" i="6"/>
  <c r="D16" i="6"/>
  <c r="C17" i="6"/>
  <c r="D17" i="6"/>
  <c r="C18" i="6"/>
  <c r="D18" i="6"/>
  <c r="C19" i="6"/>
  <c r="D19" i="6"/>
  <c r="C20" i="6"/>
  <c r="D20" i="6"/>
  <c r="C21" i="6"/>
  <c r="D21" i="6"/>
  <c r="C22" i="6"/>
  <c r="D22" i="6"/>
  <c r="C23" i="6"/>
  <c r="D23" i="6"/>
  <c r="C24" i="6"/>
  <c r="D24" i="6"/>
  <c r="C25" i="6"/>
  <c r="D25" i="6"/>
  <c r="C26" i="6"/>
  <c r="D26" i="6"/>
  <c r="C27" i="6"/>
  <c r="D27" i="6"/>
  <c r="C28" i="6"/>
  <c r="D28" i="6"/>
  <c r="C29" i="6"/>
  <c r="D29" i="6"/>
  <c r="C30" i="6"/>
  <c r="D30" i="6"/>
  <c r="C31" i="6"/>
  <c r="D31" i="6"/>
  <c r="C32" i="6"/>
  <c r="D32" i="6"/>
  <c r="C33" i="6"/>
  <c r="D33" i="6"/>
  <c r="C34" i="6"/>
  <c r="D34" i="6"/>
  <c r="C35" i="6"/>
  <c r="D35" i="6"/>
  <c r="C36" i="6"/>
  <c r="D36" i="6"/>
  <c r="D1" i="6"/>
  <c r="C1" i="6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H19" i="39" l="1"/>
  <c r="H20" i="39"/>
  <c r="H18" i="39"/>
  <c r="H17" i="39"/>
  <c r="H16" i="39"/>
  <c r="F32" i="39"/>
  <c r="D6" i="39"/>
  <c r="H15" i="39"/>
  <c r="C8" i="39"/>
  <c r="C9" i="39"/>
  <c r="H16" i="38"/>
  <c r="F32" i="38"/>
  <c r="H15" i="38"/>
  <c r="H14" i="38"/>
  <c r="H17" i="38"/>
  <c r="H30" i="38"/>
  <c r="H22" i="38"/>
  <c r="E9" i="38"/>
  <c r="C12" i="38"/>
  <c r="D6" i="38"/>
  <c r="C8" i="38"/>
  <c r="K1" i="6"/>
  <c r="L1" i="6" s="1"/>
  <c r="M1" i="6"/>
  <c r="J1" i="6"/>
  <c r="P1" i="6"/>
  <c r="Q1" i="6" s="1"/>
  <c r="B6" i="21"/>
  <c r="B7" i="21" s="1"/>
  <c r="B11" i="21" s="1"/>
  <c r="R1" i="15"/>
  <c r="T1" i="11"/>
  <c r="AB1" i="11"/>
  <c r="A6" i="6"/>
  <c r="A7" i="25" s="1"/>
  <c r="E7" i="25" s="1"/>
  <c r="A23" i="6"/>
  <c r="A24" i="25" s="1"/>
  <c r="E24" i="25" s="1"/>
  <c r="A2" i="6"/>
  <c r="A3" i="25" s="1"/>
  <c r="E3" i="25" s="1"/>
  <c r="F3" i="25" s="1"/>
  <c r="A30" i="6"/>
  <c r="A31" i="25" s="1"/>
  <c r="E31" i="25" s="1"/>
  <c r="A22" i="6"/>
  <c r="A23" i="25" s="1"/>
  <c r="E23" i="25" s="1"/>
  <c r="A17" i="6"/>
  <c r="A18" i="25" s="1"/>
  <c r="E18" i="25" s="1"/>
  <c r="A10" i="6"/>
  <c r="A11" i="25" s="1"/>
  <c r="E11" i="25" s="1"/>
  <c r="A35" i="6"/>
  <c r="A36" i="25" s="1"/>
  <c r="E36" i="25" s="1"/>
  <c r="A15" i="6"/>
  <c r="A16" i="25" s="1"/>
  <c r="E16" i="25" s="1"/>
  <c r="A34" i="6"/>
  <c r="A35" i="25" s="1"/>
  <c r="E35" i="25" s="1"/>
  <c r="A14" i="6"/>
  <c r="A15" i="25" s="1"/>
  <c r="E15" i="25" s="1"/>
  <c r="A27" i="6"/>
  <c r="A28" i="25" s="1"/>
  <c r="E28" i="25" s="1"/>
  <c r="A9" i="6"/>
  <c r="A10" i="25" s="1"/>
  <c r="E10" i="25" s="1"/>
  <c r="A26" i="6"/>
  <c r="A27" i="25" s="1"/>
  <c r="E27" i="25" s="1"/>
  <c r="A3" i="6"/>
  <c r="A4" i="25" s="1"/>
  <c r="E4" i="25" s="1"/>
  <c r="A1" i="6"/>
  <c r="A25" i="6"/>
  <c r="A26" i="25" s="1"/>
  <c r="E26" i="25" s="1"/>
  <c r="A11" i="6"/>
  <c r="A12" i="25" s="1"/>
  <c r="E12" i="25" s="1"/>
  <c r="A33" i="6"/>
  <c r="A34" i="25" s="1"/>
  <c r="E34" i="25" s="1"/>
  <c r="A19" i="6"/>
  <c r="A20" i="25" s="1"/>
  <c r="E20" i="25" s="1"/>
  <c r="A7" i="6"/>
  <c r="A8" i="25" s="1"/>
  <c r="E8" i="25" s="1"/>
  <c r="A31" i="6"/>
  <c r="A32" i="25" s="1"/>
  <c r="E32" i="25" s="1"/>
  <c r="A18" i="6"/>
  <c r="A19" i="25" s="1"/>
  <c r="E19" i="25" s="1"/>
  <c r="A32" i="6"/>
  <c r="A33" i="25" s="1"/>
  <c r="E33" i="25" s="1"/>
  <c r="A24" i="6"/>
  <c r="A25" i="25" s="1"/>
  <c r="E25" i="25" s="1"/>
  <c r="A16" i="6"/>
  <c r="A17" i="25" s="1"/>
  <c r="E17" i="25" s="1"/>
  <c r="A8" i="6"/>
  <c r="A9" i="25" s="1"/>
  <c r="E9" i="25" s="1"/>
  <c r="A29" i="6"/>
  <c r="A30" i="25" s="1"/>
  <c r="E30" i="25" s="1"/>
  <c r="A21" i="6"/>
  <c r="A22" i="25" s="1"/>
  <c r="E22" i="25" s="1"/>
  <c r="A13" i="6"/>
  <c r="A14" i="25" s="1"/>
  <c r="E14" i="25" s="1"/>
  <c r="A5" i="6"/>
  <c r="A6" i="25" s="1"/>
  <c r="E6" i="25" s="1"/>
  <c r="A36" i="6"/>
  <c r="A37" i="25" s="1"/>
  <c r="E37" i="25" s="1"/>
  <c r="A28" i="6"/>
  <c r="A29" i="25" s="1"/>
  <c r="E29" i="25" s="1"/>
  <c r="A20" i="6"/>
  <c r="A21" i="25" s="1"/>
  <c r="E21" i="25" s="1"/>
  <c r="A12" i="6"/>
  <c r="A13" i="25" s="1"/>
  <c r="E13" i="25" s="1"/>
  <c r="A4" i="6"/>
  <c r="A5" i="25" s="1"/>
  <c r="E5" i="25" s="1"/>
  <c r="P1" i="3"/>
  <c r="H32" i="39" l="1"/>
  <c r="H32" i="38"/>
  <c r="A2" i="30"/>
  <c r="F3" i="6"/>
  <c r="J2" i="17" s="1"/>
  <c r="A2" i="25"/>
  <c r="B6" i="25"/>
  <c r="F6" i="25" s="1"/>
  <c r="C6" i="25"/>
  <c r="B32" i="25"/>
  <c r="F32" i="25" s="1"/>
  <c r="C32" i="25"/>
  <c r="B27" i="25"/>
  <c r="F27" i="25" s="1"/>
  <c r="C27" i="25"/>
  <c r="B18" i="25"/>
  <c r="F18" i="25" s="1"/>
  <c r="C18" i="25"/>
  <c r="B22" i="25"/>
  <c r="F22" i="25" s="1"/>
  <c r="C22" i="25"/>
  <c r="B8" i="25"/>
  <c r="F8" i="25" s="1"/>
  <c r="C8" i="25"/>
  <c r="B10" i="25"/>
  <c r="F10" i="25" s="1"/>
  <c r="C10" i="25"/>
  <c r="B23" i="25"/>
  <c r="F23" i="25" s="1"/>
  <c r="C23" i="25"/>
  <c r="B13" i="25"/>
  <c r="F13" i="25" s="1"/>
  <c r="C13" i="25"/>
  <c r="B34" i="25"/>
  <c r="F34" i="25" s="1"/>
  <c r="C34" i="25"/>
  <c r="B3" i="25"/>
  <c r="C3" i="25"/>
  <c r="B19" i="25"/>
  <c r="F19" i="25" s="1"/>
  <c r="C19" i="25"/>
  <c r="D19" i="25" s="1"/>
  <c r="B14" i="25"/>
  <c r="F14" i="25" s="1"/>
  <c r="C14" i="25"/>
  <c r="D14" i="25" s="1"/>
  <c r="B30" i="25"/>
  <c r="F30" i="25" s="1"/>
  <c r="C30" i="25"/>
  <c r="B28" i="25"/>
  <c r="F28" i="25" s="1"/>
  <c r="C28" i="25"/>
  <c r="D28" i="25" s="1"/>
  <c r="B31" i="25"/>
  <c r="F31" i="25" s="1"/>
  <c r="C31" i="25"/>
  <c r="D31" i="25" s="1"/>
  <c r="B9" i="25"/>
  <c r="F9" i="25" s="1"/>
  <c r="C9" i="25"/>
  <c r="D9" i="25" s="1"/>
  <c r="B15" i="25"/>
  <c r="F15" i="25" s="1"/>
  <c r="C15" i="25"/>
  <c r="D15" i="25" s="1"/>
  <c r="B21" i="25"/>
  <c r="F21" i="25" s="1"/>
  <c r="C21" i="25"/>
  <c r="D21" i="25" s="1"/>
  <c r="B17" i="25"/>
  <c r="F17" i="25" s="1"/>
  <c r="C17" i="25"/>
  <c r="D17" i="25" s="1"/>
  <c r="B12" i="25"/>
  <c r="F12" i="25" s="1"/>
  <c r="C12" i="25"/>
  <c r="D12" i="25" s="1"/>
  <c r="B35" i="25"/>
  <c r="F35" i="25" s="1"/>
  <c r="C35" i="25"/>
  <c r="D35" i="25" s="1"/>
  <c r="B24" i="25"/>
  <c r="F24" i="25" s="1"/>
  <c r="C24" i="25"/>
  <c r="D24" i="25" s="1"/>
  <c r="B11" i="25"/>
  <c r="F11" i="25" s="1"/>
  <c r="C11" i="25"/>
  <c r="D11" i="25" s="1"/>
  <c r="B5" i="25"/>
  <c r="F5" i="25" s="1"/>
  <c r="C5" i="25"/>
  <c r="B20" i="25"/>
  <c r="F20" i="25" s="1"/>
  <c r="C20" i="25"/>
  <c r="D20" i="25" s="1"/>
  <c r="B29" i="25"/>
  <c r="F29" i="25" s="1"/>
  <c r="C29" i="25"/>
  <c r="D29" i="25" s="1"/>
  <c r="B25" i="25"/>
  <c r="F25" i="25" s="1"/>
  <c r="C25" i="25"/>
  <c r="D25" i="25" s="1"/>
  <c r="B26" i="25"/>
  <c r="F26" i="25" s="1"/>
  <c r="C26" i="25"/>
  <c r="D26" i="25" s="1"/>
  <c r="B16" i="25"/>
  <c r="F16" i="25" s="1"/>
  <c r="C16" i="25"/>
  <c r="D16" i="25" s="1"/>
  <c r="B7" i="25"/>
  <c r="F7" i="25" s="1"/>
  <c r="C7" i="25"/>
  <c r="D7" i="25" s="1"/>
  <c r="B4" i="25"/>
  <c r="F4" i="25" s="1"/>
  <c r="C4" i="25"/>
  <c r="B37" i="25"/>
  <c r="F37" i="25" s="1"/>
  <c r="C37" i="25"/>
  <c r="D37" i="25" s="1"/>
  <c r="B33" i="25"/>
  <c r="F33" i="25" s="1"/>
  <c r="C33" i="25"/>
  <c r="D33" i="25" s="1"/>
  <c r="B36" i="25"/>
  <c r="F36" i="25" s="1"/>
  <c r="C36" i="25"/>
  <c r="D36" i="25" s="1"/>
  <c r="E2" i="17"/>
  <c r="B9" i="21"/>
  <c r="B10" i="21" s="1"/>
  <c r="D23" i="25" l="1"/>
  <c r="D13" i="25"/>
  <c r="D22" i="25"/>
  <c r="D6" i="25"/>
  <c r="D10" i="25"/>
  <c r="D27" i="25"/>
  <c r="D18" i="25"/>
  <c r="D30" i="25"/>
  <c r="D34" i="25"/>
  <c r="D8" i="25"/>
  <c r="D32" i="25"/>
  <c r="D5" i="25"/>
  <c r="D3" i="25"/>
  <c r="D4" i="25"/>
  <c r="F2" i="17" s="1"/>
  <c r="G2" i="17" s="1"/>
  <c r="B2" i="25"/>
  <c r="C2" i="25"/>
  <c r="D2" i="25" s="1"/>
  <c r="E2" i="25"/>
  <c r="F2" i="25" s="1"/>
  <c r="T1" i="26" l="1"/>
  <c r="J1" i="17"/>
  <c r="H2" i="17"/>
  <c r="H1" i="17" s="1"/>
  <c r="K1" i="17" l="1"/>
  <c r="L1" i="17" s="1"/>
  <c r="I2" i="17" s="1"/>
  <c r="S1" i="3"/>
</calcChain>
</file>

<file path=xl/sharedStrings.xml><?xml version="1.0" encoding="utf-8"?>
<sst xmlns="http://schemas.openxmlformats.org/spreadsheetml/2006/main" count="300" uniqueCount="69">
  <si>
    <t>ID</t>
  </si>
  <si>
    <t>PRODUTO</t>
  </si>
  <si>
    <t>PREÇO</t>
  </si>
  <si>
    <t>QTDE.</t>
  </si>
  <si>
    <t>DATA</t>
  </si>
  <si>
    <t>CUSTO TOTAL</t>
  </si>
  <si>
    <t>PERÍODO</t>
  </si>
  <si>
    <t>MÊS</t>
  </si>
  <si>
    <t>ANO</t>
  </si>
  <si>
    <t>VALOR TOTAL</t>
  </si>
  <si>
    <t>TOTAL ITENS</t>
  </si>
  <si>
    <t>FORMA PGTO.</t>
  </si>
  <si>
    <t>CLIENTE</t>
  </si>
  <si>
    <t>PREÇO COMPRA</t>
  </si>
  <si>
    <t>CUSTOS</t>
  </si>
  <si>
    <t>LUCRO</t>
  </si>
  <si>
    <t>OBS.:</t>
  </si>
  <si>
    <t>QTDE</t>
  </si>
  <si>
    <t>CUSTO</t>
  </si>
  <si>
    <t>ENTRADA</t>
  </si>
  <si>
    <t>SAÍDA</t>
  </si>
  <si>
    <t>VALOR</t>
  </si>
  <si>
    <t>TOTAL:</t>
  </si>
  <si>
    <t>PERIODO</t>
  </si>
  <si>
    <t>DATA:</t>
  </si>
  <si>
    <t>ANO:</t>
  </si>
  <si>
    <t>MÊS:</t>
  </si>
  <si>
    <t>PERÍODO:</t>
  </si>
  <si>
    <t>PER. CONT.:</t>
  </si>
  <si>
    <t>MÊS + 1:</t>
  </si>
  <si>
    <t>ANO CONT.:</t>
  </si>
  <si>
    <t>TOTAL ENT.:</t>
  </si>
  <si>
    <t>TOTAL COMPRA</t>
  </si>
  <si>
    <t>TOTAL ENTRADAS</t>
  </si>
  <si>
    <t>CUSTO DILUÍDO ENTRADA</t>
  </si>
  <si>
    <t>TOTAL SAIDAS</t>
  </si>
  <si>
    <t>CUSTO DILUÍDO SAIDAS</t>
  </si>
  <si>
    <t>NOME</t>
  </si>
  <si>
    <t>TIPO</t>
  </si>
  <si>
    <t>CPF / CNPJ</t>
  </si>
  <si>
    <t>TELEFONE</t>
  </si>
  <si>
    <t>ENDEREÇO</t>
  </si>
  <si>
    <t>CPF</t>
  </si>
  <si>
    <t>CNPJ</t>
  </si>
  <si>
    <t>Nº PED</t>
  </si>
  <si>
    <t>FORNECEDOR</t>
  </si>
  <si>
    <t>Fornecedor</t>
  </si>
  <si>
    <t>Endereço</t>
  </si>
  <si>
    <t>Telefone</t>
  </si>
  <si>
    <t>ORDEM:</t>
  </si>
  <si>
    <t>Total Itens:</t>
  </si>
  <si>
    <t>Valor Total:</t>
  </si>
  <si>
    <t>Assinatura Fornecedor</t>
  </si>
  <si>
    <t>Assinatura Escobar</t>
  </si>
  <si>
    <t>04_2023</t>
  </si>
  <si>
    <t>A vista</t>
  </si>
  <si>
    <t>Cliente</t>
  </si>
  <si>
    <t>Forma de Pgto.:</t>
  </si>
  <si>
    <t>A prazo</t>
  </si>
  <si>
    <t>SUCATA FERROSA</t>
  </si>
  <si>
    <t>SUCATA NÃO FERROSA</t>
  </si>
  <si>
    <t>COBRE MEL</t>
  </si>
  <si>
    <t>COBRE MISTO</t>
  </si>
  <si>
    <t>ALUGUEL</t>
  </si>
  <si>
    <t>SALÁRIOS</t>
  </si>
  <si>
    <t>ALUMINIO</t>
  </si>
  <si>
    <t>CAVACO</t>
  </si>
  <si>
    <t>PERFIL</t>
  </si>
  <si>
    <t>LIMALHA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</si>
</sst>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">
    <xf numFmtId="0" fontId="0" fillId="0" borderId="0" xfId="0"/>
    <xf numFmtId="164" fontId="0" fillId="0" borderId="0" xfId="1" applyFont="1"/>
    <xf numFmtId="14" fontId="0" fillId="0" borderId="0" xfId="0" applyNumberFormat="1"/>
    <xf numFmtId="0" fontId="0" fillId="0" borderId="0" xfId="1" applyNumberFormat="1" applyFont="1"/>
    <xf numFmtId="1" fontId="0" fillId="0" borderId="0" xfId="2" applyNumberFormat="1" applyFont="1"/>
    <xf numFmtId="164" fontId="0" fillId="0" borderId="0" xfId="0" applyNumberFormat="1"/>
    <xf numFmtId="166" fontId="0" fillId="0" borderId="0" xfId="3" applyNumberFormat="1" applyFont="1"/>
    <xf numFmtId="22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0" fillId="0" borderId="3" xfId="0" applyBorder="1" applyAlignment="1">
      <alignment horizontal="left"/>
    </xf>
    <xf numFmtId="0" fontId="3" fillId="0" borderId="0" xfId="0" applyFont="1"/>
    <xf numFmtId="0" fontId="0" fillId="0" borderId="4" xfId="0" applyBorder="1"/>
    <xf numFmtId="0" fontId="4" fillId="0" borderId="0" xfId="0" applyFont="1"/>
    <xf numFmtId="164" fontId="0" fillId="0" borderId="4" xfId="1" applyFont="1" applyBorder="1"/>
    <xf numFmtId="0" fontId="0" fillId="0" borderId="5" xfId="0" applyBorder="1"/>
    <xf numFmtId="164" fontId="0" fillId="0" borderId="2" xfId="1" applyFont="1" applyBorder="1"/>
    <xf numFmtId="164" fontId="0" fillId="0" borderId="6" xfId="1" applyFont="1" applyBorder="1"/>
    <xf numFmtId="164" fontId="0" fillId="0" borderId="0" xfId="1" applyFont="1" applyBorder="1"/>
    <xf numFmtId="164" fontId="0" fillId="0" borderId="7" xfId="1" applyFont="1" applyBorder="1"/>
    <xf numFmtId="0" fontId="0" fillId="0" borderId="8" xfId="0" applyBorder="1"/>
    <xf numFmtId="164" fontId="0" fillId="0" borderId="9" xfId="1" applyFont="1" applyBorder="1"/>
    <xf numFmtId="164" fontId="3" fillId="0" borderId="5" xfId="0" applyNumberFormat="1" applyFont="1" applyBorder="1"/>
    <xf numFmtId="0" fontId="0" fillId="0" borderId="6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9" xfId="0" applyBorder="1"/>
    <xf numFmtId="0" fontId="0" fillId="0" borderId="10" xfId="0" applyBorder="1"/>
    <xf numFmtId="0" fontId="4" fillId="0" borderId="0" xfId="0" applyFont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3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2" xfId="0" applyBorder="1" applyAlignment="1">
      <alignment horizontal="left"/>
    </xf>
    <xf numFmtId="164" fontId="0" fillId="0" borderId="2" xfId="1" applyFont="1" applyBorder="1" applyAlignment="1">
      <alignment horizontal="left"/>
    </xf>
    <xf numFmtId="0" fontId="3" fillId="0" borderId="6" xfId="0" applyFont="1" applyBorder="1"/>
    <xf numFmtId="0" fontId="0" fillId="0" borderId="8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22" fontId="4" fillId="0" borderId="0" xfId="0" applyNumberFormat="1" applyFont="1" applyAlignment="1">
      <alignment horizontal="right" vertical="center"/>
    </xf>
  </cellXfs>
  <cellStyles count="4">
    <cellStyle name="Moeda" xfId="1" builtinId="4"/>
    <cellStyle name="Normal" xfId="0" builtinId="0"/>
    <cellStyle name="Porcentagem" xfId="3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microsoft.com/office/2017/10/relationships/person" Target="persons/person78.xml"/><Relationship Id="rId21" Type="http://schemas.openxmlformats.org/officeDocument/2006/relationships/worksheet" Target="worksheets/sheet21.xml"/><Relationship Id="rId42" Type="http://schemas.microsoft.com/office/2017/10/relationships/person" Target="persons/person15.xml"/><Relationship Id="rId47" Type="http://schemas.microsoft.com/office/2017/10/relationships/person" Target="persons/person7.xml"/><Relationship Id="rId63" Type="http://schemas.microsoft.com/office/2017/10/relationships/person" Target="persons/person29.xml"/><Relationship Id="rId68" Type="http://schemas.microsoft.com/office/2017/10/relationships/person" Target="persons/person34.xml"/><Relationship Id="rId84" Type="http://schemas.microsoft.com/office/2017/10/relationships/person" Target="persons/person52.xml"/><Relationship Id="rId89" Type="http://schemas.microsoft.com/office/2017/10/relationships/person" Target="persons/person57.xml"/><Relationship Id="rId112" Type="http://schemas.microsoft.com/office/2017/10/relationships/person" Target="persons/person73.xml"/><Relationship Id="rId16" Type="http://schemas.openxmlformats.org/officeDocument/2006/relationships/worksheet" Target="worksheets/sheet16.xml"/><Relationship Id="rId107" Type="http://schemas.microsoft.com/office/2017/10/relationships/person" Target="persons/person70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3" Type="http://schemas.microsoft.com/office/2017/10/relationships/person" Target="persons/person20.xml"/><Relationship Id="rId58" Type="http://schemas.microsoft.com/office/2017/10/relationships/person" Target="persons/person24.xml"/><Relationship Id="rId74" Type="http://schemas.microsoft.com/office/2017/10/relationships/person" Target="persons/person40.xml"/><Relationship Id="rId79" Type="http://schemas.microsoft.com/office/2017/10/relationships/person" Target="persons/person47.xml"/><Relationship Id="rId102" Type="http://schemas.microsoft.com/office/2017/10/relationships/person" Target="persons/person69.xml"/><Relationship Id="rId5" Type="http://schemas.openxmlformats.org/officeDocument/2006/relationships/worksheet" Target="worksheets/sheet5.xml"/><Relationship Id="rId90" Type="http://schemas.microsoft.com/office/2017/10/relationships/person" Target="persons/person4.xml"/><Relationship Id="rId95" Type="http://schemas.microsoft.com/office/2017/10/relationships/person" Target="persons/person63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113" Type="http://schemas.microsoft.com/office/2017/10/relationships/person" Target="persons/person0.xml"/><Relationship Id="rId69" Type="http://schemas.microsoft.com/office/2017/10/relationships/person" Target="persons/person45.xml"/><Relationship Id="rId64" Type="http://schemas.microsoft.com/office/2017/10/relationships/person" Target="persons/person36.xml"/><Relationship Id="rId48" Type="http://schemas.microsoft.com/office/2017/10/relationships/person" Target="persons/person10.xml"/><Relationship Id="rId43" Type="http://schemas.microsoft.com/office/2017/10/relationships/person" Target="persons/person19.xml"/><Relationship Id="rId118" Type="http://schemas.microsoft.com/office/2017/10/relationships/person" Target="persons/person3.xml"/><Relationship Id="rId80" Type="http://schemas.microsoft.com/office/2017/10/relationships/person" Target="persons/person48.xml"/><Relationship Id="rId85" Type="http://schemas.microsoft.com/office/2017/10/relationships/person" Target="persons/person5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microsoft.com/office/2017/10/relationships/person" Target="persons/person.xml"/><Relationship Id="rId59" Type="http://schemas.microsoft.com/office/2017/10/relationships/person" Target="persons/person28.xml"/><Relationship Id="rId103" Type="http://schemas.microsoft.com/office/2017/10/relationships/person" Target="persons/person68.xml"/><Relationship Id="rId108" Type="http://schemas.microsoft.com/office/2017/10/relationships/person" Target="persons/person71.xml"/><Relationship Id="rId91" Type="http://schemas.microsoft.com/office/2017/10/relationships/person" Target="persons/person58.xml"/><Relationship Id="rId96" Type="http://schemas.microsoft.com/office/2017/10/relationships/person" Target="persons/person12.xml"/><Relationship Id="rId75" Type="http://schemas.microsoft.com/office/2017/10/relationships/person" Target="persons/person44.xml"/><Relationship Id="rId70" Type="http://schemas.microsoft.com/office/2017/10/relationships/person" Target="persons/person39.xml"/><Relationship Id="rId54" Type="http://schemas.microsoft.com/office/2017/10/relationships/person" Target="persons/person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19" Type="http://schemas.microsoft.com/office/2017/10/relationships/person" Target="persons/person81.xml"/><Relationship Id="rId49" Type="http://schemas.microsoft.com/office/2017/10/relationships/person" Target="persons/person6.xml"/><Relationship Id="rId114" Type="http://schemas.microsoft.com/office/2017/10/relationships/person" Target="persons/person76.xml"/><Relationship Id="rId65" Type="http://schemas.microsoft.com/office/2017/10/relationships/person" Target="persons/person33.xml"/><Relationship Id="rId60" Type="http://schemas.microsoft.com/office/2017/10/relationships/person" Target="persons/person27.xml"/><Relationship Id="rId44" Type="http://schemas.microsoft.com/office/2017/10/relationships/person" Target="persons/person8.xml"/><Relationship Id="rId81" Type="http://schemas.microsoft.com/office/2017/10/relationships/person" Target="persons/person49.xml"/><Relationship Id="rId86" Type="http://schemas.microsoft.com/office/2017/10/relationships/person" Target="persons/person5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calcChain" Target="calcChain.xml"/><Relationship Id="rId109" Type="http://schemas.microsoft.com/office/2017/10/relationships/person" Target="persons/person72.xml"/><Relationship Id="rId34" Type="http://schemas.openxmlformats.org/officeDocument/2006/relationships/worksheet" Target="worksheets/sheet34.xml"/><Relationship Id="rId120" Type="http://schemas.microsoft.com/office/2017/10/relationships/person" Target="persons/person16.xml"/><Relationship Id="rId104" Type="http://schemas.microsoft.com/office/2017/10/relationships/person" Target="persons/person13.xml"/><Relationship Id="rId97" Type="http://schemas.microsoft.com/office/2017/10/relationships/person" Target="persons/person59.xml"/><Relationship Id="rId76" Type="http://schemas.microsoft.com/office/2017/10/relationships/person" Target="persons/person43.xml"/><Relationship Id="rId50" Type="http://schemas.microsoft.com/office/2017/10/relationships/person" Target="persons/person2.xml"/><Relationship Id="rId55" Type="http://schemas.microsoft.com/office/2017/10/relationships/person" Target="persons/person21.xml"/><Relationship Id="rId7" Type="http://schemas.openxmlformats.org/officeDocument/2006/relationships/worksheet" Target="worksheets/sheet7.xml"/><Relationship Id="rId71" Type="http://schemas.microsoft.com/office/2017/10/relationships/person" Target="persons/person37.xml"/><Relationship Id="rId92" Type="http://schemas.microsoft.com/office/2017/10/relationships/person" Target="persons/person6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microsoft.com/office/2006/relationships/vbaProject" Target="vbaProject.bin"/><Relationship Id="rId110" Type="http://schemas.microsoft.com/office/2017/10/relationships/person" Target="persons/person75.xml"/><Relationship Id="rId87" Type="http://schemas.microsoft.com/office/2017/10/relationships/person" Target="persons/person56.xml"/><Relationship Id="rId45" Type="http://schemas.microsoft.com/office/2017/10/relationships/person" Target="persons/person17.xml"/><Relationship Id="rId66" Type="http://schemas.microsoft.com/office/2017/10/relationships/person" Target="persons/person32.xml"/><Relationship Id="rId115" Type="http://schemas.microsoft.com/office/2017/10/relationships/person" Target="persons/person77.xml"/><Relationship Id="rId61" Type="http://schemas.microsoft.com/office/2017/10/relationships/person" Target="persons/person26.xml"/><Relationship Id="rId82" Type="http://schemas.microsoft.com/office/2017/10/relationships/person" Target="persons/person5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105" Type="http://schemas.microsoft.com/office/2017/10/relationships/person" Target="persons/person9.xml"/><Relationship Id="rId100" Type="http://schemas.microsoft.com/office/2017/10/relationships/person" Target="persons/person11.xml"/><Relationship Id="rId56" Type="http://schemas.microsoft.com/office/2017/10/relationships/person" Target="persons/person31.xml"/><Relationship Id="rId77" Type="http://schemas.microsoft.com/office/2017/10/relationships/person" Target="persons/person42.xml"/><Relationship Id="rId8" Type="http://schemas.openxmlformats.org/officeDocument/2006/relationships/worksheet" Target="worksheets/sheet8.xml"/><Relationship Id="rId121" Type="http://schemas.microsoft.com/office/2017/10/relationships/person" Target="persons/person1.xml"/><Relationship Id="rId98" Type="http://schemas.microsoft.com/office/2017/10/relationships/person" Target="persons/person64.xml"/><Relationship Id="rId72" Type="http://schemas.microsoft.com/office/2017/10/relationships/person" Target="persons/person41.xml"/><Relationship Id="rId51" Type="http://schemas.microsoft.com/office/2017/10/relationships/person" Target="persons/person23.xml"/><Relationship Id="rId93" Type="http://schemas.microsoft.com/office/2017/10/relationships/person" Target="persons/person6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116" Type="http://schemas.microsoft.com/office/2017/10/relationships/person" Target="persons/person79.xml"/><Relationship Id="rId67" Type="http://schemas.microsoft.com/office/2017/10/relationships/person" Target="persons/person35.xml"/><Relationship Id="rId46" Type="http://schemas.microsoft.com/office/2017/10/relationships/person" Target="persons/person18.xml"/><Relationship Id="rId20" Type="http://schemas.openxmlformats.org/officeDocument/2006/relationships/worksheet" Target="worksheets/sheet20.xml"/><Relationship Id="rId111" Type="http://schemas.microsoft.com/office/2017/10/relationships/person" Target="persons/person74.xml"/><Relationship Id="rId62" Type="http://schemas.microsoft.com/office/2017/10/relationships/person" Target="persons/person30.xml"/><Relationship Id="rId41" Type="http://schemas.microsoft.com/office/2017/10/relationships/person" Target="persons/person14.xml"/><Relationship Id="rId83" Type="http://schemas.microsoft.com/office/2017/10/relationships/person" Target="persons/person51.xml"/><Relationship Id="rId88" Type="http://schemas.microsoft.com/office/2017/10/relationships/person" Target="persons/person55.xml"/><Relationship Id="rId15" Type="http://schemas.openxmlformats.org/officeDocument/2006/relationships/worksheet" Target="worksheets/sheet15.xml"/><Relationship Id="rId36" Type="http://schemas.openxmlformats.org/officeDocument/2006/relationships/styles" Target="styles.xml"/><Relationship Id="rId57" Type="http://schemas.microsoft.com/office/2017/10/relationships/person" Target="persons/person25.xml"/><Relationship Id="rId106" Type="http://schemas.microsoft.com/office/2017/10/relationships/person" Target="persons/person6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122" Type="http://schemas.microsoft.com/office/2017/10/relationships/person" Target="persons/person80.xml"/><Relationship Id="rId73" Type="http://schemas.microsoft.com/office/2017/10/relationships/person" Target="persons/person38.xml"/><Relationship Id="rId52" Type="http://schemas.microsoft.com/office/2017/10/relationships/person" Target="persons/person5.xml"/><Relationship Id="rId78" Type="http://schemas.microsoft.com/office/2017/10/relationships/person" Target="persons/person46.xml"/><Relationship Id="rId94" Type="http://schemas.microsoft.com/office/2017/10/relationships/person" Target="persons/person62.xml"/><Relationship Id="rId99" Type="http://schemas.microsoft.com/office/2017/10/relationships/person" Target="persons/person66.xml"/><Relationship Id="rId101" Type="http://schemas.microsoft.com/office/2017/10/relationships/person" Target="persons/person65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persons/person13.xml><?xml version="1.0" encoding="utf-8"?>
<personList xmlns="http://schemas.microsoft.com/office/spreadsheetml/2018/threadedcomments" xmlns:x="http://schemas.openxmlformats.org/spreadsheetml/2006/main"/>
</file>

<file path=xl/persons/person14.xml><?xml version="1.0" encoding="utf-8"?>
<personList xmlns="http://schemas.microsoft.com/office/spreadsheetml/2018/threadedcomments" xmlns:x="http://schemas.openxmlformats.org/spreadsheetml/2006/main"/>
</file>

<file path=xl/persons/person15.xml><?xml version="1.0" encoding="utf-8"?>
<personList xmlns="http://schemas.microsoft.com/office/spreadsheetml/2018/threadedcomments" xmlns:x="http://schemas.openxmlformats.org/spreadsheetml/2006/main"/>
</file>

<file path=xl/persons/person16.xml><?xml version="1.0" encoding="utf-8"?>
<personList xmlns="http://schemas.microsoft.com/office/spreadsheetml/2018/threadedcomments" xmlns:x="http://schemas.openxmlformats.org/spreadsheetml/2006/main"/>
</file>

<file path=xl/persons/person17.xml><?xml version="1.0" encoding="utf-8"?>
<personList xmlns="http://schemas.microsoft.com/office/spreadsheetml/2018/threadedcomments" xmlns:x="http://schemas.openxmlformats.org/spreadsheetml/2006/main"/>
</file>

<file path=xl/persons/person18.xml><?xml version="1.0" encoding="utf-8"?>
<personList xmlns="http://schemas.microsoft.com/office/spreadsheetml/2018/threadedcomments" xmlns:x="http://schemas.openxmlformats.org/spreadsheetml/2006/main"/>
</file>

<file path=xl/persons/person19.xml><?xml version="1.0" encoding="utf-8"?>
<personList xmlns="http://schemas.microsoft.com/office/spreadsheetml/2018/threadedcomments" xmlns:x="http://schemas.openxmlformats.org/spreadsheetml/2006/main"/>
</file>

<file path=xl/persons/person20.xml><?xml version="1.0" encoding="utf-8"?>
<personList xmlns="http://schemas.microsoft.com/office/spreadsheetml/2018/threadedcomments" xmlns:x="http://schemas.openxmlformats.org/spreadsheetml/2006/main"/>
</file>

<file path=xl/persons/person21.xml><?xml version="1.0" encoding="utf-8"?>
<personList xmlns="http://schemas.microsoft.com/office/spreadsheetml/2018/threadedcomments" xmlns:x="http://schemas.openxmlformats.org/spreadsheetml/2006/main"/>
</file>

<file path=xl/persons/person22.xml><?xml version="1.0" encoding="utf-8"?>
<personList xmlns="http://schemas.microsoft.com/office/spreadsheetml/2018/threadedcomments" xmlns:x="http://schemas.openxmlformats.org/spreadsheetml/2006/main"/>
</file>

<file path=xl/persons/person23.xml><?xml version="1.0" encoding="utf-8"?>
<personList xmlns="http://schemas.microsoft.com/office/spreadsheetml/2018/threadedcomments" xmlns:x="http://schemas.openxmlformats.org/spreadsheetml/2006/main"/>
</file>

<file path=xl/persons/person24.xml><?xml version="1.0" encoding="utf-8"?>
<personList xmlns="http://schemas.microsoft.com/office/spreadsheetml/2018/threadedcomments" xmlns:x="http://schemas.openxmlformats.org/spreadsheetml/2006/main"/>
</file>

<file path=xl/persons/person25.xml><?xml version="1.0" encoding="utf-8"?>
<personList xmlns="http://schemas.microsoft.com/office/spreadsheetml/2018/threadedcomments" xmlns:x="http://schemas.openxmlformats.org/spreadsheetml/2006/main"/>
</file>

<file path=xl/persons/person26.xml><?xml version="1.0" encoding="utf-8"?>
<personList xmlns="http://schemas.microsoft.com/office/spreadsheetml/2018/threadedcomments" xmlns:x="http://schemas.openxmlformats.org/spreadsheetml/2006/main"/>
</file>

<file path=xl/persons/person27.xml><?xml version="1.0" encoding="utf-8"?>
<personList xmlns="http://schemas.microsoft.com/office/spreadsheetml/2018/threadedcomments" xmlns:x="http://schemas.openxmlformats.org/spreadsheetml/2006/main"/>
</file>

<file path=xl/persons/person28.xml><?xml version="1.0" encoding="utf-8"?>
<personList xmlns="http://schemas.microsoft.com/office/spreadsheetml/2018/threadedcomments" xmlns:x="http://schemas.openxmlformats.org/spreadsheetml/2006/main"/>
</file>

<file path=xl/persons/person29.xml><?xml version="1.0" encoding="utf-8"?>
<personList xmlns="http://schemas.microsoft.com/office/spreadsheetml/2018/threadedcomments" xmlns:x="http://schemas.openxmlformats.org/spreadsheetml/2006/main"/>
</file>

<file path=xl/persons/person30.xml><?xml version="1.0" encoding="utf-8"?>
<personList xmlns="http://schemas.microsoft.com/office/spreadsheetml/2018/threadedcomments" xmlns:x="http://schemas.openxmlformats.org/spreadsheetml/2006/main"/>
</file>

<file path=xl/persons/person31.xml><?xml version="1.0" encoding="utf-8"?>
<personList xmlns="http://schemas.microsoft.com/office/spreadsheetml/2018/threadedcomments" xmlns:x="http://schemas.openxmlformats.org/spreadsheetml/2006/main"/>
</file>

<file path=xl/persons/person32.xml><?xml version="1.0" encoding="utf-8"?>
<personList xmlns="http://schemas.microsoft.com/office/spreadsheetml/2018/threadedcomments" xmlns:x="http://schemas.openxmlformats.org/spreadsheetml/2006/main"/>
</file>

<file path=xl/persons/person33.xml><?xml version="1.0" encoding="utf-8"?>
<personList xmlns="http://schemas.microsoft.com/office/spreadsheetml/2018/threadedcomments" xmlns:x="http://schemas.openxmlformats.org/spreadsheetml/2006/main"/>
</file>

<file path=xl/persons/person34.xml><?xml version="1.0" encoding="utf-8"?>
<personList xmlns="http://schemas.microsoft.com/office/spreadsheetml/2018/threadedcomments" xmlns:x="http://schemas.openxmlformats.org/spreadsheetml/2006/main"/>
</file>

<file path=xl/persons/person35.xml><?xml version="1.0" encoding="utf-8"?>
<personList xmlns="http://schemas.microsoft.com/office/spreadsheetml/2018/threadedcomments" xmlns:x="http://schemas.openxmlformats.org/spreadsheetml/2006/main"/>
</file>

<file path=xl/persons/person36.xml><?xml version="1.0" encoding="utf-8"?>
<personList xmlns="http://schemas.microsoft.com/office/spreadsheetml/2018/threadedcomments" xmlns:x="http://schemas.openxmlformats.org/spreadsheetml/2006/main"/>
</file>

<file path=xl/persons/person37.xml><?xml version="1.0" encoding="utf-8"?>
<personList xmlns="http://schemas.microsoft.com/office/spreadsheetml/2018/threadedcomments" xmlns:x="http://schemas.openxmlformats.org/spreadsheetml/2006/main"/>
</file>

<file path=xl/persons/person38.xml><?xml version="1.0" encoding="utf-8"?>
<personList xmlns="http://schemas.microsoft.com/office/spreadsheetml/2018/threadedcomments" xmlns:x="http://schemas.openxmlformats.org/spreadsheetml/2006/main"/>
</file>

<file path=xl/persons/person39.xml><?xml version="1.0" encoding="utf-8"?>
<personList xmlns="http://schemas.microsoft.com/office/spreadsheetml/2018/threadedcomments" xmlns:x="http://schemas.openxmlformats.org/spreadsheetml/2006/main"/>
</file>

<file path=xl/persons/person40.xml><?xml version="1.0" encoding="utf-8"?>
<personList xmlns="http://schemas.microsoft.com/office/spreadsheetml/2018/threadedcomments" xmlns:x="http://schemas.openxmlformats.org/spreadsheetml/2006/main"/>
</file>

<file path=xl/persons/person41.xml><?xml version="1.0" encoding="utf-8"?>
<personList xmlns="http://schemas.microsoft.com/office/spreadsheetml/2018/threadedcomments" xmlns:x="http://schemas.openxmlformats.org/spreadsheetml/2006/main"/>
</file>

<file path=xl/persons/person42.xml><?xml version="1.0" encoding="utf-8"?>
<personList xmlns="http://schemas.microsoft.com/office/spreadsheetml/2018/threadedcomments" xmlns:x="http://schemas.openxmlformats.org/spreadsheetml/2006/main"/>
</file>

<file path=xl/persons/person43.xml><?xml version="1.0" encoding="utf-8"?>
<personList xmlns="http://schemas.microsoft.com/office/spreadsheetml/2018/threadedcomments" xmlns:x="http://schemas.openxmlformats.org/spreadsheetml/2006/main"/>
</file>

<file path=xl/persons/person44.xml><?xml version="1.0" encoding="utf-8"?>
<personList xmlns="http://schemas.microsoft.com/office/spreadsheetml/2018/threadedcomments" xmlns:x="http://schemas.openxmlformats.org/spreadsheetml/2006/main"/>
</file>

<file path=xl/persons/person45.xml><?xml version="1.0" encoding="utf-8"?>
<personList xmlns="http://schemas.microsoft.com/office/spreadsheetml/2018/threadedcomments" xmlns:x="http://schemas.openxmlformats.org/spreadsheetml/2006/main"/>
</file>

<file path=xl/persons/person46.xml><?xml version="1.0" encoding="utf-8"?>
<personList xmlns="http://schemas.microsoft.com/office/spreadsheetml/2018/threadedcomments" xmlns:x="http://schemas.openxmlformats.org/spreadsheetml/2006/main"/>
</file>

<file path=xl/persons/person47.xml><?xml version="1.0" encoding="utf-8"?>
<personList xmlns="http://schemas.microsoft.com/office/spreadsheetml/2018/threadedcomments" xmlns:x="http://schemas.openxmlformats.org/spreadsheetml/2006/main"/>
</file>

<file path=xl/persons/person48.xml><?xml version="1.0" encoding="utf-8"?>
<personList xmlns="http://schemas.microsoft.com/office/spreadsheetml/2018/threadedcomments" xmlns:x="http://schemas.openxmlformats.org/spreadsheetml/2006/main"/>
</file>

<file path=xl/persons/person49.xml><?xml version="1.0" encoding="utf-8"?>
<personList xmlns="http://schemas.microsoft.com/office/spreadsheetml/2018/threadedcomments" xmlns:x="http://schemas.openxmlformats.org/spreadsheetml/2006/main"/>
</file>

<file path=xl/persons/person50.xml><?xml version="1.0" encoding="utf-8"?>
<personList xmlns="http://schemas.microsoft.com/office/spreadsheetml/2018/threadedcomments" xmlns:x="http://schemas.openxmlformats.org/spreadsheetml/2006/main"/>
</file>

<file path=xl/persons/person51.xml><?xml version="1.0" encoding="utf-8"?>
<personList xmlns="http://schemas.microsoft.com/office/spreadsheetml/2018/threadedcomments" xmlns:x="http://schemas.openxmlformats.org/spreadsheetml/2006/main"/>
</file>

<file path=xl/persons/person52.xml><?xml version="1.0" encoding="utf-8"?>
<personList xmlns="http://schemas.microsoft.com/office/spreadsheetml/2018/threadedcomments" xmlns:x="http://schemas.openxmlformats.org/spreadsheetml/2006/main"/>
</file>

<file path=xl/persons/person53.xml><?xml version="1.0" encoding="utf-8"?>
<personList xmlns="http://schemas.microsoft.com/office/spreadsheetml/2018/threadedcomments" xmlns:x="http://schemas.openxmlformats.org/spreadsheetml/2006/main"/>
</file>

<file path=xl/persons/person54.xml><?xml version="1.0" encoding="utf-8"?>
<personList xmlns="http://schemas.microsoft.com/office/spreadsheetml/2018/threadedcomments" xmlns:x="http://schemas.openxmlformats.org/spreadsheetml/2006/main"/>
</file>

<file path=xl/persons/person55.xml><?xml version="1.0" encoding="utf-8"?>
<personList xmlns="http://schemas.microsoft.com/office/spreadsheetml/2018/threadedcomments" xmlns:x="http://schemas.openxmlformats.org/spreadsheetml/2006/main"/>
</file>

<file path=xl/persons/person56.xml><?xml version="1.0" encoding="utf-8"?>
<personList xmlns="http://schemas.microsoft.com/office/spreadsheetml/2018/threadedcomments" xmlns:x="http://schemas.openxmlformats.org/spreadsheetml/2006/main"/>
</file>

<file path=xl/persons/person57.xml><?xml version="1.0" encoding="utf-8"?>
<personList xmlns="http://schemas.microsoft.com/office/spreadsheetml/2018/threadedcomments" xmlns:x="http://schemas.openxmlformats.org/spreadsheetml/2006/main"/>
</file>

<file path=xl/persons/person58.xml><?xml version="1.0" encoding="utf-8"?>
<personList xmlns="http://schemas.microsoft.com/office/spreadsheetml/2018/threadedcomments" xmlns:x="http://schemas.openxmlformats.org/spreadsheetml/2006/main"/>
</file>

<file path=xl/persons/person59.xml><?xml version="1.0" encoding="utf-8"?>
<personList xmlns="http://schemas.microsoft.com/office/spreadsheetml/2018/threadedcomments" xmlns:x="http://schemas.openxmlformats.org/spreadsheetml/2006/main"/>
</file>

<file path=xl/persons/person60.xml><?xml version="1.0" encoding="utf-8"?>
<personList xmlns="http://schemas.microsoft.com/office/spreadsheetml/2018/threadedcomments" xmlns:x="http://schemas.openxmlformats.org/spreadsheetml/2006/main"/>
</file>

<file path=xl/persons/person61.xml><?xml version="1.0" encoding="utf-8"?>
<personList xmlns="http://schemas.microsoft.com/office/spreadsheetml/2018/threadedcomments" xmlns:x="http://schemas.openxmlformats.org/spreadsheetml/2006/main"/>
</file>

<file path=xl/persons/person62.xml><?xml version="1.0" encoding="utf-8"?>
<personList xmlns="http://schemas.microsoft.com/office/spreadsheetml/2018/threadedcomments" xmlns:x="http://schemas.openxmlformats.org/spreadsheetml/2006/main"/>
</file>

<file path=xl/persons/person63.xml><?xml version="1.0" encoding="utf-8"?>
<personList xmlns="http://schemas.microsoft.com/office/spreadsheetml/2018/threadedcomments" xmlns:x="http://schemas.openxmlformats.org/spreadsheetml/2006/main"/>
</file>

<file path=xl/persons/person64.xml><?xml version="1.0" encoding="utf-8"?>
<personList xmlns="http://schemas.microsoft.com/office/spreadsheetml/2018/threadedcomments" xmlns:x="http://schemas.openxmlformats.org/spreadsheetml/2006/main"/>
</file>

<file path=xl/persons/person65.xml><?xml version="1.0" encoding="utf-8"?>
<personList xmlns="http://schemas.microsoft.com/office/spreadsheetml/2018/threadedcomments" xmlns:x="http://schemas.openxmlformats.org/spreadsheetml/2006/main"/>
</file>

<file path=xl/persons/person66.xml><?xml version="1.0" encoding="utf-8"?>
<personList xmlns="http://schemas.microsoft.com/office/spreadsheetml/2018/threadedcomments" xmlns:x="http://schemas.openxmlformats.org/spreadsheetml/2006/main"/>
</file>

<file path=xl/persons/person67.xml><?xml version="1.0" encoding="utf-8"?>
<personList xmlns="http://schemas.microsoft.com/office/spreadsheetml/2018/threadedcomments" xmlns:x="http://schemas.openxmlformats.org/spreadsheetml/2006/main"/>
</file>

<file path=xl/persons/person68.xml><?xml version="1.0" encoding="utf-8"?>
<personList xmlns="http://schemas.microsoft.com/office/spreadsheetml/2018/threadedcomments" xmlns:x="http://schemas.openxmlformats.org/spreadsheetml/2006/main"/>
</file>

<file path=xl/persons/person69.xml><?xml version="1.0" encoding="utf-8"?>
<personList xmlns="http://schemas.microsoft.com/office/spreadsheetml/2018/threadedcomments" xmlns:x="http://schemas.openxmlformats.org/spreadsheetml/2006/main"/>
</file>

<file path=xl/persons/person70.xml><?xml version="1.0" encoding="utf-8"?>
<personList xmlns="http://schemas.microsoft.com/office/spreadsheetml/2018/threadedcomments" xmlns:x="http://schemas.openxmlformats.org/spreadsheetml/2006/main"/>
</file>

<file path=xl/persons/person71.xml><?xml version="1.0" encoding="utf-8"?>
<personList xmlns="http://schemas.microsoft.com/office/spreadsheetml/2018/threadedcomments" xmlns:x="http://schemas.openxmlformats.org/spreadsheetml/2006/main"/>
</file>

<file path=xl/persons/person72.xml><?xml version="1.0" encoding="utf-8"?>
<personList xmlns="http://schemas.microsoft.com/office/spreadsheetml/2018/threadedcomments" xmlns:x="http://schemas.openxmlformats.org/spreadsheetml/2006/main"/>
</file>

<file path=xl/persons/person73.xml><?xml version="1.0" encoding="utf-8"?>
<personList xmlns="http://schemas.microsoft.com/office/spreadsheetml/2018/threadedcomments" xmlns:x="http://schemas.openxmlformats.org/spreadsheetml/2006/main"/>
</file>

<file path=xl/persons/person74.xml><?xml version="1.0" encoding="utf-8"?>
<personList xmlns="http://schemas.microsoft.com/office/spreadsheetml/2018/threadedcomments" xmlns:x="http://schemas.openxmlformats.org/spreadsheetml/2006/main"/>
</file>

<file path=xl/persons/person75.xml><?xml version="1.0" encoding="utf-8"?>
<personList xmlns="http://schemas.microsoft.com/office/spreadsheetml/2018/threadedcomments" xmlns:x="http://schemas.openxmlformats.org/spreadsheetml/2006/main"/>
</file>

<file path=xl/persons/person76.xml><?xml version="1.0" encoding="utf-8"?>
<personList xmlns="http://schemas.microsoft.com/office/spreadsheetml/2018/threadedcomments" xmlns:x="http://schemas.openxmlformats.org/spreadsheetml/2006/main"/>
</file>

<file path=xl/persons/person77.xml><?xml version="1.0" encoding="utf-8"?>
<personList xmlns="http://schemas.microsoft.com/office/spreadsheetml/2018/threadedcomments" xmlns:x="http://schemas.openxmlformats.org/spreadsheetml/2006/main"/>
</file>

<file path=xl/persons/person78.xml><?xml version="1.0" encoding="utf-8"?>
<personList xmlns="http://schemas.microsoft.com/office/spreadsheetml/2018/threadedcomments" xmlns:x="http://schemas.openxmlformats.org/spreadsheetml/2006/main"/>
</file>

<file path=xl/persons/person79.xml><?xml version="1.0" encoding="utf-8"?>
<personList xmlns="http://schemas.microsoft.com/office/spreadsheetml/2018/threadedcomments" xmlns:x="http://schemas.openxmlformats.org/spreadsheetml/2006/main"/>
</file>

<file path=xl/persons/person80.xml><?xml version="1.0" encoding="utf-8"?>
<personList xmlns="http://schemas.microsoft.com/office/spreadsheetml/2018/threadedcomments" xmlns:x="http://schemas.openxmlformats.org/spreadsheetml/2006/main"/>
</file>

<file path=xl/persons/person8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A7342-283C-4BD2-83C9-1368B92AD4C5}">
  <sheetPr codeName="Planilha25"/>
  <dimension ref="A1"/>
  <sheetViews>
    <sheetView tabSelected="1" workbookViewId="0">
      <selection activeCell="J20" sqref="J20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FA5E-B231-4494-B290-8A2920EEB1C5}">
  <sheetPr codeName="Planilha26"/>
  <dimension ref="A1:F1"/>
  <sheetViews>
    <sheetView workbookViewId="0">
      <selection activeCell="A2" sqref="A2:F7"/>
    </sheetView>
  </sheetViews>
  <sheetFormatPr defaultRowHeight="14.4" x14ac:dyDescent="0.3"/>
  <cols>
    <col min="2" max="2" width="60.77734375" customWidth="1"/>
    <col min="3" max="3" width="5.109375" bestFit="1" customWidth="1"/>
    <col min="4" max="4" width="17.77734375" bestFit="1" customWidth="1"/>
    <col min="5" max="5" width="14.33203125" bestFit="1" customWidth="1"/>
    <col min="6" max="6" width="60.77734375" customWidth="1"/>
  </cols>
  <sheetData>
    <row r="1" spans="1:6" x14ac:dyDescent="0.3">
      <c r="A1" t="s">
        <v>0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FEA3E-5F78-4F51-9AEA-82BDD401A6FD}">
  <sheetPr codeName="Planilha27"/>
  <dimension ref="A1:F1"/>
  <sheetViews>
    <sheetView workbookViewId="0">
      <selection activeCell="A2" sqref="A2:F2"/>
    </sheetView>
  </sheetViews>
  <sheetFormatPr defaultRowHeight="14.4" x14ac:dyDescent="0.3"/>
  <cols>
    <col min="2" max="2" width="60.77734375" customWidth="1"/>
    <col min="3" max="3" width="5.109375" bestFit="1" customWidth="1"/>
    <col min="4" max="4" width="17.77734375" bestFit="1" customWidth="1"/>
    <col min="5" max="5" width="14.33203125" bestFit="1" customWidth="1"/>
    <col min="6" max="6" width="60.77734375" customWidth="1"/>
    <col min="7" max="8" width="10.33203125" customWidth="1"/>
  </cols>
  <sheetData>
    <row r="1" spans="1:6" x14ac:dyDescent="0.3">
      <c r="A1" t="s">
        <v>0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7B256-F962-4637-9F50-3E1E7C4480A0}">
  <sheetPr codeName="Planilha30"/>
  <dimension ref="A1"/>
  <sheetViews>
    <sheetView workbookViewId="0">
      <selection activeCell="H6" sqref="H6"/>
    </sheetView>
  </sheetViews>
  <sheetFormatPr defaultRowHeight="14.4" x14ac:dyDescent="0.3"/>
  <sheetData>
    <row r="1" spans="1:1" x14ac:dyDescent="0.3">
      <c r="A1">
        <v>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C0E38-F5EB-4D1E-BAD3-C67871A15ED4}">
  <sheetPr codeName="Planilha28"/>
  <dimension ref="A1:F1"/>
  <sheetViews>
    <sheetView workbookViewId="0">
      <selection activeCell="A2" sqref="A2:F6"/>
    </sheetView>
  </sheetViews>
  <sheetFormatPr defaultRowHeight="14.4" x14ac:dyDescent="0.3"/>
  <cols>
    <col min="2" max="2" width="60.77734375" customWidth="1"/>
    <col min="3" max="3" width="5.109375" bestFit="1" customWidth="1"/>
    <col min="4" max="4" width="17.77734375" bestFit="1" customWidth="1"/>
    <col min="5" max="5" width="14.33203125" bestFit="1" customWidth="1"/>
    <col min="6" max="6" width="60.77734375" customWidth="1"/>
  </cols>
  <sheetData>
    <row r="1" spans="1:6" x14ac:dyDescent="0.3">
      <c r="A1" t="s">
        <v>0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1D886-3014-4335-90FB-EE63F2AA1B39}">
  <sheetPr codeName="Planilha29"/>
  <dimension ref="A1:F1"/>
  <sheetViews>
    <sheetView workbookViewId="0">
      <selection activeCell="A2" sqref="A2:F2"/>
    </sheetView>
  </sheetViews>
  <sheetFormatPr defaultRowHeight="14.4" x14ac:dyDescent="0.3"/>
  <cols>
    <col min="2" max="2" width="60.77734375" customWidth="1"/>
    <col min="3" max="3" width="5.109375" bestFit="1" customWidth="1"/>
    <col min="4" max="4" width="17.77734375" bestFit="1" customWidth="1"/>
    <col min="5" max="5" width="14.33203125" bestFit="1" customWidth="1"/>
    <col min="6" max="6" width="60.77734375" customWidth="1"/>
  </cols>
  <sheetData>
    <row r="1" spans="1:6" x14ac:dyDescent="0.3">
      <c r="A1" t="s">
        <v>0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746FF-7FE6-450C-8767-DFBAEBB0E7AE}">
  <sheetPr codeName="Planilha1"/>
  <dimension ref="A1:E1"/>
  <sheetViews>
    <sheetView workbookViewId="0">
      <selection activeCell="A2" sqref="A2:C10"/>
    </sheetView>
  </sheetViews>
  <sheetFormatPr defaultRowHeight="14.4" x14ac:dyDescent="0.3"/>
  <cols>
    <col min="1" max="1" width="11" bestFit="1" customWidth="1"/>
    <col min="2" max="2" width="17" bestFit="1" customWidth="1"/>
    <col min="3" max="3" width="26.77734375" customWidth="1"/>
    <col min="4" max="4" width="5" style="3" bestFit="1" customWidth="1"/>
    <col min="5" max="5" width="8.88671875" style="3"/>
  </cols>
  <sheetData>
    <row r="1" spans="1:4" x14ac:dyDescent="0.3">
      <c r="A1" t="s">
        <v>0</v>
      </c>
      <c r="B1" t="s">
        <v>38</v>
      </c>
      <c r="C1" t="s">
        <v>1</v>
      </c>
      <c r="D1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584C0-2A46-4B7E-ABC5-B783035687B5}">
  <sheetPr codeName="Planilha15"/>
  <dimension ref="A1:C1"/>
  <sheetViews>
    <sheetView workbookViewId="0">
      <selection activeCell="A2" sqref="A2:C2"/>
    </sheetView>
  </sheetViews>
  <sheetFormatPr defaultRowHeight="14.4" x14ac:dyDescent="0.3"/>
  <cols>
    <col min="1" max="1" width="5" bestFit="1" customWidth="1"/>
    <col min="2" max="2" width="17" bestFit="1" customWidth="1"/>
    <col min="3" max="3" width="17.77734375" bestFit="1" customWidth="1"/>
  </cols>
  <sheetData>
    <row r="1" spans="1:3" x14ac:dyDescent="0.3">
      <c r="A1" t="s">
        <v>0</v>
      </c>
      <c r="B1" t="s">
        <v>38</v>
      </c>
      <c r="C1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FD1E-4BA2-4D33-BD27-8CC01E0A581F}">
  <sheetPr codeName="Planilha24"/>
  <dimension ref="A1:B2"/>
  <sheetViews>
    <sheetView workbookViewId="0">
      <selection activeCell="B2" sqref="B2"/>
    </sheetView>
  </sheetViews>
  <sheetFormatPr defaultRowHeight="14.4" x14ac:dyDescent="0.3"/>
  <cols>
    <col min="1" max="1" width="8.88671875" style="3"/>
  </cols>
  <sheetData>
    <row r="1" spans="1:2" x14ac:dyDescent="0.3">
      <c r="A1" s="3">
        <v>5</v>
      </c>
      <c r="B1" s="3" t="str">
        <f>IFERROR(VLOOKUP(A1,CadProd!$A:$D,4,0),"")</f>
        <v/>
      </c>
    </row>
    <row r="2" spans="1:2" x14ac:dyDescent="0.3">
      <c r="A2" t="str">
        <f>IFERROR(VLOOKUP(A1,Estoque!$A:$F,6,0),"")</f>
        <v/>
      </c>
      <c r="B2">
        <v>22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B0A08-BEF7-4494-B518-E96BE46F562A}">
  <sheetPr codeName="Planilha18"/>
  <dimension ref="A1:G3"/>
  <sheetViews>
    <sheetView workbookViewId="0">
      <selection activeCell="A2" sqref="A2:D3"/>
    </sheetView>
  </sheetViews>
  <sheetFormatPr defaultRowHeight="14.4" x14ac:dyDescent="0.3"/>
  <cols>
    <col min="2" max="2" width="11.88671875" style="1" bestFit="1" customWidth="1"/>
    <col min="3" max="3" width="10.5546875" style="2" bestFit="1" customWidth="1"/>
  </cols>
  <sheetData>
    <row r="1" spans="1:7" x14ac:dyDescent="0.3">
      <c r="A1" t="s">
        <v>18</v>
      </c>
      <c r="B1" s="3" t="s">
        <v>21</v>
      </c>
      <c r="C1" t="s">
        <v>4</v>
      </c>
      <c r="D1" t="s">
        <v>23</v>
      </c>
      <c r="F1" t="s">
        <v>22</v>
      </c>
      <c r="G1" s="1">
        <f>SUM(TempCustos!B:B)</f>
        <v>0</v>
      </c>
    </row>
    <row r="2" spans="1:7" x14ac:dyDescent="0.3">
      <c r="A2" t="s">
        <v>63</v>
      </c>
      <c r="B2" s="1">
        <v>3500</v>
      </c>
      <c r="C2" s="2">
        <v>45019</v>
      </c>
      <c r="D2" t="s">
        <v>54</v>
      </c>
    </row>
    <row r="3" spans="1:7" x14ac:dyDescent="0.3">
      <c r="A3" t="s">
        <v>64</v>
      </c>
      <c r="B3" s="1">
        <v>1500</v>
      </c>
      <c r="C3" s="2">
        <v>45019</v>
      </c>
      <c r="D3" t="s">
        <v>54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B54FB-3B56-4F1D-9FDB-8B84903B8C28}">
  <sheetPr codeName="Planilha19"/>
  <dimension ref="A1:F1"/>
  <sheetViews>
    <sheetView workbookViewId="0">
      <selection activeCell="A2" sqref="A2:F3"/>
    </sheetView>
  </sheetViews>
  <sheetFormatPr defaultRowHeight="14.4" x14ac:dyDescent="0.3"/>
  <cols>
    <col min="2" max="2" width="12.21875" style="1" bestFit="1" customWidth="1"/>
    <col min="3" max="3" width="10.5546875" style="2" bestFit="1" customWidth="1"/>
    <col min="4" max="4" width="10.5546875" style="2" customWidth="1"/>
  </cols>
  <sheetData>
    <row r="1" spans="1:6" x14ac:dyDescent="0.3">
      <c r="A1" t="s">
        <v>18</v>
      </c>
      <c r="B1" t="s">
        <v>21</v>
      </c>
      <c r="C1" t="s">
        <v>4</v>
      </c>
      <c r="D1" t="s">
        <v>6</v>
      </c>
      <c r="E1" t="s">
        <v>7</v>
      </c>
      <c r="F1" t="s">
        <v>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C7335-A849-4DB7-946F-0CA15B1142A5}">
  <sheetPr codeName="Planilha20"/>
  <dimension ref="A1:F37"/>
  <sheetViews>
    <sheetView workbookViewId="0">
      <selection activeCell="F2" sqref="F2"/>
    </sheetView>
  </sheetViews>
  <sheetFormatPr defaultRowHeight="14.4" x14ac:dyDescent="0.3"/>
  <cols>
    <col min="2" max="2" width="11.21875" bestFit="1" customWidth="1"/>
    <col min="3" max="3" width="16.109375" bestFit="1" customWidth="1"/>
    <col min="4" max="4" width="22.88671875" bestFit="1" customWidth="1"/>
    <col min="5" max="5" width="12.5546875" bestFit="1" customWidth="1"/>
    <col min="6" max="6" width="20.6640625" bestFit="1" customWidth="1"/>
  </cols>
  <sheetData>
    <row r="1" spans="1:6" x14ac:dyDescent="0.3">
      <c r="A1" t="s">
        <v>6</v>
      </c>
      <c r="B1" t="s">
        <v>14</v>
      </c>
      <c r="C1" t="s">
        <v>33</v>
      </c>
      <c r="D1" t="s">
        <v>34</v>
      </c>
      <c r="E1" t="s">
        <v>35</v>
      </c>
      <c r="F1" t="s">
        <v>36</v>
      </c>
    </row>
    <row r="2" spans="1:6" x14ac:dyDescent="0.3">
      <c r="A2" t="str">
        <f ca="1">BD_INFO!A1</f>
        <v>01_2023</v>
      </c>
      <c r="B2" s="1">
        <f ca="1">SUMIFS(Custos!$B:$B,Custos!$D:$D,A2)</f>
        <v>0</v>
      </c>
      <c r="C2">
        <f ca="1">SUMIFS(Entrada!$G:$G,Entrada!$K:$K,A2)</f>
        <v>0</v>
      </c>
      <c r="D2" s="1">
        <f ca="1">IFERROR(IF(C2=0,0,B2/C2),0)</f>
        <v>0</v>
      </c>
      <c r="E2" s="3">
        <f ca="1">SUMIFS(Saida!$G:$G,Saida!$L:$L,A2)</f>
        <v>0</v>
      </c>
      <c r="F2" s="1">
        <f ca="1">IFERROR(IF(E2=0,0,B2/E2),0)</f>
        <v>0</v>
      </c>
    </row>
    <row r="3" spans="1:6" x14ac:dyDescent="0.3">
      <c r="A3" t="str">
        <f ca="1">BD_INFO!A2</f>
        <v>02_2023</v>
      </c>
      <c r="B3" s="1">
        <f ca="1">SUMIFS(Custos!$B:$B,Custos!$D:$D,A3)</f>
        <v>0</v>
      </c>
      <c r="C3">
        <f ca="1">SUMIFS(Entrada!$G:$G,Entrada!$K:$K,A3)</f>
        <v>0</v>
      </c>
      <c r="D3" s="1">
        <f t="shared" ref="D3:D37" ca="1" si="0">IFERROR(IF(C3=0,0,B3/C3),0)</f>
        <v>0</v>
      </c>
      <c r="E3" s="3">
        <f ca="1">SUMIFS(Saida!$G:$G,Saida!$L:$L,A3)</f>
        <v>0</v>
      </c>
      <c r="F3" s="1">
        <f t="shared" ref="F3:F37" ca="1" si="1">IFERROR(IF(E3=0,0,B3/E3),0)</f>
        <v>0</v>
      </c>
    </row>
    <row r="4" spans="1:6" x14ac:dyDescent="0.3">
      <c r="A4" t="str">
        <f ca="1">BD_INFO!A3</f>
        <v>03_2023</v>
      </c>
      <c r="B4" s="1">
        <f ca="1">SUMIFS(Custos!$B:$B,Custos!$D:$D,A4)</f>
        <v>0</v>
      </c>
      <c r="C4">
        <f ca="1">SUMIFS(Entrada!$G:$G,Entrada!$K:$K,A4)</f>
        <v>0</v>
      </c>
      <c r="D4" s="1">
        <f t="shared" ca="1" si="0"/>
        <v>0</v>
      </c>
      <c r="E4" s="3">
        <f ca="1">SUMIFS(Saida!$G:$G,Saida!$L:$L,A4)</f>
        <v>0</v>
      </c>
      <c r="F4" s="1">
        <f t="shared" ca="1" si="1"/>
        <v>0</v>
      </c>
    </row>
    <row r="5" spans="1:6" x14ac:dyDescent="0.3">
      <c r="A5" t="str">
        <f ca="1">BD_INFO!A4</f>
        <v>04_2023</v>
      </c>
      <c r="B5" s="1">
        <f ca="1">SUMIFS(Custos!$B:$B,Custos!$D:$D,A5)</f>
        <v>5000</v>
      </c>
      <c r="C5">
        <f ca="1">SUMIFS(Entrada!$G:$G,Entrada!$K:$K,A5)</f>
        <v>0</v>
      </c>
      <c r="D5" s="1">
        <f t="shared" ca="1" si="0"/>
        <v>0</v>
      </c>
      <c r="E5" s="3">
        <f ca="1">SUMIFS(Saida!$G:$G,Saida!$L:$L,A5)</f>
        <v>0</v>
      </c>
      <c r="F5" s="1">
        <f t="shared" ca="1" si="1"/>
        <v>0</v>
      </c>
    </row>
    <row r="6" spans="1:6" x14ac:dyDescent="0.3">
      <c r="A6" t="str">
        <f ca="1">BD_INFO!A5</f>
        <v/>
      </c>
      <c r="B6" s="1">
        <f ca="1">SUMIFS(Custos!$B:$B,Custos!$D:$D,A6)</f>
        <v>0</v>
      </c>
      <c r="C6">
        <f ca="1">SUMIFS(Entrada!$G:$G,Entrada!$K:$K,A6)</f>
        <v>0</v>
      </c>
      <c r="D6" s="1">
        <f t="shared" ca="1" si="0"/>
        <v>0</v>
      </c>
      <c r="E6" s="3">
        <f ca="1">SUMIFS(Saida!$G:$G,Saida!$L:$L,A6)</f>
        <v>0</v>
      </c>
      <c r="F6" s="1">
        <f t="shared" ca="1" si="1"/>
        <v>0</v>
      </c>
    </row>
    <row r="7" spans="1:6" x14ac:dyDescent="0.3">
      <c r="A7" t="str">
        <f ca="1">BD_INFO!A6</f>
        <v/>
      </c>
      <c r="B7" s="1">
        <f ca="1">SUMIFS(Custos!$B:$B,Custos!$D:$D,A7)</f>
        <v>0</v>
      </c>
      <c r="C7">
        <f ca="1">SUMIFS(Entrada!$G:$G,Entrada!$K:$K,A7)</f>
        <v>0</v>
      </c>
      <c r="D7" s="1">
        <f t="shared" ca="1" si="0"/>
        <v>0</v>
      </c>
      <c r="E7" s="3">
        <f ca="1">SUMIFS(Saida!$G:$G,Saida!$L:$L,A7)</f>
        <v>0</v>
      </c>
      <c r="F7" s="1">
        <f t="shared" ca="1" si="1"/>
        <v>0</v>
      </c>
    </row>
    <row r="8" spans="1:6" x14ac:dyDescent="0.3">
      <c r="A8" t="str">
        <f ca="1">BD_INFO!A7</f>
        <v/>
      </c>
      <c r="B8" s="1">
        <f ca="1">SUMIFS(Custos!$B:$B,Custos!$D:$D,A8)</f>
        <v>0</v>
      </c>
      <c r="C8">
        <f ca="1">SUMIFS(Entrada!$G:$G,Entrada!$K:$K,A8)</f>
        <v>0</v>
      </c>
      <c r="D8" s="1">
        <f t="shared" ca="1" si="0"/>
        <v>0</v>
      </c>
      <c r="E8" s="3">
        <f ca="1">SUMIFS(Saida!$G:$G,Saida!$L:$L,A8)</f>
        <v>0</v>
      </c>
      <c r="F8" s="1">
        <f t="shared" ca="1" si="1"/>
        <v>0</v>
      </c>
    </row>
    <row r="9" spans="1:6" x14ac:dyDescent="0.3">
      <c r="A9" t="str">
        <f ca="1">BD_INFO!A8</f>
        <v/>
      </c>
      <c r="B9" s="1">
        <f ca="1">SUMIFS(Custos!$B:$B,Custos!$D:$D,A9)</f>
        <v>0</v>
      </c>
      <c r="C9">
        <f ca="1">SUMIFS(Entrada!$G:$G,Entrada!$K:$K,A9)</f>
        <v>0</v>
      </c>
      <c r="D9" s="1">
        <f t="shared" ca="1" si="0"/>
        <v>0</v>
      </c>
      <c r="E9" s="3">
        <f ca="1">SUMIFS(Saida!$G:$G,Saida!$L:$L,A9)</f>
        <v>0</v>
      </c>
      <c r="F9" s="1">
        <f t="shared" ca="1" si="1"/>
        <v>0</v>
      </c>
    </row>
    <row r="10" spans="1:6" x14ac:dyDescent="0.3">
      <c r="A10" t="str">
        <f ca="1">BD_INFO!A9</f>
        <v/>
      </c>
      <c r="B10" s="1">
        <f ca="1">SUMIFS(Custos!$B:$B,Custos!$D:$D,A10)</f>
        <v>0</v>
      </c>
      <c r="C10">
        <f ca="1">SUMIFS(Entrada!$G:$G,Entrada!$K:$K,A10)</f>
        <v>0</v>
      </c>
      <c r="D10" s="1">
        <f t="shared" ca="1" si="0"/>
        <v>0</v>
      </c>
      <c r="E10" s="3">
        <f ca="1">SUMIFS(Saida!$G:$G,Saida!$L:$L,A10)</f>
        <v>0</v>
      </c>
      <c r="F10" s="1">
        <f t="shared" ca="1" si="1"/>
        <v>0</v>
      </c>
    </row>
    <row r="11" spans="1:6" x14ac:dyDescent="0.3">
      <c r="A11" t="str">
        <f ca="1">BD_INFO!A10</f>
        <v/>
      </c>
      <c r="B11" s="1">
        <f ca="1">SUMIFS(Custos!$B:$B,Custos!$D:$D,A11)</f>
        <v>0</v>
      </c>
      <c r="C11">
        <f ca="1">SUMIFS(Entrada!$G:$G,Entrada!$K:$K,A11)</f>
        <v>0</v>
      </c>
      <c r="D11" s="1">
        <f t="shared" ca="1" si="0"/>
        <v>0</v>
      </c>
      <c r="E11" s="3">
        <f ca="1">SUMIFS(Saida!$G:$G,Saida!$L:$L,A11)</f>
        <v>0</v>
      </c>
      <c r="F11" s="1">
        <f t="shared" ca="1" si="1"/>
        <v>0</v>
      </c>
    </row>
    <row r="12" spans="1:6" x14ac:dyDescent="0.3">
      <c r="A12" t="str">
        <f ca="1">BD_INFO!A11</f>
        <v/>
      </c>
      <c r="B12" s="1">
        <f ca="1">SUMIFS(Custos!$B:$B,Custos!$D:$D,A12)</f>
        <v>0</v>
      </c>
      <c r="C12">
        <f ca="1">SUMIFS(Entrada!$G:$G,Entrada!$K:$K,A12)</f>
        <v>0</v>
      </c>
      <c r="D12" s="1">
        <f t="shared" ca="1" si="0"/>
        <v>0</v>
      </c>
      <c r="E12" s="3">
        <f ca="1">SUMIFS(Saida!$G:$G,Saida!$L:$L,A12)</f>
        <v>0</v>
      </c>
      <c r="F12" s="1">
        <f t="shared" ca="1" si="1"/>
        <v>0</v>
      </c>
    </row>
    <row r="13" spans="1:6" x14ac:dyDescent="0.3">
      <c r="A13" t="str">
        <f ca="1">BD_INFO!A12</f>
        <v/>
      </c>
      <c r="B13" s="1">
        <f ca="1">SUMIFS(Custos!$B:$B,Custos!$D:$D,A13)</f>
        <v>0</v>
      </c>
      <c r="C13">
        <f ca="1">SUMIFS(Entrada!$G:$G,Entrada!$K:$K,A13)</f>
        <v>0</v>
      </c>
      <c r="D13" s="1">
        <f t="shared" ca="1" si="0"/>
        <v>0</v>
      </c>
      <c r="E13" s="3">
        <f ca="1">SUMIFS(Saida!$G:$G,Saida!$L:$L,A13)</f>
        <v>0</v>
      </c>
      <c r="F13" s="1">
        <f t="shared" ca="1" si="1"/>
        <v>0</v>
      </c>
    </row>
    <row r="14" spans="1:6" x14ac:dyDescent="0.3">
      <c r="A14" t="str">
        <f ca="1">BD_INFO!A13</f>
        <v/>
      </c>
      <c r="B14" s="1">
        <f ca="1">SUMIFS(Custos!$B:$B,Custos!$D:$D,A14)</f>
        <v>0</v>
      </c>
      <c r="C14">
        <f ca="1">SUMIFS(Entrada!$G:$G,Entrada!$K:$K,A14)</f>
        <v>0</v>
      </c>
      <c r="D14" s="1">
        <f t="shared" ca="1" si="0"/>
        <v>0</v>
      </c>
      <c r="E14" s="3">
        <f ca="1">SUMIFS(Saida!$G:$G,Saida!$L:$L,A14)</f>
        <v>0</v>
      </c>
      <c r="F14" s="1">
        <f t="shared" ca="1" si="1"/>
        <v>0</v>
      </c>
    </row>
    <row r="15" spans="1:6" x14ac:dyDescent="0.3">
      <c r="A15" t="str">
        <f ca="1">BD_INFO!A14</f>
        <v/>
      </c>
      <c r="B15" s="1">
        <f ca="1">SUMIFS(Custos!$B:$B,Custos!$D:$D,A15)</f>
        <v>0</v>
      </c>
      <c r="C15">
        <f ca="1">SUMIFS(Entrada!$G:$G,Entrada!$K:$K,A15)</f>
        <v>0</v>
      </c>
      <c r="D15" s="1">
        <f t="shared" ca="1" si="0"/>
        <v>0</v>
      </c>
      <c r="E15" s="3">
        <f ca="1">SUMIFS(Saida!$G:$G,Saida!$L:$L,A15)</f>
        <v>0</v>
      </c>
      <c r="F15" s="1">
        <f t="shared" ca="1" si="1"/>
        <v>0</v>
      </c>
    </row>
    <row r="16" spans="1:6" x14ac:dyDescent="0.3">
      <c r="A16" t="str">
        <f ca="1">BD_INFO!A15</f>
        <v/>
      </c>
      <c r="B16" s="1">
        <f ca="1">SUMIFS(Custos!$B:$B,Custos!$D:$D,A16)</f>
        <v>0</v>
      </c>
      <c r="C16">
        <f ca="1">SUMIFS(Entrada!$G:$G,Entrada!$K:$K,A16)</f>
        <v>0</v>
      </c>
      <c r="D16" s="1">
        <f t="shared" ca="1" si="0"/>
        <v>0</v>
      </c>
      <c r="E16" s="3">
        <f ca="1">SUMIFS(Saida!$G:$G,Saida!$L:$L,A16)</f>
        <v>0</v>
      </c>
      <c r="F16" s="1">
        <f t="shared" ca="1" si="1"/>
        <v>0</v>
      </c>
    </row>
    <row r="17" spans="1:6" x14ac:dyDescent="0.3">
      <c r="A17" t="str">
        <f ca="1">BD_INFO!A16</f>
        <v/>
      </c>
      <c r="B17" s="1">
        <f ca="1">SUMIFS(Custos!$B:$B,Custos!$D:$D,A17)</f>
        <v>0</v>
      </c>
      <c r="C17">
        <f ca="1">SUMIFS(Entrada!$G:$G,Entrada!$K:$K,A17)</f>
        <v>0</v>
      </c>
      <c r="D17" s="1">
        <f t="shared" ca="1" si="0"/>
        <v>0</v>
      </c>
      <c r="E17" s="3">
        <f ca="1">SUMIFS(Saida!$G:$G,Saida!$L:$L,A17)</f>
        <v>0</v>
      </c>
      <c r="F17" s="1">
        <f t="shared" ca="1" si="1"/>
        <v>0</v>
      </c>
    </row>
    <row r="18" spans="1:6" x14ac:dyDescent="0.3">
      <c r="A18" t="str">
        <f ca="1">BD_INFO!A17</f>
        <v/>
      </c>
      <c r="B18" s="1">
        <f ca="1">SUMIFS(Custos!$B:$B,Custos!$D:$D,A18)</f>
        <v>0</v>
      </c>
      <c r="C18">
        <f ca="1">SUMIFS(Entrada!$G:$G,Entrada!$K:$K,A18)</f>
        <v>0</v>
      </c>
      <c r="D18" s="1">
        <f t="shared" ca="1" si="0"/>
        <v>0</v>
      </c>
      <c r="E18" s="3">
        <f ca="1">SUMIFS(Saida!$G:$G,Saida!$L:$L,A18)</f>
        <v>0</v>
      </c>
      <c r="F18" s="1">
        <f t="shared" ca="1" si="1"/>
        <v>0</v>
      </c>
    </row>
    <row r="19" spans="1:6" x14ac:dyDescent="0.3">
      <c r="A19" t="str">
        <f ca="1">BD_INFO!A18</f>
        <v/>
      </c>
      <c r="B19" s="1">
        <f ca="1">SUMIFS(Custos!$B:$B,Custos!$D:$D,A19)</f>
        <v>0</v>
      </c>
      <c r="C19">
        <f ca="1">SUMIFS(Entrada!$G:$G,Entrada!$K:$K,A19)</f>
        <v>0</v>
      </c>
      <c r="D19" s="1">
        <f t="shared" ca="1" si="0"/>
        <v>0</v>
      </c>
      <c r="E19" s="3">
        <f ca="1">SUMIFS(Saida!$G:$G,Saida!$L:$L,A19)</f>
        <v>0</v>
      </c>
      <c r="F19" s="1">
        <f t="shared" ca="1" si="1"/>
        <v>0</v>
      </c>
    </row>
    <row r="20" spans="1:6" x14ac:dyDescent="0.3">
      <c r="A20" t="str">
        <f ca="1">BD_INFO!A19</f>
        <v/>
      </c>
      <c r="B20" s="1">
        <f ca="1">SUMIFS(Custos!$B:$B,Custos!$D:$D,A20)</f>
        <v>0</v>
      </c>
      <c r="C20">
        <f ca="1">SUMIFS(Entrada!$G:$G,Entrada!$K:$K,A20)</f>
        <v>0</v>
      </c>
      <c r="D20" s="1">
        <f t="shared" ca="1" si="0"/>
        <v>0</v>
      </c>
      <c r="E20" s="3">
        <f ca="1">SUMIFS(Saida!$G:$G,Saida!$L:$L,A20)</f>
        <v>0</v>
      </c>
      <c r="F20" s="1">
        <f t="shared" ca="1" si="1"/>
        <v>0</v>
      </c>
    </row>
    <row r="21" spans="1:6" x14ac:dyDescent="0.3">
      <c r="A21" t="str">
        <f ca="1">BD_INFO!A20</f>
        <v/>
      </c>
      <c r="B21" s="1">
        <f ca="1">SUMIFS(Custos!$B:$B,Custos!$D:$D,A21)</f>
        <v>0</v>
      </c>
      <c r="C21">
        <f ca="1">SUMIFS(Entrada!$G:$G,Entrada!$K:$K,A21)</f>
        <v>0</v>
      </c>
      <c r="D21" s="1">
        <f t="shared" ca="1" si="0"/>
        <v>0</v>
      </c>
      <c r="E21" s="3">
        <f ca="1">SUMIFS(Saida!$G:$G,Saida!$L:$L,A21)</f>
        <v>0</v>
      </c>
      <c r="F21" s="1">
        <f t="shared" ca="1" si="1"/>
        <v>0</v>
      </c>
    </row>
    <row r="22" spans="1:6" x14ac:dyDescent="0.3">
      <c r="A22" t="str">
        <f ca="1">BD_INFO!A21</f>
        <v/>
      </c>
      <c r="B22" s="1">
        <f ca="1">SUMIFS(Custos!$B:$B,Custos!$D:$D,A22)</f>
        <v>0</v>
      </c>
      <c r="C22">
        <f ca="1">SUMIFS(Entrada!$G:$G,Entrada!$K:$K,A22)</f>
        <v>0</v>
      </c>
      <c r="D22" s="1">
        <f t="shared" ca="1" si="0"/>
        <v>0</v>
      </c>
      <c r="E22" s="3">
        <f ca="1">SUMIFS(Saida!$G:$G,Saida!$L:$L,A22)</f>
        <v>0</v>
      </c>
      <c r="F22" s="1">
        <f t="shared" ca="1" si="1"/>
        <v>0</v>
      </c>
    </row>
    <row r="23" spans="1:6" x14ac:dyDescent="0.3">
      <c r="A23" t="str">
        <f ca="1">BD_INFO!A22</f>
        <v/>
      </c>
      <c r="B23" s="1">
        <f ca="1">SUMIFS(Custos!$B:$B,Custos!$D:$D,A23)</f>
        <v>0</v>
      </c>
      <c r="C23">
        <f ca="1">SUMIFS(Entrada!$G:$G,Entrada!$K:$K,A23)</f>
        <v>0</v>
      </c>
      <c r="D23" s="1">
        <f t="shared" ca="1" si="0"/>
        <v>0</v>
      </c>
      <c r="E23" s="3">
        <f ca="1">SUMIFS(Saida!$G:$G,Saida!$L:$L,A23)</f>
        <v>0</v>
      </c>
      <c r="F23" s="1">
        <f t="shared" ca="1" si="1"/>
        <v>0</v>
      </c>
    </row>
    <row r="24" spans="1:6" x14ac:dyDescent="0.3">
      <c r="A24" t="str">
        <f ca="1">BD_INFO!A23</f>
        <v/>
      </c>
      <c r="B24" s="1">
        <f ca="1">SUMIFS(Custos!$B:$B,Custos!$D:$D,A24)</f>
        <v>0</v>
      </c>
      <c r="C24">
        <f ca="1">SUMIFS(Entrada!$G:$G,Entrada!$K:$K,A24)</f>
        <v>0</v>
      </c>
      <c r="D24" s="1">
        <f t="shared" ca="1" si="0"/>
        <v>0</v>
      </c>
      <c r="E24" s="3">
        <f ca="1">SUMIFS(Saida!$G:$G,Saida!$L:$L,A24)</f>
        <v>0</v>
      </c>
      <c r="F24" s="1">
        <f t="shared" ca="1" si="1"/>
        <v>0</v>
      </c>
    </row>
    <row r="25" spans="1:6" x14ac:dyDescent="0.3">
      <c r="A25" t="str">
        <f ca="1">BD_INFO!A24</f>
        <v/>
      </c>
      <c r="B25" s="1">
        <f ca="1">SUMIFS(Custos!$B:$B,Custos!$D:$D,A25)</f>
        <v>0</v>
      </c>
      <c r="C25">
        <f ca="1">SUMIFS(Entrada!$G:$G,Entrada!$K:$K,A25)</f>
        <v>0</v>
      </c>
      <c r="D25" s="1">
        <f t="shared" ca="1" si="0"/>
        <v>0</v>
      </c>
      <c r="E25" s="3">
        <f ca="1">SUMIFS(Saida!$G:$G,Saida!$L:$L,A25)</f>
        <v>0</v>
      </c>
      <c r="F25" s="1">
        <f t="shared" ca="1" si="1"/>
        <v>0</v>
      </c>
    </row>
    <row r="26" spans="1:6" x14ac:dyDescent="0.3">
      <c r="A26" t="str">
        <f ca="1">BD_INFO!A25</f>
        <v/>
      </c>
      <c r="B26" s="1">
        <f ca="1">SUMIFS(Custos!$B:$B,Custos!$D:$D,A26)</f>
        <v>0</v>
      </c>
      <c r="C26">
        <f ca="1">SUMIFS(Entrada!$G:$G,Entrada!$K:$K,A26)</f>
        <v>0</v>
      </c>
      <c r="D26" s="1">
        <f t="shared" ca="1" si="0"/>
        <v>0</v>
      </c>
      <c r="E26" s="3">
        <f ca="1">SUMIFS(Saida!$G:$G,Saida!$L:$L,A26)</f>
        <v>0</v>
      </c>
      <c r="F26" s="1">
        <f t="shared" ca="1" si="1"/>
        <v>0</v>
      </c>
    </row>
    <row r="27" spans="1:6" x14ac:dyDescent="0.3">
      <c r="A27" t="str">
        <f ca="1">BD_INFO!A26</f>
        <v/>
      </c>
      <c r="B27" s="1">
        <f ca="1">SUMIFS(Custos!$B:$B,Custos!$D:$D,A27)</f>
        <v>0</v>
      </c>
      <c r="C27">
        <f ca="1">SUMIFS(Entrada!$G:$G,Entrada!$K:$K,A27)</f>
        <v>0</v>
      </c>
      <c r="D27" s="1">
        <f t="shared" ca="1" si="0"/>
        <v>0</v>
      </c>
      <c r="E27" s="3">
        <f ca="1">SUMIFS(Saida!$G:$G,Saida!$L:$L,A27)</f>
        <v>0</v>
      </c>
      <c r="F27" s="1">
        <f t="shared" ca="1" si="1"/>
        <v>0</v>
      </c>
    </row>
    <row r="28" spans="1:6" x14ac:dyDescent="0.3">
      <c r="A28" t="str">
        <f ca="1">BD_INFO!A27</f>
        <v/>
      </c>
      <c r="B28" s="1">
        <f ca="1">SUMIFS(Custos!$B:$B,Custos!$D:$D,A28)</f>
        <v>0</v>
      </c>
      <c r="C28">
        <f ca="1">SUMIFS(Entrada!$G:$G,Entrada!$K:$K,A28)</f>
        <v>0</v>
      </c>
      <c r="D28" s="1">
        <f t="shared" ca="1" si="0"/>
        <v>0</v>
      </c>
      <c r="E28" s="3">
        <f ca="1">SUMIFS(Saida!$G:$G,Saida!$L:$L,A28)</f>
        <v>0</v>
      </c>
      <c r="F28" s="1">
        <f t="shared" ca="1" si="1"/>
        <v>0</v>
      </c>
    </row>
    <row r="29" spans="1:6" x14ac:dyDescent="0.3">
      <c r="A29" t="str">
        <f ca="1">BD_INFO!A28</f>
        <v/>
      </c>
      <c r="B29" s="1">
        <f ca="1">SUMIFS(Custos!$B:$B,Custos!$D:$D,A29)</f>
        <v>0</v>
      </c>
      <c r="C29">
        <f ca="1">SUMIFS(Entrada!$G:$G,Entrada!$K:$K,A29)</f>
        <v>0</v>
      </c>
      <c r="D29" s="1">
        <f t="shared" ca="1" si="0"/>
        <v>0</v>
      </c>
      <c r="E29" s="3">
        <f ca="1">SUMIFS(Saida!$G:$G,Saida!$L:$L,A29)</f>
        <v>0</v>
      </c>
      <c r="F29" s="1">
        <f t="shared" ca="1" si="1"/>
        <v>0</v>
      </c>
    </row>
    <row r="30" spans="1:6" x14ac:dyDescent="0.3">
      <c r="A30" t="str">
        <f ca="1">BD_INFO!A29</f>
        <v/>
      </c>
      <c r="B30" s="1">
        <f ca="1">SUMIFS(Custos!$B:$B,Custos!$D:$D,A30)</f>
        <v>0</v>
      </c>
      <c r="C30">
        <f ca="1">SUMIFS(Entrada!$G:$G,Entrada!$K:$K,A30)</f>
        <v>0</v>
      </c>
      <c r="D30" s="1">
        <f t="shared" ca="1" si="0"/>
        <v>0</v>
      </c>
      <c r="E30" s="3">
        <f ca="1">SUMIFS(Saida!$G:$G,Saida!$L:$L,A30)</f>
        <v>0</v>
      </c>
      <c r="F30" s="1">
        <f t="shared" ca="1" si="1"/>
        <v>0</v>
      </c>
    </row>
    <row r="31" spans="1:6" x14ac:dyDescent="0.3">
      <c r="A31" t="str">
        <f ca="1">BD_INFO!A30</f>
        <v/>
      </c>
      <c r="B31" s="1">
        <f ca="1">SUMIFS(Custos!$B:$B,Custos!$D:$D,A31)</f>
        <v>0</v>
      </c>
      <c r="C31">
        <f ca="1">SUMIFS(Entrada!$G:$G,Entrada!$K:$K,A31)</f>
        <v>0</v>
      </c>
      <c r="D31" s="1">
        <f t="shared" ca="1" si="0"/>
        <v>0</v>
      </c>
      <c r="E31" s="3">
        <f ca="1">SUMIFS(Saida!$G:$G,Saida!$L:$L,A31)</f>
        <v>0</v>
      </c>
      <c r="F31" s="1">
        <f t="shared" ca="1" si="1"/>
        <v>0</v>
      </c>
    </row>
    <row r="32" spans="1:6" x14ac:dyDescent="0.3">
      <c r="A32" t="str">
        <f ca="1">BD_INFO!A31</f>
        <v/>
      </c>
      <c r="B32" s="1">
        <f ca="1">SUMIFS(Custos!$B:$B,Custos!$D:$D,A32)</f>
        <v>0</v>
      </c>
      <c r="C32">
        <f ca="1">SUMIFS(Entrada!$G:$G,Entrada!$K:$K,A32)</f>
        <v>0</v>
      </c>
      <c r="D32" s="1">
        <f t="shared" ca="1" si="0"/>
        <v>0</v>
      </c>
      <c r="E32" s="3">
        <f ca="1">SUMIFS(Saida!$G:$G,Saida!$L:$L,A32)</f>
        <v>0</v>
      </c>
      <c r="F32" s="1">
        <f t="shared" ca="1" si="1"/>
        <v>0</v>
      </c>
    </row>
    <row r="33" spans="1:6" x14ac:dyDescent="0.3">
      <c r="A33" t="str">
        <f ca="1">BD_INFO!A32</f>
        <v/>
      </c>
      <c r="B33" s="1">
        <f ca="1">SUMIFS(Custos!$B:$B,Custos!$D:$D,A33)</f>
        <v>0</v>
      </c>
      <c r="C33">
        <f ca="1">SUMIFS(Entrada!$G:$G,Entrada!$K:$K,A33)</f>
        <v>0</v>
      </c>
      <c r="D33" s="1">
        <f t="shared" ca="1" si="0"/>
        <v>0</v>
      </c>
      <c r="E33" s="3">
        <f ca="1">SUMIFS(Saida!$G:$G,Saida!$L:$L,A33)</f>
        <v>0</v>
      </c>
      <c r="F33" s="1">
        <f t="shared" ca="1" si="1"/>
        <v>0</v>
      </c>
    </row>
    <row r="34" spans="1:6" x14ac:dyDescent="0.3">
      <c r="A34" t="str">
        <f ca="1">BD_INFO!A33</f>
        <v/>
      </c>
      <c r="B34" s="1">
        <f ca="1">SUMIFS(Custos!$B:$B,Custos!$D:$D,A34)</f>
        <v>0</v>
      </c>
      <c r="C34">
        <f ca="1">SUMIFS(Entrada!$G:$G,Entrada!$K:$K,A34)</f>
        <v>0</v>
      </c>
      <c r="D34" s="1">
        <f t="shared" ca="1" si="0"/>
        <v>0</v>
      </c>
      <c r="E34" s="3">
        <f ca="1">SUMIFS(Saida!$G:$G,Saida!$L:$L,A34)</f>
        <v>0</v>
      </c>
      <c r="F34" s="1">
        <f t="shared" ca="1" si="1"/>
        <v>0</v>
      </c>
    </row>
    <row r="35" spans="1:6" x14ac:dyDescent="0.3">
      <c r="A35" t="str">
        <f ca="1">BD_INFO!A34</f>
        <v/>
      </c>
      <c r="B35" s="1">
        <f ca="1">SUMIFS(Custos!$B:$B,Custos!$D:$D,A35)</f>
        <v>0</v>
      </c>
      <c r="C35">
        <f ca="1">SUMIFS(Entrada!$G:$G,Entrada!$K:$K,A35)</f>
        <v>0</v>
      </c>
      <c r="D35" s="1">
        <f t="shared" ca="1" si="0"/>
        <v>0</v>
      </c>
      <c r="E35" s="3">
        <f ca="1">SUMIFS(Saida!$G:$G,Saida!$L:$L,A35)</f>
        <v>0</v>
      </c>
      <c r="F35" s="1">
        <f t="shared" ca="1" si="1"/>
        <v>0</v>
      </c>
    </row>
    <row r="36" spans="1:6" x14ac:dyDescent="0.3">
      <c r="A36" t="str">
        <f ca="1">BD_INFO!A35</f>
        <v/>
      </c>
      <c r="B36" s="1">
        <f ca="1">SUMIFS(Custos!$B:$B,Custos!$D:$D,A36)</f>
        <v>0</v>
      </c>
      <c r="C36">
        <f ca="1">SUMIFS(Entrada!$G:$G,Entrada!$K:$K,A36)</f>
        <v>0</v>
      </c>
      <c r="D36" s="1">
        <f t="shared" ca="1" si="0"/>
        <v>0</v>
      </c>
      <c r="E36" s="3">
        <f ca="1">SUMIFS(Saida!$G:$G,Saida!$L:$L,A36)</f>
        <v>0</v>
      </c>
      <c r="F36" s="1">
        <f t="shared" ca="1" si="1"/>
        <v>0</v>
      </c>
    </row>
    <row r="37" spans="1:6" x14ac:dyDescent="0.3">
      <c r="A37" t="str">
        <f ca="1">BD_INFO!A36</f>
        <v/>
      </c>
      <c r="B37" s="1">
        <f ca="1">SUMIFS(Custos!$B:$B,Custos!$D:$D,A37)</f>
        <v>0</v>
      </c>
      <c r="C37">
        <f ca="1">SUMIFS(Entrada!$G:$G,Entrada!$K:$K,A37)</f>
        <v>0</v>
      </c>
      <c r="D37" s="1">
        <f t="shared" ca="1" si="0"/>
        <v>0</v>
      </c>
      <c r="E37" s="3">
        <f ca="1">SUMIFS(Saida!$G:$G,Saida!$L:$L,A37)</f>
        <v>0</v>
      </c>
      <c r="F37" s="1">
        <f t="shared" ca="1" si="1"/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AE9F7-304A-41A4-B710-4C6EACAB119A}">
  <sheetPr codeName="Planilha34"/>
  <dimension ref="A1:G3"/>
  <sheetViews>
    <sheetView workbookViewId="0">
      <selection activeCell="A2" sqref="A2:D3"/>
    </sheetView>
  </sheetViews>
  <sheetFormatPr defaultRowHeight="14.4" x14ac:dyDescent="0.3"/>
  <cols>
    <col min="2" max="2" width="12.21875" style="1" bestFit="1" customWidth="1"/>
    <col min="3" max="3" width="10.5546875" style="2" bestFit="1" customWidth="1"/>
    <col min="4" max="4" width="10.5546875" style="2" customWidth="1"/>
    <col min="7" max="7" width="11.21875" bestFit="1" customWidth="1"/>
  </cols>
  <sheetData>
    <row r="1" spans="1:7" x14ac:dyDescent="0.3">
      <c r="A1" t="s">
        <v>18</v>
      </c>
      <c r="B1" t="s">
        <v>21</v>
      </c>
      <c r="C1" t="s">
        <v>4</v>
      </c>
      <c r="D1" t="s">
        <v>6</v>
      </c>
      <c r="F1" t="s">
        <v>22</v>
      </c>
      <c r="G1" s="1">
        <f>SUM(B:B)</f>
        <v>5000</v>
      </c>
    </row>
    <row r="2" spans="1:7" x14ac:dyDescent="0.3">
      <c r="A2" t="s">
        <v>63</v>
      </c>
      <c r="B2" s="1">
        <v>3500</v>
      </c>
      <c r="C2" s="2">
        <v>45019</v>
      </c>
      <c r="D2" s="2" t="s">
        <v>54</v>
      </c>
    </row>
    <row r="3" spans="1:7" x14ac:dyDescent="0.3">
      <c r="A3" t="s">
        <v>64</v>
      </c>
      <c r="B3" s="1">
        <v>1500</v>
      </c>
      <c r="C3" s="2">
        <v>45019</v>
      </c>
      <c r="D3" s="2" t="s">
        <v>54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6B10-DA58-4D46-8A69-2DA15734D60F}">
  <sheetPr codeName="Planilha33"/>
  <dimension ref="A1:G1"/>
  <sheetViews>
    <sheetView workbookViewId="0">
      <selection sqref="A1:G3"/>
    </sheetView>
  </sheetViews>
  <sheetFormatPr defaultRowHeight="14.4" x14ac:dyDescent="0.3"/>
  <cols>
    <col min="2" max="2" width="12.21875" style="1" bestFit="1" customWidth="1"/>
    <col min="3" max="3" width="10.5546875" style="2" bestFit="1" customWidth="1"/>
    <col min="4" max="4" width="10.5546875" style="2" customWidth="1"/>
    <col min="7" max="7" width="11.21875" bestFit="1" customWidth="1"/>
  </cols>
  <sheetData>
    <row r="1" spans="1:7" x14ac:dyDescent="0.3">
      <c r="A1" t="s">
        <v>18</v>
      </c>
      <c r="B1" t="s">
        <v>21</v>
      </c>
      <c r="C1" t="s">
        <v>4</v>
      </c>
      <c r="D1" t="s">
        <v>6</v>
      </c>
      <c r="F1" t="s">
        <v>22</v>
      </c>
      <c r="G1" s="1">
        <f>SUM(B:B)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727CB-9A84-4FCF-B0D0-4634D88D42BD}">
  <sheetPr codeName="Planilha4"/>
  <dimension ref="A1:H17"/>
  <sheetViews>
    <sheetView workbookViewId="0">
      <selection activeCell="A2" sqref="A2:C1048576"/>
    </sheetView>
  </sheetViews>
  <sheetFormatPr defaultRowHeight="14.4" x14ac:dyDescent="0.3"/>
  <cols>
    <col min="1" max="1" width="5" bestFit="1" customWidth="1"/>
    <col min="2" max="2" width="19.88671875" bestFit="1" customWidth="1"/>
    <col min="3" max="3" width="17.77734375" bestFit="1" customWidth="1"/>
    <col min="5" max="5" width="5.88671875" bestFit="1" customWidth="1"/>
    <col min="6" max="6" width="11.44140625" bestFit="1" customWidth="1"/>
    <col min="7" max="8" width="14.5546875" customWidth="1"/>
  </cols>
  <sheetData>
    <row r="1" spans="1:8" x14ac:dyDescent="0.3">
      <c r="A1" t="s">
        <v>0</v>
      </c>
      <c r="B1" t="s">
        <v>38</v>
      </c>
      <c r="C1" t="s">
        <v>1</v>
      </c>
      <c r="D1" t="s">
        <v>19</v>
      </c>
      <c r="E1" t="s">
        <v>20</v>
      </c>
      <c r="F1" t="s">
        <v>17</v>
      </c>
      <c r="G1" t="s">
        <v>13</v>
      </c>
      <c r="H1" t="s">
        <v>32</v>
      </c>
    </row>
    <row r="2" spans="1:8" x14ac:dyDescent="0.3">
      <c r="G2" s="1"/>
      <c r="H2" s="1"/>
    </row>
    <row r="3" spans="1:8" x14ac:dyDescent="0.3">
      <c r="G3" s="1"/>
      <c r="H3" s="1"/>
    </row>
    <row r="4" spans="1:8" x14ac:dyDescent="0.3">
      <c r="G4" s="1"/>
      <c r="H4" s="1"/>
    </row>
    <row r="5" spans="1:8" x14ac:dyDescent="0.3">
      <c r="G5" s="1"/>
      <c r="H5" s="1"/>
    </row>
    <row r="6" spans="1:8" x14ac:dyDescent="0.3">
      <c r="G6" s="1"/>
      <c r="H6" s="1"/>
    </row>
    <row r="7" spans="1:8" x14ac:dyDescent="0.3">
      <c r="G7" s="1"/>
      <c r="H7" s="1"/>
    </row>
    <row r="8" spans="1:8" x14ac:dyDescent="0.3">
      <c r="G8" s="1"/>
      <c r="H8" s="1"/>
    </row>
    <row r="9" spans="1:8" x14ac:dyDescent="0.3">
      <c r="G9" s="1"/>
      <c r="H9" s="1"/>
    </row>
    <row r="10" spans="1:8" x14ac:dyDescent="0.3">
      <c r="G10" s="1"/>
      <c r="H10" s="1"/>
    </row>
    <row r="11" spans="1:8" x14ac:dyDescent="0.3">
      <c r="G11" s="1"/>
      <c r="H11" s="1"/>
    </row>
    <row r="12" spans="1:8" x14ac:dyDescent="0.3">
      <c r="G12" s="1"/>
      <c r="H12" s="1"/>
    </row>
    <row r="13" spans="1:8" x14ac:dyDescent="0.3">
      <c r="G13" s="1"/>
      <c r="H13" s="1"/>
    </row>
    <row r="14" spans="1:8" x14ac:dyDescent="0.3">
      <c r="G14" s="1"/>
      <c r="H14" s="1"/>
    </row>
    <row r="15" spans="1:8" x14ac:dyDescent="0.3">
      <c r="G15" s="1"/>
      <c r="H15" s="1"/>
    </row>
    <row r="16" spans="1:8" x14ac:dyDescent="0.3">
      <c r="G16" s="1"/>
      <c r="H16" s="1"/>
    </row>
    <row r="17" spans="7:8" x14ac:dyDescent="0.3">
      <c r="G17" s="1"/>
      <c r="H17" s="1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81832-AEB9-41E4-B107-FEF063A27FF2}">
  <sheetPr codeName="Planilha14"/>
  <dimension ref="A1:H1"/>
  <sheetViews>
    <sheetView workbookViewId="0">
      <selection sqref="A1:H17"/>
    </sheetView>
  </sheetViews>
  <sheetFormatPr defaultRowHeight="14.4" x14ac:dyDescent="0.3"/>
  <cols>
    <col min="1" max="1" width="5" bestFit="1" customWidth="1"/>
    <col min="2" max="2" width="17" bestFit="1" customWidth="1"/>
    <col min="3" max="3" width="17.77734375" bestFit="1" customWidth="1"/>
    <col min="5" max="5" width="5.88671875" bestFit="1" customWidth="1"/>
    <col min="6" max="6" width="5.5546875" bestFit="1" customWidth="1"/>
    <col min="7" max="7" width="14.44140625" style="1" bestFit="1" customWidth="1"/>
    <col min="8" max="8" width="14.21875" style="1" bestFit="1" customWidth="1"/>
  </cols>
  <sheetData>
    <row r="1" spans="1:8" x14ac:dyDescent="0.3">
      <c r="A1" t="s">
        <v>0</v>
      </c>
      <c r="B1" t="s">
        <v>38</v>
      </c>
      <c r="C1" t="s">
        <v>1</v>
      </c>
      <c r="D1" t="s">
        <v>19</v>
      </c>
      <c r="E1" t="s">
        <v>20</v>
      </c>
      <c r="F1" t="s">
        <v>17</v>
      </c>
      <c r="G1" t="s">
        <v>13</v>
      </c>
      <c r="H1" t="s">
        <v>32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A4998-5473-4A78-AD85-8BD2132B1453}">
  <sheetPr codeName="Planilha16"/>
  <dimension ref="A1:B11"/>
  <sheetViews>
    <sheetView workbookViewId="0">
      <selection activeCell="B2" sqref="B2"/>
    </sheetView>
  </sheetViews>
  <sheetFormatPr defaultRowHeight="14.4" x14ac:dyDescent="0.3"/>
  <cols>
    <col min="1" max="1" width="12.33203125" bestFit="1" customWidth="1"/>
    <col min="2" max="2" width="14" bestFit="1" customWidth="1"/>
  </cols>
  <sheetData>
    <row r="1" spans="1:2" x14ac:dyDescent="0.3">
      <c r="A1" t="s">
        <v>10</v>
      </c>
      <c r="B1">
        <f>SUM(TempEstoque!$F:$F)</f>
        <v>0</v>
      </c>
    </row>
    <row r="2" spans="1:2" x14ac:dyDescent="0.3">
      <c r="A2" t="s">
        <v>9</v>
      </c>
      <c r="B2" s="5">
        <f>SUM(TempEstoque!$H:$H)</f>
        <v>0</v>
      </c>
    </row>
    <row r="4" spans="1:2" x14ac:dyDescent="0.3">
      <c r="A4" t="s">
        <v>24</v>
      </c>
      <c r="B4" s="2">
        <f ca="1">TODAY()</f>
        <v>45019</v>
      </c>
    </row>
    <row r="5" spans="1:2" x14ac:dyDescent="0.3">
      <c r="A5" t="s">
        <v>26</v>
      </c>
      <c r="B5">
        <f ca="1">MONTH(B4)</f>
        <v>4</v>
      </c>
    </row>
    <row r="6" spans="1:2" x14ac:dyDescent="0.3">
      <c r="A6" t="s">
        <v>25</v>
      </c>
      <c r="B6">
        <f ca="1">YEAR(B4)</f>
        <v>2023</v>
      </c>
    </row>
    <row r="7" spans="1:2" x14ac:dyDescent="0.3">
      <c r="A7" t="s">
        <v>27</v>
      </c>
      <c r="B7" t="str">
        <f ca="1">IFERROR(IF(B5&lt;10,0&amp;B5&amp;"_"&amp;B6,B5&amp;"_"&amp;B6),"")</f>
        <v>04_2023</v>
      </c>
    </row>
    <row r="8" spans="1:2" x14ac:dyDescent="0.3">
      <c r="A8" t="s">
        <v>29</v>
      </c>
      <c r="B8">
        <f ca="1">IFERROR(IF(B5=12,1,B5+1),"")</f>
        <v>5</v>
      </c>
    </row>
    <row r="9" spans="1:2" x14ac:dyDescent="0.3">
      <c r="A9" t="s">
        <v>30</v>
      </c>
      <c r="B9">
        <f ca="1">IFERROR(IF(B5=12,B6+1,B6),"")</f>
        <v>2023</v>
      </c>
    </row>
    <row r="10" spans="1:2" x14ac:dyDescent="0.3">
      <c r="A10" t="s">
        <v>28</v>
      </c>
      <c r="B10" t="str">
        <f ca="1">IFERROR(IF(B8&lt;10,0&amp;B8&amp;"_"&amp;B9,B8&amp;"_"&amp;B9),"")</f>
        <v>05_2023</v>
      </c>
    </row>
    <row r="11" spans="1:2" x14ac:dyDescent="0.3">
      <c r="A11" t="s">
        <v>31</v>
      </c>
      <c r="B11">
        <f ca="1">SUMIFS(Entrada!$G:$G,Entrada!$K:$K,B7)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2D774-9F4C-40DD-B97F-E46B158FA77C}">
  <sheetPr codeName="Planilha2"/>
  <dimension ref="A1:K2977"/>
  <sheetViews>
    <sheetView workbookViewId="0">
      <selection activeCell="A2" sqref="A2:K15"/>
    </sheetView>
  </sheetViews>
  <sheetFormatPr defaultColWidth="11.109375" defaultRowHeight="14.4" x14ac:dyDescent="0.3"/>
  <cols>
    <col min="1" max="1" width="6.88671875" bestFit="1" customWidth="1"/>
    <col min="2" max="2" width="6.88671875" customWidth="1"/>
    <col min="3" max="3" width="12.44140625" bestFit="1" customWidth="1"/>
    <col min="4" max="4" width="11" bestFit="1" customWidth="1"/>
    <col min="5" max="5" width="17" bestFit="1" customWidth="1"/>
    <col min="6" max="6" width="48.109375" customWidth="1"/>
    <col min="7" max="7" width="6.109375" bestFit="1" customWidth="1"/>
    <col min="8" max="8" width="11.88671875" bestFit="1" customWidth="1"/>
    <col min="9" max="9" width="12.44140625" bestFit="1" customWidth="1"/>
    <col min="10" max="10" width="10.5546875" style="2" bestFit="1" customWidth="1"/>
    <col min="11" max="11" width="11.88671875" bestFit="1" customWidth="1"/>
  </cols>
  <sheetData>
    <row r="1" spans="1:11" x14ac:dyDescent="0.3">
      <c r="A1" t="s">
        <v>44</v>
      </c>
      <c r="B1" t="s">
        <v>0</v>
      </c>
      <c r="C1" t="s">
        <v>45</v>
      </c>
      <c r="D1" t="s">
        <v>0</v>
      </c>
      <c r="E1" t="s">
        <v>38</v>
      </c>
      <c r="F1" t="s">
        <v>1</v>
      </c>
      <c r="G1" t="s">
        <v>3</v>
      </c>
      <c r="H1" t="s">
        <v>2</v>
      </c>
      <c r="I1" t="s">
        <v>5</v>
      </c>
      <c r="J1" t="s">
        <v>4</v>
      </c>
      <c r="K1" t="s">
        <v>6</v>
      </c>
    </row>
    <row r="2" spans="1:11" x14ac:dyDescent="0.3">
      <c r="H2" s="1"/>
      <c r="I2" s="1"/>
    </row>
    <row r="3" spans="1:11" x14ac:dyDescent="0.3">
      <c r="H3" s="1"/>
      <c r="I3" s="1"/>
    </row>
    <row r="4" spans="1:11" x14ac:dyDescent="0.3">
      <c r="H4" s="1"/>
      <c r="I4" s="1"/>
    </row>
    <row r="5" spans="1:11" x14ac:dyDescent="0.3">
      <c r="H5" s="1"/>
      <c r="I5" s="1"/>
    </row>
    <row r="6" spans="1:11" x14ac:dyDescent="0.3">
      <c r="H6" s="1"/>
      <c r="I6" s="1"/>
    </row>
    <row r="7" spans="1:11" x14ac:dyDescent="0.3">
      <c r="H7" s="1"/>
      <c r="I7" s="1"/>
    </row>
    <row r="8" spans="1:11" x14ac:dyDescent="0.3">
      <c r="H8" s="1"/>
      <c r="I8" s="1"/>
    </row>
    <row r="9" spans="1:11" x14ac:dyDescent="0.3">
      <c r="H9" s="1"/>
      <c r="I9" s="1"/>
    </row>
    <row r="10" spans="1:11" x14ac:dyDescent="0.3">
      <c r="H10" s="1"/>
      <c r="I10" s="1"/>
    </row>
    <row r="11" spans="1:11" x14ac:dyDescent="0.3">
      <c r="H11" s="1"/>
      <c r="I11" s="1"/>
    </row>
    <row r="12" spans="1:11" x14ac:dyDescent="0.3">
      <c r="H12" s="1"/>
      <c r="I12" s="1"/>
    </row>
    <row r="13" spans="1:11" x14ac:dyDescent="0.3">
      <c r="H13" s="1"/>
      <c r="I13" s="1"/>
    </row>
    <row r="14" spans="1:11" x14ac:dyDescent="0.3">
      <c r="H14" s="1"/>
      <c r="I14" s="1"/>
    </row>
    <row r="15" spans="1:11" x14ac:dyDescent="0.3">
      <c r="H15" s="1"/>
      <c r="I15" s="1"/>
    </row>
    <row r="16" spans="1:11" x14ac:dyDescent="0.3">
      <c r="H16" s="1"/>
      <c r="I16" s="1"/>
    </row>
    <row r="17" spans="8:9" x14ac:dyDescent="0.3">
      <c r="H17" s="1"/>
      <c r="I17" s="1"/>
    </row>
    <row r="18" spans="8:9" x14ac:dyDescent="0.3">
      <c r="H18" s="1"/>
      <c r="I18" s="1"/>
    </row>
    <row r="19" spans="8:9" x14ac:dyDescent="0.3">
      <c r="H19" s="1"/>
      <c r="I19" s="1"/>
    </row>
    <row r="20" spans="8:9" x14ac:dyDescent="0.3">
      <c r="H20" s="1"/>
      <c r="I20" s="1"/>
    </row>
    <row r="21" spans="8:9" x14ac:dyDescent="0.3">
      <c r="H21" s="1"/>
      <c r="I21" s="1"/>
    </row>
    <row r="22" spans="8:9" x14ac:dyDescent="0.3">
      <c r="H22" s="1"/>
      <c r="I22" s="1"/>
    </row>
    <row r="23" spans="8:9" x14ac:dyDescent="0.3">
      <c r="H23" s="1"/>
      <c r="I23" s="1"/>
    </row>
    <row r="24" spans="8:9" x14ac:dyDescent="0.3">
      <c r="H24" s="1"/>
      <c r="I24" s="1"/>
    </row>
    <row r="25" spans="8:9" x14ac:dyDescent="0.3">
      <c r="H25" s="1"/>
      <c r="I25" s="1"/>
    </row>
    <row r="26" spans="8:9" x14ac:dyDescent="0.3">
      <c r="H26" s="1"/>
      <c r="I26" s="1"/>
    </row>
    <row r="27" spans="8:9" x14ac:dyDescent="0.3">
      <c r="H27" s="1"/>
      <c r="I27" s="1"/>
    </row>
    <row r="28" spans="8:9" x14ac:dyDescent="0.3">
      <c r="H28" s="1"/>
      <c r="I28" s="1"/>
    </row>
    <row r="29" spans="8:9" x14ac:dyDescent="0.3">
      <c r="H29" s="1"/>
      <c r="I29" s="1"/>
    </row>
    <row r="30" spans="8:9" x14ac:dyDescent="0.3">
      <c r="H30" s="1"/>
      <c r="I30" s="1"/>
    </row>
    <row r="31" spans="8:9" x14ac:dyDescent="0.3">
      <c r="H31" s="1"/>
      <c r="I31" s="1"/>
    </row>
    <row r="32" spans="8:9" x14ac:dyDescent="0.3">
      <c r="H32" s="1"/>
      <c r="I32" s="1"/>
    </row>
    <row r="33" spans="5:9" x14ac:dyDescent="0.3">
      <c r="H33" s="1"/>
      <c r="I33" s="1"/>
    </row>
    <row r="34" spans="5:9" x14ac:dyDescent="0.3">
      <c r="H34" s="1"/>
      <c r="I34" s="1"/>
    </row>
    <row r="35" spans="5:9" x14ac:dyDescent="0.3">
      <c r="H35" s="1"/>
      <c r="I35" s="1"/>
    </row>
    <row r="36" spans="5:9" x14ac:dyDescent="0.3">
      <c r="H36" s="1"/>
      <c r="I36" s="1"/>
    </row>
    <row r="37" spans="5:9" x14ac:dyDescent="0.3">
      <c r="H37" s="1"/>
      <c r="I37" s="1"/>
    </row>
    <row r="38" spans="5:9" x14ac:dyDescent="0.3">
      <c r="H38" s="1"/>
      <c r="I38" s="1"/>
    </row>
    <row r="39" spans="5:9" x14ac:dyDescent="0.3">
      <c r="E39" t="str">
        <f>IFERROR(IF(D39="","",VLOOKUP(D39,CadProd!$A:$B,2,0)),"")</f>
        <v/>
      </c>
      <c r="F39" t="str">
        <f>IFERROR(IF(D39="","",VLOOKUP(D39,CadProd!$A:$C,3,0)),"")</f>
        <v/>
      </c>
    </row>
    <row r="40" spans="5:9" x14ac:dyDescent="0.3">
      <c r="E40" t="str">
        <f>IFERROR(IF(D40="","",VLOOKUP(D40,CadProd!$A:$B,2,0)),"")</f>
        <v/>
      </c>
      <c r="F40" t="str">
        <f>IFERROR(IF(D40="","",VLOOKUP(D40,CadProd!$A:$C,3,0)),"")</f>
        <v/>
      </c>
    </row>
    <row r="41" spans="5:9" x14ac:dyDescent="0.3">
      <c r="E41" t="str">
        <f>IFERROR(IF(D41="","",VLOOKUP(D41,CadProd!$A:$B,2,0)),"")</f>
        <v/>
      </c>
      <c r="F41" t="str">
        <f>IFERROR(IF(D41="","",VLOOKUP(D41,CadProd!$A:$C,3,0)),"")</f>
        <v/>
      </c>
    </row>
    <row r="42" spans="5:9" x14ac:dyDescent="0.3">
      <c r="E42" t="str">
        <f>IFERROR(IF(D42="","",VLOOKUP(D42,CadProd!$A:$B,2,0)),"")</f>
        <v/>
      </c>
      <c r="F42" t="str">
        <f>IFERROR(IF(D42="","",VLOOKUP(D42,CadProd!$A:$C,3,0)),"")</f>
        <v/>
      </c>
    </row>
    <row r="43" spans="5:9" x14ac:dyDescent="0.3">
      <c r="E43" t="str">
        <f>IFERROR(IF(D43="","",VLOOKUP(D43,CadProd!$A:$B,2,0)),"")</f>
        <v/>
      </c>
      <c r="F43" t="str">
        <f>IFERROR(IF(D43="","",VLOOKUP(D43,CadProd!$A:$C,3,0)),"")</f>
        <v/>
      </c>
    </row>
    <row r="44" spans="5:9" x14ac:dyDescent="0.3">
      <c r="E44" t="str">
        <f>IFERROR(IF(D44="","",VLOOKUP(D44,CadProd!$A:$B,2,0)),"")</f>
        <v/>
      </c>
      <c r="F44" t="str">
        <f>IFERROR(IF(D44="","",VLOOKUP(D44,CadProd!$A:$C,3,0)),"")</f>
        <v/>
      </c>
    </row>
    <row r="45" spans="5:9" x14ac:dyDescent="0.3">
      <c r="E45" t="str">
        <f>IFERROR(IF(D45="","",VLOOKUP(D45,CadProd!$A:$B,2,0)),"")</f>
        <v/>
      </c>
      <c r="F45" t="str">
        <f>IFERROR(IF(D45="","",VLOOKUP(D45,CadProd!$A:$C,3,0)),"")</f>
        <v/>
      </c>
    </row>
    <row r="46" spans="5:9" x14ac:dyDescent="0.3">
      <c r="E46" t="str">
        <f>IFERROR(IF(D46="","",VLOOKUP(D46,CadProd!$A:$B,2,0)),"")</f>
        <v/>
      </c>
      <c r="F46" t="str">
        <f>IFERROR(IF(D46="","",VLOOKUP(D46,CadProd!$A:$C,3,0)),"")</f>
        <v/>
      </c>
    </row>
    <row r="47" spans="5:9" x14ac:dyDescent="0.3">
      <c r="E47" t="str">
        <f>IFERROR(IF(D47="","",VLOOKUP(D47,CadProd!$A:$B,2,0)),"")</f>
        <v/>
      </c>
      <c r="F47" t="str">
        <f>IFERROR(IF(D47="","",VLOOKUP(D47,CadProd!$A:$C,3,0)),"")</f>
        <v/>
      </c>
    </row>
    <row r="48" spans="5:9" x14ac:dyDescent="0.3">
      <c r="E48" t="str">
        <f>IFERROR(IF(D48="","",VLOOKUP(D48,CadProd!$A:$B,2,0)),"")</f>
        <v/>
      </c>
      <c r="F48" t="str">
        <f>IFERROR(IF(D48="","",VLOOKUP(D48,CadProd!$A:$C,3,0)),"")</f>
        <v/>
      </c>
    </row>
    <row r="49" spans="5:6" x14ac:dyDescent="0.3">
      <c r="E49" t="str">
        <f>IFERROR(IF(D49="","",VLOOKUP(D49,CadProd!$A:$B,2,0)),"")</f>
        <v/>
      </c>
      <c r="F49" t="str">
        <f>IFERROR(IF(D49="","",VLOOKUP(D49,CadProd!$A:$C,3,0)),"")</f>
        <v/>
      </c>
    </row>
    <row r="50" spans="5:6" x14ac:dyDescent="0.3">
      <c r="E50" t="str">
        <f>IFERROR(IF(D50="","",VLOOKUP(D50,CadProd!$A:$B,2,0)),"")</f>
        <v/>
      </c>
      <c r="F50" t="str">
        <f>IFERROR(IF(D50="","",VLOOKUP(D50,CadProd!$A:$C,3,0)),"")</f>
        <v/>
      </c>
    </row>
    <row r="51" spans="5:6" x14ac:dyDescent="0.3">
      <c r="E51" t="str">
        <f>IFERROR(IF(D51="","",VLOOKUP(D51,CadProd!$A:$B,2,0)),"")</f>
        <v/>
      </c>
      <c r="F51" t="str">
        <f>IFERROR(IF(D51="","",VLOOKUP(D51,CadProd!$A:$C,3,0)),"")</f>
        <v/>
      </c>
    </row>
    <row r="52" spans="5:6" x14ac:dyDescent="0.3">
      <c r="E52" t="str">
        <f>IFERROR(IF(D52="","",VLOOKUP(D52,CadProd!$A:$B,2,0)),"")</f>
        <v/>
      </c>
      <c r="F52" t="str">
        <f>IFERROR(IF(D52="","",VLOOKUP(D52,CadProd!$A:$C,3,0)),"")</f>
        <v/>
      </c>
    </row>
    <row r="53" spans="5:6" x14ac:dyDescent="0.3">
      <c r="E53" t="str">
        <f>IFERROR(IF(D53="","",VLOOKUP(D53,CadProd!$A:$B,2,0)),"")</f>
        <v/>
      </c>
      <c r="F53" t="str">
        <f>IFERROR(IF(D53="","",VLOOKUP(D53,CadProd!$A:$C,3,0)),"")</f>
        <v/>
      </c>
    </row>
    <row r="54" spans="5:6" x14ac:dyDescent="0.3">
      <c r="E54" t="str">
        <f>IFERROR(IF(D54="","",VLOOKUP(D54,CadProd!$A:$B,2,0)),"")</f>
        <v/>
      </c>
      <c r="F54" t="str">
        <f>IFERROR(IF(D54="","",VLOOKUP(D54,CadProd!$A:$C,3,0)),"")</f>
        <v/>
      </c>
    </row>
    <row r="55" spans="5:6" x14ac:dyDescent="0.3">
      <c r="E55" t="str">
        <f>IFERROR(IF(D55="","",VLOOKUP(D55,CadProd!$A:$B,2,0)),"")</f>
        <v/>
      </c>
      <c r="F55" t="str">
        <f>IFERROR(IF(D55="","",VLOOKUP(D55,CadProd!$A:$C,3,0)),"")</f>
        <v/>
      </c>
    </row>
    <row r="56" spans="5:6" x14ac:dyDescent="0.3">
      <c r="E56" t="str">
        <f>IFERROR(IF(D56="","",VLOOKUP(D56,CadProd!$A:$B,2,0)),"")</f>
        <v/>
      </c>
      <c r="F56" t="str">
        <f>IFERROR(IF(D56="","",VLOOKUP(D56,CadProd!$A:$C,3,0)),"")</f>
        <v/>
      </c>
    </row>
    <row r="57" spans="5:6" x14ac:dyDescent="0.3">
      <c r="E57" t="str">
        <f>IFERROR(IF(D57="","",VLOOKUP(D57,CadProd!$A:$B,2,0)),"")</f>
        <v/>
      </c>
      <c r="F57" t="str">
        <f>IFERROR(IF(D57="","",VLOOKUP(D57,CadProd!$A:$C,3,0)),"")</f>
        <v/>
      </c>
    </row>
    <row r="58" spans="5:6" x14ac:dyDescent="0.3">
      <c r="E58" t="str">
        <f>IFERROR(IF(D58="","",VLOOKUP(D58,CadProd!$A:$B,2,0)),"")</f>
        <v/>
      </c>
      <c r="F58" t="str">
        <f>IFERROR(IF(D58="","",VLOOKUP(D58,CadProd!$A:$C,3,0)),"")</f>
        <v/>
      </c>
    </row>
    <row r="59" spans="5:6" x14ac:dyDescent="0.3">
      <c r="E59" t="str">
        <f>IFERROR(IF(D59="","",VLOOKUP(D59,CadProd!$A:$B,2,0)),"")</f>
        <v/>
      </c>
      <c r="F59" t="str">
        <f>IFERROR(IF(D59="","",VLOOKUP(D59,CadProd!$A:$C,3,0)),"")</f>
        <v/>
      </c>
    </row>
    <row r="60" spans="5:6" x14ac:dyDescent="0.3">
      <c r="E60" t="str">
        <f>IFERROR(IF(D60="","",VLOOKUP(D60,CadProd!$A:$B,2,0)),"")</f>
        <v/>
      </c>
      <c r="F60" t="str">
        <f>IFERROR(IF(D60="","",VLOOKUP(D60,CadProd!$A:$C,3,0)),"")</f>
        <v/>
      </c>
    </row>
    <row r="61" spans="5:6" x14ac:dyDescent="0.3">
      <c r="E61" t="str">
        <f>IFERROR(IF(D61="","",VLOOKUP(D61,CadProd!$A:$B,2,0)),"")</f>
        <v/>
      </c>
      <c r="F61" t="str">
        <f>IFERROR(IF(D61="","",VLOOKUP(D61,CadProd!$A:$C,3,0)),"")</f>
        <v/>
      </c>
    </row>
    <row r="62" spans="5:6" x14ac:dyDescent="0.3">
      <c r="E62" t="str">
        <f>IFERROR(IF(D62="","",VLOOKUP(D62,CadProd!$A:$B,2,0)),"")</f>
        <v/>
      </c>
      <c r="F62" t="str">
        <f>IFERROR(IF(D62="","",VLOOKUP(D62,CadProd!$A:$C,3,0)),"")</f>
        <v/>
      </c>
    </row>
    <row r="63" spans="5:6" x14ac:dyDescent="0.3">
      <c r="E63" t="str">
        <f>IFERROR(IF(D63="","",VLOOKUP(D63,CadProd!$A:$B,2,0)),"")</f>
        <v/>
      </c>
      <c r="F63" t="str">
        <f>IFERROR(IF(D63="","",VLOOKUP(D63,CadProd!$A:$C,3,0)),"")</f>
        <v/>
      </c>
    </row>
    <row r="64" spans="5:6" x14ac:dyDescent="0.3">
      <c r="E64" t="str">
        <f>IFERROR(IF(D64="","",VLOOKUP(D64,CadProd!$A:$B,2,0)),"")</f>
        <v/>
      </c>
      <c r="F64" t="str">
        <f>IFERROR(IF(D64="","",VLOOKUP(D64,CadProd!$A:$C,3,0)),"")</f>
        <v/>
      </c>
    </row>
    <row r="65" spans="5:6" x14ac:dyDescent="0.3">
      <c r="E65" t="str">
        <f>IFERROR(IF(D65="","",VLOOKUP(D65,CadProd!$A:$B,2,0)),"")</f>
        <v/>
      </c>
      <c r="F65" t="str">
        <f>IFERROR(IF(D65="","",VLOOKUP(D65,CadProd!$A:$C,3,0)),"")</f>
        <v/>
      </c>
    </row>
    <row r="66" spans="5:6" x14ac:dyDescent="0.3">
      <c r="E66" t="str">
        <f>IFERROR(IF(D66="","",VLOOKUP(D66,CadProd!$A:$B,2,0)),"")</f>
        <v/>
      </c>
      <c r="F66" t="str">
        <f>IFERROR(IF(D66="","",VLOOKUP(D66,CadProd!$A:$C,3,0)),"")</f>
        <v/>
      </c>
    </row>
    <row r="67" spans="5:6" x14ac:dyDescent="0.3">
      <c r="E67" t="str">
        <f>IFERROR(IF(D67="","",VLOOKUP(D67,CadProd!$A:$B,2,0)),"")</f>
        <v/>
      </c>
      <c r="F67" t="str">
        <f>IFERROR(IF(D67="","",VLOOKUP(D67,CadProd!$A:$C,3,0)),"")</f>
        <v/>
      </c>
    </row>
    <row r="68" spans="5:6" x14ac:dyDescent="0.3">
      <c r="E68" t="str">
        <f>IFERROR(IF(D68="","",VLOOKUP(D68,CadProd!$A:$B,2,0)),"")</f>
        <v/>
      </c>
      <c r="F68" t="str">
        <f>IFERROR(IF(D68="","",VLOOKUP(D68,CadProd!$A:$C,3,0)),"")</f>
        <v/>
      </c>
    </row>
    <row r="69" spans="5:6" x14ac:dyDescent="0.3">
      <c r="E69" t="str">
        <f>IFERROR(IF(D69="","",VLOOKUP(D69,CadProd!$A:$B,2,0)),"")</f>
        <v/>
      </c>
      <c r="F69" t="str">
        <f>IFERROR(IF(D69="","",VLOOKUP(D69,CadProd!$A:$C,3,0)),"")</f>
        <v/>
      </c>
    </row>
    <row r="70" spans="5:6" x14ac:dyDescent="0.3">
      <c r="E70" t="str">
        <f>IFERROR(IF(D70="","",VLOOKUP(D70,CadProd!$A:$B,2,0)),"")</f>
        <v/>
      </c>
      <c r="F70" t="str">
        <f>IFERROR(IF(D70="","",VLOOKUP(D70,CadProd!$A:$C,3,0)),"")</f>
        <v/>
      </c>
    </row>
    <row r="71" spans="5:6" x14ac:dyDescent="0.3">
      <c r="E71" t="str">
        <f>IFERROR(IF(D71="","",VLOOKUP(D71,CadProd!$A:$B,2,0)),"")</f>
        <v/>
      </c>
      <c r="F71" t="str">
        <f>IFERROR(IF(D71="","",VLOOKUP(D71,CadProd!$A:$C,3,0)),"")</f>
        <v/>
      </c>
    </row>
    <row r="72" spans="5:6" x14ac:dyDescent="0.3">
      <c r="E72" t="str">
        <f>IFERROR(IF(D72="","",VLOOKUP(D72,CadProd!$A:$B,2,0)),"")</f>
        <v/>
      </c>
      <c r="F72" t="str">
        <f>IFERROR(IF(D72="","",VLOOKUP(D72,CadProd!$A:$C,3,0)),"")</f>
        <v/>
      </c>
    </row>
    <row r="73" spans="5:6" x14ac:dyDescent="0.3">
      <c r="E73" t="str">
        <f>IFERROR(IF(D73="","",VLOOKUP(D73,CadProd!$A:$B,2,0)),"")</f>
        <v/>
      </c>
      <c r="F73" t="str">
        <f>IFERROR(IF(D73="","",VLOOKUP(D73,CadProd!$A:$C,3,0)),"")</f>
        <v/>
      </c>
    </row>
    <row r="74" spans="5:6" x14ac:dyDescent="0.3">
      <c r="E74" t="str">
        <f>IFERROR(IF(D74="","",VLOOKUP(D74,CadProd!$A:$B,2,0)),"")</f>
        <v/>
      </c>
      <c r="F74" t="str">
        <f>IFERROR(IF(D74="","",VLOOKUP(D74,CadProd!$A:$C,3,0)),"")</f>
        <v/>
      </c>
    </row>
    <row r="75" spans="5:6" x14ac:dyDescent="0.3">
      <c r="E75" t="str">
        <f>IFERROR(IF(D75="","",VLOOKUP(D75,CadProd!$A:$B,2,0)),"")</f>
        <v/>
      </c>
      <c r="F75" t="str">
        <f>IFERROR(IF(D75="","",VLOOKUP(D75,CadProd!$A:$C,3,0)),"")</f>
        <v/>
      </c>
    </row>
    <row r="76" spans="5:6" x14ac:dyDescent="0.3">
      <c r="E76" t="str">
        <f>IFERROR(IF(D76="","",VLOOKUP(D76,CadProd!$A:$B,2,0)),"")</f>
        <v/>
      </c>
      <c r="F76" t="str">
        <f>IFERROR(IF(D76="","",VLOOKUP(D76,CadProd!$A:$C,3,0)),"")</f>
        <v/>
      </c>
    </row>
    <row r="77" spans="5:6" x14ac:dyDescent="0.3">
      <c r="E77" t="str">
        <f>IFERROR(IF(D77="","",VLOOKUP(D77,CadProd!$A:$B,2,0)),"")</f>
        <v/>
      </c>
      <c r="F77" t="str">
        <f>IFERROR(IF(D77="","",VLOOKUP(D77,CadProd!$A:$C,3,0)),"")</f>
        <v/>
      </c>
    </row>
    <row r="78" spans="5:6" x14ac:dyDescent="0.3">
      <c r="E78" t="str">
        <f>IFERROR(IF(D78="","",VLOOKUP(D78,CadProd!$A:$B,2,0)),"")</f>
        <v/>
      </c>
      <c r="F78" t="str">
        <f>IFERROR(IF(D78="","",VLOOKUP(D78,CadProd!$A:$C,3,0)),"")</f>
        <v/>
      </c>
    </row>
    <row r="79" spans="5:6" x14ac:dyDescent="0.3">
      <c r="E79" t="str">
        <f>IFERROR(IF(D79="","",VLOOKUP(D79,CadProd!$A:$B,2,0)),"")</f>
        <v/>
      </c>
      <c r="F79" t="str">
        <f>IFERROR(IF(D79="","",VLOOKUP(D79,CadProd!$A:$C,3,0)),"")</f>
        <v/>
      </c>
    </row>
    <row r="80" spans="5:6" x14ac:dyDescent="0.3">
      <c r="E80" t="str">
        <f>IFERROR(IF(D80="","",VLOOKUP(D80,CadProd!$A:$B,2,0)),"")</f>
        <v/>
      </c>
      <c r="F80" t="str">
        <f>IFERROR(IF(D80="","",VLOOKUP(D80,CadProd!$A:$C,3,0)),"")</f>
        <v/>
      </c>
    </row>
    <row r="81" spans="5:6" x14ac:dyDescent="0.3">
      <c r="E81" t="str">
        <f>IFERROR(IF(D81="","",VLOOKUP(D81,CadProd!$A:$B,2,0)),"")</f>
        <v/>
      </c>
      <c r="F81" t="str">
        <f>IFERROR(IF(D81="","",VLOOKUP(D81,CadProd!$A:$C,3,0)),"")</f>
        <v/>
      </c>
    </row>
    <row r="82" spans="5:6" x14ac:dyDescent="0.3">
      <c r="E82" t="str">
        <f>IFERROR(IF(D82="","",VLOOKUP(D82,CadProd!$A:$B,2,0)),"")</f>
        <v/>
      </c>
      <c r="F82" t="str">
        <f>IFERROR(IF(D82="","",VLOOKUP(D82,CadProd!$A:$C,3,0)),"")</f>
        <v/>
      </c>
    </row>
    <row r="83" spans="5:6" x14ac:dyDescent="0.3">
      <c r="E83" t="str">
        <f>IFERROR(IF(D83="","",VLOOKUP(D83,CadProd!$A:$B,2,0)),"")</f>
        <v/>
      </c>
      <c r="F83" t="str">
        <f>IFERROR(IF(D83="","",VLOOKUP(D83,CadProd!$A:$C,3,0)),"")</f>
        <v/>
      </c>
    </row>
    <row r="84" spans="5:6" x14ac:dyDescent="0.3">
      <c r="E84" t="str">
        <f>IFERROR(IF(D84="","",VLOOKUP(D84,CadProd!$A:$B,2,0)),"")</f>
        <v/>
      </c>
      <c r="F84" t="str">
        <f>IFERROR(IF(D84="","",VLOOKUP(D84,CadProd!$A:$C,3,0)),"")</f>
        <v/>
      </c>
    </row>
    <row r="85" spans="5:6" x14ac:dyDescent="0.3">
      <c r="E85" t="str">
        <f>IFERROR(IF(D85="","",VLOOKUP(D85,CadProd!$A:$B,2,0)),"")</f>
        <v/>
      </c>
      <c r="F85" t="str">
        <f>IFERROR(IF(D85="","",VLOOKUP(D85,CadProd!$A:$C,3,0)),"")</f>
        <v/>
      </c>
    </row>
    <row r="86" spans="5:6" x14ac:dyDescent="0.3">
      <c r="E86" t="str">
        <f>IFERROR(IF(D86="","",VLOOKUP(D86,CadProd!$A:$B,2,0)),"")</f>
        <v/>
      </c>
      <c r="F86" t="str">
        <f>IFERROR(IF(D86="","",VLOOKUP(D86,CadProd!$A:$C,3,0)),"")</f>
        <v/>
      </c>
    </row>
    <row r="87" spans="5:6" x14ac:dyDescent="0.3">
      <c r="E87" t="str">
        <f>IFERROR(IF(D87="","",VLOOKUP(D87,CadProd!$A:$B,2,0)),"")</f>
        <v/>
      </c>
      <c r="F87" t="str">
        <f>IFERROR(IF(D87="","",VLOOKUP(D87,CadProd!$A:$C,3,0)),"")</f>
        <v/>
      </c>
    </row>
    <row r="88" spans="5:6" x14ac:dyDescent="0.3">
      <c r="E88" t="str">
        <f>IFERROR(IF(D88="","",VLOOKUP(D88,CadProd!$A:$B,2,0)),"")</f>
        <v/>
      </c>
      <c r="F88" t="str">
        <f>IFERROR(IF(D88="","",VLOOKUP(D88,CadProd!$A:$C,3,0)),"")</f>
        <v/>
      </c>
    </row>
    <row r="89" spans="5:6" x14ac:dyDescent="0.3">
      <c r="E89" t="str">
        <f>IFERROR(IF(D89="","",VLOOKUP(D89,CadProd!$A:$B,2,0)),"")</f>
        <v/>
      </c>
      <c r="F89" t="str">
        <f>IFERROR(IF(D89="","",VLOOKUP(D89,CadProd!$A:$C,3,0)),"")</f>
        <v/>
      </c>
    </row>
    <row r="90" spans="5:6" x14ac:dyDescent="0.3">
      <c r="E90" t="str">
        <f>IFERROR(IF(D90="","",VLOOKUP(D90,CadProd!$A:$B,2,0)),"")</f>
        <v/>
      </c>
      <c r="F90" t="str">
        <f>IFERROR(IF(D90="","",VLOOKUP(D90,CadProd!$A:$C,3,0)),"")</f>
        <v/>
      </c>
    </row>
    <row r="91" spans="5:6" x14ac:dyDescent="0.3">
      <c r="E91" t="str">
        <f>IFERROR(IF(D91="","",VLOOKUP(D91,CadProd!$A:$B,2,0)),"")</f>
        <v/>
      </c>
      <c r="F91" t="str">
        <f>IFERROR(IF(D91="","",VLOOKUP(D91,CadProd!$A:$C,3,0)),"")</f>
        <v/>
      </c>
    </row>
    <row r="92" spans="5:6" x14ac:dyDescent="0.3">
      <c r="E92" t="str">
        <f>IFERROR(IF(D92="","",VLOOKUP(D92,CadProd!$A:$B,2,0)),"")</f>
        <v/>
      </c>
      <c r="F92" t="str">
        <f>IFERROR(IF(D92="","",VLOOKUP(D92,CadProd!$A:$C,3,0)),"")</f>
        <v/>
      </c>
    </row>
    <row r="93" spans="5:6" x14ac:dyDescent="0.3">
      <c r="E93" t="str">
        <f>IFERROR(IF(D93="","",VLOOKUP(D93,CadProd!$A:$B,2,0)),"")</f>
        <v/>
      </c>
      <c r="F93" t="str">
        <f>IFERROR(IF(D93="","",VLOOKUP(D93,CadProd!$A:$C,3,0)),"")</f>
        <v/>
      </c>
    </row>
    <row r="94" spans="5:6" x14ac:dyDescent="0.3">
      <c r="E94" t="str">
        <f>IFERROR(IF(D94="","",VLOOKUP(D94,CadProd!$A:$B,2,0)),"")</f>
        <v/>
      </c>
      <c r="F94" t="str">
        <f>IFERROR(IF(D94="","",VLOOKUP(D94,CadProd!$A:$C,3,0)),"")</f>
        <v/>
      </c>
    </row>
    <row r="95" spans="5:6" x14ac:dyDescent="0.3">
      <c r="E95" t="str">
        <f>IFERROR(IF(D95="","",VLOOKUP(D95,CadProd!$A:$B,2,0)),"")</f>
        <v/>
      </c>
      <c r="F95" t="str">
        <f>IFERROR(IF(D95="","",VLOOKUP(D95,CadProd!$A:$C,3,0)),"")</f>
        <v/>
      </c>
    </row>
    <row r="96" spans="5:6" x14ac:dyDescent="0.3">
      <c r="E96" t="str">
        <f>IFERROR(IF(D96="","",VLOOKUP(D96,CadProd!$A:$B,2,0)),"")</f>
        <v/>
      </c>
      <c r="F96" t="str">
        <f>IFERROR(IF(D96="","",VLOOKUP(D96,CadProd!$A:$C,3,0)),"")</f>
        <v/>
      </c>
    </row>
    <row r="97" spans="5:6" x14ac:dyDescent="0.3">
      <c r="E97" t="str">
        <f>IFERROR(IF(D97="","",VLOOKUP(D97,CadProd!$A:$B,2,0)),"")</f>
        <v/>
      </c>
      <c r="F97" t="str">
        <f>IFERROR(IF(D97="","",VLOOKUP(D97,CadProd!$A:$C,3,0)),"")</f>
        <v/>
      </c>
    </row>
    <row r="98" spans="5:6" x14ac:dyDescent="0.3">
      <c r="E98" t="str">
        <f>IFERROR(IF(D98="","",VLOOKUP(D98,CadProd!$A:$B,2,0)),"")</f>
        <v/>
      </c>
      <c r="F98" t="str">
        <f>IFERROR(IF(D98="","",VLOOKUP(D98,CadProd!$A:$C,3,0)),"")</f>
        <v/>
      </c>
    </row>
    <row r="99" spans="5:6" x14ac:dyDescent="0.3">
      <c r="E99" t="str">
        <f>IFERROR(IF(D99="","",VLOOKUP(D99,CadProd!$A:$B,2,0)),"")</f>
        <v/>
      </c>
      <c r="F99" t="str">
        <f>IFERROR(IF(D99="","",VLOOKUP(D99,CadProd!$A:$C,3,0)),"")</f>
        <v/>
      </c>
    </row>
    <row r="100" spans="5:6" x14ac:dyDescent="0.3">
      <c r="E100" t="str">
        <f>IFERROR(IF(D100="","",VLOOKUP(D100,CadProd!$A:$B,2,0)),"")</f>
        <v/>
      </c>
      <c r="F100" t="str">
        <f>IFERROR(IF(D100="","",VLOOKUP(D100,CadProd!$A:$C,3,0)),"")</f>
        <v/>
      </c>
    </row>
    <row r="101" spans="5:6" x14ac:dyDescent="0.3">
      <c r="E101" t="str">
        <f>IFERROR(IF(D101="","",VLOOKUP(D101,CadProd!$A:$B,2,0)),"")</f>
        <v/>
      </c>
      <c r="F101" t="str">
        <f>IFERROR(IF(D101="","",VLOOKUP(D101,CadProd!$A:$C,3,0)),"")</f>
        <v/>
      </c>
    </row>
    <row r="102" spans="5:6" x14ac:dyDescent="0.3">
      <c r="E102" t="str">
        <f>IFERROR(IF(D102="","",VLOOKUP(D102,CadProd!$A:$B,2,0)),"")</f>
        <v/>
      </c>
      <c r="F102" t="str">
        <f>IFERROR(IF(D102="","",VLOOKUP(D102,CadProd!$A:$C,3,0)),"")</f>
        <v/>
      </c>
    </row>
    <row r="103" spans="5:6" x14ac:dyDescent="0.3">
      <c r="E103" t="str">
        <f>IFERROR(IF(D103="","",VLOOKUP(D103,CadProd!$A:$B,2,0)),"")</f>
        <v/>
      </c>
      <c r="F103" t="str">
        <f>IFERROR(IF(D103="","",VLOOKUP(D103,CadProd!$A:$C,3,0)),"")</f>
        <v/>
      </c>
    </row>
    <row r="104" spans="5:6" x14ac:dyDescent="0.3">
      <c r="E104" t="str">
        <f>IFERROR(IF(D104="","",VLOOKUP(D104,CadProd!$A:$B,2,0)),"")</f>
        <v/>
      </c>
      <c r="F104" t="str">
        <f>IFERROR(IF(D104="","",VLOOKUP(D104,CadProd!$A:$C,3,0)),"")</f>
        <v/>
      </c>
    </row>
    <row r="105" spans="5:6" x14ac:dyDescent="0.3">
      <c r="E105" t="str">
        <f>IFERROR(IF(D105="","",VLOOKUP(D105,CadProd!$A:$B,2,0)),"")</f>
        <v/>
      </c>
      <c r="F105" t="str">
        <f>IFERROR(IF(D105="","",VLOOKUP(D105,CadProd!$A:$C,3,0)),"")</f>
        <v/>
      </c>
    </row>
    <row r="106" spans="5:6" x14ac:dyDescent="0.3">
      <c r="E106" t="str">
        <f>IFERROR(IF(D106="","",VLOOKUP(D106,CadProd!$A:$B,2,0)),"")</f>
        <v/>
      </c>
      <c r="F106" t="str">
        <f>IFERROR(IF(D106="","",VLOOKUP(D106,CadProd!$A:$C,3,0)),"")</f>
        <v/>
      </c>
    </row>
    <row r="107" spans="5:6" x14ac:dyDescent="0.3">
      <c r="E107" t="str">
        <f>IFERROR(IF(D107="","",VLOOKUP(D107,CadProd!$A:$B,2,0)),"")</f>
        <v/>
      </c>
      <c r="F107" t="str">
        <f>IFERROR(IF(D107="","",VLOOKUP(D107,CadProd!$A:$C,3,0)),"")</f>
        <v/>
      </c>
    </row>
    <row r="108" spans="5:6" x14ac:dyDescent="0.3">
      <c r="E108" t="str">
        <f>IFERROR(IF(D108="","",VLOOKUP(D108,CadProd!$A:$B,2,0)),"")</f>
        <v/>
      </c>
      <c r="F108" t="str">
        <f>IFERROR(IF(D108="","",VLOOKUP(D108,CadProd!$A:$C,3,0)),"")</f>
        <v/>
      </c>
    </row>
    <row r="109" spans="5:6" x14ac:dyDescent="0.3">
      <c r="E109" t="str">
        <f>IFERROR(IF(D109="","",VLOOKUP(D109,CadProd!$A:$B,2,0)),"")</f>
        <v/>
      </c>
      <c r="F109" t="str">
        <f>IFERROR(IF(D109="","",VLOOKUP(D109,CadProd!$A:$C,3,0)),"")</f>
        <v/>
      </c>
    </row>
    <row r="110" spans="5:6" x14ac:dyDescent="0.3">
      <c r="E110" t="str">
        <f>IFERROR(IF(D110="","",VLOOKUP(D110,CadProd!$A:$B,2,0)),"")</f>
        <v/>
      </c>
      <c r="F110" t="str">
        <f>IFERROR(IF(D110="","",VLOOKUP(D110,CadProd!$A:$C,3,0)),"")</f>
        <v/>
      </c>
    </row>
    <row r="111" spans="5:6" x14ac:dyDescent="0.3">
      <c r="E111" t="str">
        <f>IFERROR(IF(D111="","",VLOOKUP(D111,CadProd!$A:$B,2,0)),"")</f>
        <v/>
      </c>
      <c r="F111" t="str">
        <f>IFERROR(IF(D111="","",VLOOKUP(D111,CadProd!$A:$C,3,0)),"")</f>
        <v/>
      </c>
    </row>
    <row r="112" spans="5:6" x14ac:dyDescent="0.3">
      <c r="E112" t="str">
        <f>IFERROR(IF(D112="","",VLOOKUP(D112,CadProd!$A:$B,2,0)),"")</f>
        <v/>
      </c>
      <c r="F112" t="str">
        <f>IFERROR(IF(D112="","",VLOOKUP(D112,CadProd!$A:$C,3,0)),"")</f>
        <v/>
      </c>
    </row>
    <row r="113" spans="5:6" x14ac:dyDescent="0.3">
      <c r="E113" t="str">
        <f>IFERROR(IF(D113="","",VLOOKUP(D113,CadProd!$A:$B,2,0)),"")</f>
        <v/>
      </c>
      <c r="F113" t="str">
        <f>IFERROR(IF(D113="","",VLOOKUP(D113,CadProd!$A:$C,3,0)),"")</f>
        <v/>
      </c>
    </row>
    <row r="114" spans="5:6" x14ac:dyDescent="0.3">
      <c r="E114" t="str">
        <f>IFERROR(IF(D114="","",VLOOKUP(D114,CadProd!$A:$B,2,0)),"")</f>
        <v/>
      </c>
      <c r="F114" t="str">
        <f>IFERROR(IF(D114="","",VLOOKUP(D114,CadProd!$A:$C,3,0)),"")</f>
        <v/>
      </c>
    </row>
    <row r="115" spans="5:6" x14ac:dyDescent="0.3">
      <c r="E115" t="str">
        <f>IFERROR(IF(D115="","",VLOOKUP(D115,CadProd!$A:$B,2,0)),"")</f>
        <v/>
      </c>
      <c r="F115" t="str">
        <f>IFERROR(IF(D115="","",VLOOKUP(D115,CadProd!$A:$C,3,0)),"")</f>
        <v/>
      </c>
    </row>
    <row r="116" spans="5:6" x14ac:dyDescent="0.3">
      <c r="E116" t="str">
        <f>IFERROR(IF(D116="","",VLOOKUP(D116,CadProd!$A:$B,2,0)),"")</f>
        <v/>
      </c>
      <c r="F116" t="str">
        <f>IFERROR(IF(D116="","",VLOOKUP(D116,CadProd!$A:$C,3,0)),"")</f>
        <v/>
      </c>
    </row>
    <row r="117" spans="5:6" x14ac:dyDescent="0.3">
      <c r="E117" t="str">
        <f>IFERROR(IF(D117="","",VLOOKUP(D117,CadProd!$A:$B,2,0)),"")</f>
        <v/>
      </c>
      <c r="F117" t="str">
        <f>IFERROR(IF(D117="","",VLOOKUP(D117,CadProd!$A:$C,3,0)),"")</f>
        <v/>
      </c>
    </row>
    <row r="118" spans="5:6" x14ac:dyDescent="0.3">
      <c r="E118" t="str">
        <f>IFERROR(IF(D118="","",VLOOKUP(D118,CadProd!$A:$B,2,0)),"")</f>
        <v/>
      </c>
      <c r="F118" t="str">
        <f>IFERROR(IF(D118="","",VLOOKUP(D118,CadProd!$A:$C,3,0)),"")</f>
        <v/>
      </c>
    </row>
    <row r="119" spans="5:6" x14ac:dyDescent="0.3">
      <c r="E119" t="str">
        <f>IFERROR(IF(D119="","",VLOOKUP(D119,CadProd!$A:$B,2,0)),"")</f>
        <v/>
      </c>
      <c r="F119" t="str">
        <f>IFERROR(IF(D119="","",VLOOKUP(D119,CadProd!$A:$C,3,0)),"")</f>
        <v/>
      </c>
    </row>
    <row r="120" spans="5:6" x14ac:dyDescent="0.3">
      <c r="E120" t="str">
        <f>IFERROR(IF(D120="","",VLOOKUP(D120,CadProd!$A:$B,2,0)),"")</f>
        <v/>
      </c>
      <c r="F120" t="str">
        <f>IFERROR(IF(D120="","",VLOOKUP(D120,CadProd!$A:$C,3,0)),"")</f>
        <v/>
      </c>
    </row>
    <row r="121" spans="5:6" x14ac:dyDescent="0.3">
      <c r="E121" t="str">
        <f>IFERROR(IF(D121="","",VLOOKUP(D121,CadProd!$A:$B,2,0)),"")</f>
        <v/>
      </c>
      <c r="F121" t="str">
        <f>IFERROR(IF(D121="","",VLOOKUP(D121,CadProd!$A:$C,3,0)),"")</f>
        <v/>
      </c>
    </row>
    <row r="122" spans="5:6" x14ac:dyDescent="0.3">
      <c r="E122" t="str">
        <f>IFERROR(IF(D122="","",VLOOKUP(D122,CadProd!$A:$B,2,0)),"")</f>
        <v/>
      </c>
      <c r="F122" t="str">
        <f>IFERROR(IF(D122="","",VLOOKUP(D122,CadProd!$A:$C,3,0)),"")</f>
        <v/>
      </c>
    </row>
    <row r="123" spans="5:6" x14ac:dyDescent="0.3">
      <c r="E123" t="str">
        <f>IFERROR(IF(D123="","",VLOOKUP(D123,CadProd!$A:$B,2,0)),"")</f>
        <v/>
      </c>
      <c r="F123" t="str">
        <f>IFERROR(IF(D123="","",VLOOKUP(D123,CadProd!$A:$C,3,0)),"")</f>
        <v/>
      </c>
    </row>
    <row r="124" spans="5:6" x14ac:dyDescent="0.3">
      <c r="E124" t="str">
        <f>IFERROR(IF(D124="","",VLOOKUP(D124,CadProd!$A:$B,2,0)),"")</f>
        <v/>
      </c>
      <c r="F124" t="str">
        <f>IFERROR(IF(D124="","",VLOOKUP(D124,CadProd!$A:$C,3,0)),"")</f>
        <v/>
      </c>
    </row>
    <row r="125" spans="5:6" x14ac:dyDescent="0.3">
      <c r="E125" t="str">
        <f>IFERROR(IF(D125="","",VLOOKUP(D125,CadProd!$A:$B,2,0)),"")</f>
        <v/>
      </c>
      <c r="F125" t="str">
        <f>IFERROR(IF(D125="","",VLOOKUP(D125,CadProd!$A:$C,3,0)),"")</f>
        <v/>
      </c>
    </row>
    <row r="126" spans="5:6" x14ac:dyDescent="0.3">
      <c r="E126" t="str">
        <f>IFERROR(IF(D126="","",VLOOKUP(D126,CadProd!$A:$B,2,0)),"")</f>
        <v/>
      </c>
      <c r="F126" t="str">
        <f>IFERROR(IF(D126="","",VLOOKUP(D126,CadProd!$A:$C,3,0)),"")</f>
        <v/>
      </c>
    </row>
    <row r="127" spans="5:6" x14ac:dyDescent="0.3">
      <c r="E127" t="str">
        <f>IFERROR(IF(D127="","",VLOOKUP(D127,CadProd!$A:$B,2,0)),"")</f>
        <v/>
      </c>
      <c r="F127" t="str">
        <f>IFERROR(IF(D127="","",VLOOKUP(D127,CadProd!$A:$C,3,0)),"")</f>
        <v/>
      </c>
    </row>
    <row r="128" spans="5:6" x14ac:dyDescent="0.3">
      <c r="E128" t="str">
        <f>IFERROR(IF(D128="","",VLOOKUP(D128,CadProd!$A:$B,2,0)),"")</f>
        <v/>
      </c>
      <c r="F128" t="str">
        <f>IFERROR(IF(D128="","",VLOOKUP(D128,CadProd!$A:$C,3,0)),"")</f>
        <v/>
      </c>
    </row>
    <row r="129" spans="5:6" x14ac:dyDescent="0.3">
      <c r="E129" t="str">
        <f>IFERROR(IF(D129="","",VLOOKUP(D129,CadProd!$A:$B,2,0)),"")</f>
        <v/>
      </c>
      <c r="F129" t="str">
        <f>IFERROR(IF(D129="","",VLOOKUP(D129,CadProd!$A:$C,3,0)),"")</f>
        <v/>
      </c>
    </row>
    <row r="130" spans="5:6" x14ac:dyDescent="0.3">
      <c r="E130" t="str">
        <f>IFERROR(IF(D130="","",VLOOKUP(D130,CadProd!$A:$B,2,0)),"")</f>
        <v/>
      </c>
      <c r="F130" t="str">
        <f>IFERROR(IF(D130="","",VLOOKUP(D130,CadProd!$A:$C,3,0)),"")</f>
        <v/>
      </c>
    </row>
    <row r="131" spans="5:6" x14ac:dyDescent="0.3">
      <c r="E131" t="str">
        <f>IFERROR(IF(D131="","",VLOOKUP(D131,CadProd!$A:$B,2,0)),"")</f>
        <v/>
      </c>
      <c r="F131" t="str">
        <f>IFERROR(IF(D131="","",VLOOKUP(D131,CadProd!$A:$C,3,0)),"")</f>
        <v/>
      </c>
    </row>
    <row r="132" spans="5:6" x14ac:dyDescent="0.3">
      <c r="E132" t="str">
        <f>IFERROR(IF(D132="","",VLOOKUP(D132,CadProd!$A:$B,2,0)),"")</f>
        <v/>
      </c>
      <c r="F132" t="str">
        <f>IFERROR(IF(D132="","",VLOOKUP(D132,CadProd!$A:$C,3,0)),"")</f>
        <v/>
      </c>
    </row>
    <row r="133" spans="5:6" x14ac:dyDescent="0.3">
      <c r="E133" t="str">
        <f>IFERROR(IF(D133="","",VLOOKUP(D133,CadProd!$A:$B,2,0)),"")</f>
        <v/>
      </c>
      <c r="F133" t="str">
        <f>IFERROR(IF(D133="","",VLOOKUP(D133,CadProd!$A:$C,3,0)),"")</f>
        <v/>
      </c>
    </row>
    <row r="134" spans="5:6" x14ac:dyDescent="0.3">
      <c r="E134" t="str">
        <f>IFERROR(IF(D134="","",VLOOKUP(D134,CadProd!$A:$B,2,0)),"")</f>
        <v/>
      </c>
      <c r="F134" t="str">
        <f>IFERROR(IF(D134="","",VLOOKUP(D134,CadProd!$A:$C,3,0)),"")</f>
        <v/>
      </c>
    </row>
    <row r="135" spans="5:6" x14ac:dyDescent="0.3">
      <c r="E135" t="str">
        <f>IFERROR(IF(D135="","",VLOOKUP(D135,CadProd!$A:$B,2,0)),"")</f>
        <v/>
      </c>
      <c r="F135" t="str">
        <f>IFERROR(IF(D135="","",VLOOKUP(D135,CadProd!$A:$C,3,0)),"")</f>
        <v/>
      </c>
    </row>
    <row r="136" spans="5:6" x14ac:dyDescent="0.3">
      <c r="E136" t="str">
        <f>IFERROR(IF(D136="","",VLOOKUP(D136,CadProd!$A:$B,2,0)),"")</f>
        <v/>
      </c>
      <c r="F136" t="str">
        <f>IFERROR(IF(D136="","",VLOOKUP(D136,CadProd!$A:$C,3,0)),"")</f>
        <v/>
      </c>
    </row>
    <row r="137" spans="5:6" x14ac:dyDescent="0.3">
      <c r="E137" t="str">
        <f>IFERROR(IF(D137="","",VLOOKUP(D137,CadProd!$A:$B,2,0)),"")</f>
        <v/>
      </c>
      <c r="F137" t="str">
        <f>IFERROR(IF(D137="","",VLOOKUP(D137,CadProd!$A:$C,3,0)),"")</f>
        <v/>
      </c>
    </row>
    <row r="138" spans="5:6" x14ac:dyDescent="0.3">
      <c r="E138" t="str">
        <f>IFERROR(IF(D138="","",VLOOKUP(D138,CadProd!$A:$B,2,0)),"")</f>
        <v/>
      </c>
      <c r="F138" t="str">
        <f>IFERROR(IF(D138="","",VLOOKUP(D138,CadProd!$A:$C,3,0)),"")</f>
        <v/>
      </c>
    </row>
    <row r="139" spans="5:6" x14ac:dyDescent="0.3">
      <c r="E139" t="str">
        <f>IFERROR(IF(D139="","",VLOOKUP(D139,CadProd!$A:$B,2,0)),"")</f>
        <v/>
      </c>
      <c r="F139" t="str">
        <f>IFERROR(IF(D139="","",VLOOKUP(D139,CadProd!$A:$C,3,0)),"")</f>
        <v/>
      </c>
    </row>
    <row r="140" spans="5:6" x14ac:dyDescent="0.3">
      <c r="E140" t="str">
        <f>IFERROR(IF(D140="","",VLOOKUP(D140,CadProd!$A:$B,2,0)),"")</f>
        <v/>
      </c>
      <c r="F140" t="str">
        <f>IFERROR(IF(D140="","",VLOOKUP(D140,CadProd!$A:$C,3,0)),"")</f>
        <v/>
      </c>
    </row>
    <row r="141" spans="5:6" x14ac:dyDescent="0.3">
      <c r="E141" t="str">
        <f>IFERROR(IF(D141="","",VLOOKUP(D141,CadProd!$A:$B,2,0)),"")</f>
        <v/>
      </c>
      <c r="F141" t="str">
        <f>IFERROR(IF(D141="","",VLOOKUP(D141,CadProd!$A:$C,3,0)),"")</f>
        <v/>
      </c>
    </row>
    <row r="142" spans="5:6" x14ac:dyDescent="0.3">
      <c r="E142" t="str">
        <f>IFERROR(IF(D142="","",VLOOKUP(D142,CadProd!$A:$B,2,0)),"")</f>
        <v/>
      </c>
      <c r="F142" t="str">
        <f>IFERROR(IF(D142="","",VLOOKUP(D142,CadProd!$A:$C,3,0)),"")</f>
        <v/>
      </c>
    </row>
    <row r="143" spans="5:6" x14ac:dyDescent="0.3">
      <c r="E143" t="str">
        <f>IFERROR(IF(D143="","",VLOOKUP(D143,CadProd!$A:$B,2,0)),"")</f>
        <v/>
      </c>
      <c r="F143" t="str">
        <f>IFERROR(IF(D143="","",VLOOKUP(D143,CadProd!$A:$C,3,0)),"")</f>
        <v/>
      </c>
    </row>
    <row r="144" spans="5:6" x14ac:dyDescent="0.3">
      <c r="E144" t="str">
        <f>IFERROR(IF(D144="","",VLOOKUP(D144,CadProd!$A:$B,2,0)),"")</f>
        <v/>
      </c>
      <c r="F144" t="str">
        <f>IFERROR(IF(D144="","",VLOOKUP(D144,CadProd!$A:$C,3,0)),"")</f>
        <v/>
      </c>
    </row>
    <row r="145" spans="5:6" x14ac:dyDescent="0.3">
      <c r="E145" t="str">
        <f>IFERROR(IF(D145="","",VLOOKUP(D145,CadProd!$A:$B,2,0)),"")</f>
        <v/>
      </c>
      <c r="F145" t="str">
        <f>IFERROR(IF(D145="","",VLOOKUP(D145,CadProd!$A:$C,3,0)),"")</f>
        <v/>
      </c>
    </row>
    <row r="146" spans="5:6" x14ac:dyDescent="0.3">
      <c r="E146" t="str">
        <f>IFERROR(IF(D146="","",VLOOKUP(D146,CadProd!$A:$B,2,0)),"")</f>
        <v/>
      </c>
      <c r="F146" t="str">
        <f>IFERROR(IF(D146="","",VLOOKUP(D146,CadProd!$A:$C,3,0)),"")</f>
        <v/>
      </c>
    </row>
    <row r="147" spans="5:6" x14ac:dyDescent="0.3">
      <c r="E147" t="str">
        <f>IFERROR(IF(D147="","",VLOOKUP(D147,CadProd!$A:$B,2,0)),"")</f>
        <v/>
      </c>
      <c r="F147" t="str">
        <f>IFERROR(IF(D147="","",VLOOKUP(D147,CadProd!$A:$C,3,0)),"")</f>
        <v/>
      </c>
    </row>
    <row r="148" spans="5:6" x14ac:dyDescent="0.3">
      <c r="E148" t="str">
        <f>IFERROR(IF(D148="","",VLOOKUP(D148,CadProd!$A:$B,2,0)),"")</f>
        <v/>
      </c>
      <c r="F148" t="str">
        <f>IFERROR(IF(D148="","",VLOOKUP(D148,CadProd!$A:$C,3,0)),"")</f>
        <v/>
      </c>
    </row>
    <row r="149" spans="5:6" x14ac:dyDescent="0.3">
      <c r="E149" t="str">
        <f>IFERROR(IF(D149="","",VLOOKUP(D149,CadProd!$A:$B,2,0)),"")</f>
        <v/>
      </c>
      <c r="F149" t="str">
        <f>IFERROR(IF(D149="","",VLOOKUP(D149,CadProd!$A:$C,3,0)),"")</f>
        <v/>
      </c>
    </row>
    <row r="150" spans="5:6" x14ac:dyDescent="0.3">
      <c r="E150" t="str">
        <f>IFERROR(IF(D150="","",VLOOKUP(D150,CadProd!$A:$B,2,0)),"")</f>
        <v/>
      </c>
      <c r="F150" t="str">
        <f>IFERROR(IF(D150="","",VLOOKUP(D150,CadProd!$A:$C,3,0)),"")</f>
        <v/>
      </c>
    </row>
    <row r="151" spans="5:6" x14ac:dyDescent="0.3">
      <c r="E151" t="str">
        <f>IFERROR(IF(D151="","",VLOOKUP(D151,CadProd!$A:$B,2,0)),"")</f>
        <v/>
      </c>
      <c r="F151" t="str">
        <f>IFERROR(IF(D151="","",VLOOKUP(D151,CadProd!$A:$C,3,0)),"")</f>
        <v/>
      </c>
    </row>
    <row r="152" spans="5:6" x14ac:dyDescent="0.3">
      <c r="E152" t="str">
        <f>IFERROR(IF(D152="","",VLOOKUP(D152,CadProd!$A:$B,2,0)),"")</f>
        <v/>
      </c>
      <c r="F152" t="str">
        <f>IFERROR(IF(D152="","",VLOOKUP(D152,CadProd!$A:$C,3,0)),"")</f>
        <v/>
      </c>
    </row>
    <row r="153" spans="5:6" x14ac:dyDescent="0.3">
      <c r="E153" t="str">
        <f>IFERROR(IF(D153="","",VLOOKUP(D153,CadProd!$A:$B,2,0)),"")</f>
        <v/>
      </c>
      <c r="F153" t="str">
        <f>IFERROR(IF(D153="","",VLOOKUP(D153,CadProd!$A:$C,3,0)),"")</f>
        <v/>
      </c>
    </row>
    <row r="154" spans="5:6" x14ac:dyDescent="0.3">
      <c r="E154" t="str">
        <f>IFERROR(IF(D154="","",VLOOKUP(D154,CadProd!$A:$B,2,0)),"")</f>
        <v/>
      </c>
      <c r="F154" t="str">
        <f>IFERROR(IF(D154="","",VLOOKUP(D154,CadProd!$A:$C,3,0)),"")</f>
        <v/>
      </c>
    </row>
    <row r="155" spans="5:6" x14ac:dyDescent="0.3">
      <c r="E155" t="str">
        <f>IFERROR(IF(D155="","",VLOOKUP(D155,CadProd!$A:$B,2,0)),"")</f>
        <v/>
      </c>
      <c r="F155" t="str">
        <f>IFERROR(IF(D155="","",VLOOKUP(D155,CadProd!$A:$C,3,0)),"")</f>
        <v/>
      </c>
    </row>
    <row r="156" spans="5:6" x14ac:dyDescent="0.3">
      <c r="E156" t="str">
        <f>IFERROR(IF(D156="","",VLOOKUP(D156,CadProd!$A:$B,2,0)),"")</f>
        <v/>
      </c>
      <c r="F156" t="str">
        <f>IFERROR(IF(D156="","",VLOOKUP(D156,CadProd!$A:$C,3,0)),"")</f>
        <v/>
      </c>
    </row>
    <row r="157" spans="5:6" x14ac:dyDescent="0.3">
      <c r="E157" t="str">
        <f>IFERROR(IF(D157="","",VLOOKUP(D157,CadProd!$A:$B,2,0)),"")</f>
        <v/>
      </c>
      <c r="F157" t="str">
        <f>IFERROR(IF(D157="","",VLOOKUP(D157,CadProd!$A:$C,3,0)),"")</f>
        <v/>
      </c>
    </row>
    <row r="158" spans="5:6" x14ac:dyDescent="0.3">
      <c r="E158" t="str">
        <f>IFERROR(IF(D158="","",VLOOKUP(D158,CadProd!$A:$B,2,0)),"")</f>
        <v/>
      </c>
      <c r="F158" t="str">
        <f>IFERROR(IF(D158="","",VLOOKUP(D158,CadProd!$A:$C,3,0)),"")</f>
        <v/>
      </c>
    </row>
    <row r="159" spans="5:6" x14ac:dyDescent="0.3">
      <c r="E159" t="str">
        <f>IFERROR(IF(D159="","",VLOOKUP(D159,CadProd!$A:$B,2,0)),"")</f>
        <v/>
      </c>
      <c r="F159" t="str">
        <f>IFERROR(IF(D159="","",VLOOKUP(D159,CadProd!$A:$C,3,0)),"")</f>
        <v/>
      </c>
    </row>
    <row r="160" spans="5:6" x14ac:dyDescent="0.3">
      <c r="E160" t="str">
        <f>IFERROR(IF(D160="","",VLOOKUP(D160,CadProd!$A:$B,2,0)),"")</f>
        <v/>
      </c>
      <c r="F160" t="str">
        <f>IFERROR(IF(D160="","",VLOOKUP(D160,CadProd!$A:$C,3,0)),"")</f>
        <v/>
      </c>
    </row>
    <row r="161" spans="5:6" x14ac:dyDescent="0.3">
      <c r="E161" t="str">
        <f>IFERROR(IF(D161="","",VLOOKUP(D161,CadProd!$A:$B,2,0)),"")</f>
        <v/>
      </c>
      <c r="F161" t="str">
        <f>IFERROR(IF(D161="","",VLOOKUP(D161,CadProd!$A:$C,3,0)),"")</f>
        <v/>
      </c>
    </row>
    <row r="162" spans="5:6" x14ac:dyDescent="0.3">
      <c r="E162" t="str">
        <f>IFERROR(IF(D162="","",VLOOKUP(D162,CadProd!$A:$B,2,0)),"")</f>
        <v/>
      </c>
      <c r="F162" t="str">
        <f>IFERROR(IF(D162="","",VLOOKUP(D162,CadProd!$A:$C,3,0)),"")</f>
        <v/>
      </c>
    </row>
    <row r="163" spans="5:6" x14ac:dyDescent="0.3">
      <c r="E163" t="str">
        <f>IFERROR(IF(D163="","",VLOOKUP(D163,CadProd!$A:$B,2,0)),"")</f>
        <v/>
      </c>
      <c r="F163" t="str">
        <f>IFERROR(IF(D163="","",VLOOKUP(D163,CadProd!$A:$C,3,0)),"")</f>
        <v/>
      </c>
    </row>
    <row r="164" spans="5:6" x14ac:dyDescent="0.3">
      <c r="E164" t="str">
        <f>IFERROR(IF(D164="","",VLOOKUP(D164,CadProd!$A:$B,2,0)),"")</f>
        <v/>
      </c>
      <c r="F164" t="str">
        <f>IFERROR(IF(D164="","",VLOOKUP(D164,CadProd!$A:$C,3,0)),"")</f>
        <v/>
      </c>
    </row>
    <row r="165" spans="5:6" x14ac:dyDescent="0.3">
      <c r="E165" t="str">
        <f>IFERROR(IF(D165="","",VLOOKUP(D165,CadProd!$A:$B,2,0)),"")</f>
        <v/>
      </c>
      <c r="F165" t="str">
        <f>IFERROR(IF(D165="","",VLOOKUP(D165,CadProd!$A:$C,3,0)),"")</f>
        <v/>
      </c>
    </row>
    <row r="166" spans="5:6" x14ac:dyDescent="0.3">
      <c r="E166" t="str">
        <f>IFERROR(IF(D166="","",VLOOKUP(D166,CadProd!$A:$B,2,0)),"")</f>
        <v/>
      </c>
      <c r="F166" t="str">
        <f>IFERROR(IF(D166="","",VLOOKUP(D166,CadProd!$A:$C,3,0)),"")</f>
        <v/>
      </c>
    </row>
    <row r="167" spans="5:6" x14ac:dyDescent="0.3">
      <c r="E167" t="str">
        <f>IFERROR(IF(D167="","",VLOOKUP(D167,CadProd!$A:$B,2,0)),"")</f>
        <v/>
      </c>
      <c r="F167" t="str">
        <f>IFERROR(IF(D167="","",VLOOKUP(D167,CadProd!$A:$C,3,0)),"")</f>
        <v/>
      </c>
    </row>
    <row r="168" spans="5:6" x14ac:dyDescent="0.3">
      <c r="E168" t="str">
        <f>IFERROR(IF(D168="","",VLOOKUP(D168,CadProd!$A:$B,2,0)),"")</f>
        <v/>
      </c>
      <c r="F168" t="str">
        <f>IFERROR(IF(D168="","",VLOOKUP(D168,CadProd!$A:$C,3,0)),"")</f>
        <v/>
      </c>
    </row>
    <row r="169" spans="5:6" x14ac:dyDescent="0.3">
      <c r="E169" t="str">
        <f>IFERROR(IF(D169="","",VLOOKUP(D169,CadProd!$A:$B,2,0)),"")</f>
        <v/>
      </c>
      <c r="F169" t="str">
        <f>IFERROR(IF(D169="","",VLOOKUP(D169,CadProd!$A:$C,3,0)),"")</f>
        <v/>
      </c>
    </row>
    <row r="170" spans="5:6" x14ac:dyDescent="0.3">
      <c r="E170" t="str">
        <f>IFERROR(IF(D170="","",VLOOKUP(D170,CadProd!$A:$B,2,0)),"")</f>
        <v/>
      </c>
      <c r="F170" t="str">
        <f>IFERROR(IF(D170="","",VLOOKUP(D170,CadProd!$A:$C,3,0)),"")</f>
        <v/>
      </c>
    </row>
    <row r="171" spans="5:6" x14ac:dyDescent="0.3">
      <c r="E171" t="str">
        <f>IFERROR(IF(D171="","",VLOOKUP(D171,CadProd!$A:$B,2,0)),"")</f>
        <v/>
      </c>
      <c r="F171" t="str">
        <f>IFERROR(IF(D171="","",VLOOKUP(D171,CadProd!$A:$C,3,0)),"")</f>
        <v/>
      </c>
    </row>
    <row r="172" spans="5:6" x14ac:dyDescent="0.3">
      <c r="E172" t="str">
        <f>IFERROR(IF(D172="","",VLOOKUP(D172,CadProd!$A:$B,2,0)),"")</f>
        <v/>
      </c>
      <c r="F172" t="str">
        <f>IFERROR(IF(D172="","",VLOOKUP(D172,CadProd!$A:$C,3,0)),"")</f>
        <v/>
      </c>
    </row>
    <row r="173" spans="5:6" x14ac:dyDescent="0.3">
      <c r="E173" t="str">
        <f>IFERROR(IF(D173="","",VLOOKUP(D173,CadProd!$A:$B,2,0)),"")</f>
        <v/>
      </c>
      <c r="F173" t="str">
        <f>IFERROR(IF(D173="","",VLOOKUP(D173,CadProd!$A:$C,3,0)),"")</f>
        <v/>
      </c>
    </row>
    <row r="174" spans="5:6" x14ac:dyDescent="0.3">
      <c r="E174" t="str">
        <f>IFERROR(IF(D174="","",VLOOKUP(D174,CadProd!$A:$B,2,0)),"")</f>
        <v/>
      </c>
      <c r="F174" t="str">
        <f>IFERROR(IF(D174="","",VLOOKUP(D174,CadProd!$A:$C,3,0)),"")</f>
        <v/>
      </c>
    </row>
    <row r="175" spans="5:6" x14ac:dyDescent="0.3">
      <c r="E175" t="str">
        <f>IFERROR(IF(D175="","",VLOOKUP(D175,CadProd!$A:$B,2,0)),"")</f>
        <v/>
      </c>
      <c r="F175" t="str">
        <f>IFERROR(IF(D175="","",VLOOKUP(D175,CadProd!$A:$C,3,0)),"")</f>
        <v/>
      </c>
    </row>
    <row r="176" spans="5:6" x14ac:dyDescent="0.3">
      <c r="E176" t="str">
        <f>IFERROR(IF(D176="","",VLOOKUP(D176,CadProd!$A:$B,2,0)),"")</f>
        <v/>
      </c>
      <c r="F176" t="str">
        <f>IFERROR(IF(D176="","",VLOOKUP(D176,CadProd!$A:$C,3,0)),"")</f>
        <v/>
      </c>
    </row>
    <row r="177" spans="5:6" x14ac:dyDescent="0.3">
      <c r="E177" t="str">
        <f>IFERROR(IF(D177="","",VLOOKUP(D177,CadProd!$A:$B,2,0)),"")</f>
        <v/>
      </c>
      <c r="F177" t="str">
        <f>IFERROR(IF(D177="","",VLOOKUP(D177,CadProd!$A:$C,3,0)),"")</f>
        <v/>
      </c>
    </row>
    <row r="178" spans="5:6" x14ac:dyDescent="0.3">
      <c r="E178" t="str">
        <f>IFERROR(IF(D178="","",VLOOKUP(D178,CadProd!$A:$B,2,0)),"")</f>
        <v/>
      </c>
      <c r="F178" t="str">
        <f>IFERROR(IF(D178="","",VLOOKUP(D178,CadProd!$A:$C,3,0)),"")</f>
        <v/>
      </c>
    </row>
    <row r="179" spans="5:6" x14ac:dyDescent="0.3">
      <c r="E179" t="str">
        <f>IFERROR(IF(D179="","",VLOOKUP(D179,CadProd!$A:$B,2,0)),"")</f>
        <v/>
      </c>
      <c r="F179" t="str">
        <f>IFERROR(IF(D179="","",VLOOKUP(D179,CadProd!$A:$C,3,0)),"")</f>
        <v/>
      </c>
    </row>
    <row r="180" spans="5:6" x14ac:dyDescent="0.3">
      <c r="E180" t="str">
        <f>IFERROR(IF(D180="","",VLOOKUP(D180,CadProd!$A:$B,2,0)),"")</f>
        <v/>
      </c>
      <c r="F180" t="str">
        <f>IFERROR(IF(D180="","",VLOOKUP(D180,CadProd!$A:$C,3,0)),"")</f>
        <v/>
      </c>
    </row>
    <row r="181" spans="5:6" x14ac:dyDescent="0.3">
      <c r="E181" t="str">
        <f>IFERROR(IF(D181="","",VLOOKUP(D181,CadProd!$A:$B,2,0)),"")</f>
        <v/>
      </c>
      <c r="F181" t="str">
        <f>IFERROR(IF(D181="","",VLOOKUP(D181,CadProd!$A:$C,3,0)),"")</f>
        <v/>
      </c>
    </row>
    <row r="182" spans="5:6" x14ac:dyDescent="0.3">
      <c r="E182" t="str">
        <f>IFERROR(IF(D182="","",VLOOKUP(D182,CadProd!$A:$B,2,0)),"")</f>
        <v/>
      </c>
      <c r="F182" t="str">
        <f>IFERROR(IF(D182="","",VLOOKUP(D182,CadProd!$A:$C,3,0)),"")</f>
        <v/>
      </c>
    </row>
    <row r="183" spans="5:6" x14ac:dyDescent="0.3">
      <c r="E183" t="str">
        <f>IFERROR(IF(D183="","",VLOOKUP(D183,CadProd!$A:$B,2,0)),"")</f>
        <v/>
      </c>
      <c r="F183" t="str">
        <f>IFERROR(IF(D183="","",VLOOKUP(D183,CadProd!$A:$C,3,0)),"")</f>
        <v/>
      </c>
    </row>
    <row r="184" spans="5:6" x14ac:dyDescent="0.3">
      <c r="E184" t="str">
        <f>IFERROR(IF(D184="","",VLOOKUP(D184,CadProd!$A:$B,2,0)),"")</f>
        <v/>
      </c>
      <c r="F184" t="str">
        <f>IFERROR(IF(D184="","",VLOOKUP(D184,CadProd!$A:$C,3,0)),"")</f>
        <v/>
      </c>
    </row>
    <row r="185" spans="5:6" x14ac:dyDescent="0.3">
      <c r="E185" t="str">
        <f>IFERROR(IF(D185="","",VLOOKUP(D185,CadProd!$A:$B,2,0)),"")</f>
        <v/>
      </c>
      <c r="F185" t="str">
        <f>IFERROR(IF(D185="","",VLOOKUP(D185,CadProd!$A:$C,3,0)),"")</f>
        <v/>
      </c>
    </row>
    <row r="186" spans="5:6" x14ac:dyDescent="0.3">
      <c r="E186" t="str">
        <f>IFERROR(IF(D186="","",VLOOKUP(D186,CadProd!$A:$B,2,0)),"")</f>
        <v/>
      </c>
      <c r="F186" t="str">
        <f>IFERROR(IF(D186="","",VLOOKUP(D186,CadProd!$A:$C,3,0)),"")</f>
        <v/>
      </c>
    </row>
    <row r="187" spans="5:6" x14ac:dyDescent="0.3">
      <c r="E187" t="str">
        <f>IFERROR(IF(D187="","",VLOOKUP(D187,CadProd!$A:$B,2,0)),"")</f>
        <v/>
      </c>
      <c r="F187" t="str">
        <f>IFERROR(IF(D187="","",VLOOKUP(D187,CadProd!$A:$C,3,0)),"")</f>
        <v/>
      </c>
    </row>
    <row r="188" spans="5:6" x14ac:dyDescent="0.3">
      <c r="E188" t="str">
        <f>IFERROR(IF(D188="","",VLOOKUP(D188,CadProd!$A:$B,2,0)),"")</f>
        <v/>
      </c>
      <c r="F188" t="str">
        <f>IFERROR(IF(D188="","",VLOOKUP(D188,CadProd!$A:$C,3,0)),"")</f>
        <v/>
      </c>
    </row>
    <row r="189" spans="5:6" x14ac:dyDescent="0.3">
      <c r="E189" t="str">
        <f>IFERROR(IF(D189="","",VLOOKUP(D189,CadProd!$A:$B,2,0)),"")</f>
        <v/>
      </c>
      <c r="F189" t="str">
        <f>IFERROR(IF(D189="","",VLOOKUP(D189,CadProd!$A:$C,3,0)),"")</f>
        <v/>
      </c>
    </row>
    <row r="190" spans="5:6" x14ac:dyDescent="0.3">
      <c r="E190" t="str">
        <f>IFERROR(IF(D190="","",VLOOKUP(D190,CadProd!$A:$B,2,0)),"")</f>
        <v/>
      </c>
      <c r="F190" t="str">
        <f>IFERROR(IF(D190="","",VLOOKUP(D190,CadProd!$A:$C,3,0)),"")</f>
        <v/>
      </c>
    </row>
    <row r="191" spans="5:6" x14ac:dyDescent="0.3">
      <c r="E191" t="str">
        <f>IFERROR(IF(D191="","",VLOOKUP(D191,CadProd!$A:$B,2,0)),"")</f>
        <v/>
      </c>
      <c r="F191" t="str">
        <f>IFERROR(IF(D191="","",VLOOKUP(D191,CadProd!$A:$C,3,0)),"")</f>
        <v/>
      </c>
    </row>
    <row r="192" spans="5:6" x14ac:dyDescent="0.3">
      <c r="E192" t="str">
        <f>IFERROR(IF(D192="","",VLOOKUP(D192,CadProd!$A:$B,2,0)),"")</f>
        <v/>
      </c>
      <c r="F192" t="str">
        <f>IFERROR(IF(D192="","",VLOOKUP(D192,CadProd!$A:$C,3,0)),"")</f>
        <v/>
      </c>
    </row>
    <row r="193" spans="5:6" x14ac:dyDescent="0.3">
      <c r="E193" t="str">
        <f>IFERROR(IF(D193="","",VLOOKUP(D193,CadProd!$A:$B,2,0)),"")</f>
        <v/>
      </c>
      <c r="F193" t="str">
        <f>IFERROR(IF(D193="","",VLOOKUP(D193,CadProd!$A:$C,3,0)),"")</f>
        <v/>
      </c>
    </row>
    <row r="194" spans="5:6" x14ac:dyDescent="0.3">
      <c r="E194" t="str">
        <f>IFERROR(IF(D194="","",VLOOKUP(D194,CadProd!$A:$B,2,0)),"")</f>
        <v/>
      </c>
      <c r="F194" t="str">
        <f>IFERROR(IF(D194="","",VLOOKUP(D194,CadProd!$A:$C,3,0)),"")</f>
        <v/>
      </c>
    </row>
    <row r="195" spans="5:6" x14ac:dyDescent="0.3">
      <c r="E195" t="str">
        <f>IFERROR(IF(D195="","",VLOOKUP(D195,CadProd!$A:$B,2,0)),"")</f>
        <v/>
      </c>
      <c r="F195" t="str">
        <f>IFERROR(IF(D195="","",VLOOKUP(D195,CadProd!$A:$C,3,0)),"")</f>
        <v/>
      </c>
    </row>
    <row r="196" spans="5:6" x14ac:dyDescent="0.3">
      <c r="E196" t="str">
        <f>IFERROR(IF(D196="","",VLOOKUP(D196,CadProd!$A:$B,2,0)),"")</f>
        <v/>
      </c>
      <c r="F196" t="str">
        <f>IFERROR(IF(D196="","",VLOOKUP(D196,CadProd!$A:$C,3,0)),"")</f>
        <v/>
      </c>
    </row>
    <row r="197" spans="5:6" x14ac:dyDescent="0.3">
      <c r="E197" t="str">
        <f>IFERROR(IF(D197="","",VLOOKUP(D197,CadProd!$A:$B,2,0)),"")</f>
        <v/>
      </c>
      <c r="F197" t="str">
        <f>IFERROR(IF(D197="","",VLOOKUP(D197,CadProd!$A:$C,3,0)),"")</f>
        <v/>
      </c>
    </row>
    <row r="198" spans="5:6" x14ac:dyDescent="0.3">
      <c r="E198" t="str">
        <f>IFERROR(IF(D198="","",VLOOKUP(D198,CadProd!$A:$B,2,0)),"")</f>
        <v/>
      </c>
      <c r="F198" t="str">
        <f>IFERROR(IF(D198="","",VLOOKUP(D198,CadProd!$A:$C,3,0)),"")</f>
        <v/>
      </c>
    </row>
    <row r="199" spans="5:6" x14ac:dyDescent="0.3">
      <c r="E199" t="str">
        <f>IFERROR(IF(D199="","",VLOOKUP(D199,CadProd!$A:$B,2,0)),"")</f>
        <v/>
      </c>
      <c r="F199" t="str">
        <f>IFERROR(IF(D199="","",VLOOKUP(D199,CadProd!$A:$C,3,0)),"")</f>
        <v/>
      </c>
    </row>
    <row r="200" spans="5:6" x14ac:dyDescent="0.3">
      <c r="E200" t="str">
        <f>IFERROR(IF(D200="","",VLOOKUP(D200,CadProd!$A:$B,2,0)),"")</f>
        <v/>
      </c>
      <c r="F200" t="str">
        <f>IFERROR(IF(D200="","",VLOOKUP(D200,CadProd!$A:$C,3,0)),"")</f>
        <v/>
      </c>
    </row>
    <row r="201" spans="5:6" x14ac:dyDescent="0.3">
      <c r="E201" t="str">
        <f>IFERROR(IF(D201="","",VLOOKUP(D201,CadProd!$A:$B,2,0)),"")</f>
        <v/>
      </c>
      <c r="F201" t="str">
        <f>IFERROR(IF(D201="","",VLOOKUP(D201,CadProd!$A:$C,3,0)),"")</f>
        <v/>
      </c>
    </row>
    <row r="202" spans="5:6" x14ac:dyDescent="0.3">
      <c r="E202" t="str">
        <f>IFERROR(IF(D202="","",VLOOKUP(D202,CadProd!$A:$B,2,0)),"")</f>
        <v/>
      </c>
      <c r="F202" t="str">
        <f>IFERROR(IF(D202="","",VLOOKUP(D202,CadProd!$A:$C,3,0)),"")</f>
        <v/>
      </c>
    </row>
    <row r="203" spans="5:6" x14ac:dyDescent="0.3">
      <c r="E203" t="str">
        <f>IFERROR(IF(D203="","",VLOOKUP(D203,CadProd!$A:$B,2,0)),"")</f>
        <v/>
      </c>
      <c r="F203" t="str">
        <f>IFERROR(IF(D203="","",VLOOKUP(D203,CadProd!$A:$C,3,0)),"")</f>
        <v/>
      </c>
    </row>
    <row r="204" spans="5:6" x14ac:dyDescent="0.3">
      <c r="E204" t="str">
        <f>IFERROR(IF(D204="","",VLOOKUP(D204,CadProd!$A:$B,2,0)),"")</f>
        <v/>
      </c>
      <c r="F204" t="str">
        <f>IFERROR(IF(D204="","",VLOOKUP(D204,CadProd!$A:$C,3,0)),"")</f>
        <v/>
      </c>
    </row>
    <row r="205" spans="5:6" x14ac:dyDescent="0.3">
      <c r="E205" t="str">
        <f>IFERROR(IF(D205="","",VLOOKUP(D205,CadProd!$A:$B,2,0)),"")</f>
        <v/>
      </c>
      <c r="F205" t="str">
        <f>IFERROR(IF(D205="","",VLOOKUP(D205,CadProd!$A:$C,3,0)),"")</f>
        <v/>
      </c>
    </row>
    <row r="206" spans="5:6" x14ac:dyDescent="0.3">
      <c r="E206" t="str">
        <f>IFERROR(IF(D206="","",VLOOKUP(D206,CadProd!$A:$B,2,0)),"")</f>
        <v/>
      </c>
      <c r="F206" t="str">
        <f>IFERROR(IF(D206="","",VLOOKUP(D206,CadProd!$A:$C,3,0)),"")</f>
        <v/>
      </c>
    </row>
    <row r="207" spans="5:6" x14ac:dyDescent="0.3">
      <c r="E207" t="str">
        <f>IFERROR(IF(D207="","",VLOOKUP(D207,CadProd!$A:$B,2,0)),"")</f>
        <v/>
      </c>
      <c r="F207" t="str">
        <f>IFERROR(IF(D207="","",VLOOKUP(D207,CadProd!$A:$C,3,0)),"")</f>
        <v/>
      </c>
    </row>
    <row r="208" spans="5:6" x14ac:dyDescent="0.3">
      <c r="E208" t="str">
        <f>IFERROR(IF(D208="","",VLOOKUP(D208,CadProd!$A:$B,2,0)),"")</f>
        <v/>
      </c>
      <c r="F208" t="str">
        <f>IFERROR(IF(D208="","",VLOOKUP(D208,CadProd!$A:$C,3,0)),"")</f>
        <v/>
      </c>
    </row>
    <row r="209" spans="5:6" x14ac:dyDescent="0.3">
      <c r="E209" t="str">
        <f>IFERROR(IF(D209="","",VLOOKUP(D209,CadProd!$A:$B,2,0)),"")</f>
        <v/>
      </c>
      <c r="F209" t="str">
        <f>IFERROR(IF(D209="","",VLOOKUP(D209,CadProd!$A:$C,3,0)),"")</f>
        <v/>
      </c>
    </row>
    <row r="210" spans="5:6" x14ac:dyDescent="0.3">
      <c r="E210" t="str">
        <f>IFERROR(IF(D210="","",VLOOKUP(D210,CadProd!$A:$B,2,0)),"")</f>
        <v/>
      </c>
      <c r="F210" t="str">
        <f>IFERROR(IF(D210="","",VLOOKUP(D210,CadProd!$A:$C,3,0)),"")</f>
        <v/>
      </c>
    </row>
    <row r="211" spans="5:6" x14ac:dyDescent="0.3">
      <c r="E211" t="str">
        <f>IFERROR(IF(D211="","",VLOOKUP(D211,CadProd!$A:$B,2,0)),"")</f>
        <v/>
      </c>
      <c r="F211" t="str">
        <f>IFERROR(IF(D211="","",VLOOKUP(D211,CadProd!$A:$C,3,0)),"")</f>
        <v/>
      </c>
    </row>
    <row r="212" spans="5:6" x14ac:dyDescent="0.3">
      <c r="E212" t="str">
        <f>IFERROR(IF(D212="","",VLOOKUP(D212,CadProd!$A:$B,2,0)),"")</f>
        <v/>
      </c>
      <c r="F212" t="str">
        <f>IFERROR(IF(D212="","",VLOOKUP(D212,CadProd!$A:$C,3,0)),"")</f>
        <v/>
      </c>
    </row>
    <row r="213" spans="5:6" x14ac:dyDescent="0.3">
      <c r="E213" t="str">
        <f>IFERROR(IF(D213="","",VLOOKUP(D213,CadProd!$A:$B,2,0)),"")</f>
        <v/>
      </c>
      <c r="F213" t="str">
        <f>IFERROR(IF(D213="","",VLOOKUP(D213,CadProd!$A:$C,3,0)),"")</f>
        <v/>
      </c>
    </row>
    <row r="214" spans="5:6" x14ac:dyDescent="0.3">
      <c r="E214" t="str">
        <f>IFERROR(IF(D214="","",VLOOKUP(D214,CadProd!$A:$B,2,0)),"")</f>
        <v/>
      </c>
      <c r="F214" t="str">
        <f>IFERROR(IF(D214="","",VLOOKUP(D214,CadProd!$A:$C,3,0)),"")</f>
        <v/>
      </c>
    </row>
    <row r="215" spans="5:6" x14ac:dyDescent="0.3">
      <c r="E215" t="str">
        <f>IFERROR(IF(D215="","",VLOOKUP(D215,CadProd!$A:$B,2,0)),"")</f>
        <v/>
      </c>
      <c r="F215" t="str">
        <f>IFERROR(IF(D215="","",VLOOKUP(D215,CadProd!$A:$C,3,0)),"")</f>
        <v/>
      </c>
    </row>
    <row r="216" spans="5:6" x14ac:dyDescent="0.3">
      <c r="E216" t="str">
        <f>IFERROR(IF(D216="","",VLOOKUP(D216,CadProd!$A:$B,2,0)),"")</f>
        <v/>
      </c>
      <c r="F216" t="str">
        <f>IFERROR(IF(D216="","",VLOOKUP(D216,CadProd!$A:$C,3,0)),"")</f>
        <v/>
      </c>
    </row>
    <row r="217" spans="5:6" x14ac:dyDescent="0.3">
      <c r="E217" t="str">
        <f>IFERROR(IF(D217="","",VLOOKUP(D217,CadProd!$A:$B,2,0)),"")</f>
        <v/>
      </c>
      <c r="F217" t="str">
        <f>IFERROR(IF(D217="","",VLOOKUP(D217,CadProd!$A:$C,3,0)),"")</f>
        <v/>
      </c>
    </row>
    <row r="218" spans="5:6" x14ac:dyDescent="0.3">
      <c r="E218" t="str">
        <f>IFERROR(IF(D218="","",VLOOKUP(D218,CadProd!$A:$B,2,0)),"")</f>
        <v/>
      </c>
      <c r="F218" t="str">
        <f>IFERROR(IF(D218="","",VLOOKUP(D218,CadProd!$A:$C,3,0)),"")</f>
        <v/>
      </c>
    </row>
    <row r="219" spans="5:6" x14ac:dyDescent="0.3">
      <c r="E219" t="str">
        <f>IFERROR(IF(D219="","",VLOOKUP(D219,CadProd!$A:$B,2,0)),"")</f>
        <v/>
      </c>
      <c r="F219" t="str">
        <f>IFERROR(IF(D219="","",VLOOKUP(D219,CadProd!$A:$C,3,0)),"")</f>
        <v/>
      </c>
    </row>
    <row r="220" spans="5:6" x14ac:dyDescent="0.3">
      <c r="E220" t="str">
        <f>IFERROR(IF(D220="","",VLOOKUP(D220,CadProd!$A:$B,2,0)),"")</f>
        <v/>
      </c>
      <c r="F220" t="str">
        <f>IFERROR(IF(D220="","",VLOOKUP(D220,CadProd!$A:$C,3,0)),"")</f>
        <v/>
      </c>
    </row>
    <row r="221" spans="5:6" x14ac:dyDescent="0.3">
      <c r="E221" t="str">
        <f>IFERROR(IF(D221="","",VLOOKUP(D221,CadProd!$A:$B,2,0)),"")</f>
        <v/>
      </c>
      <c r="F221" t="str">
        <f>IFERROR(IF(D221="","",VLOOKUP(D221,CadProd!$A:$C,3,0)),"")</f>
        <v/>
      </c>
    </row>
    <row r="222" spans="5:6" x14ac:dyDescent="0.3">
      <c r="E222" t="str">
        <f>IFERROR(IF(D222="","",VLOOKUP(D222,CadProd!$A:$B,2,0)),"")</f>
        <v/>
      </c>
      <c r="F222" t="str">
        <f>IFERROR(IF(D222="","",VLOOKUP(D222,CadProd!$A:$C,3,0)),"")</f>
        <v/>
      </c>
    </row>
    <row r="223" spans="5:6" x14ac:dyDescent="0.3">
      <c r="E223" t="str">
        <f>IFERROR(IF(D223="","",VLOOKUP(D223,CadProd!$A:$B,2,0)),"")</f>
        <v/>
      </c>
      <c r="F223" t="str">
        <f>IFERROR(IF(D223="","",VLOOKUP(D223,CadProd!$A:$C,3,0)),"")</f>
        <v/>
      </c>
    </row>
    <row r="224" spans="5:6" x14ac:dyDescent="0.3">
      <c r="E224" t="str">
        <f>IFERROR(IF(D224="","",VLOOKUP(D224,CadProd!$A:$B,2,0)),"")</f>
        <v/>
      </c>
      <c r="F224" t="str">
        <f>IFERROR(IF(D224="","",VLOOKUP(D224,CadProd!$A:$C,3,0)),"")</f>
        <v/>
      </c>
    </row>
    <row r="225" spans="5:6" x14ac:dyDescent="0.3">
      <c r="E225" t="str">
        <f>IFERROR(IF(D225="","",VLOOKUP(D225,CadProd!$A:$B,2,0)),"")</f>
        <v/>
      </c>
      <c r="F225" t="str">
        <f>IFERROR(IF(D225="","",VLOOKUP(D225,CadProd!$A:$C,3,0)),"")</f>
        <v/>
      </c>
    </row>
    <row r="226" spans="5:6" x14ac:dyDescent="0.3">
      <c r="E226" t="str">
        <f>IFERROR(IF(D226="","",VLOOKUP(D226,CadProd!$A:$B,2,0)),"")</f>
        <v/>
      </c>
      <c r="F226" t="str">
        <f>IFERROR(IF(D226="","",VLOOKUP(D226,CadProd!$A:$C,3,0)),"")</f>
        <v/>
      </c>
    </row>
    <row r="227" spans="5:6" x14ac:dyDescent="0.3">
      <c r="E227" t="str">
        <f>IFERROR(IF(D227="","",VLOOKUP(D227,CadProd!$A:$B,2,0)),"")</f>
        <v/>
      </c>
      <c r="F227" t="str">
        <f>IFERROR(IF(D227="","",VLOOKUP(D227,CadProd!$A:$C,3,0)),"")</f>
        <v/>
      </c>
    </row>
    <row r="228" spans="5:6" x14ac:dyDescent="0.3">
      <c r="E228" t="str">
        <f>IFERROR(IF(D228="","",VLOOKUP(D228,CadProd!$A:$B,2,0)),"")</f>
        <v/>
      </c>
      <c r="F228" t="str">
        <f>IFERROR(IF(D228="","",VLOOKUP(D228,CadProd!$A:$C,3,0)),"")</f>
        <v/>
      </c>
    </row>
    <row r="229" spans="5:6" x14ac:dyDescent="0.3">
      <c r="E229" t="str">
        <f>IFERROR(IF(D229="","",VLOOKUP(D229,CadProd!$A:$B,2,0)),"")</f>
        <v/>
      </c>
      <c r="F229" t="str">
        <f>IFERROR(IF(D229="","",VLOOKUP(D229,CadProd!$A:$C,3,0)),"")</f>
        <v/>
      </c>
    </row>
    <row r="230" spans="5:6" x14ac:dyDescent="0.3">
      <c r="E230" t="str">
        <f>IFERROR(IF(D230="","",VLOOKUP(D230,CadProd!$A:$B,2,0)),"")</f>
        <v/>
      </c>
      <c r="F230" t="str">
        <f>IFERROR(IF(D230="","",VLOOKUP(D230,CadProd!$A:$C,3,0)),"")</f>
        <v/>
      </c>
    </row>
    <row r="231" spans="5:6" x14ac:dyDescent="0.3">
      <c r="E231" t="str">
        <f>IFERROR(IF(D231="","",VLOOKUP(D231,CadProd!$A:$B,2,0)),"")</f>
        <v/>
      </c>
      <c r="F231" t="str">
        <f>IFERROR(IF(D231="","",VLOOKUP(D231,CadProd!$A:$C,3,0)),"")</f>
        <v/>
      </c>
    </row>
    <row r="232" spans="5:6" x14ac:dyDescent="0.3">
      <c r="E232" t="str">
        <f>IFERROR(IF(D232="","",VLOOKUP(D232,CadProd!$A:$B,2,0)),"")</f>
        <v/>
      </c>
      <c r="F232" t="str">
        <f>IFERROR(IF(D232="","",VLOOKUP(D232,CadProd!$A:$C,3,0)),"")</f>
        <v/>
      </c>
    </row>
    <row r="233" spans="5:6" x14ac:dyDescent="0.3">
      <c r="E233" t="str">
        <f>IFERROR(IF(D233="","",VLOOKUP(D233,CadProd!$A:$B,2,0)),"")</f>
        <v/>
      </c>
      <c r="F233" t="str">
        <f>IFERROR(IF(D233="","",VLOOKUP(D233,CadProd!$A:$C,3,0)),"")</f>
        <v/>
      </c>
    </row>
    <row r="234" spans="5:6" x14ac:dyDescent="0.3">
      <c r="E234" t="str">
        <f>IFERROR(IF(D234="","",VLOOKUP(D234,CadProd!$A:$B,2,0)),"")</f>
        <v/>
      </c>
      <c r="F234" t="str">
        <f>IFERROR(IF(D234="","",VLOOKUP(D234,CadProd!$A:$C,3,0)),"")</f>
        <v/>
      </c>
    </row>
    <row r="235" spans="5:6" x14ac:dyDescent="0.3">
      <c r="E235" t="str">
        <f>IFERROR(IF(D235="","",VLOOKUP(D235,CadProd!$A:$B,2,0)),"")</f>
        <v/>
      </c>
      <c r="F235" t="str">
        <f>IFERROR(IF(D235="","",VLOOKUP(D235,CadProd!$A:$C,3,0)),"")</f>
        <v/>
      </c>
    </row>
    <row r="236" spans="5:6" x14ac:dyDescent="0.3">
      <c r="E236" t="str">
        <f>IFERROR(IF(D236="","",VLOOKUP(D236,CadProd!$A:$B,2,0)),"")</f>
        <v/>
      </c>
      <c r="F236" t="str">
        <f>IFERROR(IF(D236="","",VLOOKUP(D236,CadProd!$A:$C,3,0)),"")</f>
        <v/>
      </c>
    </row>
    <row r="237" spans="5:6" x14ac:dyDescent="0.3">
      <c r="E237" t="str">
        <f>IFERROR(IF(D237="","",VLOOKUP(D237,CadProd!$A:$B,2,0)),"")</f>
        <v/>
      </c>
      <c r="F237" t="str">
        <f>IFERROR(IF(D237="","",VLOOKUP(D237,CadProd!$A:$C,3,0)),"")</f>
        <v/>
      </c>
    </row>
    <row r="238" spans="5:6" x14ac:dyDescent="0.3">
      <c r="E238" t="str">
        <f>IFERROR(IF(D238="","",VLOOKUP(D238,CadProd!$A:$B,2,0)),"")</f>
        <v/>
      </c>
      <c r="F238" t="str">
        <f>IFERROR(IF(D238="","",VLOOKUP(D238,CadProd!$A:$C,3,0)),"")</f>
        <v/>
      </c>
    </row>
    <row r="239" spans="5:6" x14ac:dyDescent="0.3">
      <c r="E239" t="str">
        <f>IFERROR(IF(D239="","",VLOOKUP(D239,CadProd!$A:$B,2,0)),"")</f>
        <v/>
      </c>
      <c r="F239" t="str">
        <f>IFERROR(IF(D239="","",VLOOKUP(D239,CadProd!$A:$C,3,0)),"")</f>
        <v/>
      </c>
    </row>
    <row r="240" spans="5:6" x14ac:dyDescent="0.3">
      <c r="E240" t="str">
        <f>IFERROR(IF(D240="","",VLOOKUP(D240,CadProd!$A:$B,2,0)),"")</f>
        <v/>
      </c>
      <c r="F240" t="str">
        <f>IFERROR(IF(D240="","",VLOOKUP(D240,CadProd!$A:$C,3,0)),"")</f>
        <v/>
      </c>
    </row>
    <row r="241" spans="5:6" x14ac:dyDescent="0.3">
      <c r="E241" t="str">
        <f>IFERROR(IF(D241="","",VLOOKUP(D241,CadProd!$A:$B,2,0)),"")</f>
        <v/>
      </c>
      <c r="F241" t="str">
        <f>IFERROR(IF(D241="","",VLOOKUP(D241,CadProd!$A:$C,3,0)),"")</f>
        <v/>
      </c>
    </row>
    <row r="242" spans="5:6" x14ac:dyDescent="0.3">
      <c r="E242" t="str">
        <f>IFERROR(IF(D242="","",VLOOKUP(D242,CadProd!$A:$B,2,0)),"")</f>
        <v/>
      </c>
      <c r="F242" t="str">
        <f>IFERROR(IF(D242="","",VLOOKUP(D242,CadProd!$A:$C,3,0)),"")</f>
        <v/>
      </c>
    </row>
    <row r="243" spans="5:6" x14ac:dyDescent="0.3">
      <c r="E243" t="str">
        <f>IFERROR(IF(D243="","",VLOOKUP(D243,CadProd!$A:$B,2,0)),"")</f>
        <v/>
      </c>
      <c r="F243" t="str">
        <f>IFERROR(IF(D243="","",VLOOKUP(D243,CadProd!$A:$C,3,0)),"")</f>
        <v/>
      </c>
    </row>
    <row r="244" spans="5:6" x14ac:dyDescent="0.3">
      <c r="E244" t="str">
        <f>IFERROR(IF(D244="","",VLOOKUP(D244,CadProd!$A:$B,2,0)),"")</f>
        <v/>
      </c>
      <c r="F244" t="str">
        <f>IFERROR(IF(D244="","",VLOOKUP(D244,CadProd!$A:$C,3,0)),"")</f>
        <v/>
      </c>
    </row>
    <row r="245" spans="5:6" x14ac:dyDescent="0.3">
      <c r="E245" t="str">
        <f>IFERROR(IF(D245="","",VLOOKUP(D245,CadProd!$A:$B,2,0)),"")</f>
        <v/>
      </c>
      <c r="F245" t="str">
        <f>IFERROR(IF(D245="","",VLOOKUP(D245,CadProd!$A:$C,3,0)),"")</f>
        <v/>
      </c>
    </row>
    <row r="246" spans="5:6" x14ac:dyDescent="0.3">
      <c r="E246" t="str">
        <f>IFERROR(IF(D246="","",VLOOKUP(D246,CadProd!$A:$B,2,0)),"")</f>
        <v/>
      </c>
      <c r="F246" t="str">
        <f>IFERROR(IF(D246="","",VLOOKUP(D246,CadProd!$A:$C,3,0)),"")</f>
        <v/>
      </c>
    </row>
    <row r="247" spans="5:6" x14ac:dyDescent="0.3">
      <c r="E247" t="str">
        <f>IFERROR(IF(D247="","",VLOOKUP(D247,CadProd!$A:$B,2,0)),"")</f>
        <v/>
      </c>
      <c r="F247" t="str">
        <f>IFERROR(IF(D247="","",VLOOKUP(D247,CadProd!$A:$C,3,0)),"")</f>
        <v/>
      </c>
    </row>
    <row r="248" spans="5:6" x14ac:dyDescent="0.3">
      <c r="E248" t="str">
        <f>IFERROR(IF(D248="","",VLOOKUP(D248,CadProd!$A:$B,2,0)),"")</f>
        <v/>
      </c>
      <c r="F248" t="str">
        <f>IFERROR(IF(D248="","",VLOOKUP(D248,CadProd!$A:$C,3,0)),"")</f>
        <v/>
      </c>
    </row>
    <row r="249" spans="5:6" x14ac:dyDescent="0.3">
      <c r="E249" t="str">
        <f>IFERROR(IF(D249="","",VLOOKUP(D249,CadProd!$A:$B,2,0)),"")</f>
        <v/>
      </c>
      <c r="F249" t="str">
        <f>IFERROR(IF(D249="","",VLOOKUP(D249,CadProd!$A:$C,3,0)),"")</f>
        <v/>
      </c>
    </row>
    <row r="250" spans="5:6" x14ac:dyDescent="0.3">
      <c r="E250" t="str">
        <f>IFERROR(IF(D250="","",VLOOKUP(D250,CadProd!$A:$B,2,0)),"")</f>
        <v/>
      </c>
      <c r="F250" t="str">
        <f>IFERROR(IF(D250="","",VLOOKUP(D250,CadProd!$A:$C,3,0)),"")</f>
        <v/>
      </c>
    </row>
    <row r="251" spans="5:6" x14ac:dyDescent="0.3">
      <c r="E251" t="str">
        <f>IFERROR(IF(D251="","",VLOOKUP(D251,CadProd!$A:$B,2,0)),"")</f>
        <v/>
      </c>
      <c r="F251" t="str">
        <f>IFERROR(IF(D251="","",VLOOKUP(D251,CadProd!$A:$C,3,0)),"")</f>
        <v/>
      </c>
    </row>
    <row r="252" spans="5:6" x14ac:dyDescent="0.3">
      <c r="E252" t="str">
        <f>IFERROR(IF(D252="","",VLOOKUP(D252,CadProd!$A:$B,2,0)),"")</f>
        <v/>
      </c>
      <c r="F252" t="str">
        <f>IFERROR(IF(D252="","",VLOOKUP(D252,CadProd!$A:$C,3,0)),"")</f>
        <v/>
      </c>
    </row>
    <row r="253" spans="5:6" x14ac:dyDescent="0.3">
      <c r="E253" t="str">
        <f>IFERROR(IF(D253="","",VLOOKUP(D253,CadProd!$A:$B,2,0)),"")</f>
        <v/>
      </c>
      <c r="F253" t="str">
        <f>IFERROR(IF(D253="","",VLOOKUP(D253,CadProd!$A:$C,3,0)),"")</f>
        <v/>
      </c>
    </row>
    <row r="254" spans="5:6" x14ac:dyDescent="0.3">
      <c r="E254" t="str">
        <f>IFERROR(IF(D254="","",VLOOKUP(D254,CadProd!$A:$B,2,0)),"")</f>
        <v/>
      </c>
      <c r="F254" t="str">
        <f>IFERROR(IF(D254="","",VLOOKUP(D254,CadProd!$A:$C,3,0)),"")</f>
        <v/>
      </c>
    </row>
    <row r="255" spans="5:6" x14ac:dyDescent="0.3">
      <c r="E255" t="str">
        <f>IFERROR(IF(D255="","",VLOOKUP(D255,CadProd!$A:$B,2,0)),"")</f>
        <v/>
      </c>
      <c r="F255" t="str">
        <f>IFERROR(IF(D255="","",VLOOKUP(D255,CadProd!$A:$C,3,0)),"")</f>
        <v/>
      </c>
    </row>
    <row r="256" spans="5:6" x14ac:dyDescent="0.3">
      <c r="E256" t="str">
        <f>IFERROR(IF(D256="","",VLOOKUP(D256,CadProd!$A:$B,2,0)),"")</f>
        <v/>
      </c>
      <c r="F256" t="str">
        <f>IFERROR(IF(D256="","",VLOOKUP(D256,CadProd!$A:$C,3,0)),"")</f>
        <v/>
      </c>
    </row>
    <row r="257" spans="5:6" x14ac:dyDescent="0.3">
      <c r="E257" t="str">
        <f>IFERROR(IF(D257="","",VLOOKUP(D257,CadProd!$A:$B,2,0)),"")</f>
        <v/>
      </c>
      <c r="F257" t="str">
        <f>IFERROR(IF(D257="","",VLOOKUP(D257,CadProd!$A:$C,3,0)),"")</f>
        <v/>
      </c>
    </row>
    <row r="258" spans="5:6" x14ac:dyDescent="0.3">
      <c r="E258" t="str">
        <f>IFERROR(IF(D258="","",VLOOKUP(D258,CadProd!$A:$B,2,0)),"")</f>
        <v/>
      </c>
      <c r="F258" t="str">
        <f>IFERROR(IF(D258="","",VLOOKUP(D258,CadProd!$A:$C,3,0)),"")</f>
        <v/>
      </c>
    </row>
    <row r="259" spans="5:6" x14ac:dyDescent="0.3">
      <c r="E259" t="str">
        <f>IFERROR(IF(D259="","",VLOOKUP(D259,CadProd!$A:$B,2,0)),"")</f>
        <v/>
      </c>
      <c r="F259" t="str">
        <f>IFERROR(IF(D259="","",VLOOKUP(D259,CadProd!$A:$C,3,0)),"")</f>
        <v/>
      </c>
    </row>
    <row r="260" spans="5:6" x14ac:dyDescent="0.3">
      <c r="E260" t="str">
        <f>IFERROR(IF(D260="","",VLOOKUP(D260,CadProd!$A:$B,2,0)),"")</f>
        <v/>
      </c>
      <c r="F260" t="str">
        <f>IFERROR(IF(D260="","",VLOOKUP(D260,CadProd!$A:$C,3,0)),"")</f>
        <v/>
      </c>
    </row>
    <row r="261" spans="5:6" x14ac:dyDescent="0.3">
      <c r="E261" t="str">
        <f>IFERROR(IF(D261="","",VLOOKUP(D261,CadProd!$A:$B,2,0)),"")</f>
        <v/>
      </c>
      <c r="F261" t="str">
        <f>IFERROR(IF(D261="","",VLOOKUP(D261,CadProd!$A:$C,3,0)),"")</f>
        <v/>
      </c>
    </row>
    <row r="262" spans="5:6" x14ac:dyDescent="0.3">
      <c r="E262" t="str">
        <f>IFERROR(IF(D262="","",VLOOKUP(D262,CadProd!$A:$B,2,0)),"")</f>
        <v/>
      </c>
      <c r="F262" t="str">
        <f>IFERROR(IF(D262="","",VLOOKUP(D262,CadProd!$A:$C,3,0)),"")</f>
        <v/>
      </c>
    </row>
    <row r="263" spans="5:6" x14ac:dyDescent="0.3">
      <c r="E263" t="str">
        <f>IFERROR(IF(D263="","",VLOOKUP(D263,CadProd!$A:$B,2,0)),"")</f>
        <v/>
      </c>
      <c r="F263" t="str">
        <f>IFERROR(IF(D263="","",VLOOKUP(D263,CadProd!$A:$C,3,0)),"")</f>
        <v/>
      </c>
    </row>
    <row r="264" spans="5:6" x14ac:dyDescent="0.3">
      <c r="E264" t="str">
        <f>IFERROR(IF(D264="","",VLOOKUP(D264,CadProd!$A:$B,2,0)),"")</f>
        <v/>
      </c>
      <c r="F264" t="str">
        <f>IFERROR(IF(D264="","",VLOOKUP(D264,CadProd!$A:$C,3,0)),"")</f>
        <v/>
      </c>
    </row>
    <row r="265" spans="5:6" x14ac:dyDescent="0.3">
      <c r="E265" t="str">
        <f>IFERROR(IF(D265="","",VLOOKUP(D265,CadProd!$A:$B,2,0)),"")</f>
        <v/>
      </c>
      <c r="F265" t="str">
        <f>IFERROR(IF(D265="","",VLOOKUP(D265,CadProd!$A:$C,3,0)),"")</f>
        <v/>
      </c>
    </row>
    <row r="266" spans="5:6" x14ac:dyDescent="0.3">
      <c r="E266" t="str">
        <f>IFERROR(IF(D266="","",VLOOKUP(D266,CadProd!$A:$B,2,0)),"")</f>
        <v/>
      </c>
      <c r="F266" t="str">
        <f>IFERROR(IF(D266="","",VLOOKUP(D266,CadProd!$A:$C,3,0)),"")</f>
        <v/>
      </c>
    </row>
    <row r="267" spans="5:6" x14ac:dyDescent="0.3">
      <c r="E267" t="str">
        <f>IFERROR(IF(D267="","",VLOOKUP(D267,CadProd!$A:$B,2,0)),"")</f>
        <v/>
      </c>
      <c r="F267" t="str">
        <f>IFERROR(IF(D267="","",VLOOKUP(D267,CadProd!$A:$C,3,0)),"")</f>
        <v/>
      </c>
    </row>
    <row r="268" spans="5:6" x14ac:dyDescent="0.3">
      <c r="E268" t="str">
        <f>IFERROR(IF(D268="","",VLOOKUP(D268,CadProd!$A:$B,2,0)),"")</f>
        <v/>
      </c>
      <c r="F268" t="str">
        <f>IFERROR(IF(D268="","",VLOOKUP(D268,CadProd!$A:$C,3,0)),"")</f>
        <v/>
      </c>
    </row>
    <row r="269" spans="5:6" x14ac:dyDescent="0.3">
      <c r="E269" t="str">
        <f>IFERROR(IF(D269="","",VLOOKUP(D269,CadProd!$A:$B,2,0)),"")</f>
        <v/>
      </c>
      <c r="F269" t="str">
        <f>IFERROR(IF(D269="","",VLOOKUP(D269,CadProd!$A:$C,3,0)),"")</f>
        <v/>
      </c>
    </row>
    <row r="270" spans="5:6" x14ac:dyDescent="0.3">
      <c r="E270" t="str">
        <f>IFERROR(IF(D270="","",VLOOKUP(D270,CadProd!$A:$B,2,0)),"")</f>
        <v/>
      </c>
      <c r="F270" t="str">
        <f>IFERROR(IF(D270="","",VLOOKUP(D270,CadProd!$A:$C,3,0)),"")</f>
        <v/>
      </c>
    </row>
    <row r="271" spans="5:6" x14ac:dyDescent="0.3">
      <c r="E271" t="str">
        <f>IFERROR(IF(D271="","",VLOOKUP(D271,CadProd!$A:$B,2,0)),"")</f>
        <v/>
      </c>
      <c r="F271" t="str">
        <f>IFERROR(IF(D271="","",VLOOKUP(D271,CadProd!$A:$C,3,0)),"")</f>
        <v/>
      </c>
    </row>
    <row r="272" spans="5:6" x14ac:dyDescent="0.3">
      <c r="E272" t="str">
        <f>IFERROR(IF(D272="","",VLOOKUP(D272,CadProd!$A:$B,2,0)),"")</f>
        <v/>
      </c>
      <c r="F272" t="str">
        <f>IFERROR(IF(D272="","",VLOOKUP(D272,CadProd!$A:$C,3,0)),"")</f>
        <v/>
      </c>
    </row>
    <row r="273" spans="5:6" x14ac:dyDescent="0.3">
      <c r="E273" t="str">
        <f>IFERROR(IF(D273="","",VLOOKUP(D273,CadProd!$A:$B,2,0)),"")</f>
        <v/>
      </c>
      <c r="F273" t="str">
        <f>IFERROR(IF(D273="","",VLOOKUP(D273,CadProd!$A:$C,3,0)),"")</f>
        <v/>
      </c>
    </row>
    <row r="274" spans="5:6" x14ac:dyDescent="0.3">
      <c r="E274" t="str">
        <f>IFERROR(IF(D274="","",VLOOKUP(D274,CadProd!$A:$B,2,0)),"")</f>
        <v/>
      </c>
      <c r="F274" t="str">
        <f>IFERROR(IF(D274="","",VLOOKUP(D274,CadProd!$A:$C,3,0)),"")</f>
        <v/>
      </c>
    </row>
    <row r="275" spans="5:6" x14ac:dyDescent="0.3">
      <c r="E275" t="str">
        <f>IFERROR(IF(D275="","",VLOOKUP(D275,CadProd!$A:$B,2,0)),"")</f>
        <v/>
      </c>
      <c r="F275" t="str">
        <f>IFERROR(IF(D275="","",VLOOKUP(D275,CadProd!$A:$C,3,0)),"")</f>
        <v/>
      </c>
    </row>
    <row r="276" spans="5:6" x14ac:dyDescent="0.3">
      <c r="E276" t="str">
        <f>IFERROR(IF(D276="","",VLOOKUP(D276,CadProd!$A:$B,2,0)),"")</f>
        <v/>
      </c>
      <c r="F276" t="str">
        <f>IFERROR(IF(D276="","",VLOOKUP(D276,CadProd!$A:$C,3,0)),"")</f>
        <v/>
      </c>
    </row>
    <row r="277" spans="5:6" x14ac:dyDescent="0.3">
      <c r="E277" t="str">
        <f>IFERROR(IF(D277="","",VLOOKUP(D277,CadProd!$A:$B,2,0)),"")</f>
        <v/>
      </c>
      <c r="F277" t="str">
        <f>IFERROR(IF(D277="","",VLOOKUP(D277,CadProd!$A:$C,3,0)),"")</f>
        <v/>
      </c>
    </row>
    <row r="278" spans="5:6" x14ac:dyDescent="0.3">
      <c r="E278" t="str">
        <f>IFERROR(IF(D278="","",VLOOKUP(D278,CadProd!$A:$B,2,0)),"")</f>
        <v/>
      </c>
      <c r="F278" t="str">
        <f>IFERROR(IF(D278="","",VLOOKUP(D278,CadProd!$A:$C,3,0)),"")</f>
        <v/>
      </c>
    </row>
    <row r="279" spans="5:6" x14ac:dyDescent="0.3">
      <c r="E279" t="str">
        <f>IFERROR(IF(D279="","",VLOOKUP(D279,CadProd!$A:$B,2,0)),"")</f>
        <v/>
      </c>
      <c r="F279" t="str">
        <f>IFERROR(IF(D279="","",VLOOKUP(D279,CadProd!$A:$C,3,0)),"")</f>
        <v/>
      </c>
    </row>
    <row r="280" spans="5:6" x14ac:dyDescent="0.3">
      <c r="E280" t="str">
        <f>IFERROR(IF(D280="","",VLOOKUP(D280,CadProd!$A:$B,2,0)),"")</f>
        <v/>
      </c>
      <c r="F280" t="str">
        <f>IFERROR(IF(D280="","",VLOOKUP(D280,CadProd!$A:$C,3,0)),"")</f>
        <v/>
      </c>
    </row>
    <row r="281" spans="5:6" x14ac:dyDescent="0.3">
      <c r="E281" t="str">
        <f>IFERROR(IF(D281="","",VLOOKUP(D281,CadProd!$A:$B,2,0)),"")</f>
        <v/>
      </c>
      <c r="F281" t="str">
        <f>IFERROR(IF(D281="","",VLOOKUP(D281,CadProd!$A:$C,3,0)),"")</f>
        <v/>
      </c>
    </row>
    <row r="282" spans="5:6" x14ac:dyDescent="0.3">
      <c r="E282" t="str">
        <f>IFERROR(IF(D282="","",VLOOKUP(D282,CadProd!$A:$B,2,0)),"")</f>
        <v/>
      </c>
      <c r="F282" t="str">
        <f>IFERROR(IF(D282="","",VLOOKUP(D282,CadProd!$A:$C,3,0)),"")</f>
        <v/>
      </c>
    </row>
    <row r="283" spans="5:6" x14ac:dyDescent="0.3">
      <c r="E283" t="str">
        <f>IFERROR(IF(D283="","",VLOOKUP(D283,CadProd!$A:$B,2,0)),"")</f>
        <v/>
      </c>
      <c r="F283" t="str">
        <f>IFERROR(IF(D283="","",VLOOKUP(D283,CadProd!$A:$C,3,0)),"")</f>
        <v/>
      </c>
    </row>
    <row r="284" spans="5:6" x14ac:dyDescent="0.3">
      <c r="E284" t="str">
        <f>IFERROR(IF(D284="","",VLOOKUP(D284,CadProd!$A:$B,2,0)),"")</f>
        <v/>
      </c>
      <c r="F284" t="str">
        <f>IFERROR(IF(D284="","",VLOOKUP(D284,CadProd!$A:$C,3,0)),"")</f>
        <v/>
      </c>
    </row>
    <row r="285" spans="5:6" x14ac:dyDescent="0.3">
      <c r="E285" t="str">
        <f>IFERROR(IF(D285="","",VLOOKUP(D285,CadProd!$A:$B,2,0)),"")</f>
        <v/>
      </c>
      <c r="F285" t="str">
        <f>IFERROR(IF(D285="","",VLOOKUP(D285,CadProd!$A:$C,3,0)),"")</f>
        <v/>
      </c>
    </row>
    <row r="286" spans="5:6" x14ac:dyDescent="0.3">
      <c r="E286" t="str">
        <f>IFERROR(IF(D286="","",VLOOKUP(D286,CadProd!$A:$B,2,0)),"")</f>
        <v/>
      </c>
      <c r="F286" t="str">
        <f>IFERROR(IF(D286="","",VLOOKUP(D286,CadProd!$A:$C,3,0)),"")</f>
        <v/>
      </c>
    </row>
    <row r="287" spans="5:6" x14ac:dyDescent="0.3">
      <c r="E287" t="str">
        <f>IFERROR(IF(D287="","",VLOOKUP(D287,CadProd!$A:$B,2,0)),"")</f>
        <v/>
      </c>
      <c r="F287" t="str">
        <f>IFERROR(IF(D287="","",VLOOKUP(D287,CadProd!$A:$C,3,0)),"")</f>
        <v/>
      </c>
    </row>
    <row r="288" spans="5:6" x14ac:dyDescent="0.3">
      <c r="E288" t="str">
        <f>IFERROR(IF(D288="","",VLOOKUP(D288,CadProd!$A:$B,2,0)),"")</f>
        <v/>
      </c>
      <c r="F288" t="str">
        <f>IFERROR(IF(D288="","",VLOOKUP(D288,CadProd!$A:$C,3,0)),"")</f>
        <v/>
      </c>
    </row>
    <row r="289" spans="5:6" x14ac:dyDescent="0.3">
      <c r="E289" t="str">
        <f>IFERROR(IF(D289="","",VLOOKUP(D289,CadProd!$A:$B,2,0)),"")</f>
        <v/>
      </c>
      <c r="F289" t="str">
        <f>IFERROR(IF(D289="","",VLOOKUP(D289,CadProd!$A:$C,3,0)),"")</f>
        <v/>
      </c>
    </row>
    <row r="290" spans="5:6" x14ac:dyDescent="0.3">
      <c r="E290" t="str">
        <f>IFERROR(IF(D290="","",VLOOKUP(D290,CadProd!$A:$B,2,0)),"")</f>
        <v/>
      </c>
      <c r="F290" t="str">
        <f>IFERROR(IF(D290="","",VLOOKUP(D290,CadProd!$A:$C,3,0)),"")</f>
        <v/>
      </c>
    </row>
    <row r="291" spans="5:6" x14ac:dyDescent="0.3">
      <c r="E291" t="str">
        <f>IFERROR(IF(D291="","",VLOOKUP(D291,CadProd!$A:$B,2,0)),"")</f>
        <v/>
      </c>
      <c r="F291" t="str">
        <f>IFERROR(IF(D291="","",VLOOKUP(D291,CadProd!$A:$C,3,0)),"")</f>
        <v/>
      </c>
    </row>
    <row r="292" spans="5:6" x14ac:dyDescent="0.3">
      <c r="E292" t="str">
        <f>IFERROR(IF(D292="","",VLOOKUP(D292,CadProd!$A:$B,2,0)),"")</f>
        <v/>
      </c>
      <c r="F292" t="str">
        <f>IFERROR(IF(D292="","",VLOOKUP(D292,CadProd!$A:$C,3,0)),"")</f>
        <v/>
      </c>
    </row>
    <row r="293" spans="5:6" x14ac:dyDescent="0.3">
      <c r="E293" t="str">
        <f>IFERROR(IF(D293="","",VLOOKUP(D293,CadProd!$A:$B,2,0)),"")</f>
        <v/>
      </c>
      <c r="F293" t="str">
        <f>IFERROR(IF(D293="","",VLOOKUP(D293,CadProd!$A:$C,3,0)),"")</f>
        <v/>
      </c>
    </row>
    <row r="294" spans="5:6" x14ac:dyDescent="0.3">
      <c r="E294" t="str">
        <f>IFERROR(IF(D294="","",VLOOKUP(D294,CadProd!$A:$B,2,0)),"")</f>
        <v/>
      </c>
      <c r="F294" t="str">
        <f>IFERROR(IF(D294="","",VLOOKUP(D294,CadProd!$A:$C,3,0)),"")</f>
        <v/>
      </c>
    </row>
    <row r="295" spans="5:6" x14ac:dyDescent="0.3">
      <c r="E295" t="str">
        <f>IFERROR(IF(D295="","",VLOOKUP(D295,CadProd!$A:$B,2,0)),"")</f>
        <v/>
      </c>
      <c r="F295" t="str">
        <f>IFERROR(IF(D295="","",VLOOKUP(D295,CadProd!$A:$C,3,0)),"")</f>
        <v/>
      </c>
    </row>
    <row r="296" spans="5:6" x14ac:dyDescent="0.3">
      <c r="E296" t="str">
        <f>IFERROR(IF(D296="","",VLOOKUP(D296,CadProd!$A:$B,2,0)),"")</f>
        <v/>
      </c>
      <c r="F296" t="str">
        <f>IFERROR(IF(D296="","",VLOOKUP(D296,CadProd!$A:$C,3,0)),"")</f>
        <v/>
      </c>
    </row>
    <row r="297" spans="5:6" x14ac:dyDescent="0.3">
      <c r="E297" t="str">
        <f>IFERROR(IF(D297="","",VLOOKUP(D297,CadProd!$A:$B,2,0)),"")</f>
        <v/>
      </c>
      <c r="F297" t="str">
        <f>IFERROR(IF(D297="","",VLOOKUP(D297,CadProd!$A:$C,3,0)),"")</f>
        <v/>
      </c>
    </row>
    <row r="298" spans="5:6" x14ac:dyDescent="0.3">
      <c r="E298" t="str">
        <f>IFERROR(IF(D298="","",VLOOKUP(D298,CadProd!$A:$B,2,0)),"")</f>
        <v/>
      </c>
      <c r="F298" t="str">
        <f>IFERROR(IF(D298="","",VLOOKUP(D298,CadProd!$A:$C,3,0)),"")</f>
        <v/>
      </c>
    </row>
    <row r="299" spans="5:6" x14ac:dyDescent="0.3">
      <c r="E299" t="str">
        <f>IFERROR(IF(D299="","",VLOOKUP(D299,CadProd!$A:$B,2,0)),"")</f>
        <v/>
      </c>
      <c r="F299" t="str">
        <f>IFERROR(IF(D299="","",VLOOKUP(D299,CadProd!$A:$C,3,0)),"")</f>
        <v/>
      </c>
    </row>
    <row r="300" spans="5:6" x14ac:dyDescent="0.3">
      <c r="E300" t="str">
        <f>IFERROR(IF(D300="","",VLOOKUP(D300,CadProd!$A:$B,2,0)),"")</f>
        <v/>
      </c>
      <c r="F300" t="str">
        <f>IFERROR(IF(D300="","",VLOOKUP(D300,CadProd!$A:$C,3,0)),"")</f>
        <v/>
      </c>
    </row>
    <row r="301" spans="5:6" x14ac:dyDescent="0.3">
      <c r="E301" t="str">
        <f>IFERROR(IF(D301="","",VLOOKUP(D301,CadProd!$A:$B,2,0)),"")</f>
        <v/>
      </c>
      <c r="F301" t="str">
        <f>IFERROR(IF(D301="","",VLOOKUP(D301,CadProd!$A:$C,3,0)),"")</f>
        <v/>
      </c>
    </row>
    <row r="302" spans="5:6" x14ac:dyDescent="0.3">
      <c r="E302" t="str">
        <f>IFERROR(IF(D302="","",VLOOKUP(D302,CadProd!$A:$B,2,0)),"")</f>
        <v/>
      </c>
      <c r="F302" t="str">
        <f>IFERROR(IF(D302="","",VLOOKUP(D302,CadProd!$A:$C,3,0)),"")</f>
        <v/>
      </c>
    </row>
    <row r="303" spans="5:6" x14ac:dyDescent="0.3">
      <c r="E303" t="str">
        <f>IFERROR(IF(D303="","",VLOOKUP(D303,CadProd!$A:$B,2,0)),"")</f>
        <v/>
      </c>
      <c r="F303" t="str">
        <f>IFERROR(IF(D303="","",VLOOKUP(D303,CadProd!$A:$C,3,0)),"")</f>
        <v/>
      </c>
    </row>
    <row r="304" spans="5:6" x14ac:dyDescent="0.3">
      <c r="E304" t="str">
        <f>IFERROR(IF(D304="","",VLOOKUP(D304,CadProd!$A:$B,2,0)),"")</f>
        <v/>
      </c>
      <c r="F304" t="str">
        <f>IFERROR(IF(D304="","",VLOOKUP(D304,CadProd!$A:$C,3,0)),"")</f>
        <v/>
      </c>
    </row>
    <row r="305" spans="5:6" x14ac:dyDescent="0.3">
      <c r="E305" t="str">
        <f>IFERROR(IF(D305="","",VLOOKUP(D305,CadProd!$A:$B,2,0)),"")</f>
        <v/>
      </c>
      <c r="F305" t="str">
        <f>IFERROR(IF(D305="","",VLOOKUP(D305,CadProd!$A:$C,3,0)),"")</f>
        <v/>
      </c>
    </row>
    <row r="306" spans="5:6" x14ac:dyDescent="0.3">
      <c r="E306" t="str">
        <f>IFERROR(IF(D306="","",VLOOKUP(D306,CadProd!$A:$B,2,0)),"")</f>
        <v/>
      </c>
      <c r="F306" t="str">
        <f>IFERROR(IF(D306="","",VLOOKUP(D306,CadProd!$A:$C,3,0)),"")</f>
        <v/>
      </c>
    </row>
    <row r="307" spans="5:6" x14ac:dyDescent="0.3">
      <c r="E307" t="str">
        <f>IFERROR(IF(D307="","",VLOOKUP(D307,CadProd!$A:$B,2,0)),"")</f>
        <v/>
      </c>
      <c r="F307" t="str">
        <f>IFERROR(IF(D307="","",VLOOKUP(D307,CadProd!$A:$C,3,0)),"")</f>
        <v/>
      </c>
    </row>
    <row r="308" spans="5:6" x14ac:dyDescent="0.3">
      <c r="E308" t="str">
        <f>IFERROR(IF(D308="","",VLOOKUP(D308,CadProd!$A:$B,2,0)),"")</f>
        <v/>
      </c>
      <c r="F308" t="str">
        <f>IFERROR(IF(D308="","",VLOOKUP(D308,CadProd!$A:$C,3,0)),"")</f>
        <v/>
      </c>
    </row>
    <row r="309" spans="5:6" x14ac:dyDescent="0.3">
      <c r="E309" t="str">
        <f>IFERROR(IF(D309="","",VLOOKUP(D309,CadProd!$A:$B,2,0)),"")</f>
        <v/>
      </c>
      <c r="F309" t="str">
        <f>IFERROR(IF(D309="","",VLOOKUP(D309,CadProd!$A:$C,3,0)),"")</f>
        <v/>
      </c>
    </row>
    <row r="310" spans="5:6" x14ac:dyDescent="0.3">
      <c r="E310" t="str">
        <f>IFERROR(IF(D310="","",VLOOKUP(D310,CadProd!$A:$B,2,0)),"")</f>
        <v/>
      </c>
      <c r="F310" t="str">
        <f>IFERROR(IF(D310="","",VLOOKUP(D310,CadProd!$A:$C,3,0)),"")</f>
        <v/>
      </c>
    </row>
    <row r="311" spans="5:6" x14ac:dyDescent="0.3">
      <c r="E311" t="str">
        <f>IFERROR(IF(D311="","",VLOOKUP(D311,CadProd!$A:$B,2,0)),"")</f>
        <v/>
      </c>
      <c r="F311" t="str">
        <f>IFERROR(IF(D311="","",VLOOKUP(D311,CadProd!$A:$C,3,0)),"")</f>
        <v/>
      </c>
    </row>
    <row r="312" spans="5:6" x14ac:dyDescent="0.3">
      <c r="E312" t="str">
        <f>IFERROR(IF(D312="","",VLOOKUP(D312,CadProd!$A:$B,2,0)),"")</f>
        <v/>
      </c>
      <c r="F312" t="str">
        <f>IFERROR(IF(D312="","",VLOOKUP(D312,CadProd!$A:$C,3,0)),"")</f>
        <v/>
      </c>
    </row>
    <row r="313" spans="5:6" x14ac:dyDescent="0.3">
      <c r="E313" t="str">
        <f>IFERROR(IF(D313="","",VLOOKUP(D313,CadProd!$A:$B,2,0)),"")</f>
        <v/>
      </c>
      <c r="F313" t="str">
        <f>IFERROR(IF(D313="","",VLOOKUP(D313,CadProd!$A:$C,3,0)),"")</f>
        <v/>
      </c>
    </row>
    <row r="314" spans="5:6" x14ac:dyDescent="0.3">
      <c r="E314" t="str">
        <f>IFERROR(IF(D314="","",VLOOKUP(D314,CadProd!$A:$B,2,0)),"")</f>
        <v/>
      </c>
      <c r="F314" t="str">
        <f>IFERROR(IF(D314="","",VLOOKUP(D314,CadProd!$A:$C,3,0)),"")</f>
        <v/>
      </c>
    </row>
    <row r="315" spans="5:6" x14ac:dyDescent="0.3">
      <c r="E315" t="str">
        <f>IFERROR(IF(D315="","",VLOOKUP(D315,CadProd!$A:$B,2,0)),"")</f>
        <v/>
      </c>
      <c r="F315" t="str">
        <f>IFERROR(IF(D315="","",VLOOKUP(D315,CadProd!$A:$C,3,0)),"")</f>
        <v/>
      </c>
    </row>
    <row r="316" spans="5:6" x14ac:dyDescent="0.3">
      <c r="E316" t="str">
        <f>IFERROR(IF(D316="","",VLOOKUP(D316,CadProd!$A:$B,2,0)),"")</f>
        <v/>
      </c>
      <c r="F316" t="str">
        <f>IFERROR(IF(D316="","",VLOOKUP(D316,CadProd!$A:$C,3,0)),"")</f>
        <v/>
      </c>
    </row>
    <row r="317" spans="5:6" x14ac:dyDescent="0.3">
      <c r="E317" t="str">
        <f>IFERROR(IF(D317="","",VLOOKUP(D317,CadProd!$A:$B,2,0)),"")</f>
        <v/>
      </c>
      <c r="F317" t="str">
        <f>IFERROR(IF(D317="","",VLOOKUP(D317,CadProd!$A:$C,3,0)),"")</f>
        <v/>
      </c>
    </row>
    <row r="318" spans="5:6" x14ac:dyDescent="0.3">
      <c r="E318" t="str">
        <f>IFERROR(IF(D318="","",VLOOKUP(D318,CadProd!$A:$B,2,0)),"")</f>
        <v/>
      </c>
      <c r="F318" t="str">
        <f>IFERROR(IF(D318="","",VLOOKUP(D318,CadProd!$A:$C,3,0)),"")</f>
        <v/>
      </c>
    </row>
    <row r="319" spans="5:6" x14ac:dyDescent="0.3">
      <c r="E319" t="str">
        <f>IFERROR(IF(D319="","",VLOOKUP(D319,CadProd!$A:$B,2,0)),"")</f>
        <v/>
      </c>
      <c r="F319" t="str">
        <f>IFERROR(IF(D319="","",VLOOKUP(D319,CadProd!$A:$C,3,0)),"")</f>
        <v/>
      </c>
    </row>
    <row r="320" spans="5:6" x14ac:dyDescent="0.3">
      <c r="E320" t="str">
        <f>IFERROR(IF(D320="","",VLOOKUP(D320,CadProd!$A:$B,2,0)),"")</f>
        <v/>
      </c>
      <c r="F320" t="str">
        <f>IFERROR(IF(D320="","",VLOOKUP(D320,CadProd!$A:$C,3,0)),"")</f>
        <v/>
      </c>
    </row>
    <row r="321" spans="5:6" x14ac:dyDescent="0.3">
      <c r="E321" t="str">
        <f>IFERROR(IF(D321="","",VLOOKUP(D321,CadProd!$A:$B,2,0)),"")</f>
        <v/>
      </c>
      <c r="F321" t="str">
        <f>IFERROR(IF(D321="","",VLOOKUP(D321,CadProd!$A:$C,3,0)),"")</f>
        <v/>
      </c>
    </row>
    <row r="322" spans="5:6" x14ac:dyDescent="0.3">
      <c r="E322" t="str">
        <f>IFERROR(IF(D322="","",VLOOKUP(D322,CadProd!$A:$B,2,0)),"")</f>
        <v/>
      </c>
      <c r="F322" t="str">
        <f>IFERROR(IF(D322="","",VLOOKUP(D322,CadProd!$A:$C,3,0)),"")</f>
        <v/>
      </c>
    </row>
    <row r="323" spans="5:6" x14ac:dyDescent="0.3">
      <c r="E323" t="str">
        <f>IFERROR(IF(D323="","",VLOOKUP(D323,CadProd!$A:$B,2,0)),"")</f>
        <v/>
      </c>
      <c r="F323" t="str">
        <f>IFERROR(IF(D323="","",VLOOKUP(D323,CadProd!$A:$C,3,0)),"")</f>
        <v/>
      </c>
    </row>
    <row r="324" spans="5:6" x14ac:dyDescent="0.3">
      <c r="E324" t="str">
        <f>IFERROR(IF(D324="","",VLOOKUP(D324,CadProd!$A:$B,2,0)),"")</f>
        <v/>
      </c>
      <c r="F324" t="str">
        <f>IFERROR(IF(D324="","",VLOOKUP(D324,CadProd!$A:$C,3,0)),"")</f>
        <v/>
      </c>
    </row>
    <row r="325" spans="5:6" x14ac:dyDescent="0.3">
      <c r="E325" t="str">
        <f>IFERROR(IF(D325="","",VLOOKUP(D325,CadProd!$A:$B,2,0)),"")</f>
        <v/>
      </c>
      <c r="F325" t="str">
        <f>IFERROR(IF(D325="","",VLOOKUP(D325,CadProd!$A:$C,3,0)),"")</f>
        <v/>
      </c>
    </row>
    <row r="326" spans="5:6" x14ac:dyDescent="0.3">
      <c r="E326" t="str">
        <f>IFERROR(IF(D326="","",VLOOKUP(D326,CadProd!$A:$B,2,0)),"")</f>
        <v/>
      </c>
      <c r="F326" t="str">
        <f>IFERROR(IF(D326="","",VLOOKUP(D326,CadProd!$A:$C,3,0)),"")</f>
        <v/>
      </c>
    </row>
    <row r="327" spans="5:6" x14ac:dyDescent="0.3">
      <c r="E327" t="str">
        <f>IFERROR(IF(D327="","",VLOOKUP(D327,CadProd!$A:$B,2,0)),"")</f>
        <v/>
      </c>
      <c r="F327" t="str">
        <f>IFERROR(IF(D327="","",VLOOKUP(D327,CadProd!$A:$C,3,0)),"")</f>
        <v/>
      </c>
    </row>
    <row r="328" spans="5:6" x14ac:dyDescent="0.3">
      <c r="E328" t="str">
        <f>IFERROR(IF(D328="","",VLOOKUP(D328,CadProd!$A:$B,2,0)),"")</f>
        <v/>
      </c>
      <c r="F328" t="str">
        <f>IFERROR(IF(D328="","",VLOOKUP(D328,CadProd!$A:$C,3,0)),"")</f>
        <v/>
      </c>
    </row>
    <row r="329" spans="5:6" x14ac:dyDescent="0.3">
      <c r="E329" t="str">
        <f>IFERROR(IF(D329="","",VLOOKUP(D329,CadProd!$A:$B,2,0)),"")</f>
        <v/>
      </c>
      <c r="F329" t="str">
        <f>IFERROR(IF(D329="","",VLOOKUP(D329,CadProd!$A:$C,3,0)),"")</f>
        <v/>
      </c>
    </row>
    <row r="330" spans="5:6" x14ac:dyDescent="0.3">
      <c r="E330" t="str">
        <f>IFERROR(IF(D330="","",VLOOKUP(D330,CadProd!$A:$B,2,0)),"")</f>
        <v/>
      </c>
      <c r="F330" t="str">
        <f>IFERROR(IF(D330="","",VLOOKUP(D330,CadProd!$A:$C,3,0)),"")</f>
        <v/>
      </c>
    </row>
    <row r="331" spans="5:6" x14ac:dyDescent="0.3">
      <c r="E331" t="str">
        <f>IFERROR(IF(D331="","",VLOOKUP(D331,CadProd!$A:$B,2,0)),"")</f>
        <v/>
      </c>
      <c r="F331" t="str">
        <f>IFERROR(IF(D331="","",VLOOKUP(D331,CadProd!$A:$C,3,0)),"")</f>
        <v/>
      </c>
    </row>
    <row r="332" spans="5:6" x14ac:dyDescent="0.3">
      <c r="E332" t="str">
        <f>IFERROR(IF(D332="","",VLOOKUP(D332,CadProd!$A:$B,2,0)),"")</f>
        <v/>
      </c>
      <c r="F332" t="str">
        <f>IFERROR(IF(D332="","",VLOOKUP(D332,CadProd!$A:$C,3,0)),"")</f>
        <v/>
      </c>
    </row>
    <row r="333" spans="5:6" x14ac:dyDescent="0.3">
      <c r="E333" t="str">
        <f>IFERROR(IF(D333="","",VLOOKUP(D333,CadProd!$A:$B,2,0)),"")</f>
        <v/>
      </c>
      <c r="F333" t="str">
        <f>IFERROR(IF(D333="","",VLOOKUP(D333,CadProd!$A:$C,3,0)),"")</f>
        <v/>
      </c>
    </row>
    <row r="334" spans="5:6" x14ac:dyDescent="0.3">
      <c r="E334" t="str">
        <f>IFERROR(IF(D334="","",VLOOKUP(D334,CadProd!$A:$B,2,0)),"")</f>
        <v/>
      </c>
      <c r="F334" t="str">
        <f>IFERROR(IF(D334="","",VLOOKUP(D334,CadProd!$A:$C,3,0)),"")</f>
        <v/>
      </c>
    </row>
    <row r="335" spans="5:6" x14ac:dyDescent="0.3">
      <c r="E335" t="str">
        <f>IFERROR(IF(D335="","",VLOOKUP(D335,CadProd!$A:$B,2,0)),"")</f>
        <v/>
      </c>
      <c r="F335" t="str">
        <f>IFERROR(IF(D335="","",VLOOKUP(D335,CadProd!$A:$C,3,0)),"")</f>
        <v/>
      </c>
    </row>
    <row r="336" spans="5:6" x14ac:dyDescent="0.3">
      <c r="E336" t="str">
        <f>IFERROR(IF(D336="","",VLOOKUP(D336,CadProd!$A:$B,2,0)),"")</f>
        <v/>
      </c>
      <c r="F336" t="str">
        <f>IFERROR(IF(D336="","",VLOOKUP(D336,CadProd!$A:$C,3,0)),"")</f>
        <v/>
      </c>
    </row>
    <row r="337" spans="5:6" x14ac:dyDescent="0.3">
      <c r="E337" t="str">
        <f>IFERROR(IF(D337="","",VLOOKUP(D337,CadProd!$A:$B,2,0)),"")</f>
        <v/>
      </c>
      <c r="F337" t="str">
        <f>IFERROR(IF(D337="","",VLOOKUP(D337,CadProd!$A:$C,3,0)),"")</f>
        <v/>
      </c>
    </row>
    <row r="338" spans="5:6" x14ac:dyDescent="0.3">
      <c r="E338" t="str">
        <f>IFERROR(IF(D338="","",VLOOKUP(D338,CadProd!$A:$B,2,0)),"")</f>
        <v/>
      </c>
      <c r="F338" t="str">
        <f>IFERROR(IF(D338="","",VLOOKUP(D338,CadProd!$A:$C,3,0)),"")</f>
        <v/>
      </c>
    </row>
    <row r="339" spans="5:6" x14ac:dyDescent="0.3">
      <c r="E339" t="str">
        <f>IFERROR(IF(D339="","",VLOOKUP(D339,CadProd!$A:$B,2,0)),"")</f>
        <v/>
      </c>
      <c r="F339" t="str">
        <f>IFERROR(IF(D339="","",VLOOKUP(D339,CadProd!$A:$C,3,0)),"")</f>
        <v/>
      </c>
    </row>
    <row r="340" spans="5:6" x14ac:dyDescent="0.3">
      <c r="E340" t="str">
        <f>IFERROR(IF(D340="","",VLOOKUP(D340,CadProd!$A:$B,2,0)),"")</f>
        <v/>
      </c>
      <c r="F340" t="str">
        <f>IFERROR(IF(D340="","",VLOOKUP(D340,CadProd!$A:$C,3,0)),"")</f>
        <v/>
      </c>
    </row>
    <row r="341" spans="5:6" x14ac:dyDescent="0.3">
      <c r="E341" t="str">
        <f>IFERROR(IF(D341="","",VLOOKUP(D341,CadProd!$A:$B,2,0)),"")</f>
        <v/>
      </c>
      <c r="F341" t="str">
        <f>IFERROR(IF(D341="","",VLOOKUP(D341,CadProd!$A:$C,3,0)),"")</f>
        <v/>
      </c>
    </row>
    <row r="342" spans="5:6" x14ac:dyDescent="0.3">
      <c r="E342" t="str">
        <f>IFERROR(IF(D342="","",VLOOKUP(D342,CadProd!$A:$B,2,0)),"")</f>
        <v/>
      </c>
      <c r="F342" t="str">
        <f>IFERROR(IF(D342="","",VLOOKUP(D342,CadProd!$A:$C,3,0)),"")</f>
        <v/>
      </c>
    </row>
    <row r="343" spans="5:6" x14ac:dyDescent="0.3">
      <c r="E343" t="str">
        <f>IFERROR(IF(D343="","",VLOOKUP(D343,CadProd!$A:$B,2,0)),"")</f>
        <v/>
      </c>
      <c r="F343" t="str">
        <f>IFERROR(IF(D343="","",VLOOKUP(D343,CadProd!$A:$C,3,0)),"")</f>
        <v/>
      </c>
    </row>
    <row r="344" spans="5:6" x14ac:dyDescent="0.3">
      <c r="E344" t="str">
        <f>IFERROR(IF(D344="","",VLOOKUP(D344,CadProd!$A:$B,2,0)),"")</f>
        <v/>
      </c>
      <c r="F344" t="str">
        <f>IFERROR(IF(D344="","",VLOOKUP(D344,CadProd!$A:$C,3,0)),"")</f>
        <v/>
      </c>
    </row>
    <row r="345" spans="5:6" x14ac:dyDescent="0.3">
      <c r="E345" t="str">
        <f>IFERROR(IF(D345="","",VLOOKUP(D345,CadProd!$A:$B,2,0)),"")</f>
        <v/>
      </c>
      <c r="F345" t="str">
        <f>IFERROR(IF(D345="","",VLOOKUP(D345,CadProd!$A:$C,3,0)),"")</f>
        <v/>
      </c>
    </row>
    <row r="346" spans="5:6" x14ac:dyDescent="0.3">
      <c r="E346" t="str">
        <f>IFERROR(IF(D346="","",VLOOKUP(D346,CadProd!$A:$B,2,0)),"")</f>
        <v/>
      </c>
      <c r="F346" t="str">
        <f>IFERROR(IF(D346="","",VLOOKUP(D346,CadProd!$A:$C,3,0)),"")</f>
        <v/>
      </c>
    </row>
    <row r="347" spans="5:6" x14ac:dyDescent="0.3">
      <c r="E347" t="str">
        <f>IFERROR(IF(D347="","",VLOOKUP(D347,CadProd!$A:$B,2,0)),"")</f>
        <v/>
      </c>
      <c r="F347" t="str">
        <f>IFERROR(IF(D347="","",VLOOKUP(D347,CadProd!$A:$C,3,0)),"")</f>
        <v/>
      </c>
    </row>
    <row r="348" spans="5:6" x14ac:dyDescent="0.3">
      <c r="E348" t="str">
        <f>IFERROR(IF(D348="","",VLOOKUP(D348,CadProd!$A:$B,2,0)),"")</f>
        <v/>
      </c>
      <c r="F348" t="str">
        <f>IFERROR(IF(D348="","",VLOOKUP(D348,CadProd!$A:$C,3,0)),"")</f>
        <v/>
      </c>
    </row>
    <row r="349" spans="5:6" x14ac:dyDescent="0.3">
      <c r="E349" t="str">
        <f>IFERROR(IF(D349="","",VLOOKUP(D349,CadProd!$A:$B,2,0)),"")</f>
        <v/>
      </c>
      <c r="F349" t="str">
        <f>IFERROR(IF(D349="","",VLOOKUP(D349,CadProd!$A:$C,3,0)),"")</f>
        <v/>
      </c>
    </row>
    <row r="350" spans="5:6" x14ac:dyDescent="0.3">
      <c r="E350" t="str">
        <f>IFERROR(IF(D350="","",VLOOKUP(D350,CadProd!$A:$B,2,0)),"")</f>
        <v/>
      </c>
      <c r="F350" t="str">
        <f>IFERROR(IF(D350="","",VLOOKUP(D350,CadProd!$A:$C,3,0)),"")</f>
        <v/>
      </c>
    </row>
    <row r="351" spans="5:6" x14ac:dyDescent="0.3">
      <c r="E351" t="str">
        <f>IFERROR(IF(D351="","",VLOOKUP(D351,CadProd!$A:$B,2,0)),"")</f>
        <v/>
      </c>
      <c r="F351" t="str">
        <f>IFERROR(IF(D351="","",VLOOKUP(D351,CadProd!$A:$C,3,0)),"")</f>
        <v/>
      </c>
    </row>
    <row r="352" spans="5:6" x14ac:dyDescent="0.3">
      <c r="E352" t="str">
        <f>IFERROR(IF(D352="","",VLOOKUP(D352,CadProd!$A:$B,2,0)),"")</f>
        <v/>
      </c>
      <c r="F352" t="str">
        <f>IFERROR(IF(D352="","",VLOOKUP(D352,CadProd!$A:$C,3,0)),"")</f>
        <v/>
      </c>
    </row>
    <row r="353" spans="5:6" x14ac:dyDescent="0.3">
      <c r="E353" t="str">
        <f>IFERROR(IF(D353="","",VLOOKUP(D353,CadProd!$A:$B,2,0)),"")</f>
        <v/>
      </c>
      <c r="F353" t="str">
        <f>IFERROR(IF(D353="","",VLOOKUP(D353,CadProd!$A:$C,3,0)),"")</f>
        <v/>
      </c>
    </row>
    <row r="354" spans="5:6" x14ac:dyDescent="0.3">
      <c r="E354" t="str">
        <f>IFERROR(IF(D354="","",VLOOKUP(D354,CadProd!$A:$B,2,0)),"")</f>
        <v/>
      </c>
      <c r="F354" t="str">
        <f>IFERROR(IF(D354="","",VLOOKUP(D354,CadProd!$A:$C,3,0)),"")</f>
        <v/>
      </c>
    </row>
    <row r="355" spans="5:6" x14ac:dyDescent="0.3">
      <c r="E355" t="str">
        <f>IFERROR(IF(D355="","",VLOOKUP(D355,CadProd!$A:$B,2,0)),"")</f>
        <v/>
      </c>
      <c r="F355" t="str">
        <f>IFERROR(IF(D355="","",VLOOKUP(D355,CadProd!$A:$C,3,0)),"")</f>
        <v/>
      </c>
    </row>
    <row r="356" spans="5:6" x14ac:dyDescent="0.3">
      <c r="E356" t="str">
        <f>IFERROR(IF(D356="","",VLOOKUP(D356,CadProd!$A:$B,2,0)),"")</f>
        <v/>
      </c>
      <c r="F356" t="str">
        <f>IFERROR(IF(D356="","",VLOOKUP(D356,CadProd!$A:$C,3,0)),"")</f>
        <v/>
      </c>
    </row>
    <row r="357" spans="5:6" x14ac:dyDescent="0.3">
      <c r="E357" t="str">
        <f>IFERROR(IF(D357="","",VLOOKUP(D357,CadProd!$A:$B,2,0)),"")</f>
        <v/>
      </c>
      <c r="F357" t="str">
        <f>IFERROR(IF(D357="","",VLOOKUP(D357,CadProd!$A:$C,3,0)),"")</f>
        <v/>
      </c>
    </row>
    <row r="358" spans="5:6" x14ac:dyDescent="0.3">
      <c r="E358" t="str">
        <f>IFERROR(IF(D358="","",VLOOKUP(D358,CadProd!$A:$B,2,0)),"")</f>
        <v/>
      </c>
      <c r="F358" t="str">
        <f>IFERROR(IF(D358="","",VLOOKUP(D358,CadProd!$A:$C,3,0)),"")</f>
        <v/>
      </c>
    </row>
    <row r="359" spans="5:6" x14ac:dyDescent="0.3">
      <c r="E359" t="str">
        <f>IFERROR(IF(D359="","",VLOOKUP(D359,CadProd!$A:$B,2,0)),"")</f>
        <v/>
      </c>
      <c r="F359" t="str">
        <f>IFERROR(IF(D359="","",VLOOKUP(D359,CadProd!$A:$C,3,0)),"")</f>
        <v/>
      </c>
    </row>
    <row r="360" spans="5:6" x14ac:dyDescent="0.3">
      <c r="E360" t="str">
        <f>IFERROR(IF(D360="","",VLOOKUP(D360,CadProd!$A:$B,2,0)),"")</f>
        <v/>
      </c>
      <c r="F360" t="str">
        <f>IFERROR(IF(D360="","",VLOOKUP(D360,CadProd!$A:$C,3,0)),"")</f>
        <v/>
      </c>
    </row>
    <row r="361" spans="5:6" x14ac:dyDescent="0.3">
      <c r="E361" t="str">
        <f>IFERROR(IF(D361="","",VLOOKUP(D361,CadProd!$A:$B,2,0)),"")</f>
        <v/>
      </c>
      <c r="F361" t="str">
        <f>IFERROR(IF(D361="","",VLOOKUP(D361,CadProd!$A:$C,3,0)),"")</f>
        <v/>
      </c>
    </row>
    <row r="362" spans="5:6" x14ac:dyDescent="0.3">
      <c r="E362" t="str">
        <f>IFERROR(IF(D362="","",VLOOKUP(D362,CadProd!$A:$B,2,0)),"")</f>
        <v/>
      </c>
      <c r="F362" t="str">
        <f>IFERROR(IF(D362="","",VLOOKUP(D362,CadProd!$A:$C,3,0)),"")</f>
        <v/>
      </c>
    </row>
    <row r="363" spans="5:6" x14ac:dyDescent="0.3">
      <c r="E363" t="str">
        <f>IFERROR(IF(D363="","",VLOOKUP(D363,CadProd!$A:$B,2,0)),"")</f>
        <v/>
      </c>
      <c r="F363" t="str">
        <f>IFERROR(IF(D363="","",VLOOKUP(D363,CadProd!$A:$C,3,0)),"")</f>
        <v/>
      </c>
    </row>
    <row r="364" spans="5:6" x14ac:dyDescent="0.3">
      <c r="E364" t="str">
        <f>IFERROR(IF(D364="","",VLOOKUP(D364,CadProd!$A:$B,2,0)),"")</f>
        <v/>
      </c>
      <c r="F364" t="str">
        <f>IFERROR(IF(D364="","",VLOOKUP(D364,CadProd!$A:$C,3,0)),"")</f>
        <v/>
      </c>
    </row>
    <row r="365" spans="5:6" x14ac:dyDescent="0.3">
      <c r="E365" t="str">
        <f>IFERROR(IF(D365="","",VLOOKUP(D365,CadProd!$A:$B,2,0)),"")</f>
        <v/>
      </c>
      <c r="F365" t="str">
        <f>IFERROR(IF(D365="","",VLOOKUP(D365,CadProd!$A:$C,3,0)),"")</f>
        <v/>
      </c>
    </row>
    <row r="366" spans="5:6" x14ac:dyDescent="0.3">
      <c r="E366" t="str">
        <f>IFERROR(IF(D366="","",VLOOKUP(D366,CadProd!$A:$B,2,0)),"")</f>
        <v/>
      </c>
      <c r="F366" t="str">
        <f>IFERROR(IF(D366="","",VLOOKUP(D366,CadProd!$A:$C,3,0)),"")</f>
        <v/>
      </c>
    </row>
    <row r="367" spans="5:6" x14ac:dyDescent="0.3">
      <c r="E367" t="str">
        <f>IFERROR(IF(D367="","",VLOOKUP(D367,CadProd!$A:$B,2,0)),"")</f>
        <v/>
      </c>
      <c r="F367" t="str">
        <f>IFERROR(IF(D367="","",VLOOKUP(D367,CadProd!$A:$C,3,0)),"")</f>
        <v/>
      </c>
    </row>
    <row r="368" spans="5:6" x14ac:dyDescent="0.3">
      <c r="E368" t="str">
        <f>IFERROR(IF(D368="","",VLOOKUP(D368,CadProd!$A:$B,2,0)),"")</f>
        <v/>
      </c>
      <c r="F368" t="str">
        <f>IFERROR(IF(D368="","",VLOOKUP(D368,CadProd!$A:$C,3,0)),"")</f>
        <v/>
      </c>
    </row>
    <row r="369" spans="5:6" x14ac:dyDescent="0.3">
      <c r="E369" t="str">
        <f>IFERROR(IF(D369="","",VLOOKUP(D369,CadProd!$A:$B,2,0)),"")</f>
        <v/>
      </c>
      <c r="F369" t="str">
        <f>IFERROR(IF(D369="","",VLOOKUP(D369,CadProd!$A:$C,3,0)),"")</f>
        <v/>
      </c>
    </row>
    <row r="370" spans="5:6" x14ac:dyDescent="0.3">
      <c r="E370" t="str">
        <f>IFERROR(IF(D370="","",VLOOKUP(D370,CadProd!$A:$B,2,0)),"")</f>
        <v/>
      </c>
      <c r="F370" t="str">
        <f>IFERROR(IF(D370="","",VLOOKUP(D370,CadProd!$A:$C,3,0)),"")</f>
        <v/>
      </c>
    </row>
    <row r="371" spans="5:6" x14ac:dyDescent="0.3">
      <c r="E371" t="str">
        <f>IFERROR(IF(D371="","",VLOOKUP(D371,CadProd!$A:$B,2,0)),"")</f>
        <v/>
      </c>
      <c r="F371" t="str">
        <f>IFERROR(IF(D371="","",VLOOKUP(D371,CadProd!$A:$C,3,0)),"")</f>
        <v/>
      </c>
    </row>
    <row r="372" spans="5:6" x14ac:dyDescent="0.3">
      <c r="E372" t="str">
        <f>IFERROR(IF(D372="","",VLOOKUP(D372,CadProd!$A:$B,2,0)),"")</f>
        <v/>
      </c>
      <c r="F372" t="str">
        <f>IFERROR(IF(D372="","",VLOOKUP(D372,CadProd!$A:$C,3,0)),"")</f>
        <v/>
      </c>
    </row>
    <row r="373" spans="5:6" x14ac:dyDescent="0.3">
      <c r="E373" t="str">
        <f>IFERROR(IF(D373="","",VLOOKUP(D373,CadProd!$A:$B,2,0)),"")</f>
        <v/>
      </c>
      <c r="F373" t="str">
        <f>IFERROR(IF(D373="","",VLOOKUP(D373,CadProd!$A:$C,3,0)),"")</f>
        <v/>
      </c>
    </row>
    <row r="374" spans="5:6" x14ac:dyDescent="0.3">
      <c r="E374" t="str">
        <f>IFERROR(IF(D374="","",VLOOKUP(D374,CadProd!$A:$B,2,0)),"")</f>
        <v/>
      </c>
      <c r="F374" t="str">
        <f>IFERROR(IF(D374="","",VLOOKUP(D374,CadProd!$A:$C,3,0)),"")</f>
        <v/>
      </c>
    </row>
    <row r="375" spans="5:6" x14ac:dyDescent="0.3">
      <c r="E375" t="str">
        <f>IFERROR(IF(D375="","",VLOOKUP(D375,CadProd!$A:$B,2,0)),"")</f>
        <v/>
      </c>
      <c r="F375" t="str">
        <f>IFERROR(IF(D375="","",VLOOKUP(D375,CadProd!$A:$C,3,0)),"")</f>
        <v/>
      </c>
    </row>
    <row r="376" spans="5:6" x14ac:dyDescent="0.3">
      <c r="E376" t="str">
        <f>IFERROR(IF(D376="","",VLOOKUP(D376,CadProd!$A:$B,2,0)),"")</f>
        <v/>
      </c>
      <c r="F376" t="str">
        <f>IFERROR(IF(D376="","",VLOOKUP(D376,CadProd!$A:$C,3,0)),"")</f>
        <v/>
      </c>
    </row>
    <row r="377" spans="5:6" x14ac:dyDescent="0.3">
      <c r="E377" t="str">
        <f>IFERROR(IF(D377="","",VLOOKUP(D377,CadProd!$A:$B,2,0)),"")</f>
        <v/>
      </c>
      <c r="F377" t="str">
        <f>IFERROR(IF(D377="","",VLOOKUP(D377,CadProd!$A:$C,3,0)),"")</f>
        <v/>
      </c>
    </row>
    <row r="378" spans="5:6" x14ac:dyDescent="0.3">
      <c r="E378" t="str">
        <f>IFERROR(IF(D378="","",VLOOKUP(D378,CadProd!$A:$B,2,0)),"")</f>
        <v/>
      </c>
      <c r="F378" t="str">
        <f>IFERROR(IF(D378="","",VLOOKUP(D378,CadProd!$A:$C,3,0)),"")</f>
        <v/>
      </c>
    </row>
    <row r="379" spans="5:6" x14ac:dyDescent="0.3">
      <c r="E379" t="str">
        <f>IFERROR(IF(D379="","",VLOOKUP(D379,CadProd!$A:$B,2,0)),"")</f>
        <v/>
      </c>
      <c r="F379" t="str">
        <f>IFERROR(IF(D379="","",VLOOKUP(D379,CadProd!$A:$C,3,0)),"")</f>
        <v/>
      </c>
    </row>
    <row r="380" spans="5:6" x14ac:dyDescent="0.3">
      <c r="E380" t="str">
        <f>IFERROR(IF(D380="","",VLOOKUP(D380,CadProd!$A:$B,2,0)),"")</f>
        <v/>
      </c>
      <c r="F380" t="str">
        <f>IFERROR(IF(D380="","",VLOOKUP(D380,CadProd!$A:$C,3,0)),"")</f>
        <v/>
      </c>
    </row>
    <row r="381" spans="5:6" x14ac:dyDescent="0.3">
      <c r="E381" t="str">
        <f>IFERROR(IF(D381="","",VLOOKUP(D381,CadProd!$A:$B,2,0)),"")</f>
        <v/>
      </c>
      <c r="F381" t="str">
        <f>IFERROR(IF(D381="","",VLOOKUP(D381,CadProd!$A:$C,3,0)),"")</f>
        <v/>
      </c>
    </row>
    <row r="382" spans="5:6" x14ac:dyDescent="0.3">
      <c r="E382" t="str">
        <f>IFERROR(IF(D382="","",VLOOKUP(D382,CadProd!$A:$B,2,0)),"")</f>
        <v/>
      </c>
      <c r="F382" t="str">
        <f>IFERROR(IF(D382="","",VLOOKUP(D382,CadProd!$A:$C,3,0)),"")</f>
        <v/>
      </c>
    </row>
    <row r="383" spans="5:6" x14ac:dyDescent="0.3">
      <c r="E383" t="str">
        <f>IFERROR(IF(D383="","",VLOOKUP(D383,CadProd!$A:$B,2,0)),"")</f>
        <v/>
      </c>
      <c r="F383" t="str">
        <f>IFERROR(IF(D383="","",VLOOKUP(D383,CadProd!$A:$C,3,0)),"")</f>
        <v/>
      </c>
    </row>
    <row r="384" spans="5:6" x14ac:dyDescent="0.3">
      <c r="E384" t="str">
        <f>IFERROR(IF(D384="","",VLOOKUP(D384,CadProd!$A:$B,2,0)),"")</f>
        <v/>
      </c>
      <c r="F384" t="str">
        <f>IFERROR(IF(D384="","",VLOOKUP(D384,CadProd!$A:$C,3,0)),"")</f>
        <v/>
      </c>
    </row>
    <row r="385" spans="5:6" x14ac:dyDescent="0.3">
      <c r="E385" t="str">
        <f>IFERROR(IF(D385="","",VLOOKUP(D385,CadProd!$A:$B,2,0)),"")</f>
        <v/>
      </c>
      <c r="F385" t="str">
        <f>IFERROR(IF(D385="","",VLOOKUP(D385,CadProd!$A:$C,3,0)),"")</f>
        <v/>
      </c>
    </row>
    <row r="386" spans="5:6" x14ac:dyDescent="0.3">
      <c r="E386" t="str">
        <f>IFERROR(IF(D386="","",VLOOKUP(D386,CadProd!$A:$B,2,0)),"")</f>
        <v/>
      </c>
      <c r="F386" t="str">
        <f>IFERROR(IF(D386="","",VLOOKUP(D386,CadProd!$A:$C,3,0)),"")</f>
        <v/>
      </c>
    </row>
    <row r="387" spans="5:6" x14ac:dyDescent="0.3">
      <c r="E387" t="str">
        <f>IFERROR(IF(D387="","",VLOOKUP(D387,CadProd!$A:$B,2,0)),"")</f>
        <v/>
      </c>
      <c r="F387" t="str">
        <f>IFERROR(IF(D387="","",VLOOKUP(D387,CadProd!$A:$C,3,0)),"")</f>
        <v/>
      </c>
    </row>
    <row r="388" spans="5:6" x14ac:dyDescent="0.3">
      <c r="E388" t="str">
        <f>IFERROR(IF(D388="","",VLOOKUP(D388,CadProd!$A:$B,2,0)),"")</f>
        <v/>
      </c>
      <c r="F388" t="str">
        <f>IFERROR(IF(D388="","",VLOOKUP(D388,CadProd!$A:$C,3,0)),"")</f>
        <v/>
      </c>
    </row>
    <row r="389" spans="5:6" x14ac:dyDescent="0.3">
      <c r="E389" t="str">
        <f>IFERROR(IF(D389="","",VLOOKUP(D389,CadProd!$A:$B,2,0)),"")</f>
        <v/>
      </c>
      <c r="F389" t="str">
        <f>IFERROR(IF(D389="","",VLOOKUP(D389,CadProd!$A:$C,3,0)),"")</f>
        <v/>
      </c>
    </row>
    <row r="390" spans="5:6" x14ac:dyDescent="0.3">
      <c r="E390" t="str">
        <f>IFERROR(IF(D390="","",VLOOKUP(D390,CadProd!$A:$B,2,0)),"")</f>
        <v/>
      </c>
      <c r="F390" t="str">
        <f>IFERROR(IF(D390="","",VLOOKUP(D390,CadProd!$A:$C,3,0)),"")</f>
        <v/>
      </c>
    </row>
    <row r="391" spans="5:6" x14ac:dyDescent="0.3">
      <c r="E391" t="str">
        <f>IFERROR(IF(D391="","",VLOOKUP(D391,CadProd!$A:$B,2,0)),"")</f>
        <v/>
      </c>
      <c r="F391" t="str">
        <f>IFERROR(IF(D391="","",VLOOKUP(D391,CadProd!$A:$C,3,0)),"")</f>
        <v/>
      </c>
    </row>
    <row r="392" spans="5:6" x14ac:dyDescent="0.3">
      <c r="E392" t="str">
        <f>IFERROR(IF(D392="","",VLOOKUP(D392,CadProd!$A:$B,2,0)),"")</f>
        <v/>
      </c>
      <c r="F392" t="str">
        <f>IFERROR(IF(D392="","",VLOOKUP(D392,CadProd!$A:$C,3,0)),"")</f>
        <v/>
      </c>
    </row>
    <row r="393" spans="5:6" x14ac:dyDescent="0.3">
      <c r="E393" t="str">
        <f>IFERROR(IF(D393="","",VLOOKUP(D393,CadProd!$A:$B,2,0)),"")</f>
        <v/>
      </c>
      <c r="F393" t="str">
        <f>IFERROR(IF(D393="","",VLOOKUP(D393,CadProd!$A:$C,3,0)),"")</f>
        <v/>
      </c>
    </row>
    <row r="394" spans="5:6" x14ac:dyDescent="0.3">
      <c r="E394" t="str">
        <f>IFERROR(IF(D394="","",VLOOKUP(D394,CadProd!$A:$B,2,0)),"")</f>
        <v/>
      </c>
      <c r="F394" t="str">
        <f>IFERROR(IF(D394="","",VLOOKUP(D394,CadProd!$A:$C,3,0)),"")</f>
        <v/>
      </c>
    </row>
    <row r="395" spans="5:6" x14ac:dyDescent="0.3">
      <c r="E395" t="str">
        <f>IFERROR(IF(D395="","",VLOOKUP(D395,CadProd!$A:$B,2,0)),"")</f>
        <v/>
      </c>
      <c r="F395" t="str">
        <f>IFERROR(IF(D395="","",VLOOKUP(D395,CadProd!$A:$C,3,0)),"")</f>
        <v/>
      </c>
    </row>
    <row r="396" spans="5:6" x14ac:dyDescent="0.3">
      <c r="E396" t="str">
        <f>IFERROR(IF(D396="","",VLOOKUP(D396,CadProd!$A:$B,2,0)),"")</f>
        <v/>
      </c>
      <c r="F396" t="str">
        <f>IFERROR(IF(D396="","",VLOOKUP(D396,CadProd!$A:$C,3,0)),"")</f>
        <v/>
      </c>
    </row>
    <row r="397" spans="5:6" x14ac:dyDescent="0.3">
      <c r="E397" t="str">
        <f>IFERROR(IF(D397="","",VLOOKUP(D397,CadProd!$A:$B,2,0)),"")</f>
        <v/>
      </c>
      <c r="F397" t="str">
        <f>IFERROR(IF(D397="","",VLOOKUP(D397,CadProd!$A:$C,3,0)),"")</f>
        <v/>
      </c>
    </row>
    <row r="398" spans="5:6" x14ac:dyDescent="0.3">
      <c r="E398" t="str">
        <f>IFERROR(IF(D398="","",VLOOKUP(D398,CadProd!$A:$B,2,0)),"")</f>
        <v/>
      </c>
      <c r="F398" t="str">
        <f>IFERROR(IF(D398="","",VLOOKUP(D398,CadProd!$A:$C,3,0)),"")</f>
        <v/>
      </c>
    </row>
    <row r="399" spans="5:6" x14ac:dyDescent="0.3">
      <c r="E399" t="str">
        <f>IFERROR(IF(D399="","",VLOOKUP(D399,CadProd!$A:$B,2,0)),"")</f>
        <v/>
      </c>
      <c r="F399" t="str">
        <f>IFERROR(IF(D399="","",VLOOKUP(D399,CadProd!$A:$C,3,0)),"")</f>
        <v/>
      </c>
    </row>
    <row r="400" spans="5:6" x14ac:dyDescent="0.3">
      <c r="E400" t="str">
        <f>IFERROR(IF(D400="","",VLOOKUP(D400,CadProd!$A:$B,2,0)),"")</f>
        <v/>
      </c>
      <c r="F400" t="str">
        <f>IFERROR(IF(D400="","",VLOOKUP(D400,CadProd!$A:$C,3,0)),"")</f>
        <v/>
      </c>
    </row>
    <row r="401" spans="5:6" x14ac:dyDescent="0.3">
      <c r="E401" t="str">
        <f>IFERROR(IF(D401="","",VLOOKUP(D401,CadProd!$A:$B,2,0)),"")</f>
        <v/>
      </c>
      <c r="F401" t="str">
        <f>IFERROR(IF(D401="","",VLOOKUP(D401,CadProd!$A:$C,3,0)),"")</f>
        <v/>
      </c>
    </row>
    <row r="402" spans="5:6" x14ac:dyDescent="0.3">
      <c r="E402" t="str">
        <f>IFERROR(IF(D402="","",VLOOKUP(D402,CadProd!$A:$B,2,0)),"")</f>
        <v/>
      </c>
      <c r="F402" t="str">
        <f>IFERROR(IF(D402="","",VLOOKUP(D402,CadProd!$A:$C,3,0)),"")</f>
        <v/>
      </c>
    </row>
    <row r="403" spans="5:6" x14ac:dyDescent="0.3">
      <c r="E403" t="str">
        <f>IFERROR(IF(D403="","",VLOOKUP(D403,CadProd!$A:$B,2,0)),"")</f>
        <v/>
      </c>
      <c r="F403" t="str">
        <f>IFERROR(IF(D403="","",VLOOKUP(D403,CadProd!$A:$C,3,0)),"")</f>
        <v/>
      </c>
    </row>
    <row r="404" spans="5:6" x14ac:dyDescent="0.3">
      <c r="E404" t="str">
        <f>IFERROR(IF(D404="","",VLOOKUP(D404,CadProd!$A:$B,2,0)),"")</f>
        <v/>
      </c>
      <c r="F404" t="str">
        <f>IFERROR(IF(D404="","",VLOOKUP(D404,CadProd!$A:$C,3,0)),"")</f>
        <v/>
      </c>
    </row>
    <row r="405" spans="5:6" x14ac:dyDescent="0.3">
      <c r="E405" t="str">
        <f>IFERROR(IF(D405="","",VLOOKUP(D405,CadProd!$A:$B,2,0)),"")</f>
        <v/>
      </c>
      <c r="F405" t="str">
        <f>IFERROR(IF(D405="","",VLOOKUP(D405,CadProd!$A:$C,3,0)),"")</f>
        <v/>
      </c>
    </row>
    <row r="406" spans="5:6" x14ac:dyDescent="0.3">
      <c r="E406" t="str">
        <f>IFERROR(IF(D406="","",VLOOKUP(D406,CadProd!$A:$B,2,0)),"")</f>
        <v/>
      </c>
      <c r="F406" t="str">
        <f>IFERROR(IF(D406="","",VLOOKUP(D406,CadProd!$A:$C,3,0)),"")</f>
        <v/>
      </c>
    </row>
    <row r="407" spans="5:6" x14ac:dyDescent="0.3">
      <c r="E407" t="str">
        <f>IFERROR(IF(D407="","",VLOOKUP(D407,CadProd!$A:$B,2,0)),"")</f>
        <v/>
      </c>
      <c r="F407" t="str">
        <f>IFERROR(IF(D407="","",VLOOKUP(D407,CadProd!$A:$C,3,0)),"")</f>
        <v/>
      </c>
    </row>
    <row r="408" spans="5:6" x14ac:dyDescent="0.3">
      <c r="E408" t="str">
        <f>IFERROR(IF(D408="","",VLOOKUP(D408,CadProd!$A:$B,2,0)),"")</f>
        <v/>
      </c>
      <c r="F408" t="str">
        <f>IFERROR(IF(D408="","",VLOOKUP(D408,CadProd!$A:$C,3,0)),"")</f>
        <v/>
      </c>
    </row>
    <row r="409" spans="5:6" x14ac:dyDescent="0.3">
      <c r="E409" t="str">
        <f>IFERROR(IF(D409="","",VLOOKUP(D409,CadProd!$A:$B,2,0)),"")</f>
        <v/>
      </c>
      <c r="F409" t="str">
        <f>IFERROR(IF(D409="","",VLOOKUP(D409,CadProd!$A:$C,3,0)),"")</f>
        <v/>
      </c>
    </row>
    <row r="410" spans="5:6" x14ac:dyDescent="0.3">
      <c r="E410" t="str">
        <f>IFERROR(IF(D410="","",VLOOKUP(D410,CadProd!$A:$B,2,0)),"")</f>
        <v/>
      </c>
      <c r="F410" t="str">
        <f>IFERROR(IF(D410="","",VLOOKUP(D410,CadProd!$A:$C,3,0)),"")</f>
        <v/>
      </c>
    </row>
    <row r="411" spans="5:6" x14ac:dyDescent="0.3">
      <c r="E411" t="str">
        <f>IFERROR(IF(D411="","",VLOOKUP(D411,CadProd!$A:$B,2,0)),"")</f>
        <v/>
      </c>
      <c r="F411" t="str">
        <f>IFERROR(IF(D411="","",VLOOKUP(D411,CadProd!$A:$C,3,0)),"")</f>
        <v/>
      </c>
    </row>
    <row r="412" spans="5:6" x14ac:dyDescent="0.3">
      <c r="E412" t="str">
        <f>IFERROR(IF(D412="","",VLOOKUP(D412,CadProd!$A:$B,2,0)),"")</f>
        <v/>
      </c>
      <c r="F412" t="str">
        <f>IFERROR(IF(D412="","",VLOOKUP(D412,CadProd!$A:$C,3,0)),"")</f>
        <v/>
      </c>
    </row>
    <row r="413" spans="5:6" x14ac:dyDescent="0.3">
      <c r="E413" t="str">
        <f>IFERROR(IF(D413="","",VLOOKUP(D413,CadProd!$A:$B,2,0)),"")</f>
        <v/>
      </c>
      <c r="F413" t="str">
        <f>IFERROR(IF(D413="","",VLOOKUP(D413,CadProd!$A:$C,3,0)),"")</f>
        <v/>
      </c>
    </row>
    <row r="414" spans="5:6" x14ac:dyDescent="0.3">
      <c r="E414" t="str">
        <f>IFERROR(IF(D414="","",VLOOKUP(D414,CadProd!$A:$B,2,0)),"")</f>
        <v/>
      </c>
      <c r="F414" t="str">
        <f>IFERROR(IF(D414="","",VLOOKUP(D414,CadProd!$A:$C,3,0)),"")</f>
        <v/>
      </c>
    </row>
    <row r="415" spans="5:6" x14ac:dyDescent="0.3">
      <c r="E415" t="str">
        <f>IFERROR(IF(D415="","",VLOOKUP(D415,CadProd!$A:$B,2,0)),"")</f>
        <v/>
      </c>
      <c r="F415" t="str">
        <f>IFERROR(IF(D415="","",VLOOKUP(D415,CadProd!$A:$C,3,0)),"")</f>
        <v/>
      </c>
    </row>
    <row r="416" spans="5:6" x14ac:dyDescent="0.3">
      <c r="E416" t="str">
        <f>IFERROR(IF(D416="","",VLOOKUP(D416,CadProd!$A:$B,2,0)),"")</f>
        <v/>
      </c>
      <c r="F416" t="str">
        <f>IFERROR(IF(D416="","",VLOOKUP(D416,CadProd!$A:$C,3,0)),"")</f>
        <v/>
      </c>
    </row>
    <row r="417" spans="5:6" x14ac:dyDescent="0.3">
      <c r="E417" t="str">
        <f>IFERROR(IF(D417="","",VLOOKUP(D417,CadProd!$A:$B,2,0)),"")</f>
        <v/>
      </c>
      <c r="F417" t="str">
        <f>IFERROR(IF(D417="","",VLOOKUP(D417,CadProd!$A:$C,3,0)),"")</f>
        <v/>
      </c>
    </row>
    <row r="418" spans="5:6" x14ac:dyDescent="0.3">
      <c r="E418" t="str">
        <f>IFERROR(IF(D418="","",VLOOKUP(D418,CadProd!$A:$B,2,0)),"")</f>
        <v/>
      </c>
      <c r="F418" t="str">
        <f>IFERROR(IF(D418="","",VLOOKUP(D418,CadProd!$A:$C,3,0)),"")</f>
        <v/>
      </c>
    </row>
    <row r="419" spans="5:6" x14ac:dyDescent="0.3">
      <c r="E419" t="str">
        <f>IFERROR(IF(D419="","",VLOOKUP(D419,CadProd!$A:$B,2,0)),"")</f>
        <v/>
      </c>
      <c r="F419" t="str">
        <f>IFERROR(IF(D419="","",VLOOKUP(D419,CadProd!$A:$C,3,0)),"")</f>
        <v/>
      </c>
    </row>
    <row r="420" spans="5:6" x14ac:dyDescent="0.3">
      <c r="E420" t="str">
        <f>IFERROR(IF(D420="","",VLOOKUP(D420,CadProd!$A:$B,2,0)),"")</f>
        <v/>
      </c>
      <c r="F420" t="str">
        <f>IFERROR(IF(D420="","",VLOOKUP(D420,CadProd!$A:$C,3,0)),"")</f>
        <v/>
      </c>
    </row>
    <row r="421" spans="5:6" x14ac:dyDescent="0.3">
      <c r="E421" t="str">
        <f>IFERROR(IF(D421="","",VLOOKUP(D421,CadProd!$A:$B,2,0)),"")</f>
        <v/>
      </c>
      <c r="F421" t="str">
        <f>IFERROR(IF(D421="","",VLOOKUP(D421,CadProd!$A:$C,3,0)),"")</f>
        <v/>
      </c>
    </row>
    <row r="422" spans="5:6" x14ac:dyDescent="0.3">
      <c r="E422" t="str">
        <f>IFERROR(IF(D422="","",VLOOKUP(D422,CadProd!$A:$B,2,0)),"")</f>
        <v/>
      </c>
      <c r="F422" t="str">
        <f>IFERROR(IF(D422="","",VLOOKUP(D422,CadProd!$A:$C,3,0)),"")</f>
        <v/>
      </c>
    </row>
    <row r="423" spans="5:6" x14ac:dyDescent="0.3">
      <c r="E423" t="str">
        <f>IFERROR(IF(D423="","",VLOOKUP(D423,CadProd!$A:$B,2,0)),"")</f>
        <v/>
      </c>
      <c r="F423" t="str">
        <f>IFERROR(IF(D423="","",VLOOKUP(D423,CadProd!$A:$C,3,0)),"")</f>
        <v/>
      </c>
    </row>
    <row r="424" spans="5:6" x14ac:dyDescent="0.3">
      <c r="E424" t="str">
        <f>IFERROR(IF(D424="","",VLOOKUP(D424,CadProd!$A:$B,2,0)),"")</f>
        <v/>
      </c>
      <c r="F424" t="str">
        <f>IFERROR(IF(D424="","",VLOOKUP(D424,CadProd!$A:$C,3,0)),"")</f>
        <v/>
      </c>
    </row>
    <row r="425" spans="5:6" x14ac:dyDescent="0.3">
      <c r="E425" t="str">
        <f>IFERROR(IF(D425="","",VLOOKUP(D425,CadProd!$A:$B,2,0)),"")</f>
        <v/>
      </c>
      <c r="F425" t="str">
        <f>IFERROR(IF(D425="","",VLOOKUP(D425,CadProd!$A:$C,3,0)),"")</f>
        <v/>
      </c>
    </row>
    <row r="426" spans="5:6" x14ac:dyDescent="0.3">
      <c r="E426" t="str">
        <f>IFERROR(IF(D426="","",VLOOKUP(D426,CadProd!$A:$B,2,0)),"")</f>
        <v/>
      </c>
      <c r="F426" t="str">
        <f>IFERROR(IF(D426="","",VLOOKUP(D426,CadProd!$A:$C,3,0)),"")</f>
        <v/>
      </c>
    </row>
    <row r="427" spans="5:6" x14ac:dyDescent="0.3">
      <c r="E427" t="str">
        <f>IFERROR(IF(D427="","",VLOOKUP(D427,CadProd!$A:$B,2,0)),"")</f>
        <v/>
      </c>
      <c r="F427" t="str">
        <f>IFERROR(IF(D427="","",VLOOKUP(D427,CadProd!$A:$C,3,0)),"")</f>
        <v/>
      </c>
    </row>
    <row r="428" spans="5:6" x14ac:dyDescent="0.3">
      <c r="E428" t="str">
        <f>IFERROR(IF(D428="","",VLOOKUP(D428,CadProd!$A:$B,2,0)),"")</f>
        <v/>
      </c>
      <c r="F428" t="str">
        <f>IFERROR(IF(D428="","",VLOOKUP(D428,CadProd!$A:$C,3,0)),"")</f>
        <v/>
      </c>
    </row>
    <row r="429" spans="5:6" x14ac:dyDescent="0.3">
      <c r="E429" t="str">
        <f>IFERROR(IF(D429="","",VLOOKUP(D429,CadProd!$A:$B,2,0)),"")</f>
        <v/>
      </c>
      <c r="F429" t="str">
        <f>IFERROR(IF(D429="","",VLOOKUP(D429,CadProd!$A:$C,3,0)),"")</f>
        <v/>
      </c>
    </row>
    <row r="430" spans="5:6" x14ac:dyDescent="0.3">
      <c r="E430" t="str">
        <f>IFERROR(IF(D430="","",VLOOKUP(D430,CadProd!$A:$B,2,0)),"")</f>
        <v/>
      </c>
      <c r="F430" t="str">
        <f>IFERROR(IF(D430="","",VLOOKUP(D430,CadProd!$A:$C,3,0)),"")</f>
        <v/>
      </c>
    </row>
    <row r="431" spans="5:6" x14ac:dyDescent="0.3">
      <c r="E431" t="str">
        <f>IFERROR(IF(D431="","",VLOOKUP(D431,CadProd!$A:$B,2,0)),"")</f>
        <v/>
      </c>
      <c r="F431" t="str">
        <f>IFERROR(IF(D431="","",VLOOKUP(D431,CadProd!$A:$C,3,0)),"")</f>
        <v/>
      </c>
    </row>
    <row r="432" spans="5:6" x14ac:dyDescent="0.3">
      <c r="E432" t="str">
        <f>IFERROR(IF(D432="","",VLOOKUP(D432,CadProd!$A:$B,2,0)),"")</f>
        <v/>
      </c>
      <c r="F432" t="str">
        <f>IFERROR(IF(D432="","",VLOOKUP(D432,CadProd!$A:$C,3,0)),"")</f>
        <v/>
      </c>
    </row>
    <row r="433" spans="5:6" x14ac:dyDescent="0.3">
      <c r="E433" t="str">
        <f>IFERROR(IF(D433="","",VLOOKUP(D433,CadProd!$A:$B,2,0)),"")</f>
        <v/>
      </c>
      <c r="F433" t="str">
        <f>IFERROR(IF(D433="","",VLOOKUP(D433,CadProd!$A:$C,3,0)),"")</f>
        <v/>
      </c>
    </row>
    <row r="434" spans="5:6" x14ac:dyDescent="0.3">
      <c r="E434" t="str">
        <f>IFERROR(IF(D434="","",VLOOKUP(D434,CadProd!$A:$B,2,0)),"")</f>
        <v/>
      </c>
      <c r="F434" t="str">
        <f>IFERROR(IF(D434="","",VLOOKUP(D434,CadProd!$A:$C,3,0)),"")</f>
        <v/>
      </c>
    </row>
    <row r="435" spans="5:6" x14ac:dyDescent="0.3">
      <c r="E435" t="str">
        <f>IFERROR(IF(D435="","",VLOOKUP(D435,CadProd!$A:$B,2,0)),"")</f>
        <v/>
      </c>
      <c r="F435" t="str">
        <f>IFERROR(IF(D435="","",VLOOKUP(D435,CadProd!$A:$C,3,0)),"")</f>
        <v/>
      </c>
    </row>
    <row r="436" spans="5:6" x14ac:dyDescent="0.3">
      <c r="E436" t="str">
        <f>IFERROR(IF(D436="","",VLOOKUP(D436,CadProd!$A:$B,2,0)),"")</f>
        <v/>
      </c>
      <c r="F436" t="str">
        <f>IFERROR(IF(D436="","",VLOOKUP(D436,CadProd!$A:$C,3,0)),"")</f>
        <v/>
      </c>
    </row>
    <row r="437" spans="5:6" x14ac:dyDescent="0.3">
      <c r="E437" t="str">
        <f>IFERROR(IF(D437="","",VLOOKUP(D437,CadProd!$A:$B,2,0)),"")</f>
        <v/>
      </c>
      <c r="F437" t="str">
        <f>IFERROR(IF(D437="","",VLOOKUP(D437,CadProd!$A:$C,3,0)),"")</f>
        <v/>
      </c>
    </row>
    <row r="438" spans="5:6" x14ac:dyDescent="0.3">
      <c r="E438" t="str">
        <f>IFERROR(IF(D438="","",VLOOKUP(D438,CadProd!$A:$B,2,0)),"")</f>
        <v/>
      </c>
      <c r="F438" t="str">
        <f>IFERROR(IF(D438="","",VLOOKUP(D438,CadProd!$A:$C,3,0)),"")</f>
        <v/>
      </c>
    </row>
    <row r="439" spans="5:6" x14ac:dyDescent="0.3">
      <c r="E439" t="str">
        <f>IFERROR(IF(D439="","",VLOOKUP(D439,CadProd!$A:$B,2,0)),"")</f>
        <v/>
      </c>
      <c r="F439" t="str">
        <f>IFERROR(IF(D439="","",VLOOKUP(D439,CadProd!$A:$C,3,0)),"")</f>
        <v/>
      </c>
    </row>
    <row r="440" spans="5:6" x14ac:dyDescent="0.3">
      <c r="E440" t="str">
        <f>IFERROR(IF(D440="","",VLOOKUP(D440,CadProd!$A:$B,2,0)),"")</f>
        <v/>
      </c>
      <c r="F440" t="str">
        <f>IFERROR(IF(D440="","",VLOOKUP(D440,CadProd!$A:$C,3,0)),"")</f>
        <v/>
      </c>
    </row>
    <row r="441" spans="5:6" x14ac:dyDescent="0.3">
      <c r="E441" t="str">
        <f>IFERROR(IF(D441="","",VLOOKUP(D441,CadProd!$A:$B,2,0)),"")</f>
        <v/>
      </c>
      <c r="F441" t="str">
        <f>IFERROR(IF(D441="","",VLOOKUP(D441,CadProd!$A:$C,3,0)),"")</f>
        <v/>
      </c>
    </row>
    <row r="442" spans="5:6" x14ac:dyDescent="0.3">
      <c r="E442" t="str">
        <f>IFERROR(IF(D442="","",VLOOKUP(D442,CadProd!$A:$B,2,0)),"")</f>
        <v/>
      </c>
      <c r="F442" t="str">
        <f>IFERROR(IF(D442="","",VLOOKUP(D442,CadProd!$A:$C,3,0)),"")</f>
        <v/>
      </c>
    </row>
    <row r="443" spans="5:6" x14ac:dyDescent="0.3">
      <c r="E443" t="str">
        <f>IFERROR(IF(D443="","",VLOOKUP(D443,CadProd!$A:$B,2,0)),"")</f>
        <v/>
      </c>
      <c r="F443" t="str">
        <f>IFERROR(IF(D443="","",VLOOKUP(D443,CadProd!$A:$C,3,0)),"")</f>
        <v/>
      </c>
    </row>
    <row r="444" spans="5:6" x14ac:dyDescent="0.3">
      <c r="E444" t="str">
        <f>IFERROR(IF(D444="","",VLOOKUP(D444,CadProd!$A:$B,2,0)),"")</f>
        <v/>
      </c>
      <c r="F444" t="str">
        <f>IFERROR(IF(D444="","",VLOOKUP(D444,CadProd!$A:$C,3,0)),"")</f>
        <v/>
      </c>
    </row>
    <row r="445" spans="5:6" x14ac:dyDescent="0.3">
      <c r="E445" t="str">
        <f>IFERROR(IF(D445="","",VLOOKUP(D445,CadProd!$A:$B,2,0)),"")</f>
        <v/>
      </c>
      <c r="F445" t="str">
        <f>IFERROR(IF(D445="","",VLOOKUP(D445,CadProd!$A:$C,3,0)),"")</f>
        <v/>
      </c>
    </row>
    <row r="446" spans="5:6" x14ac:dyDescent="0.3">
      <c r="E446" t="str">
        <f>IFERROR(IF(D446="","",VLOOKUP(D446,CadProd!$A:$B,2,0)),"")</f>
        <v/>
      </c>
      <c r="F446" t="str">
        <f>IFERROR(IF(D446="","",VLOOKUP(D446,CadProd!$A:$C,3,0)),"")</f>
        <v/>
      </c>
    </row>
    <row r="447" spans="5:6" x14ac:dyDescent="0.3">
      <c r="E447" t="str">
        <f>IFERROR(IF(D447="","",VLOOKUP(D447,CadProd!$A:$B,2,0)),"")</f>
        <v/>
      </c>
      <c r="F447" t="str">
        <f>IFERROR(IF(D447="","",VLOOKUP(D447,CadProd!$A:$C,3,0)),"")</f>
        <v/>
      </c>
    </row>
    <row r="448" spans="5:6" x14ac:dyDescent="0.3">
      <c r="E448" t="str">
        <f>IFERROR(IF(D448="","",VLOOKUP(D448,CadProd!$A:$B,2,0)),"")</f>
        <v/>
      </c>
      <c r="F448" t="str">
        <f>IFERROR(IF(D448="","",VLOOKUP(D448,CadProd!$A:$C,3,0)),"")</f>
        <v/>
      </c>
    </row>
    <row r="449" spans="5:6" x14ac:dyDescent="0.3">
      <c r="E449" t="str">
        <f>IFERROR(IF(D449="","",VLOOKUP(D449,CadProd!$A:$B,2,0)),"")</f>
        <v/>
      </c>
      <c r="F449" t="str">
        <f>IFERROR(IF(D449="","",VLOOKUP(D449,CadProd!$A:$C,3,0)),"")</f>
        <v/>
      </c>
    </row>
    <row r="450" spans="5:6" x14ac:dyDescent="0.3">
      <c r="E450" t="str">
        <f>IFERROR(IF(D450="","",VLOOKUP(D450,CadProd!$A:$B,2,0)),"")</f>
        <v/>
      </c>
      <c r="F450" t="str">
        <f>IFERROR(IF(D450="","",VLOOKUP(D450,CadProd!$A:$C,3,0)),"")</f>
        <v/>
      </c>
    </row>
    <row r="451" spans="5:6" x14ac:dyDescent="0.3">
      <c r="E451" t="str">
        <f>IFERROR(IF(D451="","",VLOOKUP(D451,CadProd!$A:$B,2,0)),"")</f>
        <v/>
      </c>
      <c r="F451" t="str">
        <f>IFERROR(IF(D451="","",VLOOKUP(D451,CadProd!$A:$C,3,0)),"")</f>
        <v/>
      </c>
    </row>
    <row r="452" spans="5:6" x14ac:dyDescent="0.3">
      <c r="E452" t="str">
        <f>IFERROR(IF(D452="","",VLOOKUP(D452,CadProd!$A:$B,2,0)),"")</f>
        <v/>
      </c>
      <c r="F452" t="str">
        <f>IFERROR(IF(D452="","",VLOOKUP(D452,CadProd!$A:$C,3,0)),"")</f>
        <v/>
      </c>
    </row>
    <row r="453" spans="5:6" x14ac:dyDescent="0.3">
      <c r="E453" t="str">
        <f>IFERROR(IF(D453="","",VLOOKUP(D453,CadProd!$A:$B,2,0)),"")</f>
        <v/>
      </c>
      <c r="F453" t="str">
        <f>IFERROR(IF(D453="","",VLOOKUP(D453,CadProd!$A:$C,3,0)),"")</f>
        <v/>
      </c>
    </row>
    <row r="454" spans="5:6" x14ac:dyDescent="0.3">
      <c r="E454" t="str">
        <f>IFERROR(IF(D454="","",VLOOKUP(D454,CadProd!$A:$B,2,0)),"")</f>
        <v/>
      </c>
      <c r="F454" t="str">
        <f>IFERROR(IF(D454="","",VLOOKUP(D454,CadProd!$A:$C,3,0)),"")</f>
        <v/>
      </c>
    </row>
    <row r="455" spans="5:6" x14ac:dyDescent="0.3">
      <c r="E455" t="str">
        <f>IFERROR(IF(D455="","",VLOOKUP(D455,CadProd!$A:$B,2,0)),"")</f>
        <v/>
      </c>
      <c r="F455" t="str">
        <f>IFERROR(IF(D455="","",VLOOKUP(D455,CadProd!$A:$C,3,0)),"")</f>
        <v/>
      </c>
    </row>
    <row r="456" spans="5:6" x14ac:dyDescent="0.3">
      <c r="E456" t="str">
        <f>IFERROR(IF(D456="","",VLOOKUP(D456,CadProd!$A:$B,2,0)),"")</f>
        <v/>
      </c>
      <c r="F456" t="str">
        <f>IFERROR(IF(D456="","",VLOOKUP(D456,CadProd!$A:$C,3,0)),"")</f>
        <v/>
      </c>
    </row>
    <row r="457" spans="5:6" x14ac:dyDescent="0.3">
      <c r="E457" t="str">
        <f>IFERROR(IF(D457="","",VLOOKUP(D457,CadProd!$A:$B,2,0)),"")</f>
        <v/>
      </c>
      <c r="F457" t="str">
        <f>IFERROR(IF(D457="","",VLOOKUP(D457,CadProd!$A:$C,3,0)),"")</f>
        <v/>
      </c>
    </row>
    <row r="458" spans="5:6" x14ac:dyDescent="0.3">
      <c r="E458" t="str">
        <f>IFERROR(IF(D458="","",VLOOKUP(D458,CadProd!$A:$B,2,0)),"")</f>
        <v/>
      </c>
      <c r="F458" t="str">
        <f>IFERROR(IF(D458="","",VLOOKUP(D458,CadProd!$A:$C,3,0)),"")</f>
        <v/>
      </c>
    </row>
    <row r="459" spans="5:6" x14ac:dyDescent="0.3">
      <c r="E459" t="str">
        <f>IFERROR(IF(D459="","",VLOOKUP(D459,CadProd!$A:$B,2,0)),"")</f>
        <v/>
      </c>
      <c r="F459" t="str">
        <f>IFERROR(IF(D459="","",VLOOKUP(D459,CadProd!$A:$C,3,0)),"")</f>
        <v/>
      </c>
    </row>
    <row r="460" spans="5:6" x14ac:dyDescent="0.3">
      <c r="E460" t="str">
        <f>IFERROR(IF(D460="","",VLOOKUP(D460,CadProd!$A:$B,2,0)),"")</f>
        <v/>
      </c>
      <c r="F460" t="str">
        <f>IFERROR(IF(D460="","",VLOOKUP(D460,CadProd!$A:$C,3,0)),"")</f>
        <v/>
      </c>
    </row>
    <row r="461" spans="5:6" x14ac:dyDescent="0.3">
      <c r="E461" t="str">
        <f>IFERROR(IF(D461="","",VLOOKUP(D461,CadProd!$A:$B,2,0)),"")</f>
        <v/>
      </c>
      <c r="F461" t="str">
        <f>IFERROR(IF(D461="","",VLOOKUP(D461,CadProd!$A:$C,3,0)),"")</f>
        <v/>
      </c>
    </row>
    <row r="462" spans="5:6" x14ac:dyDescent="0.3">
      <c r="E462" t="str">
        <f>IFERROR(IF(D462="","",VLOOKUP(D462,CadProd!$A:$B,2,0)),"")</f>
        <v/>
      </c>
      <c r="F462" t="str">
        <f>IFERROR(IF(D462="","",VLOOKUP(D462,CadProd!$A:$C,3,0)),"")</f>
        <v/>
      </c>
    </row>
    <row r="463" spans="5:6" x14ac:dyDescent="0.3">
      <c r="E463" t="str">
        <f>IFERROR(IF(D463="","",VLOOKUP(D463,CadProd!$A:$B,2,0)),"")</f>
        <v/>
      </c>
      <c r="F463" t="str">
        <f>IFERROR(IF(D463="","",VLOOKUP(D463,CadProd!$A:$C,3,0)),"")</f>
        <v/>
      </c>
    </row>
    <row r="464" spans="5:6" x14ac:dyDescent="0.3">
      <c r="E464" t="str">
        <f>IFERROR(IF(D464="","",VLOOKUP(D464,CadProd!$A:$B,2,0)),"")</f>
        <v/>
      </c>
      <c r="F464" t="str">
        <f>IFERROR(IF(D464="","",VLOOKUP(D464,CadProd!$A:$C,3,0)),"")</f>
        <v/>
      </c>
    </row>
    <row r="465" spans="5:6" x14ac:dyDescent="0.3">
      <c r="E465" t="str">
        <f>IFERROR(IF(D465="","",VLOOKUP(D465,CadProd!$A:$B,2,0)),"")</f>
        <v/>
      </c>
      <c r="F465" t="str">
        <f>IFERROR(IF(D465="","",VLOOKUP(D465,CadProd!$A:$C,3,0)),"")</f>
        <v/>
      </c>
    </row>
    <row r="466" spans="5:6" x14ac:dyDescent="0.3">
      <c r="E466" t="str">
        <f>IFERROR(IF(D466="","",VLOOKUP(D466,CadProd!$A:$B,2,0)),"")</f>
        <v/>
      </c>
      <c r="F466" t="str">
        <f>IFERROR(IF(D466="","",VLOOKUP(D466,CadProd!$A:$C,3,0)),"")</f>
        <v/>
      </c>
    </row>
    <row r="467" spans="5:6" x14ac:dyDescent="0.3">
      <c r="E467" t="str">
        <f>IFERROR(IF(D467="","",VLOOKUP(D467,CadProd!$A:$B,2,0)),"")</f>
        <v/>
      </c>
      <c r="F467" t="str">
        <f>IFERROR(IF(D467="","",VLOOKUP(D467,CadProd!$A:$C,3,0)),"")</f>
        <v/>
      </c>
    </row>
    <row r="468" spans="5:6" x14ac:dyDescent="0.3">
      <c r="E468" t="str">
        <f>IFERROR(IF(D468="","",VLOOKUP(D468,CadProd!$A:$B,2,0)),"")</f>
        <v/>
      </c>
      <c r="F468" t="str">
        <f>IFERROR(IF(D468="","",VLOOKUP(D468,CadProd!$A:$C,3,0)),"")</f>
        <v/>
      </c>
    </row>
    <row r="469" spans="5:6" x14ac:dyDescent="0.3">
      <c r="E469" t="str">
        <f>IFERROR(IF(D469="","",VLOOKUP(D469,CadProd!$A:$B,2,0)),"")</f>
        <v/>
      </c>
      <c r="F469" t="str">
        <f>IFERROR(IF(D469="","",VLOOKUP(D469,CadProd!$A:$C,3,0)),"")</f>
        <v/>
      </c>
    </row>
    <row r="470" spans="5:6" x14ac:dyDescent="0.3">
      <c r="E470" t="str">
        <f>IFERROR(IF(D470="","",VLOOKUP(D470,CadProd!$A:$B,2,0)),"")</f>
        <v/>
      </c>
      <c r="F470" t="str">
        <f>IFERROR(IF(D470="","",VLOOKUP(D470,CadProd!$A:$C,3,0)),"")</f>
        <v/>
      </c>
    </row>
    <row r="471" spans="5:6" x14ac:dyDescent="0.3">
      <c r="E471" t="str">
        <f>IFERROR(IF(D471="","",VLOOKUP(D471,CadProd!$A:$B,2,0)),"")</f>
        <v/>
      </c>
      <c r="F471" t="str">
        <f>IFERROR(IF(D471="","",VLOOKUP(D471,CadProd!$A:$C,3,0)),"")</f>
        <v/>
      </c>
    </row>
    <row r="472" spans="5:6" x14ac:dyDescent="0.3">
      <c r="E472" t="str">
        <f>IFERROR(IF(D472="","",VLOOKUP(D472,CadProd!$A:$B,2,0)),"")</f>
        <v/>
      </c>
      <c r="F472" t="str">
        <f>IFERROR(IF(D472="","",VLOOKUP(D472,CadProd!$A:$C,3,0)),"")</f>
        <v/>
      </c>
    </row>
    <row r="473" spans="5:6" x14ac:dyDescent="0.3">
      <c r="E473" t="str">
        <f>IFERROR(IF(D473="","",VLOOKUP(D473,CadProd!$A:$B,2,0)),"")</f>
        <v/>
      </c>
      <c r="F473" t="str">
        <f>IFERROR(IF(D473="","",VLOOKUP(D473,CadProd!$A:$C,3,0)),"")</f>
        <v/>
      </c>
    </row>
    <row r="474" spans="5:6" x14ac:dyDescent="0.3">
      <c r="E474" t="str">
        <f>IFERROR(IF(D474="","",VLOOKUP(D474,CadProd!$A:$B,2,0)),"")</f>
        <v/>
      </c>
      <c r="F474" t="str">
        <f>IFERROR(IF(D474="","",VLOOKUP(D474,CadProd!$A:$C,3,0)),"")</f>
        <v/>
      </c>
    </row>
    <row r="475" spans="5:6" x14ac:dyDescent="0.3">
      <c r="E475" t="str">
        <f>IFERROR(IF(D475="","",VLOOKUP(D475,CadProd!$A:$B,2,0)),"")</f>
        <v/>
      </c>
      <c r="F475" t="str">
        <f>IFERROR(IF(D475="","",VLOOKUP(D475,CadProd!$A:$C,3,0)),"")</f>
        <v/>
      </c>
    </row>
    <row r="476" spans="5:6" x14ac:dyDescent="0.3">
      <c r="E476" t="str">
        <f>IFERROR(IF(D476="","",VLOOKUP(D476,CadProd!$A:$B,2,0)),"")</f>
        <v/>
      </c>
      <c r="F476" t="str">
        <f>IFERROR(IF(D476="","",VLOOKUP(D476,CadProd!$A:$C,3,0)),"")</f>
        <v/>
      </c>
    </row>
    <row r="477" spans="5:6" x14ac:dyDescent="0.3">
      <c r="E477" t="str">
        <f>IFERROR(IF(D477="","",VLOOKUP(D477,CadProd!$A:$B,2,0)),"")</f>
        <v/>
      </c>
      <c r="F477" t="str">
        <f>IFERROR(IF(D477="","",VLOOKUP(D477,CadProd!$A:$C,3,0)),"")</f>
        <v/>
      </c>
    </row>
    <row r="478" spans="5:6" x14ac:dyDescent="0.3">
      <c r="E478" t="str">
        <f>IFERROR(IF(D478="","",VLOOKUP(D478,CadProd!$A:$B,2,0)),"")</f>
        <v/>
      </c>
      <c r="F478" t="str">
        <f>IFERROR(IF(D478="","",VLOOKUP(D478,CadProd!$A:$C,3,0)),"")</f>
        <v/>
      </c>
    </row>
    <row r="479" spans="5:6" x14ac:dyDescent="0.3">
      <c r="E479" t="str">
        <f>IFERROR(IF(D479="","",VLOOKUP(D479,CadProd!$A:$B,2,0)),"")</f>
        <v/>
      </c>
      <c r="F479" t="str">
        <f>IFERROR(IF(D479="","",VLOOKUP(D479,CadProd!$A:$C,3,0)),"")</f>
        <v/>
      </c>
    </row>
    <row r="480" spans="5:6" x14ac:dyDescent="0.3">
      <c r="E480" t="str">
        <f>IFERROR(IF(D480="","",VLOOKUP(D480,CadProd!$A:$B,2,0)),"")</f>
        <v/>
      </c>
      <c r="F480" t="str">
        <f>IFERROR(IF(D480="","",VLOOKUP(D480,CadProd!$A:$C,3,0)),"")</f>
        <v/>
      </c>
    </row>
    <row r="481" spans="5:6" x14ac:dyDescent="0.3">
      <c r="E481" t="str">
        <f>IFERROR(IF(D481="","",VLOOKUP(D481,CadProd!$A:$B,2,0)),"")</f>
        <v/>
      </c>
      <c r="F481" t="str">
        <f>IFERROR(IF(D481="","",VLOOKUP(D481,CadProd!$A:$C,3,0)),"")</f>
        <v/>
      </c>
    </row>
    <row r="482" spans="5:6" x14ac:dyDescent="0.3">
      <c r="E482" t="str">
        <f>IFERROR(IF(D482="","",VLOOKUP(D482,CadProd!$A:$B,2,0)),"")</f>
        <v/>
      </c>
      <c r="F482" t="str">
        <f>IFERROR(IF(D482="","",VLOOKUP(D482,CadProd!$A:$C,3,0)),"")</f>
        <v/>
      </c>
    </row>
    <row r="483" spans="5:6" x14ac:dyDescent="0.3">
      <c r="E483" t="str">
        <f>IFERROR(IF(D483="","",VLOOKUP(D483,CadProd!$A:$B,2,0)),"")</f>
        <v/>
      </c>
      <c r="F483" t="str">
        <f>IFERROR(IF(D483="","",VLOOKUP(D483,CadProd!$A:$C,3,0)),"")</f>
        <v/>
      </c>
    </row>
    <row r="484" spans="5:6" x14ac:dyDescent="0.3">
      <c r="E484" t="str">
        <f>IFERROR(IF(D484="","",VLOOKUP(D484,CadProd!$A:$B,2,0)),"")</f>
        <v/>
      </c>
      <c r="F484" t="str">
        <f>IFERROR(IF(D484="","",VLOOKUP(D484,CadProd!$A:$C,3,0)),"")</f>
        <v/>
      </c>
    </row>
    <row r="485" spans="5:6" x14ac:dyDescent="0.3">
      <c r="E485" t="str">
        <f>IFERROR(IF(D485="","",VLOOKUP(D485,CadProd!$A:$B,2,0)),"")</f>
        <v/>
      </c>
      <c r="F485" t="str">
        <f>IFERROR(IF(D485="","",VLOOKUP(D485,CadProd!$A:$C,3,0)),"")</f>
        <v/>
      </c>
    </row>
    <row r="486" spans="5:6" x14ac:dyDescent="0.3">
      <c r="E486" t="str">
        <f>IFERROR(IF(D486="","",VLOOKUP(D486,CadProd!$A:$B,2,0)),"")</f>
        <v/>
      </c>
      <c r="F486" t="str">
        <f>IFERROR(IF(D486="","",VLOOKUP(D486,CadProd!$A:$C,3,0)),"")</f>
        <v/>
      </c>
    </row>
    <row r="487" spans="5:6" x14ac:dyDescent="0.3">
      <c r="E487" t="str">
        <f>IFERROR(IF(D487="","",VLOOKUP(D487,CadProd!$A:$B,2,0)),"")</f>
        <v/>
      </c>
      <c r="F487" t="str">
        <f>IFERROR(IF(D487="","",VLOOKUP(D487,CadProd!$A:$C,3,0)),"")</f>
        <v/>
      </c>
    </row>
    <row r="488" spans="5:6" x14ac:dyDescent="0.3">
      <c r="E488" t="str">
        <f>IFERROR(IF(D488="","",VLOOKUP(D488,CadProd!$A:$B,2,0)),"")</f>
        <v/>
      </c>
      <c r="F488" t="str">
        <f>IFERROR(IF(D488="","",VLOOKUP(D488,CadProd!$A:$C,3,0)),"")</f>
        <v/>
      </c>
    </row>
    <row r="489" spans="5:6" x14ac:dyDescent="0.3">
      <c r="E489" t="str">
        <f>IFERROR(IF(D489="","",VLOOKUP(D489,CadProd!$A:$B,2,0)),"")</f>
        <v/>
      </c>
      <c r="F489" t="str">
        <f>IFERROR(IF(D489="","",VLOOKUP(D489,CadProd!$A:$C,3,0)),"")</f>
        <v/>
      </c>
    </row>
    <row r="490" spans="5:6" x14ac:dyDescent="0.3">
      <c r="E490" t="str">
        <f>IFERROR(IF(D490="","",VLOOKUP(D490,CadProd!$A:$B,2,0)),"")</f>
        <v/>
      </c>
      <c r="F490" t="str">
        <f>IFERROR(IF(D490="","",VLOOKUP(D490,CadProd!$A:$C,3,0)),"")</f>
        <v/>
      </c>
    </row>
    <row r="491" spans="5:6" x14ac:dyDescent="0.3">
      <c r="E491" t="str">
        <f>IFERROR(IF(D491="","",VLOOKUP(D491,CadProd!$A:$B,2,0)),"")</f>
        <v/>
      </c>
      <c r="F491" t="str">
        <f>IFERROR(IF(D491="","",VLOOKUP(D491,CadProd!$A:$C,3,0)),"")</f>
        <v/>
      </c>
    </row>
    <row r="492" spans="5:6" x14ac:dyDescent="0.3">
      <c r="E492" t="str">
        <f>IFERROR(IF(D492="","",VLOOKUP(D492,CadProd!$A:$B,2,0)),"")</f>
        <v/>
      </c>
      <c r="F492" t="str">
        <f>IFERROR(IF(D492="","",VLOOKUP(D492,CadProd!$A:$C,3,0)),"")</f>
        <v/>
      </c>
    </row>
    <row r="493" spans="5:6" x14ac:dyDescent="0.3">
      <c r="E493" t="str">
        <f>IFERROR(IF(D493="","",VLOOKUP(D493,CadProd!$A:$B,2,0)),"")</f>
        <v/>
      </c>
      <c r="F493" t="str">
        <f>IFERROR(IF(D493="","",VLOOKUP(D493,CadProd!$A:$C,3,0)),"")</f>
        <v/>
      </c>
    </row>
    <row r="494" spans="5:6" x14ac:dyDescent="0.3">
      <c r="E494" t="str">
        <f>IFERROR(IF(D494="","",VLOOKUP(D494,CadProd!$A:$B,2,0)),"")</f>
        <v/>
      </c>
      <c r="F494" t="str">
        <f>IFERROR(IF(D494="","",VLOOKUP(D494,CadProd!$A:$C,3,0)),"")</f>
        <v/>
      </c>
    </row>
    <row r="495" spans="5:6" x14ac:dyDescent="0.3">
      <c r="E495" t="str">
        <f>IFERROR(IF(D495="","",VLOOKUP(D495,CadProd!$A:$B,2,0)),"")</f>
        <v/>
      </c>
      <c r="F495" t="str">
        <f>IFERROR(IF(D495="","",VLOOKUP(D495,CadProd!$A:$C,3,0)),"")</f>
        <v/>
      </c>
    </row>
    <row r="496" spans="5:6" x14ac:dyDescent="0.3">
      <c r="E496" t="str">
        <f>IFERROR(IF(D496="","",VLOOKUP(D496,CadProd!$A:$B,2,0)),"")</f>
        <v/>
      </c>
      <c r="F496" t="str">
        <f>IFERROR(IF(D496="","",VLOOKUP(D496,CadProd!$A:$C,3,0)),"")</f>
        <v/>
      </c>
    </row>
    <row r="497" spans="5:6" x14ac:dyDescent="0.3">
      <c r="E497" t="str">
        <f>IFERROR(IF(D497="","",VLOOKUP(D497,CadProd!$A:$B,2,0)),"")</f>
        <v/>
      </c>
      <c r="F497" t="str">
        <f>IFERROR(IF(D497="","",VLOOKUP(D497,CadProd!$A:$C,3,0)),"")</f>
        <v/>
      </c>
    </row>
    <row r="498" spans="5:6" x14ac:dyDescent="0.3">
      <c r="E498" t="str">
        <f>IFERROR(IF(D498="","",VLOOKUP(D498,CadProd!$A:$B,2,0)),"")</f>
        <v/>
      </c>
      <c r="F498" t="str">
        <f>IFERROR(IF(D498="","",VLOOKUP(D498,CadProd!$A:$C,3,0)),"")</f>
        <v/>
      </c>
    </row>
    <row r="499" spans="5:6" x14ac:dyDescent="0.3">
      <c r="E499" t="str">
        <f>IFERROR(IF(D499="","",VLOOKUP(D499,CadProd!$A:$B,2,0)),"")</f>
        <v/>
      </c>
      <c r="F499" t="str">
        <f>IFERROR(IF(D499="","",VLOOKUP(D499,CadProd!$A:$C,3,0)),"")</f>
        <v/>
      </c>
    </row>
    <row r="500" spans="5:6" x14ac:dyDescent="0.3">
      <c r="E500" t="str">
        <f>IFERROR(IF(D500="","",VLOOKUP(D500,CadProd!$A:$B,2,0)),"")</f>
        <v/>
      </c>
      <c r="F500" t="str">
        <f>IFERROR(IF(D500="","",VLOOKUP(D500,CadProd!$A:$C,3,0)),"")</f>
        <v/>
      </c>
    </row>
    <row r="501" spans="5:6" x14ac:dyDescent="0.3">
      <c r="E501" t="str">
        <f>IFERROR(IF(D501="","",VLOOKUP(D501,CadProd!$A:$B,2,0)),"")</f>
        <v/>
      </c>
      <c r="F501" t="str">
        <f>IFERROR(IF(D501="","",VLOOKUP(D501,CadProd!$A:$C,3,0)),"")</f>
        <v/>
      </c>
    </row>
    <row r="502" spans="5:6" x14ac:dyDescent="0.3">
      <c r="E502" t="str">
        <f>IFERROR(IF(D502="","",VLOOKUP(D502,CadProd!$A:$B,2,0)),"")</f>
        <v/>
      </c>
      <c r="F502" t="str">
        <f>IFERROR(IF(D502="","",VLOOKUP(D502,CadProd!$A:$C,3,0)),"")</f>
        <v/>
      </c>
    </row>
    <row r="503" spans="5:6" x14ac:dyDescent="0.3">
      <c r="E503" t="str">
        <f>IFERROR(IF(D503="","",VLOOKUP(D503,CadProd!$A:$B,2,0)),"")</f>
        <v/>
      </c>
      <c r="F503" t="str">
        <f>IFERROR(IF(D503="","",VLOOKUP(D503,CadProd!$A:$C,3,0)),"")</f>
        <v/>
      </c>
    </row>
    <row r="504" spans="5:6" x14ac:dyDescent="0.3">
      <c r="E504" t="str">
        <f>IFERROR(IF(D504="","",VLOOKUP(D504,CadProd!$A:$B,2,0)),"")</f>
        <v/>
      </c>
      <c r="F504" t="str">
        <f>IFERROR(IF(D504="","",VLOOKUP(D504,CadProd!$A:$C,3,0)),"")</f>
        <v/>
      </c>
    </row>
    <row r="505" spans="5:6" x14ac:dyDescent="0.3">
      <c r="E505" t="str">
        <f>IFERROR(IF(D505="","",VLOOKUP(D505,CadProd!$A:$B,2,0)),"")</f>
        <v/>
      </c>
      <c r="F505" t="str">
        <f>IFERROR(IF(D505="","",VLOOKUP(D505,CadProd!$A:$C,3,0)),"")</f>
        <v/>
      </c>
    </row>
    <row r="506" spans="5:6" x14ac:dyDescent="0.3">
      <c r="E506" t="str">
        <f>IFERROR(IF(D506="","",VLOOKUP(D506,CadProd!$A:$B,2,0)),"")</f>
        <v/>
      </c>
      <c r="F506" t="str">
        <f>IFERROR(IF(D506="","",VLOOKUP(D506,CadProd!$A:$C,3,0)),"")</f>
        <v/>
      </c>
    </row>
    <row r="507" spans="5:6" x14ac:dyDescent="0.3">
      <c r="E507" t="str">
        <f>IFERROR(IF(D507="","",VLOOKUP(D507,CadProd!$A:$B,2,0)),"")</f>
        <v/>
      </c>
      <c r="F507" t="str">
        <f>IFERROR(IF(D507="","",VLOOKUP(D507,CadProd!$A:$C,3,0)),"")</f>
        <v/>
      </c>
    </row>
    <row r="508" spans="5:6" x14ac:dyDescent="0.3">
      <c r="E508" t="str">
        <f>IFERROR(IF(D508="","",VLOOKUP(D508,CadProd!$A:$B,2,0)),"")</f>
        <v/>
      </c>
      <c r="F508" t="str">
        <f>IFERROR(IF(D508="","",VLOOKUP(D508,CadProd!$A:$C,3,0)),"")</f>
        <v/>
      </c>
    </row>
    <row r="509" spans="5:6" x14ac:dyDescent="0.3">
      <c r="E509" t="str">
        <f>IFERROR(IF(D509="","",VLOOKUP(D509,CadProd!$A:$B,2,0)),"")</f>
        <v/>
      </c>
      <c r="F509" t="str">
        <f>IFERROR(IF(D509="","",VLOOKUP(D509,CadProd!$A:$C,3,0)),"")</f>
        <v/>
      </c>
    </row>
    <row r="510" spans="5:6" x14ac:dyDescent="0.3">
      <c r="E510" t="str">
        <f>IFERROR(IF(D510="","",VLOOKUP(D510,CadProd!$A:$B,2,0)),"")</f>
        <v/>
      </c>
      <c r="F510" t="str">
        <f>IFERROR(IF(D510="","",VLOOKUP(D510,CadProd!$A:$C,3,0)),"")</f>
        <v/>
      </c>
    </row>
    <row r="511" spans="5:6" x14ac:dyDescent="0.3">
      <c r="E511" t="str">
        <f>IFERROR(IF(D511="","",VLOOKUP(D511,CadProd!$A:$B,2,0)),"")</f>
        <v/>
      </c>
      <c r="F511" t="str">
        <f>IFERROR(IF(D511="","",VLOOKUP(D511,CadProd!$A:$C,3,0)),"")</f>
        <v/>
      </c>
    </row>
    <row r="512" spans="5:6" x14ac:dyDescent="0.3">
      <c r="E512" t="str">
        <f>IFERROR(IF(D512="","",VLOOKUP(D512,CadProd!$A:$B,2,0)),"")</f>
        <v/>
      </c>
      <c r="F512" t="str">
        <f>IFERROR(IF(D512="","",VLOOKUP(D512,CadProd!$A:$C,3,0)),"")</f>
        <v/>
      </c>
    </row>
    <row r="513" spans="5:6" x14ac:dyDescent="0.3">
      <c r="E513" t="str">
        <f>IFERROR(IF(D513="","",VLOOKUP(D513,CadProd!$A:$B,2,0)),"")</f>
        <v/>
      </c>
      <c r="F513" t="str">
        <f>IFERROR(IF(D513="","",VLOOKUP(D513,CadProd!$A:$C,3,0)),"")</f>
        <v/>
      </c>
    </row>
    <row r="514" spans="5:6" x14ac:dyDescent="0.3">
      <c r="E514" t="str">
        <f>IFERROR(IF(D514="","",VLOOKUP(D514,CadProd!$A:$B,2,0)),"")</f>
        <v/>
      </c>
      <c r="F514" t="str">
        <f>IFERROR(IF(D514="","",VLOOKUP(D514,CadProd!$A:$C,3,0)),"")</f>
        <v/>
      </c>
    </row>
    <row r="515" spans="5:6" x14ac:dyDescent="0.3">
      <c r="E515" t="str">
        <f>IFERROR(IF(D515="","",VLOOKUP(D515,CadProd!$A:$B,2,0)),"")</f>
        <v/>
      </c>
      <c r="F515" t="str">
        <f>IFERROR(IF(D515="","",VLOOKUP(D515,CadProd!$A:$C,3,0)),"")</f>
        <v/>
      </c>
    </row>
    <row r="516" spans="5:6" x14ac:dyDescent="0.3">
      <c r="E516" t="str">
        <f>IFERROR(IF(D516="","",VLOOKUP(D516,CadProd!$A:$B,2,0)),"")</f>
        <v/>
      </c>
      <c r="F516" t="str">
        <f>IFERROR(IF(D516="","",VLOOKUP(D516,CadProd!$A:$C,3,0)),"")</f>
        <v/>
      </c>
    </row>
    <row r="517" spans="5:6" x14ac:dyDescent="0.3">
      <c r="E517" t="str">
        <f>IFERROR(IF(D517="","",VLOOKUP(D517,CadProd!$A:$B,2,0)),"")</f>
        <v/>
      </c>
      <c r="F517" t="str">
        <f>IFERROR(IF(D517="","",VLOOKUP(D517,CadProd!$A:$C,3,0)),"")</f>
        <v/>
      </c>
    </row>
    <row r="518" spans="5:6" x14ac:dyDescent="0.3">
      <c r="E518" t="str">
        <f>IFERROR(IF(D518="","",VLOOKUP(D518,CadProd!$A:$B,2,0)),"")</f>
        <v/>
      </c>
      <c r="F518" t="str">
        <f>IFERROR(IF(D518="","",VLOOKUP(D518,CadProd!$A:$C,3,0)),"")</f>
        <v/>
      </c>
    </row>
    <row r="519" spans="5:6" x14ac:dyDescent="0.3">
      <c r="E519" t="str">
        <f>IFERROR(IF(D519="","",VLOOKUP(D519,CadProd!$A:$B,2,0)),"")</f>
        <v/>
      </c>
      <c r="F519" t="str">
        <f>IFERROR(IF(D519="","",VLOOKUP(D519,CadProd!$A:$C,3,0)),"")</f>
        <v/>
      </c>
    </row>
    <row r="520" spans="5:6" x14ac:dyDescent="0.3">
      <c r="E520" t="str">
        <f>IFERROR(IF(D520="","",VLOOKUP(D520,CadProd!$A:$B,2,0)),"")</f>
        <v/>
      </c>
      <c r="F520" t="str">
        <f>IFERROR(IF(D520="","",VLOOKUP(D520,CadProd!$A:$C,3,0)),"")</f>
        <v/>
      </c>
    </row>
    <row r="521" spans="5:6" x14ac:dyDescent="0.3">
      <c r="E521" t="str">
        <f>IFERROR(IF(D521="","",VLOOKUP(D521,CadProd!$A:$B,2,0)),"")</f>
        <v/>
      </c>
      <c r="F521" t="str">
        <f>IFERROR(IF(D521="","",VLOOKUP(D521,CadProd!$A:$C,3,0)),"")</f>
        <v/>
      </c>
    </row>
    <row r="522" spans="5:6" x14ac:dyDescent="0.3">
      <c r="E522" t="str">
        <f>IFERROR(IF(D522="","",VLOOKUP(D522,CadProd!$A:$B,2,0)),"")</f>
        <v/>
      </c>
      <c r="F522" t="str">
        <f>IFERROR(IF(D522="","",VLOOKUP(D522,CadProd!$A:$C,3,0)),"")</f>
        <v/>
      </c>
    </row>
    <row r="523" spans="5:6" x14ac:dyDescent="0.3">
      <c r="E523" t="str">
        <f>IFERROR(IF(D523="","",VLOOKUP(D523,CadProd!$A:$B,2,0)),"")</f>
        <v/>
      </c>
      <c r="F523" t="str">
        <f>IFERROR(IF(D523="","",VLOOKUP(D523,CadProd!$A:$C,3,0)),"")</f>
        <v/>
      </c>
    </row>
    <row r="524" spans="5:6" x14ac:dyDescent="0.3">
      <c r="E524" t="str">
        <f>IFERROR(IF(D524="","",VLOOKUP(D524,CadProd!$A:$B,2,0)),"")</f>
        <v/>
      </c>
      <c r="F524" t="str">
        <f>IFERROR(IF(D524="","",VLOOKUP(D524,CadProd!$A:$C,3,0)),"")</f>
        <v/>
      </c>
    </row>
    <row r="525" spans="5:6" x14ac:dyDescent="0.3">
      <c r="E525" t="str">
        <f>IFERROR(IF(D525="","",VLOOKUP(D525,CadProd!$A:$B,2,0)),"")</f>
        <v/>
      </c>
      <c r="F525" t="str">
        <f>IFERROR(IF(D525="","",VLOOKUP(D525,CadProd!$A:$C,3,0)),"")</f>
        <v/>
      </c>
    </row>
    <row r="526" spans="5:6" x14ac:dyDescent="0.3">
      <c r="E526" t="str">
        <f>IFERROR(IF(D526="","",VLOOKUP(D526,CadProd!$A:$B,2,0)),"")</f>
        <v/>
      </c>
      <c r="F526" t="str">
        <f>IFERROR(IF(D526="","",VLOOKUP(D526,CadProd!$A:$C,3,0)),"")</f>
        <v/>
      </c>
    </row>
    <row r="527" spans="5:6" x14ac:dyDescent="0.3">
      <c r="E527" t="str">
        <f>IFERROR(IF(D527="","",VLOOKUP(D527,CadProd!$A:$B,2,0)),"")</f>
        <v/>
      </c>
      <c r="F527" t="str">
        <f>IFERROR(IF(D527="","",VLOOKUP(D527,CadProd!$A:$C,3,0)),"")</f>
        <v/>
      </c>
    </row>
    <row r="528" spans="5:6" x14ac:dyDescent="0.3">
      <c r="E528" t="str">
        <f>IFERROR(IF(D528="","",VLOOKUP(D528,CadProd!$A:$B,2,0)),"")</f>
        <v/>
      </c>
      <c r="F528" t="str">
        <f>IFERROR(IF(D528="","",VLOOKUP(D528,CadProd!$A:$C,3,0)),"")</f>
        <v/>
      </c>
    </row>
    <row r="529" spans="5:6" x14ac:dyDescent="0.3">
      <c r="E529" t="str">
        <f>IFERROR(IF(D529="","",VLOOKUP(D529,CadProd!$A:$B,2,0)),"")</f>
        <v/>
      </c>
      <c r="F529" t="str">
        <f>IFERROR(IF(D529="","",VLOOKUP(D529,CadProd!$A:$C,3,0)),"")</f>
        <v/>
      </c>
    </row>
    <row r="530" spans="5:6" x14ac:dyDescent="0.3">
      <c r="E530" t="str">
        <f>IFERROR(IF(D530="","",VLOOKUP(D530,CadProd!$A:$B,2,0)),"")</f>
        <v/>
      </c>
      <c r="F530" t="str">
        <f>IFERROR(IF(D530="","",VLOOKUP(D530,CadProd!$A:$C,3,0)),"")</f>
        <v/>
      </c>
    </row>
    <row r="531" spans="5:6" x14ac:dyDescent="0.3">
      <c r="E531" t="str">
        <f>IFERROR(IF(D531="","",VLOOKUP(D531,CadProd!$A:$B,2,0)),"")</f>
        <v/>
      </c>
      <c r="F531" t="str">
        <f>IFERROR(IF(D531="","",VLOOKUP(D531,CadProd!$A:$C,3,0)),"")</f>
        <v/>
      </c>
    </row>
    <row r="532" spans="5:6" x14ac:dyDescent="0.3">
      <c r="E532" t="str">
        <f>IFERROR(IF(D532="","",VLOOKUP(D532,CadProd!$A:$B,2,0)),"")</f>
        <v/>
      </c>
      <c r="F532" t="str">
        <f>IFERROR(IF(D532="","",VLOOKUP(D532,CadProd!$A:$C,3,0)),"")</f>
        <v/>
      </c>
    </row>
    <row r="533" spans="5:6" x14ac:dyDescent="0.3">
      <c r="E533" t="str">
        <f>IFERROR(IF(D533="","",VLOOKUP(D533,CadProd!$A:$B,2,0)),"")</f>
        <v/>
      </c>
      <c r="F533" t="str">
        <f>IFERROR(IF(D533="","",VLOOKUP(D533,CadProd!$A:$C,3,0)),"")</f>
        <v/>
      </c>
    </row>
    <row r="534" spans="5:6" x14ac:dyDescent="0.3">
      <c r="E534" t="str">
        <f>IFERROR(IF(D534="","",VLOOKUP(D534,CadProd!$A:$B,2,0)),"")</f>
        <v/>
      </c>
      <c r="F534" t="str">
        <f>IFERROR(IF(D534="","",VLOOKUP(D534,CadProd!$A:$C,3,0)),"")</f>
        <v/>
      </c>
    </row>
    <row r="535" spans="5:6" x14ac:dyDescent="0.3">
      <c r="E535" t="str">
        <f>IFERROR(IF(D535="","",VLOOKUP(D535,CadProd!$A:$B,2,0)),"")</f>
        <v/>
      </c>
      <c r="F535" t="str">
        <f>IFERROR(IF(D535="","",VLOOKUP(D535,CadProd!$A:$C,3,0)),"")</f>
        <v/>
      </c>
    </row>
    <row r="536" spans="5:6" x14ac:dyDescent="0.3">
      <c r="E536" t="str">
        <f>IFERROR(IF(D536="","",VLOOKUP(D536,CadProd!$A:$B,2,0)),"")</f>
        <v/>
      </c>
      <c r="F536" t="str">
        <f>IFERROR(IF(D536="","",VLOOKUP(D536,CadProd!$A:$C,3,0)),"")</f>
        <v/>
      </c>
    </row>
    <row r="537" spans="5:6" x14ac:dyDescent="0.3">
      <c r="E537" t="str">
        <f>IFERROR(IF(D537="","",VLOOKUP(D537,CadProd!$A:$B,2,0)),"")</f>
        <v/>
      </c>
      <c r="F537" t="str">
        <f>IFERROR(IF(D537="","",VLOOKUP(D537,CadProd!$A:$C,3,0)),"")</f>
        <v/>
      </c>
    </row>
    <row r="538" spans="5:6" x14ac:dyDescent="0.3">
      <c r="E538" t="str">
        <f>IFERROR(IF(D538="","",VLOOKUP(D538,CadProd!$A:$B,2,0)),"")</f>
        <v/>
      </c>
      <c r="F538" t="str">
        <f>IFERROR(IF(D538="","",VLOOKUP(D538,CadProd!$A:$C,3,0)),"")</f>
        <v/>
      </c>
    </row>
    <row r="539" spans="5:6" x14ac:dyDescent="0.3">
      <c r="E539" t="str">
        <f>IFERROR(IF(D539="","",VLOOKUP(D539,CadProd!$A:$B,2,0)),"")</f>
        <v/>
      </c>
      <c r="F539" t="str">
        <f>IFERROR(IF(D539="","",VLOOKUP(D539,CadProd!$A:$C,3,0)),"")</f>
        <v/>
      </c>
    </row>
    <row r="540" spans="5:6" x14ac:dyDescent="0.3">
      <c r="E540" t="str">
        <f>IFERROR(IF(D540="","",VLOOKUP(D540,CadProd!$A:$B,2,0)),"")</f>
        <v/>
      </c>
      <c r="F540" t="str">
        <f>IFERROR(IF(D540="","",VLOOKUP(D540,CadProd!$A:$C,3,0)),"")</f>
        <v/>
      </c>
    </row>
    <row r="541" spans="5:6" x14ac:dyDescent="0.3">
      <c r="E541" t="str">
        <f>IFERROR(IF(D541="","",VLOOKUP(D541,CadProd!$A:$B,2,0)),"")</f>
        <v/>
      </c>
      <c r="F541" t="str">
        <f>IFERROR(IF(D541="","",VLOOKUP(D541,CadProd!$A:$C,3,0)),"")</f>
        <v/>
      </c>
    </row>
    <row r="542" spans="5:6" x14ac:dyDescent="0.3">
      <c r="E542" t="str">
        <f>IFERROR(IF(D542="","",VLOOKUP(D542,CadProd!$A:$B,2,0)),"")</f>
        <v/>
      </c>
      <c r="F542" t="str">
        <f>IFERROR(IF(D542="","",VLOOKUP(D542,CadProd!$A:$C,3,0)),"")</f>
        <v/>
      </c>
    </row>
    <row r="543" spans="5:6" x14ac:dyDescent="0.3">
      <c r="E543" t="str">
        <f>IFERROR(IF(D543="","",VLOOKUP(D543,CadProd!$A:$B,2,0)),"")</f>
        <v/>
      </c>
      <c r="F543" t="str">
        <f>IFERROR(IF(D543="","",VLOOKUP(D543,CadProd!$A:$C,3,0)),"")</f>
        <v/>
      </c>
    </row>
    <row r="544" spans="5:6" x14ac:dyDescent="0.3">
      <c r="E544" t="str">
        <f>IFERROR(IF(D544="","",VLOOKUP(D544,CadProd!$A:$B,2,0)),"")</f>
        <v/>
      </c>
      <c r="F544" t="str">
        <f>IFERROR(IF(D544="","",VLOOKUP(D544,CadProd!$A:$C,3,0)),"")</f>
        <v/>
      </c>
    </row>
    <row r="545" spans="5:6" x14ac:dyDescent="0.3">
      <c r="E545" t="str">
        <f>IFERROR(IF(D545="","",VLOOKUP(D545,CadProd!$A:$B,2,0)),"")</f>
        <v/>
      </c>
      <c r="F545" t="str">
        <f>IFERROR(IF(D545="","",VLOOKUP(D545,CadProd!$A:$C,3,0)),"")</f>
        <v/>
      </c>
    </row>
    <row r="546" spans="5:6" x14ac:dyDescent="0.3">
      <c r="E546" t="str">
        <f>IFERROR(IF(D546="","",VLOOKUP(D546,CadProd!$A:$B,2,0)),"")</f>
        <v/>
      </c>
      <c r="F546" t="str">
        <f>IFERROR(IF(D546="","",VLOOKUP(D546,CadProd!$A:$C,3,0)),"")</f>
        <v/>
      </c>
    </row>
    <row r="547" spans="5:6" x14ac:dyDescent="0.3">
      <c r="E547" t="str">
        <f>IFERROR(IF(D547="","",VLOOKUP(D547,CadProd!$A:$B,2,0)),"")</f>
        <v/>
      </c>
      <c r="F547" t="str">
        <f>IFERROR(IF(D547="","",VLOOKUP(D547,CadProd!$A:$C,3,0)),"")</f>
        <v/>
      </c>
    </row>
    <row r="548" spans="5:6" x14ac:dyDescent="0.3">
      <c r="E548" t="str">
        <f>IFERROR(IF(D548="","",VLOOKUP(D548,CadProd!$A:$B,2,0)),"")</f>
        <v/>
      </c>
      <c r="F548" t="str">
        <f>IFERROR(IF(D548="","",VLOOKUP(D548,CadProd!$A:$C,3,0)),"")</f>
        <v/>
      </c>
    </row>
    <row r="549" spans="5:6" x14ac:dyDescent="0.3">
      <c r="E549" t="str">
        <f>IFERROR(IF(D549="","",VLOOKUP(D549,CadProd!$A:$B,2,0)),"")</f>
        <v/>
      </c>
      <c r="F549" t="str">
        <f>IFERROR(IF(D549="","",VLOOKUP(D549,CadProd!$A:$C,3,0)),"")</f>
        <v/>
      </c>
    </row>
    <row r="550" spans="5:6" x14ac:dyDescent="0.3">
      <c r="E550" t="str">
        <f>IFERROR(IF(D550="","",VLOOKUP(D550,CadProd!$A:$B,2,0)),"")</f>
        <v/>
      </c>
      <c r="F550" t="str">
        <f>IFERROR(IF(D550="","",VLOOKUP(D550,CadProd!$A:$C,3,0)),"")</f>
        <v/>
      </c>
    </row>
    <row r="551" spans="5:6" x14ac:dyDescent="0.3">
      <c r="E551" t="str">
        <f>IFERROR(IF(D551="","",VLOOKUP(D551,CadProd!$A:$B,2,0)),"")</f>
        <v/>
      </c>
      <c r="F551" t="str">
        <f>IFERROR(IF(D551="","",VLOOKUP(D551,CadProd!$A:$C,3,0)),"")</f>
        <v/>
      </c>
    </row>
    <row r="552" spans="5:6" x14ac:dyDescent="0.3">
      <c r="E552" t="str">
        <f>IFERROR(IF(D552="","",VLOOKUP(D552,CadProd!$A:$B,2,0)),"")</f>
        <v/>
      </c>
      <c r="F552" t="str">
        <f>IFERROR(IF(D552="","",VLOOKUP(D552,CadProd!$A:$C,3,0)),"")</f>
        <v/>
      </c>
    </row>
    <row r="553" spans="5:6" x14ac:dyDescent="0.3">
      <c r="E553" t="str">
        <f>IFERROR(IF(D553="","",VLOOKUP(D553,CadProd!$A:$B,2,0)),"")</f>
        <v/>
      </c>
      <c r="F553" t="str">
        <f>IFERROR(IF(D553="","",VLOOKUP(D553,CadProd!$A:$C,3,0)),"")</f>
        <v/>
      </c>
    </row>
    <row r="554" spans="5:6" x14ac:dyDescent="0.3">
      <c r="E554" t="str">
        <f>IFERROR(IF(D554="","",VLOOKUP(D554,CadProd!$A:$B,2,0)),"")</f>
        <v/>
      </c>
      <c r="F554" t="str">
        <f>IFERROR(IF(D554="","",VLOOKUP(D554,CadProd!$A:$C,3,0)),"")</f>
        <v/>
      </c>
    </row>
    <row r="555" spans="5:6" x14ac:dyDescent="0.3">
      <c r="E555" t="str">
        <f>IFERROR(IF(D555="","",VLOOKUP(D555,CadProd!$A:$B,2,0)),"")</f>
        <v/>
      </c>
      <c r="F555" t="str">
        <f>IFERROR(IF(D555="","",VLOOKUP(D555,CadProd!$A:$C,3,0)),"")</f>
        <v/>
      </c>
    </row>
    <row r="556" spans="5:6" x14ac:dyDescent="0.3">
      <c r="E556" t="str">
        <f>IFERROR(IF(D556="","",VLOOKUP(D556,CadProd!$A:$B,2,0)),"")</f>
        <v/>
      </c>
      <c r="F556" t="str">
        <f>IFERROR(IF(D556="","",VLOOKUP(D556,CadProd!$A:$C,3,0)),"")</f>
        <v/>
      </c>
    </row>
    <row r="557" spans="5:6" x14ac:dyDescent="0.3">
      <c r="E557" t="str">
        <f>IFERROR(IF(D557="","",VLOOKUP(D557,CadProd!$A:$B,2,0)),"")</f>
        <v/>
      </c>
      <c r="F557" t="str">
        <f>IFERROR(IF(D557="","",VLOOKUP(D557,CadProd!$A:$C,3,0)),"")</f>
        <v/>
      </c>
    </row>
    <row r="558" spans="5:6" x14ac:dyDescent="0.3">
      <c r="E558" t="str">
        <f>IFERROR(IF(D558="","",VLOOKUP(D558,CadProd!$A:$B,2,0)),"")</f>
        <v/>
      </c>
      <c r="F558" t="str">
        <f>IFERROR(IF(D558="","",VLOOKUP(D558,CadProd!$A:$C,3,0)),"")</f>
        <v/>
      </c>
    </row>
    <row r="559" spans="5:6" x14ac:dyDescent="0.3">
      <c r="E559" t="str">
        <f>IFERROR(IF(D559="","",VLOOKUP(D559,CadProd!$A:$B,2,0)),"")</f>
        <v/>
      </c>
      <c r="F559" t="str">
        <f>IFERROR(IF(D559="","",VLOOKUP(D559,CadProd!$A:$C,3,0)),"")</f>
        <v/>
      </c>
    </row>
    <row r="560" spans="5:6" x14ac:dyDescent="0.3">
      <c r="E560" t="str">
        <f>IFERROR(IF(D560="","",VLOOKUP(D560,CadProd!$A:$B,2,0)),"")</f>
        <v/>
      </c>
      <c r="F560" t="str">
        <f>IFERROR(IF(D560="","",VLOOKUP(D560,CadProd!$A:$C,3,0)),"")</f>
        <v/>
      </c>
    </row>
    <row r="561" spans="5:6" x14ac:dyDescent="0.3">
      <c r="E561" t="str">
        <f>IFERROR(IF(D561="","",VLOOKUP(D561,CadProd!$A:$B,2,0)),"")</f>
        <v/>
      </c>
      <c r="F561" t="str">
        <f>IFERROR(IF(D561="","",VLOOKUP(D561,CadProd!$A:$C,3,0)),"")</f>
        <v/>
      </c>
    </row>
    <row r="562" spans="5:6" x14ac:dyDescent="0.3">
      <c r="E562" t="str">
        <f>IFERROR(IF(D562="","",VLOOKUP(D562,CadProd!$A:$B,2,0)),"")</f>
        <v/>
      </c>
      <c r="F562" t="str">
        <f>IFERROR(IF(D562="","",VLOOKUP(D562,CadProd!$A:$C,3,0)),"")</f>
        <v/>
      </c>
    </row>
    <row r="563" spans="5:6" x14ac:dyDescent="0.3">
      <c r="E563" t="str">
        <f>IFERROR(IF(D563="","",VLOOKUP(D563,CadProd!$A:$B,2,0)),"")</f>
        <v/>
      </c>
      <c r="F563" t="str">
        <f>IFERROR(IF(D563="","",VLOOKUP(D563,CadProd!$A:$C,3,0)),"")</f>
        <v/>
      </c>
    </row>
    <row r="564" spans="5:6" x14ac:dyDescent="0.3">
      <c r="E564" t="str">
        <f>IFERROR(IF(D564="","",VLOOKUP(D564,CadProd!$A:$B,2,0)),"")</f>
        <v/>
      </c>
      <c r="F564" t="str">
        <f>IFERROR(IF(D564="","",VLOOKUP(D564,CadProd!$A:$C,3,0)),"")</f>
        <v/>
      </c>
    </row>
    <row r="565" spans="5:6" x14ac:dyDescent="0.3">
      <c r="E565" t="str">
        <f>IFERROR(IF(D565="","",VLOOKUP(D565,CadProd!$A:$B,2,0)),"")</f>
        <v/>
      </c>
      <c r="F565" t="str">
        <f>IFERROR(IF(D565="","",VLOOKUP(D565,CadProd!$A:$C,3,0)),"")</f>
        <v/>
      </c>
    </row>
    <row r="566" spans="5:6" x14ac:dyDescent="0.3">
      <c r="E566" t="str">
        <f>IFERROR(IF(D566="","",VLOOKUP(D566,CadProd!$A:$B,2,0)),"")</f>
        <v/>
      </c>
      <c r="F566" t="str">
        <f>IFERROR(IF(D566="","",VLOOKUP(D566,CadProd!$A:$C,3,0)),"")</f>
        <v/>
      </c>
    </row>
    <row r="567" spans="5:6" x14ac:dyDescent="0.3">
      <c r="E567" t="str">
        <f>IFERROR(IF(D567="","",VLOOKUP(D567,CadProd!$A:$B,2,0)),"")</f>
        <v/>
      </c>
      <c r="F567" t="str">
        <f>IFERROR(IF(D567="","",VLOOKUP(D567,CadProd!$A:$C,3,0)),"")</f>
        <v/>
      </c>
    </row>
    <row r="568" spans="5:6" x14ac:dyDescent="0.3">
      <c r="E568" t="str">
        <f>IFERROR(IF(D568="","",VLOOKUP(D568,CadProd!$A:$B,2,0)),"")</f>
        <v/>
      </c>
      <c r="F568" t="str">
        <f>IFERROR(IF(D568="","",VLOOKUP(D568,CadProd!$A:$C,3,0)),"")</f>
        <v/>
      </c>
    </row>
    <row r="569" spans="5:6" x14ac:dyDescent="0.3">
      <c r="E569" t="str">
        <f>IFERROR(IF(D569="","",VLOOKUP(D569,CadProd!$A:$B,2,0)),"")</f>
        <v/>
      </c>
      <c r="F569" t="str">
        <f>IFERROR(IF(D569="","",VLOOKUP(D569,CadProd!$A:$C,3,0)),"")</f>
        <v/>
      </c>
    </row>
    <row r="570" spans="5:6" x14ac:dyDescent="0.3">
      <c r="E570" t="str">
        <f>IFERROR(IF(D570="","",VLOOKUP(D570,CadProd!$A:$B,2,0)),"")</f>
        <v/>
      </c>
      <c r="F570" t="str">
        <f>IFERROR(IF(D570="","",VLOOKUP(D570,CadProd!$A:$C,3,0)),"")</f>
        <v/>
      </c>
    </row>
    <row r="571" spans="5:6" x14ac:dyDescent="0.3">
      <c r="E571" t="str">
        <f>IFERROR(IF(D571="","",VLOOKUP(D571,CadProd!$A:$B,2,0)),"")</f>
        <v/>
      </c>
      <c r="F571" t="str">
        <f>IFERROR(IF(D571="","",VLOOKUP(D571,CadProd!$A:$C,3,0)),"")</f>
        <v/>
      </c>
    </row>
    <row r="572" spans="5:6" x14ac:dyDescent="0.3">
      <c r="E572" t="str">
        <f>IFERROR(IF(D572="","",VLOOKUP(D572,CadProd!$A:$B,2,0)),"")</f>
        <v/>
      </c>
      <c r="F572" t="str">
        <f>IFERROR(IF(D572="","",VLOOKUP(D572,CadProd!$A:$C,3,0)),"")</f>
        <v/>
      </c>
    </row>
    <row r="573" spans="5:6" x14ac:dyDescent="0.3">
      <c r="E573" t="str">
        <f>IFERROR(IF(D573="","",VLOOKUP(D573,CadProd!$A:$B,2,0)),"")</f>
        <v/>
      </c>
      <c r="F573" t="str">
        <f>IFERROR(IF(D573="","",VLOOKUP(D573,CadProd!$A:$C,3,0)),"")</f>
        <v/>
      </c>
    </row>
    <row r="574" spans="5:6" x14ac:dyDescent="0.3">
      <c r="E574" t="str">
        <f>IFERROR(IF(D574="","",VLOOKUP(D574,CadProd!$A:$B,2,0)),"")</f>
        <v/>
      </c>
      <c r="F574" t="str">
        <f>IFERROR(IF(D574="","",VLOOKUP(D574,CadProd!$A:$C,3,0)),"")</f>
        <v/>
      </c>
    </row>
    <row r="575" spans="5:6" x14ac:dyDescent="0.3">
      <c r="E575" t="str">
        <f>IFERROR(IF(D575="","",VLOOKUP(D575,CadProd!$A:$B,2,0)),"")</f>
        <v/>
      </c>
      <c r="F575" t="str">
        <f>IFERROR(IF(D575="","",VLOOKUP(D575,CadProd!$A:$C,3,0)),"")</f>
        <v/>
      </c>
    </row>
    <row r="576" spans="5:6" x14ac:dyDescent="0.3">
      <c r="E576" t="str">
        <f>IFERROR(IF(D576="","",VLOOKUP(D576,CadProd!$A:$B,2,0)),"")</f>
        <v/>
      </c>
      <c r="F576" t="str">
        <f>IFERROR(IF(D576="","",VLOOKUP(D576,CadProd!$A:$C,3,0)),"")</f>
        <v/>
      </c>
    </row>
    <row r="577" spans="5:6" x14ac:dyDescent="0.3">
      <c r="E577" t="str">
        <f>IFERROR(IF(D577="","",VLOOKUP(D577,CadProd!$A:$B,2,0)),"")</f>
        <v/>
      </c>
      <c r="F577" t="str">
        <f>IFERROR(IF(D577="","",VLOOKUP(D577,CadProd!$A:$C,3,0)),"")</f>
        <v/>
      </c>
    </row>
    <row r="578" spans="5:6" x14ac:dyDescent="0.3">
      <c r="E578" t="str">
        <f>IFERROR(IF(D578="","",VLOOKUP(D578,CadProd!$A:$B,2,0)),"")</f>
        <v/>
      </c>
      <c r="F578" t="str">
        <f>IFERROR(IF(D578="","",VLOOKUP(D578,CadProd!$A:$C,3,0)),"")</f>
        <v/>
      </c>
    </row>
    <row r="579" spans="5:6" x14ac:dyDescent="0.3">
      <c r="E579" t="str">
        <f>IFERROR(IF(D579="","",VLOOKUP(D579,CadProd!$A:$B,2,0)),"")</f>
        <v/>
      </c>
      <c r="F579" t="str">
        <f>IFERROR(IF(D579="","",VLOOKUP(D579,CadProd!$A:$C,3,0)),"")</f>
        <v/>
      </c>
    </row>
    <row r="580" spans="5:6" x14ac:dyDescent="0.3">
      <c r="E580" t="str">
        <f>IFERROR(IF(D580="","",VLOOKUP(D580,CadProd!$A:$B,2,0)),"")</f>
        <v/>
      </c>
      <c r="F580" t="str">
        <f>IFERROR(IF(D580="","",VLOOKUP(D580,CadProd!$A:$C,3,0)),"")</f>
        <v/>
      </c>
    </row>
    <row r="581" spans="5:6" x14ac:dyDescent="0.3">
      <c r="E581" t="str">
        <f>IFERROR(IF(D581="","",VLOOKUP(D581,CadProd!$A:$B,2,0)),"")</f>
        <v/>
      </c>
      <c r="F581" t="str">
        <f>IFERROR(IF(D581="","",VLOOKUP(D581,CadProd!$A:$C,3,0)),"")</f>
        <v/>
      </c>
    </row>
    <row r="582" spans="5:6" x14ac:dyDescent="0.3">
      <c r="E582" t="str">
        <f>IFERROR(IF(D582="","",VLOOKUP(D582,CadProd!$A:$B,2,0)),"")</f>
        <v/>
      </c>
      <c r="F582" t="str">
        <f>IFERROR(IF(D582="","",VLOOKUP(D582,CadProd!$A:$C,3,0)),"")</f>
        <v/>
      </c>
    </row>
    <row r="583" spans="5:6" x14ac:dyDescent="0.3">
      <c r="E583" t="str">
        <f>IFERROR(IF(D583="","",VLOOKUP(D583,CadProd!$A:$B,2,0)),"")</f>
        <v/>
      </c>
      <c r="F583" t="str">
        <f>IFERROR(IF(D583="","",VLOOKUP(D583,CadProd!$A:$C,3,0)),"")</f>
        <v/>
      </c>
    </row>
    <row r="584" spans="5:6" x14ac:dyDescent="0.3">
      <c r="E584" t="str">
        <f>IFERROR(IF(D584="","",VLOOKUP(D584,CadProd!$A:$B,2,0)),"")</f>
        <v/>
      </c>
      <c r="F584" t="str">
        <f>IFERROR(IF(D584="","",VLOOKUP(D584,CadProd!$A:$C,3,0)),"")</f>
        <v/>
      </c>
    </row>
    <row r="585" spans="5:6" x14ac:dyDescent="0.3">
      <c r="E585" t="str">
        <f>IFERROR(IF(D585="","",VLOOKUP(D585,CadProd!$A:$B,2,0)),"")</f>
        <v/>
      </c>
      <c r="F585" t="str">
        <f>IFERROR(IF(D585="","",VLOOKUP(D585,CadProd!$A:$C,3,0)),"")</f>
        <v/>
      </c>
    </row>
    <row r="586" spans="5:6" x14ac:dyDescent="0.3">
      <c r="E586" t="str">
        <f>IFERROR(IF(D586="","",VLOOKUP(D586,CadProd!$A:$B,2,0)),"")</f>
        <v/>
      </c>
      <c r="F586" t="str">
        <f>IFERROR(IF(D586="","",VLOOKUP(D586,CadProd!$A:$C,3,0)),"")</f>
        <v/>
      </c>
    </row>
    <row r="587" spans="5:6" x14ac:dyDescent="0.3">
      <c r="E587" t="str">
        <f>IFERROR(IF(D587="","",VLOOKUP(D587,CadProd!$A:$B,2,0)),"")</f>
        <v/>
      </c>
      <c r="F587" t="str">
        <f>IFERROR(IF(D587="","",VLOOKUP(D587,CadProd!$A:$C,3,0)),"")</f>
        <v/>
      </c>
    </row>
    <row r="588" spans="5:6" x14ac:dyDescent="0.3">
      <c r="E588" t="str">
        <f>IFERROR(IF(D588="","",VLOOKUP(D588,CadProd!$A:$B,2,0)),"")</f>
        <v/>
      </c>
      <c r="F588" t="str">
        <f>IFERROR(IF(D588="","",VLOOKUP(D588,CadProd!$A:$C,3,0)),"")</f>
        <v/>
      </c>
    </row>
    <row r="589" spans="5:6" x14ac:dyDescent="0.3">
      <c r="E589" t="str">
        <f>IFERROR(IF(D589="","",VLOOKUP(D589,CadProd!$A:$B,2,0)),"")</f>
        <v/>
      </c>
      <c r="F589" t="str">
        <f>IFERROR(IF(D589="","",VLOOKUP(D589,CadProd!$A:$C,3,0)),"")</f>
        <v/>
      </c>
    </row>
    <row r="590" spans="5:6" x14ac:dyDescent="0.3">
      <c r="E590" t="str">
        <f>IFERROR(IF(D590="","",VLOOKUP(D590,CadProd!$A:$B,2,0)),"")</f>
        <v/>
      </c>
      <c r="F590" t="str">
        <f>IFERROR(IF(D590="","",VLOOKUP(D590,CadProd!$A:$C,3,0)),"")</f>
        <v/>
      </c>
    </row>
    <row r="591" spans="5:6" x14ac:dyDescent="0.3">
      <c r="E591" t="str">
        <f>IFERROR(IF(D591="","",VLOOKUP(D591,CadProd!$A:$B,2,0)),"")</f>
        <v/>
      </c>
      <c r="F591" t="str">
        <f>IFERROR(IF(D591="","",VLOOKUP(D591,CadProd!$A:$C,3,0)),"")</f>
        <v/>
      </c>
    </row>
    <row r="592" spans="5:6" x14ac:dyDescent="0.3">
      <c r="E592" t="str">
        <f>IFERROR(IF(D592="","",VLOOKUP(D592,CadProd!$A:$B,2,0)),"")</f>
        <v/>
      </c>
      <c r="F592" t="str">
        <f>IFERROR(IF(D592="","",VLOOKUP(D592,CadProd!$A:$C,3,0)),"")</f>
        <v/>
      </c>
    </row>
    <row r="593" spans="5:6" x14ac:dyDescent="0.3">
      <c r="E593" t="str">
        <f>IFERROR(IF(D593="","",VLOOKUP(D593,CadProd!$A:$B,2,0)),"")</f>
        <v/>
      </c>
      <c r="F593" t="str">
        <f>IFERROR(IF(D593="","",VLOOKUP(D593,CadProd!$A:$C,3,0)),"")</f>
        <v/>
      </c>
    </row>
    <row r="594" spans="5:6" x14ac:dyDescent="0.3">
      <c r="E594" t="str">
        <f>IFERROR(IF(D594="","",VLOOKUP(D594,CadProd!$A:$B,2,0)),"")</f>
        <v/>
      </c>
      <c r="F594" t="str">
        <f>IFERROR(IF(D594="","",VLOOKUP(D594,CadProd!$A:$C,3,0)),"")</f>
        <v/>
      </c>
    </row>
    <row r="595" spans="5:6" x14ac:dyDescent="0.3">
      <c r="E595" t="str">
        <f>IFERROR(IF(D595="","",VLOOKUP(D595,CadProd!$A:$B,2,0)),"")</f>
        <v/>
      </c>
      <c r="F595" t="str">
        <f>IFERROR(IF(D595="","",VLOOKUP(D595,CadProd!$A:$C,3,0)),"")</f>
        <v/>
      </c>
    </row>
    <row r="596" spans="5:6" x14ac:dyDescent="0.3">
      <c r="E596" t="str">
        <f>IFERROR(IF(D596="","",VLOOKUP(D596,CadProd!$A:$B,2,0)),"")</f>
        <v/>
      </c>
      <c r="F596" t="str">
        <f>IFERROR(IF(D596="","",VLOOKUP(D596,CadProd!$A:$C,3,0)),"")</f>
        <v/>
      </c>
    </row>
    <row r="597" spans="5:6" x14ac:dyDescent="0.3">
      <c r="E597" t="str">
        <f>IFERROR(IF(D597="","",VLOOKUP(D597,CadProd!$A:$B,2,0)),"")</f>
        <v/>
      </c>
      <c r="F597" t="str">
        <f>IFERROR(IF(D597="","",VLOOKUP(D597,CadProd!$A:$C,3,0)),"")</f>
        <v/>
      </c>
    </row>
    <row r="598" spans="5:6" x14ac:dyDescent="0.3">
      <c r="E598" t="str">
        <f>IFERROR(IF(D598="","",VLOOKUP(D598,CadProd!$A:$B,2,0)),"")</f>
        <v/>
      </c>
      <c r="F598" t="str">
        <f>IFERROR(IF(D598="","",VLOOKUP(D598,CadProd!$A:$C,3,0)),"")</f>
        <v/>
      </c>
    </row>
    <row r="599" spans="5:6" x14ac:dyDescent="0.3">
      <c r="E599" t="str">
        <f>IFERROR(IF(D599="","",VLOOKUP(D599,CadProd!$A:$B,2,0)),"")</f>
        <v/>
      </c>
      <c r="F599" t="str">
        <f>IFERROR(IF(D599="","",VLOOKUP(D599,CadProd!$A:$C,3,0)),"")</f>
        <v/>
      </c>
    </row>
    <row r="600" spans="5:6" x14ac:dyDescent="0.3">
      <c r="E600" t="str">
        <f>IFERROR(IF(D600="","",VLOOKUP(D600,CadProd!$A:$B,2,0)),"")</f>
        <v/>
      </c>
      <c r="F600" t="str">
        <f>IFERROR(IF(D600="","",VLOOKUP(D600,CadProd!$A:$C,3,0)),"")</f>
        <v/>
      </c>
    </row>
    <row r="601" spans="5:6" x14ac:dyDescent="0.3">
      <c r="E601" t="str">
        <f>IFERROR(IF(D601="","",VLOOKUP(D601,CadProd!$A:$B,2,0)),"")</f>
        <v/>
      </c>
      <c r="F601" t="str">
        <f>IFERROR(IF(D601="","",VLOOKUP(D601,CadProd!$A:$C,3,0)),"")</f>
        <v/>
      </c>
    </row>
    <row r="602" spans="5:6" x14ac:dyDescent="0.3">
      <c r="E602" t="str">
        <f>IFERROR(IF(D602="","",VLOOKUP(D602,CadProd!$A:$B,2,0)),"")</f>
        <v/>
      </c>
      <c r="F602" t="str">
        <f>IFERROR(IF(D602="","",VLOOKUP(D602,CadProd!$A:$C,3,0)),"")</f>
        <v/>
      </c>
    </row>
    <row r="603" spans="5:6" x14ac:dyDescent="0.3">
      <c r="E603" t="str">
        <f>IFERROR(IF(D603="","",VLOOKUP(D603,CadProd!$A:$B,2,0)),"")</f>
        <v/>
      </c>
      <c r="F603" t="str">
        <f>IFERROR(IF(D603="","",VLOOKUP(D603,CadProd!$A:$C,3,0)),"")</f>
        <v/>
      </c>
    </row>
    <row r="604" spans="5:6" x14ac:dyDescent="0.3">
      <c r="E604" t="str">
        <f>IFERROR(IF(D604="","",VLOOKUP(D604,CadProd!$A:$B,2,0)),"")</f>
        <v/>
      </c>
      <c r="F604" t="str">
        <f>IFERROR(IF(D604="","",VLOOKUP(D604,CadProd!$A:$C,3,0)),"")</f>
        <v/>
      </c>
    </row>
    <row r="605" spans="5:6" x14ac:dyDescent="0.3">
      <c r="E605" t="str">
        <f>IFERROR(IF(D605="","",VLOOKUP(D605,CadProd!$A:$B,2,0)),"")</f>
        <v/>
      </c>
      <c r="F605" t="str">
        <f>IFERROR(IF(D605="","",VLOOKUP(D605,CadProd!$A:$C,3,0)),"")</f>
        <v/>
      </c>
    </row>
    <row r="606" spans="5:6" x14ac:dyDescent="0.3">
      <c r="E606" t="str">
        <f>IFERROR(IF(D606="","",VLOOKUP(D606,CadProd!$A:$B,2,0)),"")</f>
        <v/>
      </c>
      <c r="F606" t="str">
        <f>IFERROR(IF(D606="","",VLOOKUP(D606,CadProd!$A:$C,3,0)),"")</f>
        <v/>
      </c>
    </row>
    <row r="607" spans="5:6" x14ac:dyDescent="0.3">
      <c r="E607" t="str">
        <f>IFERROR(IF(D607="","",VLOOKUP(D607,CadProd!$A:$B,2,0)),"")</f>
        <v/>
      </c>
      <c r="F607" t="str">
        <f>IFERROR(IF(D607="","",VLOOKUP(D607,CadProd!$A:$C,3,0)),"")</f>
        <v/>
      </c>
    </row>
    <row r="608" spans="5:6" x14ac:dyDescent="0.3">
      <c r="E608" t="str">
        <f>IFERROR(IF(D608="","",VLOOKUP(D608,CadProd!$A:$B,2,0)),"")</f>
        <v/>
      </c>
      <c r="F608" t="str">
        <f>IFERROR(IF(D608="","",VLOOKUP(D608,CadProd!$A:$C,3,0)),"")</f>
        <v/>
      </c>
    </row>
    <row r="609" spans="5:6" x14ac:dyDescent="0.3">
      <c r="E609" t="str">
        <f>IFERROR(IF(D609="","",VLOOKUP(D609,CadProd!$A:$B,2,0)),"")</f>
        <v/>
      </c>
      <c r="F609" t="str">
        <f>IFERROR(IF(D609="","",VLOOKUP(D609,CadProd!$A:$C,3,0)),"")</f>
        <v/>
      </c>
    </row>
    <row r="610" spans="5:6" x14ac:dyDescent="0.3">
      <c r="E610" t="str">
        <f>IFERROR(IF(D610="","",VLOOKUP(D610,CadProd!$A:$B,2,0)),"")</f>
        <v/>
      </c>
      <c r="F610" t="str">
        <f>IFERROR(IF(D610="","",VLOOKUP(D610,CadProd!$A:$C,3,0)),"")</f>
        <v/>
      </c>
    </row>
    <row r="611" spans="5:6" x14ac:dyDescent="0.3">
      <c r="E611" t="str">
        <f>IFERROR(IF(D611="","",VLOOKUP(D611,CadProd!$A:$B,2,0)),"")</f>
        <v/>
      </c>
      <c r="F611" t="str">
        <f>IFERROR(IF(D611="","",VLOOKUP(D611,CadProd!$A:$C,3,0)),"")</f>
        <v/>
      </c>
    </row>
    <row r="612" spans="5:6" x14ac:dyDescent="0.3">
      <c r="E612" t="str">
        <f>IFERROR(IF(D612="","",VLOOKUP(D612,CadProd!$A:$B,2,0)),"")</f>
        <v/>
      </c>
      <c r="F612" t="str">
        <f>IFERROR(IF(D612="","",VLOOKUP(D612,CadProd!$A:$C,3,0)),"")</f>
        <v/>
      </c>
    </row>
    <row r="613" spans="5:6" x14ac:dyDescent="0.3">
      <c r="E613" t="str">
        <f>IFERROR(IF(D613="","",VLOOKUP(D613,CadProd!$A:$B,2,0)),"")</f>
        <v/>
      </c>
      <c r="F613" t="str">
        <f>IFERROR(IF(D613="","",VLOOKUP(D613,CadProd!$A:$C,3,0)),"")</f>
        <v/>
      </c>
    </row>
    <row r="614" spans="5:6" x14ac:dyDescent="0.3">
      <c r="E614" t="str">
        <f>IFERROR(IF(D614="","",VLOOKUP(D614,CadProd!$A:$B,2,0)),"")</f>
        <v/>
      </c>
      <c r="F614" t="str">
        <f>IFERROR(IF(D614="","",VLOOKUP(D614,CadProd!$A:$C,3,0)),"")</f>
        <v/>
      </c>
    </row>
    <row r="615" spans="5:6" x14ac:dyDescent="0.3">
      <c r="E615" t="str">
        <f>IFERROR(IF(D615="","",VLOOKUP(D615,CadProd!$A:$B,2,0)),"")</f>
        <v/>
      </c>
      <c r="F615" t="str">
        <f>IFERROR(IF(D615="","",VLOOKUP(D615,CadProd!$A:$C,3,0)),"")</f>
        <v/>
      </c>
    </row>
    <row r="616" spans="5:6" x14ac:dyDescent="0.3">
      <c r="E616" t="str">
        <f>IFERROR(IF(D616="","",VLOOKUP(D616,CadProd!$A:$B,2,0)),"")</f>
        <v/>
      </c>
      <c r="F616" t="str">
        <f>IFERROR(IF(D616="","",VLOOKUP(D616,CadProd!$A:$C,3,0)),"")</f>
        <v/>
      </c>
    </row>
    <row r="617" spans="5:6" x14ac:dyDescent="0.3">
      <c r="E617" t="str">
        <f>IFERROR(IF(D617="","",VLOOKUP(D617,CadProd!$A:$B,2,0)),"")</f>
        <v/>
      </c>
      <c r="F617" t="str">
        <f>IFERROR(IF(D617="","",VLOOKUP(D617,CadProd!$A:$C,3,0)),"")</f>
        <v/>
      </c>
    </row>
    <row r="618" spans="5:6" x14ac:dyDescent="0.3">
      <c r="E618" t="str">
        <f>IFERROR(IF(D618="","",VLOOKUP(D618,CadProd!$A:$B,2,0)),"")</f>
        <v/>
      </c>
      <c r="F618" t="str">
        <f>IFERROR(IF(D618="","",VLOOKUP(D618,CadProd!$A:$C,3,0)),"")</f>
        <v/>
      </c>
    </row>
    <row r="619" spans="5:6" x14ac:dyDescent="0.3">
      <c r="E619" t="str">
        <f>IFERROR(IF(D619="","",VLOOKUP(D619,CadProd!$A:$B,2,0)),"")</f>
        <v/>
      </c>
      <c r="F619" t="str">
        <f>IFERROR(IF(D619="","",VLOOKUP(D619,CadProd!$A:$C,3,0)),"")</f>
        <v/>
      </c>
    </row>
    <row r="620" spans="5:6" x14ac:dyDescent="0.3">
      <c r="E620" t="str">
        <f>IFERROR(IF(D620="","",VLOOKUP(D620,CadProd!$A:$B,2,0)),"")</f>
        <v/>
      </c>
      <c r="F620" t="str">
        <f>IFERROR(IF(D620="","",VLOOKUP(D620,CadProd!$A:$C,3,0)),"")</f>
        <v/>
      </c>
    </row>
    <row r="621" spans="5:6" x14ac:dyDescent="0.3">
      <c r="E621" t="str">
        <f>IFERROR(IF(D621="","",VLOOKUP(D621,CadProd!$A:$B,2,0)),"")</f>
        <v/>
      </c>
      <c r="F621" t="str">
        <f>IFERROR(IF(D621="","",VLOOKUP(D621,CadProd!$A:$C,3,0)),"")</f>
        <v/>
      </c>
    </row>
    <row r="622" spans="5:6" x14ac:dyDescent="0.3">
      <c r="E622" t="str">
        <f>IFERROR(IF(D622="","",VLOOKUP(D622,CadProd!$A:$B,2,0)),"")</f>
        <v/>
      </c>
      <c r="F622" t="str">
        <f>IFERROR(IF(D622="","",VLOOKUP(D622,CadProd!$A:$C,3,0)),"")</f>
        <v/>
      </c>
    </row>
    <row r="623" spans="5:6" x14ac:dyDescent="0.3">
      <c r="E623" t="str">
        <f>IFERROR(IF(D623="","",VLOOKUP(D623,CadProd!$A:$B,2,0)),"")</f>
        <v/>
      </c>
      <c r="F623" t="str">
        <f>IFERROR(IF(D623="","",VLOOKUP(D623,CadProd!$A:$C,3,0)),"")</f>
        <v/>
      </c>
    </row>
    <row r="624" spans="5:6" x14ac:dyDescent="0.3">
      <c r="E624" t="str">
        <f>IFERROR(IF(D624="","",VLOOKUP(D624,CadProd!$A:$B,2,0)),"")</f>
        <v/>
      </c>
      <c r="F624" t="str">
        <f>IFERROR(IF(D624="","",VLOOKUP(D624,CadProd!$A:$C,3,0)),"")</f>
        <v/>
      </c>
    </row>
    <row r="625" spans="5:6" x14ac:dyDescent="0.3">
      <c r="E625" t="str">
        <f>IFERROR(IF(D625="","",VLOOKUP(D625,CadProd!$A:$B,2,0)),"")</f>
        <v/>
      </c>
      <c r="F625" t="str">
        <f>IFERROR(IF(D625="","",VLOOKUP(D625,CadProd!$A:$C,3,0)),"")</f>
        <v/>
      </c>
    </row>
    <row r="626" spans="5:6" x14ac:dyDescent="0.3">
      <c r="E626" t="str">
        <f>IFERROR(IF(D626="","",VLOOKUP(D626,CadProd!$A:$B,2,0)),"")</f>
        <v/>
      </c>
      <c r="F626" t="str">
        <f>IFERROR(IF(D626="","",VLOOKUP(D626,CadProd!$A:$C,3,0)),"")</f>
        <v/>
      </c>
    </row>
    <row r="627" spans="5:6" x14ac:dyDescent="0.3">
      <c r="E627" t="str">
        <f>IFERROR(IF(D627="","",VLOOKUP(D627,CadProd!$A:$B,2,0)),"")</f>
        <v/>
      </c>
      <c r="F627" t="str">
        <f>IFERROR(IF(D627="","",VLOOKUP(D627,CadProd!$A:$C,3,0)),"")</f>
        <v/>
      </c>
    </row>
    <row r="628" spans="5:6" x14ac:dyDescent="0.3">
      <c r="E628" t="str">
        <f>IFERROR(IF(D628="","",VLOOKUP(D628,CadProd!$A:$B,2,0)),"")</f>
        <v/>
      </c>
      <c r="F628" t="str">
        <f>IFERROR(IF(D628="","",VLOOKUP(D628,CadProd!$A:$C,3,0)),"")</f>
        <v/>
      </c>
    </row>
    <row r="629" spans="5:6" x14ac:dyDescent="0.3">
      <c r="E629" t="str">
        <f>IFERROR(IF(D629="","",VLOOKUP(D629,CadProd!$A:$B,2,0)),"")</f>
        <v/>
      </c>
      <c r="F629" t="str">
        <f>IFERROR(IF(D629="","",VLOOKUP(D629,CadProd!$A:$C,3,0)),"")</f>
        <v/>
      </c>
    </row>
    <row r="630" spans="5:6" x14ac:dyDescent="0.3">
      <c r="E630" t="str">
        <f>IFERROR(IF(D630="","",VLOOKUP(D630,CadProd!$A:$B,2,0)),"")</f>
        <v/>
      </c>
      <c r="F630" t="str">
        <f>IFERROR(IF(D630="","",VLOOKUP(D630,CadProd!$A:$C,3,0)),"")</f>
        <v/>
      </c>
    </row>
    <row r="631" spans="5:6" x14ac:dyDescent="0.3">
      <c r="E631" t="str">
        <f>IFERROR(IF(D631="","",VLOOKUP(D631,CadProd!$A:$B,2,0)),"")</f>
        <v/>
      </c>
      <c r="F631" t="str">
        <f>IFERROR(IF(D631="","",VLOOKUP(D631,CadProd!$A:$C,3,0)),"")</f>
        <v/>
      </c>
    </row>
    <row r="632" spans="5:6" x14ac:dyDescent="0.3">
      <c r="E632" t="str">
        <f>IFERROR(IF(D632="","",VLOOKUP(D632,CadProd!$A:$B,2,0)),"")</f>
        <v/>
      </c>
      <c r="F632" t="str">
        <f>IFERROR(IF(D632="","",VLOOKUP(D632,CadProd!$A:$C,3,0)),"")</f>
        <v/>
      </c>
    </row>
    <row r="633" spans="5:6" x14ac:dyDescent="0.3">
      <c r="E633" t="str">
        <f>IFERROR(IF(D633="","",VLOOKUP(D633,CadProd!$A:$B,2,0)),"")</f>
        <v/>
      </c>
      <c r="F633" t="str">
        <f>IFERROR(IF(D633="","",VLOOKUP(D633,CadProd!$A:$C,3,0)),"")</f>
        <v/>
      </c>
    </row>
    <row r="634" spans="5:6" x14ac:dyDescent="0.3">
      <c r="E634" t="str">
        <f>IFERROR(IF(D634="","",VLOOKUP(D634,CadProd!$A:$B,2,0)),"")</f>
        <v/>
      </c>
      <c r="F634" t="str">
        <f>IFERROR(IF(D634="","",VLOOKUP(D634,CadProd!$A:$C,3,0)),"")</f>
        <v/>
      </c>
    </row>
    <row r="635" spans="5:6" x14ac:dyDescent="0.3">
      <c r="E635" t="str">
        <f>IFERROR(IF(D635="","",VLOOKUP(D635,CadProd!$A:$B,2,0)),"")</f>
        <v/>
      </c>
      <c r="F635" t="str">
        <f>IFERROR(IF(D635="","",VLOOKUP(D635,CadProd!$A:$C,3,0)),"")</f>
        <v/>
      </c>
    </row>
    <row r="636" spans="5:6" x14ac:dyDescent="0.3">
      <c r="E636" t="str">
        <f>IFERROR(IF(D636="","",VLOOKUP(D636,CadProd!$A:$B,2,0)),"")</f>
        <v/>
      </c>
      <c r="F636" t="str">
        <f>IFERROR(IF(D636="","",VLOOKUP(D636,CadProd!$A:$C,3,0)),"")</f>
        <v/>
      </c>
    </row>
    <row r="637" spans="5:6" x14ac:dyDescent="0.3">
      <c r="E637" t="str">
        <f>IFERROR(IF(D637="","",VLOOKUP(D637,CadProd!$A:$B,2,0)),"")</f>
        <v/>
      </c>
      <c r="F637" t="str">
        <f>IFERROR(IF(D637="","",VLOOKUP(D637,CadProd!$A:$C,3,0)),"")</f>
        <v/>
      </c>
    </row>
    <row r="638" spans="5:6" x14ac:dyDescent="0.3">
      <c r="E638" t="str">
        <f>IFERROR(IF(D638="","",VLOOKUP(D638,CadProd!$A:$B,2,0)),"")</f>
        <v/>
      </c>
      <c r="F638" t="str">
        <f>IFERROR(IF(D638="","",VLOOKUP(D638,CadProd!$A:$C,3,0)),"")</f>
        <v/>
      </c>
    </row>
    <row r="639" spans="5:6" x14ac:dyDescent="0.3">
      <c r="E639" t="str">
        <f>IFERROR(IF(D639="","",VLOOKUP(D639,CadProd!$A:$B,2,0)),"")</f>
        <v/>
      </c>
      <c r="F639" t="str">
        <f>IFERROR(IF(D639="","",VLOOKUP(D639,CadProd!$A:$C,3,0)),"")</f>
        <v/>
      </c>
    </row>
    <row r="640" spans="5:6" x14ac:dyDescent="0.3">
      <c r="E640" t="str">
        <f>IFERROR(IF(D640="","",VLOOKUP(D640,CadProd!$A:$B,2,0)),"")</f>
        <v/>
      </c>
      <c r="F640" t="str">
        <f>IFERROR(IF(D640="","",VLOOKUP(D640,CadProd!$A:$C,3,0)),"")</f>
        <v/>
      </c>
    </row>
    <row r="641" spans="5:6" x14ac:dyDescent="0.3">
      <c r="E641" t="str">
        <f>IFERROR(IF(D641="","",VLOOKUP(D641,CadProd!$A:$B,2,0)),"")</f>
        <v/>
      </c>
      <c r="F641" t="str">
        <f>IFERROR(IF(D641="","",VLOOKUP(D641,CadProd!$A:$C,3,0)),"")</f>
        <v/>
      </c>
    </row>
    <row r="642" spans="5:6" x14ac:dyDescent="0.3">
      <c r="E642" t="str">
        <f>IFERROR(IF(D642="","",VLOOKUP(D642,CadProd!$A:$B,2,0)),"")</f>
        <v/>
      </c>
      <c r="F642" t="str">
        <f>IFERROR(IF(D642="","",VLOOKUP(D642,CadProd!$A:$C,3,0)),"")</f>
        <v/>
      </c>
    </row>
    <row r="643" spans="5:6" x14ac:dyDescent="0.3">
      <c r="E643" t="str">
        <f>IFERROR(IF(D643="","",VLOOKUP(D643,CadProd!$A:$B,2,0)),"")</f>
        <v/>
      </c>
      <c r="F643" t="str">
        <f>IFERROR(IF(D643="","",VLOOKUP(D643,CadProd!$A:$C,3,0)),"")</f>
        <v/>
      </c>
    </row>
    <row r="644" spans="5:6" x14ac:dyDescent="0.3">
      <c r="E644" t="str">
        <f>IFERROR(IF(D644="","",VLOOKUP(D644,CadProd!$A:$B,2,0)),"")</f>
        <v/>
      </c>
      <c r="F644" t="str">
        <f>IFERROR(IF(D644="","",VLOOKUP(D644,CadProd!$A:$C,3,0)),"")</f>
        <v/>
      </c>
    </row>
    <row r="645" spans="5:6" x14ac:dyDescent="0.3">
      <c r="E645" t="str">
        <f>IFERROR(IF(D645="","",VLOOKUP(D645,CadProd!$A:$B,2,0)),"")</f>
        <v/>
      </c>
      <c r="F645" t="str">
        <f>IFERROR(IF(D645="","",VLOOKUP(D645,CadProd!$A:$C,3,0)),"")</f>
        <v/>
      </c>
    </row>
    <row r="646" spans="5:6" x14ac:dyDescent="0.3">
      <c r="E646" t="str">
        <f>IFERROR(IF(D646="","",VLOOKUP(D646,CadProd!$A:$B,2,0)),"")</f>
        <v/>
      </c>
      <c r="F646" t="str">
        <f>IFERROR(IF(D646="","",VLOOKUP(D646,CadProd!$A:$C,3,0)),"")</f>
        <v/>
      </c>
    </row>
    <row r="647" spans="5:6" x14ac:dyDescent="0.3">
      <c r="E647" t="str">
        <f>IFERROR(IF(D647="","",VLOOKUP(D647,CadProd!$A:$B,2,0)),"")</f>
        <v/>
      </c>
      <c r="F647" t="str">
        <f>IFERROR(IF(D647="","",VLOOKUP(D647,CadProd!$A:$C,3,0)),"")</f>
        <v/>
      </c>
    </row>
    <row r="648" spans="5:6" x14ac:dyDescent="0.3">
      <c r="E648" t="str">
        <f>IFERROR(IF(D648="","",VLOOKUP(D648,CadProd!$A:$B,2,0)),"")</f>
        <v/>
      </c>
      <c r="F648" t="str">
        <f>IFERROR(IF(D648="","",VLOOKUP(D648,CadProd!$A:$C,3,0)),"")</f>
        <v/>
      </c>
    </row>
    <row r="649" spans="5:6" x14ac:dyDescent="0.3">
      <c r="E649" t="str">
        <f>IFERROR(IF(D649="","",VLOOKUP(D649,CadProd!$A:$B,2,0)),"")</f>
        <v/>
      </c>
      <c r="F649" t="str">
        <f>IFERROR(IF(D649="","",VLOOKUP(D649,CadProd!$A:$C,3,0)),"")</f>
        <v/>
      </c>
    </row>
    <row r="650" spans="5:6" x14ac:dyDescent="0.3">
      <c r="E650" t="str">
        <f>IFERROR(IF(D650="","",VLOOKUP(D650,CadProd!$A:$B,2,0)),"")</f>
        <v/>
      </c>
      <c r="F650" t="str">
        <f>IFERROR(IF(D650="","",VLOOKUP(D650,CadProd!$A:$C,3,0)),"")</f>
        <v/>
      </c>
    </row>
    <row r="651" spans="5:6" x14ac:dyDescent="0.3">
      <c r="E651" t="str">
        <f>IFERROR(IF(D651="","",VLOOKUP(D651,CadProd!$A:$B,2,0)),"")</f>
        <v/>
      </c>
      <c r="F651" t="str">
        <f>IFERROR(IF(D651="","",VLOOKUP(D651,CadProd!$A:$C,3,0)),"")</f>
        <v/>
      </c>
    </row>
    <row r="652" spans="5:6" x14ac:dyDescent="0.3">
      <c r="E652" t="str">
        <f>IFERROR(IF(D652="","",VLOOKUP(D652,CadProd!$A:$B,2,0)),"")</f>
        <v/>
      </c>
      <c r="F652" t="str">
        <f>IFERROR(IF(D652="","",VLOOKUP(D652,CadProd!$A:$C,3,0)),"")</f>
        <v/>
      </c>
    </row>
    <row r="653" spans="5:6" x14ac:dyDescent="0.3">
      <c r="E653" t="str">
        <f>IFERROR(IF(D653="","",VLOOKUP(D653,CadProd!$A:$B,2,0)),"")</f>
        <v/>
      </c>
      <c r="F653" t="str">
        <f>IFERROR(IF(D653="","",VLOOKUP(D653,CadProd!$A:$C,3,0)),"")</f>
        <v/>
      </c>
    </row>
    <row r="654" spans="5:6" x14ac:dyDescent="0.3">
      <c r="E654" t="str">
        <f>IFERROR(IF(D654="","",VLOOKUP(D654,CadProd!$A:$B,2,0)),"")</f>
        <v/>
      </c>
      <c r="F654" t="str">
        <f>IFERROR(IF(D654="","",VLOOKUP(D654,CadProd!$A:$C,3,0)),"")</f>
        <v/>
      </c>
    </row>
    <row r="655" spans="5:6" x14ac:dyDescent="0.3">
      <c r="E655" t="str">
        <f>IFERROR(IF(D655="","",VLOOKUP(D655,CadProd!$A:$B,2,0)),"")</f>
        <v/>
      </c>
      <c r="F655" t="str">
        <f>IFERROR(IF(D655="","",VLOOKUP(D655,CadProd!$A:$C,3,0)),"")</f>
        <v/>
      </c>
    </row>
    <row r="656" spans="5:6" x14ac:dyDescent="0.3">
      <c r="E656" t="str">
        <f>IFERROR(IF(D656="","",VLOOKUP(D656,CadProd!$A:$B,2,0)),"")</f>
        <v/>
      </c>
      <c r="F656" t="str">
        <f>IFERROR(IF(D656="","",VLOOKUP(D656,CadProd!$A:$C,3,0)),"")</f>
        <v/>
      </c>
    </row>
    <row r="657" spans="5:6" x14ac:dyDescent="0.3">
      <c r="E657" t="str">
        <f>IFERROR(IF(D657="","",VLOOKUP(D657,CadProd!$A:$B,2,0)),"")</f>
        <v/>
      </c>
      <c r="F657" t="str">
        <f>IFERROR(IF(D657="","",VLOOKUP(D657,CadProd!$A:$C,3,0)),"")</f>
        <v/>
      </c>
    </row>
    <row r="658" spans="5:6" x14ac:dyDescent="0.3">
      <c r="E658" t="str">
        <f>IFERROR(IF(D658="","",VLOOKUP(D658,CadProd!$A:$B,2,0)),"")</f>
        <v/>
      </c>
      <c r="F658" t="str">
        <f>IFERROR(IF(D658="","",VLOOKUP(D658,CadProd!$A:$C,3,0)),"")</f>
        <v/>
      </c>
    </row>
    <row r="659" spans="5:6" x14ac:dyDescent="0.3">
      <c r="E659" t="str">
        <f>IFERROR(IF(D659="","",VLOOKUP(D659,CadProd!$A:$B,2,0)),"")</f>
        <v/>
      </c>
      <c r="F659" t="str">
        <f>IFERROR(IF(D659="","",VLOOKUP(D659,CadProd!$A:$C,3,0)),"")</f>
        <v/>
      </c>
    </row>
    <row r="660" spans="5:6" x14ac:dyDescent="0.3">
      <c r="E660" t="str">
        <f>IFERROR(IF(D660="","",VLOOKUP(D660,CadProd!$A:$B,2,0)),"")</f>
        <v/>
      </c>
      <c r="F660" t="str">
        <f>IFERROR(IF(D660="","",VLOOKUP(D660,CadProd!$A:$C,3,0)),"")</f>
        <v/>
      </c>
    </row>
    <row r="661" spans="5:6" x14ac:dyDescent="0.3">
      <c r="E661" t="str">
        <f>IFERROR(IF(D661="","",VLOOKUP(D661,CadProd!$A:$B,2,0)),"")</f>
        <v/>
      </c>
      <c r="F661" t="str">
        <f>IFERROR(IF(D661="","",VLOOKUP(D661,CadProd!$A:$C,3,0)),"")</f>
        <v/>
      </c>
    </row>
    <row r="662" spans="5:6" x14ac:dyDescent="0.3">
      <c r="E662" t="str">
        <f>IFERROR(IF(D662="","",VLOOKUP(D662,CadProd!$A:$B,2,0)),"")</f>
        <v/>
      </c>
      <c r="F662" t="str">
        <f>IFERROR(IF(D662="","",VLOOKUP(D662,CadProd!$A:$C,3,0)),"")</f>
        <v/>
      </c>
    </row>
    <row r="663" spans="5:6" x14ac:dyDescent="0.3">
      <c r="E663" t="str">
        <f>IFERROR(IF(D663="","",VLOOKUP(D663,CadProd!$A:$B,2,0)),"")</f>
        <v/>
      </c>
      <c r="F663" t="str">
        <f>IFERROR(IF(D663="","",VLOOKUP(D663,CadProd!$A:$C,3,0)),"")</f>
        <v/>
      </c>
    </row>
    <row r="664" spans="5:6" x14ac:dyDescent="0.3">
      <c r="E664" t="str">
        <f>IFERROR(IF(D664="","",VLOOKUP(D664,CadProd!$A:$B,2,0)),"")</f>
        <v/>
      </c>
      <c r="F664" t="str">
        <f>IFERROR(IF(D664="","",VLOOKUP(D664,CadProd!$A:$C,3,0)),"")</f>
        <v/>
      </c>
    </row>
    <row r="665" spans="5:6" x14ac:dyDescent="0.3">
      <c r="E665" t="str">
        <f>IFERROR(IF(D665="","",VLOOKUP(D665,CadProd!$A:$B,2,0)),"")</f>
        <v/>
      </c>
      <c r="F665" t="str">
        <f>IFERROR(IF(D665="","",VLOOKUP(D665,CadProd!$A:$C,3,0)),"")</f>
        <v/>
      </c>
    </row>
    <row r="666" spans="5:6" x14ac:dyDescent="0.3">
      <c r="E666" t="str">
        <f>IFERROR(IF(D666="","",VLOOKUP(D666,CadProd!$A:$B,2,0)),"")</f>
        <v/>
      </c>
      <c r="F666" t="str">
        <f>IFERROR(IF(D666="","",VLOOKUP(D666,CadProd!$A:$C,3,0)),"")</f>
        <v/>
      </c>
    </row>
    <row r="667" spans="5:6" x14ac:dyDescent="0.3">
      <c r="E667" t="str">
        <f>IFERROR(IF(D667="","",VLOOKUP(D667,CadProd!$A:$B,2,0)),"")</f>
        <v/>
      </c>
      <c r="F667" t="str">
        <f>IFERROR(IF(D667="","",VLOOKUP(D667,CadProd!$A:$C,3,0)),"")</f>
        <v/>
      </c>
    </row>
    <row r="668" spans="5:6" x14ac:dyDescent="0.3">
      <c r="E668" t="str">
        <f>IFERROR(IF(D668="","",VLOOKUP(D668,CadProd!$A:$B,2,0)),"")</f>
        <v/>
      </c>
      <c r="F668" t="str">
        <f>IFERROR(IF(D668="","",VLOOKUP(D668,CadProd!$A:$C,3,0)),"")</f>
        <v/>
      </c>
    </row>
    <row r="669" spans="5:6" x14ac:dyDescent="0.3">
      <c r="E669" t="str">
        <f>IFERROR(IF(D669="","",VLOOKUP(D669,CadProd!$A:$B,2,0)),"")</f>
        <v/>
      </c>
      <c r="F669" t="str">
        <f>IFERROR(IF(D669="","",VLOOKUP(D669,CadProd!$A:$C,3,0)),"")</f>
        <v/>
      </c>
    </row>
    <row r="670" spans="5:6" x14ac:dyDescent="0.3">
      <c r="E670" t="str">
        <f>IFERROR(IF(D670="","",VLOOKUP(D670,CadProd!$A:$B,2,0)),"")</f>
        <v/>
      </c>
      <c r="F670" t="str">
        <f>IFERROR(IF(D670="","",VLOOKUP(D670,CadProd!$A:$C,3,0)),"")</f>
        <v/>
      </c>
    </row>
    <row r="671" spans="5:6" x14ac:dyDescent="0.3">
      <c r="E671" t="str">
        <f>IFERROR(IF(D671="","",VLOOKUP(D671,CadProd!$A:$B,2,0)),"")</f>
        <v/>
      </c>
      <c r="F671" t="str">
        <f>IFERROR(IF(D671="","",VLOOKUP(D671,CadProd!$A:$C,3,0)),"")</f>
        <v/>
      </c>
    </row>
    <row r="672" spans="5:6" x14ac:dyDescent="0.3">
      <c r="E672" t="str">
        <f>IFERROR(IF(D672="","",VLOOKUP(D672,CadProd!$A:$B,2,0)),"")</f>
        <v/>
      </c>
      <c r="F672" t="str">
        <f>IFERROR(IF(D672="","",VLOOKUP(D672,CadProd!$A:$C,3,0)),"")</f>
        <v/>
      </c>
    </row>
    <row r="673" spans="5:6" x14ac:dyDescent="0.3">
      <c r="E673" t="str">
        <f>IFERROR(IF(D673="","",VLOOKUP(D673,CadProd!$A:$B,2,0)),"")</f>
        <v/>
      </c>
      <c r="F673" t="str">
        <f>IFERROR(IF(D673="","",VLOOKUP(D673,CadProd!$A:$C,3,0)),"")</f>
        <v/>
      </c>
    </row>
    <row r="674" spans="5:6" x14ac:dyDescent="0.3">
      <c r="E674" t="str">
        <f>IFERROR(IF(D674="","",VLOOKUP(D674,CadProd!$A:$B,2,0)),"")</f>
        <v/>
      </c>
      <c r="F674" t="str">
        <f>IFERROR(IF(D674="","",VLOOKUP(D674,CadProd!$A:$C,3,0)),"")</f>
        <v/>
      </c>
    </row>
    <row r="675" spans="5:6" x14ac:dyDescent="0.3">
      <c r="E675" t="str">
        <f>IFERROR(IF(D675="","",VLOOKUP(D675,CadProd!$A:$B,2,0)),"")</f>
        <v/>
      </c>
      <c r="F675" t="str">
        <f>IFERROR(IF(D675="","",VLOOKUP(D675,CadProd!$A:$C,3,0)),"")</f>
        <v/>
      </c>
    </row>
    <row r="676" spans="5:6" x14ac:dyDescent="0.3">
      <c r="E676" t="str">
        <f>IFERROR(IF(D676="","",VLOOKUP(D676,CadProd!$A:$B,2,0)),"")</f>
        <v/>
      </c>
      <c r="F676" t="str">
        <f>IFERROR(IF(D676="","",VLOOKUP(D676,CadProd!$A:$C,3,0)),"")</f>
        <v/>
      </c>
    </row>
    <row r="677" spans="5:6" x14ac:dyDescent="0.3">
      <c r="E677" t="str">
        <f>IFERROR(IF(D677="","",VLOOKUP(D677,CadProd!$A:$B,2,0)),"")</f>
        <v/>
      </c>
      <c r="F677" t="str">
        <f>IFERROR(IF(D677="","",VLOOKUP(D677,CadProd!$A:$C,3,0)),"")</f>
        <v/>
      </c>
    </row>
    <row r="678" spans="5:6" x14ac:dyDescent="0.3">
      <c r="E678" t="str">
        <f>IFERROR(IF(D678="","",VLOOKUP(D678,CadProd!$A:$B,2,0)),"")</f>
        <v/>
      </c>
      <c r="F678" t="str">
        <f>IFERROR(IF(D678="","",VLOOKUP(D678,CadProd!$A:$C,3,0)),"")</f>
        <v/>
      </c>
    </row>
    <row r="679" spans="5:6" x14ac:dyDescent="0.3">
      <c r="E679" t="str">
        <f>IFERROR(IF(D679="","",VLOOKUP(D679,CadProd!$A:$B,2,0)),"")</f>
        <v/>
      </c>
      <c r="F679" t="str">
        <f>IFERROR(IF(D679="","",VLOOKUP(D679,CadProd!$A:$C,3,0)),"")</f>
        <v/>
      </c>
    </row>
    <row r="680" spans="5:6" x14ac:dyDescent="0.3">
      <c r="E680" t="str">
        <f>IFERROR(IF(D680="","",VLOOKUP(D680,CadProd!$A:$B,2,0)),"")</f>
        <v/>
      </c>
      <c r="F680" t="str">
        <f>IFERROR(IF(D680="","",VLOOKUP(D680,CadProd!$A:$C,3,0)),"")</f>
        <v/>
      </c>
    </row>
    <row r="681" spans="5:6" x14ac:dyDescent="0.3">
      <c r="E681" t="str">
        <f>IFERROR(IF(D681="","",VLOOKUP(D681,CadProd!$A:$B,2,0)),"")</f>
        <v/>
      </c>
      <c r="F681" t="str">
        <f>IFERROR(IF(D681="","",VLOOKUP(D681,CadProd!$A:$C,3,0)),"")</f>
        <v/>
      </c>
    </row>
    <row r="682" spans="5:6" x14ac:dyDescent="0.3">
      <c r="E682" t="str">
        <f>IFERROR(IF(D682="","",VLOOKUP(D682,CadProd!$A:$B,2,0)),"")</f>
        <v/>
      </c>
      <c r="F682" t="str">
        <f>IFERROR(IF(D682="","",VLOOKUP(D682,CadProd!$A:$C,3,0)),"")</f>
        <v/>
      </c>
    </row>
    <row r="683" spans="5:6" x14ac:dyDescent="0.3">
      <c r="E683" t="str">
        <f>IFERROR(IF(D683="","",VLOOKUP(D683,CadProd!$A:$B,2,0)),"")</f>
        <v/>
      </c>
      <c r="F683" t="str">
        <f>IFERROR(IF(D683="","",VLOOKUP(D683,CadProd!$A:$C,3,0)),"")</f>
        <v/>
      </c>
    </row>
    <row r="684" spans="5:6" x14ac:dyDescent="0.3">
      <c r="E684" t="str">
        <f>IFERROR(IF(D684="","",VLOOKUP(D684,CadProd!$A:$B,2,0)),"")</f>
        <v/>
      </c>
      <c r="F684" t="str">
        <f>IFERROR(IF(D684="","",VLOOKUP(D684,CadProd!$A:$C,3,0)),"")</f>
        <v/>
      </c>
    </row>
    <row r="685" spans="5:6" x14ac:dyDescent="0.3">
      <c r="E685" t="str">
        <f>IFERROR(IF(D685="","",VLOOKUP(D685,CadProd!$A:$B,2,0)),"")</f>
        <v/>
      </c>
      <c r="F685" t="str">
        <f>IFERROR(IF(D685="","",VLOOKUP(D685,CadProd!$A:$C,3,0)),"")</f>
        <v/>
      </c>
    </row>
    <row r="686" spans="5:6" x14ac:dyDescent="0.3">
      <c r="E686" t="str">
        <f>IFERROR(IF(D686="","",VLOOKUP(D686,CadProd!$A:$B,2,0)),"")</f>
        <v/>
      </c>
      <c r="F686" t="str">
        <f>IFERROR(IF(D686="","",VLOOKUP(D686,CadProd!$A:$C,3,0)),"")</f>
        <v/>
      </c>
    </row>
    <row r="687" spans="5:6" x14ac:dyDescent="0.3">
      <c r="E687" t="str">
        <f>IFERROR(IF(D687="","",VLOOKUP(D687,CadProd!$A:$B,2,0)),"")</f>
        <v/>
      </c>
      <c r="F687" t="str">
        <f>IFERROR(IF(D687="","",VLOOKUP(D687,CadProd!$A:$C,3,0)),"")</f>
        <v/>
      </c>
    </row>
    <row r="688" spans="5:6" x14ac:dyDescent="0.3">
      <c r="E688" t="str">
        <f>IFERROR(IF(D688="","",VLOOKUP(D688,CadProd!$A:$B,2,0)),"")</f>
        <v/>
      </c>
      <c r="F688" t="str">
        <f>IFERROR(IF(D688="","",VLOOKUP(D688,CadProd!$A:$C,3,0)),"")</f>
        <v/>
      </c>
    </row>
    <row r="689" spans="5:6" x14ac:dyDescent="0.3">
      <c r="E689" t="str">
        <f>IFERROR(IF(D689="","",VLOOKUP(D689,CadProd!$A:$B,2,0)),"")</f>
        <v/>
      </c>
      <c r="F689" t="str">
        <f>IFERROR(IF(D689="","",VLOOKUP(D689,CadProd!$A:$C,3,0)),"")</f>
        <v/>
      </c>
    </row>
    <row r="690" spans="5:6" x14ac:dyDescent="0.3">
      <c r="E690" t="str">
        <f>IFERROR(IF(D690="","",VLOOKUP(D690,CadProd!$A:$B,2,0)),"")</f>
        <v/>
      </c>
      <c r="F690" t="str">
        <f>IFERROR(IF(D690="","",VLOOKUP(D690,CadProd!$A:$C,3,0)),"")</f>
        <v/>
      </c>
    </row>
    <row r="691" spans="5:6" x14ac:dyDescent="0.3">
      <c r="E691" t="str">
        <f>IFERROR(IF(D691="","",VLOOKUP(D691,CadProd!$A:$B,2,0)),"")</f>
        <v/>
      </c>
      <c r="F691" t="str">
        <f>IFERROR(IF(D691="","",VLOOKUP(D691,CadProd!$A:$C,3,0)),"")</f>
        <v/>
      </c>
    </row>
    <row r="692" spans="5:6" x14ac:dyDescent="0.3">
      <c r="E692" t="str">
        <f>IFERROR(IF(D692="","",VLOOKUP(D692,CadProd!$A:$B,2,0)),"")</f>
        <v/>
      </c>
      <c r="F692" t="str">
        <f>IFERROR(IF(D692="","",VLOOKUP(D692,CadProd!$A:$C,3,0)),"")</f>
        <v/>
      </c>
    </row>
    <row r="693" spans="5:6" x14ac:dyDescent="0.3">
      <c r="E693" t="str">
        <f>IFERROR(IF(D693="","",VLOOKUP(D693,CadProd!$A:$B,2,0)),"")</f>
        <v/>
      </c>
      <c r="F693" t="str">
        <f>IFERROR(IF(D693="","",VLOOKUP(D693,CadProd!$A:$C,3,0)),"")</f>
        <v/>
      </c>
    </row>
    <row r="694" spans="5:6" x14ac:dyDescent="0.3">
      <c r="E694" t="str">
        <f>IFERROR(IF(D694="","",VLOOKUP(D694,CadProd!$A:$B,2,0)),"")</f>
        <v/>
      </c>
      <c r="F694" t="str">
        <f>IFERROR(IF(D694="","",VLOOKUP(D694,CadProd!$A:$C,3,0)),"")</f>
        <v/>
      </c>
    </row>
    <row r="695" spans="5:6" x14ac:dyDescent="0.3">
      <c r="E695" t="str">
        <f>IFERROR(IF(D695="","",VLOOKUP(D695,CadProd!$A:$B,2,0)),"")</f>
        <v/>
      </c>
      <c r="F695" t="str">
        <f>IFERROR(IF(D695="","",VLOOKUP(D695,CadProd!$A:$C,3,0)),"")</f>
        <v/>
      </c>
    </row>
    <row r="696" spans="5:6" x14ac:dyDescent="0.3">
      <c r="E696" t="str">
        <f>IFERROR(IF(D696="","",VLOOKUP(D696,CadProd!$A:$B,2,0)),"")</f>
        <v/>
      </c>
      <c r="F696" t="str">
        <f>IFERROR(IF(D696="","",VLOOKUP(D696,CadProd!$A:$C,3,0)),"")</f>
        <v/>
      </c>
    </row>
    <row r="697" spans="5:6" x14ac:dyDescent="0.3">
      <c r="E697" t="str">
        <f>IFERROR(IF(D697="","",VLOOKUP(D697,CadProd!$A:$B,2,0)),"")</f>
        <v/>
      </c>
      <c r="F697" t="str">
        <f>IFERROR(IF(D697="","",VLOOKUP(D697,CadProd!$A:$C,3,0)),"")</f>
        <v/>
      </c>
    </row>
    <row r="698" spans="5:6" x14ac:dyDescent="0.3">
      <c r="E698" t="str">
        <f>IFERROR(IF(D698="","",VLOOKUP(D698,CadProd!$A:$B,2,0)),"")</f>
        <v/>
      </c>
      <c r="F698" t="str">
        <f>IFERROR(IF(D698="","",VLOOKUP(D698,CadProd!$A:$C,3,0)),"")</f>
        <v/>
      </c>
    </row>
    <row r="699" spans="5:6" x14ac:dyDescent="0.3">
      <c r="E699" t="str">
        <f>IFERROR(IF(D699="","",VLOOKUP(D699,CadProd!$A:$B,2,0)),"")</f>
        <v/>
      </c>
      <c r="F699" t="str">
        <f>IFERROR(IF(D699="","",VLOOKUP(D699,CadProd!$A:$C,3,0)),"")</f>
        <v/>
      </c>
    </row>
    <row r="700" spans="5:6" x14ac:dyDescent="0.3">
      <c r="E700" t="str">
        <f>IFERROR(IF(D700="","",VLOOKUP(D700,CadProd!$A:$B,2,0)),"")</f>
        <v/>
      </c>
      <c r="F700" t="str">
        <f>IFERROR(IF(D700="","",VLOOKUP(D700,CadProd!$A:$C,3,0)),"")</f>
        <v/>
      </c>
    </row>
    <row r="701" spans="5:6" x14ac:dyDescent="0.3">
      <c r="E701" t="str">
        <f>IFERROR(IF(D701="","",VLOOKUP(D701,CadProd!$A:$B,2,0)),"")</f>
        <v/>
      </c>
      <c r="F701" t="str">
        <f>IFERROR(IF(D701="","",VLOOKUP(D701,CadProd!$A:$C,3,0)),"")</f>
        <v/>
      </c>
    </row>
    <row r="702" spans="5:6" x14ac:dyDescent="0.3">
      <c r="E702" t="str">
        <f>IFERROR(IF(D702="","",VLOOKUP(D702,CadProd!$A:$B,2,0)),"")</f>
        <v/>
      </c>
      <c r="F702" t="str">
        <f>IFERROR(IF(D702="","",VLOOKUP(D702,CadProd!$A:$C,3,0)),"")</f>
        <v/>
      </c>
    </row>
    <row r="703" spans="5:6" x14ac:dyDescent="0.3">
      <c r="E703" t="str">
        <f>IFERROR(IF(D703="","",VLOOKUP(D703,CadProd!$A:$B,2,0)),"")</f>
        <v/>
      </c>
      <c r="F703" t="str">
        <f>IFERROR(IF(D703="","",VLOOKUP(D703,CadProd!$A:$C,3,0)),"")</f>
        <v/>
      </c>
    </row>
    <row r="704" spans="5:6" x14ac:dyDescent="0.3">
      <c r="E704" t="str">
        <f>IFERROR(IF(D704="","",VLOOKUP(D704,CadProd!$A:$B,2,0)),"")</f>
        <v/>
      </c>
      <c r="F704" t="str">
        <f>IFERROR(IF(D704="","",VLOOKUP(D704,CadProd!$A:$C,3,0)),"")</f>
        <v/>
      </c>
    </row>
    <row r="705" spans="5:6" x14ac:dyDescent="0.3">
      <c r="E705" t="str">
        <f>IFERROR(IF(D705="","",VLOOKUP(D705,CadProd!$A:$B,2,0)),"")</f>
        <v/>
      </c>
      <c r="F705" t="str">
        <f>IFERROR(IF(D705="","",VLOOKUP(D705,CadProd!$A:$C,3,0)),"")</f>
        <v/>
      </c>
    </row>
    <row r="706" spans="5:6" x14ac:dyDescent="0.3">
      <c r="E706" t="str">
        <f>IFERROR(IF(D706="","",VLOOKUP(D706,CadProd!$A:$B,2,0)),"")</f>
        <v/>
      </c>
      <c r="F706" t="str">
        <f>IFERROR(IF(D706="","",VLOOKUP(D706,CadProd!$A:$C,3,0)),"")</f>
        <v/>
      </c>
    </row>
    <row r="707" spans="5:6" x14ac:dyDescent="0.3">
      <c r="E707" t="str">
        <f>IFERROR(IF(D707="","",VLOOKUP(D707,CadProd!$A:$B,2,0)),"")</f>
        <v/>
      </c>
      <c r="F707" t="str">
        <f>IFERROR(IF(D707="","",VLOOKUP(D707,CadProd!$A:$C,3,0)),"")</f>
        <v/>
      </c>
    </row>
    <row r="708" spans="5:6" x14ac:dyDescent="0.3">
      <c r="E708" t="str">
        <f>IFERROR(IF(D708="","",VLOOKUP(D708,CadProd!$A:$B,2,0)),"")</f>
        <v/>
      </c>
      <c r="F708" t="str">
        <f>IFERROR(IF(D708="","",VLOOKUP(D708,CadProd!$A:$C,3,0)),"")</f>
        <v/>
      </c>
    </row>
    <row r="709" spans="5:6" x14ac:dyDescent="0.3">
      <c r="E709" t="str">
        <f>IFERROR(IF(D709="","",VLOOKUP(D709,CadProd!$A:$B,2,0)),"")</f>
        <v/>
      </c>
      <c r="F709" t="str">
        <f>IFERROR(IF(D709="","",VLOOKUP(D709,CadProd!$A:$C,3,0)),"")</f>
        <v/>
      </c>
    </row>
    <row r="710" spans="5:6" x14ac:dyDescent="0.3">
      <c r="E710" t="str">
        <f>IFERROR(IF(D710="","",VLOOKUP(D710,CadProd!$A:$B,2,0)),"")</f>
        <v/>
      </c>
      <c r="F710" t="str">
        <f>IFERROR(IF(D710="","",VLOOKUP(D710,CadProd!$A:$C,3,0)),"")</f>
        <v/>
      </c>
    </row>
    <row r="711" spans="5:6" x14ac:dyDescent="0.3">
      <c r="E711" t="str">
        <f>IFERROR(IF(D711="","",VLOOKUP(D711,CadProd!$A:$B,2,0)),"")</f>
        <v/>
      </c>
      <c r="F711" t="str">
        <f>IFERROR(IF(D711="","",VLOOKUP(D711,CadProd!$A:$C,3,0)),"")</f>
        <v/>
      </c>
    </row>
    <row r="712" spans="5:6" x14ac:dyDescent="0.3">
      <c r="E712" t="str">
        <f>IFERROR(IF(D712="","",VLOOKUP(D712,CadProd!$A:$B,2,0)),"")</f>
        <v/>
      </c>
      <c r="F712" t="str">
        <f>IFERROR(IF(D712="","",VLOOKUP(D712,CadProd!$A:$C,3,0)),"")</f>
        <v/>
      </c>
    </row>
    <row r="713" spans="5:6" x14ac:dyDescent="0.3">
      <c r="E713" t="str">
        <f>IFERROR(IF(D713="","",VLOOKUP(D713,CadProd!$A:$B,2,0)),"")</f>
        <v/>
      </c>
      <c r="F713" t="str">
        <f>IFERROR(IF(D713="","",VLOOKUP(D713,CadProd!$A:$C,3,0)),"")</f>
        <v/>
      </c>
    </row>
    <row r="714" spans="5:6" x14ac:dyDescent="0.3">
      <c r="E714" t="str">
        <f>IFERROR(IF(D714="","",VLOOKUP(D714,CadProd!$A:$B,2,0)),"")</f>
        <v/>
      </c>
      <c r="F714" t="str">
        <f>IFERROR(IF(D714="","",VLOOKUP(D714,CadProd!$A:$C,3,0)),"")</f>
        <v/>
      </c>
    </row>
    <row r="715" spans="5:6" x14ac:dyDescent="0.3">
      <c r="E715" t="str">
        <f>IFERROR(IF(D715="","",VLOOKUP(D715,CadProd!$A:$B,2,0)),"")</f>
        <v/>
      </c>
      <c r="F715" t="str">
        <f>IFERROR(IF(D715="","",VLOOKUP(D715,CadProd!$A:$C,3,0)),"")</f>
        <v/>
      </c>
    </row>
    <row r="716" spans="5:6" x14ac:dyDescent="0.3">
      <c r="E716" t="str">
        <f>IFERROR(IF(D716="","",VLOOKUP(D716,CadProd!$A:$B,2,0)),"")</f>
        <v/>
      </c>
      <c r="F716" t="str">
        <f>IFERROR(IF(D716="","",VLOOKUP(D716,CadProd!$A:$C,3,0)),"")</f>
        <v/>
      </c>
    </row>
    <row r="717" spans="5:6" x14ac:dyDescent="0.3">
      <c r="E717" t="str">
        <f>IFERROR(IF(D717="","",VLOOKUP(D717,CadProd!$A:$B,2,0)),"")</f>
        <v/>
      </c>
      <c r="F717" t="str">
        <f>IFERROR(IF(D717="","",VLOOKUP(D717,CadProd!$A:$C,3,0)),"")</f>
        <v/>
      </c>
    </row>
    <row r="718" spans="5:6" x14ac:dyDescent="0.3">
      <c r="E718" t="str">
        <f>IFERROR(IF(D718="","",VLOOKUP(D718,CadProd!$A:$B,2,0)),"")</f>
        <v/>
      </c>
      <c r="F718" t="str">
        <f>IFERROR(IF(D718="","",VLOOKUP(D718,CadProd!$A:$C,3,0)),"")</f>
        <v/>
      </c>
    </row>
    <row r="719" spans="5:6" x14ac:dyDescent="0.3">
      <c r="E719" t="str">
        <f>IFERROR(IF(D719="","",VLOOKUP(D719,CadProd!$A:$B,2,0)),"")</f>
        <v/>
      </c>
      <c r="F719" t="str">
        <f>IFERROR(IF(D719="","",VLOOKUP(D719,CadProd!$A:$C,3,0)),"")</f>
        <v/>
      </c>
    </row>
    <row r="720" spans="5:6" x14ac:dyDescent="0.3">
      <c r="E720" t="str">
        <f>IFERROR(IF(D720="","",VLOOKUP(D720,CadProd!$A:$B,2,0)),"")</f>
        <v/>
      </c>
      <c r="F720" t="str">
        <f>IFERROR(IF(D720="","",VLOOKUP(D720,CadProd!$A:$C,3,0)),"")</f>
        <v/>
      </c>
    </row>
    <row r="721" spans="5:6" x14ac:dyDescent="0.3">
      <c r="E721" t="str">
        <f>IFERROR(IF(D721="","",VLOOKUP(D721,CadProd!$A:$B,2,0)),"")</f>
        <v/>
      </c>
      <c r="F721" t="str">
        <f>IFERROR(IF(D721="","",VLOOKUP(D721,CadProd!$A:$C,3,0)),"")</f>
        <v/>
      </c>
    </row>
    <row r="722" spans="5:6" x14ac:dyDescent="0.3">
      <c r="E722" t="str">
        <f>IFERROR(IF(D722="","",VLOOKUP(D722,CadProd!$A:$B,2,0)),"")</f>
        <v/>
      </c>
      <c r="F722" t="str">
        <f>IFERROR(IF(D722="","",VLOOKUP(D722,CadProd!$A:$C,3,0)),"")</f>
        <v/>
      </c>
    </row>
    <row r="723" spans="5:6" x14ac:dyDescent="0.3">
      <c r="E723" t="str">
        <f>IFERROR(IF(D723="","",VLOOKUP(D723,CadProd!$A:$B,2,0)),"")</f>
        <v/>
      </c>
      <c r="F723" t="str">
        <f>IFERROR(IF(D723="","",VLOOKUP(D723,CadProd!$A:$C,3,0)),"")</f>
        <v/>
      </c>
    </row>
    <row r="724" spans="5:6" x14ac:dyDescent="0.3">
      <c r="E724" t="str">
        <f>IFERROR(IF(D724="","",VLOOKUP(D724,CadProd!$A:$B,2,0)),"")</f>
        <v/>
      </c>
      <c r="F724" t="str">
        <f>IFERROR(IF(D724="","",VLOOKUP(D724,CadProd!$A:$C,3,0)),"")</f>
        <v/>
      </c>
    </row>
    <row r="725" spans="5:6" x14ac:dyDescent="0.3">
      <c r="E725" t="str">
        <f>IFERROR(IF(D725="","",VLOOKUP(D725,CadProd!$A:$B,2,0)),"")</f>
        <v/>
      </c>
      <c r="F725" t="str">
        <f>IFERROR(IF(D725="","",VLOOKUP(D725,CadProd!$A:$C,3,0)),"")</f>
        <v/>
      </c>
    </row>
    <row r="726" spans="5:6" x14ac:dyDescent="0.3">
      <c r="E726" t="str">
        <f>IFERROR(IF(D726="","",VLOOKUP(D726,CadProd!$A:$B,2,0)),"")</f>
        <v/>
      </c>
      <c r="F726" t="str">
        <f>IFERROR(IF(D726="","",VLOOKUP(D726,CadProd!$A:$C,3,0)),"")</f>
        <v/>
      </c>
    </row>
    <row r="727" spans="5:6" x14ac:dyDescent="0.3">
      <c r="E727" t="str">
        <f>IFERROR(IF(D727="","",VLOOKUP(D727,CadProd!$A:$B,2,0)),"")</f>
        <v/>
      </c>
      <c r="F727" t="str">
        <f>IFERROR(IF(D727="","",VLOOKUP(D727,CadProd!$A:$C,3,0)),"")</f>
        <v/>
      </c>
    </row>
    <row r="728" spans="5:6" x14ac:dyDescent="0.3">
      <c r="E728" t="str">
        <f>IFERROR(IF(D728="","",VLOOKUP(D728,CadProd!$A:$B,2,0)),"")</f>
        <v/>
      </c>
      <c r="F728" t="str">
        <f>IFERROR(IF(D728="","",VLOOKUP(D728,CadProd!$A:$C,3,0)),"")</f>
        <v/>
      </c>
    </row>
    <row r="729" spans="5:6" x14ac:dyDescent="0.3">
      <c r="E729" t="str">
        <f>IFERROR(IF(D729="","",VLOOKUP(D729,CadProd!$A:$B,2,0)),"")</f>
        <v/>
      </c>
      <c r="F729" t="str">
        <f>IFERROR(IF(D729="","",VLOOKUP(D729,CadProd!$A:$C,3,0)),"")</f>
        <v/>
      </c>
    </row>
    <row r="730" spans="5:6" x14ac:dyDescent="0.3">
      <c r="E730" t="str">
        <f>IFERROR(IF(D730="","",VLOOKUP(D730,CadProd!$A:$B,2,0)),"")</f>
        <v/>
      </c>
      <c r="F730" t="str">
        <f>IFERROR(IF(D730="","",VLOOKUP(D730,CadProd!$A:$C,3,0)),"")</f>
        <v/>
      </c>
    </row>
    <row r="731" spans="5:6" x14ac:dyDescent="0.3">
      <c r="E731" t="str">
        <f>IFERROR(IF(D731="","",VLOOKUP(D731,CadProd!$A:$B,2,0)),"")</f>
        <v/>
      </c>
      <c r="F731" t="str">
        <f>IFERROR(IF(D731="","",VLOOKUP(D731,CadProd!$A:$C,3,0)),"")</f>
        <v/>
      </c>
    </row>
    <row r="732" spans="5:6" x14ac:dyDescent="0.3">
      <c r="E732" t="str">
        <f>IFERROR(IF(D732="","",VLOOKUP(D732,CadProd!$A:$B,2,0)),"")</f>
        <v/>
      </c>
      <c r="F732" t="str">
        <f>IFERROR(IF(D732="","",VLOOKUP(D732,CadProd!$A:$C,3,0)),"")</f>
        <v/>
      </c>
    </row>
    <row r="733" spans="5:6" x14ac:dyDescent="0.3">
      <c r="E733" t="str">
        <f>IFERROR(IF(D733="","",VLOOKUP(D733,CadProd!$A:$B,2,0)),"")</f>
        <v/>
      </c>
      <c r="F733" t="str">
        <f>IFERROR(IF(D733="","",VLOOKUP(D733,CadProd!$A:$C,3,0)),"")</f>
        <v/>
      </c>
    </row>
    <row r="734" spans="5:6" x14ac:dyDescent="0.3">
      <c r="E734" t="str">
        <f>IFERROR(IF(D734="","",VLOOKUP(D734,CadProd!$A:$B,2,0)),"")</f>
        <v/>
      </c>
      <c r="F734" t="str">
        <f>IFERROR(IF(D734="","",VLOOKUP(D734,CadProd!$A:$C,3,0)),"")</f>
        <v/>
      </c>
    </row>
    <row r="735" spans="5:6" x14ac:dyDescent="0.3">
      <c r="E735" t="str">
        <f>IFERROR(IF(D735="","",VLOOKUP(D735,CadProd!$A:$B,2,0)),"")</f>
        <v/>
      </c>
      <c r="F735" t="str">
        <f>IFERROR(IF(D735="","",VLOOKUP(D735,CadProd!$A:$C,3,0)),"")</f>
        <v/>
      </c>
    </row>
    <row r="736" spans="5:6" x14ac:dyDescent="0.3">
      <c r="E736" t="str">
        <f>IFERROR(IF(D736="","",VLOOKUP(D736,CadProd!$A:$B,2,0)),"")</f>
        <v/>
      </c>
      <c r="F736" t="str">
        <f>IFERROR(IF(D736="","",VLOOKUP(D736,CadProd!$A:$C,3,0)),"")</f>
        <v/>
      </c>
    </row>
    <row r="737" spans="5:6" x14ac:dyDescent="0.3">
      <c r="E737" t="str">
        <f>IFERROR(IF(D737="","",VLOOKUP(D737,CadProd!$A:$B,2,0)),"")</f>
        <v/>
      </c>
      <c r="F737" t="str">
        <f>IFERROR(IF(D737="","",VLOOKUP(D737,CadProd!$A:$C,3,0)),"")</f>
        <v/>
      </c>
    </row>
    <row r="738" spans="5:6" x14ac:dyDescent="0.3">
      <c r="E738" t="str">
        <f>IFERROR(IF(D738="","",VLOOKUP(D738,CadProd!$A:$B,2,0)),"")</f>
        <v/>
      </c>
      <c r="F738" t="str">
        <f>IFERROR(IF(D738="","",VLOOKUP(D738,CadProd!$A:$C,3,0)),"")</f>
        <v/>
      </c>
    </row>
    <row r="739" spans="5:6" x14ac:dyDescent="0.3">
      <c r="E739" t="str">
        <f>IFERROR(IF(D739="","",VLOOKUP(D739,CadProd!$A:$B,2,0)),"")</f>
        <v/>
      </c>
      <c r="F739" t="str">
        <f>IFERROR(IF(D739="","",VLOOKUP(D739,CadProd!$A:$C,3,0)),"")</f>
        <v/>
      </c>
    </row>
    <row r="740" spans="5:6" x14ac:dyDescent="0.3">
      <c r="E740" t="str">
        <f>IFERROR(IF(D740="","",VLOOKUP(D740,CadProd!$A:$B,2,0)),"")</f>
        <v/>
      </c>
      <c r="F740" t="str">
        <f>IFERROR(IF(D740="","",VLOOKUP(D740,CadProd!$A:$C,3,0)),"")</f>
        <v/>
      </c>
    </row>
    <row r="741" spans="5:6" x14ac:dyDescent="0.3">
      <c r="E741" t="str">
        <f>IFERROR(IF(D741="","",VLOOKUP(D741,CadProd!$A:$B,2,0)),"")</f>
        <v/>
      </c>
      <c r="F741" t="str">
        <f>IFERROR(IF(D741="","",VLOOKUP(D741,CadProd!$A:$C,3,0)),"")</f>
        <v/>
      </c>
    </row>
    <row r="742" spans="5:6" x14ac:dyDescent="0.3">
      <c r="E742" t="str">
        <f>IFERROR(IF(D742="","",VLOOKUP(D742,CadProd!$A:$B,2,0)),"")</f>
        <v/>
      </c>
      <c r="F742" t="str">
        <f>IFERROR(IF(D742="","",VLOOKUP(D742,CadProd!$A:$C,3,0)),"")</f>
        <v/>
      </c>
    </row>
    <row r="743" spans="5:6" x14ac:dyDescent="0.3">
      <c r="E743" t="str">
        <f>IFERROR(IF(D743="","",VLOOKUP(D743,CadProd!$A:$B,2,0)),"")</f>
        <v/>
      </c>
      <c r="F743" t="str">
        <f>IFERROR(IF(D743="","",VLOOKUP(D743,CadProd!$A:$C,3,0)),"")</f>
        <v/>
      </c>
    </row>
    <row r="744" spans="5:6" x14ac:dyDescent="0.3">
      <c r="E744" t="str">
        <f>IFERROR(IF(D744="","",VLOOKUP(D744,CadProd!$A:$B,2,0)),"")</f>
        <v/>
      </c>
      <c r="F744" t="str">
        <f>IFERROR(IF(D744="","",VLOOKUP(D744,CadProd!$A:$C,3,0)),"")</f>
        <v/>
      </c>
    </row>
    <row r="745" spans="5:6" x14ac:dyDescent="0.3">
      <c r="E745" t="str">
        <f>IFERROR(IF(D745="","",VLOOKUP(D745,CadProd!$A:$B,2,0)),"")</f>
        <v/>
      </c>
      <c r="F745" t="str">
        <f>IFERROR(IF(D745="","",VLOOKUP(D745,CadProd!$A:$C,3,0)),"")</f>
        <v/>
      </c>
    </row>
    <row r="746" spans="5:6" x14ac:dyDescent="0.3">
      <c r="E746" t="str">
        <f>IFERROR(IF(D746="","",VLOOKUP(D746,CadProd!$A:$B,2,0)),"")</f>
        <v/>
      </c>
      <c r="F746" t="str">
        <f>IFERROR(IF(D746="","",VLOOKUP(D746,CadProd!$A:$C,3,0)),"")</f>
        <v/>
      </c>
    </row>
    <row r="747" spans="5:6" x14ac:dyDescent="0.3">
      <c r="E747" t="str">
        <f>IFERROR(IF(D747="","",VLOOKUP(D747,CadProd!$A:$B,2,0)),"")</f>
        <v/>
      </c>
      <c r="F747" t="str">
        <f>IFERROR(IF(D747="","",VLOOKUP(D747,CadProd!$A:$C,3,0)),"")</f>
        <v/>
      </c>
    </row>
    <row r="748" spans="5:6" x14ac:dyDescent="0.3">
      <c r="E748" t="str">
        <f>IFERROR(IF(D748="","",VLOOKUP(D748,CadProd!$A:$B,2,0)),"")</f>
        <v/>
      </c>
      <c r="F748" t="str">
        <f>IFERROR(IF(D748="","",VLOOKUP(D748,CadProd!$A:$C,3,0)),"")</f>
        <v/>
      </c>
    </row>
    <row r="749" spans="5:6" x14ac:dyDescent="0.3">
      <c r="E749" t="str">
        <f>IFERROR(IF(D749="","",VLOOKUP(D749,CadProd!$A:$B,2,0)),"")</f>
        <v/>
      </c>
      <c r="F749" t="str">
        <f>IFERROR(IF(D749="","",VLOOKUP(D749,CadProd!$A:$C,3,0)),"")</f>
        <v/>
      </c>
    </row>
    <row r="750" spans="5:6" x14ac:dyDescent="0.3">
      <c r="E750" t="str">
        <f>IFERROR(IF(D750="","",VLOOKUP(D750,CadProd!$A:$B,2,0)),"")</f>
        <v/>
      </c>
      <c r="F750" t="str">
        <f>IFERROR(IF(D750="","",VLOOKUP(D750,CadProd!$A:$C,3,0)),"")</f>
        <v/>
      </c>
    </row>
    <row r="751" spans="5:6" x14ac:dyDescent="0.3">
      <c r="E751" t="str">
        <f>IFERROR(IF(D751="","",VLOOKUP(D751,CadProd!$A:$B,2,0)),"")</f>
        <v/>
      </c>
      <c r="F751" t="str">
        <f>IFERROR(IF(D751="","",VLOOKUP(D751,CadProd!$A:$C,3,0)),"")</f>
        <v/>
      </c>
    </row>
    <row r="752" spans="5:6" x14ac:dyDescent="0.3">
      <c r="E752" t="str">
        <f>IFERROR(IF(D752="","",VLOOKUP(D752,CadProd!$A:$B,2,0)),"")</f>
        <v/>
      </c>
      <c r="F752" t="str">
        <f>IFERROR(IF(D752="","",VLOOKUP(D752,CadProd!$A:$C,3,0)),"")</f>
        <v/>
      </c>
    </row>
    <row r="753" spans="5:6" x14ac:dyDescent="0.3">
      <c r="E753" t="str">
        <f>IFERROR(IF(D753="","",VLOOKUP(D753,CadProd!$A:$B,2,0)),"")</f>
        <v/>
      </c>
      <c r="F753" t="str">
        <f>IFERROR(IF(D753="","",VLOOKUP(D753,CadProd!$A:$C,3,0)),"")</f>
        <v/>
      </c>
    </row>
    <row r="754" spans="5:6" x14ac:dyDescent="0.3">
      <c r="E754" t="str">
        <f>IFERROR(IF(D754="","",VLOOKUP(D754,CadProd!$A:$B,2,0)),"")</f>
        <v/>
      </c>
      <c r="F754" t="str">
        <f>IFERROR(IF(D754="","",VLOOKUP(D754,CadProd!$A:$C,3,0)),"")</f>
        <v/>
      </c>
    </row>
    <row r="755" spans="5:6" x14ac:dyDescent="0.3">
      <c r="E755" t="str">
        <f>IFERROR(IF(D755="","",VLOOKUP(D755,CadProd!$A:$B,2,0)),"")</f>
        <v/>
      </c>
      <c r="F755" t="str">
        <f>IFERROR(IF(D755="","",VLOOKUP(D755,CadProd!$A:$C,3,0)),"")</f>
        <v/>
      </c>
    </row>
    <row r="756" spans="5:6" x14ac:dyDescent="0.3">
      <c r="E756" t="str">
        <f>IFERROR(IF(D756="","",VLOOKUP(D756,CadProd!$A:$B,2,0)),"")</f>
        <v/>
      </c>
      <c r="F756" t="str">
        <f>IFERROR(IF(D756="","",VLOOKUP(D756,CadProd!$A:$C,3,0)),"")</f>
        <v/>
      </c>
    </row>
    <row r="757" spans="5:6" x14ac:dyDescent="0.3">
      <c r="E757" t="str">
        <f>IFERROR(IF(D757="","",VLOOKUP(D757,CadProd!$A:$B,2,0)),"")</f>
        <v/>
      </c>
      <c r="F757" t="str">
        <f>IFERROR(IF(D757="","",VLOOKUP(D757,CadProd!$A:$C,3,0)),"")</f>
        <v/>
      </c>
    </row>
    <row r="758" spans="5:6" x14ac:dyDescent="0.3">
      <c r="E758" t="str">
        <f>IFERROR(IF(D758="","",VLOOKUP(D758,CadProd!$A:$B,2,0)),"")</f>
        <v/>
      </c>
      <c r="F758" t="str">
        <f>IFERROR(IF(D758="","",VLOOKUP(D758,CadProd!$A:$C,3,0)),"")</f>
        <v/>
      </c>
    </row>
    <row r="759" spans="5:6" x14ac:dyDescent="0.3">
      <c r="E759" t="str">
        <f>IFERROR(IF(D759="","",VLOOKUP(D759,CadProd!$A:$B,2,0)),"")</f>
        <v/>
      </c>
      <c r="F759" t="str">
        <f>IFERROR(IF(D759="","",VLOOKUP(D759,CadProd!$A:$C,3,0)),"")</f>
        <v/>
      </c>
    </row>
    <row r="760" spans="5:6" x14ac:dyDescent="0.3">
      <c r="E760" t="str">
        <f>IFERROR(IF(D760="","",VLOOKUP(D760,CadProd!$A:$B,2,0)),"")</f>
        <v/>
      </c>
      <c r="F760" t="str">
        <f>IFERROR(IF(D760="","",VLOOKUP(D760,CadProd!$A:$C,3,0)),"")</f>
        <v/>
      </c>
    </row>
    <row r="761" spans="5:6" x14ac:dyDescent="0.3">
      <c r="E761" t="str">
        <f>IFERROR(IF(D761="","",VLOOKUP(D761,CadProd!$A:$B,2,0)),"")</f>
        <v/>
      </c>
      <c r="F761" t="str">
        <f>IFERROR(IF(D761="","",VLOOKUP(D761,CadProd!$A:$C,3,0)),"")</f>
        <v/>
      </c>
    </row>
    <row r="762" spans="5:6" x14ac:dyDescent="0.3">
      <c r="E762" t="str">
        <f>IFERROR(IF(D762="","",VLOOKUP(D762,CadProd!$A:$B,2,0)),"")</f>
        <v/>
      </c>
      <c r="F762" t="str">
        <f>IFERROR(IF(D762="","",VLOOKUP(D762,CadProd!$A:$C,3,0)),"")</f>
        <v/>
      </c>
    </row>
    <row r="763" spans="5:6" x14ac:dyDescent="0.3">
      <c r="E763" t="str">
        <f>IFERROR(IF(D763="","",VLOOKUP(D763,CadProd!$A:$B,2,0)),"")</f>
        <v/>
      </c>
      <c r="F763" t="str">
        <f>IFERROR(IF(D763="","",VLOOKUP(D763,CadProd!$A:$C,3,0)),"")</f>
        <v/>
      </c>
    </row>
    <row r="764" spans="5:6" x14ac:dyDescent="0.3">
      <c r="E764" t="str">
        <f>IFERROR(IF(D764="","",VLOOKUP(D764,CadProd!$A:$B,2,0)),"")</f>
        <v/>
      </c>
      <c r="F764" t="str">
        <f>IFERROR(IF(D764="","",VLOOKUP(D764,CadProd!$A:$C,3,0)),"")</f>
        <v/>
      </c>
    </row>
    <row r="765" spans="5:6" x14ac:dyDescent="0.3">
      <c r="E765" t="str">
        <f>IFERROR(IF(D765="","",VLOOKUP(D765,CadProd!$A:$B,2,0)),"")</f>
        <v/>
      </c>
      <c r="F765" t="str">
        <f>IFERROR(IF(D765="","",VLOOKUP(D765,CadProd!$A:$C,3,0)),"")</f>
        <v/>
      </c>
    </row>
    <row r="766" spans="5:6" x14ac:dyDescent="0.3">
      <c r="E766" t="str">
        <f>IFERROR(IF(D766="","",VLOOKUP(D766,CadProd!$A:$B,2,0)),"")</f>
        <v/>
      </c>
      <c r="F766" t="str">
        <f>IFERROR(IF(D766="","",VLOOKUP(D766,CadProd!$A:$C,3,0)),"")</f>
        <v/>
      </c>
    </row>
    <row r="767" spans="5:6" x14ac:dyDescent="0.3">
      <c r="E767" t="str">
        <f>IFERROR(IF(D767="","",VLOOKUP(D767,CadProd!$A:$B,2,0)),"")</f>
        <v/>
      </c>
      <c r="F767" t="str">
        <f>IFERROR(IF(D767="","",VLOOKUP(D767,CadProd!$A:$C,3,0)),"")</f>
        <v/>
      </c>
    </row>
    <row r="768" spans="5:6" x14ac:dyDescent="0.3">
      <c r="E768" t="str">
        <f>IFERROR(IF(D768="","",VLOOKUP(D768,CadProd!$A:$B,2,0)),"")</f>
        <v/>
      </c>
      <c r="F768" t="str">
        <f>IFERROR(IF(D768="","",VLOOKUP(D768,CadProd!$A:$C,3,0)),"")</f>
        <v/>
      </c>
    </row>
    <row r="769" spans="5:6" x14ac:dyDescent="0.3">
      <c r="E769" t="str">
        <f>IFERROR(IF(D769="","",VLOOKUP(D769,CadProd!$A:$B,2,0)),"")</f>
        <v/>
      </c>
      <c r="F769" t="str">
        <f>IFERROR(IF(D769="","",VLOOKUP(D769,CadProd!$A:$C,3,0)),"")</f>
        <v/>
      </c>
    </row>
    <row r="770" spans="5:6" x14ac:dyDescent="0.3">
      <c r="E770" t="str">
        <f>IFERROR(IF(D770="","",VLOOKUP(D770,CadProd!$A:$B,2,0)),"")</f>
        <v/>
      </c>
      <c r="F770" t="str">
        <f>IFERROR(IF(D770="","",VLOOKUP(D770,CadProd!$A:$C,3,0)),"")</f>
        <v/>
      </c>
    </row>
    <row r="771" spans="5:6" x14ac:dyDescent="0.3">
      <c r="E771" t="str">
        <f>IFERROR(IF(D771="","",VLOOKUP(D771,CadProd!$A:$B,2,0)),"")</f>
        <v/>
      </c>
      <c r="F771" t="str">
        <f>IFERROR(IF(D771="","",VLOOKUP(D771,CadProd!$A:$C,3,0)),"")</f>
        <v/>
      </c>
    </row>
    <row r="772" spans="5:6" x14ac:dyDescent="0.3">
      <c r="E772" t="str">
        <f>IFERROR(IF(D772="","",VLOOKUP(D772,CadProd!$A:$B,2,0)),"")</f>
        <v/>
      </c>
      <c r="F772" t="str">
        <f>IFERROR(IF(D772="","",VLOOKUP(D772,CadProd!$A:$C,3,0)),"")</f>
        <v/>
      </c>
    </row>
    <row r="773" spans="5:6" x14ac:dyDescent="0.3">
      <c r="E773" t="str">
        <f>IFERROR(IF(D773="","",VLOOKUP(D773,CadProd!$A:$B,2,0)),"")</f>
        <v/>
      </c>
      <c r="F773" t="str">
        <f>IFERROR(IF(D773="","",VLOOKUP(D773,CadProd!$A:$C,3,0)),"")</f>
        <v/>
      </c>
    </row>
    <row r="774" spans="5:6" x14ac:dyDescent="0.3">
      <c r="E774" t="str">
        <f>IFERROR(IF(D774="","",VLOOKUP(D774,CadProd!$A:$B,2,0)),"")</f>
        <v/>
      </c>
      <c r="F774" t="str">
        <f>IFERROR(IF(D774="","",VLOOKUP(D774,CadProd!$A:$C,3,0)),"")</f>
        <v/>
      </c>
    </row>
    <row r="775" spans="5:6" x14ac:dyDescent="0.3">
      <c r="E775" t="str">
        <f>IFERROR(IF(D775="","",VLOOKUP(D775,CadProd!$A:$B,2,0)),"")</f>
        <v/>
      </c>
      <c r="F775" t="str">
        <f>IFERROR(IF(D775="","",VLOOKUP(D775,CadProd!$A:$C,3,0)),"")</f>
        <v/>
      </c>
    </row>
    <row r="776" spans="5:6" x14ac:dyDescent="0.3">
      <c r="E776" t="str">
        <f>IFERROR(IF(D776="","",VLOOKUP(D776,CadProd!$A:$B,2,0)),"")</f>
        <v/>
      </c>
      <c r="F776" t="str">
        <f>IFERROR(IF(D776="","",VLOOKUP(D776,CadProd!$A:$C,3,0)),"")</f>
        <v/>
      </c>
    </row>
    <row r="777" spans="5:6" x14ac:dyDescent="0.3">
      <c r="E777" t="str">
        <f>IFERROR(IF(D777="","",VLOOKUP(D777,CadProd!$A:$B,2,0)),"")</f>
        <v/>
      </c>
      <c r="F777" t="str">
        <f>IFERROR(IF(D777="","",VLOOKUP(D777,CadProd!$A:$C,3,0)),"")</f>
        <v/>
      </c>
    </row>
    <row r="778" spans="5:6" x14ac:dyDescent="0.3">
      <c r="E778" t="str">
        <f>IFERROR(IF(D778="","",VLOOKUP(D778,CadProd!$A:$B,2,0)),"")</f>
        <v/>
      </c>
      <c r="F778" t="str">
        <f>IFERROR(IF(D778="","",VLOOKUP(D778,CadProd!$A:$C,3,0)),"")</f>
        <v/>
      </c>
    </row>
    <row r="779" spans="5:6" x14ac:dyDescent="0.3">
      <c r="E779" t="str">
        <f>IFERROR(IF(D779="","",VLOOKUP(D779,CadProd!$A:$B,2,0)),"")</f>
        <v/>
      </c>
      <c r="F779" t="str">
        <f>IFERROR(IF(D779="","",VLOOKUP(D779,CadProd!$A:$C,3,0)),"")</f>
        <v/>
      </c>
    </row>
    <row r="780" spans="5:6" x14ac:dyDescent="0.3">
      <c r="E780" t="str">
        <f>IFERROR(IF(D780="","",VLOOKUP(D780,CadProd!$A:$B,2,0)),"")</f>
        <v/>
      </c>
      <c r="F780" t="str">
        <f>IFERROR(IF(D780="","",VLOOKUP(D780,CadProd!$A:$C,3,0)),"")</f>
        <v/>
      </c>
    </row>
    <row r="781" spans="5:6" x14ac:dyDescent="0.3">
      <c r="E781" t="str">
        <f>IFERROR(IF(D781="","",VLOOKUP(D781,CadProd!$A:$B,2,0)),"")</f>
        <v/>
      </c>
      <c r="F781" t="str">
        <f>IFERROR(IF(D781="","",VLOOKUP(D781,CadProd!$A:$C,3,0)),"")</f>
        <v/>
      </c>
    </row>
    <row r="782" spans="5:6" x14ac:dyDescent="0.3">
      <c r="E782" t="str">
        <f>IFERROR(IF(D782="","",VLOOKUP(D782,CadProd!$A:$B,2,0)),"")</f>
        <v/>
      </c>
      <c r="F782" t="str">
        <f>IFERROR(IF(D782="","",VLOOKUP(D782,CadProd!$A:$C,3,0)),"")</f>
        <v/>
      </c>
    </row>
    <row r="783" spans="5:6" x14ac:dyDescent="0.3">
      <c r="E783" t="str">
        <f>IFERROR(IF(D783="","",VLOOKUP(D783,CadProd!$A:$B,2,0)),"")</f>
        <v/>
      </c>
      <c r="F783" t="str">
        <f>IFERROR(IF(D783="","",VLOOKUP(D783,CadProd!$A:$C,3,0)),"")</f>
        <v/>
      </c>
    </row>
    <row r="784" spans="5:6" x14ac:dyDescent="0.3">
      <c r="E784" t="str">
        <f>IFERROR(IF(D784="","",VLOOKUP(D784,CadProd!$A:$B,2,0)),"")</f>
        <v/>
      </c>
      <c r="F784" t="str">
        <f>IFERROR(IF(D784="","",VLOOKUP(D784,CadProd!$A:$C,3,0)),"")</f>
        <v/>
      </c>
    </row>
    <row r="785" spans="5:6" x14ac:dyDescent="0.3">
      <c r="E785" t="str">
        <f>IFERROR(IF(D785="","",VLOOKUP(D785,CadProd!$A:$B,2,0)),"")</f>
        <v/>
      </c>
      <c r="F785" t="str">
        <f>IFERROR(IF(D785="","",VLOOKUP(D785,CadProd!$A:$C,3,0)),"")</f>
        <v/>
      </c>
    </row>
    <row r="786" spans="5:6" x14ac:dyDescent="0.3">
      <c r="E786" t="str">
        <f>IFERROR(IF(D786="","",VLOOKUP(D786,CadProd!$A:$B,2,0)),"")</f>
        <v/>
      </c>
      <c r="F786" t="str">
        <f>IFERROR(IF(D786="","",VLOOKUP(D786,CadProd!$A:$C,3,0)),"")</f>
        <v/>
      </c>
    </row>
    <row r="787" spans="5:6" x14ac:dyDescent="0.3">
      <c r="E787" t="str">
        <f>IFERROR(IF(D787="","",VLOOKUP(D787,CadProd!$A:$B,2,0)),"")</f>
        <v/>
      </c>
      <c r="F787" t="str">
        <f>IFERROR(IF(D787="","",VLOOKUP(D787,CadProd!$A:$C,3,0)),"")</f>
        <v/>
      </c>
    </row>
    <row r="788" spans="5:6" x14ac:dyDescent="0.3">
      <c r="E788" t="str">
        <f>IFERROR(IF(D788="","",VLOOKUP(D788,CadProd!$A:$B,2,0)),"")</f>
        <v/>
      </c>
      <c r="F788" t="str">
        <f>IFERROR(IF(D788="","",VLOOKUP(D788,CadProd!$A:$C,3,0)),"")</f>
        <v/>
      </c>
    </row>
    <row r="789" spans="5:6" x14ac:dyDescent="0.3">
      <c r="E789" t="str">
        <f>IFERROR(IF(D789="","",VLOOKUP(D789,CadProd!$A:$B,2,0)),"")</f>
        <v/>
      </c>
      <c r="F789" t="str">
        <f>IFERROR(IF(D789="","",VLOOKUP(D789,CadProd!$A:$C,3,0)),"")</f>
        <v/>
      </c>
    </row>
    <row r="790" spans="5:6" x14ac:dyDescent="0.3">
      <c r="E790" t="str">
        <f>IFERROR(IF(D790="","",VLOOKUP(D790,CadProd!$A:$B,2,0)),"")</f>
        <v/>
      </c>
      <c r="F790" t="str">
        <f>IFERROR(IF(D790="","",VLOOKUP(D790,CadProd!$A:$C,3,0)),"")</f>
        <v/>
      </c>
    </row>
    <row r="791" spans="5:6" x14ac:dyDescent="0.3">
      <c r="E791" t="str">
        <f>IFERROR(IF(D791="","",VLOOKUP(D791,CadProd!$A:$B,2,0)),"")</f>
        <v/>
      </c>
      <c r="F791" t="str">
        <f>IFERROR(IF(D791="","",VLOOKUP(D791,CadProd!$A:$C,3,0)),"")</f>
        <v/>
      </c>
    </row>
    <row r="792" spans="5:6" x14ac:dyDescent="0.3">
      <c r="E792" t="str">
        <f>IFERROR(IF(D792="","",VLOOKUP(D792,CadProd!$A:$B,2,0)),"")</f>
        <v/>
      </c>
      <c r="F792" t="str">
        <f>IFERROR(IF(D792="","",VLOOKUP(D792,CadProd!$A:$C,3,0)),"")</f>
        <v/>
      </c>
    </row>
    <row r="793" spans="5:6" x14ac:dyDescent="0.3">
      <c r="E793" t="str">
        <f>IFERROR(IF(D793="","",VLOOKUP(D793,CadProd!$A:$B,2,0)),"")</f>
        <v/>
      </c>
      <c r="F793" t="str">
        <f>IFERROR(IF(D793="","",VLOOKUP(D793,CadProd!$A:$C,3,0)),"")</f>
        <v/>
      </c>
    </row>
    <row r="794" spans="5:6" x14ac:dyDescent="0.3">
      <c r="E794" t="str">
        <f>IFERROR(IF(D794="","",VLOOKUP(D794,CadProd!$A:$B,2,0)),"")</f>
        <v/>
      </c>
      <c r="F794" t="str">
        <f>IFERROR(IF(D794="","",VLOOKUP(D794,CadProd!$A:$C,3,0)),"")</f>
        <v/>
      </c>
    </row>
    <row r="795" spans="5:6" x14ac:dyDescent="0.3">
      <c r="E795" t="str">
        <f>IFERROR(IF(D795="","",VLOOKUP(D795,CadProd!$A:$B,2,0)),"")</f>
        <v/>
      </c>
      <c r="F795" t="str">
        <f>IFERROR(IF(D795="","",VLOOKUP(D795,CadProd!$A:$C,3,0)),"")</f>
        <v/>
      </c>
    </row>
    <row r="796" spans="5:6" x14ac:dyDescent="0.3">
      <c r="E796" t="str">
        <f>IFERROR(IF(D796="","",VLOOKUP(D796,CadProd!$A:$B,2,0)),"")</f>
        <v/>
      </c>
      <c r="F796" t="str">
        <f>IFERROR(IF(D796="","",VLOOKUP(D796,CadProd!$A:$C,3,0)),"")</f>
        <v/>
      </c>
    </row>
    <row r="797" spans="5:6" x14ac:dyDescent="0.3">
      <c r="E797" t="str">
        <f>IFERROR(IF(D797="","",VLOOKUP(D797,CadProd!$A:$B,2,0)),"")</f>
        <v/>
      </c>
      <c r="F797" t="str">
        <f>IFERROR(IF(D797="","",VLOOKUP(D797,CadProd!$A:$C,3,0)),"")</f>
        <v/>
      </c>
    </row>
    <row r="798" spans="5:6" x14ac:dyDescent="0.3">
      <c r="E798" t="str">
        <f>IFERROR(IF(D798="","",VLOOKUP(D798,CadProd!$A:$B,2,0)),"")</f>
        <v/>
      </c>
      <c r="F798" t="str">
        <f>IFERROR(IF(D798="","",VLOOKUP(D798,CadProd!$A:$C,3,0)),"")</f>
        <v/>
      </c>
    </row>
    <row r="799" spans="5:6" x14ac:dyDescent="0.3">
      <c r="E799" t="str">
        <f>IFERROR(IF(D799="","",VLOOKUP(D799,CadProd!$A:$B,2,0)),"")</f>
        <v/>
      </c>
      <c r="F799" t="str">
        <f>IFERROR(IF(D799="","",VLOOKUP(D799,CadProd!$A:$C,3,0)),"")</f>
        <v/>
      </c>
    </row>
    <row r="800" spans="5:6" x14ac:dyDescent="0.3">
      <c r="E800" t="str">
        <f>IFERROR(IF(D800="","",VLOOKUP(D800,CadProd!$A:$B,2,0)),"")</f>
        <v/>
      </c>
      <c r="F800" t="str">
        <f>IFERROR(IF(D800="","",VLOOKUP(D800,CadProd!$A:$C,3,0)),"")</f>
        <v/>
      </c>
    </row>
    <row r="801" spans="5:6" x14ac:dyDescent="0.3">
      <c r="E801" t="str">
        <f>IFERROR(IF(D801="","",VLOOKUP(D801,CadProd!$A:$B,2,0)),"")</f>
        <v/>
      </c>
      <c r="F801" t="str">
        <f>IFERROR(IF(D801="","",VLOOKUP(D801,CadProd!$A:$C,3,0)),"")</f>
        <v/>
      </c>
    </row>
    <row r="802" spans="5:6" x14ac:dyDescent="0.3">
      <c r="E802" t="str">
        <f>IFERROR(IF(D802="","",VLOOKUP(D802,CadProd!$A:$B,2,0)),"")</f>
        <v/>
      </c>
      <c r="F802" t="str">
        <f>IFERROR(IF(D802="","",VLOOKUP(D802,CadProd!$A:$C,3,0)),"")</f>
        <v/>
      </c>
    </row>
    <row r="803" spans="5:6" x14ac:dyDescent="0.3">
      <c r="E803" t="str">
        <f>IFERROR(IF(D803="","",VLOOKUP(D803,CadProd!$A:$B,2,0)),"")</f>
        <v/>
      </c>
      <c r="F803" t="str">
        <f>IFERROR(IF(D803="","",VLOOKUP(D803,CadProd!$A:$C,3,0)),"")</f>
        <v/>
      </c>
    </row>
    <row r="804" spans="5:6" x14ac:dyDescent="0.3">
      <c r="E804" t="str">
        <f>IFERROR(IF(D804="","",VLOOKUP(D804,CadProd!$A:$B,2,0)),"")</f>
        <v/>
      </c>
      <c r="F804" t="str">
        <f>IFERROR(IF(D804="","",VLOOKUP(D804,CadProd!$A:$C,3,0)),"")</f>
        <v/>
      </c>
    </row>
    <row r="805" spans="5:6" x14ac:dyDescent="0.3">
      <c r="E805" t="str">
        <f>IFERROR(IF(D805="","",VLOOKUP(D805,CadProd!$A:$B,2,0)),"")</f>
        <v/>
      </c>
      <c r="F805" t="str">
        <f>IFERROR(IF(D805="","",VLOOKUP(D805,CadProd!$A:$C,3,0)),"")</f>
        <v/>
      </c>
    </row>
    <row r="806" spans="5:6" x14ac:dyDescent="0.3">
      <c r="E806" t="str">
        <f>IFERROR(IF(D806="","",VLOOKUP(D806,CadProd!$A:$B,2,0)),"")</f>
        <v/>
      </c>
      <c r="F806" t="str">
        <f>IFERROR(IF(D806="","",VLOOKUP(D806,CadProd!$A:$C,3,0)),"")</f>
        <v/>
      </c>
    </row>
    <row r="807" spans="5:6" x14ac:dyDescent="0.3">
      <c r="E807" t="str">
        <f>IFERROR(IF(D807="","",VLOOKUP(D807,CadProd!$A:$B,2,0)),"")</f>
        <v/>
      </c>
      <c r="F807" t="str">
        <f>IFERROR(IF(D807="","",VLOOKUP(D807,CadProd!$A:$C,3,0)),"")</f>
        <v/>
      </c>
    </row>
    <row r="808" spans="5:6" x14ac:dyDescent="0.3">
      <c r="E808" t="str">
        <f>IFERROR(IF(D808="","",VLOOKUP(D808,CadProd!$A:$B,2,0)),"")</f>
        <v/>
      </c>
      <c r="F808" t="str">
        <f>IFERROR(IF(D808="","",VLOOKUP(D808,CadProd!$A:$C,3,0)),"")</f>
        <v/>
      </c>
    </row>
    <row r="809" spans="5:6" x14ac:dyDescent="0.3">
      <c r="E809" t="str">
        <f>IFERROR(IF(D809="","",VLOOKUP(D809,CadProd!$A:$B,2,0)),"")</f>
        <v/>
      </c>
      <c r="F809" t="str">
        <f>IFERROR(IF(D809="","",VLOOKUP(D809,CadProd!$A:$C,3,0)),"")</f>
        <v/>
      </c>
    </row>
    <row r="810" spans="5:6" x14ac:dyDescent="0.3">
      <c r="E810" t="str">
        <f>IFERROR(IF(D810="","",VLOOKUP(D810,CadProd!$A:$B,2,0)),"")</f>
        <v/>
      </c>
      <c r="F810" t="str">
        <f>IFERROR(IF(D810="","",VLOOKUP(D810,CadProd!$A:$C,3,0)),"")</f>
        <v/>
      </c>
    </row>
    <row r="811" spans="5:6" x14ac:dyDescent="0.3">
      <c r="E811" t="str">
        <f>IFERROR(IF(D811="","",VLOOKUP(D811,CadProd!$A:$B,2,0)),"")</f>
        <v/>
      </c>
      <c r="F811" t="str">
        <f>IFERROR(IF(D811="","",VLOOKUP(D811,CadProd!$A:$C,3,0)),"")</f>
        <v/>
      </c>
    </row>
    <row r="812" spans="5:6" x14ac:dyDescent="0.3">
      <c r="E812" t="str">
        <f>IFERROR(IF(D812="","",VLOOKUP(D812,CadProd!$A:$B,2,0)),"")</f>
        <v/>
      </c>
      <c r="F812" t="str">
        <f>IFERROR(IF(D812="","",VLOOKUP(D812,CadProd!$A:$C,3,0)),"")</f>
        <v/>
      </c>
    </row>
    <row r="813" spans="5:6" x14ac:dyDescent="0.3">
      <c r="E813" t="str">
        <f>IFERROR(IF(D813="","",VLOOKUP(D813,CadProd!$A:$B,2,0)),"")</f>
        <v/>
      </c>
      <c r="F813" t="str">
        <f>IFERROR(IF(D813="","",VLOOKUP(D813,CadProd!$A:$C,3,0)),"")</f>
        <v/>
      </c>
    </row>
    <row r="814" spans="5:6" x14ac:dyDescent="0.3">
      <c r="E814" t="str">
        <f>IFERROR(IF(D814="","",VLOOKUP(D814,CadProd!$A:$B,2,0)),"")</f>
        <v/>
      </c>
      <c r="F814" t="str">
        <f>IFERROR(IF(D814="","",VLOOKUP(D814,CadProd!$A:$C,3,0)),"")</f>
        <v/>
      </c>
    </row>
    <row r="815" spans="5:6" x14ac:dyDescent="0.3">
      <c r="E815" t="str">
        <f>IFERROR(IF(D815="","",VLOOKUP(D815,CadProd!$A:$B,2,0)),"")</f>
        <v/>
      </c>
      <c r="F815" t="str">
        <f>IFERROR(IF(D815="","",VLOOKUP(D815,CadProd!$A:$C,3,0)),"")</f>
        <v/>
      </c>
    </row>
    <row r="816" spans="5:6" x14ac:dyDescent="0.3">
      <c r="E816" t="str">
        <f>IFERROR(IF(D816="","",VLOOKUP(D816,CadProd!$A:$B,2,0)),"")</f>
        <v/>
      </c>
      <c r="F816" t="str">
        <f>IFERROR(IF(D816="","",VLOOKUP(D816,CadProd!$A:$C,3,0)),"")</f>
        <v/>
      </c>
    </row>
    <row r="817" spans="5:6" x14ac:dyDescent="0.3">
      <c r="E817" t="str">
        <f>IFERROR(IF(D817="","",VLOOKUP(D817,CadProd!$A:$B,2,0)),"")</f>
        <v/>
      </c>
      <c r="F817" t="str">
        <f>IFERROR(IF(D817="","",VLOOKUP(D817,CadProd!$A:$C,3,0)),"")</f>
        <v/>
      </c>
    </row>
    <row r="818" spans="5:6" x14ac:dyDescent="0.3">
      <c r="E818" t="str">
        <f>IFERROR(IF(D818="","",VLOOKUP(D818,CadProd!$A:$B,2,0)),"")</f>
        <v/>
      </c>
      <c r="F818" t="str">
        <f>IFERROR(IF(D818="","",VLOOKUP(D818,CadProd!$A:$C,3,0)),"")</f>
        <v/>
      </c>
    </row>
    <row r="819" spans="5:6" x14ac:dyDescent="0.3">
      <c r="E819" t="str">
        <f>IFERROR(IF(D819="","",VLOOKUP(D819,CadProd!$A:$B,2,0)),"")</f>
        <v/>
      </c>
      <c r="F819" t="str">
        <f>IFERROR(IF(D819="","",VLOOKUP(D819,CadProd!$A:$C,3,0)),"")</f>
        <v/>
      </c>
    </row>
    <row r="820" spans="5:6" x14ac:dyDescent="0.3">
      <c r="E820" t="str">
        <f>IFERROR(IF(D820="","",VLOOKUP(D820,CadProd!$A:$B,2,0)),"")</f>
        <v/>
      </c>
      <c r="F820" t="str">
        <f>IFERROR(IF(D820="","",VLOOKUP(D820,CadProd!$A:$C,3,0)),"")</f>
        <v/>
      </c>
    </row>
    <row r="821" spans="5:6" x14ac:dyDescent="0.3">
      <c r="E821" t="str">
        <f>IFERROR(IF(D821="","",VLOOKUP(D821,CadProd!$A:$B,2,0)),"")</f>
        <v/>
      </c>
      <c r="F821" t="str">
        <f>IFERROR(IF(D821="","",VLOOKUP(D821,CadProd!$A:$C,3,0)),"")</f>
        <v/>
      </c>
    </row>
    <row r="822" spans="5:6" x14ac:dyDescent="0.3">
      <c r="E822" t="str">
        <f>IFERROR(IF(D822="","",VLOOKUP(D822,CadProd!$A:$B,2,0)),"")</f>
        <v/>
      </c>
      <c r="F822" t="str">
        <f>IFERROR(IF(D822="","",VLOOKUP(D822,CadProd!$A:$C,3,0)),"")</f>
        <v/>
      </c>
    </row>
    <row r="823" spans="5:6" x14ac:dyDescent="0.3">
      <c r="E823" t="str">
        <f>IFERROR(IF(D823="","",VLOOKUP(D823,CadProd!$A:$B,2,0)),"")</f>
        <v/>
      </c>
      <c r="F823" t="str">
        <f>IFERROR(IF(D823="","",VLOOKUP(D823,CadProd!$A:$C,3,0)),"")</f>
        <v/>
      </c>
    </row>
    <row r="824" spans="5:6" x14ac:dyDescent="0.3">
      <c r="E824" t="str">
        <f>IFERROR(IF(D824="","",VLOOKUP(D824,CadProd!$A:$B,2,0)),"")</f>
        <v/>
      </c>
      <c r="F824" t="str">
        <f>IFERROR(IF(D824="","",VLOOKUP(D824,CadProd!$A:$C,3,0)),"")</f>
        <v/>
      </c>
    </row>
    <row r="825" spans="5:6" x14ac:dyDescent="0.3">
      <c r="E825" t="str">
        <f>IFERROR(IF(D825="","",VLOOKUP(D825,CadProd!$A:$B,2,0)),"")</f>
        <v/>
      </c>
      <c r="F825" t="str">
        <f>IFERROR(IF(D825="","",VLOOKUP(D825,CadProd!$A:$C,3,0)),"")</f>
        <v/>
      </c>
    </row>
    <row r="826" spans="5:6" x14ac:dyDescent="0.3">
      <c r="E826" t="str">
        <f>IFERROR(IF(D826="","",VLOOKUP(D826,CadProd!$A:$B,2,0)),"")</f>
        <v/>
      </c>
      <c r="F826" t="str">
        <f>IFERROR(IF(D826="","",VLOOKUP(D826,CadProd!$A:$C,3,0)),"")</f>
        <v/>
      </c>
    </row>
    <row r="827" spans="5:6" x14ac:dyDescent="0.3">
      <c r="E827" t="str">
        <f>IFERROR(IF(D827="","",VLOOKUP(D827,CadProd!$A:$B,2,0)),"")</f>
        <v/>
      </c>
      <c r="F827" t="str">
        <f>IFERROR(IF(D827="","",VLOOKUP(D827,CadProd!$A:$C,3,0)),"")</f>
        <v/>
      </c>
    </row>
    <row r="828" spans="5:6" x14ac:dyDescent="0.3">
      <c r="E828" t="str">
        <f>IFERROR(IF(D828="","",VLOOKUP(D828,CadProd!$A:$B,2,0)),"")</f>
        <v/>
      </c>
      <c r="F828" t="str">
        <f>IFERROR(IF(D828="","",VLOOKUP(D828,CadProd!$A:$C,3,0)),"")</f>
        <v/>
      </c>
    </row>
    <row r="829" spans="5:6" x14ac:dyDescent="0.3">
      <c r="E829" t="str">
        <f>IFERROR(IF(D829="","",VLOOKUP(D829,CadProd!$A:$B,2,0)),"")</f>
        <v/>
      </c>
      <c r="F829" t="str">
        <f>IFERROR(IF(D829="","",VLOOKUP(D829,CadProd!$A:$C,3,0)),"")</f>
        <v/>
      </c>
    </row>
    <row r="830" spans="5:6" x14ac:dyDescent="0.3">
      <c r="E830" t="str">
        <f>IFERROR(IF(D830="","",VLOOKUP(D830,CadProd!$A:$B,2,0)),"")</f>
        <v/>
      </c>
      <c r="F830" t="str">
        <f>IFERROR(IF(D830="","",VLOOKUP(D830,CadProd!$A:$C,3,0)),"")</f>
        <v/>
      </c>
    </row>
    <row r="831" spans="5:6" x14ac:dyDescent="0.3">
      <c r="E831" t="str">
        <f>IFERROR(IF(D831="","",VLOOKUP(D831,CadProd!$A:$B,2,0)),"")</f>
        <v/>
      </c>
      <c r="F831" t="str">
        <f>IFERROR(IF(D831="","",VLOOKUP(D831,CadProd!$A:$C,3,0)),"")</f>
        <v/>
      </c>
    </row>
    <row r="832" spans="5:6" x14ac:dyDescent="0.3">
      <c r="E832" t="str">
        <f>IFERROR(IF(D832="","",VLOOKUP(D832,CadProd!$A:$B,2,0)),"")</f>
        <v/>
      </c>
      <c r="F832" t="str">
        <f>IFERROR(IF(D832="","",VLOOKUP(D832,CadProd!$A:$C,3,0)),"")</f>
        <v/>
      </c>
    </row>
    <row r="833" spans="5:6" x14ac:dyDescent="0.3">
      <c r="E833" t="str">
        <f>IFERROR(IF(D833="","",VLOOKUP(D833,CadProd!$A:$B,2,0)),"")</f>
        <v/>
      </c>
      <c r="F833" t="str">
        <f>IFERROR(IF(D833="","",VLOOKUP(D833,CadProd!$A:$C,3,0)),"")</f>
        <v/>
      </c>
    </row>
    <row r="834" spans="5:6" x14ac:dyDescent="0.3">
      <c r="E834" t="str">
        <f>IFERROR(IF(D834="","",VLOOKUP(D834,CadProd!$A:$B,2,0)),"")</f>
        <v/>
      </c>
      <c r="F834" t="str">
        <f>IFERROR(IF(D834="","",VLOOKUP(D834,CadProd!$A:$C,3,0)),"")</f>
        <v/>
      </c>
    </row>
    <row r="835" spans="5:6" x14ac:dyDescent="0.3">
      <c r="E835" t="str">
        <f>IFERROR(IF(D835="","",VLOOKUP(D835,CadProd!$A:$B,2,0)),"")</f>
        <v/>
      </c>
      <c r="F835" t="str">
        <f>IFERROR(IF(D835="","",VLOOKUP(D835,CadProd!$A:$C,3,0)),"")</f>
        <v/>
      </c>
    </row>
    <row r="836" spans="5:6" x14ac:dyDescent="0.3">
      <c r="E836" t="str">
        <f>IFERROR(IF(D836="","",VLOOKUP(D836,CadProd!$A:$B,2,0)),"")</f>
        <v/>
      </c>
      <c r="F836" t="str">
        <f>IFERROR(IF(D836="","",VLOOKUP(D836,CadProd!$A:$C,3,0)),"")</f>
        <v/>
      </c>
    </row>
    <row r="837" spans="5:6" x14ac:dyDescent="0.3">
      <c r="E837" t="str">
        <f>IFERROR(IF(D837="","",VLOOKUP(D837,CadProd!$A:$B,2,0)),"")</f>
        <v/>
      </c>
      <c r="F837" t="str">
        <f>IFERROR(IF(D837="","",VLOOKUP(D837,CadProd!$A:$C,3,0)),"")</f>
        <v/>
      </c>
    </row>
    <row r="838" spans="5:6" x14ac:dyDescent="0.3">
      <c r="E838" t="str">
        <f>IFERROR(IF(D838="","",VLOOKUP(D838,CadProd!$A:$B,2,0)),"")</f>
        <v/>
      </c>
      <c r="F838" t="str">
        <f>IFERROR(IF(D838="","",VLOOKUP(D838,CadProd!$A:$C,3,0)),"")</f>
        <v/>
      </c>
    </row>
    <row r="839" spans="5:6" x14ac:dyDescent="0.3">
      <c r="E839" t="str">
        <f>IFERROR(IF(D839="","",VLOOKUP(D839,CadProd!$A:$B,2,0)),"")</f>
        <v/>
      </c>
      <c r="F839" t="str">
        <f>IFERROR(IF(D839="","",VLOOKUP(D839,CadProd!$A:$C,3,0)),"")</f>
        <v/>
      </c>
    </row>
    <row r="840" spans="5:6" x14ac:dyDescent="0.3">
      <c r="E840" t="str">
        <f>IFERROR(IF(D840="","",VLOOKUP(D840,CadProd!$A:$B,2,0)),"")</f>
        <v/>
      </c>
      <c r="F840" t="str">
        <f>IFERROR(IF(D840="","",VLOOKUP(D840,CadProd!$A:$C,3,0)),"")</f>
        <v/>
      </c>
    </row>
    <row r="841" spans="5:6" x14ac:dyDescent="0.3">
      <c r="E841" t="str">
        <f>IFERROR(IF(D841="","",VLOOKUP(D841,CadProd!$A:$B,2,0)),"")</f>
        <v/>
      </c>
      <c r="F841" t="str">
        <f>IFERROR(IF(D841="","",VLOOKUP(D841,CadProd!$A:$C,3,0)),"")</f>
        <v/>
      </c>
    </row>
    <row r="842" spans="5:6" x14ac:dyDescent="0.3">
      <c r="E842" t="str">
        <f>IFERROR(IF(D842="","",VLOOKUP(D842,CadProd!$A:$B,2,0)),"")</f>
        <v/>
      </c>
      <c r="F842" t="str">
        <f>IFERROR(IF(D842="","",VLOOKUP(D842,CadProd!$A:$C,3,0)),"")</f>
        <v/>
      </c>
    </row>
    <row r="843" spans="5:6" x14ac:dyDescent="0.3">
      <c r="E843" t="str">
        <f>IFERROR(IF(D843="","",VLOOKUP(D843,CadProd!$A:$B,2,0)),"")</f>
        <v/>
      </c>
      <c r="F843" t="str">
        <f>IFERROR(IF(D843="","",VLOOKUP(D843,CadProd!$A:$C,3,0)),"")</f>
        <v/>
      </c>
    </row>
    <row r="844" spans="5:6" x14ac:dyDescent="0.3">
      <c r="E844" t="str">
        <f>IFERROR(IF(D844="","",VLOOKUP(D844,CadProd!$A:$B,2,0)),"")</f>
        <v/>
      </c>
      <c r="F844" t="str">
        <f>IFERROR(IF(D844="","",VLOOKUP(D844,CadProd!$A:$C,3,0)),"")</f>
        <v/>
      </c>
    </row>
    <row r="845" spans="5:6" x14ac:dyDescent="0.3">
      <c r="E845" t="str">
        <f>IFERROR(IF(D845="","",VLOOKUP(D845,CadProd!$A:$B,2,0)),"")</f>
        <v/>
      </c>
      <c r="F845" t="str">
        <f>IFERROR(IF(D845="","",VLOOKUP(D845,CadProd!$A:$C,3,0)),"")</f>
        <v/>
      </c>
    </row>
    <row r="846" spans="5:6" x14ac:dyDescent="0.3">
      <c r="E846" t="str">
        <f>IFERROR(IF(D846="","",VLOOKUP(D846,CadProd!$A:$B,2,0)),"")</f>
        <v/>
      </c>
      <c r="F846" t="str">
        <f>IFERROR(IF(D846="","",VLOOKUP(D846,CadProd!$A:$C,3,0)),"")</f>
        <v/>
      </c>
    </row>
    <row r="847" spans="5:6" x14ac:dyDescent="0.3">
      <c r="E847" t="str">
        <f>IFERROR(IF(D847="","",VLOOKUP(D847,CadProd!$A:$B,2,0)),"")</f>
        <v/>
      </c>
      <c r="F847" t="str">
        <f>IFERROR(IF(D847="","",VLOOKUP(D847,CadProd!$A:$C,3,0)),"")</f>
        <v/>
      </c>
    </row>
    <row r="848" spans="5:6" x14ac:dyDescent="0.3">
      <c r="E848" t="str">
        <f>IFERROR(IF(D848="","",VLOOKUP(D848,CadProd!$A:$B,2,0)),"")</f>
        <v/>
      </c>
      <c r="F848" t="str">
        <f>IFERROR(IF(D848="","",VLOOKUP(D848,CadProd!$A:$C,3,0)),"")</f>
        <v/>
      </c>
    </row>
    <row r="849" spans="5:6" x14ac:dyDescent="0.3">
      <c r="E849" t="str">
        <f>IFERROR(IF(D849="","",VLOOKUP(D849,CadProd!$A:$B,2,0)),"")</f>
        <v/>
      </c>
      <c r="F849" t="str">
        <f>IFERROR(IF(D849="","",VLOOKUP(D849,CadProd!$A:$C,3,0)),"")</f>
        <v/>
      </c>
    </row>
    <row r="850" spans="5:6" x14ac:dyDescent="0.3">
      <c r="E850" t="str">
        <f>IFERROR(IF(D850="","",VLOOKUP(D850,CadProd!$A:$B,2,0)),"")</f>
        <v/>
      </c>
      <c r="F850" t="str">
        <f>IFERROR(IF(D850="","",VLOOKUP(D850,CadProd!$A:$C,3,0)),"")</f>
        <v/>
      </c>
    </row>
    <row r="851" spans="5:6" x14ac:dyDescent="0.3">
      <c r="E851" t="str">
        <f>IFERROR(IF(D851="","",VLOOKUP(D851,CadProd!$A:$B,2,0)),"")</f>
        <v/>
      </c>
      <c r="F851" t="str">
        <f>IFERROR(IF(D851="","",VLOOKUP(D851,CadProd!$A:$C,3,0)),"")</f>
        <v/>
      </c>
    </row>
    <row r="852" spans="5:6" x14ac:dyDescent="0.3">
      <c r="E852" t="str">
        <f>IFERROR(IF(D852="","",VLOOKUP(D852,CadProd!$A:$B,2,0)),"")</f>
        <v/>
      </c>
      <c r="F852" t="str">
        <f>IFERROR(IF(D852="","",VLOOKUP(D852,CadProd!$A:$C,3,0)),"")</f>
        <v/>
      </c>
    </row>
    <row r="853" spans="5:6" x14ac:dyDescent="0.3">
      <c r="E853" t="str">
        <f>IFERROR(IF(D853="","",VLOOKUP(D853,CadProd!$A:$B,2,0)),"")</f>
        <v/>
      </c>
      <c r="F853" t="str">
        <f>IFERROR(IF(D853="","",VLOOKUP(D853,CadProd!$A:$C,3,0)),"")</f>
        <v/>
      </c>
    </row>
    <row r="854" spans="5:6" x14ac:dyDescent="0.3">
      <c r="E854" t="str">
        <f>IFERROR(IF(D854="","",VLOOKUP(D854,CadProd!$A:$B,2,0)),"")</f>
        <v/>
      </c>
      <c r="F854" t="str">
        <f>IFERROR(IF(D854="","",VLOOKUP(D854,CadProd!$A:$C,3,0)),"")</f>
        <v/>
      </c>
    </row>
    <row r="855" spans="5:6" x14ac:dyDescent="0.3">
      <c r="E855" t="str">
        <f>IFERROR(IF(D855="","",VLOOKUP(D855,CadProd!$A:$B,2,0)),"")</f>
        <v/>
      </c>
      <c r="F855" t="str">
        <f>IFERROR(IF(D855="","",VLOOKUP(D855,CadProd!$A:$C,3,0)),"")</f>
        <v/>
      </c>
    </row>
    <row r="856" spans="5:6" x14ac:dyDescent="0.3">
      <c r="E856" t="str">
        <f>IFERROR(IF(D856="","",VLOOKUP(D856,CadProd!$A:$B,2,0)),"")</f>
        <v/>
      </c>
      <c r="F856" t="str">
        <f>IFERROR(IF(D856="","",VLOOKUP(D856,CadProd!$A:$C,3,0)),"")</f>
        <v/>
      </c>
    </row>
    <row r="857" spans="5:6" x14ac:dyDescent="0.3">
      <c r="E857" t="str">
        <f>IFERROR(IF(D857="","",VLOOKUP(D857,CadProd!$A:$B,2,0)),"")</f>
        <v/>
      </c>
      <c r="F857" t="str">
        <f>IFERROR(IF(D857="","",VLOOKUP(D857,CadProd!$A:$C,3,0)),"")</f>
        <v/>
      </c>
    </row>
    <row r="858" spans="5:6" x14ac:dyDescent="0.3">
      <c r="E858" t="str">
        <f>IFERROR(IF(D858="","",VLOOKUP(D858,CadProd!$A:$B,2,0)),"")</f>
        <v/>
      </c>
      <c r="F858" t="str">
        <f>IFERROR(IF(D858="","",VLOOKUP(D858,CadProd!$A:$C,3,0)),"")</f>
        <v/>
      </c>
    </row>
    <row r="859" spans="5:6" x14ac:dyDescent="0.3">
      <c r="E859" t="str">
        <f>IFERROR(IF(D859="","",VLOOKUP(D859,CadProd!$A:$B,2,0)),"")</f>
        <v/>
      </c>
      <c r="F859" t="str">
        <f>IFERROR(IF(D859="","",VLOOKUP(D859,CadProd!$A:$C,3,0)),"")</f>
        <v/>
      </c>
    </row>
    <row r="860" spans="5:6" x14ac:dyDescent="0.3">
      <c r="E860" t="str">
        <f>IFERROR(IF(D860="","",VLOOKUP(D860,CadProd!$A:$B,2,0)),"")</f>
        <v/>
      </c>
      <c r="F860" t="str">
        <f>IFERROR(IF(D860="","",VLOOKUP(D860,CadProd!$A:$C,3,0)),"")</f>
        <v/>
      </c>
    </row>
    <row r="861" spans="5:6" x14ac:dyDescent="0.3">
      <c r="E861" t="str">
        <f>IFERROR(IF(D861="","",VLOOKUP(D861,CadProd!$A:$B,2,0)),"")</f>
        <v/>
      </c>
      <c r="F861" t="str">
        <f>IFERROR(IF(D861="","",VLOOKUP(D861,CadProd!$A:$C,3,0)),"")</f>
        <v/>
      </c>
    </row>
    <row r="862" spans="5:6" x14ac:dyDescent="0.3">
      <c r="E862" t="str">
        <f>IFERROR(IF(D862="","",VLOOKUP(D862,CadProd!$A:$B,2,0)),"")</f>
        <v/>
      </c>
      <c r="F862" t="str">
        <f>IFERROR(IF(D862="","",VLOOKUP(D862,CadProd!$A:$C,3,0)),"")</f>
        <v/>
      </c>
    </row>
    <row r="863" spans="5:6" x14ac:dyDescent="0.3">
      <c r="E863" t="str">
        <f>IFERROR(IF(D863="","",VLOOKUP(D863,CadProd!$A:$B,2,0)),"")</f>
        <v/>
      </c>
      <c r="F863" t="str">
        <f>IFERROR(IF(D863="","",VLOOKUP(D863,CadProd!$A:$C,3,0)),"")</f>
        <v/>
      </c>
    </row>
    <row r="864" spans="5:6" x14ac:dyDescent="0.3">
      <c r="E864" t="str">
        <f>IFERROR(IF(D864="","",VLOOKUP(D864,CadProd!$A:$B,2,0)),"")</f>
        <v/>
      </c>
      <c r="F864" t="str">
        <f>IFERROR(IF(D864="","",VLOOKUP(D864,CadProd!$A:$C,3,0)),"")</f>
        <v/>
      </c>
    </row>
    <row r="865" spans="5:6" x14ac:dyDescent="0.3">
      <c r="E865" t="str">
        <f>IFERROR(IF(D865="","",VLOOKUP(D865,CadProd!$A:$B,2,0)),"")</f>
        <v/>
      </c>
      <c r="F865" t="str">
        <f>IFERROR(IF(D865="","",VLOOKUP(D865,CadProd!$A:$C,3,0)),"")</f>
        <v/>
      </c>
    </row>
    <row r="866" spans="5:6" x14ac:dyDescent="0.3">
      <c r="E866" t="str">
        <f>IFERROR(IF(D866="","",VLOOKUP(D866,CadProd!$A:$B,2,0)),"")</f>
        <v/>
      </c>
      <c r="F866" t="str">
        <f>IFERROR(IF(D866="","",VLOOKUP(D866,CadProd!$A:$C,3,0)),"")</f>
        <v/>
      </c>
    </row>
    <row r="867" spans="5:6" x14ac:dyDescent="0.3">
      <c r="E867" t="str">
        <f>IFERROR(IF(D867="","",VLOOKUP(D867,CadProd!$A:$B,2,0)),"")</f>
        <v/>
      </c>
      <c r="F867" t="str">
        <f>IFERROR(IF(D867="","",VLOOKUP(D867,CadProd!$A:$C,3,0)),"")</f>
        <v/>
      </c>
    </row>
    <row r="868" spans="5:6" x14ac:dyDescent="0.3">
      <c r="E868" t="str">
        <f>IFERROR(IF(D868="","",VLOOKUP(D868,CadProd!$A:$B,2,0)),"")</f>
        <v/>
      </c>
      <c r="F868" t="str">
        <f>IFERROR(IF(D868="","",VLOOKUP(D868,CadProd!$A:$C,3,0)),"")</f>
        <v/>
      </c>
    </row>
    <row r="869" spans="5:6" x14ac:dyDescent="0.3">
      <c r="E869" t="str">
        <f>IFERROR(IF(D869="","",VLOOKUP(D869,CadProd!$A:$B,2,0)),"")</f>
        <v/>
      </c>
      <c r="F869" t="str">
        <f>IFERROR(IF(D869="","",VLOOKUP(D869,CadProd!$A:$C,3,0)),"")</f>
        <v/>
      </c>
    </row>
    <row r="870" spans="5:6" x14ac:dyDescent="0.3">
      <c r="E870" t="str">
        <f>IFERROR(IF(D870="","",VLOOKUP(D870,CadProd!$A:$B,2,0)),"")</f>
        <v/>
      </c>
      <c r="F870" t="str">
        <f>IFERROR(IF(D870="","",VLOOKUP(D870,CadProd!$A:$C,3,0)),"")</f>
        <v/>
      </c>
    </row>
    <row r="871" spans="5:6" x14ac:dyDescent="0.3">
      <c r="E871" t="str">
        <f>IFERROR(IF(D871="","",VLOOKUP(D871,CadProd!$A:$B,2,0)),"")</f>
        <v/>
      </c>
      <c r="F871" t="str">
        <f>IFERROR(IF(D871="","",VLOOKUP(D871,CadProd!$A:$C,3,0)),"")</f>
        <v/>
      </c>
    </row>
    <row r="872" spans="5:6" x14ac:dyDescent="0.3">
      <c r="E872" t="str">
        <f>IFERROR(IF(D872="","",VLOOKUP(D872,CadProd!$A:$B,2,0)),"")</f>
        <v/>
      </c>
      <c r="F872" t="str">
        <f>IFERROR(IF(D872="","",VLOOKUP(D872,CadProd!$A:$C,3,0)),"")</f>
        <v/>
      </c>
    </row>
    <row r="873" spans="5:6" x14ac:dyDescent="0.3">
      <c r="E873" t="str">
        <f>IFERROR(IF(D873="","",VLOOKUP(D873,CadProd!$A:$B,2,0)),"")</f>
        <v/>
      </c>
      <c r="F873" t="str">
        <f>IFERROR(IF(D873="","",VLOOKUP(D873,CadProd!$A:$C,3,0)),"")</f>
        <v/>
      </c>
    </row>
    <row r="874" spans="5:6" x14ac:dyDescent="0.3">
      <c r="E874" t="str">
        <f>IFERROR(IF(D874="","",VLOOKUP(D874,CadProd!$A:$B,2,0)),"")</f>
        <v/>
      </c>
      <c r="F874" t="str">
        <f>IFERROR(IF(D874="","",VLOOKUP(D874,CadProd!$A:$C,3,0)),"")</f>
        <v/>
      </c>
    </row>
    <row r="875" spans="5:6" x14ac:dyDescent="0.3">
      <c r="E875" t="str">
        <f>IFERROR(IF(D875="","",VLOOKUP(D875,CadProd!$A:$B,2,0)),"")</f>
        <v/>
      </c>
      <c r="F875" t="str">
        <f>IFERROR(IF(D875="","",VLOOKUP(D875,CadProd!$A:$C,3,0)),"")</f>
        <v/>
      </c>
    </row>
    <row r="876" spans="5:6" x14ac:dyDescent="0.3">
      <c r="E876" t="str">
        <f>IFERROR(IF(D876="","",VLOOKUP(D876,CadProd!$A:$B,2,0)),"")</f>
        <v/>
      </c>
      <c r="F876" t="str">
        <f>IFERROR(IF(D876="","",VLOOKUP(D876,CadProd!$A:$C,3,0)),"")</f>
        <v/>
      </c>
    </row>
    <row r="877" spans="5:6" x14ac:dyDescent="0.3">
      <c r="E877" t="str">
        <f>IFERROR(IF(D877="","",VLOOKUP(D877,CadProd!$A:$B,2,0)),"")</f>
        <v/>
      </c>
      <c r="F877" t="str">
        <f>IFERROR(IF(D877="","",VLOOKUP(D877,CadProd!$A:$C,3,0)),"")</f>
        <v/>
      </c>
    </row>
    <row r="878" spans="5:6" x14ac:dyDescent="0.3">
      <c r="E878" t="str">
        <f>IFERROR(IF(D878="","",VLOOKUP(D878,CadProd!$A:$B,2,0)),"")</f>
        <v/>
      </c>
      <c r="F878" t="str">
        <f>IFERROR(IF(D878="","",VLOOKUP(D878,CadProd!$A:$C,3,0)),"")</f>
        <v/>
      </c>
    </row>
    <row r="879" spans="5:6" x14ac:dyDescent="0.3">
      <c r="E879" t="str">
        <f>IFERROR(IF(D879="","",VLOOKUP(D879,CadProd!$A:$B,2,0)),"")</f>
        <v/>
      </c>
      <c r="F879" t="str">
        <f>IFERROR(IF(D879="","",VLOOKUP(D879,CadProd!$A:$C,3,0)),"")</f>
        <v/>
      </c>
    </row>
    <row r="880" spans="5:6" x14ac:dyDescent="0.3">
      <c r="E880" t="str">
        <f>IFERROR(IF(D880="","",VLOOKUP(D880,CadProd!$A:$B,2,0)),"")</f>
        <v/>
      </c>
      <c r="F880" t="str">
        <f>IFERROR(IF(D880="","",VLOOKUP(D880,CadProd!$A:$C,3,0)),"")</f>
        <v/>
      </c>
    </row>
    <row r="881" spans="5:6" x14ac:dyDescent="0.3">
      <c r="E881" t="str">
        <f>IFERROR(IF(D881="","",VLOOKUP(D881,CadProd!$A:$B,2,0)),"")</f>
        <v/>
      </c>
      <c r="F881" t="str">
        <f>IFERROR(IF(D881="","",VLOOKUP(D881,CadProd!$A:$C,3,0)),"")</f>
        <v/>
      </c>
    </row>
    <row r="882" spans="5:6" x14ac:dyDescent="0.3">
      <c r="E882" t="str">
        <f>IFERROR(IF(D882="","",VLOOKUP(D882,CadProd!$A:$B,2,0)),"")</f>
        <v/>
      </c>
      <c r="F882" t="str">
        <f>IFERROR(IF(D882="","",VLOOKUP(D882,CadProd!$A:$C,3,0)),"")</f>
        <v/>
      </c>
    </row>
    <row r="883" spans="5:6" x14ac:dyDescent="0.3">
      <c r="E883" t="str">
        <f>IFERROR(IF(D883="","",VLOOKUP(D883,CadProd!$A:$B,2,0)),"")</f>
        <v/>
      </c>
      <c r="F883" t="str">
        <f>IFERROR(IF(D883="","",VLOOKUP(D883,CadProd!$A:$C,3,0)),"")</f>
        <v/>
      </c>
    </row>
    <row r="884" spans="5:6" x14ac:dyDescent="0.3">
      <c r="E884" t="str">
        <f>IFERROR(IF(D884="","",VLOOKUP(D884,CadProd!$A:$B,2,0)),"")</f>
        <v/>
      </c>
      <c r="F884" t="str">
        <f>IFERROR(IF(D884="","",VLOOKUP(D884,CadProd!$A:$C,3,0)),"")</f>
        <v/>
      </c>
    </row>
    <row r="885" spans="5:6" x14ac:dyDescent="0.3">
      <c r="E885" t="str">
        <f>IFERROR(IF(D885="","",VLOOKUP(D885,CadProd!$A:$B,2,0)),"")</f>
        <v/>
      </c>
      <c r="F885" t="str">
        <f>IFERROR(IF(D885="","",VLOOKUP(D885,CadProd!$A:$C,3,0)),"")</f>
        <v/>
      </c>
    </row>
    <row r="886" spans="5:6" x14ac:dyDescent="0.3">
      <c r="E886" t="str">
        <f>IFERROR(IF(D886="","",VLOOKUP(D886,CadProd!$A:$B,2,0)),"")</f>
        <v/>
      </c>
      <c r="F886" t="str">
        <f>IFERROR(IF(D886="","",VLOOKUP(D886,CadProd!$A:$C,3,0)),"")</f>
        <v/>
      </c>
    </row>
    <row r="887" spans="5:6" x14ac:dyDescent="0.3">
      <c r="E887" t="str">
        <f>IFERROR(IF(D887="","",VLOOKUP(D887,CadProd!$A:$B,2,0)),"")</f>
        <v/>
      </c>
      <c r="F887" t="str">
        <f>IFERROR(IF(D887="","",VLOOKUP(D887,CadProd!$A:$C,3,0)),"")</f>
        <v/>
      </c>
    </row>
    <row r="888" spans="5:6" x14ac:dyDescent="0.3">
      <c r="E888" t="str">
        <f>IFERROR(IF(D888="","",VLOOKUP(D888,CadProd!$A:$B,2,0)),"")</f>
        <v/>
      </c>
      <c r="F888" t="str">
        <f>IFERROR(IF(D888="","",VLOOKUP(D888,CadProd!$A:$C,3,0)),"")</f>
        <v/>
      </c>
    </row>
    <row r="889" spans="5:6" x14ac:dyDescent="0.3">
      <c r="E889" t="str">
        <f>IFERROR(IF(D889="","",VLOOKUP(D889,CadProd!$A:$B,2,0)),"")</f>
        <v/>
      </c>
      <c r="F889" t="str">
        <f>IFERROR(IF(D889="","",VLOOKUP(D889,CadProd!$A:$C,3,0)),"")</f>
        <v/>
      </c>
    </row>
    <row r="890" spans="5:6" x14ac:dyDescent="0.3">
      <c r="E890" t="str">
        <f>IFERROR(IF(D890="","",VLOOKUP(D890,CadProd!$A:$B,2,0)),"")</f>
        <v/>
      </c>
      <c r="F890" t="str">
        <f>IFERROR(IF(D890="","",VLOOKUP(D890,CadProd!$A:$C,3,0)),"")</f>
        <v/>
      </c>
    </row>
    <row r="891" spans="5:6" x14ac:dyDescent="0.3">
      <c r="E891" t="str">
        <f>IFERROR(IF(D891="","",VLOOKUP(D891,CadProd!$A:$B,2,0)),"")</f>
        <v/>
      </c>
      <c r="F891" t="str">
        <f>IFERROR(IF(D891="","",VLOOKUP(D891,CadProd!$A:$C,3,0)),"")</f>
        <v/>
      </c>
    </row>
    <row r="892" spans="5:6" x14ac:dyDescent="0.3">
      <c r="E892" t="str">
        <f>IFERROR(IF(D892="","",VLOOKUP(D892,CadProd!$A:$B,2,0)),"")</f>
        <v/>
      </c>
      <c r="F892" t="str">
        <f>IFERROR(IF(D892="","",VLOOKUP(D892,CadProd!$A:$C,3,0)),"")</f>
        <v/>
      </c>
    </row>
    <row r="893" spans="5:6" x14ac:dyDescent="0.3">
      <c r="E893" t="str">
        <f>IFERROR(IF(D893="","",VLOOKUP(D893,CadProd!$A:$B,2,0)),"")</f>
        <v/>
      </c>
      <c r="F893" t="str">
        <f>IFERROR(IF(D893="","",VLOOKUP(D893,CadProd!$A:$C,3,0)),"")</f>
        <v/>
      </c>
    </row>
    <row r="894" spans="5:6" x14ac:dyDescent="0.3">
      <c r="E894" t="str">
        <f>IFERROR(IF(D894="","",VLOOKUP(D894,CadProd!$A:$B,2,0)),"")</f>
        <v/>
      </c>
      <c r="F894" t="str">
        <f>IFERROR(IF(D894="","",VLOOKUP(D894,CadProd!$A:$C,3,0)),"")</f>
        <v/>
      </c>
    </row>
    <row r="895" spans="5:6" x14ac:dyDescent="0.3">
      <c r="E895" t="str">
        <f>IFERROR(IF(D895="","",VLOOKUP(D895,CadProd!$A:$B,2,0)),"")</f>
        <v/>
      </c>
      <c r="F895" t="str">
        <f>IFERROR(IF(D895="","",VLOOKUP(D895,CadProd!$A:$C,3,0)),"")</f>
        <v/>
      </c>
    </row>
    <row r="896" spans="5:6" x14ac:dyDescent="0.3">
      <c r="E896" t="str">
        <f>IFERROR(IF(D896="","",VLOOKUP(D896,CadProd!$A:$B,2,0)),"")</f>
        <v/>
      </c>
      <c r="F896" t="str">
        <f>IFERROR(IF(D896="","",VLOOKUP(D896,CadProd!$A:$C,3,0)),"")</f>
        <v/>
      </c>
    </row>
    <row r="897" spans="5:6" x14ac:dyDescent="0.3">
      <c r="E897" t="str">
        <f>IFERROR(IF(D897="","",VLOOKUP(D897,CadProd!$A:$B,2,0)),"")</f>
        <v/>
      </c>
      <c r="F897" t="str">
        <f>IFERROR(IF(D897="","",VLOOKUP(D897,CadProd!$A:$C,3,0)),"")</f>
        <v/>
      </c>
    </row>
    <row r="898" spans="5:6" x14ac:dyDescent="0.3">
      <c r="E898" t="str">
        <f>IFERROR(IF(D898="","",VLOOKUP(D898,CadProd!$A:$B,2,0)),"")</f>
        <v/>
      </c>
      <c r="F898" t="str">
        <f>IFERROR(IF(D898="","",VLOOKUP(D898,CadProd!$A:$C,3,0)),"")</f>
        <v/>
      </c>
    </row>
    <row r="899" spans="5:6" x14ac:dyDescent="0.3">
      <c r="E899" t="str">
        <f>IFERROR(IF(D899="","",VLOOKUP(D899,CadProd!$A:$B,2,0)),"")</f>
        <v/>
      </c>
      <c r="F899" t="str">
        <f>IFERROR(IF(D899="","",VLOOKUP(D899,CadProd!$A:$C,3,0)),"")</f>
        <v/>
      </c>
    </row>
    <row r="900" spans="5:6" x14ac:dyDescent="0.3">
      <c r="E900" t="str">
        <f>IFERROR(IF(D900="","",VLOOKUP(D900,CadProd!$A:$B,2,0)),"")</f>
        <v/>
      </c>
      <c r="F900" t="str">
        <f>IFERROR(IF(D900="","",VLOOKUP(D900,CadProd!$A:$C,3,0)),"")</f>
        <v/>
      </c>
    </row>
    <row r="901" spans="5:6" x14ac:dyDescent="0.3">
      <c r="E901" t="str">
        <f>IFERROR(IF(D901="","",VLOOKUP(D901,CadProd!$A:$B,2,0)),"")</f>
        <v/>
      </c>
      <c r="F901" t="str">
        <f>IFERROR(IF(D901="","",VLOOKUP(D901,CadProd!$A:$C,3,0)),"")</f>
        <v/>
      </c>
    </row>
    <row r="902" spans="5:6" x14ac:dyDescent="0.3">
      <c r="E902" t="str">
        <f>IFERROR(IF(D902="","",VLOOKUP(D902,CadProd!$A:$B,2,0)),"")</f>
        <v/>
      </c>
      <c r="F902" t="str">
        <f>IFERROR(IF(D902="","",VLOOKUP(D902,CadProd!$A:$C,3,0)),"")</f>
        <v/>
      </c>
    </row>
    <row r="903" spans="5:6" x14ac:dyDescent="0.3">
      <c r="E903" t="str">
        <f>IFERROR(IF(D903="","",VLOOKUP(D903,CadProd!$A:$B,2,0)),"")</f>
        <v/>
      </c>
      <c r="F903" t="str">
        <f>IFERROR(IF(D903="","",VLOOKUP(D903,CadProd!$A:$C,3,0)),"")</f>
        <v/>
      </c>
    </row>
    <row r="904" spans="5:6" x14ac:dyDescent="0.3">
      <c r="E904" t="str">
        <f>IFERROR(IF(D904="","",VLOOKUP(D904,CadProd!$A:$B,2,0)),"")</f>
        <v/>
      </c>
      <c r="F904" t="str">
        <f>IFERROR(IF(D904="","",VLOOKUP(D904,CadProd!$A:$C,3,0)),"")</f>
        <v/>
      </c>
    </row>
    <row r="905" spans="5:6" x14ac:dyDescent="0.3">
      <c r="E905" t="str">
        <f>IFERROR(IF(D905="","",VLOOKUP(D905,CadProd!$A:$B,2,0)),"")</f>
        <v/>
      </c>
      <c r="F905" t="str">
        <f>IFERROR(IF(D905="","",VLOOKUP(D905,CadProd!$A:$C,3,0)),"")</f>
        <v/>
      </c>
    </row>
    <row r="906" spans="5:6" x14ac:dyDescent="0.3">
      <c r="E906" t="str">
        <f>IFERROR(IF(D906="","",VLOOKUP(D906,CadProd!$A:$B,2,0)),"")</f>
        <v/>
      </c>
      <c r="F906" t="str">
        <f>IFERROR(IF(D906="","",VLOOKUP(D906,CadProd!$A:$C,3,0)),"")</f>
        <v/>
      </c>
    </row>
    <row r="907" spans="5:6" x14ac:dyDescent="0.3">
      <c r="E907" t="str">
        <f>IFERROR(IF(D907="","",VLOOKUP(D907,CadProd!$A:$B,2,0)),"")</f>
        <v/>
      </c>
      <c r="F907" t="str">
        <f>IFERROR(IF(D907="","",VLOOKUP(D907,CadProd!$A:$C,3,0)),"")</f>
        <v/>
      </c>
    </row>
    <row r="908" spans="5:6" x14ac:dyDescent="0.3">
      <c r="E908" t="str">
        <f>IFERROR(IF(D908="","",VLOOKUP(D908,CadProd!$A:$B,2,0)),"")</f>
        <v/>
      </c>
      <c r="F908" t="str">
        <f>IFERROR(IF(D908="","",VLOOKUP(D908,CadProd!$A:$C,3,0)),"")</f>
        <v/>
      </c>
    </row>
    <row r="909" spans="5:6" x14ac:dyDescent="0.3">
      <c r="E909" t="str">
        <f>IFERROR(IF(D909="","",VLOOKUP(D909,CadProd!$A:$B,2,0)),"")</f>
        <v/>
      </c>
      <c r="F909" t="str">
        <f>IFERROR(IF(D909="","",VLOOKUP(D909,CadProd!$A:$C,3,0)),"")</f>
        <v/>
      </c>
    </row>
    <row r="910" spans="5:6" x14ac:dyDescent="0.3">
      <c r="E910" t="str">
        <f>IFERROR(IF(D910="","",VLOOKUP(D910,CadProd!$A:$B,2,0)),"")</f>
        <v/>
      </c>
      <c r="F910" t="str">
        <f>IFERROR(IF(D910="","",VLOOKUP(D910,CadProd!$A:$C,3,0)),"")</f>
        <v/>
      </c>
    </row>
    <row r="911" spans="5:6" x14ac:dyDescent="0.3">
      <c r="E911" t="str">
        <f>IFERROR(IF(D911="","",VLOOKUP(D911,CadProd!$A:$B,2,0)),"")</f>
        <v/>
      </c>
      <c r="F911" t="str">
        <f>IFERROR(IF(D911="","",VLOOKUP(D911,CadProd!$A:$C,3,0)),"")</f>
        <v/>
      </c>
    </row>
    <row r="912" spans="5:6" x14ac:dyDescent="0.3">
      <c r="E912" t="str">
        <f>IFERROR(IF(D912="","",VLOOKUP(D912,CadProd!$A:$B,2,0)),"")</f>
        <v/>
      </c>
      <c r="F912" t="str">
        <f>IFERROR(IF(D912="","",VLOOKUP(D912,CadProd!$A:$C,3,0)),"")</f>
        <v/>
      </c>
    </row>
    <row r="913" spans="5:6" x14ac:dyDescent="0.3">
      <c r="E913" t="str">
        <f>IFERROR(IF(D913="","",VLOOKUP(D913,CadProd!$A:$B,2,0)),"")</f>
        <v/>
      </c>
      <c r="F913" t="str">
        <f>IFERROR(IF(D913="","",VLOOKUP(D913,CadProd!$A:$C,3,0)),"")</f>
        <v/>
      </c>
    </row>
    <row r="914" spans="5:6" x14ac:dyDescent="0.3">
      <c r="E914" t="str">
        <f>IFERROR(IF(D914="","",VLOOKUP(D914,CadProd!$A:$B,2,0)),"")</f>
        <v/>
      </c>
      <c r="F914" t="str">
        <f>IFERROR(IF(D914="","",VLOOKUP(D914,CadProd!$A:$C,3,0)),"")</f>
        <v/>
      </c>
    </row>
    <row r="915" spans="5:6" x14ac:dyDescent="0.3">
      <c r="E915" t="str">
        <f>IFERROR(IF(D915="","",VLOOKUP(D915,CadProd!$A:$B,2,0)),"")</f>
        <v/>
      </c>
      <c r="F915" t="str">
        <f>IFERROR(IF(D915="","",VLOOKUP(D915,CadProd!$A:$C,3,0)),"")</f>
        <v/>
      </c>
    </row>
    <row r="916" spans="5:6" x14ac:dyDescent="0.3">
      <c r="E916" t="str">
        <f>IFERROR(IF(D916="","",VLOOKUP(D916,CadProd!$A:$B,2,0)),"")</f>
        <v/>
      </c>
      <c r="F916" t="str">
        <f>IFERROR(IF(D916="","",VLOOKUP(D916,CadProd!$A:$C,3,0)),"")</f>
        <v/>
      </c>
    </row>
    <row r="917" spans="5:6" x14ac:dyDescent="0.3">
      <c r="E917" t="str">
        <f>IFERROR(IF(D917="","",VLOOKUP(D917,CadProd!$A:$B,2,0)),"")</f>
        <v/>
      </c>
      <c r="F917" t="str">
        <f>IFERROR(IF(D917="","",VLOOKUP(D917,CadProd!$A:$C,3,0)),"")</f>
        <v/>
      </c>
    </row>
    <row r="918" spans="5:6" x14ac:dyDescent="0.3">
      <c r="E918" t="str">
        <f>IFERROR(IF(D918="","",VLOOKUP(D918,CadProd!$A:$B,2,0)),"")</f>
        <v/>
      </c>
      <c r="F918" t="str">
        <f>IFERROR(IF(D918="","",VLOOKUP(D918,CadProd!$A:$C,3,0)),"")</f>
        <v/>
      </c>
    </row>
    <row r="919" spans="5:6" x14ac:dyDescent="0.3">
      <c r="E919" t="str">
        <f>IFERROR(IF(D919="","",VLOOKUP(D919,CadProd!$A:$B,2,0)),"")</f>
        <v/>
      </c>
      <c r="F919" t="str">
        <f>IFERROR(IF(D919="","",VLOOKUP(D919,CadProd!$A:$C,3,0)),"")</f>
        <v/>
      </c>
    </row>
    <row r="920" spans="5:6" x14ac:dyDescent="0.3">
      <c r="E920" t="str">
        <f>IFERROR(IF(D920="","",VLOOKUP(D920,CadProd!$A:$B,2,0)),"")</f>
        <v/>
      </c>
      <c r="F920" t="str">
        <f>IFERROR(IF(D920="","",VLOOKUP(D920,CadProd!$A:$C,3,0)),"")</f>
        <v/>
      </c>
    </row>
    <row r="921" spans="5:6" x14ac:dyDescent="0.3">
      <c r="E921" t="str">
        <f>IFERROR(IF(D921="","",VLOOKUP(D921,CadProd!$A:$B,2,0)),"")</f>
        <v/>
      </c>
      <c r="F921" t="str">
        <f>IFERROR(IF(D921="","",VLOOKUP(D921,CadProd!$A:$C,3,0)),"")</f>
        <v/>
      </c>
    </row>
    <row r="922" spans="5:6" x14ac:dyDescent="0.3">
      <c r="E922" t="str">
        <f>IFERROR(IF(D922="","",VLOOKUP(D922,CadProd!$A:$B,2,0)),"")</f>
        <v/>
      </c>
      <c r="F922" t="str">
        <f>IFERROR(IF(D922="","",VLOOKUP(D922,CadProd!$A:$C,3,0)),"")</f>
        <v/>
      </c>
    </row>
    <row r="923" spans="5:6" x14ac:dyDescent="0.3">
      <c r="E923" t="str">
        <f>IFERROR(IF(D923="","",VLOOKUP(D923,CadProd!$A:$B,2,0)),"")</f>
        <v/>
      </c>
      <c r="F923" t="str">
        <f>IFERROR(IF(D923="","",VLOOKUP(D923,CadProd!$A:$C,3,0)),"")</f>
        <v/>
      </c>
    </row>
    <row r="924" spans="5:6" x14ac:dyDescent="0.3">
      <c r="E924" t="str">
        <f>IFERROR(IF(D924="","",VLOOKUP(D924,CadProd!$A:$B,2,0)),"")</f>
        <v/>
      </c>
      <c r="F924" t="str">
        <f>IFERROR(IF(D924="","",VLOOKUP(D924,CadProd!$A:$C,3,0)),"")</f>
        <v/>
      </c>
    </row>
    <row r="925" spans="5:6" x14ac:dyDescent="0.3">
      <c r="E925" t="str">
        <f>IFERROR(IF(D925="","",VLOOKUP(D925,CadProd!$A:$B,2,0)),"")</f>
        <v/>
      </c>
      <c r="F925" t="str">
        <f>IFERROR(IF(D925="","",VLOOKUP(D925,CadProd!$A:$C,3,0)),"")</f>
        <v/>
      </c>
    </row>
    <row r="926" spans="5:6" x14ac:dyDescent="0.3">
      <c r="E926" t="str">
        <f>IFERROR(IF(D926="","",VLOOKUP(D926,CadProd!$A:$B,2,0)),"")</f>
        <v/>
      </c>
      <c r="F926" t="str">
        <f>IFERROR(IF(D926="","",VLOOKUP(D926,CadProd!$A:$C,3,0)),"")</f>
        <v/>
      </c>
    </row>
    <row r="927" spans="5:6" x14ac:dyDescent="0.3">
      <c r="E927" t="str">
        <f>IFERROR(IF(D927="","",VLOOKUP(D927,CadProd!$A:$B,2,0)),"")</f>
        <v/>
      </c>
      <c r="F927" t="str">
        <f>IFERROR(IF(D927="","",VLOOKUP(D927,CadProd!$A:$C,3,0)),"")</f>
        <v/>
      </c>
    </row>
    <row r="928" spans="5:6" x14ac:dyDescent="0.3">
      <c r="E928" t="str">
        <f>IFERROR(IF(D928="","",VLOOKUP(D928,CadProd!$A:$B,2,0)),"")</f>
        <v/>
      </c>
      <c r="F928" t="str">
        <f>IFERROR(IF(D928="","",VLOOKUP(D928,CadProd!$A:$C,3,0)),"")</f>
        <v/>
      </c>
    </row>
    <row r="929" spans="5:6" x14ac:dyDescent="0.3">
      <c r="E929" t="str">
        <f>IFERROR(IF(D929="","",VLOOKUP(D929,CadProd!$A:$B,2,0)),"")</f>
        <v/>
      </c>
      <c r="F929" t="str">
        <f>IFERROR(IF(D929="","",VLOOKUP(D929,CadProd!$A:$C,3,0)),"")</f>
        <v/>
      </c>
    </row>
    <row r="930" spans="5:6" x14ac:dyDescent="0.3">
      <c r="E930" t="str">
        <f>IFERROR(IF(D930="","",VLOOKUP(D930,CadProd!$A:$B,2,0)),"")</f>
        <v/>
      </c>
      <c r="F930" t="str">
        <f>IFERROR(IF(D930="","",VLOOKUP(D930,CadProd!$A:$C,3,0)),"")</f>
        <v/>
      </c>
    </row>
    <row r="931" spans="5:6" x14ac:dyDescent="0.3">
      <c r="E931" t="str">
        <f>IFERROR(IF(D931="","",VLOOKUP(D931,CadProd!$A:$B,2,0)),"")</f>
        <v/>
      </c>
      <c r="F931" t="str">
        <f>IFERROR(IF(D931="","",VLOOKUP(D931,CadProd!$A:$C,3,0)),"")</f>
        <v/>
      </c>
    </row>
    <row r="932" spans="5:6" x14ac:dyDescent="0.3">
      <c r="E932" t="str">
        <f>IFERROR(IF(D932="","",VLOOKUP(D932,CadProd!$A:$B,2,0)),"")</f>
        <v/>
      </c>
      <c r="F932" t="str">
        <f>IFERROR(IF(D932="","",VLOOKUP(D932,CadProd!$A:$C,3,0)),"")</f>
        <v/>
      </c>
    </row>
    <row r="933" spans="5:6" x14ac:dyDescent="0.3">
      <c r="E933" t="str">
        <f>IFERROR(IF(D933="","",VLOOKUP(D933,CadProd!$A:$B,2,0)),"")</f>
        <v/>
      </c>
      <c r="F933" t="str">
        <f>IFERROR(IF(D933="","",VLOOKUP(D933,CadProd!$A:$C,3,0)),"")</f>
        <v/>
      </c>
    </row>
    <row r="934" spans="5:6" x14ac:dyDescent="0.3">
      <c r="E934" t="str">
        <f>IFERROR(IF(D934="","",VLOOKUP(D934,CadProd!$A:$B,2,0)),"")</f>
        <v/>
      </c>
      <c r="F934" t="str">
        <f>IFERROR(IF(D934="","",VLOOKUP(D934,CadProd!$A:$C,3,0)),"")</f>
        <v/>
      </c>
    </row>
    <row r="935" spans="5:6" x14ac:dyDescent="0.3">
      <c r="E935" t="str">
        <f>IFERROR(IF(D935="","",VLOOKUP(D935,CadProd!$A:$B,2,0)),"")</f>
        <v/>
      </c>
      <c r="F935" t="str">
        <f>IFERROR(IF(D935="","",VLOOKUP(D935,CadProd!$A:$C,3,0)),"")</f>
        <v/>
      </c>
    </row>
    <row r="936" spans="5:6" x14ac:dyDescent="0.3">
      <c r="E936" t="str">
        <f>IFERROR(IF(D936="","",VLOOKUP(D936,CadProd!$A:$B,2,0)),"")</f>
        <v/>
      </c>
      <c r="F936" t="str">
        <f>IFERROR(IF(D936="","",VLOOKUP(D936,CadProd!$A:$C,3,0)),"")</f>
        <v/>
      </c>
    </row>
    <row r="937" spans="5:6" x14ac:dyDescent="0.3">
      <c r="E937" t="str">
        <f>IFERROR(IF(D937="","",VLOOKUP(D937,CadProd!$A:$B,2,0)),"")</f>
        <v/>
      </c>
      <c r="F937" t="str">
        <f>IFERROR(IF(D937="","",VLOOKUP(D937,CadProd!$A:$C,3,0)),"")</f>
        <v/>
      </c>
    </row>
    <row r="938" spans="5:6" x14ac:dyDescent="0.3">
      <c r="E938" t="str">
        <f>IFERROR(IF(D938="","",VLOOKUP(D938,CadProd!$A:$B,2,0)),"")</f>
        <v/>
      </c>
      <c r="F938" t="str">
        <f>IFERROR(IF(D938="","",VLOOKUP(D938,CadProd!$A:$C,3,0)),"")</f>
        <v/>
      </c>
    </row>
    <row r="939" spans="5:6" x14ac:dyDescent="0.3">
      <c r="E939" t="str">
        <f>IFERROR(IF(D939="","",VLOOKUP(D939,CadProd!$A:$B,2,0)),"")</f>
        <v/>
      </c>
      <c r="F939" t="str">
        <f>IFERROR(IF(D939="","",VLOOKUP(D939,CadProd!$A:$C,3,0)),"")</f>
        <v/>
      </c>
    </row>
    <row r="940" spans="5:6" x14ac:dyDescent="0.3">
      <c r="E940" t="str">
        <f>IFERROR(IF(D940="","",VLOOKUP(D940,CadProd!$A:$B,2,0)),"")</f>
        <v/>
      </c>
      <c r="F940" t="str">
        <f>IFERROR(IF(D940="","",VLOOKUP(D940,CadProd!$A:$C,3,0)),"")</f>
        <v/>
      </c>
    </row>
    <row r="941" spans="5:6" x14ac:dyDescent="0.3">
      <c r="E941" t="str">
        <f>IFERROR(IF(D941="","",VLOOKUP(D941,CadProd!$A:$B,2,0)),"")</f>
        <v/>
      </c>
      <c r="F941" t="str">
        <f>IFERROR(IF(D941="","",VLOOKUP(D941,CadProd!$A:$C,3,0)),"")</f>
        <v/>
      </c>
    </row>
    <row r="942" spans="5:6" x14ac:dyDescent="0.3">
      <c r="E942" t="str">
        <f>IFERROR(IF(D942="","",VLOOKUP(D942,CadProd!$A:$B,2,0)),"")</f>
        <v/>
      </c>
      <c r="F942" t="str">
        <f>IFERROR(IF(D942="","",VLOOKUP(D942,CadProd!$A:$C,3,0)),"")</f>
        <v/>
      </c>
    </row>
    <row r="943" spans="5:6" x14ac:dyDescent="0.3">
      <c r="E943" t="str">
        <f>IFERROR(IF(D943="","",VLOOKUP(D943,CadProd!$A:$B,2,0)),"")</f>
        <v/>
      </c>
      <c r="F943" t="str">
        <f>IFERROR(IF(D943="","",VLOOKUP(D943,CadProd!$A:$C,3,0)),"")</f>
        <v/>
      </c>
    </row>
    <row r="944" spans="5:6" x14ac:dyDescent="0.3">
      <c r="E944" t="str">
        <f>IFERROR(IF(D944="","",VLOOKUP(D944,CadProd!$A:$B,2,0)),"")</f>
        <v/>
      </c>
      <c r="F944" t="str">
        <f>IFERROR(IF(D944="","",VLOOKUP(D944,CadProd!$A:$C,3,0)),"")</f>
        <v/>
      </c>
    </row>
    <row r="945" spans="5:6" x14ac:dyDescent="0.3">
      <c r="E945" t="str">
        <f>IFERROR(IF(D945="","",VLOOKUP(D945,CadProd!$A:$B,2,0)),"")</f>
        <v/>
      </c>
      <c r="F945" t="str">
        <f>IFERROR(IF(D945="","",VLOOKUP(D945,CadProd!$A:$C,3,0)),"")</f>
        <v/>
      </c>
    </row>
    <row r="946" spans="5:6" x14ac:dyDescent="0.3">
      <c r="E946" t="str">
        <f>IFERROR(IF(D946="","",VLOOKUP(D946,CadProd!$A:$B,2,0)),"")</f>
        <v/>
      </c>
      <c r="F946" t="str">
        <f>IFERROR(IF(D946="","",VLOOKUP(D946,CadProd!$A:$C,3,0)),"")</f>
        <v/>
      </c>
    </row>
    <row r="947" spans="5:6" x14ac:dyDescent="0.3">
      <c r="E947" t="str">
        <f>IFERROR(IF(D947="","",VLOOKUP(D947,CadProd!$A:$B,2,0)),"")</f>
        <v/>
      </c>
      <c r="F947" t="str">
        <f>IFERROR(IF(D947="","",VLOOKUP(D947,CadProd!$A:$C,3,0)),"")</f>
        <v/>
      </c>
    </row>
    <row r="948" spans="5:6" x14ac:dyDescent="0.3">
      <c r="E948" t="str">
        <f>IFERROR(IF(D948="","",VLOOKUP(D948,CadProd!$A:$B,2,0)),"")</f>
        <v/>
      </c>
      <c r="F948" t="str">
        <f>IFERROR(IF(D948="","",VLOOKUP(D948,CadProd!$A:$C,3,0)),"")</f>
        <v/>
      </c>
    </row>
    <row r="949" spans="5:6" x14ac:dyDescent="0.3">
      <c r="E949" t="str">
        <f>IFERROR(IF(D949="","",VLOOKUP(D949,CadProd!$A:$B,2,0)),"")</f>
        <v/>
      </c>
      <c r="F949" t="str">
        <f>IFERROR(IF(D949="","",VLOOKUP(D949,CadProd!$A:$C,3,0)),"")</f>
        <v/>
      </c>
    </row>
    <row r="950" spans="5:6" x14ac:dyDescent="0.3">
      <c r="E950" t="str">
        <f>IFERROR(IF(D950="","",VLOOKUP(D950,CadProd!$A:$B,2,0)),"")</f>
        <v/>
      </c>
      <c r="F950" t="str">
        <f>IFERROR(IF(D950="","",VLOOKUP(D950,CadProd!$A:$C,3,0)),"")</f>
        <v/>
      </c>
    </row>
    <row r="951" spans="5:6" x14ac:dyDescent="0.3">
      <c r="E951" t="str">
        <f>IFERROR(IF(D951="","",VLOOKUP(D951,CadProd!$A:$B,2,0)),"")</f>
        <v/>
      </c>
      <c r="F951" t="str">
        <f>IFERROR(IF(D951="","",VLOOKUP(D951,CadProd!$A:$C,3,0)),"")</f>
        <v/>
      </c>
    </row>
    <row r="952" spans="5:6" x14ac:dyDescent="0.3">
      <c r="E952" t="str">
        <f>IFERROR(IF(D952="","",VLOOKUP(D952,CadProd!$A:$B,2,0)),"")</f>
        <v/>
      </c>
      <c r="F952" t="str">
        <f>IFERROR(IF(D952="","",VLOOKUP(D952,CadProd!$A:$C,3,0)),"")</f>
        <v/>
      </c>
    </row>
    <row r="953" spans="5:6" x14ac:dyDescent="0.3">
      <c r="E953" t="str">
        <f>IFERROR(IF(D953="","",VLOOKUP(D953,CadProd!$A:$B,2,0)),"")</f>
        <v/>
      </c>
      <c r="F953" t="str">
        <f>IFERROR(IF(D953="","",VLOOKUP(D953,CadProd!$A:$C,3,0)),"")</f>
        <v/>
      </c>
    </row>
    <row r="954" spans="5:6" x14ac:dyDescent="0.3">
      <c r="E954" t="str">
        <f>IFERROR(IF(D954="","",VLOOKUP(D954,CadProd!$A:$B,2,0)),"")</f>
        <v/>
      </c>
      <c r="F954" t="str">
        <f>IFERROR(IF(D954="","",VLOOKUP(D954,CadProd!$A:$C,3,0)),"")</f>
        <v/>
      </c>
    </row>
    <row r="955" spans="5:6" x14ac:dyDescent="0.3">
      <c r="E955" t="str">
        <f>IFERROR(IF(D955="","",VLOOKUP(D955,CadProd!$A:$B,2,0)),"")</f>
        <v/>
      </c>
      <c r="F955" t="str">
        <f>IFERROR(IF(D955="","",VLOOKUP(D955,CadProd!$A:$C,3,0)),"")</f>
        <v/>
      </c>
    </row>
    <row r="956" spans="5:6" x14ac:dyDescent="0.3">
      <c r="E956" t="str">
        <f>IFERROR(IF(D956="","",VLOOKUP(D956,CadProd!$A:$B,2,0)),"")</f>
        <v/>
      </c>
      <c r="F956" t="str">
        <f>IFERROR(IF(D956="","",VLOOKUP(D956,CadProd!$A:$C,3,0)),"")</f>
        <v/>
      </c>
    </row>
    <row r="957" spans="5:6" x14ac:dyDescent="0.3">
      <c r="E957" t="str">
        <f>IFERROR(IF(D957="","",VLOOKUP(D957,CadProd!$A:$B,2,0)),"")</f>
        <v/>
      </c>
      <c r="F957" t="str">
        <f>IFERROR(IF(D957="","",VLOOKUP(D957,CadProd!$A:$C,3,0)),"")</f>
        <v/>
      </c>
    </row>
    <row r="958" spans="5:6" x14ac:dyDescent="0.3">
      <c r="E958" t="str">
        <f>IFERROR(IF(D958="","",VLOOKUP(D958,CadProd!$A:$B,2,0)),"")</f>
        <v/>
      </c>
      <c r="F958" t="str">
        <f>IFERROR(IF(D958="","",VLOOKUP(D958,CadProd!$A:$C,3,0)),"")</f>
        <v/>
      </c>
    </row>
    <row r="959" spans="5:6" x14ac:dyDescent="0.3">
      <c r="E959" t="str">
        <f>IFERROR(IF(D959="","",VLOOKUP(D959,CadProd!$A:$B,2,0)),"")</f>
        <v/>
      </c>
      <c r="F959" t="str">
        <f>IFERROR(IF(D959="","",VLOOKUP(D959,CadProd!$A:$C,3,0)),"")</f>
        <v/>
      </c>
    </row>
    <row r="960" spans="5:6" x14ac:dyDescent="0.3">
      <c r="E960" t="str">
        <f>IFERROR(IF(D960="","",VLOOKUP(D960,CadProd!$A:$B,2,0)),"")</f>
        <v/>
      </c>
      <c r="F960" t="str">
        <f>IFERROR(IF(D960="","",VLOOKUP(D960,CadProd!$A:$C,3,0)),"")</f>
        <v/>
      </c>
    </row>
    <row r="961" spans="5:6" x14ac:dyDescent="0.3">
      <c r="E961" t="str">
        <f>IFERROR(IF(D961="","",VLOOKUP(D961,CadProd!$A:$B,2,0)),"")</f>
        <v/>
      </c>
      <c r="F961" t="str">
        <f>IFERROR(IF(D961="","",VLOOKUP(D961,CadProd!$A:$C,3,0)),"")</f>
        <v/>
      </c>
    </row>
    <row r="962" spans="5:6" x14ac:dyDescent="0.3">
      <c r="E962" t="str">
        <f>IFERROR(IF(D962="","",VLOOKUP(D962,CadProd!$A:$B,2,0)),"")</f>
        <v/>
      </c>
      <c r="F962" t="str">
        <f>IFERROR(IF(D962="","",VLOOKUP(D962,CadProd!$A:$C,3,0)),"")</f>
        <v/>
      </c>
    </row>
    <row r="963" spans="5:6" x14ac:dyDescent="0.3">
      <c r="E963" t="str">
        <f>IFERROR(IF(D963="","",VLOOKUP(D963,CadProd!$A:$B,2,0)),"")</f>
        <v/>
      </c>
      <c r="F963" t="str">
        <f>IFERROR(IF(D963="","",VLOOKUP(D963,CadProd!$A:$C,3,0)),"")</f>
        <v/>
      </c>
    </row>
    <row r="964" spans="5:6" x14ac:dyDescent="0.3">
      <c r="E964" t="str">
        <f>IFERROR(IF(D964="","",VLOOKUP(D964,CadProd!$A:$B,2,0)),"")</f>
        <v/>
      </c>
      <c r="F964" t="str">
        <f>IFERROR(IF(D964="","",VLOOKUP(D964,CadProd!$A:$C,3,0)),"")</f>
        <v/>
      </c>
    </row>
    <row r="965" spans="5:6" x14ac:dyDescent="0.3">
      <c r="E965" t="str">
        <f>IFERROR(IF(D965="","",VLOOKUP(D965,CadProd!$A:$B,2,0)),"")</f>
        <v/>
      </c>
      <c r="F965" t="str">
        <f>IFERROR(IF(D965="","",VLOOKUP(D965,CadProd!$A:$C,3,0)),"")</f>
        <v/>
      </c>
    </row>
    <row r="966" spans="5:6" x14ac:dyDescent="0.3">
      <c r="E966" t="str">
        <f>IFERROR(IF(D966="","",VLOOKUP(D966,CadProd!$A:$B,2,0)),"")</f>
        <v/>
      </c>
      <c r="F966" t="str">
        <f>IFERROR(IF(D966="","",VLOOKUP(D966,CadProd!$A:$C,3,0)),"")</f>
        <v/>
      </c>
    </row>
    <row r="967" spans="5:6" x14ac:dyDescent="0.3">
      <c r="E967" t="str">
        <f>IFERROR(IF(D967="","",VLOOKUP(D967,CadProd!$A:$B,2,0)),"")</f>
        <v/>
      </c>
      <c r="F967" t="str">
        <f>IFERROR(IF(D967="","",VLOOKUP(D967,CadProd!$A:$C,3,0)),"")</f>
        <v/>
      </c>
    </row>
    <row r="968" spans="5:6" x14ac:dyDescent="0.3">
      <c r="E968" t="str">
        <f>IFERROR(IF(D968="","",VLOOKUP(D968,CadProd!$A:$B,2,0)),"")</f>
        <v/>
      </c>
      <c r="F968" t="str">
        <f>IFERROR(IF(D968="","",VLOOKUP(D968,CadProd!$A:$C,3,0)),"")</f>
        <v/>
      </c>
    </row>
    <row r="969" spans="5:6" x14ac:dyDescent="0.3">
      <c r="E969" t="str">
        <f>IFERROR(IF(D969="","",VLOOKUP(D969,CadProd!$A:$B,2,0)),"")</f>
        <v/>
      </c>
      <c r="F969" t="str">
        <f>IFERROR(IF(D969="","",VLOOKUP(D969,CadProd!$A:$C,3,0)),"")</f>
        <v/>
      </c>
    </row>
    <row r="970" spans="5:6" x14ac:dyDescent="0.3">
      <c r="E970" t="str">
        <f>IFERROR(IF(D970="","",VLOOKUP(D970,CadProd!$A:$B,2,0)),"")</f>
        <v/>
      </c>
      <c r="F970" t="str">
        <f>IFERROR(IF(D970="","",VLOOKUP(D970,CadProd!$A:$C,3,0)),"")</f>
        <v/>
      </c>
    </row>
    <row r="971" spans="5:6" x14ac:dyDescent="0.3">
      <c r="E971" t="str">
        <f>IFERROR(IF(D971="","",VLOOKUP(D971,CadProd!$A:$B,2,0)),"")</f>
        <v/>
      </c>
      <c r="F971" t="str">
        <f>IFERROR(IF(D971="","",VLOOKUP(D971,CadProd!$A:$C,3,0)),"")</f>
        <v/>
      </c>
    </row>
    <row r="972" spans="5:6" x14ac:dyDescent="0.3">
      <c r="E972" t="str">
        <f>IFERROR(IF(D972="","",VLOOKUP(D972,CadProd!$A:$B,2,0)),"")</f>
        <v/>
      </c>
      <c r="F972" t="str">
        <f>IFERROR(IF(D972="","",VLOOKUP(D972,CadProd!$A:$C,3,0)),"")</f>
        <v/>
      </c>
    </row>
    <row r="973" spans="5:6" x14ac:dyDescent="0.3">
      <c r="E973" t="str">
        <f>IFERROR(IF(D973="","",VLOOKUP(D973,CadProd!$A:$B,2,0)),"")</f>
        <v/>
      </c>
      <c r="F973" t="str">
        <f>IFERROR(IF(D973="","",VLOOKUP(D973,CadProd!$A:$C,3,0)),"")</f>
        <v/>
      </c>
    </row>
    <row r="974" spans="5:6" x14ac:dyDescent="0.3">
      <c r="E974" t="str">
        <f>IFERROR(IF(D974="","",VLOOKUP(D974,CadProd!$A:$B,2,0)),"")</f>
        <v/>
      </c>
      <c r="F974" t="str">
        <f>IFERROR(IF(D974="","",VLOOKUP(D974,CadProd!$A:$C,3,0)),"")</f>
        <v/>
      </c>
    </row>
    <row r="975" spans="5:6" x14ac:dyDescent="0.3">
      <c r="E975" t="str">
        <f>IFERROR(IF(D975="","",VLOOKUP(D975,CadProd!$A:$B,2,0)),"")</f>
        <v/>
      </c>
      <c r="F975" t="str">
        <f>IFERROR(IF(D975="","",VLOOKUP(D975,CadProd!$A:$C,3,0)),"")</f>
        <v/>
      </c>
    </row>
    <row r="976" spans="5:6" x14ac:dyDescent="0.3">
      <c r="E976" t="str">
        <f>IFERROR(IF(D976="","",VLOOKUP(D976,CadProd!$A:$B,2,0)),"")</f>
        <v/>
      </c>
      <c r="F976" t="str">
        <f>IFERROR(IF(D976="","",VLOOKUP(D976,CadProd!$A:$C,3,0)),"")</f>
        <v/>
      </c>
    </row>
    <row r="977" spans="5:6" x14ac:dyDescent="0.3">
      <c r="E977" t="str">
        <f>IFERROR(IF(D977="","",VLOOKUP(D977,CadProd!$A:$B,2,0)),"")</f>
        <v/>
      </c>
      <c r="F977" t="str">
        <f>IFERROR(IF(D977="","",VLOOKUP(D977,CadProd!$A:$C,3,0)),"")</f>
        <v/>
      </c>
    </row>
    <row r="978" spans="5:6" x14ac:dyDescent="0.3">
      <c r="E978" t="str">
        <f>IFERROR(IF(D978="","",VLOOKUP(D978,CadProd!$A:$B,2,0)),"")</f>
        <v/>
      </c>
      <c r="F978" t="str">
        <f>IFERROR(IF(D978="","",VLOOKUP(D978,CadProd!$A:$C,3,0)),"")</f>
        <v/>
      </c>
    </row>
    <row r="979" spans="5:6" x14ac:dyDescent="0.3">
      <c r="E979" t="str">
        <f>IFERROR(IF(D979="","",VLOOKUP(D979,CadProd!$A:$B,2,0)),"")</f>
        <v/>
      </c>
      <c r="F979" t="str">
        <f>IFERROR(IF(D979="","",VLOOKUP(D979,CadProd!$A:$C,3,0)),"")</f>
        <v/>
      </c>
    </row>
    <row r="980" spans="5:6" x14ac:dyDescent="0.3">
      <c r="E980" t="str">
        <f>IFERROR(IF(D980="","",VLOOKUP(D980,CadProd!$A:$B,2,0)),"")</f>
        <v/>
      </c>
      <c r="F980" t="str">
        <f>IFERROR(IF(D980="","",VLOOKUP(D980,CadProd!$A:$C,3,0)),"")</f>
        <v/>
      </c>
    </row>
    <row r="981" spans="5:6" x14ac:dyDescent="0.3">
      <c r="E981" t="str">
        <f>IFERROR(IF(D981="","",VLOOKUP(D981,CadProd!$A:$B,2,0)),"")</f>
        <v/>
      </c>
      <c r="F981" t="str">
        <f>IFERROR(IF(D981="","",VLOOKUP(D981,CadProd!$A:$C,3,0)),"")</f>
        <v/>
      </c>
    </row>
    <row r="982" spans="5:6" x14ac:dyDescent="0.3">
      <c r="E982" t="str">
        <f>IFERROR(IF(D982="","",VLOOKUP(D982,CadProd!$A:$B,2,0)),"")</f>
        <v/>
      </c>
      <c r="F982" t="str">
        <f>IFERROR(IF(D982="","",VLOOKUP(D982,CadProd!$A:$C,3,0)),"")</f>
        <v/>
      </c>
    </row>
    <row r="983" spans="5:6" x14ac:dyDescent="0.3">
      <c r="E983" t="str">
        <f>IFERROR(IF(D983="","",VLOOKUP(D983,CadProd!$A:$B,2,0)),"")</f>
        <v/>
      </c>
      <c r="F983" t="str">
        <f>IFERROR(IF(D983="","",VLOOKUP(D983,CadProd!$A:$C,3,0)),"")</f>
        <v/>
      </c>
    </row>
    <row r="984" spans="5:6" x14ac:dyDescent="0.3">
      <c r="E984" t="str">
        <f>IFERROR(IF(D984="","",VLOOKUP(D984,CadProd!$A:$B,2,0)),"")</f>
        <v/>
      </c>
      <c r="F984" t="str">
        <f>IFERROR(IF(D984="","",VLOOKUP(D984,CadProd!$A:$C,3,0)),"")</f>
        <v/>
      </c>
    </row>
    <row r="985" spans="5:6" x14ac:dyDescent="0.3">
      <c r="E985" t="str">
        <f>IFERROR(IF(D985="","",VLOOKUP(D985,CadProd!$A:$B,2,0)),"")</f>
        <v/>
      </c>
      <c r="F985" t="str">
        <f>IFERROR(IF(D985="","",VLOOKUP(D985,CadProd!$A:$C,3,0)),"")</f>
        <v/>
      </c>
    </row>
    <row r="986" spans="5:6" x14ac:dyDescent="0.3">
      <c r="E986" t="str">
        <f>IFERROR(IF(D986="","",VLOOKUP(D986,CadProd!$A:$B,2,0)),"")</f>
        <v/>
      </c>
      <c r="F986" t="str">
        <f>IFERROR(IF(D986="","",VLOOKUP(D986,CadProd!$A:$C,3,0)),"")</f>
        <v/>
      </c>
    </row>
    <row r="987" spans="5:6" x14ac:dyDescent="0.3">
      <c r="E987" t="str">
        <f>IFERROR(IF(D987="","",VLOOKUP(D987,CadProd!$A:$B,2,0)),"")</f>
        <v/>
      </c>
      <c r="F987" t="str">
        <f>IFERROR(IF(D987="","",VLOOKUP(D987,CadProd!$A:$C,3,0)),"")</f>
        <v/>
      </c>
    </row>
    <row r="988" spans="5:6" x14ac:dyDescent="0.3">
      <c r="E988" t="str">
        <f>IFERROR(IF(D988="","",VLOOKUP(D988,CadProd!$A:$B,2,0)),"")</f>
        <v/>
      </c>
      <c r="F988" t="str">
        <f>IFERROR(IF(D988="","",VLOOKUP(D988,CadProd!$A:$C,3,0)),"")</f>
        <v/>
      </c>
    </row>
    <row r="989" spans="5:6" x14ac:dyDescent="0.3">
      <c r="E989" t="str">
        <f>IFERROR(IF(D989="","",VLOOKUP(D989,CadProd!$A:$B,2,0)),"")</f>
        <v/>
      </c>
      <c r="F989" t="str">
        <f>IFERROR(IF(D989="","",VLOOKUP(D989,CadProd!$A:$C,3,0)),"")</f>
        <v/>
      </c>
    </row>
    <row r="990" spans="5:6" x14ac:dyDescent="0.3">
      <c r="E990" t="str">
        <f>IFERROR(IF(D990="","",VLOOKUP(D990,CadProd!$A:$B,2,0)),"")</f>
        <v/>
      </c>
      <c r="F990" t="str">
        <f>IFERROR(IF(D990="","",VLOOKUP(D990,CadProd!$A:$C,3,0)),"")</f>
        <v/>
      </c>
    </row>
    <row r="991" spans="5:6" x14ac:dyDescent="0.3">
      <c r="E991" t="str">
        <f>IFERROR(IF(D991="","",VLOOKUP(D991,CadProd!$A:$B,2,0)),"")</f>
        <v/>
      </c>
      <c r="F991" t="str">
        <f>IFERROR(IF(D991="","",VLOOKUP(D991,CadProd!$A:$C,3,0)),"")</f>
        <v/>
      </c>
    </row>
    <row r="992" spans="5:6" x14ac:dyDescent="0.3">
      <c r="E992" t="str">
        <f>IFERROR(IF(D992="","",VLOOKUP(D992,CadProd!$A:$B,2,0)),"")</f>
        <v/>
      </c>
      <c r="F992" t="str">
        <f>IFERROR(IF(D992="","",VLOOKUP(D992,CadProd!$A:$C,3,0)),"")</f>
        <v/>
      </c>
    </row>
    <row r="993" spans="5:6" x14ac:dyDescent="0.3">
      <c r="E993" t="str">
        <f>IFERROR(IF(D993="","",VLOOKUP(D993,CadProd!$A:$B,2,0)),"")</f>
        <v/>
      </c>
      <c r="F993" t="str">
        <f>IFERROR(IF(D993="","",VLOOKUP(D993,CadProd!$A:$C,3,0)),"")</f>
        <v/>
      </c>
    </row>
    <row r="994" spans="5:6" x14ac:dyDescent="0.3">
      <c r="E994" t="str">
        <f>IFERROR(IF(D994="","",VLOOKUP(D994,CadProd!$A:$B,2,0)),"")</f>
        <v/>
      </c>
      <c r="F994" t="str">
        <f>IFERROR(IF(D994="","",VLOOKUP(D994,CadProd!$A:$C,3,0)),"")</f>
        <v/>
      </c>
    </row>
    <row r="995" spans="5:6" x14ac:dyDescent="0.3">
      <c r="E995" t="str">
        <f>IFERROR(IF(D995="","",VLOOKUP(D995,CadProd!$A:$B,2,0)),"")</f>
        <v/>
      </c>
      <c r="F995" t="str">
        <f>IFERROR(IF(D995="","",VLOOKUP(D995,CadProd!$A:$C,3,0)),"")</f>
        <v/>
      </c>
    </row>
    <row r="996" spans="5:6" x14ac:dyDescent="0.3">
      <c r="E996" t="str">
        <f>IFERROR(IF(D996="","",VLOOKUP(D996,CadProd!$A:$B,2,0)),"")</f>
        <v/>
      </c>
      <c r="F996" t="str">
        <f>IFERROR(IF(D996="","",VLOOKUP(D996,CadProd!$A:$C,3,0)),"")</f>
        <v/>
      </c>
    </row>
    <row r="997" spans="5:6" x14ac:dyDescent="0.3">
      <c r="E997" t="str">
        <f>IFERROR(IF(D997="","",VLOOKUP(D997,CadProd!$A:$B,2,0)),"")</f>
        <v/>
      </c>
      <c r="F997" t="str">
        <f>IFERROR(IF(D997="","",VLOOKUP(D997,CadProd!$A:$C,3,0)),"")</f>
        <v/>
      </c>
    </row>
    <row r="998" spans="5:6" x14ac:dyDescent="0.3">
      <c r="E998" t="str">
        <f>IFERROR(IF(D998="","",VLOOKUP(D998,CadProd!$A:$B,2,0)),"")</f>
        <v/>
      </c>
      <c r="F998" t="str">
        <f>IFERROR(IF(D998="","",VLOOKUP(D998,CadProd!$A:$C,3,0)),"")</f>
        <v/>
      </c>
    </row>
    <row r="999" spans="5:6" x14ac:dyDescent="0.3">
      <c r="E999" t="str">
        <f>IFERROR(IF(D999="","",VLOOKUP(D999,CadProd!$A:$B,2,0)),"")</f>
        <v/>
      </c>
      <c r="F999" t="str">
        <f>IFERROR(IF(D999="","",VLOOKUP(D999,CadProd!$A:$C,3,0)),"")</f>
        <v/>
      </c>
    </row>
    <row r="1000" spans="5:6" x14ac:dyDescent="0.3">
      <c r="E1000" t="str">
        <f>IFERROR(IF(D1000="","",VLOOKUP(D1000,CadProd!$A:$B,2,0)),"")</f>
        <v/>
      </c>
      <c r="F1000" t="str">
        <f>IFERROR(IF(D1000="","",VLOOKUP(D1000,CadProd!$A:$C,3,0)),"")</f>
        <v/>
      </c>
    </row>
    <row r="1001" spans="5:6" x14ac:dyDescent="0.3">
      <c r="E1001" t="str">
        <f>IFERROR(IF(D1001="","",VLOOKUP(D1001,CadProd!$A:$B,2,0)),"")</f>
        <v/>
      </c>
      <c r="F1001" t="str">
        <f>IFERROR(IF(D1001="","",VLOOKUP(D1001,CadProd!$A:$C,3,0)),"")</f>
        <v/>
      </c>
    </row>
    <row r="1002" spans="5:6" x14ac:dyDescent="0.3">
      <c r="E1002" t="str">
        <f>IFERROR(IF(D1002="","",VLOOKUP(D1002,CadProd!$A:$B,2,0)),"")</f>
        <v/>
      </c>
      <c r="F1002" t="str">
        <f>IFERROR(IF(D1002="","",VLOOKUP(D1002,CadProd!$A:$C,3,0)),"")</f>
        <v/>
      </c>
    </row>
    <row r="1003" spans="5:6" x14ac:dyDescent="0.3">
      <c r="E1003" t="str">
        <f>IFERROR(IF(D1003="","",VLOOKUP(D1003,CadProd!$A:$B,2,0)),"")</f>
        <v/>
      </c>
      <c r="F1003" t="str">
        <f>IFERROR(IF(D1003="","",VLOOKUP(D1003,CadProd!$A:$C,3,0)),"")</f>
        <v/>
      </c>
    </row>
    <row r="1004" spans="5:6" x14ac:dyDescent="0.3">
      <c r="E1004" t="str">
        <f>IFERROR(IF(D1004="","",VLOOKUP(D1004,CadProd!$A:$B,2,0)),"")</f>
        <v/>
      </c>
      <c r="F1004" t="str">
        <f>IFERROR(IF(D1004="","",VLOOKUP(D1004,CadProd!$A:$C,3,0)),"")</f>
        <v/>
      </c>
    </row>
    <row r="1005" spans="5:6" x14ac:dyDescent="0.3">
      <c r="E1005" t="str">
        <f>IFERROR(IF(D1005="","",VLOOKUP(D1005,CadProd!$A:$B,2,0)),"")</f>
        <v/>
      </c>
      <c r="F1005" t="str">
        <f>IFERROR(IF(D1005="","",VLOOKUP(D1005,CadProd!$A:$C,3,0)),"")</f>
        <v/>
      </c>
    </row>
    <row r="1006" spans="5:6" x14ac:dyDescent="0.3">
      <c r="E1006" t="str">
        <f>IFERROR(IF(D1006="","",VLOOKUP(D1006,CadProd!$A:$B,2,0)),"")</f>
        <v/>
      </c>
      <c r="F1006" t="str">
        <f>IFERROR(IF(D1006="","",VLOOKUP(D1006,CadProd!$A:$C,3,0)),"")</f>
        <v/>
      </c>
    </row>
    <row r="1007" spans="5:6" x14ac:dyDescent="0.3">
      <c r="E1007" t="str">
        <f>IFERROR(IF(D1007="","",VLOOKUP(D1007,CadProd!$A:$B,2,0)),"")</f>
        <v/>
      </c>
      <c r="F1007" t="str">
        <f>IFERROR(IF(D1007="","",VLOOKUP(D1007,CadProd!$A:$C,3,0)),"")</f>
        <v/>
      </c>
    </row>
    <row r="1008" spans="5:6" x14ac:dyDescent="0.3">
      <c r="E1008" t="str">
        <f>IFERROR(IF(D1008="","",VLOOKUP(D1008,CadProd!$A:$B,2,0)),"")</f>
        <v/>
      </c>
      <c r="F1008" t="str">
        <f>IFERROR(IF(D1008="","",VLOOKUP(D1008,CadProd!$A:$C,3,0)),"")</f>
        <v/>
      </c>
    </row>
    <row r="1009" spans="5:6" x14ac:dyDescent="0.3">
      <c r="E1009" t="str">
        <f>IFERROR(IF(D1009="","",VLOOKUP(D1009,CadProd!$A:$B,2,0)),"")</f>
        <v/>
      </c>
      <c r="F1009" t="str">
        <f>IFERROR(IF(D1009="","",VLOOKUP(D1009,CadProd!$A:$C,3,0)),"")</f>
        <v/>
      </c>
    </row>
    <row r="1010" spans="5:6" x14ac:dyDescent="0.3">
      <c r="E1010" t="str">
        <f>IFERROR(IF(D1010="","",VLOOKUP(D1010,CadProd!$A:$B,2,0)),"")</f>
        <v/>
      </c>
      <c r="F1010" t="str">
        <f>IFERROR(IF(D1010="","",VLOOKUP(D1010,CadProd!$A:$C,3,0)),"")</f>
        <v/>
      </c>
    </row>
    <row r="1011" spans="5:6" x14ac:dyDescent="0.3">
      <c r="E1011" t="str">
        <f>IFERROR(IF(D1011="","",VLOOKUP(D1011,CadProd!$A:$B,2,0)),"")</f>
        <v/>
      </c>
      <c r="F1011" t="str">
        <f>IFERROR(IF(D1011="","",VLOOKUP(D1011,CadProd!$A:$C,3,0)),"")</f>
        <v/>
      </c>
    </row>
    <row r="1012" spans="5:6" x14ac:dyDescent="0.3">
      <c r="E1012" t="str">
        <f>IFERROR(IF(D1012="","",VLOOKUP(D1012,CadProd!$A:$B,2,0)),"")</f>
        <v/>
      </c>
      <c r="F1012" t="str">
        <f>IFERROR(IF(D1012="","",VLOOKUP(D1012,CadProd!$A:$C,3,0)),"")</f>
        <v/>
      </c>
    </row>
    <row r="1013" spans="5:6" x14ac:dyDescent="0.3">
      <c r="E1013" t="str">
        <f>IFERROR(IF(D1013="","",VLOOKUP(D1013,CadProd!$A:$B,2,0)),"")</f>
        <v/>
      </c>
      <c r="F1013" t="str">
        <f>IFERROR(IF(D1013="","",VLOOKUP(D1013,CadProd!$A:$C,3,0)),"")</f>
        <v/>
      </c>
    </row>
    <row r="1014" spans="5:6" x14ac:dyDescent="0.3">
      <c r="E1014" t="str">
        <f>IFERROR(IF(D1014="","",VLOOKUP(D1014,CadProd!$A:$B,2,0)),"")</f>
        <v/>
      </c>
      <c r="F1014" t="str">
        <f>IFERROR(IF(D1014="","",VLOOKUP(D1014,CadProd!$A:$C,3,0)),"")</f>
        <v/>
      </c>
    </row>
    <row r="1015" spans="5:6" x14ac:dyDescent="0.3">
      <c r="E1015" t="str">
        <f>IFERROR(IF(D1015="","",VLOOKUP(D1015,CadProd!$A:$B,2,0)),"")</f>
        <v/>
      </c>
      <c r="F1015" t="str">
        <f>IFERROR(IF(D1015="","",VLOOKUP(D1015,CadProd!$A:$C,3,0)),"")</f>
        <v/>
      </c>
    </row>
    <row r="1016" spans="5:6" x14ac:dyDescent="0.3">
      <c r="E1016" t="str">
        <f>IFERROR(IF(D1016="","",VLOOKUP(D1016,CadProd!$A:$B,2,0)),"")</f>
        <v/>
      </c>
      <c r="F1016" t="str">
        <f>IFERROR(IF(D1016="","",VLOOKUP(D1016,CadProd!$A:$C,3,0)),"")</f>
        <v/>
      </c>
    </row>
    <row r="1017" spans="5:6" x14ac:dyDescent="0.3">
      <c r="E1017" t="str">
        <f>IFERROR(IF(D1017="","",VLOOKUP(D1017,CadProd!$A:$B,2,0)),"")</f>
        <v/>
      </c>
      <c r="F1017" t="str">
        <f>IFERROR(IF(D1017="","",VLOOKUP(D1017,CadProd!$A:$C,3,0)),"")</f>
        <v/>
      </c>
    </row>
    <row r="1018" spans="5:6" x14ac:dyDescent="0.3">
      <c r="E1018" t="str">
        <f>IFERROR(IF(D1018="","",VLOOKUP(D1018,CadProd!$A:$B,2,0)),"")</f>
        <v/>
      </c>
      <c r="F1018" t="str">
        <f>IFERROR(IF(D1018="","",VLOOKUP(D1018,CadProd!$A:$C,3,0)),"")</f>
        <v/>
      </c>
    </row>
    <row r="1019" spans="5:6" x14ac:dyDescent="0.3">
      <c r="E1019" t="str">
        <f>IFERROR(IF(D1019="","",VLOOKUP(D1019,CadProd!$A:$B,2,0)),"")</f>
        <v/>
      </c>
      <c r="F1019" t="str">
        <f>IFERROR(IF(D1019="","",VLOOKUP(D1019,CadProd!$A:$C,3,0)),"")</f>
        <v/>
      </c>
    </row>
    <row r="1020" spans="5:6" x14ac:dyDescent="0.3">
      <c r="E1020" t="str">
        <f>IFERROR(IF(D1020="","",VLOOKUP(D1020,CadProd!$A:$B,2,0)),"")</f>
        <v/>
      </c>
      <c r="F1020" t="str">
        <f>IFERROR(IF(D1020="","",VLOOKUP(D1020,CadProd!$A:$C,3,0)),"")</f>
        <v/>
      </c>
    </row>
    <row r="1021" spans="5:6" x14ac:dyDescent="0.3">
      <c r="E1021" t="str">
        <f>IFERROR(IF(D1021="","",VLOOKUP(D1021,CadProd!$A:$B,2,0)),"")</f>
        <v/>
      </c>
      <c r="F1021" t="str">
        <f>IFERROR(IF(D1021="","",VLOOKUP(D1021,CadProd!$A:$C,3,0)),"")</f>
        <v/>
      </c>
    </row>
    <row r="1022" spans="5:6" x14ac:dyDescent="0.3">
      <c r="E1022" t="str">
        <f>IFERROR(IF(D1022="","",VLOOKUP(D1022,CadProd!$A:$B,2,0)),"")</f>
        <v/>
      </c>
      <c r="F1022" t="str">
        <f>IFERROR(IF(D1022="","",VLOOKUP(D1022,CadProd!$A:$C,3,0)),"")</f>
        <v/>
      </c>
    </row>
    <row r="1023" spans="5:6" x14ac:dyDescent="0.3">
      <c r="E1023" t="str">
        <f>IFERROR(IF(D1023="","",VLOOKUP(D1023,CadProd!$A:$B,2,0)),"")</f>
        <v/>
      </c>
      <c r="F1023" t="str">
        <f>IFERROR(IF(D1023="","",VLOOKUP(D1023,CadProd!$A:$C,3,0)),"")</f>
        <v/>
      </c>
    </row>
    <row r="1024" spans="5:6" x14ac:dyDescent="0.3">
      <c r="E1024" t="str">
        <f>IFERROR(IF(D1024="","",VLOOKUP(D1024,CadProd!$A:$B,2,0)),"")</f>
        <v/>
      </c>
      <c r="F1024" t="str">
        <f>IFERROR(IF(D1024="","",VLOOKUP(D1024,CadProd!$A:$C,3,0)),"")</f>
        <v/>
      </c>
    </row>
    <row r="1025" spans="5:6" x14ac:dyDescent="0.3">
      <c r="E1025" t="str">
        <f>IFERROR(IF(D1025="","",VLOOKUP(D1025,CadProd!$A:$B,2,0)),"")</f>
        <v/>
      </c>
      <c r="F1025" t="str">
        <f>IFERROR(IF(D1025="","",VLOOKUP(D1025,CadProd!$A:$C,3,0)),"")</f>
        <v/>
      </c>
    </row>
    <row r="1026" spans="5:6" x14ac:dyDescent="0.3">
      <c r="E1026" t="str">
        <f>IFERROR(IF(D1026="","",VLOOKUP(D1026,CadProd!$A:$B,2,0)),"")</f>
        <v/>
      </c>
      <c r="F1026" t="str">
        <f>IFERROR(IF(D1026="","",VLOOKUP(D1026,CadProd!$A:$C,3,0)),"")</f>
        <v/>
      </c>
    </row>
    <row r="1027" spans="5:6" x14ac:dyDescent="0.3">
      <c r="E1027" t="str">
        <f>IFERROR(IF(D1027="","",VLOOKUP(D1027,CadProd!$A:$B,2,0)),"")</f>
        <v/>
      </c>
      <c r="F1027" t="str">
        <f>IFERROR(IF(D1027="","",VLOOKUP(D1027,CadProd!$A:$C,3,0)),"")</f>
        <v/>
      </c>
    </row>
    <row r="1028" spans="5:6" x14ac:dyDescent="0.3">
      <c r="E1028" t="str">
        <f>IFERROR(IF(D1028="","",VLOOKUP(D1028,CadProd!$A:$B,2,0)),"")</f>
        <v/>
      </c>
      <c r="F1028" t="str">
        <f>IFERROR(IF(D1028="","",VLOOKUP(D1028,CadProd!$A:$C,3,0)),"")</f>
        <v/>
      </c>
    </row>
    <row r="1029" spans="5:6" x14ac:dyDescent="0.3">
      <c r="E1029" t="str">
        <f>IFERROR(IF(D1029="","",VLOOKUP(D1029,CadProd!$A:$B,2,0)),"")</f>
        <v/>
      </c>
      <c r="F1029" t="str">
        <f>IFERROR(IF(D1029="","",VLOOKUP(D1029,CadProd!$A:$C,3,0)),"")</f>
        <v/>
      </c>
    </row>
    <row r="1030" spans="5:6" x14ac:dyDescent="0.3">
      <c r="E1030" t="str">
        <f>IFERROR(IF(D1030="","",VLOOKUP(D1030,CadProd!$A:$B,2,0)),"")</f>
        <v/>
      </c>
      <c r="F1030" t="str">
        <f>IFERROR(IF(D1030="","",VLOOKUP(D1030,CadProd!$A:$C,3,0)),"")</f>
        <v/>
      </c>
    </row>
    <row r="1031" spans="5:6" x14ac:dyDescent="0.3">
      <c r="E1031" t="str">
        <f>IFERROR(IF(D1031="","",VLOOKUP(D1031,CadProd!$A:$B,2,0)),"")</f>
        <v/>
      </c>
      <c r="F1031" t="str">
        <f>IFERROR(IF(D1031="","",VLOOKUP(D1031,CadProd!$A:$C,3,0)),"")</f>
        <v/>
      </c>
    </row>
    <row r="1032" spans="5:6" x14ac:dyDescent="0.3">
      <c r="E1032" t="str">
        <f>IFERROR(IF(D1032="","",VLOOKUP(D1032,CadProd!$A:$B,2,0)),"")</f>
        <v/>
      </c>
      <c r="F1032" t="str">
        <f>IFERROR(IF(D1032="","",VLOOKUP(D1032,CadProd!$A:$C,3,0)),"")</f>
        <v/>
      </c>
    </row>
    <row r="1033" spans="5:6" x14ac:dyDescent="0.3">
      <c r="E1033" t="str">
        <f>IFERROR(IF(D1033="","",VLOOKUP(D1033,CadProd!$A:$B,2,0)),"")</f>
        <v/>
      </c>
      <c r="F1033" t="str">
        <f>IFERROR(IF(D1033="","",VLOOKUP(D1033,CadProd!$A:$C,3,0)),"")</f>
        <v/>
      </c>
    </row>
    <row r="1034" spans="5:6" x14ac:dyDescent="0.3">
      <c r="E1034" t="str">
        <f>IFERROR(IF(D1034="","",VLOOKUP(D1034,CadProd!$A:$B,2,0)),"")</f>
        <v/>
      </c>
      <c r="F1034" t="str">
        <f>IFERROR(IF(D1034="","",VLOOKUP(D1034,CadProd!$A:$C,3,0)),"")</f>
        <v/>
      </c>
    </row>
    <row r="1035" spans="5:6" x14ac:dyDescent="0.3">
      <c r="E1035" t="str">
        <f>IFERROR(IF(D1035="","",VLOOKUP(D1035,CadProd!$A:$B,2,0)),"")</f>
        <v/>
      </c>
      <c r="F1035" t="str">
        <f>IFERROR(IF(D1035="","",VLOOKUP(D1035,CadProd!$A:$C,3,0)),"")</f>
        <v/>
      </c>
    </row>
    <row r="1036" spans="5:6" x14ac:dyDescent="0.3">
      <c r="E1036" t="str">
        <f>IFERROR(IF(D1036="","",VLOOKUP(D1036,CadProd!$A:$B,2,0)),"")</f>
        <v/>
      </c>
      <c r="F1036" t="str">
        <f>IFERROR(IF(D1036="","",VLOOKUP(D1036,CadProd!$A:$C,3,0)),"")</f>
        <v/>
      </c>
    </row>
    <row r="1037" spans="5:6" x14ac:dyDescent="0.3">
      <c r="E1037" t="str">
        <f>IFERROR(IF(D1037="","",VLOOKUP(D1037,CadProd!$A:$B,2,0)),"")</f>
        <v/>
      </c>
      <c r="F1037" t="str">
        <f>IFERROR(IF(D1037="","",VLOOKUP(D1037,CadProd!$A:$C,3,0)),"")</f>
        <v/>
      </c>
    </row>
    <row r="1038" spans="5:6" x14ac:dyDescent="0.3">
      <c r="E1038" t="str">
        <f>IFERROR(IF(D1038="","",VLOOKUP(D1038,CadProd!$A:$B,2,0)),"")</f>
        <v/>
      </c>
      <c r="F1038" t="str">
        <f>IFERROR(IF(D1038="","",VLOOKUP(D1038,CadProd!$A:$C,3,0)),"")</f>
        <v/>
      </c>
    </row>
    <row r="1039" spans="5:6" x14ac:dyDescent="0.3">
      <c r="E1039" t="str">
        <f>IFERROR(IF(D1039="","",VLOOKUP(D1039,CadProd!$A:$B,2,0)),"")</f>
        <v/>
      </c>
      <c r="F1039" t="str">
        <f>IFERROR(IF(D1039="","",VLOOKUP(D1039,CadProd!$A:$C,3,0)),"")</f>
        <v/>
      </c>
    </row>
    <row r="1040" spans="5:6" x14ac:dyDescent="0.3">
      <c r="E1040" t="str">
        <f>IFERROR(IF(D1040="","",VLOOKUP(D1040,CadProd!$A:$B,2,0)),"")</f>
        <v/>
      </c>
      <c r="F1040" t="str">
        <f>IFERROR(IF(D1040="","",VLOOKUP(D1040,CadProd!$A:$C,3,0)),"")</f>
        <v/>
      </c>
    </row>
    <row r="1041" spans="5:6" x14ac:dyDescent="0.3">
      <c r="E1041" t="str">
        <f>IFERROR(IF(D1041="","",VLOOKUP(D1041,CadProd!$A:$B,2,0)),"")</f>
        <v/>
      </c>
      <c r="F1041" t="str">
        <f>IFERROR(IF(D1041="","",VLOOKUP(D1041,CadProd!$A:$C,3,0)),"")</f>
        <v/>
      </c>
    </row>
    <row r="1042" spans="5:6" x14ac:dyDescent="0.3">
      <c r="E1042" t="str">
        <f>IFERROR(IF(D1042="","",VLOOKUP(D1042,CadProd!$A:$B,2,0)),"")</f>
        <v/>
      </c>
      <c r="F1042" t="str">
        <f>IFERROR(IF(D1042="","",VLOOKUP(D1042,CadProd!$A:$C,3,0)),"")</f>
        <v/>
      </c>
    </row>
    <row r="1043" spans="5:6" x14ac:dyDescent="0.3">
      <c r="E1043" t="str">
        <f>IFERROR(IF(D1043="","",VLOOKUP(D1043,CadProd!$A:$B,2,0)),"")</f>
        <v/>
      </c>
      <c r="F1043" t="str">
        <f>IFERROR(IF(D1043="","",VLOOKUP(D1043,CadProd!$A:$C,3,0)),"")</f>
        <v/>
      </c>
    </row>
    <row r="1044" spans="5:6" x14ac:dyDescent="0.3">
      <c r="E1044" t="str">
        <f>IFERROR(IF(D1044="","",VLOOKUP(D1044,CadProd!$A:$B,2,0)),"")</f>
        <v/>
      </c>
      <c r="F1044" t="str">
        <f>IFERROR(IF(D1044="","",VLOOKUP(D1044,CadProd!$A:$C,3,0)),"")</f>
        <v/>
      </c>
    </row>
    <row r="1045" spans="5:6" x14ac:dyDescent="0.3">
      <c r="E1045" t="str">
        <f>IFERROR(IF(D1045="","",VLOOKUP(D1045,CadProd!$A:$B,2,0)),"")</f>
        <v/>
      </c>
      <c r="F1045" t="str">
        <f>IFERROR(IF(D1045="","",VLOOKUP(D1045,CadProd!$A:$C,3,0)),"")</f>
        <v/>
      </c>
    </row>
    <row r="1046" spans="5:6" x14ac:dyDescent="0.3">
      <c r="E1046" t="str">
        <f>IFERROR(IF(D1046="","",VLOOKUP(D1046,CadProd!$A:$B,2,0)),"")</f>
        <v/>
      </c>
      <c r="F1046" t="str">
        <f>IFERROR(IF(D1046="","",VLOOKUP(D1046,CadProd!$A:$C,3,0)),"")</f>
        <v/>
      </c>
    </row>
    <row r="1047" spans="5:6" x14ac:dyDescent="0.3">
      <c r="E1047" t="str">
        <f>IFERROR(IF(D1047="","",VLOOKUP(D1047,CadProd!$A:$B,2,0)),"")</f>
        <v/>
      </c>
      <c r="F1047" t="str">
        <f>IFERROR(IF(D1047="","",VLOOKUP(D1047,CadProd!$A:$C,3,0)),"")</f>
        <v/>
      </c>
    </row>
    <row r="1048" spans="5:6" x14ac:dyDescent="0.3">
      <c r="E1048" t="str">
        <f>IFERROR(IF(D1048="","",VLOOKUP(D1048,CadProd!$A:$B,2,0)),"")</f>
        <v/>
      </c>
      <c r="F1048" t="str">
        <f>IFERROR(IF(D1048="","",VLOOKUP(D1048,CadProd!$A:$C,3,0)),"")</f>
        <v/>
      </c>
    </row>
    <row r="1049" spans="5:6" x14ac:dyDescent="0.3">
      <c r="E1049" t="str">
        <f>IFERROR(IF(D1049="","",VLOOKUP(D1049,CadProd!$A:$B,2,0)),"")</f>
        <v/>
      </c>
      <c r="F1049" t="str">
        <f>IFERROR(IF(D1049="","",VLOOKUP(D1049,CadProd!$A:$C,3,0)),"")</f>
        <v/>
      </c>
    </row>
    <row r="1050" spans="5:6" x14ac:dyDescent="0.3">
      <c r="E1050" t="str">
        <f>IFERROR(IF(D1050="","",VLOOKUP(D1050,CadProd!$A:$B,2,0)),"")</f>
        <v/>
      </c>
      <c r="F1050" t="str">
        <f>IFERROR(IF(D1050="","",VLOOKUP(D1050,CadProd!$A:$C,3,0)),"")</f>
        <v/>
      </c>
    </row>
    <row r="1051" spans="5:6" x14ac:dyDescent="0.3">
      <c r="E1051" t="str">
        <f>IFERROR(IF(D1051="","",VLOOKUP(D1051,CadProd!$A:$B,2,0)),"")</f>
        <v/>
      </c>
      <c r="F1051" t="str">
        <f>IFERROR(IF(D1051="","",VLOOKUP(D1051,CadProd!$A:$C,3,0)),"")</f>
        <v/>
      </c>
    </row>
    <row r="1052" spans="5:6" x14ac:dyDescent="0.3">
      <c r="E1052" t="str">
        <f>IFERROR(IF(D1052="","",VLOOKUP(D1052,CadProd!$A:$B,2,0)),"")</f>
        <v/>
      </c>
      <c r="F1052" t="str">
        <f>IFERROR(IF(D1052="","",VLOOKUP(D1052,CadProd!$A:$C,3,0)),"")</f>
        <v/>
      </c>
    </row>
    <row r="1053" spans="5:6" x14ac:dyDescent="0.3">
      <c r="E1053" t="str">
        <f>IFERROR(IF(D1053="","",VLOOKUP(D1053,CadProd!$A:$B,2,0)),"")</f>
        <v/>
      </c>
      <c r="F1053" t="str">
        <f>IFERROR(IF(D1053="","",VLOOKUP(D1053,CadProd!$A:$C,3,0)),"")</f>
        <v/>
      </c>
    </row>
    <row r="1054" spans="5:6" x14ac:dyDescent="0.3">
      <c r="E1054" t="str">
        <f>IFERROR(IF(D1054="","",VLOOKUP(D1054,CadProd!$A:$B,2,0)),"")</f>
        <v/>
      </c>
      <c r="F1054" t="str">
        <f>IFERROR(IF(D1054="","",VLOOKUP(D1054,CadProd!$A:$C,3,0)),"")</f>
        <v/>
      </c>
    </row>
    <row r="1055" spans="5:6" x14ac:dyDescent="0.3">
      <c r="E1055" t="str">
        <f>IFERROR(IF(D1055="","",VLOOKUP(D1055,CadProd!$A:$B,2,0)),"")</f>
        <v/>
      </c>
      <c r="F1055" t="str">
        <f>IFERROR(IF(D1055="","",VLOOKUP(D1055,CadProd!$A:$C,3,0)),"")</f>
        <v/>
      </c>
    </row>
    <row r="1056" spans="5:6" x14ac:dyDescent="0.3">
      <c r="E1056" t="str">
        <f>IFERROR(IF(D1056="","",VLOOKUP(D1056,CadProd!$A:$B,2,0)),"")</f>
        <v/>
      </c>
      <c r="F1056" t="str">
        <f>IFERROR(IF(D1056="","",VLOOKUP(D1056,CadProd!$A:$C,3,0)),"")</f>
        <v/>
      </c>
    </row>
    <row r="1057" spans="5:6" x14ac:dyDescent="0.3">
      <c r="E1057" t="str">
        <f>IFERROR(IF(D1057="","",VLOOKUP(D1057,CadProd!$A:$B,2,0)),"")</f>
        <v/>
      </c>
      <c r="F1057" t="str">
        <f>IFERROR(IF(D1057="","",VLOOKUP(D1057,CadProd!$A:$C,3,0)),"")</f>
        <v/>
      </c>
    </row>
    <row r="1058" spans="5:6" x14ac:dyDescent="0.3">
      <c r="E1058" t="str">
        <f>IFERROR(IF(D1058="","",VLOOKUP(D1058,CadProd!$A:$B,2,0)),"")</f>
        <v/>
      </c>
      <c r="F1058" t="str">
        <f>IFERROR(IF(D1058="","",VLOOKUP(D1058,CadProd!$A:$C,3,0)),"")</f>
        <v/>
      </c>
    </row>
    <row r="1059" spans="5:6" x14ac:dyDescent="0.3">
      <c r="E1059" t="str">
        <f>IFERROR(IF(D1059="","",VLOOKUP(D1059,CadProd!$A:$B,2,0)),"")</f>
        <v/>
      </c>
      <c r="F1059" t="str">
        <f>IFERROR(IF(D1059="","",VLOOKUP(D1059,CadProd!$A:$C,3,0)),"")</f>
        <v/>
      </c>
    </row>
    <row r="1060" spans="5:6" x14ac:dyDescent="0.3">
      <c r="E1060" t="str">
        <f>IFERROR(IF(D1060="","",VLOOKUP(D1060,CadProd!$A:$B,2,0)),"")</f>
        <v/>
      </c>
      <c r="F1060" t="str">
        <f>IFERROR(IF(D1060="","",VLOOKUP(D1060,CadProd!$A:$C,3,0)),"")</f>
        <v/>
      </c>
    </row>
    <row r="1061" spans="5:6" x14ac:dyDescent="0.3">
      <c r="E1061" t="str">
        <f>IFERROR(IF(D1061="","",VLOOKUP(D1061,CadProd!$A:$B,2,0)),"")</f>
        <v/>
      </c>
      <c r="F1061" t="str">
        <f>IFERROR(IF(D1061="","",VLOOKUP(D1061,CadProd!$A:$C,3,0)),"")</f>
        <v/>
      </c>
    </row>
    <row r="1062" spans="5:6" x14ac:dyDescent="0.3">
      <c r="E1062" t="str">
        <f>IFERROR(IF(D1062="","",VLOOKUP(D1062,CadProd!$A:$B,2,0)),"")</f>
        <v/>
      </c>
      <c r="F1062" t="str">
        <f>IFERROR(IF(D1062="","",VLOOKUP(D1062,CadProd!$A:$C,3,0)),"")</f>
        <v/>
      </c>
    </row>
    <row r="1063" spans="5:6" x14ac:dyDescent="0.3">
      <c r="E1063" t="str">
        <f>IFERROR(IF(D1063="","",VLOOKUP(D1063,CadProd!$A:$B,2,0)),"")</f>
        <v/>
      </c>
      <c r="F1063" t="str">
        <f>IFERROR(IF(D1063="","",VLOOKUP(D1063,CadProd!$A:$C,3,0)),"")</f>
        <v/>
      </c>
    </row>
    <row r="1064" spans="5:6" x14ac:dyDescent="0.3">
      <c r="E1064" t="str">
        <f>IFERROR(IF(D1064="","",VLOOKUP(D1064,CadProd!$A:$B,2,0)),"")</f>
        <v/>
      </c>
      <c r="F1064" t="str">
        <f>IFERROR(IF(D1064="","",VLOOKUP(D1064,CadProd!$A:$C,3,0)),"")</f>
        <v/>
      </c>
    </row>
    <row r="1065" spans="5:6" x14ac:dyDescent="0.3">
      <c r="E1065" t="str">
        <f>IFERROR(IF(D1065="","",VLOOKUP(D1065,CadProd!$A:$B,2,0)),"")</f>
        <v/>
      </c>
      <c r="F1065" t="str">
        <f>IFERROR(IF(D1065="","",VLOOKUP(D1065,CadProd!$A:$C,3,0)),"")</f>
        <v/>
      </c>
    </row>
    <row r="1066" spans="5:6" x14ac:dyDescent="0.3">
      <c r="E1066" t="str">
        <f>IFERROR(IF(D1066="","",VLOOKUP(D1066,CadProd!$A:$B,2,0)),"")</f>
        <v/>
      </c>
      <c r="F1066" t="str">
        <f>IFERROR(IF(D1066="","",VLOOKUP(D1066,CadProd!$A:$C,3,0)),"")</f>
        <v/>
      </c>
    </row>
    <row r="1067" spans="5:6" x14ac:dyDescent="0.3">
      <c r="E1067" t="str">
        <f>IFERROR(IF(D1067="","",VLOOKUP(D1067,CadProd!$A:$B,2,0)),"")</f>
        <v/>
      </c>
      <c r="F1067" t="str">
        <f>IFERROR(IF(D1067="","",VLOOKUP(D1067,CadProd!$A:$C,3,0)),"")</f>
        <v/>
      </c>
    </row>
    <row r="1068" spans="5:6" x14ac:dyDescent="0.3">
      <c r="E1068" t="str">
        <f>IFERROR(IF(D1068="","",VLOOKUP(D1068,CadProd!$A:$B,2,0)),"")</f>
        <v/>
      </c>
      <c r="F1068" t="str">
        <f>IFERROR(IF(D1068="","",VLOOKUP(D1068,CadProd!$A:$C,3,0)),"")</f>
        <v/>
      </c>
    </row>
    <row r="1069" spans="5:6" x14ac:dyDescent="0.3">
      <c r="E1069" t="str">
        <f>IFERROR(IF(D1069="","",VLOOKUP(D1069,CadProd!$A:$B,2,0)),"")</f>
        <v/>
      </c>
      <c r="F1069" t="str">
        <f>IFERROR(IF(D1069="","",VLOOKUP(D1069,CadProd!$A:$C,3,0)),"")</f>
        <v/>
      </c>
    </row>
    <row r="1070" spans="5:6" x14ac:dyDescent="0.3">
      <c r="E1070" t="str">
        <f>IFERROR(IF(D1070="","",VLOOKUP(D1070,CadProd!$A:$B,2,0)),"")</f>
        <v/>
      </c>
      <c r="F1070" t="str">
        <f>IFERROR(IF(D1070="","",VLOOKUP(D1070,CadProd!$A:$C,3,0)),"")</f>
        <v/>
      </c>
    </row>
    <row r="1071" spans="5:6" x14ac:dyDescent="0.3">
      <c r="E1071" t="str">
        <f>IFERROR(IF(D1071="","",VLOOKUP(D1071,CadProd!$A:$B,2,0)),"")</f>
        <v/>
      </c>
      <c r="F1071" t="str">
        <f>IFERROR(IF(D1071="","",VLOOKUP(D1071,CadProd!$A:$C,3,0)),"")</f>
        <v/>
      </c>
    </row>
    <row r="1072" spans="5:6" x14ac:dyDescent="0.3">
      <c r="E1072" t="str">
        <f>IFERROR(IF(D1072="","",VLOOKUP(D1072,CadProd!$A:$B,2,0)),"")</f>
        <v/>
      </c>
      <c r="F1072" t="str">
        <f>IFERROR(IF(D1072="","",VLOOKUP(D1072,CadProd!$A:$C,3,0)),"")</f>
        <v/>
      </c>
    </row>
    <row r="1073" spans="5:6" x14ac:dyDescent="0.3">
      <c r="E1073" t="str">
        <f>IFERROR(IF(D1073="","",VLOOKUP(D1073,CadProd!$A:$B,2,0)),"")</f>
        <v/>
      </c>
      <c r="F1073" t="str">
        <f>IFERROR(IF(D1073="","",VLOOKUP(D1073,CadProd!$A:$C,3,0)),"")</f>
        <v/>
      </c>
    </row>
    <row r="1074" spans="5:6" x14ac:dyDescent="0.3">
      <c r="E1074" t="str">
        <f>IFERROR(IF(D1074="","",VLOOKUP(D1074,CadProd!$A:$B,2,0)),"")</f>
        <v/>
      </c>
      <c r="F1074" t="str">
        <f>IFERROR(IF(D1074="","",VLOOKUP(D1074,CadProd!$A:$C,3,0)),"")</f>
        <v/>
      </c>
    </row>
    <row r="1075" spans="5:6" x14ac:dyDescent="0.3">
      <c r="E1075" t="str">
        <f>IFERROR(IF(D1075="","",VLOOKUP(D1075,CadProd!$A:$B,2,0)),"")</f>
        <v/>
      </c>
      <c r="F1075" t="str">
        <f>IFERROR(IF(D1075="","",VLOOKUP(D1075,CadProd!$A:$C,3,0)),"")</f>
        <v/>
      </c>
    </row>
    <row r="1076" spans="5:6" x14ac:dyDescent="0.3">
      <c r="E1076" t="str">
        <f>IFERROR(IF(D1076="","",VLOOKUP(D1076,CadProd!$A:$B,2,0)),"")</f>
        <v/>
      </c>
      <c r="F1076" t="str">
        <f>IFERROR(IF(D1076="","",VLOOKUP(D1076,CadProd!$A:$C,3,0)),"")</f>
        <v/>
      </c>
    </row>
    <row r="1077" spans="5:6" x14ac:dyDescent="0.3">
      <c r="E1077" t="str">
        <f>IFERROR(IF(D1077="","",VLOOKUP(D1077,CadProd!$A:$B,2,0)),"")</f>
        <v/>
      </c>
      <c r="F1077" t="str">
        <f>IFERROR(IF(D1077="","",VLOOKUP(D1077,CadProd!$A:$C,3,0)),"")</f>
        <v/>
      </c>
    </row>
    <row r="1078" spans="5:6" x14ac:dyDescent="0.3">
      <c r="E1078" t="str">
        <f>IFERROR(IF(D1078="","",VLOOKUP(D1078,CadProd!$A:$B,2,0)),"")</f>
        <v/>
      </c>
      <c r="F1078" t="str">
        <f>IFERROR(IF(D1078="","",VLOOKUP(D1078,CadProd!$A:$C,3,0)),"")</f>
        <v/>
      </c>
    </row>
    <row r="1079" spans="5:6" x14ac:dyDescent="0.3">
      <c r="E1079" t="str">
        <f>IFERROR(IF(D1079="","",VLOOKUP(D1079,CadProd!$A:$B,2,0)),"")</f>
        <v/>
      </c>
      <c r="F1079" t="str">
        <f>IFERROR(IF(D1079="","",VLOOKUP(D1079,CadProd!$A:$C,3,0)),"")</f>
        <v/>
      </c>
    </row>
    <row r="1080" spans="5:6" x14ac:dyDescent="0.3">
      <c r="E1080" t="str">
        <f>IFERROR(IF(D1080="","",VLOOKUP(D1080,CadProd!$A:$B,2,0)),"")</f>
        <v/>
      </c>
      <c r="F1080" t="str">
        <f>IFERROR(IF(D1080="","",VLOOKUP(D1080,CadProd!$A:$C,3,0)),"")</f>
        <v/>
      </c>
    </row>
    <row r="1081" spans="5:6" x14ac:dyDescent="0.3">
      <c r="E1081" t="str">
        <f>IFERROR(IF(D1081="","",VLOOKUP(D1081,CadProd!$A:$B,2,0)),"")</f>
        <v/>
      </c>
      <c r="F1081" t="str">
        <f>IFERROR(IF(D1081="","",VLOOKUP(D1081,CadProd!$A:$C,3,0)),"")</f>
        <v/>
      </c>
    </row>
    <row r="1082" spans="5:6" x14ac:dyDescent="0.3">
      <c r="E1082" t="str">
        <f>IFERROR(IF(D1082="","",VLOOKUP(D1082,CadProd!$A:$B,2,0)),"")</f>
        <v/>
      </c>
      <c r="F1082" t="str">
        <f>IFERROR(IF(D1082="","",VLOOKUP(D1082,CadProd!$A:$C,3,0)),"")</f>
        <v/>
      </c>
    </row>
    <row r="1083" spans="5:6" x14ac:dyDescent="0.3">
      <c r="E1083" t="str">
        <f>IFERROR(IF(D1083="","",VLOOKUP(D1083,CadProd!$A:$B,2,0)),"")</f>
        <v/>
      </c>
      <c r="F1083" t="str">
        <f>IFERROR(IF(D1083="","",VLOOKUP(D1083,CadProd!$A:$C,3,0)),"")</f>
        <v/>
      </c>
    </row>
    <row r="1084" spans="5:6" x14ac:dyDescent="0.3">
      <c r="E1084" t="str">
        <f>IFERROR(IF(D1084="","",VLOOKUP(D1084,CadProd!$A:$B,2,0)),"")</f>
        <v/>
      </c>
      <c r="F1084" t="str">
        <f>IFERROR(IF(D1084="","",VLOOKUP(D1084,CadProd!$A:$C,3,0)),"")</f>
        <v/>
      </c>
    </row>
    <row r="1085" spans="5:6" x14ac:dyDescent="0.3">
      <c r="E1085" t="str">
        <f>IFERROR(IF(D1085="","",VLOOKUP(D1085,CadProd!$A:$B,2,0)),"")</f>
        <v/>
      </c>
      <c r="F1085" t="str">
        <f>IFERROR(IF(D1085="","",VLOOKUP(D1085,CadProd!$A:$C,3,0)),"")</f>
        <v/>
      </c>
    </row>
    <row r="1086" spans="5:6" x14ac:dyDescent="0.3">
      <c r="E1086" t="str">
        <f>IFERROR(IF(D1086="","",VLOOKUP(D1086,CadProd!$A:$B,2,0)),"")</f>
        <v/>
      </c>
      <c r="F1086" t="str">
        <f>IFERROR(IF(D1086="","",VLOOKUP(D1086,CadProd!$A:$C,3,0)),"")</f>
        <v/>
      </c>
    </row>
    <row r="1087" spans="5:6" x14ac:dyDescent="0.3">
      <c r="E1087" t="str">
        <f>IFERROR(IF(D1087="","",VLOOKUP(D1087,CadProd!$A:$B,2,0)),"")</f>
        <v/>
      </c>
      <c r="F1087" t="str">
        <f>IFERROR(IF(D1087="","",VLOOKUP(D1087,CadProd!$A:$C,3,0)),"")</f>
        <v/>
      </c>
    </row>
    <row r="1088" spans="5:6" x14ac:dyDescent="0.3">
      <c r="E1088" t="str">
        <f>IFERROR(IF(D1088="","",VLOOKUP(D1088,CadProd!$A:$B,2,0)),"")</f>
        <v/>
      </c>
      <c r="F1088" t="str">
        <f>IFERROR(IF(D1088="","",VLOOKUP(D1088,CadProd!$A:$C,3,0)),"")</f>
        <v/>
      </c>
    </row>
    <row r="1089" spans="5:6" x14ac:dyDescent="0.3">
      <c r="E1089" t="str">
        <f>IFERROR(IF(D1089="","",VLOOKUP(D1089,CadProd!$A:$B,2,0)),"")</f>
        <v/>
      </c>
      <c r="F1089" t="str">
        <f>IFERROR(IF(D1089="","",VLOOKUP(D1089,CadProd!$A:$C,3,0)),"")</f>
        <v/>
      </c>
    </row>
    <row r="1090" spans="5:6" x14ac:dyDescent="0.3">
      <c r="E1090" t="str">
        <f>IFERROR(IF(D1090="","",VLOOKUP(D1090,CadProd!$A:$B,2,0)),"")</f>
        <v/>
      </c>
      <c r="F1090" t="str">
        <f>IFERROR(IF(D1090="","",VLOOKUP(D1090,CadProd!$A:$C,3,0)),"")</f>
        <v/>
      </c>
    </row>
    <row r="1091" spans="5:6" x14ac:dyDescent="0.3">
      <c r="E1091" t="str">
        <f>IFERROR(IF(D1091="","",VLOOKUP(D1091,CadProd!$A:$B,2,0)),"")</f>
        <v/>
      </c>
      <c r="F1091" t="str">
        <f>IFERROR(IF(D1091="","",VLOOKUP(D1091,CadProd!$A:$C,3,0)),"")</f>
        <v/>
      </c>
    </row>
    <row r="1092" spans="5:6" x14ac:dyDescent="0.3">
      <c r="E1092" t="str">
        <f>IFERROR(IF(D1092="","",VLOOKUP(D1092,CadProd!$A:$B,2,0)),"")</f>
        <v/>
      </c>
      <c r="F1092" t="str">
        <f>IFERROR(IF(D1092="","",VLOOKUP(D1092,CadProd!$A:$C,3,0)),"")</f>
        <v/>
      </c>
    </row>
    <row r="1093" spans="5:6" x14ac:dyDescent="0.3">
      <c r="E1093" t="str">
        <f>IFERROR(IF(D1093="","",VLOOKUP(D1093,CadProd!$A:$B,2,0)),"")</f>
        <v/>
      </c>
      <c r="F1093" t="str">
        <f>IFERROR(IF(D1093="","",VLOOKUP(D1093,CadProd!$A:$C,3,0)),"")</f>
        <v/>
      </c>
    </row>
    <row r="1094" spans="5:6" x14ac:dyDescent="0.3">
      <c r="E1094" t="str">
        <f>IFERROR(IF(D1094="","",VLOOKUP(D1094,CadProd!$A:$B,2,0)),"")</f>
        <v/>
      </c>
      <c r="F1094" t="str">
        <f>IFERROR(IF(D1094="","",VLOOKUP(D1094,CadProd!$A:$C,3,0)),"")</f>
        <v/>
      </c>
    </row>
    <row r="1095" spans="5:6" x14ac:dyDescent="0.3">
      <c r="E1095" t="str">
        <f>IFERROR(IF(D1095="","",VLOOKUP(D1095,CadProd!$A:$B,2,0)),"")</f>
        <v/>
      </c>
      <c r="F1095" t="str">
        <f>IFERROR(IF(D1095="","",VLOOKUP(D1095,CadProd!$A:$C,3,0)),"")</f>
        <v/>
      </c>
    </row>
    <row r="1096" spans="5:6" x14ac:dyDescent="0.3">
      <c r="E1096" t="str">
        <f>IFERROR(IF(D1096="","",VLOOKUP(D1096,CadProd!$A:$B,2,0)),"")</f>
        <v/>
      </c>
      <c r="F1096" t="str">
        <f>IFERROR(IF(D1096="","",VLOOKUP(D1096,CadProd!$A:$C,3,0)),"")</f>
        <v/>
      </c>
    </row>
    <row r="1097" spans="5:6" x14ac:dyDescent="0.3">
      <c r="E1097" t="str">
        <f>IFERROR(IF(D1097="","",VLOOKUP(D1097,CadProd!$A:$B,2,0)),"")</f>
        <v/>
      </c>
      <c r="F1097" t="str">
        <f>IFERROR(IF(D1097="","",VLOOKUP(D1097,CadProd!$A:$C,3,0)),"")</f>
        <v/>
      </c>
    </row>
    <row r="1098" spans="5:6" x14ac:dyDescent="0.3">
      <c r="E1098" t="str">
        <f>IFERROR(IF(D1098="","",VLOOKUP(D1098,CadProd!$A:$B,2,0)),"")</f>
        <v/>
      </c>
      <c r="F1098" t="str">
        <f>IFERROR(IF(D1098="","",VLOOKUP(D1098,CadProd!$A:$C,3,0)),"")</f>
        <v/>
      </c>
    </row>
    <row r="1099" spans="5:6" x14ac:dyDescent="0.3">
      <c r="E1099" t="str">
        <f>IFERROR(IF(D1099="","",VLOOKUP(D1099,CadProd!$A:$B,2,0)),"")</f>
        <v/>
      </c>
      <c r="F1099" t="str">
        <f>IFERROR(IF(D1099="","",VLOOKUP(D1099,CadProd!$A:$C,3,0)),"")</f>
        <v/>
      </c>
    </row>
    <row r="1100" spans="5:6" x14ac:dyDescent="0.3">
      <c r="E1100" t="str">
        <f>IFERROR(IF(D1100="","",VLOOKUP(D1100,CadProd!$A:$B,2,0)),"")</f>
        <v/>
      </c>
      <c r="F1100" t="str">
        <f>IFERROR(IF(D1100="","",VLOOKUP(D1100,CadProd!$A:$C,3,0)),"")</f>
        <v/>
      </c>
    </row>
    <row r="1101" spans="5:6" x14ac:dyDescent="0.3">
      <c r="E1101" t="str">
        <f>IFERROR(IF(D1101="","",VLOOKUP(D1101,CadProd!$A:$B,2,0)),"")</f>
        <v/>
      </c>
      <c r="F1101" t="str">
        <f>IFERROR(IF(D1101="","",VLOOKUP(D1101,CadProd!$A:$C,3,0)),"")</f>
        <v/>
      </c>
    </row>
    <row r="1102" spans="5:6" x14ac:dyDescent="0.3">
      <c r="E1102" t="str">
        <f>IFERROR(IF(D1102="","",VLOOKUP(D1102,CadProd!$A:$B,2,0)),"")</f>
        <v/>
      </c>
      <c r="F1102" t="str">
        <f>IFERROR(IF(D1102="","",VLOOKUP(D1102,CadProd!$A:$C,3,0)),"")</f>
        <v/>
      </c>
    </row>
    <row r="1103" spans="5:6" x14ac:dyDescent="0.3">
      <c r="E1103" t="str">
        <f>IFERROR(IF(D1103="","",VLOOKUP(D1103,CadProd!$A:$B,2,0)),"")</f>
        <v/>
      </c>
      <c r="F1103" t="str">
        <f>IFERROR(IF(D1103="","",VLOOKUP(D1103,CadProd!$A:$C,3,0)),"")</f>
        <v/>
      </c>
    </row>
    <row r="1104" spans="5:6" x14ac:dyDescent="0.3">
      <c r="E1104" t="str">
        <f>IFERROR(IF(D1104="","",VLOOKUP(D1104,CadProd!$A:$B,2,0)),"")</f>
        <v/>
      </c>
      <c r="F1104" t="str">
        <f>IFERROR(IF(D1104="","",VLOOKUP(D1104,CadProd!$A:$C,3,0)),"")</f>
        <v/>
      </c>
    </row>
    <row r="1105" spans="5:6" x14ac:dyDescent="0.3">
      <c r="E1105" t="str">
        <f>IFERROR(IF(D1105="","",VLOOKUP(D1105,CadProd!$A:$B,2,0)),"")</f>
        <v/>
      </c>
      <c r="F1105" t="str">
        <f>IFERROR(IF(D1105="","",VLOOKUP(D1105,CadProd!$A:$C,3,0)),"")</f>
        <v/>
      </c>
    </row>
    <row r="1106" spans="5:6" x14ac:dyDescent="0.3">
      <c r="E1106" t="str">
        <f>IFERROR(IF(D1106="","",VLOOKUP(D1106,CadProd!$A:$B,2,0)),"")</f>
        <v/>
      </c>
      <c r="F1106" t="str">
        <f>IFERROR(IF(D1106="","",VLOOKUP(D1106,CadProd!$A:$C,3,0)),"")</f>
        <v/>
      </c>
    </row>
    <row r="1107" spans="5:6" x14ac:dyDescent="0.3">
      <c r="E1107" t="str">
        <f>IFERROR(IF(D1107="","",VLOOKUP(D1107,CadProd!$A:$B,2,0)),"")</f>
        <v/>
      </c>
      <c r="F1107" t="str">
        <f>IFERROR(IF(D1107="","",VLOOKUP(D1107,CadProd!$A:$C,3,0)),"")</f>
        <v/>
      </c>
    </row>
    <row r="1108" spans="5:6" x14ac:dyDescent="0.3">
      <c r="E1108" t="str">
        <f>IFERROR(IF(D1108="","",VLOOKUP(D1108,CadProd!$A:$B,2,0)),"")</f>
        <v/>
      </c>
      <c r="F1108" t="str">
        <f>IFERROR(IF(D1108="","",VLOOKUP(D1108,CadProd!$A:$C,3,0)),"")</f>
        <v/>
      </c>
    </row>
    <row r="1109" spans="5:6" x14ac:dyDescent="0.3">
      <c r="E1109" t="str">
        <f>IFERROR(IF(D1109="","",VLOOKUP(D1109,CadProd!$A:$B,2,0)),"")</f>
        <v/>
      </c>
      <c r="F1109" t="str">
        <f>IFERROR(IF(D1109="","",VLOOKUP(D1109,CadProd!$A:$C,3,0)),"")</f>
        <v/>
      </c>
    </row>
    <row r="1110" spans="5:6" x14ac:dyDescent="0.3">
      <c r="E1110" t="str">
        <f>IFERROR(IF(D1110="","",VLOOKUP(D1110,CadProd!$A:$B,2,0)),"")</f>
        <v/>
      </c>
      <c r="F1110" t="str">
        <f>IFERROR(IF(D1110="","",VLOOKUP(D1110,CadProd!$A:$C,3,0)),"")</f>
        <v/>
      </c>
    </row>
    <row r="1111" spans="5:6" x14ac:dyDescent="0.3">
      <c r="E1111" t="str">
        <f>IFERROR(IF(D1111="","",VLOOKUP(D1111,CadProd!$A:$B,2,0)),"")</f>
        <v/>
      </c>
      <c r="F1111" t="str">
        <f>IFERROR(IF(D1111="","",VLOOKUP(D1111,CadProd!$A:$C,3,0)),"")</f>
        <v/>
      </c>
    </row>
    <row r="1112" spans="5:6" x14ac:dyDescent="0.3">
      <c r="E1112" t="str">
        <f>IFERROR(IF(D1112="","",VLOOKUP(D1112,CadProd!$A:$B,2,0)),"")</f>
        <v/>
      </c>
      <c r="F1112" t="str">
        <f>IFERROR(IF(D1112="","",VLOOKUP(D1112,CadProd!$A:$C,3,0)),"")</f>
        <v/>
      </c>
    </row>
    <row r="1113" spans="5:6" x14ac:dyDescent="0.3">
      <c r="E1113" t="str">
        <f>IFERROR(IF(D1113="","",VLOOKUP(D1113,CadProd!$A:$B,2,0)),"")</f>
        <v/>
      </c>
      <c r="F1113" t="str">
        <f>IFERROR(IF(D1113="","",VLOOKUP(D1113,CadProd!$A:$C,3,0)),"")</f>
        <v/>
      </c>
    </row>
    <row r="1114" spans="5:6" x14ac:dyDescent="0.3">
      <c r="E1114" t="str">
        <f>IFERROR(IF(D1114="","",VLOOKUP(D1114,CadProd!$A:$B,2,0)),"")</f>
        <v/>
      </c>
      <c r="F1114" t="str">
        <f>IFERROR(IF(D1114="","",VLOOKUP(D1114,CadProd!$A:$C,3,0)),"")</f>
        <v/>
      </c>
    </row>
    <row r="1115" spans="5:6" x14ac:dyDescent="0.3">
      <c r="E1115" t="str">
        <f>IFERROR(IF(D1115="","",VLOOKUP(D1115,CadProd!$A:$B,2,0)),"")</f>
        <v/>
      </c>
      <c r="F1115" t="str">
        <f>IFERROR(IF(D1115="","",VLOOKUP(D1115,CadProd!$A:$C,3,0)),"")</f>
        <v/>
      </c>
    </row>
    <row r="1116" spans="5:6" x14ac:dyDescent="0.3">
      <c r="E1116" t="str">
        <f>IFERROR(IF(D1116="","",VLOOKUP(D1116,CadProd!$A:$B,2,0)),"")</f>
        <v/>
      </c>
      <c r="F1116" t="str">
        <f>IFERROR(IF(D1116="","",VLOOKUP(D1116,CadProd!$A:$C,3,0)),"")</f>
        <v/>
      </c>
    </row>
    <row r="1117" spans="5:6" x14ac:dyDescent="0.3">
      <c r="E1117" t="str">
        <f>IFERROR(IF(D1117="","",VLOOKUP(D1117,CadProd!$A:$B,2,0)),"")</f>
        <v/>
      </c>
      <c r="F1117" t="str">
        <f>IFERROR(IF(D1117="","",VLOOKUP(D1117,CadProd!$A:$C,3,0)),"")</f>
        <v/>
      </c>
    </row>
    <row r="1118" spans="5:6" x14ac:dyDescent="0.3">
      <c r="E1118" t="str">
        <f>IFERROR(IF(D1118="","",VLOOKUP(D1118,CadProd!$A:$B,2,0)),"")</f>
        <v/>
      </c>
      <c r="F1118" t="str">
        <f>IFERROR(IF(D1118="","",VLOOKUP(D1118,CadProd!$A:$C,3,0)),"")</f>
        <v/>
      </c>
    </row>
    <row r="1119" spans="5:6" x14ac:dyDescent="0.3">
      <c r="E1119" t="str">
        <f>IFERROR(IF(D1119="","",VLOOKUP(D1119,CadProd!$A:$B,2,0)),"")</f>
        <v/>
      </c>
      <c r="F1119" t="str">
        <f>IFERROR(IF(D1119="","",VLOOKUP(D1119,CadProd!$A:$C,3,0)),"")</f>
        <v/>
      </c>
    </row>
    <row r="1120" spans="5:6" x14ac:dyDescent="0.3">
      <c r="E1120" t="str">
        <f>IFERROR(IF(D1120="","",VLOOKUP(D1120,CadProd!$A:$B,2,0)),"")</f>
        <v/>
      </c>
      <c r="F1120" t="str">
        <f>IFERROR(IF(D1120="","",VLOOKUP(D1120,CadProd!$A:$C,3,0)),"")</f>
        <v/>
      </c>
    </row>
    <row r="1121" spans="5:6" x14ac:dyDescent="0.3">
      <c r="E1121" t="str">
        <f>IFERROR(IF(D1121="","",VLOOKUP(D1121,CadProd!$A:$B,2,0)),"")</f>
        <v/>
      </c>
      <c r="F1121" t="str">
        <f>IFERROR(IF(D1121="","",VLOOKUP(D1121,CadProd!$A:$C,3,0)),"")</f>
        <v/>
      </c>
    </row>
    <row r="1122" spans="5:6" x14ac:dyDescent="0.3">
      <c r="E1122" t="str">
        <f>IFERROR(IF(D1122="","",VLOOKUP(D1122,CadProd!$A:$B,2,0)),"")</f>
        <v/>
      </c>
      <c r="F1122" t="str">
        <f>IFERROR(IF(D1122="","",VLOOKUP(D1122,CadProd!$A:$C,3,0)),"")</f>
        <v/>
      </c>
    </row>
    <row r="1123" spans="5:6" x14ac:dyDescent="0.3">
      <c r="E1123" t="str">
        <f>IFERROR(IF(D1123="","",VLOOKUP(D1123,CadProd!$A:$B,2,0)),"")</f>
        <v/>
      </c>
      <c r="F1123" t="str">
        <f>IFERROR(IF(D1123="","",VLOOKUP(D1123,CadProd!$A:$C,3,0)),"")</f>
        <v/>
      </c>
    </row>
    <row r="1124" spans="5:6" x14ac:dyDescent="0.3">
      <c r="E1124" t="str">
        <f>IFERROR(IF(D1124="","",VLOOKUP(D1124,CadProd!$A:$B,2,0)),"")</f>
        <v/>
      </c>
      <c r="F1124" t="str">
        <f>IFERROR(IF(D1124="","",VLOOKUP(D1124,CadProd!$A:$C,3,0)),"")</f>
        <v/>
      </c>
    </row>
    <row r="1125" spans="5:6" x14ac:dyDescent="0.3">
      <c r="E1125" t="str">
        <f>IFERROR(IF(D1125="","",VLOOKUP(D1125,CadProd!$A:$B,2,0)),"")</f>
        <v/>
      </c>
      <c r="F1125" t="str">
        <f>IFERROR(IF(D1125="","",VLOOKUP(D1125,CadProd!$A:$C,3,0)),"")</f>
        <v/>
      </c>
    </row>
    <row r="1126" spans="5:6" x14ac:dyDescent="0.3">
      <c r="E1126" t="str">
        <f>IFERROR(IF(D1126="","",VLOOKUP(D1126,CadProd!$A:$B,2,0)),"")</f>
        <v/>
      </c>
      <c r="F1126" t="str">
        <f>IFERROR(IF(D1126="","",VLOOKUP(D1126,CadProd!$A:$C,3,0)),"")</f>
        <v/>
      </c>
    </row>
    <row r="1127" spans="5:6" x14ac:dyDescent="0.3">
      <c r="E1127" t="str">
        <f>IFERROR(IF(D1127="","",VLOOKUP(D1127,CadProd!$A:$B,2,0)),"")</f>
        <v/>
      </c>
      <c r="F1127" t="str">
        <f>IFERROR(IF(D1127="","",VLOOKUP(D1127,CadProd!$A:$C,3,0)),"")</f>
        <v/>
      </c>
    </row>
    <row r="1128" spans="5:6" x14ac:dyDescent="0.3">
      <c r="E1128" t="str">
        <f>IFERROR(IF(D1128="","",VLOOKUP(D1128,CadProd!$A:$B,2,0)),"")</f>
        <v/>
      </c>
      <c r="F1128" t="str">
        <f>IFERROR(IF(D1128="","",VLOOKUP(D1128,CadProd!$A:$C,3,0)),"")</f>
        <v/>
      </c>
    </row>
    <row r="1129" spans="5:6" x14ac:dyDescent="0.3">
      <c r="E1129" t="str">
        <f>IFERROR(IF(D1129="","",VLOOKUP(D1129,CadProd!$A:$B,2,0)),"")</f>
        <v/>
      </c>
      <c r="F1129" t="str">
        <f>IFERROR(IF(D1129="","",VLOOKUP(D1129,CadProd!$A:$C,3,0)),"")</f>
        <v/>
      </c>
    </row>
    <row r="1130" spans="5:6" x14ac:dyDescent="0.3">
      <c r="E1130" t="str">
        <f>IFERROR(IF(D1130="","",VLOOKUP(D1130,CadProd!$A:$B,2,0)),"")</f>
        <v/>
      </c>
      <c r="F1130" t="str">
        <f>IFERROR(IF(D1130="","",VLOOKUP(D1130,CadProd!$A:$C,3,0)),"")</f>
        <v/>
      </c>
    </row>
    <row r="1131" spans="5:6" x14ac:dyDescent="0.3">
      <c r="E1131" t="str">
        <f>IFERROR(IF(D1131="","",VLOOKUP(D1131,CadProd!$A:$B,2,0)),"")</f>
        <v/>
      </c>
      <c r="F1131" t="str">
        <f>IFERROR(IF(D1131="","",VLOOKUP(D1131,CadProd!$A:$C,3,0)),"")</f>
        <v/>
      </c>
    </row>
    <row r="1132" spans="5:6" x14ac:dyDescent="0.3">
      <c r="E1132" t="str">
        <f>IFERROR(IF(D1132="","",VLOOKUP(D1132,CadProd!$A:$B,2,0)),"")</f>
        <v/>
      </c>
      <c r="F1132" t="str">
        <f>IFERROR(IF(D1132="","",VLOOKUP(D1132,CadProd!$A:$C,3,0)),"")</f>
        <v/>
      </c>
    </row>
    <row r="1133" spans="5:6" x14ac:dyDescent="0.3">
      <c r="E1133" t="str">
        <f>IFERROR(IF(D1133="","",VLOOKUP(D1133,CadProd!$A:$B,2,0)),"")</f>
        <v/>
      </c>
      <c r="F1133" t="str">
        <f>IFERROR(IF(D1133="","",VLOOKUP(D1133,CadProd!$A:$C,3,0)),"")</f>
        <v/>
      </c>
    </row>
    <row r="1134" spans="5:6" x14ac:dyDescent="0.3">
      <c r="E1134" t="str">
        <f>IFERROR(IF(D1134="","",VLOOKUP(D1134,CadProd!$A:$B,2,0)),"")</f>
        <v/>
      </c>
      <c r="F1134" t="str">
        <f>IFERROR(IF(D1134="","",VLOOKUP(D1134,CadProd!$A:$C,3,0)),"")</f>
        <v/>
      </c>
    </row>
    <row r="1135" spans="5:6" x14ac:dyDescent="0.3">
      <c r="E1135" t="str">
        <f>IFERROR(IF(D1135="","",VLOOKUP(D1135,CadProd!$A:$B,2,0)),"")</f>
        <v/>
      </c>
      <c r="F1135" t="str">
        <f>IFERROR(IF(D1135="","",VLOOKUP(D1135,CadProd!$A:$C,3,0)),"")</f>
        <v/>
      </c>
    </row>
    <row r="1136" spans="5:6" x14ac:dyDescent="0.3">
      <c r="E1136" t="str">
        <f>IFERROR(IF(D1136="","",VLOOKUP(D1136,CadProd!$A:$B,2,0)),"")</f>
        <v/>
      </c>
      <c r="F1136" t="str">
        <f>IFERROR(IF(D1136="","",VLOOKUP(D1136,CadProd!$A:$C,3,0)),"")</f>
        <v/>
      </c>
    </row>
    <row r="1137" spans="5:6" x14ac:dyDescent="0.3">
      <c r="E1137" t="str">
        <f>IFERROR(IF(D1137="","",VLOOKUP(D1137,CadProd!$A:$B,2,0)),"")</f>
        <v/>
      </c>
      <c r="F1137" t="str">
        <f>IFERROR(IF(D1137="","",VLOOKUP(D1137,CadProd!$A:$C,3,0)),"")</f>
        <v/>
      </c>
    </row>
    <row r="1138" spans="5:6" x14ac:dyDescent="0.3">
      <c r="E1138" t="str">
        <f>IFERROR(IF(D1138="","",VLOOKUP(D1138,CadProd!$A:$B,2,0)),"")</f>
        <v/>
      </c>
      <c r="F1138" t="str">
        <f>IFERROR(IF(D1138="","",VLOOKUP(D1138,CadProd!$A:$C,3,0)),"")</f>
        <v/>
      </c>
    </row>
    <row r="1139" spans="5:6" x14ac:dyDescent="0.3">
      <c r="E1139" t="str">
        <f>IFERROR(IF(D1139="","",VLOOKUP(D1139,CadProd!$A:$B,2,0)),"")</f>
        <v/>
      </c>
      <c r="F1139" t="str">
        <f>IFERROR(IF(D1139="","",VLOOKUP(D1139,CadProd!$A:$C,3,0)),"")</f>
        <v/>
      </c>
    </row>
    <row r="1140" spans="5:6" x14ac:dyDescent="0.3">
      <c r="E1140" t="str">
        <f>IFERROR(IF(D1140="","",VLOOKUP(D1140,CadProd!$A:$B,2,0)),"")</f>
        <v/>
      </c>
      <c r="F1140" t="str">
        <f>IFERROR(IF(D1140="","",VLOOKUP(D1140,CadProd!$A:$C,3,0)),"")</f>
        <v/>
      </c>
    </row>
    <row r="1141" spans="5:6" x14ac:dyDescent="0.3">
      <c r="E1141" t="str">
        <f>IFERROR(IF(D1141="","",VLOOKUP(D1141,CadProd!$A:$B,2,0)),"")</f>
        <v/>
      </c>
      <c r="F1141" t="str">
        <f>IFERROR(IF(D1141="","",VLOOKUP(D1141,CadProd!$A:$C,3,0)),"")</f>
        <v/>
      </c>
    </row>
    <row r="1142" spans="5:6" x14ac:dyDescent="0.3">
      <c r="E1142" t="str">
        <f>IFERROR(IF(D1142="","",VLOOKUP(D1142,CadProd!$A:$B,2,0)),"")</f>
        <v/>
      </c>
      <c r="F1142" t="str">
        <f>IFERROR(IF(D1142="","",VLOOKUP(D1142,CadProd!$A:$C,3,0)),"")</f>
        <v/>
      </c>
    </row>
    <row r="1143" spans="5:6" x14ac:dyDescent="0.3">
      <c r="E1143" t="str">
        <f>IFERROR(IF(D1143="","",VLOOKUP(D1143,CadProd!$A:$B,2,0)),"")</f>
        <v/>
      </c>
      <c r="F1143" t="str">
        <f>IFERROR(IF(D1143="","",VLOOKUP(D1143,CadProd!$A:$C,3,0)),"")</f>
        <v/>
      </c>
    </row>
    <row r="1144" spans="5:6" x14ac:dyDescent="0.3">
      <c r="E1144" t="str">
        <f>IFERROR(IF(D1144="","",VLOOKUP(D1144,CadProd!$A:$B,2,0)),"")</f>
        <v/>
      </c>
      <c r="F1144" t="str">
        <f>IFERROR(IF(D1144="","",VLOOKUP(D1144,CadProd!$A:$C,3,0)),"")</f>
        <v/>
      </c>
    </row>
    <row r="1145" spans="5:6" x14ac:dyDescent="0.3">
      <c r="E1145" t="str">
        <f>IFERROR(IF(D1145="","",VLOOKUP(D1145,CadProd!$A:$B,2,0)),"")</f>
        <v/>
      </c>
      <c r="F1145" t="str">
        <f>IFERROR(IF(D1145="","",VLOOKUP(D1145,CadProd!$A:$C,3,0)),"")</f>
        <v/>
      </c>
    </row>
    <row r="1146" spans="5:6" x14ac:dyDescent="0.3">
      <c r="E1146" t="str">
        <f>IFERROR(IF(D1146="","",VLOOKUP(D1146,CadProd!$A:$B,2,0)),"")</f>
        <v/>
      </c>
      <c r="F1146" t="str">
        <f>IFERROR(IF(D1146="","",VLOOKUP(D1146,CadProd!$A:$C,3,0)),"")</f>
        <v/>
      </c>
    </row>
    <row r="1147" spans="5:6" x14ac:dyDescent="0.3">
      <c r="E1147" t="str">
        <f>IFERROR(IF(D1147="","",VLOOKUP(D1147,CadProd!$A:$B,2,0)),"")</f>
        <v/>
      </c>
      <c r="F1147" t="str">
        <f>IFERROR(IF(D1147="","",VLOOKUP(D1147,CadProd!$A:$C,3,0)),"")</f>
        <v/>
      </c>
    </row>
    <row r="1148" spans="5:6" x14ac:dyDescent="0.3">
      <c r="E1148" t="str">
        <f>IFERROR(IF(D1148="","",VLOOKUP(D1148,CadProd!$A:$B,2,0)),"")</f>
        <v/>
      </c>
      <c r="F1148" t="str">
        <f>IFERROR(IF(D1148="","",VLOOKUP(D1148,CadProd!$A:$C,3,0)),"")</f>
        <v/>
      </c>
    </row>
    <row r="1149" spans="5:6" x14ac:dyDescent="0.3">
      <c r="E1149" t="str">
        <f>IFERROR(IF(D1149="","",VLOOKUP(D1149,CadProd!$A:$B,2,0)),"")</f>
        <v/>
      </c>
      <c r="F1149" t="str">
        <f>IFERROR(IF(D1149="","",VLOOKUP(D1149,CadProd!$A:$C,3,0)),"")</f>
        <v/>
      </c>
    </row>
    <row r="1150" spans="5:6" x14ac:dyDescent="0.3">
      <c r="E1150" t="str">
        <f>IFERROR(IF(D1150="","",VLOOKUP(D1150,CadProd!$A:$B,2,0)),"")</f>
        <v/>
      </c>
      <c r="F1150" t="str">
        <f>IFERROR(IF(D1150="","",VLOOKUP(D1150,CadProd!$A:$C,3,0)),"")</f>
        <v/>
      </c>
    </row>
    <row r="1151" spans="5:6" x14ac:dyDescent="0.3">
      <c r="E1151" t="str">
        <f>IFERROR(IF(D1151="","",VLOOKUP(D1151,CadProd!$A:$B,2,0)),"")</f>
        <v/>
      </c>
      <c r="F1151" t="str">
        <f>IFERROR(IF(D1151="","",VLOOKUP(D1151,CadProd!$A:$C,3,0)),"")</f>
        <v/>
      </c>
    </row>
    <row r="1152" spans="5:6" x14ac:dyDescent="0.3">
      <c r="E1152" t="str">
        <f>IFERROR(IF(D1152="","",VLOOKUP(D1152,CadProd!$A:$B,2,0)),"")</f>
        <v/>
      </c>
      <c r="F1152" t="str">
        <f>IFERROR(IF(D1152="","",VLOOKUP(D1152,CadProd!$A:$C,3,0)),"")</f>
        <v/>
      </c>
    </row>
    <row r="1153" spans="5:6" x14ac:dyDescent="0.3">
      <c r="E1153" t="str">
        <f>IFERROR(IF(D1153="","",VLOOKUP(D1153,CadProd!$A:$B,2,0)),"")</f>
        <v/>
      </c>
      <c r="F1153" t="str">
        <f>IFERROR(IF(D1153="","",VLOOKUP(D1153,CadProd!$A:$C,3,0)),"")</f>
        <v/>
      </c>
    </row>
    <row r="1154" spans="5:6" x14ac:dyDescent="0.3">
      <c r="E1154" t="str">
        <f>IFERROR(IF(D1154="","",VLOOKUP(D1154,CadProd!$A:$B,2,0)),"")</f>
        <v/>
      </c>
      <c r="F1154" t="str">
        <f>IFERROR(IF(D1154="","",VLOOKUP(D1154,CadProd!$A:$C,3,0)),"")</f>
        <v/>
      </c>
    </row>
    <row r="1155" spans="5:6" x14ac:dyDescent="0.3">
      <c r="E1155" t="str">
        <f>IFERROR(IF(D1155="","",VLOOKUP(D1155,CadProd!$A:$B,2,0)),"")</f>
        <v/>
      </c>
      <c r="F1155" t="str">
        <f>IFERROR(IF(D1155="","",VLOOKUP(D1155,CadProd!$A:$C,3,0)),"")</f>
        <v/>
      </c>
    </row>
    <row r="1156" spans="5:6" x14ac:dyDescent="0.3">
      <c r="E1156" t="str">
        <f>IFERROR(IF(D1156="","",VLOOKUP(D1156,CadProd!$A:$B,2,0)),"")</f>
        <v/>
      </c>
      <c r="F1156" t="str">
        <f>IFERROR(IF(D1156="","",VLOOKUP(D1156,CadProd!$A:$C,3,0)),"")</f>
        <v/>
      </c>
    </row>
    <row r="1157" spans="5:6" x14ac:dyDescent="0.3">
      <c r="E1157" t="str">
        <f>IFERROR(IF(D1157="","",VLOOKUP(D1157,CadProd!$A:$B,2,0)),"")</f>
        <v/>
      </c>
      <c r="F1157" t="str">
        <f>IFERROR(IF(D1157="","",VLOOKUP(D1157,CadProd!$A:$C,3,0)),"")</f>
        <v/>
      </c>
    </row>
    <row r="1158" spans="5:6" x14ac:dyDescent="0.3">
      <c r="E1158" t="str">
        <f>IFERROR(IF(D1158="","",VLOOKUP(D1158,CadProd!$A:$B,2,0)),"")</f>
        <v/>
      </c>
      <c r="F1158" t="str">
        <f>IFERROR(IF(D1158="","",VLOOKUP(D1158,CadProd!$A:$C,3,0)),"")</f>
        <v/>
      </c>
    </row>
    <row r="1159" spans="5:6" x14ac:dyDescent="0.3">
      <c r="E1159" t="str">
        <f>IFERROR(IF(D1159="","",VLOOKUP(D1159,CadProd!$A:$B,2,0)),"")</f>
        <v/>
      </c>
      <c r="F1159" t="str">
        <f>IFERROR(IF(D1159="","",VLOOKUP(D1159,CadProd!$A:$C,3,0)),"")</f>
        <v/>
      </c>
    </row>
    <row r="1160" spans="5:6" x14ac:dyDescent="0.3">
      <c r="E1160" t="str">
        <f>IFERROR(IF(D1160="","",VLOOKUP(D1160,CadProd!$A:$B,2,0)),"")</f>
        <v/>
      </c>
      <c r="F1160" t="str">
        <f>IFERROR(IF(D1160="","",VLOOKUP(D1160,CadProd!$A:$C,3,0)),"")</f>
        <v/>
      </c>
    </row>
    <row r="1161" spans="5:6" x14ac:dyDescent="0.3">
      <c r="E1161" t="str">
        <f>IFERROR(IF(D1161="","",VLOOKUP(D1161,CadProd!$A:$B,2,0)),"")</f>
        <v/>
      </c>
      <c r="F1161" t="str">
        <f>IFERROR(IF(D1161="","",VLOOKUP(D1161,CadProd!$A:$C,3,0)),"")</f>
        <v/>
      </c>
    </row>
    <row r="1162" spans="5:6" x14ac:dyDescent="0.3">
      <c r="E1162" t="str">
        <f>IFERROR(IF(D1162="","",VLOOKUP(D1162,CadProd!$A:$B,2,0)),"")</f>
        <v/>
      </c>
      <c r="F1162" t="str">
        <f>IFERROR(IF(D1162="","",VLOOKUP(D1162,CadProd!$A:$C,3,0)),"")</f>
        <v/>
      </c>
    </row>
    <row r="1163" spans="5:6" x14ac:dyDescent="0.3">
      <c r="E1163" t="str">
        <f>IFERROR(IF(D1163="","",VLOOKUP(D1163,CadProd!$A:$B,2,0)),"")</f>
        <v/>
      </c>
      <c r="F1163" t="str">
        <f>IFERROR(IF(D1163="","",VLOOKUP(D1163,CadProd!$A:$C,3,0)),"")</f>
        <v/>
      </c>
    </row>
    <row r="1164" spans="5:6" x14ac:dyDescent="0.3">
      <c r="E1164" t="str">
        <f>IFERROR(IF(D1164="","",VLOOKUP(D1164,CadProd!$A:$B,2,0)),"")</f>
        <v/>
      </c>
      <c r="F1164" t="str">
        <f>IFERROR(IF(D1164="","",VLOOKUP(D1164,CadProd!$A:$C,3,0)),"")</f>
        <v/>
      </c>
    </row>
    <row r="1165" spans="5:6" x14ac:dyDescent="0.3">
      <c r="E1165" t="str">
        <f>IFERROR(IF(D1165="","",VLOOKUP(D1165,CadProd!$A:$B,2,0)),"")</f>
        <v/>
      </c>
      <c r="F1165" t="str">
        <f>IFERROR(IF(D1165="","",VLOOKUP(D1165,CadProd!$A:$C,3,0)),"")</f>
        <v/>
      </c>
    </row>
    <row r="1166" spans="5:6" x14ac:dyDescent="0.3">
      <c r="E1166" t="str">
        <f>IFERROR(IF(D1166="","",VLOOKUP(D1166,CadProd!$A:$B,2,0)),"")</f>
        <v/>
      </c>
      <c r="F1166" t="str">
        <f>IFERROR(IF(D1166="","",VLOOKUP(D1166,CadProd!$A:$C,3,0)),"")</f>
        <v/>
      </c>
    </row>
    <row r="1167" spans="5:6" x14ac:dyDescent="0.3">
      <c r="E1167" t="str">
        <f>IFERROR(IF(D1167="","",VLOOKUP(D1167,CadProd!$A:$B,2,0)),"")</f>
        <v/>
      </c>
      <c r="F1167" t="str">
        <f>IFERROR(IF(D1167="","",VLOOKUP(D1167,CadProd!$A:$C,3,0)),"")</f>
        <v/>
      </c>
    </row>
    <row r="1168" spans="5:6" x14ac:dyDescent="0.3">
      <c r="E1168" t="str">
        <f>IFERROR(IF(D1168="","",VLOOKUP(D1168,CadProd!$A:$B,2,0)),"")</f>
        <v/>
      </c>
      <c r="F1168" t="str">
        <f>IFERROR(IF(D1168="","",VLOOKUP(D1168,CadProd!$A:$C,3,0)),"")</f>
        <v/>
      </c>
    </row>
    <row r="1169" spans="5:6" x14ac:dyDescent="0.3">
      <c r="E1169" t="str">
        <f>IFERROR(IF(D1169="","",VLOOKUP(D1169,CadProd!$A:$B,2,0)),"")</f>
        <v/>
      </c>
      <c r="F1169" t="str">
        <f>IFERROR(IF(D1169="","",VLOOKUP(D1169,CadProd!$A:$C,3,0)),"")</f>
        <v/>
      </c>
    </row>
    <row r="1170" spans="5:6" x14ac:dyDescent="0.3">
      <c r="E1170" t="str">
        <f>IFERROR(IF(D1170="","",VLOOKUP(D1170,CadProd!$A:$B,2,0)),"")</f>
        <v/>
      </c>
      <c r="F1170" t="str">
        <f>IFERROR(IF(D1170="","",VLOOKUP(D1170,CadProd!$A:$C,3,0)),"")</f>
        <v/>
      </c>
    </row>
    <row r="1171" spans="5:6" x14ac:dyDescent="0.3">
      <c r="E1171" t="str">
        <f>IFERROR(IF(D1171="","",VLOOKUP(D1171,CadProd!$A:$B,2,0)),"")</f>
        <v/>
      </c>
      <c r="F1171" t="str">
        <f>IFERROR(IF(D1171="","",VLOOKUP(D1171,CadProd!$A:$C,3,0)),"")</f>
        <v/>
      </c>
    </row>
    <row r="1172" spans="5:6" x14ac:dyDescent="0.3">
      <c r="E1172" t="str">
        <f>IFERROR(IF(D1172="","",VLOOKUP(D1172,CadProd!$A:$B,2,0)),"")</f>
        <v/>
      </c>
      <c r="F1172" t="str">
        <f>IFERROR(IF(D1172="","",VLOOKUP(D1172,CadProd!$A:$C,3,0)),"")</f>
        <v/>
      </c>
    </row>
    <row r="1173" spans="5:6" x14ac:dyDescent="0.3">
      <c r="E1173" t="str">
        <f>IFERROR(IF(D1173="","",VLOOKUP(D1173,CadProd!$A:$B,2,0)),"")</f>
        <v/>
      </c>
      <c r="F1173" t="str">
        <f>IFERROR(IF(D1173="","",VLOOKUP(D1173,CadProd!$A:$C,3,0)),"")</f>
        <v/>
      </c>
    </row>
    <row r="1174" spans="5:6" x14ac:dyDescent="0.3">
      <c r="E1174" t="str">
        <f>IFERROR(IF(D1174="","",VLOOKUP(D1174,CadProd!$A:$B,2,0)),"")</f>
        <v/>
      </c>
      <c r="F1174" t="str">
        <f>IFERROR(IF(D1174="","",VLOOKUP(D1174,CadProd!$A:$C,3,0)),"")</f>
        <v/>
      </c>
    </row>
    <row r="1175" spans="5:6" x14ac:dyDescent="0.3">
      <c r="E1175" t="str">
        <f>IFERROR(IF(D1175="","",VLOOKUP(D1175,CadProd!$A:$B,2,0)),"")</f>
        <v/>
      </c>
      <c r="F1175" t="str">
        <f>IFERROR(IF(D1175="","",VLOOKUP(D1175,CadProd!$A:$C,3,0)),"")</f>
        <v/>
      </c>
    </row>
    <row r="1176" spans="5:6" x14ac:dyDescent="0.3">
      <c r="E1176" t="str">
        <f>IFERROR(IF(D1176="","",VLOOKUP(D1176,CadProd!$A:$B,2,0)),"")</f>
        <v/>
      </c>
      <c r="F1176" t="str">
        <f>IFERROR(IF(D1176="","",VLOOKUP(D1176,CadProd!$A:$C,3,0)),"")</f>
        <v/>
      </c>
    </row>
    <row r="1177" spans="5:6" x14ac:dyDescent="0.3">
      <c r="E1177" t="str">
        <f>IFERROR(IF(D1177="","",VLOOKUP(D1177,CadProd!$A:$B,2,0)),"")</f>
        <v/>
      </c>
      <c r="F1177" t="str">
        <f>IFERROR(IF(D1177="","",VLOOKUP(D1177,CadProd!$A:$C,3,0)),"")</f>
        <v/>
      </c>
    </row>
    <row r="1178" spans="5:6" x14ac:dyDescent="0.3">
      <c r="E1178" t="str">
        <f>IFERROR(IF(D1178="","",VLOOKUP(D1178,CadProd!$A:$B,2,0)),"")</f>
        <v/>
      </c>
      <c r="F1178" t="str">
        <f>IFERROR(IF(D1178="","",VLOOKUP(D1178,CadProd!$A:$C,3,0)),"")</f>
        <v/>
      </c>
    </row>
    <row r="1179" spans="5:6" x14ac:dyDescent="0.3">
      <c r="E1179" t="str">
        <f>IFERROR(IF(D1179="","",VLOOKUP(D1179,CadProd!$A:$B,2,0)),"")</f>
        <v/>
      </c>
      <c r="F1179" t="str">
        <f>IFERROR(IF(D1179="","",VLOOKUP(D1179,CadProd!$A:$C,3,0)),"")</f>
        <v/>
      </c>
    </row>
    <row r="1180" spans="5:6" x14ac:dyDescent="0.3">
      <c r="E1180" t="str">
        <f>IFERROR(IF(D1180="","",VLOOKUP(D1180,CadProd!$A:$B,2,0)),"")</f>
        <v/>
      </c>
      <c r="F1180" t="str">
        <f>IFERROR(IF(D1180="","",VLOOKUP(D1180,CadProd!$A:$C,3,0)),"")</f>
        <v/>
      </c>
    </row>
    <row r="1181" spans="5:6" x14ac:dyDescent="0.3">
      <c r="E1181" t="str">
        <f>IFERROR(IF(D1181="","",VLOOKUP(D1181,CadProd!$A:$B,2,0)),"")</f>
        <v/>
      </c>
      <c r="F1181" t="str">
        <f>IFERROR(IF(D1181="","",VLOOKUP(D1181,CadProd!$A:$C,3,0)),"")</f>
        <v/>
      </c>
    </row>
    <row r="1182" spans="5:6" x14ac:dyDescent="0.3">
      <c r="E1182" t="str">
        <f>IFERROR(IF(D1182="","",VLOOKUP(D1182,CadProd!$A:$B,2,0)),"")</f>
        <v/>
      </c>
      <c r="F1182" t="str">
        <f>IFERROR(IF(D1182="","",VLOOKUP(D1182,CadProd!$A:$C,3,0)),"")</f>
        <v/>
      </c>
    </row>
    <row r="1183" spans="5:6" x14ac:dyDescent="0.3">
      <c r="E1183" t="str">
        <f>IFERROR(IF(D1183="","",VLOOKUP(D1183,CadProd!$A:$B,2,0)),"")</f>
        <v/>
      </c>
      <c r="F1183" t="str">
        <f>IFERROR(IF(D1183="","",VLOOKUP(D1183,CadProd!$A:$C,3,0)),"")</f>
        <v/>
      </c>
    </row>
    <row r="1184" spans="5:6" x14ac:dyDescent="0.3">
      <c r="E1184" t="str">
        <f>IFERROR(IF(D1184="","",VLOOKUP(D1184,CadProd!$A:$B,2,0)),"")</f>
        <v/>
      </c>
      <c r="F1184" t="str">
        <f>IFERROR(IF(D1184="","",VLOOKUP(D1184,CadProd!$A:$C,3,0)),"")</f>
        <v/>
      </c>
    </row>
    <row r="1185" spans="5:6" x14ac:dyDescent="0.3">
      <c r="E1185" t="str">
        <f>IFERROR(IF(D1185="","",VLOOKUP(D1185,CadProd!$A:$B,2,0)),"")</f>
        <v/>
      </c>
      <c r="F1185" t="str">
        <f>IFERROR(IF(D1185="","",VLOOKUP(D1185,CadProd!$A:$C,3,0)),"")</f>
        <v/>
      </c>
    </row>
    <row r="1186" spans="5:6" x14ac:dyDescent="0.3">
      <c r="E1186" t="str">
        <f>IFERROR(IF(D1186="","",VLOOKUP(D1186,CadProd!$A:$B,2,0)),"")</f>
        <v/>
      </c>
      <c r="F1186" t="str">
        <f>IFERROR(IF(D1186="","",VLOOKUP(D1186,CadProd!$A:$C,3,0)),"")</f>
        <v/>
      </c>
    </row>
    <row r="1187" spans="5:6" x14ac:dyDescent="0.3">
      <c r="E1187" t="str">
        <f>IFERROR(IF(D1187="","",VLOOKUP(D1187,CadProd!$A:$B,2,0)),"")</f>
        <v/>
      </c>
      <c r="F1187" t="str">
        <f>IFERROR(IF(D1187="","",VLOOKUP(D1187,CadProd!$A:$C,3,0)),"")</f>
        <v/>
      </c>
    </row>
    <row r="1188" spans="5:6" x14ac:dyDescent="0.3">
      <c r="E1188" t="str">
        <f>IFERROR(IF(D1188="","",VLOOKUP(D1188,CadProd!$A:$B,2,0)),"")</f>
        <v/>
      </c>
      <c r="F1188" t="str">
        <f>IFERROR(IF(D1188="","",VLOOKUP(D1188,CadProd!$A:$C,3,0)),"")</f>
        <v/>
      </c>
    </row>
    <row r="1189" spans="5:6" x14ac:dyDescent="0.3">
      <c r="E1189" t="str">
        <f>IFERROR(IF(D1189="","",VLOOKUP(D1189,CadProd!$A:$B,2,0)),"")</f>
        <v/>
      </c>
      <c r="F1189" t="str">
        <f>IFERROR(IF(D1189="","",VLOOKUP(D1189,CadProd!$A:$C,3,0)),"")</f>
        <v/>
      </c>
    </row>
    <row r="1190" spans="5:6" x14ac:dyDescent="0.3">
      <c r="E1190" t="str">
        <f>IFERROR(IF(D1190="","",VLOOKUP(D1190,CadProd!$A:$B,2,0)),"")</f>
        <v/>
      </c>
      <c r="F1190" t="str">
        <f>IFERROR(IF(D1190="","",VLOOKUP(D1190,CadProd!$A:$C,3,0)),"")</f>
        <v/>
      </c>
    </row>
    <row r="1191" spans="5:6" x14ac:dyDescent="0.3">
      <c r="E1191" t="str">
        <f>IFERROR(IF(D1191="","",VLOOKUP(D1191,CadProd!$A:$B,2,0)),"")</f>
        <v/>
      </c>
      <c r="F1191" t="str">
        <f>IFERROR(IF(D1191="","",VLOOKUP(D1191,CadProd!$A:$C,3,0)),"")</f>
        <v/>
      </c>
    </row>
    <row r="1192" spans="5:6" x14ac:dyDescent="0.3">
      <c r="E1192" t="str">
        <f>IFERROR(IF(D1192="","",VLOOKUP(D1192,CadProd!$A:$B,2,0)),"")</f>
        <v/>
      </c>
      <c r="F1192" t="str">
        <f>IFERROR(IF(D1192="","",VLOOKUP(D1192,CadProd!$A:$C,3,0)),"")</f>
        <v/>
      </c>
    </row>
    <row r="1193" spans="5:6" x14ac:dyDescent="0.3">
      <c r="E1193" t="str">
        <f>IFERROR(IF(D1193="","",VLOOKUP(D1193,CadProd!$A:$B,2,0)),"")</f>
        <v/>
      </c>
      <c r="F1193" t="str">
        <f>IFERROR(IF(D1193="","",VLOOKUP(D1193,CadProd!$A:$C,3,0)),"")</f>
        <v/>
      </c>
    </row>
    <row r="1194" spans="5:6" x14ac:dyDescent="0.3">
      <c r="E1194" t="str">
        <f>IFERROR(IF(D1194="","",VLOOKUP(D1194,CadProd!$A:$B,2,0)),"")</f>
        <v/>
      </c>
      <c r="F1194" t="str">
        <f>IFERROR(IF(D1194="","",VLOOKUP(D1194,CadProd!$A:$C,3,0)),"")</f>
        <v/>
      </c>
    </row>
    <row r="1195" spans="5:6" x14ac:dyDescent="0.3">
      <c r="E1195" t="str">
        <f>IFERROR(IF(D1195="","",VLOOKUP(D1195,CadProd!$A:$B,2,0)),"")</f>
        <v/>
      </c>
      <c r="F1195" t="str">
        <f>IFERROR(IF(D1195="","",VLOOKUP(D1195,CadProd!$A:$C,3,0)),"")</f>
        <v/>
      </c>
    </row>
    <row r="1196" spans="5:6" x14ac:dyDescent="0.3">
      <c r="E1196" t="str">
        <f>IFERROR(IF(D1196="","",VLOOKUP(D1196,CadProd!$A:$B,2,0)),"")</f>
        <v/>
      </c>
      <c r="F1196" t="str">
        <f>IFERROR(IF(D1196="","",VLOOKUP(D1196,CadProd!$A:$C,3,0)),"")</f>
        <v/>
      </c>
    </row>
    <row r="1197" spans="5:6" x14ac:dyDescent="0.3">
      <c r="E1197" t="str">
        <f>IFERROR(IF(D1197="","",VLOOKUP(D1197,CadProd!$A:$B,2,0)),"")</f>
        <v/>
      </c>
      <c r="F1197" t="str">
        <f>IFERROR(IF(D1197="","",VLOOKUP(D1197,CadProd!$A:$C,3,0)),"")</f>
        <v/>
      </c>
    </row>
    <row r="1198" spans="5:6" x14ac:dyDescent="0.3">
      <c r="E1198" t="str">
        <f>IFERROR(IF(D1198="","",VLOOKUP(D1198,CadProd!$A:$B,2,0)),"")</f>
        <v/>
      </c>
      <c r="F1198" t="str">
        <f>IFERROR(IF(D1198="","",VLOOKUP(D1198,CadProd!$A:$C,3,0)),"")</f>
        <v/>
      </c>
    </row>
    <row r="1199" spans="5:6" x14ac:dyDescent="0.3">
      <c r="E1199" t="str">
        <f>IFERROR(IF(D1199="","",VLOOKUP(D1199,CadProd!$A:$B,2,0)),"")</f>
        <v/>
      </c>
      <c r="F1199" t="str">
        <f>IFERROR(IF(D1199="","",VLOOKUP(D1199,CadProd!$A:$C,3,0)),"")</f>
        <v/>
      </c>
    </row>
    <row r="1200" spans="5:6" x14ac:dyDescent="0.3">
      <c r="E1200" t="str">
        <f>IFERROR(IF(D1200="","",VLOOKUP(D1200,CadProd!$A:$B,2,0)),"")</f>
        <v/>
      </c>
      <c r="F1200" t="str">
        <f>IFERROR(IF(D1200="","",VLOOKUP(D1200,CadProd!$A:$C,3,0)),"")</f>
        <v/>
      </c>
    </row>
    <row r="1201" spans="5:6" x14ac:dyDescent="0.3">
      <c r="E1201" t="str">
        <f>IFERROR(IF(D1201="","",VLOOKUP(D1201,CadProd!$A:$B,2,0)),"")</f>
        <v/>
      </c>
      <c r="F1201" t="str">
        <f>IFERROR(IF(D1201="","",VLOOKUP(D1201,CadProd!$A:$C,3,0)),"")</f>
        <v/>
      </c>
    </row>
    <row r="1202" spans="5:6" x14ac:dyDescent="0.3">
      <c r="E1202" t="str">
        <f>IFERROR(IF(D1202="","",VLOOKUP(D1202,CadProd!$A:$B,2,0)),"")</f>
        <v/>
      </c>
      <c r="F1202" t="str">
        <f>IFERROR(IF(D1202="","",VLOOKUP(D1202,CadProd!$A:$C,3,0)),"")</f>
        <v/>
      </c>
    </row>
    <row r="1203" spans="5:6" x14ac:dyDescent="0.3">
      <c r="E1203" t="str">
        <f>IFERROR(IF(D1203="","",VLOOKUP(D1203,CadProd!$A:$B,2,0)),"")</f>
        <v/>
      </c>
      <c r="F1203" t="str">
        <f>IFERROR(IF(D1203="","",VLOOKUP(D1203,CadProd!$A:$C,3,0)),"")</f>
        <v/>
      </c>
    </row>
    <row r="1204" spans="5:6" x14ac:dyDescent="0.3">
      <c r="E1204" t="str">
        <f>IFERROR(IF(D1204="","",VLOOKUP(D1204,CadProd!$A:$B,2,0)),"")</f>
        <v/>
      </c>
      <c r="F1204" t="str">
        <f>IFERROR(IF(D1204="","",VLOOKUP(D1204,CadProd!$A:$C,3,0)),"")</f>
        <v/>
      </c>
    </row>
    <row r="1205" spans="5:6" x14ac:dyDescent="0.3">
      <c r="E1205" t="str">
        <f>IFERROR(IF(D1205="","",VLOOKUP(D1205,CadProd!$A:$B,2,0)),"")</f>
        <v/>
      </c>
      <c r="F1205" t="str">
        <f>IFERROR(IF(D1205="","",VLOOKUP(D1205,CadProd!$A:$C,3,0)),"")</f>
        <v/>
      </c>
    </row>
    <row r="1206" spans="5:6" x14ac:dyDescent="0.3">
      <c r="E1206" t="str">
        <f>IFERROR(IF(D1206="","",VLOOKUP(D1206,CadProd!$A:$B,2,0)),"")</f>
        <v/>
      </c>
      <c r="F1206" t="str">
        <f>IFERROR(IF(D1206="","",VLOOKUP(D1206,CadProd!$A:$C,3,0)),"")</f>
        <v/>
      </c>
    </row>
    <row r="1207" spans="5:6" x14ac:dyDescent="0.3">
      <c r="E1207" t="str">
        <f>IFERROR(IF(D1207="","",VLOOKUP(D1207,CadProd!$A:$B,2,0)),"")</f>
        <v/>
      </c>
      <c r="F1207" t="str">
        <f>IFERROR(IF(D1207="","",VLOOKUP(D1207,CadProd!$A:$C,3,0)),"")</f>
        <v/>
      </c>
    </row>
    <row r="1208" spans="5:6" x14ac:dyDescent="0.3">
      <c r="E1208" t="str">
        <f>IFERROR(IF(D1208="","",VLOOKUP(D1208,CadProd!$A:$B,2,0)),"")</f>
        <v/>
      </c>
      <c r="F1208" t="str">
        <f>IFERROR(IF(D1208="","",VLOOKUP(D1208,CadProd!$A:$C,3,0)),"")</f>
        <v/>
      </c>
    </row>
    <row r="1209" spans="5:6" x14ac:dyDescent="0.3">
      <c r="E1209" t="str">
        <f>IFERROR(IF(D1209="","",VLOOKUP(D1209,CadProd!$A:$B,2,0)),"")</f>
        <v/>
      </c>
      <c r="F1209" t="str">
        <f>IFERROR(IF(D1209="","",VLOOKUP(D1209,CadProd!$A:$C,3,0)),"")</f>
        <v/>
      </c>
    </row>
    <row r="1210" spans="5:6" x14ac:dyDescent="0.3">
      <c r="E1210" t="str">
        <f>IFERROR(IF(D1210="","",VLOOKUP(D1210,CadProd!$A:$B,2,0)),"")</f>
        <v/>
      </c>
      <c r="F1210" t="str">
        <f>IFERROR(IF(D1210="","",VLOOKUP(D1210,CadProd!$A:$C,3,0)),"")</f>
        <v/>
      </c>
    </row>
    <row r="1211" spans="5:6" x14ac:dyDescent="0.3">
      <c r="E1211" t="str">
        <f>IFERROR(IF(D1211="","",VLOOKUP(D1211,CadProd!$A:$B,2,0)),"")</f>
        <v/>
      </c>
      <c r="F1211" t="str">
        <f>IFERROR(IF(D1211="","",VLOOKUP(D1211,CadProd!$A:$C,3,0)),"")</f>
        <v/>
      </c>
    </row>
    <row r="1212" spans="5:6" x14ac:dyDescent="0.3">
      <c r="E1212" t="str">
        <f>IFERROR(IF(D1212="","",VLOOKUP(D1212,CadProd!$A:$B,2,0)),"")</f>
        <v/>
      </c>
      <c r="F1212" t="str">
        <f>IFERROR(IF(D1212="","",VLOOKUP(D1212,CadProd!$A:$C,3,0)),"")</f>
        <v/>
      </c>
    </row>
    <row r="1213" spans="5:6" x14ac:dyDescent="0.3">
      <c r="E1213" t="str">
        <f>IFERROR(IF(D1213="","",VLOOKUP(D1213,CadProd!$A:$B,2,0)),"")</f>
        <v/>
      </c>
      <c r="F1213" t="str">
        <f>IFERROR(IF(D1213="","",VLOOKUP(D1213,CadProd!$A:$C,3,0)),"")</f>
        <v/>
      </c>
    </row>
    <row r="1214" spans="5:6" x14ac:dyDescent="0.3">
      <c r="E1214" t="str">
        <f>IFERROR(IF(D1214="","",VLOOKUP(D1214,CadProd!$A:$B,2,0)),"")</f>
        <v/>
      </c>
      <c r="F1214" t="str">
        <f>IFERROR(IF(D1214="","",VLOOKUP(D1214,CadProd!$A:$C,3,0)),"")</f>
        <v/>
      </c>
    </row>
    <row r="1215" spans="5:6" x14ac:dyDescent="0.3">
      <c r="E1215" t="str">
        <f>IFERROR(IF(D1215="","",VLOOKUP(D1215,CadProd!$A:$B,2,0)),"")</f>
        <v/>
      </c>
      <c r="F1215" t="str">
        <f>IFERROR(IF(D1215="","",VLOOKUP(D1215,CadProd!$A:$C,3,0)),"")</f>
        <v/>
      </c>
    </row>
    <row r="1216" spans="5:6" x14ac:dyDescent="0.3">
      <c r="E1216" t="str">
        <f>IFERROR(IF(D1216="","",VLOOKUP(D1216,CadProd!$A:$B,2,0)),"")</f>
        <v/>
      </c>
      <c r="F1216" t="str">
        <f>IFERROR(IF(D1216="","",VLOOKUP(D1216,CadProd!$A:$C,3,0)),"")</f>
        <v/>
      </c>
    </row>
    <row r="1217" spans="5:6" x14ac:dyDescent="0.3">
      <c r="E1217" t="str">
        <f>IFERROR(IF(D1217="","",VLOOKUP(D1217,CadProd!$A:$B,2,0)),"")</f>
        <v/>
      </c>
      <c r="F1217" t="str">
        <f>IFERROR(IF(D1217="","",VLOOKUP(D1217,CadProd!$A:$C,3,0)),"")</f>
        <v/>
      </c>
    </row>
    <row r="1218" spans="5:6" x14ac:dyDescent="0.3">
      <c r="E1218" t="str">
        <f>IFERROR(IF(D1218="","",VLOOKUP(D1218,CadProd!$A:$B,2,0)),"")</f>
        <v/>
      </c>
      <c r="F1218" t="str">
        <f>IFERROR(IF(D1218="","",VLOOKUP(D1218,CadProd!$A:$C,3,0)),"")</f>
        <v/>
      </c>
    </row>
    <row r="1219" spans="5:6" x14ac:dyDescent="0.3">
      <c r="E1219" t="str">
        <f>IFERROR(IF(D1219="","",VLOOKUP(D1219,CadProd!$A:$B,2,0)),"")</f>
        <v/>
      </c>
      <c r="F1219" t="str">
        <f>IFERROR(IF(D1219="","",VLOOKUP(D1219,CadProd!$A:$C,3,0)),"")</f>
        <v/>
      </c>
    </row>
    <row r="1220" spans="5:6" x14ac:dyDescent="0.3">
      <c r="E1220" t="str">
        <f>IFERROR(IF(D1220="","",VLOOKUP(D1220,CadProd!$A:$B,2,0)),"")</f>
        <v/>
      </c>
      <c r="F1220" t="str">
        <f>IFERROR(IF(D1220="","",VLOOKUP(D1220,CadProd!$A:$C,3,0)),"")</f>
        <v/>
      </c>
    </row>
    <row r="1221" spans="5:6" x14ac:dyDescent="0.3">
      <c r="E1221" t="str">
        <f>IFERROR(IF(D1221="","",VLOOKUP(D1221,CadProd!$A:$B,2,0)),"")</f>
        <v/>
      </c>
      <c r="F1221" t="str">
        <f>IFERROR(IF(D1221="","",VLOOKUP(D1221,CadProd!$A:$C,3,0)),"")</f>
        <v/>
      </c>
    </row>
    <row r="1222" spans="5:6" x14ac:dyDescent="0.3">
      <c r="E1222" t="str">
        <f>IFERROR(IF(D1222="","",VLOOKUP(D1222,CadProd!$A:$B,2,0)),"")</f>
        <v/>
      </c>
      <c r="F1222" t="str">
        <f>IFERROR(IF(D1222="","",VLOOKUP(D1222,CadProd!$A:$C,3,0)),"")</f>
        <v/>
      </c>
    </row>
    <row r="1223" spans="5:6" x14ac:dyDescent="0.3">
      <c r="E1223" t="str">
        <f>IFERROR(IF(D1223="","",VLOOKUP(D1223,CadProd!$A:$B,2,0)),"")</f>
        <v/>
      </c>
      <c r="F1223" t="str">
        <f>IFERROR(IF(D1223="","",VLOOKUP(D1223,CadProd!$A:$C,3,0)),"")</f>
        <v/>
      </c>
    </row>
    <row r="1224" spans="5:6" x14ac:dyDescent="0.3">
      <c r="E1224" t="str">
        <f>IFERROR(IF(D1224="","",VLOOKUP(D1224,CadProd!$A:$B,2,0)),"")</f>
        <v/>
      </c>
      <c r="F1224" t="str">
        <f>IFERROR(IF(D1224="","",VLOOKUP(D1224,CadProd!$A:$C,3,0)),"")</f>
        <v/>
      </c>
    </row>
    <row r="1225" spans="5:6" x14ac:dyDescent="0.3">
      <c r="E1225" t="str">
        <f>IFERROR(IF(D1225="","",VLOOKUP(D1225,CadProd!$A:$B,2,0)),"")</f>
        <v/>
      </c>
      <c r="F1225" t="str">
        <f>IFERROR(IF(D1225="","",VLOOKUP(D1225,CadProd!$A:$C,3,0)),"")</f>
        <v/>
      </c>
    </row>
    <row r="1226" spans="5:6" x14ac:dyDescent="0.3">
      <c r="E1226" t="str">
        <f>IFERROR(IF(D1226="","",VLOOKUP(D1226,CadProd!$A:$B,2,0)),"")</f>
        <v/>
      </c>
      <c r="F1226" t="str">
        <f>IFERROR(IF(D1226="","",VLOOKUP(D1226,CadProd!$A:$C,3,0)),"")</f>
        <v/>
      </c>
    </row>
    <row r="1227" spans="5:6" x14ac:dyDescent="0.3">
      <c r="E1227" t="str">
        <f>IFERROR(IF(D1227="","",VLOOKUP(D1227,CadProd!$A:$B,2,0)),"")</f>
        <v/>
      </c>
      <c r="F1227" t="str">
        <f>IFERROR(IF(D1227="","",VLOOKUP(D1227,CadProd!$A:$C,3,0)),"")</f>
        <v/>
      </c>
    </row>
    <row r="1228" spans="5:6" x14ac:dyDescent="0.3">
      <c r="E1228" t="str">
        <f>IFERROR(IF(D1228="","",VLOOKUP(D1228,CadProd!$A:$B,2,0)),"")</f>
        <v/>
      </c>
      <c r="F1228" t="str">
        <f>IFERROR(IF(D1228="","",VLOOKUP(D1228,CadProd!$A:$C,3,0)),"")</f>
        <v/>
      </c>
    </row>
    <row r="1229" spans="5:6" x14ac:dyDescent="0.3">
      <c r="E1229" t="str">
        <f>IFERROR(IF(D1229="","",VLOOKUP(D1229,CadProd!$A:$B,2,0)),"")</f>
        <v/>
      </c>
      <c r="F1229" t="str">
        <f>IFERROR(IF(D1229="","",VLOOKUP(D1229,CadProd!$A:$C,3,0)),"")</f>
        <v/>
      </c>
    </row>
    <row r="1230" spans="5:6" x14ac:dyDescent="0.3">
      <c r="E1230" t="str">
        <f>IFERROR(IF(D1230="","",VLOOKUP(D1230,CadProd!$A:$B,2,0)),"")</f>
        <v/>
      </c>
      <c r="F1230" t="str">
        <f>IFERROR(IF(D1230="","",VLOOKUP(D1230,CadProd!$A:$C,3,0)),"")</f>
        <v/>
      </c>
    </row>
    <row r="1231" spans="5:6" x14ac:dyDescent="0.3">
      <c r="E1231" t="str">
        <f>IFERROR(IF(D1231="","",VLOOKUP(D1231,CadProd!$A:$B,2,0)),"")</f>
        <v/>
      </c>
      <c r="F1231" t="str">
        <f>IFERROR(IF(D1231="","",VLOOKUP(D1231,CadProd!$A:$C,3,0)),"")</f>
        <v/>
      </c>
    </row>
    <row r="1232" spans="5:6" x14ac:dyDescent="0.3">
      <c r="E1232" t="str">
        <f>IFERROR(IF(D1232="","",VLOOKUP(D1232,CadProd!$A:$B,2,0)),"")</f>
        <v/>
      </c>
      <c r="F1232" t="str">
        <f>IFERROR(IF(D1232="","",VLOOKUP(D1232,CadProd!$A:$C,3,0)),"")</f>
        <v/>
      </c>
    </row>
    <row r="1233" spans="5:6" x14ac:dyDescent="0.3">
      <c r="E1233" t="str">
        <f>IFERROR(IF(D1233="","",VLOOKUP(D1233,CadProd!$A:$B,2,0)),"")</f>
        <v/>
      </c>
      <c r="F1233" t="str">
        <f>IFERROR(IF(D1233="","",VLOOKUP(D1233,CadProd!$A:$C,3,0)),"")</f>
        <v/>
      </c>
    </row>
    <row r="1234" spans="5:6" x14ac:dyDescent="0.3">
      <c r="E1234" t="str">
        <f>IFERROR(IF(D1234="","",VLOOKUP(D1234,CadProd!$A:$B,2,0)),"")</f>
        <v/>
      </c>
      <c r="F1234" t="str">
        <f>IFERROR(IF(D1234="","",VLOOKUP(D1234,CadProd!$A:$C,3,0)),"")</f>
        <v/>
      </c>
    </row>
    <row r="1235" spans="5:6" x14ac:dyDescent="0.3">
      <c r="E1235" t="str">
        <f>IFERROR(IF(D1235="","",VLOOKUP(D1235,CadProd!$A:$B,2,0)),"")</f>
        <v/>
      </c>
      <c r="F1235" t="str">
        <f>IFERROR(IF(D1235="","",VLOOKUP(D1235,CadProd!$A:$C,3,0)),"")</f>
        <v/>
      </c>
    </row>
    <row r="1236" spans="5:6" x14ac:dyDescent="0.3">
      <c r="E1236" t="str">
        <f>IFERROR(IF(D1236="","",VLOOKUP(D1236,CadProd!$A:$B,2,0)),"")</f>
        <v/>
      </c>
      <c r="F1236" t="str">
        <f>IFERROR(IF(D1236="","",VLOOKUP(D1236,CadProd!$A:$C,3,0)),"")</f>
        <v/>
      </c>
    </row>
    <row r="1237" spans="5:6" x14ac:dyDescent="0.3">
      <c r="E1237" t="str">
        <f>IFERROR(IF(D1237="","",VLOOKUP(D1237,CadProd!$A:$B,2,0)),"")</f>
        <v/>
      </c>
      <c r="F1237" t="str">
        <f>IFERROR(IF(D1237="","",VLOOKUP(D1237,CadProd!$A:$C,3,0)),"")</f>
        <v/>
      </c>
    </row>
    <row r="1238" spans="5:6" x14ac:dyDescent="0.3">
      <c r="E1238" t="str">
        <f>IFERROR(IF(D1238="","",VLOOKUP(D1238,CadProd!$A:$B,2,0)),"")</f>
        <v/>
      </c>
      <c r="F1238" t="str">
        <f>IFERROR(IF(D1238="","",VLOOKUP(D1238,CadProd!$A:$C,3,0)),"")</f>
        <v/>
      </c>
    </row>
    <row r="1239" spans="5:6" x14ac:dyDescent="0.3">
      <c r="E1239" t="str">
        <f>IFERROR(IF(D1239="","",VLOOKUP(D1239,CadProd!$A:$B,2,0)),"")</f>
        <v/>
      </c>
      <c r="F1239" t="str">
        <f>IFERROR(IF(D1239="","",VLOOKUP(D1239,CadProd!$A:$C,3,0)),"")</f>
        <v/>
      </c>
    </row>
    <row r="1240" spans="5:6" x14ac:dyDescent="0.3">
      <c r="E1240" t="str">
        <f>IFERROR(IF(D1240="","",VLOOKUP(D1240,CadProd!$A:$B,2,0)),"")</f>
        <v/>
      </c>
      <c r="F1240" t="str">
        <f>IFERROR(IF(D1240="","",VLOOKUP(D1240,CadProd!$A:$C,3,0)),"")</f>
        <v/>
      </c>
    </row>
    <row r="1241" spans="5:6" x14ac:dyDescent="0.3">
      <c r="E1241" t="str">
        <f>IFERROR(IF(D1241="","",VLOOKUP(D1241,CadProd!$A:$B,2,0)),"")</f>
        <v/>
      </c>
      <c r="F1241" t="str">
        <f>IFERROR(IF(D1241="","",VLOOKUP(D1241,CadProd!$A:$C,3,0)),"")</f>
        <v/>
      </c>
    </row>
    <row r="1242" spans="5:6" x14ac:dyDescent="0.3">
      <c r="E1242" t="str">
        <f>IFERROR(IF(D1242="","",VLOOKUP(D1242,CadProd!$A:$B,2,0)),"")</f>
        <v/>
      </c>
      <c r="F1242" t="str">
        <f>IFERROR(IF(D1242="","",VLOOKUP(D1242,CadProd!$A:$C,3,0)),"")</f>
        <v/>
      </c>
    </row>
    <row r="1243" spans="5:6" x14ac:dyDescent="0.3">
      <c r="E1243" t="str">
        <f>IFERROR(IF(D1243="","",VLOOKUP(D1243,CadProd!$A:$B,2,0)),"")</f>
        <v/>
      </c>
      <c r="F1243" t="str">
        <f>IFERROR(IF(D1243="","",VLOOKUP(D1243,CadProd!$A:$C,3,0)),"")</f>
        <v/>
      </c>
    </row>
    <row r="1244" spans="5:6" x14ac:dyDescent="0.3">
      <c r="E1244" t="str">
        <f>IFERROR(IF(D1244="","",VLOOKUP(D1244,CadProd!$A:$B,2,0)),"")</f>
        <v/>
      </c>
      <c r="F1244" t="str">
        <f>IFERROR(IF(D1244="","",VLOOKUP(D1244,CadProd!$A:$C,3,0)),"")</f>
        <v/>
      </c>
    </row>
    <row r="1245" spans="5:6" x14ac:dyDescent="0.3">
      <c r="E1245" t="str">
        <f>IFERROR(IF(D1245="","",VLOOKUP(D1245,CadProd!$A:$B,2,0)),"")</f>
        <v/>
      </c>
      <c r="F1245" t="str">
        <f>IFERROR(IF(D1245="","",VLOOKUP(D1245,CadProd!$A:$C,3,0)),"")</f>
        <v/>
      </c>
    </row>
    <row r="1246" spans="5:6" x14ac:dyDescent="0.3">
      <c r="E1246" t="str">
        <f>IFERROR(IF(D1246="","",VLOOKUP(D1246,CadProd!$A:$B,2,0)),"")</f>
        <v/>
      </c>
      <c r="F1246" t="str">
        <f>IFERROR(IF(D1246="","",VLOOKUP(D1246,CadProd!$A:$C,3,0)),"")</f>
        <v/>
      </c>
    </row>
    <row r="1247" spans="5:6" x14ac:dyDescent="0.3">
      <c r="E1247" t="str">
        <f>IFERROR(IF(D1247="","",VLOOKUP(D1247,CadProd!$A:$B,2,0)),"")</f>
        <v/>
      </c>
      <c r="F1247" t="str">
        <f>IFERROR(IF(D1247="","",VLOOKUP(D1247,CadProd!$A:$C,3,0)),"")</f>
        <v/>
      </c>
    </row>
    <row r="1248" spans="5:6" x14ac:dyDescent="0.3">
      <c r="E1248" t="str">
        <f>IFERROR(IF(D1248="","",VLOOKUP(D1248,CadProd!$A:$B,2,0)),"")</f>
        <v/>
      </c>
      <c r="F1248" t="str">
        <f>IFERROR(IF(D1248="","",VLOOKUP(D1248,CadProd!$A:$C,3,0)),"")</f>
        <v/>
      </c>
    </row>
    <row r="1249" spans="5:6" x14ac:dyDescent="0.3">
      <c r="E1249" t="str">
        <f>IFERROR(IF(D1249="","",VLOOKUP(D1249,CadProd!$A:$B,2,0)),"")</f>
        <v/>
      </c>
      <c r="F1249" t="str">
        <f>IFERROR(IF(D1249="","",VLOOKUP(D1249,CadProd!$A:$C,3,0)),"")</f>
        <v/>
      </c>
    </row>
    <row r="1250" spans="5:6" x14ac:dyDescent="0.3">
      <c r="E1250" t="str">
        <f>IFERROR(IF(D1250="","",VLOOKUP(D1250,CadProd!$A:$B,2,0)),"")</f>
        <v/>
      </c>
      <c r="F1250" t="str">
        <f>IFERROR(IF(D1250="","",VLOOKUP(D1250,CadProd!$A:$C,3,0)),"")</f>
        <v/>
      </c>
    </row>
    <row r="1251" spans="5:6" x14ac:dyDescent="0.3">
      <c r="E1251" t="str">
        <f>IFERROR(IF(D1251="","",VLOOKUP(D1251,CadProd!$A:$B,2,0)),"")</f>
        <v/>
      </c>
      <c r="F1251" t="str">
        <f>IFERROR(IF(D1251="","",VLOOKUP(D1251,CadProd!$A:$C,3,0)),"")</f>
        <v/>
      </c>
    </row>
    <row r="1252" spans="5:6" x14ac:dyDescent="0.3">
      <c r="E1252" t="str">
        <f>IFERROR(IF(D1252="","",VLOOKUP(D1252,CadProd!$A:$B,2,0)),"")</f>
        <v/>
      </c>
      <c r="F1252" t="str">
        <f>IFERROR(IF(D1252="","",VLOOKUP(D1252,CadProd!$A:$C,3,0)),"")</f>
        <v/>
      </c>
    </row>
    <row r="1253" spans="5:6" x14ac:dyDescent="0.3">
      <c r="E1253" t="str">
        <f>IFERROR(IF(D1253="","",VLOOKUP(D1253,CadProd!$A:$B,2,0)),"")</f>
        <v/>
      </c>
      <c r="F1253" t="str">
        <f>IFERROR(IF(D1253="","",VLOOKUP(D1253,CadProd!$A:$C,3,0)),"")</f>
        <v/>
      </c>
    </row>
    <row r="1254" spans="5:6" x14ac:dyDescent="0.3">
      <c r="E1254" t="str">
        <f>IFERROR(IF(D1254="","",VLOOKUP(D1254,CadProd!$A:$B,2,0)),"")</f>
        <v/>
      </c>
      <c r="F1254" t="str">
        <f>IFERROR(IF(D1254="","",VLOOKUP(D1254,CadProd!$A:$C,3,0)),"")</f>
        <v/>
      </c>
    </row>
    <row r="1255" spans="5:6" x14ac:dyDescent="0.3">
      <c r="E1255" t="str">
        <f>IFERROR(IF(D1255="","",VLOOKUP(D1255,CadProd!$A:$B,2,0)),"")</f>
        <v/>
      </c>
      <c r="F1255" t="str">
        <f>IFERROR(IF(D1255="","",VLOOKUP(D1255,CadProd!$A:$C,3,0)),"")</f>
        <v/>
      </c>
    </row>
    <row r="1256" spans="5:6" x14ac:dyDescent="0.3">
      <c r="E1256" t="str">
        <f>IFERROR(IF(D1256="","",VLOOKUP(D1256,CadProd!$A:$B,2,0)),"")</f>
        <v/>
      </c>
      <c r="F1256" t="str">
        <f>IFERROR(IF(D1256="","",VLOOKUP(D1256,CadProd!$A:$C,3,0)),"")</f>
        <v/>
      </c>
    </row>
    <row r="1257" spans="5:6" x14ac:dyDescent="0.3">
      <c r="E1257" t="str">
        <f>IFERROR(IF(D1257="","",VLOOKUP(D1257,CadProd!$A:$B,2,0)),"")</f>
        <v/>
      </c>
      <c r="F1257" t="str">
        <f>IFERROR(IF(D1257="","",VLOOKUP(D1257,CadProd!$A:$C,3,0)),"")</f>
        <v/>
      </c>
    </row>
    <row r="1258" spans="5:6" x14ac:dyDescent="0.3">
      <c r="E1258" t="str">
        <f>IFERROR(IF(D1258="","",VLOOKUP(D1258,CadProd!$A:$B,2,0)),"")</f>
        <v/>
      </c>
      <c r="F1258" t="str">
        <f>IFERROR(IF(D1258="","",VLOOKUP(D1258,CadProd!$A:$C,3,0)),"")</f>
        <v/>
      </c>
    </row>
    <row r="1259" spans="5:6" x14ac:dyDescent="0.3">
      <c r="E1259" t="str">
        <f>IFERROR(IF(D1259="","",VLOOKUP(D1259,CadProd!$A:$B,2,0)),"")</f>
        <v/>
      </c>
      <c r="F1259" t="str">
        <f>IFERROR(IF(D1259="","",VLOOKUP(D1259,CadProd!$A:$C,3,0)),"")</f>
        <v/>
      </c>
    </row>
    <row r="1260" spans="5:6" x14ac:dyDescent="0.3">
      <c r="E1260" t="str">
        <f>IFERROR(IF(D1260="","",VLOOKUP(D1260,CadProd!$A:$B,2,0)),"")</f>
        <v/>
      </c>
      <c r="F1260" t="str">
        <f>IFERROR(IF(D1260="","",VLOOKUP(D1260,CadProd!$A:$C,3,0)),"")</f>
        <v/>
      </c>
    </row>
    <row r="1261" spans="5:6" x14ac:dyDescent="0.3">
      <c r="E1261" t="str">
        <f>IFERROR(IF(D1261="","",VLOOKUP(D1261,CadProd!$A:$B,2,0)),"")</f>
        <v/>
      </c>
      <c r="F1261" t="str">
        <f>IFERROR(IF(D1261="","",VLOOKUP(D1261,CadProd!$A:$C,3,0)),"")</f>
        <v/>
      </c>
    </row>
    <row r="1262" spans="5:6" x14ac:dyDescent="0.3">
      <c r="E1262" t="str">
        <f>IFERROR(IF(D1262="","",VLOOKUP(D1262,CadProd!$A:$B,2,0)),"")</f>
        <v/>
      </c>
      <c r="F1262" t="str">
        <f>IFERROR(IF(D1262="","",VLOOKUP(D1262,CadProd!$A:$C,3,0)),"")</f>
        <v/>
      </c>
    </row>
    <row r="1263" spans="5:6" x14ac:dyDescent="0.3">
      <c r="E1263" t="str">
        <f>IFERROR(IF(D1263="","",VLOOKUP(D1263,CadProd!$A:$B,2,0)),"")</f>
        <v/>
      </c>
      <c r="F1263" t="str">
        <f>IFERROR(IF(D1263="","",VLOOKUP(D1263,CadProd!$A:$C,3,0)),"")</f>
        <v/>
      </c>
    </row>
    <row r="1264" spans="5:6" x14ac:dyDescent="0.3">
      <c r="E1264" t="str">
        <f>IFERROR(IF(D1264="","",VLOOKUP(D1264,CadProd!$A:$B,2,0)),"")</f>
        <v/>
      </c>
      <c r="F1264" t="str">
        <f>IFERROR(IF(D1264="","",VLOOKUP(D1264,CadProd!$A:$C,3,0)),"")</f>
        <v/>
      </c>
    </row>
    <row r="1265" spans="5:6" x14ac:dyDescent="0.3">
      <c r="E1265" t="str">
        <f>IFERROR(IF(D1265="","",VLOOKUP(D1265,CadProd!$A:$B,2,0)),"")</f>
        <v/>
      </c>
      <c r="F1265" t="str">
        <f>IFERROR(IF(D1265="","",VLOOKUP(D1265,CadProd!$A:$C,3,0)),"")</f>
        <v/>
      </c>
    </row>
    <row r="1266" spans="5:6" x14ac:dyDescent="0.3">
      <c r="E1266" t="str">
        <f>IFERROR(IF(D1266="","",VLOOKUP(D1266,CadProd!$A:$B,2,0)),"")</f>
        <v/>
      </c>
      <c r="F1266" t="str">
        <f>IFERROR(IF(D1266="","",VLOOKUP(D1266,CadProd!$A:$C,3,0)),"")</f>
        <v/>
      </c>
    </row>
    <row r="1267" spans="5:6" x14ac:dyDescent="0.3">
      <c r="E1267" t="str">
        <f>IFERROR(IF(D1267="","",VLOOKUP(D1267,CadProd!$A:$B,2,0)),"")</f>
        <v/>
      </c>
      <c r="F1267" t="str">
        <f>IFERROR(IF(D1267="","",VLOOKUP(D1267,CadProd!$A:$C,3,0)),"")</f>
        <v/>
      </c>
    </row>
    <row r="1268" spans="5:6" x14ac:dyDescent="0.3">
      <c r="E1268" t="str">
        <f>IFERROR(IF(D1268="","",VLOOKUP(D1268,CadProd!$A:$B,2,0)),"")</f>
        <v/>
      </c>
      <c r="F1268" t="str">
        <f>IFERROR(IF(D1268="","",VLOOKUP(D1268,CadProd!$A:$C,3,0)),"")</f>
        <v/>
      </c>
    </row>
    <row r="1269" spans="5:6" x14ac:dyDescent="0.3">
      <c r="E1269" t="str">
        <f>IFERROR(IF(D1269="","",VLOOKUP(D1269,CadProd!$A:$B,2,0)),"")</f>
        <v/>
      </c>
      <c r="F1269" t="str">
        <f>IFERROR(IF(D1269="","",VLOOKUP(D1269,CadProd!$A:$C,3,0)),"")</f>
        <v/>
      </c>
    </row>
    <row r="1270" spans="5:6" x14ac:dyDescent="0.3">
      <c r="E1270" t="str">
        <f>IFERROR(IF(D1270="","",VLOOKUP(D1270,CadProd!$A:$B,2,0)),"")</f>
        <v/>
      </c>
      <c r="F1270" t="str">
        <f>IFERROR(IF(D1270="","",VLOOKUP(D1270,CadProd!$A:$C,3,0)),"")</f>
        <v/>
      </c>
    </row>
    <row r="1271" spans="5:6" x14ac:dyDescent="0.3">
      <c r="E1271" t="str">
        <f>IFERROR(IF(D1271="","",VLOOKUP(D1271,CadProd!$A:$B,2,0)),"")</f>
        <v/>
      </c>
      <c r="F1271" t="str">
        <f>IFERROR(IF(D1271="","",VLOOKUP(D1271,CadProd!$A:$C,3,0)),"")</f>
        <v/>
      </c>
    </row>
    <row r="1272" spans="5:6" x14ac:dyDescent="0.3">
      <c r="E1272" t="str">
        <f>IFERROR(IF(D1272="","",VLOOKUP(D1272,CadProd!$A:$B,2,0)),"")</f>
        <v/>
      </c>
      <c r="F1272" t="str">
        <f>IFERROR(IF(D1272="","",VLOOKUP(D1272,CadProd!$A:$C,3,0)),"")</f>
        <v/>
      </c>
    </row>
    <row r="1273" spans="5:6" x14ac:dyDescent="0.3">
      <c r="E1273" t="str">
        <f>IFERROR(IF(D1273="","",VLOOKUP(D1273,CadProd!$A:$B,2,0)),"")</f>
        <v/>
      </c>
      <c r="F1273" t="str">
        <f>IFERROR(IF(D1273="","",VLOOKUP(D1273,CadProd!$A:$C,3,0)),"")</f>
        <v/>
      </c>
    </row>
    <row r="1274" spans="5:6" x14ac:dyDescent="0.3">
      <c r="E1274" t="str">
        <f>IFERROR(IF(D1274="","",VLOOKUP(D1274,CadProd!$A:$B,2,0)),"")</f>
        <v/>
      </c>
      <c r="F1274" t="str">
        <f>IFERROR(IF(D1274="","",VLOOKUP(D1274,CadProd!$A:$C,3,0)),"")</f>
        <v/>
      </c>
    </row>
    <row r="1275" spans="5:6" x14ac:dyDescent="0.3">
      <c r="E1275" t="str">
        <f>IFERROR(IF(D1275="","",VLOOKUP(D1275,CadProd!$A:$B,2,0)),"")</f>
        <v/>
      </c>
      <c r="F1275" t="str">
        <f>IFERROR(IF(D1275="","",VLOOKUP(D1275,CadProd!$A:$C,3,0)),"")</f>
        <v/>
      </c>
    </row>
    <row r="1276" spans="5:6" x14ac:dyDescent="0.3">
      <c r="E1276" t="str">
        <f>IFERROR(IF(D1276="","",VLOOKUP(D1276,CadProd!$A:$B,2,0)),"")</f>
        <v/>
      </c>
      <c r="F1276" t="str">
        <f>IFERROR(IF(D1276="","",VLOOKUP(D1276,CadProd!$A:$C,3,0)),"")</f>
        <v/>
      </c>
    </row>
    <row r="1277" spans="5:6" x14ac:dyDescent="0.3">
      <c r="E1277" t="str">
        <f>IFERROR(IF(D1277="","",VLOOKUP(D1277,CadProd!$A:$B,2,0)),"")</f>
        <v/>
      </c>
      <c r="F1277" t="str">
        <f>IFERROR(IF(D1277="","",VLOOKUP(D1277,CadProd!$A:$C,3,0)),"")</f>
        <v/>
      </c>
    </row>
    <row r="1278" spans="5:6" x14ac:dyDescent="0.3">
      <c r="E1278" t="str">
        <f>IFERROR(IF(D1278="","",VLOOKUP(D1278,CadProd!$A:$B,2,0)),"")</f>
        <v/>
      </c>
      <c r="F1278" t="str">
        <f>IFERROR(IF(D1278="","",VLOOKUP(D1278,CadProd!$A:$C,3,0)),"")</f>
        <v/>
      </c>
    </row>
    <row r="1279" spans="5:6" x14ac:dyDescent="0.3">
      <c r="E1279" t="str">
        <f>IFERROR(IF(D1279="","",VLOOKUP(D1279,CadProd!$A:$B,2,0)),"")</f>
        <v/>
      </c>
      <c r="F1279" t="str">
        <f>IFERROR(IF(D1279="","",VLOOKUP(D1279,CadProd!$A:$C,3,0)),"")</f>
        <v/>
      </c>
    </row>
    <row r="1280" spans="5:6" x14ac:dyDescent="0.3">
      <c r="E1280" t="str">
        <f>IFERROR(IF(D1280="","",VLOOKUP(D1280,CadProd!$A:$B,2,0)),"")</f>
        <v/>
      </c>
      <c r="F1280" t="str">
        <f>IFERROR(IF(D1280="","",VLOOKUP(D1280,CadProd!$A:$C,3,0)),"")</f>
        <v/>
      </c>
    </row>
    <row r="1281" spans="5:6" x14ac:dyDescent="0.3">
      <c r="E1281" t="str">
        <f>IFERROR(IF(D1281="","",VLOOKUP(D1281,CadProd!$A:$B,2,0)),"")</f>
        <v/>
      </c>
      <c r="F1281" t="str">
        <f>IFERROR(IF(D1281="","",VLOOKUP(D1281,CadProd!$A:$C,3,0)),"")</f>
        <v/>
      </c>
    </row>
    <row r="1282" spans="5:6" x14ac:dyDescent="0.3">
      <c r="E1282" t="str">
        <f>IFERROR(IF(D1282="","",VLOOKUP(D1282,CadProd!$A:$B,2,0)),"")</f>
        <v/>
      </c>
      <c r="F1282" t="str">
        <f>IFERROR(IF(D1282="","",VLOOKUP(D1282,CadProd!$A:$C,3,0)),"")</f>
        <v/>
      </c>
    </row>
    <row r="1283" spans="5:6" x14ac:dyDescent="0.3">
      <c r="E1283" t="str">
        <f>IFERROR(IF(D1283="","",VLOOKUP(D1283,CadProd!$A:$B,2,0)),"")</f>
        <v/>
      </c>
      <c r="F1283" t="str">
        <f>IFERROR(IF(D1283="","",VLOOKUP(D1283,CadProd!$A:$C,3,0)),"")</f>
        <v/>
      </c>
    </row>
    <row r="1284" spans="5:6" x14ac:dyDescent="0.3">
      <c r="E1284" t="str">
        <f>IFERROR(IF(D1284="","",VLOOKUP(D1284,CadProd!$A:$B,2,0)),"")</f>
        <v/>
      </c>
      <c r="F1284" t="str">
        <f>IFERROR(IF(D1284="","",VLOOKUP(D1284,CadProd!$A:$C,3,0)),"")</f>
        <v/>
      </c>
    </row>
    <row r="1285" spans="5:6" x14ac:dyDescent="0.3">
      <c r="E1285" t="str">
        <f>IFERROR(IF(D1285="","",VLOOKUP(D1285,CadProd!$A:$B,2,0)),"")</f>
        <v/>
      </c>
      <c r="F1285" t="str">
        <f>IFERROR(IF(D1285="","",VLOOKUP(D1285,CadProd!$A:$C,3,0)),"")</f>
        <v/>
      </c>
    </row>
    <row r="1286" spans="5:6" x14ac:dyDescent="0.3">
      <c r="E1286" t="str">
        <f>IFERROR(IF(D1286="","",VLOOKUP(D1286,CadProd!$A:$B,2,0)),"")</f>
        <v/>
      </c>
      <c r="F1286" t="str">
        <f>IFERROR(IF(D1286="","",VLOOKUP(D1286,CadProd!$A:$C,3,0)),"")</f>
        <v/>
      </c>
    </row>
    <row r="1287" spans="5:6" x14ac:dyDescent="0.3">
      <c r="E1287" t="str">
        <f>IFERROR(IF(D1287="","",VLOOKUP(D1287,CadProd!$A:$B,2,0)),"")</f>
        <v/>
      </c>
      <c r="F1287" t="str">
        <f>IFERROR(IF(D1287="","",VLOOKUP(D1287,CadProd!$A:$C,3,0)),"")</f>
        <v/>
      </c>
    </row>
    <row r="1288" spans="5:6" x14ac:dyDescent="0.3">
      <c r="E1288" t="str">
        <f>IFERROR(IF(D1288="","",VLOOKUP(D1288,CadProd!$A:$B,2,0)),"")</f>
        <v/>
      </c>
      <c r="F1288" t="str">
        <f>IFERROR(IF(D1288="","",VLOOKUP(D1288,CadProd!$A:$C,3,0)),"")</f>
        <v/>
      </c>
    </row>
    <row r="1289" spans="5:6" x14ac:dyDescent="0.3">
      <c r="E1289" t="str">
        <f>IFERROR(IF(D1289="","",VLOOKUP(D1289,CadProd!$A:$B,2,0)),"")</f>
        <v/>
      </c>
      <c r="F1289" t="str">
        <f>IFERROR(IF(D1289="","",VLOOKUP(D1289,CadProd!$A:$C,3,0)),"")</f>
        <v/>
      </c>
    </row>
    <row r="1290" spans="5:6" x14ac:dyDescent="0.3">
      <c r="E1290" t="str">
        <f>IFERROR(IF(D1290="","",VLOOKUP(D1290,CadProd!$A:$B,2,0)),"")</f>
        <v/>
      </c>
      <c r="F1290" t="str">
        <f>IFERROR(IF(D1290="","",VLOOKUP(D1290,CadProd!$A:$C,3,0)),"")</f>
        <v/>
      </c>
    </row>
    <row r="1291" spans="5:6" x14ac:dyDescent="0.3">
      <c r="E1291" t="str">
        <f>IFERROR(IF(D1291="","",VLOOKUP(D1291,CadProd!$A:$B,2,0)),"")</f>
        <v/>
      </c>
      <c r="F1291" t="str">
        <f>IFERROR(IF(D1291="","",VLOOKUP(D1291,CadProd!$A:$C,3,0)),"")</f>
        <v/>
      </c>
    </row>
    <row r="1292" spans="5:6" x14ac:dyDescent="0.3">
      <c r="E1292" t="str">
        <f>IFERROR(IF(D1292="","",VLOOKUP(D1292,CadProd!$A:$B,2,0)),"")</f>
        <v/>
      </c>
      <c r="F1292" t="str">
        <f>IFERROR(IF(D1292="","",VLOOKUP(D1292,CadProd!$A:$C,3,0)),"")</f>
        <v/>
      </c>
    </row>
    <row r="1293" spans="5:6" x14ac:dyDescent="0.3">
      <c r="E1293" t="str">
        <f>IFERROR(IF(D1293="","",VLOOKUP(D1293,CadProd!$A:$B,2,0)),"")</f>
        <v/>
      </c>
      <c r="F1293" t="str">
        <f>IFERROR(IF(D1293="","",VLOOKUP(D1293,CadProd!$A:$C,3,0)),"")</f>
        <v/>
      </c>
    </row>
    <row r="1294" spans="5:6" x14ac:dyDescent="0.3">
      <c r="E1294" t="str">
        <f>IFERROR(IF(D1294="","",VLOOKUP(D1294,CadProd!$A:$B,2,0)),"")</f>
        <v/>
      </c>
      <c r="F1294" t="str">
        <f>IFERROR(IF(D1294="","",VLOOKUP(D1294,CadProd!$A:$C,3,0)),"")</f>
        <v/>
      </c>
    </row>
    <row r="1295" spans="5:6" x14ac:dyDescent="0.3">
      <c r="E1295" t="str">
        <f>IFERROR(IF(D1295="","",VLOOKUP(D1295,CadProd!$A:$B,2,0)),"")</f>
        <v/>
      </c>
      <c r="F1295" t="str">
        <f>IFERROR(IF(D1295="","",VLOOKUP(D1295,CadProd!$A:$C,3,0)),"")</f>
        <v/>
      </c>
    </row>
    <row r="1296" spans="5:6" x14ac:dyDescent="0.3">
      <c r="E1296" t="str">
        <f>IFERROR(IF(D1296="","",VLOOKUP(D1296,CadProd!$A:$B,2,0)),"")</f>
        <v/>
      </c>
      <c r="F1296" t="str">
        <f>IFERROR(IF(D1296="","",VLOOKUP(D1296,CadProd!$A:$C,3,0)),"")</f>
        <v/>
      </c>
    </row>
    <row r="1297" spans="5:6" x14ac:dyDescent="0.3">
      <c r="E1297" t="str">
        <f>IFERROR(IF(D1297="","",VLOOKUP(D1297,CadProd!$A:$B,2,0)),"")</f>
        <v/>
      </c>
      <c r="F1297" t="str">
        <f>IFERROR(IF(D1297="","",VLOOKUP(D1297,CadProd!$A:$C,3,0)),"")</f>
        <v/>
      </c>
    </row>
    <row r="1298" spans="5:6" x14ac:dyDescent="0.3">
      <c r="E1298" t="str">
        <f>IFERROR(IF(D1298="","",VLOOKUP(D1298,CadProd!$A:$B,2,0)),"")</f>
        <v/>
      </c>
      <c r="F1298" t="str">
        <f>IFERROR(IF(D1298="","",VLOOKUP(D1298,CadProd!$A:$C,3,0)),"")</f>
        <v/>
      </c>
    </row>
    <row r="1299" spans="5:6" x14ac:dyDescent="0.3">
      <c r="E1299" t="str">
        <f>IFERROR(IF(D1299="","",VLOOKUP(D1299,CadProd!$A:$B,2,0)),"")</f>
        <v/>
      </c>
      <c r="F1299" t="str">
        <f>IFERROR(IF(D1299="","",VLOOKUP(D1299,CadProd!$A:$C,3,0)),"")</f>
        <v/>
      </c>
    </row>
    <row r="1300" spans="5:6" x14ac:dyDescent="0.3">
      <c r="E1300" t="str">
        <f>IFERROR(IF(D1300="","",VLOOKUP(D1300,CadProd!$A:$B,2,0)),"")</f>
        <v/>
      </c>
      <c r="F1300" t="str">
        <f>IFERROR(IF(D1300="","",VLOOKUP(D1300,CadProd!$A:$C,3,0)),"")</f>
        <v/>
      </c>
    </row>
    <row r="1301" spans="5:6" x14ac:dyDescent="0.3">
      <c r="E1301" t="str">
        <f>IFERROR(IF(D1301="","",VLOOKUP(D1301,CadProd!$A:$B,2,0)),"")</f>
        <v/>
      </c>
      <c r="F1301" t="str">
        <f>IFERROR(IF(D1301="","",VLOOKUP(D1301,CadProd!$A:$C,3,0)),"")</f>
        <v/>
      </c>
    </row>
    <row r="1302" spans="5:6" x14ac:dyDescent="0.3">
      <c r="E1302" t="str">
        <f>IFERROR(IF(D1302="","",VLOOKUP(D1302,CadProd!$A:$B,2,0)),"")</f>
        <v/>
      </c>
      <c r="F1302" t="str">
        <f>IFERROR(IF(D1302="","",VLOOKUP(D1302,CadProd!$A:$C,3,0)),"")</f>
        <v/>
      </c>
    </row>
    <row r="1303" spans="5:6" x14ac:dyDescent="0.3">
      <c r="E1303" t="str">
        <f>IFERROR(IF(D1303="","",VLOOKUP(D1303,CadProd!$A:$B,2,0)),"")</f>
        <v/>
      </c>
      <c r="F1303" t="str">
        <f>IFERROR(IF(D1303="","",VLOOKUP(D1303,CadProd!$A:$C,3,0)),"")</f>
        <v/>
      </c>
    </row>
    <row r="1304" spans="5:6" x14ac:dyDescent="0.3">
      <c r="E1304" t="str">
        <f>IFERROR(IF(D1304="","",VLOOKUP(D1304,CadProd!$A:$B,2,0)),"")</f>
        <v/>
      </c>
      <c r="F1304" t="str">
        <f>IFERROR(IF(D1304="","",VLOOKUP(D1304,CadProd!$A:$C,3,0)),"")</f>
        <v/>
      </c>
    </row>
    <row r="1305" spans="5:6" x14ac:dyDescent="0.3">
      <c r="E1305" t="str">
        <f>IFERROR(IF(D1305="","",VLOOKUP(D1305,CadProd!$A:$B,2,0)),"")</f>
        <v/>
      </c>
      <c r="F1305" t="str">
        <f>IFERROR(IF(D1305="","",VLOOKUP(D1305,CadProd!$A:$C,3,0)),"")</f>
        <v/>
      </c>
    </row>
    <row r="1306" spans="5:6" x14ac:dyDescent="0.3">
      <c r="E1306" t="str">
        <f>IFERROR(IF(D1306="","",VLOOKUP(D1306,CadProd!$A:$B,2,0)),"")</f>
        <v/>
      </c>
      <c r="F1306" t="str">
        <f>IFERROR(IF(D1306="","",VLOOKUP(D1306,CadProd!$A:$C,3,0)),"")</f>
        <v/>
      </c>
    </row>
    <row r="1307" spans="5:6" x14ac:dyDescent="0.3">
      <c r="E1307" t="str">
        <f>IFERROR(IF(D1307="","",VLOOKUP(D1307,CadProd!$A:$B,2,0)),"")</f>
        <v/>
      </c>
      <c r="F1307" t="str">
        <f>IFERROR(IF(D1307="","",VLOOKUP(D1307,CadProd!$A:$C,3,0)),"")</f>
        <v/>
      </c>
    </row>
    <row r="1308" spans="5:6" x14ac:dyDescent="0.3">
      <c r="E1308" t="str">
        <f>IFERROR(IF(D1308="","",VLOOKUP(D1308,CadProd!$A:$B,2,0)),"")</f>
        <v/>
      </c>
      <c r="F1308" t="str">
        <f>IFERROR(IF(D1308="","",VLOOKUP(D1308,CadProd!$A:$C,3,0)),"")</f>
        <v/>
      </c>
    </row>
    <row r="1309" spans="5:6" x14ac:dyDescent="0.3">
      <c r="E1309" t="str">
        <f>IFERROR(IF(D1309="","",VLOOKUP(D1309,CadProd!$A:$B,2,0)),"")</f>
        <v/>
      </c>
      <c r="F1309" t="str">
        <f>IFERROR(IF(D1309="","",VLOOKUP(D1309,CadProd!$A:$C,3,0)),"")</f>
        <v/>
      </c>
    </row>
    <row r="1310" spans="5:6" x14ac:dyDescent="0.3">
      <c r="E1310" t="str">
        <f>IFERROR(IF(D1310="","",VLOOKUP(D1310,CadProd!$A:$B,2,0)),"")</f>
        <v/>
      </c>
      <c r="F1310" t="str">
        <f>IFERROR(IF(D1310="","",VLOOKUP(D1310,CadProd!$A:$C,3,0)),"")</f>
        <v/>
      </c>
    </row>
    <row r="1311" spans="5:6" x14ac:dyDescent="0.3">
      <c r="E1311" t="str">
        <f>IFERROR(IF(D1311="","",VLOOKUP(D1311,CadProd!$A:$B,2,0)),"")</f>
        <v/>
      </c>
      <c r="F1311" t="str">
        <f>IFERROR(IF(D1311="","",VLOOKUP(D1311,CadProd!$A:$C,3,0)),"")</f>
        <v/>
      </c>
    </row>
    <row r="1312" spans="5:6" x14ac:dyDescent="0.3">
      <c r="E1312" t="str">
        <f>IFERROR(IF(D1312="","",VLOOKUP(D1312,CadProd!$A:$B,2,0)),"")</f>
        <v/>
      </c>
      <c r="F1312" t="str">
        <f>IFERROR(IF(D1312="","",VLOOKUP(D1312,CadProd!$A:$C,3,0)),"")</f>
        <v/>
      </c>
    </row>
    <row r="1313" spans="5:6" x14ac:dyDescent="0.3">
      <c r="E1313" t="str">
        <f>IFERROR(IF(D1313="","",VLOOKUP(D1313,CadProd!$A:$B,2,0)),"")</f>
        <v/>
      </c>
      <c r="F1313" t="str">
        <f>IFERROR(IF(D1313="","",VLOOKUP(D1313,CadProd!$A:$C,3,0)),"")</f>
        <v/>
      </c>
    </row>
    <row r="1314" spans="5:6" x14ac:dyDescent="0.3">
      <c r="E1314" t="str">
        <f>IFERROR(IF(D1314="","",VLOOKUP(D1314,CadProd!$A:$B,2,0)),"")</f>
        <v/>
      </c>
      <c r="F1314" t="str">
        <f>IFERROR(IF(D1314="","",VLOOKUP(D1314,CadProd!$A:$C,3,0)),"")</f>
        <v/>
      </c>
    </row>
    <row r="1315" spans="5:6" x14ac:dyDescent="0.3">
      <c r="E1315" t="str">
        <f>IFERROR(IF(D1315="","",VLOOKUP(D1315,CadProd!$A:$B,2,0)),"")</f>
        <v/>
      </c>
      <c r="F1315" t="str">
        <f>IFERROR(IF(D1315="","",VLOOKUP(D1315,CadProd!$A:$C,3,0)),"")</f>
        <v/>
      </c>
    </row>
    <row r="1316" spans="5:6" x14ac:dyDescent="0.3">
      <c r="E1316" t="str">
        <f>IFERROR(IF(D1316="","",VLOOKUP(D1316,CadProd!$A:$B,2,0)),"")</f>
        <v/>
      </c>
      <c r="F1316" t="str">
        <f>IFERROR(IF(D1316="","",VLOOKUP(D1316,CadProd!$A:$C,3,0)),"")</f>
        <v/>
      </c>
    </row>
    <row r="1317" spans="5:6" x14ac:dyDescent="0.3">
      <c r="E1317" t="str">
        <f>IFERROR(IF(D1317="","",VLOOKUP(D1317,CadProd!$A:$B,2,0)),"")</f>
        <v/>
      </c>
      <c r="F1317" t="str">
        <f>IFERROR(IF(D1317="","",VLOOKUP(D1317,CadProd!$A:$C,3,0)),"")</f>
        <v/>
      </c>
    </row>
    <row r="1318" spans="5:6" x14ac:dyDescent="0.3">
      <c r="E1318" t="str">
        <f>IFERROR(IF(D1318="","",VLOOKUP(D1318,CadProd!$A:$B,2,0)),"")</f>
        <v/>
      </c>
      <c r="F1318" t="str">
        <f>IFERROR(IF(D1318="","",VLOOKUP(D1318,CadProd!$A:$C,3,0)),"")</f>
        <v/>
      </c>
    </row>
    <row r="1319" spans="5:6" x14ac:dyDescent="0.3">
      <c r="E1319" t="str">
        <f>IFERROR(IF(D1319="","",VLOOKUP(D1319,CadProd!$A:$B,2,0)),"")</f>
        <v/>
      </c>
      <c r="F1319" t="str">
        <f>IFERROR(IF(D1319="","",VLOOKUP(D1319,CadProd!$A:$C,3,0)),"")</f>
        <v/>
      </c>
    </row>
    <row r="1320" spans="5:6" x14ac:dyDescent="0.3">
      <c r="E1320" t="str">
        <f>IFERROR(IF(D1320="","",VLOOKUP(D1320,CadProd!$A:$B,2,0)),"")</f>
        <v/>
      </c>
      <c r="F1320" t="str">
        <f>IFERROR(IF(D1320="","",VLOOKUP(D1320,CadProd!$A:$C,3,0)),"")</f>
        <v/>
      </c>
    </row>
    <row r="1321" spans="5:6" x14ac:dyDescent="0.3">
      <c r="E1321" t="str">
        <f>IFERROR(IF(D1321="","",VLOOKUP(D1321,CadProd!$A:$B,2,0)),"")</f>
        <v/>
      </c>
      <c r="F1321" t="str">
        <f>IFERROR(IF(D1321="","",VLOOKUP(D1321,CadProd!$A:$C,3,0)),"")</f>
        <v/>
      </c>
    </row>
    <row r="1322" spans="5:6" x14ac:dyDescent="0.3">
      <c r="E1322" t="str">
        <f>IFERROR(IF(D1322="","",VLOOKUP(D1322,CadProd!$A:$B,2,0)),"")</f>
        <v/>
      </c>
      <c r="F1322" t="str">
        <f>IFERROR(IF(D1322="","",VLOOKUP(D1322,CadProd!$A:$C,3,0)),"")</f>
        <v/>
      </c>
    </row>
    <row r="1323" spans="5:6" x14ac:dyDescent="0.3">
      <c r="E1323" t="str">
        <f>IFERROR(IF(D1323="","",VLOOKUP(D1323,CadProd!$A:$B,2,0)),"")</f>
        <v/>
      </c>
      <c r="F1323" t="str">
        <f>IFERROR(IF(D1323="","",VLOOKUP(D1323,CadProd!$A:$C,3,0)),"")</f>
        <v/>
      </c>
    </row>
    <row r="1324" spans="5:6" x14ac:dyDescent="0.3">
      <c r="E1324" t="str">
        <f>IFERROR(IF(D1324="","",VLOOKUP(D1324,CadProd!$A:$B,2,0)),"")</f>
        <v/>
      </c>
      <c r="F1324" t="str">
        <f>IFERROR(IF(D1324="","",VLOOKUP(D1324,CadProd!$A:$C,3,0)),"")</f>
        <v/>
      </c>
    </row>
    <row r="1325" spans="5:6" x14ac:dyDescent="0.3">
      <c r="E1325" t="str">
        <f>IFERROR(IF(D1325="","",VLOOKUP(D1325,CadProd!$A:$B,2,0)),"")</f>
        <v/>
      </c>
      <c r="F1325" t="str">
        <f>IFERROR(IF(D1325="","",VLOOKUP(D1325,CadProd!$A:$C,3,0)),"")</f>
        <v/>
      </c>
    </row>
    <row r="1326" spans="5:6" x14ac:dyDescent="0.3">
      <c r="E1326" t="str">
        <f>IFERROR(IF(D1326="","",VLOOKUP(D1326,CadProd!$A:$B,2,0)),"")</f>
        <v/>
      </c>
      <c r="F1326" t="str">
        <f>IFERROR(IF(D1326="","",VLOOKUP(D1326,CadProd!$A:$C,3,0)),"")</f>
        <v/>
      </c>
    </row>
    <row r="1327" spans="5:6" x14ac:dyDescent="0.3">
      <c r="E1327" t="str">
        <f>IFERROR(IF(D1327="","",VLOOKUP(D1327,CadProd!$A:$B,2,0)),"")</f>
        <v/>
      </c>
      <c r="F1327" t="str">
        <f>IFERROR(IF(D1327="","",VLOOKUP(D1327,CadProd!$A:$C,3,0)),"")</f>
        <v/>
      </c>
    </row>
    <row r="1328" spans="5:6" x14ac:dyDescent="0.3">
      <c r="E1328" t="str">
        <f>IFERROR(IF(D1328="","",VLOOKUP(D1328,CadProd!$A:$B,2,0)),"")</f>
        <v/>
      </c>
      <c r="F1328" t="str">
        <f>IFERROR(IF(D1328="","",VLOOKUP(D1328,CadProd!$A:$C,3,0)),"")</f>
        <v/>
      </c>
    </row>
    <row r="1329" spans="5:6" x14ac:dyDescent="0.3">
      <c r="E1329" t="str">
        <f>IFERROR(IF(D1329="","",VLOOKUP(D1329,CadProd!$A:$B,2,0)),"")</f>
        <v/>
      </c>
      <c r="F1329" t="str">
        <f>IFERROR(IF(D1329="","",VLOOKUP(D1329,CadProd!$A:$C,3,0)),"")</f>
        <v/>
      </c>
    </row>
    <row r="1330" spans="5:6" x14ac:dyDescent="0.3">
      <c r="E1330" t="str">
        <f>IFERROR(IF(D1330="","",VLOOKUP(D1330,CadProd!$A:$B,2,0)),"")</f>
        <v/>
      </c>
      <c r="F1330" t="str">
        <f>IFERROR(IF(D1330="","",VLOOKUP(D1330,CadProd!$A:$C,3,0)),"")</f>
        <v/>
      </c>
    </row>
    <row r="1331" spans="5:6" x14ac:dyDescent="0.3">
      <c r="E1331" t="str">
        <f>IFERROR(IF(D1331="","",VLOOKUP(D1331,CadProd!$A:$B,2,0)),"")</f>
        <v/>
      </c>
      <c r="F1331" t="str">
        <f>IFERROR(IF(D1331="","",VLOOKUP(D1331,CadProd!$A:$C,3,0)),"")</f>
        <v/>
      </c>
    </row>
    <row r="1332" spans="5:6" x14ac:dyDescent="0.3">
      <c r="E1332" t="str">
        <f>IFERROR(IF(D1332="","",VLOOKUP(D1332,CadProd!$A:$B,2,0)),"")</f>
        <v/>
      </c>
      <c r="F1332" t="str">
        <f>IFERROR(IF(D1332="","",VLOOKUP(D1332,CadProd!$A:$C,3,0)),"")</f>
        <v/>
      </c>
    </row>
    <row r="1333" spans="5:6" x14ac:dyDescent="0.3">
      <c r="E1333" t="str">
        <f>IFERROR(IF(D1333="","",VLOOKUP(D1333,CadProd!$A:$B,2,0)),"")</f>
        <v/>
      </c>
      <c r="F1333" t="str">
        <f>IFERROR(IF(D1333="","",VLOOKUP(D1333,CadProd!$A:$C,3,0)),"")</f>
        <v/>
      </c>
    </row>
    <row r="1334" spans="5:6" x14ac:dyDescent="0.3">
      <c r="E1334" t="str">
        <f>IFERROR(IF(D1334="","",VLOOKUP(D1334,CadProd!$A:$B,2,0)),"")</f>
        <v/>
      </c>
      <c r="F1334" t="str">
        <f>IFERROR(IF(D1334="","",VLOOKUP(D1334,CadProd!$A:$C,3,0)),"")</f>
        <v/>
      </c>
    </row>
    <row r="1335" spans="5:6" x14ac:dyDescent="0.3">
      <c r="E1335" t="str">
        <f>IFERROR(IF(D1335="","",VLOOKUP(D1335,CadProd!$A:$B,2,0)),"")</f>
        <v/>
      </c>
      <c r="F1335" t="str">
        <f>IFERROR(IF(D1335="","",VLOOKUP(D1335,CadProd!$A:$C,3,0)),"")</f>
        <v/>
      </c>
    </row>
    <row r="1336" spans="5:6" x14ac:dyDescent="0.3">
      <c r="E1336" t="str">
        <f>IFERROR(IF(D1336="","",VLOOKUP(D1336,CadProd!$A:$B,2,0)),"")</f>
        <v/>
      </c>
      <c r="F1336" t="str">
        <f>IFERROR(IF(D1336="","",VLOOKUP(D1336,CadProd!$A:$C,3,0)),"")</f>
        <v/>
      </c>
    </row>
    <row r="1337" spans="5:6" x14ac:dyDescent="0.3">
      <c r="E1337" t="str">
        <f>IFERROR(IF(D1337="","",VLOOKUP(D1337,CadProd!$A:$B,2,0)),"")</f>
        <v/>
      </c>
      <c r="F1337" t="str">
        <f>IFERROR(IF(D1337="","",VLOOKUP(D1337,CadProd!$A:$C,3,0)),"")</f>
        <v/>
      </c>
    </row>
    <row r="1338" spans="5:6" x14ac:dyDescent="0.3">
      <c r="E1338" t="str">
        <f>IFERROR(IF(D1338="","",VLOOKUP(D1338,CadProd!$A:$B,2,0)),"")</f>
        <v/>
      </c>
      <c r="F1338" t="str">
        <f>IFERROR(IF(D1338="","",VLOOKUP(D1338,CadProd!$A:$C,3,0)),"")</f>
        <v/>
      </c>
    </row>
    <row r="1339" spans="5:6" x14ac:dyDescent="0.3">
      <c r="E1339" t="str">
        <f>IFERROR(IF(D1339="","",VLOOKUP(D1339,CadProd!$A:$B,2,0)),"")</f>
        <v/>
      </c>
      <c r="F1339" t="str">
        <f>IFERROR(IF(D1339="","",VLOOKUP(D1339,CadProd!$A:$C,3,0)),"")</f>
        <v/>
      </c>
    </row>
    <row r="1340" spans="5:6" x14ac:dyDescent="0.3">
      <c r="E1340" t="str">
        <f>IFERROR(IF(D1340="","",VLOOKUP(D1340,CadProd!$A:$B,2,0)),"")</f>
        <v/>
      </c>
      <c r="F1340" t="str">
        <f>IFERROR(IF(D1340="","",VLOOKUP(D1340,CadProd!$A:$C,3,0)),"")</f>
        <v/>
      </c>
    </row>
    <row r="1341" spans="5:6" x14ac:dyDescent="0.3">
      <c r="E1341" t="str">
        <f>IFERROR(IF(D1341="","",VLOOKUP(D1341,CadProd!$A:$B,2,0)),"")</f>
        <v/>
      </c>
      <c r="F1341" t="str">
        <f>IFERROR(IF(D1341="","",VLOOKUP(D1341,CadProd!$A:$C,3,0)),"")</f>
        <v/>
      </c>
    </row>
    <row r="1342" spans="5:6" x14ac:dyDescent="0.3">
      <c r="E1342" t="str">
        <f>IFERROR(IF(D1342="","",VLOOKUP(D1342,CadProd!$A:$B,2,0)),"")</f>
        <v/>
      </c>
      <c r="F1342" t="str">
        <f>IFERROR(IF(D1342="","",VLOOKUP(D1342,CadProd!$A:$C,3,0)),"")</f>
        <v/>
      </c>
    </row>
    <row r="1343" spans="5:6" x14ac:dyDescent="0.3">
      <c r="E1343" t="str">
        <f>IFERROR(IF(D1343="","",VLOOKUP(D1343,CadProd!$A:$B,2,0)),"")</f>
        <v/>
      </c>
      <c r="F1343" t="str">
        <f>IFERROR(IF(D1343="","",VLOOKUP(D1343,CadProd!$A:$C,3,0)),"")</f>
        <v/>
      </c>
    </row>
    <row r="1344" spans="5:6" x14ac:dyDescent="0.3">
      <c r="E1344" t="str">
        <f>IFERROR(IF(D1344="","",VLOOKUP(D1344,CadProd!$A:$B,2,0)),"")</f>
        <v/>
      </c>
      <c r="F1344" t="str">
        <f>IFERROR(IF(D1344="","",VLOOKUP(D1344,CadProd!$A:$C,3,0)),"")</f>
        <v/>
      </c>
    </row>
    <row r="1345" spans="5:6" x14ac:dyDescent="0.3">
      <c r="E1345" t="str">
        <f>IFERROR(IF(D1345="","",VLOOKUP(D1345,CadProd!$A:$B,2,0)),"")</f>
        <v/>
      </c>
      <c r="F1345" t="str">
        <f>IFERROR(IF(D1345="","",VLOOKUP(D1345,CadProd!$A:$C,3,0)),"")</f>
        <v/>
      </c>
    </row>
    <row r="1346" spans="5:6" x14ac:dyDescent="0.3">
      <c r="E1346" t="str">
        <f>IFERROR(IF(D1346="","",VLOOKUP(D1346,CadProd!$A:$B,2,0)),"")</f>
        <v/>
      </c>
      <c r="F1346" t="str">
        <f>IFERROR(IF(D1346="","",VLOOKUP(D1346,CadProd!$A:$C,3,0)),"")</f>
        <v/>
      </c>
    </row>
    <row r="1347" spans="5:6" x14ac:dyDescent="0.3">
      <c r="E1347" t="str">
        <f>IFERROR(IF(D1347="","",VLOOKUP(D1347,CadProd!$A:$B,2,0)),"")</f>
        <v/>
      </c>
      <c r="F1347" t="str">
        <f>IFERROR(IF(D1347="","",VLOOKUP(D1347,CadProd!$A:$C,3,0)),"")</f>
        <v/>
      </c>
    </row>
    <row r="1348" spans="5:6" x14ac:dyDescent="0.3">
      <c r="E1348" t="str">
        <f>IFERROR(IF(D1348="","",VLOOKUP(D1348,CadProd!$A:$B,2,0)),"")</f>
        <v/>
      </c>
      <c r="F1348" t="str">
        <f>IFERROR(IF(D1348="","",VLOOKUP(D1348,CadProd!$A:$C,3,0)),"")</f>
        <v/>
      </c>
    </row>
    <row r="1349" spans="5:6" x14ac:dyDescent="0.3">
      <c r="E1349" t="str">
        <f>IFERROR(IF(D1349="","",VLOOKUP(D1349,CadProd!$A:$B,2,0)),"")</f>
        <v/>
      </c>
      <c r="F1349" t="str">
        <f>IFERROR(IF(D1349="","",VLOOKUP(D1349,CadProd!$A:$C,3,0)),"")</f>
        <v/>
      </c>
    </row>
    <row r="1350" spans="5:6" x14ac:dyDescent="0.3">
      <c r="E1350" t="str">
        <f>IFERROR(IF(D1350="","",VLOOKUP(D1350,CadProd!$A:$B,2,0)),"")</f>
        <v/>
      </c>
      <c r="F1350" t="str">
        <f>IFERROR(IF(D1350="","",VLOOKUP(D1350,CadProd!$A:$C,3,0)),"")</f>
        <v/>
      </c>
    </row>
    <row r="1351" spans="5:6" x14ac:dyDescent="0.3">
      <c r="E1351" t="str">
        <f>IFERROR(IF(D1351="","",VLOOKUP(D1351,CadProd!$A:$B,2,0)),"")</f>
        <v/>
      </c>
      <c r="F1351" t="str">
        <f>IFERROR(IF(D1351="","",VLOOKUP(D1351,CadProd!$A:$C,3,0)),"")</f>
        <v/>
      </c>
    </row>
    <row r="1352" spans="5:6" x14ac:dyDescent="0.3">
      <c r="E1352" t="str">
        <f>IFERROR(IF(D1352="","",VLOOKUP(D1352,CadProd!$A:$B,2,0)),"")</f>
        <v/>
      </c>
      <c r="F1352" t="str">
        <f>IFERROR(IF(D1352="","",VLOOKUP(D1352,CadProd!$A:$C,3,0)),"")</f>
        <v/>
      </c>
    </row>
    <row r="1353" spans="5:6" x14ac:dyDescent="0.3">
      <c r="E1353" t="str">
        <f>IFERROR(IF(D1353="","",VLOOKUP(D1353,CadProd!$A:$B,2,0)),"")</f>
        <v/>
      </c>
      <c r="F1353" t="str">
        <f>IFERROR(IF(D1353="","",VLOOKUP(D1353,CadProd!$A:$C,3,0)),"")</f>
        <v/>
      </c>
    </row>
    <row r="1354" spans="5:6" x14ac:dyDescent="0.3">
      <c r="E1354" t="str">
        <f>IFERROR(IF(D1354="","",VLOOKUP(D1354,CadProd!$A:$B,2,0)),"")</f>
        <v/>
      </c>
      <c r="F1354" t="str">
        <f>IFERROR(IF(D1354="","",VLOOKUP(D1354,CadProd!$A:$C,3,0)),"")</f>
        <v/>
      </c>
    </row>
    <row r="1355" spans="5:6" x14ac:dyDescent="0.3">
      <c r="E1355" t="str">
        <f>IFERROR(IF(D1355="","",VLOOKUP(D1355,CadProd!$A:$B,2,0)),"")</f>
        <v/>
      </c>
      <c r="F1355" t="str">
        <f>IFERROR(IF(D1355="","",VLOOKUP(D1355,CadProd!$A:$C,3,0)),"")</f>
        <v/>
      </c>
    </row>
    <row r="1356" spans="5:6" x14ac:dyDescent="0.3">
      <c r="E1356" t="str">
        <f>IFERROR(IF(D1356="","",VLOOKUP(D1356,CadProd!$A:$B,2,0)),"")</f>
        <v/>
      </c>
      <c r="F1356" t="str">
        <f>IFERROR(IF(D1356="","",VLOOKUP(D1356,CadProd!$A:$C,3,0)),"")</f>
        <v/>
      </c>
    </row>
    <row r="1357" spans="5:6" x14ac:dyDescent="0.3">
      <c r="E1357" t="str">
        <f>IFERROR(IF(D1357="","",VLOOKUP(D1357,CadProd!$A:$B,2,0)),"")</f>
        <v/>
      </c>
      <c r="F1357" t="str">
        <f>IFERROR(IF(D1357="","",VLOOKUP(D1357,CadProd!$A:$C,3,0)),"")</f>
        <v/>
      </c>
    </row>
    <row r="1358" spans="5:6" x14ac:dyDescent="0.3">
      <c r="E1358" t="str">
        <f>IFERROR(IF(D1358="","",VLOOKUP(D1358,CadProd!$A:$B,2,0)),"")</f>
        <v/>
      </c>
      <c r="F1358" t="str">
        <f>IFERROR(IF(D1358="","",VLOOKUP(D1358,CadProd!$A:$C,3,0)),"")</f>
        <v/>
      </c>
    </row>
    <row r="1359" spans="5:6" x14ac:dyDescent="0.3">
      <c r="E1359" t="str">
        <f>IFERROR(IF(D1359="","",VLOOKUP(D1359,CadProd!$A:$B,2,0)),"")</f>
        <v/>
      </c>
      <c r="F1359" t="str">
        <f>IFERROR(IF(D1359="","",VLOOKUP(D1359,CadProd!$A:$C,3,0)),"")</f>
        <v/>
      </c>
    </row>
    <row r="1360" spans="5:6" x14ac:dyDescent="0.3">
      <c r="E1360" t="str">
        <f>IFERROR(IF(D1360="","",VLOOKUP(D1360,CadProd!$A:$B,2,0)),"")</f>
        <v/>
      </c>
      <c r="F1360" t="str">
        <f>IFERROR(IF(D1360="","",VLOOKUP(D1360,CadProd!$A:$C,3,0)),"")</f>
        <v/>
      </c>
    </row>
    <row r="1361" spans="5:6" x14ac:dyDescent="0.3">
      <c r="E1361" t="str">
        <f>IFERROR(IF(D1361="","",VLOOKUP(D1361,CadProd!$A:$B,2,0)),"")</f>
        <v/>
      </c>
      <c r="F1361" t="str">
        <f>IFERROR(IF(D1361="","",VLOOKUP(D1361,CadProd!$A:$C,3,0)),"")</f>
        <v/>
      </c>
    </row>
    <row r="1362" spans="5:6" x14ac:dyDescent="0.3">
      <c r="E1362" t="str">
        <f>IFERROR(IF(D1362="","",VLOOKUP(D1362,CadProd!$A:$B,2,0)),"")</f>
        <v/>
      </c>
      <c r="F1362" t="str">
        <f>IFERROR(IF(D1362="","",VLOOKUP(D1362,CadProd!$A:$C,3,0)),"")</f>
        <v/>
      </c>
    </row>
    <row r="1363" spans="5:6" x14ac:dyDescent="0.3">
      <c r="E1363" t="str">
        <f>IFERROR(IF(D1363="","",VLOOKUP(D1363,CadProd!$A:$B,2,0)),"")</f>
        <v/>
      </c>
      <c r="F1363" t="str">
        <f>IFERROR(IF(D1363="","",VLOOKUP(D1363,CadProd!$A:$C,3,0)),"")</f>
        <v/>
      </c>
    </row>
    <row r="1364" spans="5:6" x14ac:dyDescent="0.3">
      <c r="E1364" t="str">
        <f>IFERROR(IF(D1364="","",VLOOKUP(D1364,CadProd!$A:$B,2,0)),"")</f>
        <v/>
      </c>
      <c r="F1364" t="str">
        <f>IFERROR(IF(D1364="","",VLOOKUP(D1364,CadProd!$A:$C,3,0)),"")</f>
        <v/>
      </c>
    </row>
    <row r="1365" spans="5:6" x14ac:dyDescent="0.3">
      <c r="E1365" t="str">
        <f>IFERROR(IF(D1365="","",VLOOKUP(D1365,CadProd!$A:$B,2,0)),"")</f>
        <v/>
      </c>
      <c r="F1365" t="str">
        <f>IFERROR(IF(D1365="","",VLOOKUP(D1365,CadProd!$A:$C,3,0)),"")</f>
        <v/>
      </c>
    </row>
    <row r="1366" spans="5:6" x14ac:dyDescent="0.3">
      <c r="E1366" t="str">
        <f>IFERROR(IF(D1366="","",VLOOKUP(D1366,CadProd!$A:$B,2,0)),"")</f>
        <v/>
      </c>
      <c r="F1366" t="str">
        <f>IFERROR(IF(D1366="","",VLOOKUP(D1366,CadProd!$A:$C,3,0)),"")</f>
        <v/>
      </c>
    </row>
    <row r="1367" spans="5:6" x14ac:dyDescent="0.3">
      <c r="E1367" t="str">
        <f>IFERROR(IF(D1367="","",VLOOKUP(D1367,CadProd!$A:$B,2,0)),"")</f>
        <v/>
      </c>
      <c r="F1367" t="str">
        <f>IFERROR(IF(D1367="","",VLOOKUP(D1367,CadProd!$A:$C,3,0)),"")</f>
        <v/>
      </c>
    </row>
    <row r="1368" spans="5:6" x14ac:dyDescent="0.3">
      <c r="E1368" t="str">
        <f>IFERROR(IF(D1368="","",VLOOKUP(D1368,CadProd!$A:$B,2,0)),"")</f>
        <v/>
      </c>
      <c r="F1368" t="str">
        <f>IFERROR(IF(D1368="","",VLOOKUP(D1368,CadProd!$A:$C,3,0)),"")</f>
        <v/>
      </c>
    </row>
    <row r="1369" spans="5:6" x14ac:dyDescent="0.3">
      <c r="E1369" t="str">
        <f>IFERROR(IF(D1369="","",VLOOKUP(D1369,CadProd!$A:$B,2,0)),"")</f>
        <v/>
      </c>
      <c r="F1369" t="str">
        <f>IFERROR(IF(D1369="","",VLOOKUP(D1369,CadProd!$A:$C,3,0)),"")</f>
        <v/>
      </c>
    </row>
    <row r="1370" spans="5:6" x14ac:dyDescent="0.3">
      <c r="E1370" t="str">
        <f>IFERROR(IF(D1370="","",VLOOKUP(D1370,CadProd!$A:$B,2,0)),"")</f>
        <v/>
      </c>
      <c r="F1370" t="str">
        <f>IFERROR(IF(D1370="","",VLOOKUP(D1370,CadProd!$A:$C,3,0)),"")</f>
        <v/>
      </c>
    </row>
    <row r="1371" spans="5:6" x14ac:dyDescent="0.3">
      <c r="E1371" t="str">
        <f>IFERROR(IF(D1371="","",VLOOKUP(D1371,CadProd!$A:$B,2,0)),"")</f>
        <v/>
      </c>
      <c r="F1371" t="str">
        <f>IFERROR(IF(D1371="","",VLOOKUP(D1371,CadProd!$A:$C,3,0)),"")</f>
        <v/>
      </c>
    </row>
    <row r="1372" spans="5:6" x14ac:dyDescent="0.3">
      <c r="E1372" t="str">
        <f>IFERROR(IF(D1372="","",VLOOKUP(D1372,CadProd!$A:$B,2,0)),"")</f>
        <v/>
      </c>
      <c r="F1372" t="str">
        <f>IFERROR(IF(D1372="","",VLOOKUP(D1372,CadProd!$A:$C,3,0)),"")</f>
        <v/>
      </c>
    </row>
    <row r="1373" spans="5:6" x14ac:dyDescent="0.3">
      <c r="E1373" t="str">
        <f>IFERROR(IF(D1373="","",VLOOKUP(D1373,CadProd!$A:$B,2,0)),"")</f>
        <v/>
      </c>
      <c r="F1373" t="str">
        <f>IFERROR(IF(D1373="","",VLOOKUP(D1373,CadProd!$A:$C,3,0)),"")</f>
        <v/>
      </c>
    </row>
    <row r="1374" spans="5:6" x14ac:dyDescent="0.3">
      <c r="E1374" t="str">
        <f>IFERROR(IF(D1374="","",VLOOKUP(D1374,CadProd!$A:$B,2,0)),"")</f>
        <v/>
      </c>
      <c r="F1374" t="str">
        <f>IFERROR(IF(D1374="","",VLOOKUP(D1374,CadProd!$A:$C,3,0)),"")</f>
        <v/>
      </c>
    </row>
    <row r="1375" spans="5:6" x14ac:dyDescent="0.3">
      <c r="E1375" t="str">
        <f>IFERROR(IF(D1375="","",VLOOKUP(D1375,CadProd!$A:$B,2,0)),"")</f>
        <v/>
      </c>
      <c r="F1375" t="str">
        <f>IFERROR(IF(D1375="","",VLOOKUP(D1375,CadProd!$A:$C,3,0)),"")</f>
        <v/>
      </c>
    </row>
    <row r="1376" spans="5:6" x14ac:dyDescent="0.3">
      <c r="E1376" t="str">
        <f>IFERROR(IF(D1376="","",VLOOKUP(D1376,CadProd!$A:$B,2,0)),"")</f>
        <v/>
      </c>
      <c r="F1376" t="str">
        <f>IFERROR(IF(D1376="","",VLOOKUP(D1376,CadProd!$A:$C,3,0)),"")</f>
        <v/>
      </c>
    </row>
    <row r="1377" spans="5:6" x14ac:dyDescent="0.3">
      <c r="E1377" t="str">
        <f>IFERROR(IF(D1377="","",VLOOKUP(D1377,CadProd!$A:$B,2,0)),"")</f>
        <v/>
      </c>
      <c r="F1377" t="str">
        <f>IFERROR(IF(D1377="","",VLOOKUP(D1377,CadProd!$A:$C,3,0)),"")</f>
        <v/>
      </c>
    </row>
    <row r="1378" spans="5:6" x14ac:dyDescent="0.3">
      <c r="E1378" t="str">
        <f>IFERROR(IF(D1378="","",VLOOKUP(D1378,CadProd!$A:$B,2,0)),"")</f>
        <v/>
      </c>
      <c r="F1378" t="str">
        <f>IFERROR(IF(D1378="","",VLOOKUP(D1378,CadProd!$A:$C,3,0)),"")</f>
        <v/>
      </c>
    </row>
    <row r="1379" spans="5:6" x14ac:dyDescent="0.3">
      <c r="E1379" t="str">
        <f>IFERROR(IF(D1379="","",VLOOKUP(D1379,CadProd!$A:$B,2,0)),"")</f>
        <v/>
      </c>
      <c r="F1379" t="str">
        <f>IFERROR(IF(D1379="","",VLOOKUP(D1379,CadProd!$A:$C,3,0)),"")</f>
        <v/>
      </c>
    </row>
    <row r="1380" spans="5:6" x14ac:dyDescent="0.3">
      <c r="E1380" t="str">
        <f>IFERROR(IF(D1380="","",VLOOKUP(D1380,CadProd!$A:$B,2,0)),"")</f>
        <v/>
      </c>
      <c r="F1380" t="str">
        <f>IFERROR(IF(D1380="","",VLOOKUP(D1380,CadProd!$A:$C,3,0)),"")</f>
        <v/>
      </c>
    </row>
    <row r="1381" spans="5:6" x14ac:dyDescent="0.3">
      <c r="E1381" t="str">
        <f>IFERROR(IF(D1381="","",VLOOKUP(D1381,CadProd!$A:$B,2,0)),"")</f>
        <v/>
      </c>
      <c r="F1381" t="str">
        <f>IFERROR(IF(D1381="","",VLOOKUP(D1381,CadProd!$A:$C,3,0)),"")</f>
        <v/>
      </c>
    </row>
    <row r="1382" spans="5:6" x14ac:dyDescent="0.3">
      <c r="E1382" t="str">
        <f>IFERROR(IF(D1382="","",VLOOKUP(D1382,CadProd!$A:$B,2,0)),"")</f>
        <v/>
      </c>
      <c r="F1382" t="str">
        <f>IFERROR(IF(D1382="","",VLOOKUP(D1382,CadProd!$A:$C,3,0)),"")</f>
        <v/>
      </c>
    </row>
    <row r="1383" spans="5:6" x14ac:dyDescent="0.3">
      <c r="E1383" t="str">
        <f>IFERROR(IF(D1383="","",VLOOKUP(D1383,CadProd!$A:$B,2,0)),"")</f>
        <v/>
      </c>
      <c r="F1383" t="str">
        <f>IFERROR(IF(D1383="","",VLOOKUP(D1383,CadProd!$A:$C,3,0)),"")</f>
        <v/>
      </c>
    </row>
    <row r="1384" spans="5:6" x14ac:dyDescent="0.3">
      <c r="E1384" t="str">
        <f>IFERROR(IF(D1384="","",VLOOKUP(D1384,CadProd!$A:$B,2,0)),"")</f>
        <v/>
      </c>
      <c r="F1384" t="str">
        <f>IFERROR(IF(D1384="","",VLOOKUP(D1384,CadProd!$A:$C,3,0)),"")</f>
        <v/>
      </c>
    </row>
    <row r="1385" spans="5:6" x14ac:dyDescent="0.3">
      <c r="E1385" t="str">
        <f>IFERROR(IF(D1385="","",VLOOKUP(D1385,CadProd!$A:$B,2,0)),"")</f>
        <v/>
      </c>
      <c r="F1385" t="str">
        <f>IFERROR(IF(D1385="","",VLOOKUP(D1385,CadProd!$A:$C,3,0)),"")</f>
        <v/>
      </c>
    </row>
    <row r="1386" spans="5:6" x14ac:dyDescent="0.3">
      <c r="E1386" t="str">
        <f>IFERROR(IF(D1386="","",VLOOKUP(D1386,CadProd!$A:$B,2,0)),"")</f>
        <v/>
      </c>
      <c r="F1386" t="str">
        <f>IFERROR(IF(D1386="","",VLOOKUP(D1386,CadProd!$A:$C,3,0)),"")</f>
        <v/>
      </c>
    </row>
    <row r="1387" spans="5:6" x14ac:dyDescent="0.3">
      <c r="E1387" t="str">
        <f>IFERROR(IF(D1387="","",VLOOKUP(D1387,CadProd!$A:$B,2,0)),"")</f>
        <v/>
      </c>
      <c r="F1387" t="str">
        <f>IFERROR(IF(D1387="","",VLOOKUP(D1387,CadProd!$A:$C,3,0)),"")</f>
        <v/>
      </c>
    </row>
    <row r="1388" spans="5:6" x14ac:dyDescent="0.3">
      <c r="E1388" t="str">
        <f>IFERROR(IF(D1388="","",VLOOKUP(D1388,CadProd!$A:$B,2,0)),"")</f>
        <v/>
      </c>
      <c r="F1388" t="str">
        <f>IFERROR(IF(D1388="","",VLOOKUP(D1388,CadProd!$A:$C,3,0)),"")</f>
        <v/>
      </c>
    </row>
    <row r="1389" spans="5:6" x14ac:dyDescent="0.3">
      <c r="E1389" t="str">
        <f>IFERROR(IF(D1389="","",VLOOKUP(D1389,CadProd!$A:$B,2,0)),"")</f>
        <v/>
      </c>
      <c r="F1389" t="str">
        <f>IFERROR(IF(D1389="","",VLOOKUP(D1389,CadProd!$A:$C,3,0)),"")</f>
        <v/>
      </c>
    </row>
    <row r="1390" spans="5:6" x14ac:dyDescent="0.3">
      <c r="E1390" t="str">
        <f>IFERROR(IF(D1390="","",VLOOKUP(D1390,CadProd!$A:$B,2,0)),"")</f>
        <v/>
      </c>
      <c r="F1390" t="str">
        <f>IFERROR(IF(D1390="","",VLOOKUP(D1390,CadProd!$A:$C,3,0)),"")</f>
        <v/>
      </c>
    </row>
    <row r="1391" spans="5:6" x14ac:dyDescent="0.3">
      <c r="E1391" t="str">
        <f>IFERROR(IF(D1391="","",VLOOKUP(D1391,CadProd!$A:$B,2,0)),"")</f>
        <v/>
      </c>
      <c r="F1391" t="str">
        <f>IFERROR(IF(D1391="","",VLOOKUP(D1391,CadProd!$A:$C,3,0)),"")</f>
        <v/>
      </c>
    </row>
    <row r="1392" spans="5:6" x14ac:dyDescent="0.3">
      <c r="E1392" t="str">
        <f>IFERROR(IF(D1392="","",VLOOKUP(D1392,CadProd!$A:$B,2,0)),"")</f>
        <v/>
      </c>
      <c r="F1392" t="str">
        <f>IFERROR(IF(D1392="","",VLOOKUP(D1392,CadProd!$A:$C,3,0)),"")</f>
        <v/>
      </c>
    </row>
    <row r="1393" spans="5:6" x14ac:dyDescent="0.3">
      <c r="E1393" t="str">
        <f>IFERROR(IF(D1393="","",VLOOKUP(D1393,CadProd!$A:$B,2,0)),"")</f>
        <v/>
      </c>
      <c r="F1393" t="str">
        <f>IFERROR(IF(D1393="","",VLOOKUP(D1393,CadProd!$A:$C,3,0)),"")</f>
        <v/>
      </c>
    </row>
    <row r="1394" spans="5:6" x14ac:dyDescent="0.3">
      <c r="E1394" t="str">
        <f>IFERROR(IF(D1394="","",VLOOKUP(D1394,CadProd!$A:$B,2,0)),"")</f>
        <v/>
      </c>
      <c r="F1394" t="str">
        <f>IFERROR(IF(D1394="","",VLOOKUP(D1394,CadProd!$A:$C,3,0)),"")</f>
        <v/>
      </c>
    </row>
    <row r="1395" spans="5:6" x14ac:dyDescent="0.3">
      <c r="E1395" t="str">
        <f>IFERROR(IF(D1395="","",VLOOKUP(D1395,CadProd!$A:$B,2,0)),"")</f>
        <v/>
      </c>
      <c r="F1395" t="str">
        <f>IFERROR(IF(D1395="","",VLOOKUP(D1395,CadProd!$A:$C,3,0)),"")</f>
        <v/>
      </c>
    </row>
    <row r="1396" spans="5:6" x14ac:dyDescent="0.3">
      <c r="E1396" t="str">
        <f>IFERROR(IF(D1396="","",VLOOKUP(D1396,CadProd!$A:$B,2,0)),"")</f>
        <v/>
      </c>
      <c r="F1396" t="str">
        <f>IFERROR(IF(D1396="","",VLOOKUP(D1396,CadProd!$A:$C,3,0)),"")</f>
        <v/>
      </c>
    </row>
    <row r="1397" spans="5:6" x14ac:dyDescent="0.3">
      <c r="E1397" t="str">
        <f>IFERROR(IF(D1397="","",VLOOKUP(D1397,CadProd!$A:$B,2,0)),"")</f>
        <v/>
      </c>
      <c r="F1397" t="str">
        <f>IFERROR(IF(D1397="","",VLOOKUP(D1397,CadProd!$A:$C,3,0)),"")</f>
        <v/>
      </c>
    </row>
    <row r="1398" spans="5:6" x14ac:dyDescent="0.3">
      <c r="E1398" t="str">
        <f>IFERROR(IF(D1398="","",VLOOKUP(D1398,CadProd!$A:$B,2,0)),"")</f>
        <v/>
      </c>
      <c r="F1398" t="str">
        <f>IFERROR(IF(D1398="","",VLOOKUP(D1398,CadProd!$A:$C,3,0)),"")</f>
        <v/>
      </c>
    </row>
    <row r="1399" spans="5:6" x14ac:dyDescent="0.3">
      <c r="E1399" t="str">
        <f>IFERROR(IF(D1399="","",VLOOKUP(D1399,CadProd!$A:$B,2,0)),"")</f>
        <v/>
      </c>
      <c r="F1399" t="str">
        <f>IFERROR(IF(D1399="","",VLOOKUP(D1399,CadProd!$A:$C,3,0)),"")</f>
        <v/>
      </c>
    </row>
    <row r="1400" spans="5:6" x14ac:dyDescent="0.3">
      <c r="E1400" t="str">
        <f>IFERROR(IF(D1400="","",VLOOKUP(D1400,CadProd!$A:$B,2,0)),"")</f>
        <v/>
      </c>
      <c r="F1400" t="str">
        <f>IFERROR(IF(D1400="","",VLOOKUP(D1400,CadProd!$A:$C,3,0)),"")</f>
        <v/>
      </c>
    </row>
    <row r="1401" spans="5:6" x14ac:dyDescent="0.3">
      <c r="E1401" t="str">
        <f>IFERROR(IF(D1401="","",VLOOKUP(D1401,CadProd!$A:$B,2,0)),"")</f>
        <v/>
      </c>
      <c r="F1401" t="str">
        <f>IFERROR(IF(D1401="","",VLOOKUP(D1401,CadProd!$A:$C,3,0)),"")</f>
        <v/>
      </c>
    </row>
    <row r="1402" spans="5:6" x14ac:dyDescent="0.3">
      <c r="E1402" t="str">
        <f>IFERROR(IF(D1402="","",VLOOKUP(D1402,CadProd!$A:$B,2,0)),"")</f>
        <v/>
      </c>
      <c r="F1402" t="str">
        <f>IFERROR(IF(D1402="","",VLOOKUP(D1402,CadProd!$A:$C,3,0)),"")</f>
        <v/>
      </c>
    </row>
    <row r="1403" spans="5:6" x14ac:dyDescent="0.3">
      <c r="E1403" t="str">
        <f>IFERROR(IF(D1403="","",VLOOKUP(D1403,CadProd!$A:$B,2,0)),"")</f>
        <v/>
      </c>
      <c r="F1403" t="str">
        <f>IFERROR(IF(D1403="","",VLOOKUP(D1403,CadProd!$A:$C,3,0)),"")</f>
        <v/>
      </c>
    </row>
    <row r="1404" spans="5:6" x14ac:dyDescent="0.3">
      <c r="E1404" t="str">
        <f>IFERROR(IF(D1404="","",VLOOKUP(D1404,CadProd!$A:$B,2,0)),"")</f>
        <v/>
      </c>
      <c r="F1404" t="str">
        <f>IFERROR(IF(D1404="","",VLOOKUP(D1404,CadProd!$A:$C,3,0)),"")</f>
        <v/>
      </c>
    </row>
    <row r="1405" spans="5:6" x14ac:dyDescent="0.3">
      <c r="E1405" t="str">
        <f>IFERROR(IF(D1405="","",VLOOKUP(D1405,CadProd!$A:$B,2,0)),"")</f>
        <v/>
      </c>
      <c r="F1405" t="str">
        <f>IFERROR(IF(D1405="","",VLOOKUP(D1405,CadProd!$A:$C,3,0)),"")</f>
        <v/>
      </c>
    </row>
    <row r="1406" spans="5:6" x14ac:dyDescent="0.3">
      <c r="E1406" t="str">
        <f>IFERROR(IF(D1406="","",VLOOKUP(D1406,CadProd!$A:$B,2,0)),"")</f>
        <v/>
      </c>
      <c r="F1406" t="str">
        <f>IFERROR(IF(D1406="","",VLOOKUP(D1406,CadProd!$A:$C,3,0)),"")</f>
        <v/>
      </c>
    </row>
    <row r="1407" spans="5:6" x14ac:dyDescent="0.3">
      <c r="E1407" t="str">
        <f>IFERROR(IF(D1407="","",VLOOKUP(D1407,CadProd!$A:$B,2,0)),"")</f>
        <v/>
      </c>
      <c r="F1407" t="str">
        <f>IFERROR(IF(D1407="","",VLOOKUP(D1407,CadProd!$A:$C,3,0)),"")</f>
        <v/>
      </c>
    </row>
    <row r="1408" spans="5:6" x14ac:dyDescent="0.3">
      <c r="E1408" t="str">
        <f>IFERROR(IF(D1408="","",VLOOKUP(D1408,CadProd!$A:$B,2,0)),"")</f>
        <v/>
      </c>
      <c r="F1408" t="str">
        <f>IFERROR(IF(D1408="","",VLOOKUP(D1408,CadProd!$A:$C,3,0)),"")</f>
        <v/>
      </c>
    </row>
    <row r="1409" spans="5:6" x14ac:dyDescent="0.3">
      <c r="E1409" t="str">
        <f>IFERROR(IF(D1409="","",VLOOKUP(D1409,CadProd!$A:$B,2,0)),"")</f>
        <v/>
      </c>
      <c r="F1409" t="str">
        <f>IFERROR(IF(D1409="","",VLOOKUP(D1409,CadProd!$A:$C,3,0)),"")</f>
        <v/>
      </c>
    </row>
    <row r="1410" spans="5:6" x14ac:dyDescent="0.3">
      <c r="E1410" t="str">
        <f>IFERROR(IF(D1410="","",VLOOKUP(D1410,CadProd!$A:$B,2,0)),"")</f>
        <v/>
      </c>
      <c r="F1410" t="str">
        <f>IFERROR(IF(D1410="","",VLOOKUP(D1410,CadProd!$A:$C,3,0)),"")</f>
        <v/>
      </c>
    </row>
    <row r="1411" spans="5:6" x14ac:dyDescent="0.3">
      <c r="E1411" t="str">
        <f>IFERROR(IF(D1411="","",VLOOKUP(D1411,CadProd!$A:$B,2,0)),"")</f>
        <v/>
      </c>
      <c r="F1411" t="str">
        <f>IFERROR(IF(D1411="","",VLOOKUP(D1411,CadProd!$A:$C,3,0)),"")</f>
        <v/>
      </c>
    </row>
    <row r="1412" spans="5:6" x14ac:dyDescent="0.3">
      <c r="E1412" t="str">
        <f>IFERROR(IF(D1412="","",VLOOKUP(D1412,CadProd!$A:$B,2,0)),"")</f>
        <v/>
      </c>
      <c r="F1412" t="str">
        <f>IFERROR(IF(D1412="","",VLOOKUP(D1412,CadProd!$A:$C,3,0)),"")</f>
        <v/>
      </c>
    </row>
    <row r="1413" spans="5:6" x14ac:dyDescent="0.3">
      <c r="E1413" t="str">
        <f>IFERROR(IF(D1413="","",VLOOKUP(D1413,CadProd!$A:$B,2,0)),"")</f>
        <v/>
      </c>
      <c r="F1413" t="str">
        <f>IFERROR(IF(D1413="","",VLOOKUP(D1413,CadProd!$A:$C,3,0)),"")</f>
        <v/>
      </c>
    </row>
    <row r="1414" spans="5:6" x14ac:dyDescent="0.3">
      <c r="E1414" t="str">
        <f>IFERROR(IF(D1414="","",VLOOKUP(D1414,CadProd!$A:$B,2,0)),"")</f>
        <v/>
      </c>
      <c r="F1414" t="str">
        <f>IFERROR(IF(D1414="","",VLOOKUP(D1414,CadProd!$A:$C,3,0)),"")</f>
        <v/>
      </c>
    </row>
    <row r="1415" spans="5:6" x14ac:dyDescent="0.3">
      <c r="E1415" t="str">
        <f>IFERROR(IF(D1415="","",VLOOKUP(D1415,CadProd!$A:$B,2,0)),"")</f>
        <v/>
      </c>
      <c r="F1415" t="str">
        <f>IFERROR(IF(D1415="","",VLOOKUP(D1415,CadProd!$A:$C,3,0)),"")</f>
        <v/>
      </c>
    </row>
    <row r="1416" spans="5:6" x14ac:dyDescent="0.3">
      <c r="E1416" t="str">
        <f>IFERROR(IF(D1416="","",VLOOKUP(D1416,CadProd!$A:$B,2,0)),"")</f>
        <v/>
      </c>
      <c r="F1416" t="str">
        <f>IFERROR(IF(D1416="","",VLOOKUP(D1416,CadProd!$A:$C,3,0)),"")</f>
        <v/>
      </c>
    </row>
    <row r="1417" spans="5:6" x14ac:dyDescent="0.3">
      <c r="E1417" t="str">
        <f>IFERROR(IF(D1417="","",VLOOKUP(D1417,CadProd!$A:$B,2,0)),"")</f>
        <v/>
      </c>
      <c r="F1417" t="str">
        <f>IFERROR(IF(D1417="","",VLOOKUP(D1417,CadProd!$A:$C,3,0)),"")</f>
        <v/>
      </c>
    </row>
    <row r="1418" spans="5:6" x14ac:dyDescent="0.3">
      <c r="E1418" t="str">
        <f>IFERROR(IF(D1418="","",VLOOKUP(D1418,CadProd!$A:$B,2,0)),"")</f>
        <v/>
      </c>
      <c r="F1418" t="str">
        <f>IFERROR(IF(D1418="","",VLOOKUP(D1418,CadProd!$A:$C,3,0)),"")</f>
        <v/>
      </c>
    </row>
    <row r="1419" spans="5:6" x14ac:dyDescent="0.3">
      <c r="E1419" t="str">
        <f>IFERROR(IF(D1419="","",VLOOKUP(D1419,CadProd!$A:$B,2,0)),"")</f>
        <v/>
      </c>
      <c r="F1419" t="str">
        <f>IFERROR(IF(D1419="","",VLOOKUP(D1419,CadProd!$A:$C,3,0)),"")</f>
        <v/>
      </c>
    </row>
    <row r="1420" spans="5:6" x14ac:dyDescent="0.3">
      <c r="E1420" t="str">
        <f>IFERROR(IF(D1420="","",VLOOKUP(D1420,CadProd!$A:$B,2,0)),"")</f>
        <v/>
      </c>
      <c r="F1420" t="str">
        <f>IFERROR(IF(D1420="","",VLOOKUP(D1420,CadProd!$A:$C,3,0)),"")</f>
        <v/>
      </c>
    </row>
    <row r="1421" spans="5:6" x14ac:dyDescent="0.3">
      <c r="E1421" t="str">
        <f>IFERROR(IF(D1421="","",VLOOKUP(D1421,CadProd!$A:$B,2,0)),"")</f>
        <v/>
      </c>
      <c r="F1421" t="str">
        <f>IFERROR(IF(D1421="","",VLOOKUP(D1421,CadProd!$A:$C,3,0)),"")</f>
        <v/>
      </c>
    </row>
    <row r="1422" spans="5:6" x14ac:dyDescent="0.3">
      <c r="E1422" t="str">
        <f>IFERROR(IF(D1422="","",VLOOKUP(D1422,CadProd!$A:$B,2,0)),"")</f>
        <v/>
      </c>
      <c r="F1422" t="str">
        <f>IFERROR(IF(D1422="","",VLOOKUP(D1422,CadProd!$A:$C,3,0)),"")</f>
        <v/>
      </c>
    </row>
    <row r="1423" spans="5:6" x14ac:dyDescent="0.3">
      <c r="E1423" t="str">
        <f>IFERROR(IF(D1423="","",VLOOKUP(D1423,CadProd!$A:$B,2,0)),"")</f>
        <v/>
      </c>
      <c r="F1423" t="str">
        <f>IFERROR(IF(D1423="","",VLOOKUP(D1423,CadProd!$A:$C,3,0)),"")</f>
        <v/>
      </c>
    </row>
    <row r="1424" spans="5:6" x14ac:dyDescent="0.3">
      <c r="E1424" t="str">
        <f>IFERROR(IF(D1424="","",VLOOKUP(D1424,CadProd!$A:$B,2,0)),"")</f>
        <v/>
      </c>
      <c r="F1424" t="str">
        <f>IFERROR(IF(D1424="","",VLOOKUP(D1424,CadProd!$A:$C,3,0)),"")</f>
        <v/>
      </c>
    </row>
    <row r="1425" spans="5:6" x14ac:dyDescent="0.3">
      <c r="E1425" t="str">
        <f>IFERROR(IF(D1425="","",VLOOKUP(D1425,CadProd!$A:$B,2,0)),"")</f>
        <v/>
      </c>
      <c r="F1425" t="str">
        <f>IFERROR(IF(D1425="","",VLOOKUP(D1425,CadProd!$A:$C,3,0)),"")</f>
        <v/>
      </c>
    </row>
    <row r="1426" spans="5:6" x14ac:dyDescent="0.3">
      <c r="E1426" t="str">
        <f>IFERROR(IF(D1426="","",VLOOKUP(D1426,CadProd!$A:$B,2,0)),"")</f>
        <v/>
      </c>
      <c r="F1426" t="str">
        <f>IFERROR(IF(D1426="","",VLOOKUP(D1426,CadProd!$A:$C,3,0)),"")</f>
        <v/>
      </c>
    </row>
    <row r="1427" spans="5:6" x14ac:dyDescent="0.3">
      <c r="E1427" t="str">
        <f>IFERROR(IF(D1427="","",VLOOKUP(D1427,CadProd!$A:$B,2,0)),"")</f>
        <v/>
      </c>
      <c r="F1427" t="str">
        <f>IFERROR(IF(D1427="","",VLOOKUP(D1427,CadProd!$A:$C,3,0)),"")</f>
        <v/>
      </c>
    </row>
    <row r="1428" spans="5:6" x14ac:dyDescent="0.3">
      <c r="E1428" t="str">
        <f>IFERROR(IF(D1428="","",VLOOKUP(D1428,CadProd!$A:$B,2,0)),"")</f>
        <v/>
      </c>
      <c r="F1428" t="str">
        <f>IFERROR(IF(D1428="","",VLOOKUP(D1428,CadProd!$A:$C,3,0)),"")</f>
        <v/>
      </c>
    </row>
    <row r="1429" spans="5:6" x14ac:dyDescent="0.3">
      <c r="E1429" t="str">
        <f>IFERROR(IF(D1429="","",VLOOKUP(D1429,CadProd!$A:$B,2,0)),"")</f>
        <v/>
      </c>
      <c r="F1429" t="str">
        <f>IFERROR(IF(D1429="","",VLOOKUP(D1429,CadProd!$A:$C,3,0)),"")</f>
        <v/>
      </c>
    </row>
    <row r="1430" spans="5:6" x14ac:dyDescent="0.3">
      <c r="E1430" t="str">
        <f>IFERROR(IF(D1430="","",VLOOKUP(D1430,CadProd!$A:$B,2,0)),"")</f>
        <v/>
      </c>
      <c r="F1430" t="str">
        <f>IFERROR(IF(D1430="","",VLOOKUP(D1430,CadProd!$A:$C,3,0)),"")</f>
        <v/>
      </c>
    </row>
    <row r="1431" spans="5:6" x14ac:dyDescent="0.3">
      <c r="E1431" t="str">
        <f>IFERROR(IF(D1431="","",VLOOKUP(D1431,CadProd!$A:$B,2,0)),"")</f>
        <v/>
      </c>
      <c r="F1431" t="str">
        <f>IFERROR(IF(D1431="","",VLOOKUP(D1431,CadProd!$A:$C,3,0)),"")</f>
        <v/>
      </c>
    </row>
    <row r="1432" spans="5:6" x14ac:dyDescent="0.3">
      <c r="E1432" t="str">
        <f>IFERROR(IF(D1432="","",VLOOKUP(D1432,CadProd!$A:$B,2,0)),"")</f>
        <v/>
      </c>
      <c r="F1432" t="str">
        <f>IFERROR(IF(D1432="","",VLOOKUP(D1432,CadProd!$A:$C,3,0)),"")</f>
        <v/>
      </c>
    </row>
    <row r="1433" spans="5:6" x14ac:dyDescent="0.3">
      <c r="E1433" t="str">
        <f>IFERROR(IF(D1433="","",VLOOKUP(D1433,CadProd!$A:$B,2,0)),"")</f>
        <v/>
      </c>
      <c r="F1433" t="str">
        <f>IFERROR(IF(D1433="","",VLOOKUP(D1433,CadProd!$A:$C,3,0)),"")</f>
        <v/>
      </c>
    </row>
    <row r="1434" spans="5:6" x14ac:dyDescent="0.3">
      <c r="E1434" t="str">
        <f>IFERROR(IF(D1434="","",VLOOKUP(D1434,CadProd!$A:$B,2,0)),"")</f>
        <v/>
      </c>
      <c r="F1434" t="str">
        <f>IFERROR(IF(D1434="","",VLOOKUP(D1434,CadProd!$A:$C,3,0)),"")</f>
        <v/>
      </c>
    </row>
    <row r="1435" spans="5:6" x14ac:dyDescent="0.3">
      <c r="E1435" t="str">
        <f>IFERROR(IF(D1435="","",VLOOKUP(D1435,CadProd!$A:$B,2,0)),"")</f>
        <v/>
      </c>
      <c r="F1435" t="str">
        <f>IFERROR(IF(D1435="","",VLOOKUP(D1435,CadProd!$A:$C,3,0)),"")</f>
        <v/>
      </c>
    </row>
    <row r="1436" spans="5:6" x14ac:dyDescent="0.3">
      <c r="E1436" t="str">
        <f>IFERROR(IF(D1436="","",VLOOKUP(D1436,CadProd!$A:$B,2,0)),"")</f>
        <v/>
      </c>
      <c r="F1436" t="str">
        <f>IFERROR(IF(D1436="","",VLOOKUP(D1436,CadProd!$A:$C,3,0)),"")</f>
        <v/>
      </c>
    </row>
    <row r="1437" spans="5:6" x14ac:dyDescent="0.3">
      <c r="E1437" t="str">
        <f>IFERROR(IF(D1437="","",VLOOKUP(D1437,CadProd!$A:$B,2,0)),"")</f>
        <v/>
      </c>
      <c r="F1437" t="str">
        <f>IFERROR(IF(D1437="","",VLOOKUP(D1437,CadProd!$A:$C,3,0)),"")</f>
        <v/>
      </c>
    </row>
    <row r="1438" spans="5:6" x14ac:dyDescent="0.3">
      <c r="E1438" t="str">
        <f>IFERROR(IF(D1438="","",VLOOKUP(D1438,CadProd!$A:$B,2,0)),"")</f>
        <v/>
      </c>
      <c r="F1438" t="str">
        <f>IFERROR(IF(D1438="","",VLOOKUP(D1438,CadProd!$A:$C,3,0)),"")</f>
        <v/>
      </c>
    </row>
    <row r="1439" spans="5:6" x14ac:dyDescent="0.3">
      <c r="E1439" t="str">
        <f>IFERROR(IF(D1439="","",VLOOKUP(D1439,CadProd!$A:$B,2,0)),"")</f>
        <v/>
      </c>
      <c r="F1439" t="str">
        <f>IFERROR(IF(D1439="","",VLOOKUP(D1439,CadProd!$A:$C,3,0)),"")</f>
        <v/>
      </c>
    </row>
    <row r="1440" spans="5:6" x14ac:dyDescent="0.3">
      <c r="E1440" t="str">
        <f>IFERROR(IF(D1440="","",VLOOKUP(D1440,CadProd!$A:$B,2,0)),"")</f>
        <v/>
      </c>
      <c r="F1440" t="str">
        <f>IFERROR(IF(D1440="","",VLOOKUP(D1440,CadProd!$A:$C,3,0)),"")</f>
        <v/>
      </c>
    </row>
    <row r="1441" spans="5:6" x14ac:dyDescent="0.3">
      <c r="E1441" t="str">
        <f>IFERROR(IF(D1441="","",VLOOKUP(D1441,CadProd!$A:$B,2,0)),"")</f>
        <v/>
      </c>
      <c r="F1441" t="str">
        <f>IFERROR(IF(D1441="","",VLOOKUP(D1441,CadProd!$A:$C,3,0)),"")</f>
        <v/>
      </c>
    </row>
    <row r="1442" spans="5:6" x14ac:dyDescent="0.3">
      <c r="E1442" t="str">
        <f>IFERROR(IF(D1442="","",VLOOKUP(D1442,CadProd!$A:$B,2,0)),"")</f>
        <v/>
      </c>
      <c r="F1442" t="str">
        <f>IFERROR(IF(D1442="","",VLOOKUP(D1442,CadProd!$A:$C,3,0)),"")</f>
        <v/>
      </c>
    </row>
    <row r="1443" spans="5:6" x14ac:dyDescent="0.3">
      <c r="E1443" t="str">
        <f>IFERROR(IF(D1443="","",VLOOKUP(D1443,CadProd!$A:$B,2,0)),"")</f>
        <v/>
      </c>
      <c r="F1443" t="str">
        <f>IFERROR(IF(D1443="","",VLOOKUP(D1443,CadProd!$A:$C,3,0)),"")</f>
        <v/>
      </c>
    </row>
    <row r="1444" spans="5:6" x14ac:dyDescent="0.3">
      <c r="E1444" t="str">
        <f>IFERROR(IF(D1444="","",VLOOKUP(D1444,CadProd!$A:$B,2,0)),"")</f>
        <v/>
      </c>
      <c r="F1444" t="str">
        <f>IFERROR(IF(D1444="","",VLOOKUP(D1444,CadProd!$A:$C,3,0)),"")</f>
        <v/>
      </c>
    </row>
    <row r="1445" spans="5:6" x14ac:dyDescent="0.3">
      <c r="E1445" t="str">
        <f>IFERROR(IF(D1445="","",VLOOKUP(D1445,CadProd!$A:$B,2,0)),"")</f>
        <v/>
      </c>
      <c r="F1445" t="str">
        <f>IFERROR(IF(D1445="","",VLOOKUP(D1445,CadProd!$A:$C,3,0)),"")</f>
        <v/>
      </c>
    </row>
    <row r="1446" spans="5:6" x14ac:dyDescent="0.3">
      <c r="E1446" t="str">
        <f>IFERROR(IF(D1446="","",VLOOKUP(D1446,CadProd!$A:$B,2,0)),"")</f>
        <v/>
      </c>
      <c r="F1446" t="str">
        <f>IFERROR(IF(D1446="","",VLOOKUP(D1446,CadProd!$A:$C,3,0)),"")</f>
        <v/>
      </c>
    </row>
    <row r="1447" spans="5:6" x14ac:dyDescent="0.3">
      <c r="E1447" t="str">
        <f>IFERROR(IF(D1447="","",VLOOKUP(D1447,CadProd!$A:$B,2,0)),"")</f>
        <v/>
      </c>
      <c r="F1447" t="str">
        <f>IFERROR(IF(D1447="","",VLOOKUP(D1447,CadProd!$A:$C,3,0)),"")</f>
        <v/>
      </c>
    </row>
    <row r="1448" spans="5:6" x14ac:dyDescent="0.3">
      <c r="E1448" t="str">
        <f>IFERROR(IF(D1448="","",VLOOKUP(D1448,CadProd!$A:$B,2,0)),"")</f>
        <v/>
      </c>
      <c r="F1448" t="str">
        <f>IFERROR(IF(D1448="","",VLOOKUP(D1448,CadProd!$A:$C,3,0)),"")</f>
        <v/>
      </c>
    </row>
    <row r="1449" spans="5:6" x14ac:dyDescent="0.3">
      <c r="E1449" t="str">
        <f>IFERROR(IF(D1449="","",VLOOKUP(D1449,CadProd!$A:$B,2,0)),"")</f>
        <v/>
      </c>
      <c r="F1449" t="str">
        <f>IFERROR(IF(D1449="","",VLOOKUP(D1449,CadProd!$A:$C,3,0)),"")</f>
        <v/>
      </c>
    </row>
    <row r="1450" spans="5:6" x14ac:dyDescent="0.3">
      <c r="E1450" t="str">
        <f>IFERROR(IF(D1450="","",VLOOKUP(D1450,CadProd!$A:$B,2,0)),"")</f>
        <v/>
      </c>
      <c r="F1450" t="str">
        <f>IFERROR(IF(D1450="","",VLOOKUP(D1450,CadProd!$A:$C,3,0)),"")</f>
        <v/>
      </c>
    </row>
    <row r="1451" spans="5:6" x14ac:dyDescent="0.3">
      <c r="E1451" t="str">
        <f>IFERROR(IF(D1451="","",VLOOKUP(D1451,CadProd!$A:$B,2,0)),"")</f>
        <v/>
      </c>
      <c r="F1451" t="str">
        <f>IFERROR(IF(D1451="","",VLOOKUP(D1451,CadProd!$A:$C,3,0)),"")</f>
        <v/>
      </c>
    </row>
    <row r="1452" spans="5:6" x14ac:dyDescent="0.3">
      <c r="E1452" t="str">
        <f>IFERROR(IF(D1452="","",VLOOKUP(D1452,CadProd!$A:$B,2,0)),"")</f>
        <v/>
      </c>
      <c r="F1452" t="str">
        <f>IFERROR(IF(D1452="","",VLOOKUP(D1452,CadProd!$A:$C,3,0)),"")</f>
        <v/>
      </c>
    </row>
    <row r="1453" spans="5:6" x14ac:dyDescent="0.3">
      <c r="E1453" t="str">
        <f>IFERROR(IF(D1453="","",VLOOKUP(D1453,CadProd!$A:$B,2,0)),"")</f>
        <v/>
      </c>
      <c r="F1453" t="str">
        <f>IFERROR(IF(D1453="","",VLOOKUP(D1453,CadProd!$A:$C,3,0)),"")</f>
        <v/>
      </c>
    </row>
    <row r="1454" spans="5:6" x14ac:dyDescent="0.3">
      <c r="E1454" t="str">
        <f>IFERROR(IF(D1454="","",VLOOKUP(D1454,CadProd!$A:$B,2,0)),"")</f>
        <v/>
      </c>
      <c r="F1454" t="str">
        <f>IFERROR(IF(D1454="","",VLOOKUP(D1454,CadProd!$A:$C,3,0)),"")</f>
        <v/>
      </c>
    </row>
    <row r="1455" spans="5:6" x14ac:dyDescent="0.3">
      <c r="E1455" t="str">
        <f>IFERROR(IF(D1455="","",VLOOKUP(D1455,CadProd!$A:$B,2,0)),"")</f>
        <v/>
      </c>
      <c r="F1455" t="str">
        <f>IFERROR(IF(D1455="","",VLOOKUP(D1455,CadProd!$A:$C,3,0)),"")</f>
        <v/>
      </c>
    </row>
    <row r="1456" spans="5:6" x14ac:dyDescent="0.3">
      <c r="E1456" t="str">
        <f>IFERROR(IF(D1456="","",VLOOKUP(D1456,CadProd!$A:$B,2,0)),"")</f>
        <v/>
      </c>
      <c r="F1456" t="str">
        <f>IFERROR(IF(D1456="","",VLOOKUP(D1456,CadProd!$A:$C,3,0)),"")</f>
        <v/>
      </c>
    </row>
    <row r="1457" spans="5:6" x14ac:dyDescent="0.3">
      <c r="E1457" t="str">
        <f>IFERROR(IF(D1457="","",VLOOKUP(D1457,CadProd!$A:$B,2,0)),"")</f>
        <v/>
      </c>
      <c r="F1457" t="str">
        <f>IFERROR(IF(D1457="","",VLOOKUP(D1457,CadProd!$A:$C,3,0)),"")</f>
        <v/>
      </c>
    </row>
    <row r="1458" spans="5:6" x14ac:dyDescent="0.3">
      <c r="E1458" t="str">
        <f>IFERROR(IF(D1458="","",VLOOKUP(D1458,CadProd!$A:$B,2,0)),"")</f>
        <v/>
      </c>
      <c r="F1458" t="str">
        <f>IFERROR(IF(D1458="","",VLOOKUP(D1458,CadProd!$A:$C,3,0)),"")</f>
        <v/>
      </c>
    </row>
    <row r="1459" spans="5:6" x14ac:dyDescent="0.3">
      <c r="E1459" t="str">
        <f>IFERROR(IF(D1459="","",VLOOKUP(D1459,CadProd!$A:$B,2,0)),"")</f>
        <v/>
      </c>
      <c r="F1459" t="str">
        <f>IFERROR(IF(D1459="","",VLOOKUP(D1459,CadProd!$A:$C,3,0)),"")</f>
        <v/>
      </c>
    </row>
    <row r="1460" spans="5:6" x14ac:dyDescent="0.3">
      <c r="E1460" t="str">
        <f>IFERROR(IF(D1460="","",VLOOKUP(D1460,CadProd!$A:$B,2,0)),"")</f>
        <v/>
      </c>
      <c r="F1460" t="str">
        <f>IFERROR(IF(D1460="","",VLOOKUP(D1460,CadProd!$A:$C,3,0)),"")</f>
        <v/>
      </c>
    </row>
    <row r="1461" spans="5:6" x14ac:dyDescent="0.3">
      <c r="E1461" t="str">
        <f>IFERROR(IF(D1461="","",VLOOKUP(D1461,CadProd!$A:$B,2,0)),"")</f>
        <v/>
      </c>
      <c r="F1461" t="str">
        <f>IFERROR(IF(D1461="","",VLOOKUP(D1461,CadProd!$A:$C,3,0)),"")</f>
        <v/>
      </c>
    </row>
    <row r="1462" spans="5:6" x14ac:dyDescent="0.3">
      <c r="E1462" t="str">
        <f>IFERROR(IF(D1462="","",VLOOKUP(D1462,CadProd!$A:$B,2,0)),"")</f>
        <v/>
      </c>
      <c r="F1462" t="str">
        <f>IFERROR(IF(D1462="","",VLOOKUP(D1462,CadProd!$A:$C,3,0)),"")</f>
        <v/>
      </c>
    </row>
    <row r="1463" spans="5:6" x14ac:dyDescent="0.3">
      <c r="E1463" t="str">
        <f>IFERROR(IF(D1463="","",VLOOKUP(D1463,CadProd!$A:$B,2,0)),"")</f>
        <v/>
      </c>
      <c r="F1463" t="str">
        <f>IFERROR(IF(D1463="","",VLOOKUP(D1463,CadProd!$A:$C,3,0)),"")</f>
        <v/>
      </c>
    </row>
    <row r="1464" spans="5:6" x14ac:dyDescent="0.3">
      <c r="E1464" t="str">
        <f>IFERROR(IF(D1464="","",VLOOKUP(D1464,CadProd!$A:$B,2,0)),"")</f>
        <v/>
      </c>
      <c r="F1464" t="str">
        <f>IFERROR(IF(D1464="","",VLOOKUP(D1464,CadProd!$A:$C,3,0)),"")</f>
        <v/>
      </c>
    </row>
    <row r="1465" spans="5:6" x14ac:dyDescent="0.3">
      <c r="E1465" t="str">
        <f>IFERROR(IF(D1465="","",VLOOKUP(D1465,CadProd!$A:$B,2,0)),"")</f>
        <v/>
      </c>
      <c r="F1465" t="str">
        <f>IFERROR(IF(D1465="","",VLOOKUP(D1465,CadProd!$A:$C,3,0)),"")</f>
        <v/>
      </c>
    </row>
    <row r="1466" spans="5:6" x14ac:dyDescent="0.3">
      <c r="E1466" t="str">
        <f>IFERROR(IF(D1466="","",VLOOKUP(D1466,CadProd!$A:$B,2,0)),"")</f>
        <v/>
      </c>
      <c r="F1466" t="str">
        <f>IFERROR(IF(D1466="","",VLOOKUP(D1466,CadProd!$A:$C,3,0)),"")</f>
        <v/>
      </c>
    </row>
    <row r="1467" spans="5:6" x14ac:dyDescent="0.3">
      <c r="E1467" t="str">
        <f>IFERROR(IF(D1467="","",VLOOKUP(D1467,CadProd!$A:$B,2,0)),"")</f>
        <v/>
      </c>
      <c r="F1467" t="str">
        <f>IFERROR(IF(D1467="","",VLOOKUP(D1467,CadProd!$A:$C,3,0)),"")</f>
        <v/>
      </c>
    </row>
    <row r="1468" spans="5:6" x14ac:dyDescent="0.3">
      <c r="E1468" t="str">
        <f>IFERROR(IF(D1468="","",VLOOKUP(D1468,CadProd!$A:$B,2,0)),"")</f>
        <v/>
      </c>
      <c r="F1468" t="str">
        <f>IFERROR(IF(D1468="","",VLOOKUP(D1468,CadProd!$A:$C,3,0)),"")</f>
        <v/>
      </c>
    </row>
    <row r="1469" spans="5:6" x14ac:dyDescent="0.3">
      <c r="E1469" t="str">
        <f>IFERROR(IF(D1469="","",VLOOKUP(D1469,CadProd!$A:$B,2,0)),"")</f>
        <v/>
      </c>
      <c r="F1469" t="str">
        <f>IFERROR(IF(D1469="","",VLOOKUP(D1469,CadProd!$A:$C,3,0)),"")</f>
        <v/>
      </c>
    </row>
    <row r="1470" spans="5:6" x14ac:dyDescent="0.3">
      <c r="E1470" t="str">
        <f>IFERROR(IF(D1470="","",VLOOKUP(D1470,CadProd!$A:$B,2,0)),"")</f>
        <v/>
      </c>
      <c r="F1470" t="str">
        <f>IFERROR(IF(D1470="","",VLOOKUP(D1470,CadProd!$A:$C,3,0)),"")</f>
        <v/>
      </c>
    </row>
    <row r="1471" spans="5:6" x14ac:dyDescent="0.3">
      <c r="E1471" t="str">
        <f>IFERROR(IF(D1471="","",VLOOKUP(D1471,CadProd!$A:$B,2,0)),"")</f>
        <v/>
      </c>
      <c r="F1471" t="str">
        <f>IFERROR(IF(D1471="","",VLOOKUP(D1471,CadProd!$A:$C,3,0)),"")</f>
        <v/>
      </c>
    </row>
    <row r="1472" spans="5:6" x14ac:dyDescent="0.3">
      <c r="E1472" t="str">
        <f>IFERROR(IF(D1472="","",VLOOKUP(D1472,CadProd!$A:$B,2,0)),"")</f>
        <v/>
      </c>
      <c r="F1472" t="str">
        <f>IFERROR(IF(D1472="","",VLOOKUP(D1472,CadProd!$A:$C,3,0)),"")</f>
        <v/>
      </c>
    </row>
    <row r="1473" spans="5:6" x14ac:dyDescent="0.3">
      <c r="E1473" t="str">
        <f>IFERROR(IF(D1473="","",VLOOKUP(D1473,CadProd!$A:$B,2,0)),"")</f>
        <v/>
      </c>
      <c r="F1473" t="str">
        <f>IFERROR(IF(D1473="","",VLOOKUP(D1473,CadProd!$A:$C,3,0)),"")</f>
        <v/>
      </c>
    </row>
    <row r="1474" spans="5:6" x14ac:dyDescent="0.3">
      <c r="E1474" t="str">
        <f>IFERROR(IF(D1474="","",VLOOKUP(D1474,CadProd!$A:$B,2,0)),"")</f>
        <v/>
      </c>
      <c r="F1474" t="str">
        <f>IFERROR(IF(D1474="","",VLOOKUP(D1474,CadProd!$A:$C,3,0)),"")</f>
        <v/>
      </c>
    </row>
    <row r="1475" spans="5:6" x14ac:dyDescent="0.3">
      <c r="E1475" t="str">
        <f>IFERROR(IF(D1475="","",VLOOKUP(D1475,CadProd!$A:$B,2,0)),"")</f>
        <v/>
      </c>
      <c r="F1475" t="str">
        <f>IFERROR(IF(D1475="","",VLOOKUP(D1475,CadProd!$A:$C,3,0)),"")</f>
        <v/>
      </c>
    </row>
    <row r="1476" spans="5:6" x14ac:dyDescent="0.3">
      <c r="E1476" t="str">
        <f>IFERROR(IF(D1476="","",VLOOKUP(D1476,CadProd!$A:$B,2,0)),"")</f>
        <v/>
      </c>
      <c r="F1476" t="str">
        <f>IFERROR(IF(D1476="","",VLOOKUP(D1476,CadProd!$A:$C,3,0)),"")</f>
        <v/>
      </c>
    </row>
    <row r="1477" spans="5:6" x14ac:dyDescent="0.3">
      <c r="E1477" t="str">
        <f>IFERROR(IF(D1477="","",VLOOKUP(D1477,CadProd!$A:$B,2,0)),"")</f>
        <v/>
      </c>
      <c r="F1477" t="str">
        <f>IFERROR(IF(D1477="","",VLOOKUP(D1477,CadProd!$A:$C,3,0)),"")</f>
        <v/>
      </c>
    </row>
    <row r="1478" spans="5:6" x14ac:dyDescent="0.3">
      <c r="E1478" t="str">
        <f>IFERROR(IF(D1478="","",VLOOKUP(D1478,CadProd!$A:$B,2,0)),"")</f>
        <v/>
      </c>
      <c r="F1478" t="str">
        <f>IFERROR(IF(D1478="","",VLOOKUP(D1478,CadProd!$A:$C,3,0)),"")</f>
        <v/>
      </c>
    </row>
    <row r="1479" spans="5:6" x14ac:dyDescent="0.3">
      <c r="E1479" t="str">
        <f>IFERROR(IF(D1479="","",VLOOKUP(D1479,CadProd!$A:$B,2,0)),"")</f>
        <v/>
      </c>
      <c r="F1479" t="str">
        <f>IFERROR(IF(D1479="","",VLOOKUP(D1479,CadProd!$A:$C,3,0)),"")</f>
        <v/>
      </c>
    </row>
    <row r="1480" spans="5:6" x14ac:dyDescent="0.3">
      <c r="E1480" t="str">
        <f>IFERROR(IF(D1480="","",VLOOKUP(D1480,CadProd!$A:$B,2,0)),"")</f>
        <v/>
      </c>
      <c r="F1480" t="str">
        <f>IFERROR(IF(D1480="","",VLOOKUP(D1480,CadProd!$A:$C,3,0)),"")</f>
        <v/>
      </c>
    </row>
    <row r="1481" spans="5:6" x14ac:dyDescent="0.3">
      <c r="E1481" t="str">
        <f>IFERROR(IF(D1481="","",VLOOKUP(D1481,CadProd!$A:$B,2,0)),"")</f>
        <v/>
      </c>
      <c r="F1481" t="str">
        <f>IFERROR(IF(D1481="","",VLOOKUP(D1481,CadProd!$A:$C,3,0)),"")</f>
        <v/>
      </c>
    </row>
    <row r="1482" spans="5:6" x14ac:dyDescent="0.3">
      <c r="E1482" t="str">
        <f>IFERROR(IF(D1482="","",VLOOKUP(D1482,CadProd!$A:$B,2,0)),"")</f>
        <v/>
      </c>
      <c r="F1482" t="str">
        <f>IFERROR(IF(D1482="","",VLOOKUP(D1482,CadProd!$A:$C,3,0)),"")</f>
        <v/>
      </c>
    </row>
    <row r="1483" spans="5:6" x14ac:dyDescent="0.3">
      <c r="E1483" t="str">
        <f>IFERROR(IF(D1483="","",VLOOKUP(D1483,CadProd!$A:$B,2,0)),"")</f>
        <v/>
      </c>
      <c r="F1483" t="str">
        <f>IFERROR(IF(D1483="","",VLOOKUP(D1483,CadProd!$A:$C,3,0)),"")</f>
        <v/>
      </c>
    </row>
    <row r="1484" spans="5:6" x14ac:dyDescent="0.3">
      <c r="E1484" t="str">
        <f>IFERROR(IF(D1484="","",VLOOKUP(D1484,CadProd!$A:$B,2,0)),"")</f>
        <v/>
      </c>
      <c r="F1484" t="str">
        <f>IFERROR(IF(D1484="","",VLOOKUP(D1484,CadProd!$A:$C,3,0)),"")</f>
        <v/>
      </c>
    </row>
    <row r="1485" spans="5:6" x14ac:dyDescent="0.3">
      <c r="E1485" t="str">
        <f>IFERROR(IF(D1485="","",VLOOKUP(D1485,CadProd!$A:$B,2,0)),"")</f>
        <v/>
      </c>
      <c r="F1485" t="str">
        <f>IFERROR(IF(D1485="","",VLOOKUP(D1485,CadProd!$A:$C,3,0)),"")</f>
        <v/>
      </c>
    </row>
    <row r="1486" spans="5:6" x14ac:dyDescent="0.3">
      <c r="E1486" t="str">
        <f>IFERROR(IF(D1486="","",VLOOKUP(D1486,CadProd!$A:$B,2,0)),"")</f>
        <v/>
      </c>
      <c r="F1486" t="str">
        <f>IFERROR(IF(D1486="","",VLOOKUP(D1486,CadProd!$A:$C,3,0)),"")</f>
        <v/>
      </c>
    </row>
    <row r="1487" spans="5:6" x14ac:dyDescent="0.3">
      <c r="E1487" t="str">
        <f>IFERROR(IF(D1487="","",VLOOKUP(D1487,CadProd!$A:$B,2,0)),"")</f>
        <v/>
      </c>
      <c r="F1487" t="str">
        <f>IFERROR(IF(D1487="","",VLOOKUP(D1487,CadProd!$A:$C,3,0)),"")</f>
        <v/>
      </c>
    </row>
    <row r="1488" spans="5:6" x14ac:dyDescent="0.3">
      <c r="E1488" t="str">
        <f>IFERROR(IF(D1488="","",VLOOKUP(D1488,CadProd!$A:$B,2,0)),"")</f>
        <v/>
      </c>
      <c r="F1488" t="str">
        <f>IFERROR(IF(D1488="","",VLOOKUP(D1488,CadProd!$A:$C,3,0)),"")</f>
        <v/>
      </c>
    </row>
    <row r="1489" spans="5:6" x14ac:dyDescent="0.3">
      <c r="E1489" t="str">
        <f>IFERROR(IF(D1489="","",VLOOKUP(D1489,CadProd!$A:$B,2,0)),"")</f>
        <v/>
      </c>
      <c r="F1489" t="str">
        <f>IFERROR(IF(D1489="","",VLOOKUP(D1489,CadProd!$A:$C,3,0)),"")</f>
        <v/>
      </c>
    </row>
    <row r="1490" spans="5:6" x14ac:dyDescent="0.3">
      <c r="E1490" t="str">
        <f>IFERROR(IF(D1490="","",VLOOKUP(D1490,CadProd!$A:$B,2,0)),"")</f>
        <v/>
      </c>
      <c r="F1490" t="str">
        <f>IFERROR(IF(D1490="","",VLOOKUP(D1490,CadProd!$A:$C,3,0)),"")</f>
        <v/>
      </c>
    </row>
    <row r="1491" spans="5:6" x14ac:dyDescent="0.3">
      <c r="E1491" t="str">
        <f>IFERROR(IF(D1491="","",VLOOKUP(D1491,CadProd!$A:$B,2,0)),"")</f>
        <v/>
      </c>
      <c r="F1491" t="str">
        <f>IFERROR(IF(D1491="","",VLOOKUP(D1491,CadProd!$A:$C,3,0)),"")</f>
        <v/>
      </c>
    </row>
    <row r="1492" spans="5:6" x14ac:dyDescent="0.3">
      <c r="E1492" t="str">
        <f>IFERROR(IF(D1492="","",VLOOKUP(D1492,CadProd!$A:$B,2,0)),"")</f>
        <v/>
      </c>
      <c r="F1492" t="str">
        <f>IFERROR(IF(D1492="","",VLOOKUP(D1492,CadProd!$A:$C,3,0)),"")</f>
        <v/>
      </c>
    </row>
    <row r="1493" spans="5:6" x14ac:dyDescent="0.3">
      <c r="E1493" t="str">
        <f>IFERROR(IF(D1493="","",VLOOKUP(D1493,CadProd!$A:$B,2,0)),"")</f>
        <v/>
      </c>
      <c r="F1493" t="str">
        <f>IFERROR(IF(D1493="","",VLOOKUP(D1493,CadProd!$A:$C,3,0)),"")</f>
        <v/>
      </c>
    </row>
    <row r="1494" spans="5:6" x14ac:dyDescent="0.3">
      <c r="E1494" t="str">
        <f>IFERROR(IF(D1494="","",VLOOKUP(D1494,CadProd!$A:$B,2,0)),"")</f>
        <v/>
      </c>
      <c r="F1494" t="str">
        <f>IFERROR(IF(D1494="","",VLOOKUP(D1494,CadProd!$A:$C,3,0)),"")</f>
        <v/>
      </c>
    </row>
    <row r="1495" spans="5:6" x14ac:dyDescent="0.3">
      <c r="E1495" t="str">
        <f>IFERROR(IF(D1495="","",VLOOKUP(D1495,CadProd!$A:$B,2,0)),"")</f>
        <v/>
      </c>
      <c r="F1495" t="str">
        <f>IFERROR(IF(D1495="","",VLOOKUP(D1495,CadProd!$A:$C,3,0)),"")</f>
        <v/>
      </c>
    </row>
    <row r="1496" spans="5:6" x14ac:dyDescent="0.3">
      <c r="E1496" t="str">
        <f>IFERROR(IF(D1496="","",VLOOKUP(D1496,CadProd!$A:$B,2,0)),"")</f>
        <v/>
      </c>
      <c r="F1496" t="str">
        <f>IFERROR(IF(D1496="","",VLOOKUP(D1496,CadProd!$A:$C,3,0)),"")</f>
        <v/>
      </c>
    </row>
    <row r="1497" spans="5:6" x14ac:dyDescent="0.3">
      <c r="E1497" t="str">
        <f>IFERROR(IF(D1497="","",VLOOKUP(D1497,CadProd!$A:$B,2,0)),"")</f>
        <v/>
      </c>
      <c r="F1497" t="str">
        <f>IFERROR(IF(D1497="","",VLOOKUP(D1497,CadProd!$A:$C,3,0)),"")</f>
        <v/>
      </c>
    </row>
    <row r="1498" spans="5:6" x14ac:dyDescent="0.3">
      <c r="E1498" t="str">
        <f>IFERROR(IF(D1498="","",VLOOKUP(D1498,CadProd!$A:$B,2,0)),"")</f>
        <v/>
      </c>
      <c r="F1498" t="str">
        <f>IFERROR(IF(D1498="","",VLOOKUP(D1498,CadProd!$A:$C,3,0)),"")</f>
        <v/>
      </c>
    </row>
    <row r="1499" spans="5:6" x14ac:dyDescent="0.3">
      <c r="E1499" t="str">
        <f>IFERROR(IF(D1499="","",VLOOKUP(D1499,CadProd!$A:$B,2,0)),"")</f>
        <v/>
      </c>
      <c r="F1499" t="str">
        <f>IFERROR(IF(D1499="","",VLOOKUP(D1499,CadProd!$A:$C,3,0)),"")</f>
        <v/>
      </c>
    </row>
    <row r="1500" spans="5:6" x14ac:dyDescent="0.3">
      <c r="E1500" t="str">
        <f>IFERROR(IF(D1500="","",VLOOKUP(D1500,CadProd!$A:$B,2,0)),"")</f>
        <v/>
      </c>
      <c r="F1500" t="str">
        <f>IFERROR(IF(D1500="","",VLOOKUP(D1500,CadProd!$A:$C,3,0)),"")</f>
        <v/>
      </c>
    </row>
    <row r="1501" spans="5:6" x14ac:dyDescent="0.3">
      <c r="E1501" t="str">
        <f>IFERROR(IF(D1501="","",VLOOKUP(D1501,CadProd!$A:$B,2,0)),"")</f>
        <v/>
      </c>
      <c r="F1501" t="str">
        <f>IFERROR(IF(D1501="","",VLOOKUP(D1501,CadProd!$A:$C,3,0)),"")</f>
        <v/>
      </c>
    </row>
    <row r="1502" spans="5:6" x14ac:dyDescent="0.3">
      <c r="E1502" t="str">
        <f>IFERROR(IF(D1502="","",VLOOKUP(D1502,CadProd!$A:$B,2,0)),"")</f>
        <v/>
      </c>
      <c r="F1502" t="str">
        <f>IFERROR(IF(D1502="","",VLOOKUP(D1502,CadProd!$A:$C,3,0)),"")</f>
        <v/>
      </c>
    </row>
    <row r="1503" spans="5:6" x14ac:dyDescent="0.3">
      <c r="E1503" t="str">
        <f>IFERROR(IF(D1503="","",VLOOKUP(D1503,CadProd!$A:$B,2,0)),"")</f>
        <v/>
      </c>
      <c r="F1503" t="str">
        <f>IFERROR(IF(D1503="","",VLOOKUP(D1503,CadProd!$A:$C,3,0)),"")</f>
        <v/>
      </c>
    </row>
    <row r="1504" spans="5:6" x14ac:dyDescent="0.3">
      <c r="E1504" t="str">
        <f>IFERROR(IF(D1504="","",VLOOKUP(D1504,CadProd!$A:$B,2,0)),"")</f>
        <v/>
      </c>
      <c r="F1504" t="str">
        <f>IFERROR(IF(D1504="","",VLOOKUP(D1504,CadProd!$A:$C,3,0)),"")</f>
        <v/>
      </c>
    </row>
    <row r="1505" spans="5:6" x14ac:dyDescent="0.3">
      <c r="E1505" t="str">
        <f>IFERROR(IF(D1505="","",VLOOKUP(D1505,CadProd!$A:$B,2,0)),"")</f>
        <v/>
      </c>
      <c r="F1505" t="str">
        <f>IFERROR(IF(D1505="","",VLOOKUP(D1505,CadProd!$A:$C,3,0)),"")</f>
        <v/>
      </c>
    </row>
    <row r="1506" spans="5:6" x14ac:dyDescent="0.3">
      <c r="E1506" t="str">
        <f>IFERROR(IF(D1506="","",VLOOKUP(D1506,CadProd!$A:$B,2,0)),"")</f>
        <v/>
      </c>
      <c r="F1506" t="str">
        <f>IFERROR(IF(D1506="","",VLOOKUP(D1506,CadProd!$A:$C,3,0)),"")</f>
        <v/>
      </c>
    </row>
    <row r="1507" spans="5:6" x14ac:dyDescent="0.3">
      <c r="E1507" t="str">
        <f>IFERROR(IF(D1507="","",VLOOKUP(D1507,CadProd!$A:$B,2,0)),"")</f>
        <v/>
      </c>
      <c r="F1507" t="str">
        <f>IFERROR(IF(D1507="","",VLOOKUP(D1507,CadProd!$A:$C,3,0)),"")</f>
        <v/>
      </c>
    </row>
    <row r="1508" spans="5:6" x14ac:dyDescent="0.3">
      <c r="E1508" t="str">
        <f>IFERROR(IF(D1508="","",VLOOKUP(D1508,CadProd!$A:$B,2,0)),"")</f>
        <v/>
      </c>
      <c r="F1508" t="str">
        <f>IFERROR(IF(D1508="","",VLOOKUP(D1508,CadProd!$A:$C,3,0)),"")</f>
        <v/>
      </c>
    </row>
    <row r="1509" spans="5:6" x14ac:dyDescent="0.3">
      <c r="E1509" t="str">
        <f>IFERROR(IF(D1509="","",VLOOKUP(D1509,CadProd!$A:$B,2,0)),"")</f>
        <v/>
      </c>
      <c r="F1509" t="str">
        <f>IFERROR(IF(D1509="","",VLOOKUP(D1509,CadProd!$A:$C,3,0)),"")</f>
        <v/>
      </c>
    </row>
    <row r="1510" spans="5:6" x14ac:dyDescent="0.3">
      <c r="E1510" t="str">
        <f>IFERROR(IF(D1510="","",VLOOKUP(D1510,CadProd!$A:$B,2,0)),"")</f>
        <v/>
      </c>
      <c r="F1510" t="str">
        <f>IFERROR(IF(D1510="","",VLOOKUP(D1510,CadProd!$A:$C,3,0)),"")</f>
        <v/>
      </c>
    </row>
    <row r="1511" spans="5:6" x14ac:dyDescent="0.3">
      <c r="E1511" t="str">
        <f>IFERROR(IF(D1511="","",VLOOKUP(D1511,CadProd!$A:$B,2,0)),"")</f>
        <v/>
      </c>
      <c r="F1511" t="str">
        <f>IFERROR(IF(D1511="","",VLOOKUP(D1511,CadProd!$A:$C,3,0)),"")</f>
        <v/>
      </c>
    </row>
    <row r="1512" spans="5:6" x14ac:dyDescent="0.3">
      <c r="E1512" t="str">
        <f>IFERROR(IF(D1512="","",VLOOKUP(D1512,CadProd!$A:$B,2,0)),"")</f>
        <v/>
      </c>
      <c r="F1512" t="str">
        <f>IFERROR(IF(D1512="","",VLOOKUP(D1512,CadProd!$A:$C,3,0)),"")</f>
        <v/>
      </c>
    </row>
    <row r="1513" spans="5:6" x14ac:dyDescent="0.3">
      <c r="E1513" t="str">
        <f>IFERROR(IF(D1513="","",VLOOKUP(D1513,CadProd!$A:$B,2,0)),"")</f>
        <v/>
      </c>
      <c r="F1513" t="str">
        <f>IFERROR(IF(D1513="","",VLOOKUP(D1513,CadProd!$A:$C,3,0)),"")</f>
        <v/>
      </c>
    </row>
    <row r="1514" spans="5:6" x14ac:dyDescent="0.3">
      <c r="E1514" t="str">
        <f>IFERROR(IF(D1514="","",VLOOKUP(D1514,CadProd!$A:$B,2,0)),"")</f>
        <v/>
      </c>
      <c r="F1514" t="str">
        <f>IFERROR(IF(D1514="","",VLOOKUP(D1514,CadProd!$A:$C,3,0)),"")</f>
        <v/>
      </c>
    </row>
    <row r="1515" spans="5:6" x14ac:dyDescent="0.3">
      <c r="E1515" t="str">
        <f>IFERROR(IF(D1515="","",VLOOKUP(D1515,CadProd!$A:$B,2,0)),"")</f>
        <v/>
      </c>
      <c r="F1515" t="str">
        <f>IFERROR(IF(D1515="","",VLOOKUP(D1515,CadProd!$A:$C,3,0)),"")</f>
        <v/>
      </c>
    </row>
    <row r="1516" spans="5:6" x14ac:dyDescent="0.3">
      <c r="E1516" t="str">
        <f>IFERROR(IF(D1516="","",VLOOKUP(D1516,CadProd!$A:$B,2,0)),"")</f>
        <v/>
      </c>
      <c r="F1516" t="str">
        <f>IFERROR(IF(D1516="","",VLOOKUP(D1516,CadProd!$A:$C,3,0)),"")</f>
        <v/>
      </c>
    </row>
    <row r="1517" spans="5:6" x14ac:dyDescent="0.3">
      <c r="E1517" t="str">
        <f>IFERROR(IF(D1517="","",VLOOKUP(D1517,CadProd!$A:$B,2,0)),"")</f>
        <v/>
      </c>
      <c r="F1517" t="str">
        <f>IFERROR(IF(D1517="","",VLOOKUP(D1517,CadProd!$A:$C,3,0)),"")</f>
        <v/>
      </c>
    </row>
    <row r="1518" spans="5:6" x14ac:dyDescent="0.3">
      <c r="E1518" t="str">
        <f>IFERROR(IF(D1518="","",VLOOKUP(D1518,CadProd!$A:$B,2,0)),"")</f>
        <v/>
      </c>
      <c r="F1518" t="str">
        <f>IFERROR(IF(D1518="","",VLOOKUP(D1518,CadProd!$A:$C,3,0)),"")</f>
        <v/>
      </c>
    </row>
    <row r="1519" spans="5:6" x14ac:dyDescent="0.3">
      <c r="E1519" t="str">
        <f>IFERROR(IF(D1519="","",VLOOKUP(D1519,CadProd!$A:$B,2,0)),"")</f>
        <v/>
      </c>
      <c r="F1519" t="str">
        <f>IFERROR(IF(D1519="","",VLOOKUP(D1519,CadProd!$A:$C,3,0)),"")</f>
        <v/>
      </c>
    </row>
    <row r="1520" spans="5:6" x14ac:dyDescent="0.3">
      <c r="E1520" t="str">
        <f>IFERROR(IF(D1520="","",VLOOKUP(D1520,CadProd!$A:$B,2,0)),"")</f>
        <v/>
      </c>
      <c r="F1520" t="str">
        <f>IFERROR(IF(D1520="","",VLOOKUP(D1520,CadProd!$A:$C,3,0)),"")</f>
        <v/>
      </c>
    </row>
    <row r="1521" spans="5:6" x14ac:dyDescent="0.3">
      <c r="E1521" t="str">
        <f>IFERROR(IF(D1521="","",VLOOKUP(D1521,CadProd!$A:$B,2,0)),"")</f>
        <v/>
      </c>
      <c r="F1521" t="str">
        <f>IFERROR(IF(D1521="","",VLOOKUP(D1521,CadProd!$A:$C,3,0)),"")</f>
        <v/>
      </c>
    </row>
    <row r="1522" spans="5:6" x14ac:dyDescent="0.3">
      <c r="E1522" t="str">
        <f>IFERROR(IF(D1522="","",VLOOKUP(D1522,CadProd!$A:$B,2,0)),"")</f>
        <v/>
      </c>
      <c r="F1522" t="str">
        <f>IFERROR(IF(D1522="","",VLOOKUP(D1522,CadProd!$A:$C,3,0)),"")</f>
        <v/>
      </c>
    </row>
    <row r="1523" spans="5:6" x14ac:dyDescent="0.3">
      <c r="E1523" t="str">
        <f>IFERROR(IF(D1523="","",VLOOKUP(D1523,CadProd!$A:$B,2,0)),"")</f>
        <v/>
      </c>
      <c r="F1523" t="str">
        <f>IFERROR(IF(D1523="","",VLOOKUP(D1523,CadProd!$A:$C,3,0)),"")</f>
        <v/>
      </c>
    </row>
    <row r="1524" spans="5:6" x14ac:dyDescent="0.3">
      <c r="E1524" t="str">
        <f>IFERROR(IF(D1524="","",VLOOKUP(D1524,CadProd!$A:$B,2,0)),"")</f>
        <v/>
      </c>
      <c r="F1524" t="str">
        <f>IFERROR(IF(D1524="","",VLOOKUP(D1524,CadProd!$A:$C,3,0)),"")</f>
        <v/>
      </c>
    </row>
    <row r="1525" spans="5:6" x14ac:dyDescent="0.3">
      <c r="E1525" t="str">
        <f>IFERROR(IF(D1525="","",VLOOKUP(D1525,CadProd!$A:$B,2,0)),"")</f>
        <v/>
      </c>
      <c r="F1525" t="str">
        <f>IFERROR(IF(D1525="","",VLOOKUP(D1525,CadProd!$A:$C,3,0)),"")</f>
        <v/>
      </c>
    </row>
    <row r="1526" spans="5:6" x14ac:dyDescent="0.3">
      <c r="E1526" t="str">
        <f>IFERROR(IF(D1526="","",VLOOKUP(D1526,CadProd!$A:$B,2,0)),"")</f>
        <v/>
      </c>
      <c r="F1526" t="str">
        <f>IFERROR(IF(D1526="","",VLOOKUP(D1526,CadProd!$A:$C,3,0)),"")</f>
        <v/>
      </c>
    </row>
    <row r="1527" spans="5:6" x14ac:dyDescent="0.3">
      <c r="E1527" t="str">
        <f>IFERROR(IF(D1527="","",VLOOKUP(D1527,CadProd!$A:$B,2,0)),"")</f>
        <v/>
      </c>
      <c r="F1527" t="str">
        <f>IFERROR(IF(D1527="","",VLOOKUP(D1527,CadProd!$A:$C,3,0)),"")</f>
        <v/>
      </c>
    </row>
    <row r="1528" spans="5:6" x14ac:dyDescent="0.3">
      <c r="E1528" t="str">
        <f>IFERROR(IF(D1528="","",VLOOKUP(D1528,CadProd!$A:$B,2,0)),"")</f>
        <v/>
      </c>
      <c r="F1528" t="str">
        <f>IFERROR(IF(D1528="","",VLOOKUP(D1528,CadProd!$A:$C,3,0)),"")</f>
        <v/>
      </c>
    </row>
    <row r="1529" spans="5:6" x14ac:dyDescent="0.3">
      <c r="E1529" t="str">
        <f>IFERROR(IF(D1529="","",VLOOKUP(D1529,CadProd!$A:$B,2,0)),"")</f>
        <v/>
      </c>
      <c r="F1529" t="str">
        <f>IFERROR(IF(D1529="","",VLOOKUP(D1529,CadProd!$A:$C,3,0)),"")</f>
        <v/>
      </c>
    </row>
    <row r="1530" spans="5:6" x14ac:dyDescent="0.3">
      <c r="E1530" t="str">
        <f>IFERROR(IF(D1530="","",VLOOKUP(D1530,CadProd!$A:$B,2,0)),"")</f>
        <v/>
      </c>
      <c r="F1530" t="str">
        <f>IFERROR(IF(D1530="","",VLOOKUP(D1530,CadProd!$A:$C,3,0)),"")</f>
        <v/>
      </c>
    </row>
    <row r="1531" spans="5:6" x14ac:dyDescent="0.3">
      <c r="E1531" t="str">
        <f>IFERROR(IF(D1531="","",VLOOKUP(D1531,CadProd!$A:$B,2,0)),"")</f>
        <v/>
      </c>
      <c r="F1531" t="str">
        <f>IFERROR(IF(D1531="","",VLOOKUP(D1531,CadProd!$A:$C,3,0)),"")</f>
        <v/>
      </c>
    </row>
    <row r="1532" spans="5:6" x14ac:dyDescent="0.3">
      <c r="E1532" t="str">
        <f>IFERROR(IF(D1532="","",VLOOKUP(D1532,CadProd!$A:$B,2,0)),"")</f>
        <v/>
      </c>
      <c r="F1532" t="str">
        <f>IFERROR(IF(D1532="","",VLOOKUP(D1532,CadProd!$A:$C,3,0)),"")</f>
        <v/>
      </c>
    </row>
    <row r="1533" spans="5:6" x14ac:dyDescent="0.3">
      <c r="E1533" t="str">
        <f>IFERROR(IF(D1533="","",VLOOKUP(D1533,CadProd!$A:$B,2,0)),"")</f>
        <v/>
      </c>
      <c r="F1533" t="str">
        <f>IFERROR(IF(D1533="","",VLOOKUP(D1533,CadProd!$A:$C,3,0)),"")</f>
        <v/>
      </c>
    </row>
    <row r="1534" spans="5:6" x14ac:dyDescent="0.3">
      <c r="E1534" t="str">
        <f>IFERROR(IF(D1534="","",VLOOKUP(D1534,CadProd!$A:$B,2,0)),"")</f>
        <v/>
      </c>
      <c r="F1534" t="str">
        <f>IFERROR(IF(D1534="","",VLOOKUP(D1534,CadProd!$A:$C,3,0)),"")</f>
        <v/>
      </c>
    </row>
    <row r="1535" spans="5:6" x14ac:dyDescent="0.3">
      <c r="E1535" t="str">
        <f>IFERROR(IF(D1535="","",VLOOKUP(D1535,CadProd!$A:$B,2,0)),"")</f>
        <v/>
      </c>
      <c r="F1535" t="str">
        <f>IFERROR(IF(D1535="","",VLOOKUP(D1535,CadProd!$A:$C,3,0)),"")</f>
        <v/>
      </c>
    </row>
    <row r="1536" spans="5:6" x14ac:dyDescent="0.3">
      <c r="E1536" t="str">
        <f>IFERROR(IF(D1536="","",VLOOKUP(D1536,CadProd!$A:$B,2,0)),"")</f>
        <v/>
      </c>
      <c r="F1536" t="str">
        <f>IFERROR(IF(D1536="","",VLOOKUP(D1536,CadProd!$A:$C,3,0)),"")</f>
        <v/>
      </c>
    </row>
    <row r="1537" spans="5:6" x14ac:dyDescent="0.3">
      <c r="E1537" t="str">
        <f>IFERROR(IF(D1537="","",VLOOKUP(D1537,CadProd!$A:$B,2,0)),"")</f>
        <v/>
      </c>
      <c r="F1537" t="str">
        <f>IFERROR(IF(D1537="","",VLOOKUP(D1537,CadProd!$A:$C,3,0)),"")</f>
        <v/>
      </c>
    </row>
    <row r="1538" spans="5:6" x14ac:dyDescent="0.3">
      <c r="E1538" t="str">
        <f>IFERROR(IF(D1538="","",VLOOKUP(D1538,CadProd!$A:$B,2,0)),"")</f>
        <v/>
      </c>
      <c r="F1538" t="str">
        <f>IFERROR(IF(D1538="","",VLOOKUP(D1538,CadProd!$A:$C,3,0)),"")</f>
        <v/>
      </c>
    </row>
    <row r="1539" spans="5:6" x14ac:dyDescent="0.3">
      <c r="E1539" t="str">
        <f>IFERROR(IF(D1539="","",VLOOKUP(D1539,CadProd!$A:$B,2,0)),"")</f>
        <v/>
      </c>
      <c r="F1539" t="str">
        <f>IFERROR(IF(D1539="","",VLOOKUP(D1539,CadProd!$A:$C,3,0)),"")</f>
        <v/>
      </c>
    </row>
    <row r="1540" spans="5:6" x14ac:dyDescent="0.3">
      <c r="E1540" t="str">
        <f>IFERROR(IF(D1540="","",VLOOKUP(D1540,CadProd!$A:$B,2,0)),"")</f>
        <v/>
      </c>
      <c r="F1540" t="str">
        <f>IFERROR(IF(D1540="","",VLOOKUP(D1540,CadProd!$A:$C,3,0)),"")</f>
        <v/>
      </c>
    </row>
    <row r="1541" spans="5:6" x14ac:dyDescent="0.3">
      <c r="E1541" t="str">
        <f>IFERROR(IF(D1541="","",VLOOKUP(D1541,CadProd!$A:$B,2,0)),"")</f>
        <v/>
      </c>
      <c r="F1541" t="str">
        <f>IFERROR(IF(D1541="","",VLOOKUP(D1541,CadProd!$A:$C,3,0)),"")</f>
        <v/>
      </c>
    </row>
    <row r="1542" spans="5:6" x14ac:dyDescent="0.3">
      <c r="E1542" t="str">
        <f>IFERROR(IF(D1542="","",VLOOKUP(D1542,CadProd!$A:$B,2,0)),"")</f>
        <v/>
      </c>
      <c r="F1542" t="str">
        <f>IFERROR(IF(D1542="","",VLOOKUP(D1542,CadProd!$A:$C,3,0)),"")</f>
        <v/>
      </c>
    </row>
    <row r="1543" spans="5:6" x14ac:dyDescent="0.3">
      <c r="E1543" t="str">
        <f>IFERROR(IF(D1543="","",VLOOKUP(D1543,CadProd!$A:$B,2,0)),"")</f>
        <v/>
      </c>
      <c r="F1543" t="str">
        <f>IFERROR(IF(D1543="","",VLOOKUP(D1543,CadProd!$A:$C,3,0)),"")</f>
        <v/>
      </c>
    </row>
    <row r="1544" spans="5:6" x14ac:dyDescent="0.3">
      <c r="E1544" t="str">
        <f>IFERROR(IF(D1544="","",VLOOKUP(D1544,CadProd!$A:$B,2,0)),"")</f>
        <v/>
      </c>
      <c r="F1544" t="str">
        <f>IFERROR(IF(D1544="","",VLOOKUP(D1544,CadProd!$A:$C,3,0)),"")</f>
        <v/>
      </c>
    </row>
    <row r="1545" spans="5:6" x14ac:dyDescent="0.3">
      <c r="E1545" t="str">
        <f>IFERROR(IF(D1545="","",VLOOKUP(D1545,CadProd!$A:$B,2,0)),"")</f>
        <v/>
      </c>
      <c r="F1545" t="str">
        <f>IFERROR(IF(D1545="","",VLOOKUP(D1545,CadProd!$A:$C,3,0)),"")</f>
        <v/>
      </c>
    </row>
    <row r="1546" spans="5:6" x14ac:dyDescent="0.3">
      <c r="E1546" t="str">
        <f>IFERROR(IF(D1546="","",VLOOKUP(D1546,CadProd!$A:$B,2,0)),"")</f>
        <v/>
      </c>
      <c r="F1546" t="str">
        <f>IFERROR(IF(D1546="","",VLOOKUP(D1546,CadProd!$A:$C,3,0)),"")</f>
        <v/>
      </c>
    </row>
    <row r="1547" spans="5:6" x14ac:dyDescent="0.3">
      <c r="E1547" t="str">
        <f>IFERROR(IF(D1547="","",VLOOKUP(D1547,CadProd!$A:$B,2,0)),"")</f>
        <v/>
      </c>
      <c r="F1547" t="str">
        <f>IFERROR(IF(D1547="","",VLOOKUP(D1547,CadProd!$A:$C,3,0)),"")</f>
        <v/>
      </c>
    </row>
    <row r="1548" spans="5:6" x14ac:dyDescent="0.3">
      <c r="E1548" t="str">
        <f>IFERROR(IF(D1548="","",VLOOKUP(D1548,CadProd!$A:$B,2,0)),"")</f>
        <v/>
      </c>
      <c r="F1548" t="str">
        <f>IFERROR(IF(D1548="","",VLOOKUP(D1548,CadProd!$A:$C,3,0)),"")</f>
        <v/>
      </c>
    </row>
    <row r="1549" spans="5:6" x14ac:dyDescent="0.3">
      <c r="E1549" t="str">
        <f>IFERROR(IF(D1549="","",VLOOKUP(D1549,CadProd!$A:$B,2,0)),"")</f>
        <v/>
      </c>
      <c r="F1549" t="str">
        <f>IFERROR(IF(D1549="","",VLOOKUP(D1549,CadProd!$A:$C,3,0)),"")</f>
        <v/>
      </c>
    </row>
    <row r="1550" spans="5:6" x14ac:dyDescent="0.3">
      <c r="E1550" t="str">
        <f>IFERROR(IF(D1550="","",VLOOKUP(D1550,CadProd!$A:$B,2,0)),"")</f>
        <v/>
      </c>
      <c r="F1550" t="str">
        <f>IFERROR(IF(D1550="","",VLOOKUP(D1550,CadProd!$A:$C,3,0)),"")</f>
        <v/>
      </c>
    </row>
    <row r="1551" spans="5:6" x14ac:dyDescent="0.3">
      <c r="E1551" t="str">
        <f>IFERROR(IF(D1551="","",VLOOKUP(D1551,CadProd!$A:$B,2,0)),"")</f>
        <v/>
      </c>
      <c r="F1551" t="str">
        <f>IFERROR(IF(D1551="","",VLOOKUP(D1551,CadProd!$A:$C,3,0)),"")</f>
        <v/>
      </c>
    </row>
    <row r="1552" spans="5:6" x14ac:dyDescent="0.3">
      <c r="E1552" t="str">
        <f>IFERROR(IF(D1552="","",VLOOKUP(D1552,CadProd!$A:$B,2,0)),"")</f>
        <v/>
      </c>
      <c r="F1552" t="str">
        <f>IFERROR(IF(D1552="","",VLOOKUP(D1552,CadProd!$A:$C,3,0)),"")</f>
        <v/>
      </c>
    </row>
    <row r="1553" spans="5:6" x14ac:dyDescent="0.3">
      <c r="E1553" t="str">
        <f>IFERROR(IF(D1553="","",VLOOKUP(D1553,CadProd!$A:$B,2,0)),"")</f>
        <v/>
      </c>
      <c r="F1553" t="str">
        <f>IFERROR(IF(D1553="","",VLOOKUP(D1553,CadProd!$A:$C,3,0)),"")</f>
        <v/>
      </c>
    </row>
    <row r="1554" spans="5:6" x14ac:dyDescent="0.3">
      <c r="E1554" t="str">
        <f>IFERROR(IF(D1554="","",VLOOKUP(D1554,CadProd!$A:$B,2,0)),"")</f>
        <v/>
      </c>
      <c r="F1554" t="str">
        <f>IFERROR(IF(D1554="","",VLOOKUP(D1554,CadProd!$A:$C,3,0)),"")</f>
        <v/>
      </c>
    </row>
    <row r="1555" spans="5:6" x14ac:dyDescent="0.3">
      <c r="E1555" t="str">
        <f>IFERROR(IF(D1555="","",VLOOKUP(D1555,CadProd!$A:$B,2,0)),"")</f>
        <v/>
      </c>
      <c r="F1555" t="str">
        <f>IFERROR(IF(D1555="","",VLOOKUP(D1555,CadProd!$A:$C,3,0)),"")</f>
        <v/>
      </c>
    </row>
    <row r="1556" spans="5:6" x14ac:dyDescent="0.3">
      <c r="E1556" t="str">
        <f>IFERROR(IF(D1556="","",VLOOKUP(D1556,CadProd!$A:$B,2,0)),"")</f>
        <v/>
      </c>
      <c r="F1556" t="str">
        <f>IFERROR(IF(D1556="","",VLOOKUP(D1556,CadProd!$A:$C,3,0)),"")</f>
        <v/>
      </c>
    </row>
    <row r="1557" spans="5:6" x14ac:dyDescent="0.3">
      <c r="E1557" t="str">
        <f>IFERROR(IF(D1557="","",VLOOKUP(D1557,CadProd!$A:$B,2,0)),"")</f>
        <v/>
      </c>
      <c r="F1557" t="str">
        <f>IFERROR(IF(D1557="","",VLOOKUP(D1557,CadProd!$A:$C,3,0)),"")</f>
        <v/>
      </c>
    </row>
    <row r="1558" spans="5:6" x14ac:dyDescent="0.3">
      <c r="E1558" t="str">
        <f>IFERROR(IF(D1558="","",VLOOKUP(D1558,CadProd!$A:$B,2,0)),"")</f>
        <v/>
      </c>
      <c r="F1558" t="str">
        <f>IFERROR(IF(D1558="","",VLOOKUP(D1558,CadProd!$A:$C,3,0)),"")</f>
        <v/>
      </c>
    </row>
    <row r="1559" spans="5:6" x14ac:dyDescent="0.3">
      <c r="E1559" t="str">
        <f>IFERROR(IF(D1559="","",VLOOKUP(D1559,CadProd!$A:$B,2,0)),"")</f>
        <v/>
      </c>
      <c r="F1559" t="str">
        <f>IFERROR(IF(D1559="","",VLOOKUP(D1559,CadProd!$A:$C,3,0)),"")</f>
        <v/>
      </c>
    </row>
    <row r="1560" spans="5:6" x14ac:dyDescent="0.3">
      <c r="E1560" t="str">
        <f>IFERROR(IF(D1560="","",VLOOKUP(D1560,CadProd!$A:$B,2,0)),"")</f>
        <v/>
      </c>
      <c r="F1560" t="str">
        <f>IFERROR(IF(D1560="","",VLOOKUP(D1560,CadProd!$A:$C,3,0)),"")</f>
        <v/>
      </c>
    </row>
    <row r="1561" spans="5:6" x14ac:dyDescent="0.3">
      <c r="E1561" t="str">
        <f>IFERROR(IF(D1561="","",VLOOKUP(D1561,CadProd!$A:$B,2,0)),"")</f>
        <v/>
      </c>
      <c r="F1561" t="str">
        <f>IFERROR(IF(D1561="","",VLOOKUP(D1561,CadProd!$A:$C,3,0)),"")</f>
        <v/>
      </c>
    </row>
    <row r="1562" spans="5:6" x14ac:dyDescent="0.3">
      <c r="E1562" t="str">
        <f>IFERROR(IF(D1562="","",VLOOKUP(D1562,CadProd!$A:$B,2,0)),"")</f>
        <v/>
      </c>
      <c r="F1562" t="str">
        <f>IFERROR(IF(D1562="","",VLOOKUP(D1562,CadProd!$A:$C,3,0)),"")</f>
        <v/>
      </c>
    </row>
    <row r="1563" spans="5:6" x14ac:dyDescent="0.3">
      <c r="E1563" t="str">
        <f>IFERROR(IF(D1563="","",VLOOKUP(D1563,CadProd!$A:$B,2,0)),"")</f>
        <v/>
      </c>
      <c r="F1563" t="str">
        <f>IFERROR(IF(D1563="","",VLOOKUP(D1563,CadProd!$A:$C,3,0)),"")</f>
        <v/>
      </c>
    </row>
    <row r="1564" spans="5:6" x14ac:dyDescent="0.3">
      <c r="E1564" t="str">
        <f>IFERROR(IF(D1564="","",VLOOKUP(D1564,CadProd!$A:$B,2,0)),"")</f>
        <v/>
      </c>
      <c r="F1564" t="str">
        <f>IFERROR(IF(D1564="","",VLOOKUP(D1564,CadProd!$A:$C,3,0)),"")</f>
        <v/>
      </c>
    </row>
    <row r="1565" spans="5:6" x14ac:dyDescent="0.3">
      <c r="E1565" t="str">
        <f>IFERROR(IF(D1565="","",VLOOKUP(D1565,CadProd!$A:$B,2,0)),"")</f>
        <v/>
      </c>
      <c r="F1565" t="str">
        <f>IFERROR(IF(D1565="","",VLOOKUP(D1565,CadProd!$A:$C,3,0)),"")</f>
        <v/>
      </c>
    </row>
    <row r="1566" spans="5:6" x14ac:dyDescent="0.3">
      <c r="E1566" t="str">
        <f>IFERROR(IF(D1566="","",VLOOKUP(D1566,CadProd!$A:$B,2,0)),"")</f>
        <v/>
      </c>
      <c r="F1566" t="str">
        <f>IFERROR(IF(D1566="","",VLOOKUP(D1566,CadProd!$A:$C,3,0)),"")</f>
        <v/>
      </c>
    </row>
    <row r="1567" spans="5:6" x14ac:dyDescent="0.3">
      <c r="E1567" t="str">
        <f>IFERROR(IF(D1567="","",VLOOKUP(D1567,CadProd!$A:$B,2,0)),"")</f>
        <v/>
      </c>
      <c r="F1567" t="str">
        <f>IFERROR(IF(D1567="","",VLOOKUP(D1567,CadProd!$A:$C,3,0)),"")</f>
        <v/>
      </c>
    </row>
    <row r="1568" spans="5:6" x14ac:dyDescent="0.3">
      <c r="E1568" t="str">
        <f>IFERROR(IF(D1568="","",VLOOKUP(D1568,CadProd!$A:$B,2,0)),"")</f>
        <v/>
      </c>
      <c r="F1568" t="str">
        <f>IFERROR(IF(D1568="","",VLOOKUP(D1568,CadProd!$A:$C,3,0)),"")</f>
        <v/>
      </c>
    </row>
    <row r="1569" spans="5:6" x14ac:dyDescent="0.3">
      <c r="E1569" t="str">
        <f>IFERROR(IF(D1569="","",VLOOKUP(D1569,CadProd!$A:$B,2,0)),"")</f>
        <v/>
      </c>
      <c r="F1569" t="str">
        <f>IFERROR(IF(D1569="","",VLOOKUP(D1569,CadProd!$A:$C,3,0)),"")</f>
        <v/>
      </c>
    </row>
    <row r="1570" spans="5:6" x14ac:dyDescent="0.3">
      <c r="E1570" t="str">
        <f>IFERROR(IF(D1570="","",VLOOKUP(D1570,CadProd!$A:$B,2,0)),"")</f>
        <v/>
      </c>
      <c r="F1570" t="str">
        <f>IFERROR(IF(D1570="","",VLOOKUP(D1570,CadProd!$A:$C,3,0)),"")</f>
        <v/>
      </c>
    </row>
    <row r="1571" spans="5:6" x14ac:dyDescent="0.3">
      <c r="E1571" t="str">
        <f>IFERROR(IF(D1571="","",VLOOKUP(D1571,CadProd!$A:$B,2,0)),"")</f>
        <v/>
      </c>
      <c r="F1571" t="str">
        <f>IFERROR(IF(D1571="","",VLOOKUP(D1571,CadProd!$A:$C,3,0)),"")</f>
        <v/>
      </c>
    </row>
    <row r="1572" spans="5:6" x14ac:dyDescent="0.3">
      <c r="E1572" t="str">
        <f>IFERROR(IF(D1572="","",VLOOKUP(D1572,CadProd!$A:$B,2,0)),"")</f>
        <v/>
      </c>
      <c r="F1572" t="str">
        <f>IFERROR(IF(D1572="","",VLOOKUP(D1572,CadProd!$A:$C,3,0)),"")</f>
        <v/>
      </c>
    </row>
    <row r="1573" spans="5:6" x14ac:dyDescent="0.3">
      <c r="E1573" t="str">
        <f>IFERROR(IF(D1573="","",VLOOKUP(D1573,CadProd!$A:$B,2,0)),"")</f>
        <v/>
      </c>
      <c r="F1573" t="str">
        <f>IFERROR(IF(D1573="","",VLOOKUP(D1573,CadProd!$A:$C,3,0)),"")</f>
        <v/>
      </c>
    </row>
    <row r="1574" spans="5:6" x14ac:dyDescent="0.3">
      <c r="E1574" t="str">
        <f>IFERROR(IF(D1574="","",VLOOKUP(D1574,CadProd!$A:$B,2,0)),"")</f>
        <v/>
      </c>
      <c r="F1574" t="str">
        <f>IFERROR(IF(D1574="","",VLOOKUP(D1574,CadProd!$A:$C,3,0)),"")</f>
        <v/>
      </c>
    </row>
    <row r="1575" spans="5:6" x14ac:dyDescent="0.3">
      <c r="E1575" t="str">
        <f>IFERROR(IF(D1575="","",VLOOKUP(D1575,CadProd!$A:$B,2,0)),"")</f>
        <v/>
      </c>
      <c r="F1575" t="str">
        <f>IFERROR(IF(D1575="","",VLOOKUP(D1575,CadProd!$A:$C,3,0)),"")</f>
        <v/>
      </c>
    </row>
    <row r="1576" spans="5:6" x14ac:dyDescent="0.3">
      <c r="E1576" t="str">
        <f>IFERROR(IF(D1576="","",VLOOKUP(D1576,CadProd!$A:$B,2,0)),"")</f>
        <v/>
      </c>
      <c r="F1576" t="str">
        <f>IFERROR(IF(D1576="","",VLOOKUP(D1576,CadProd!$A:$C,3,0)),"")</f>
        <v/>
      </c>
    </row>
    <row r="1577" spans="5:6" x14ac:dyDescent="0.3">
      <c r="E1577" t="str">
        <f>IFERROR(IF(D1577="","",VLOOKUP(D1577,CadProd!$A:$B,2,0)),"")</f>
        <v/>
      </c>
      <c r="F1577" t="str">
        <f>IFERROR(IF(D1577="","",VLOOKUP(D1577,CadProd!$A:$C,3,0)),"")</f>
        <v/>
      </c>
    </row>
    <row r="1578" spans="5:6" x14ac:dyDescent="0.3">
      <c r="E1578" t="str">
        <f>IFERROR(IF(D1578="","",VLOOKUP(D1578,CadProd!$A:$B,2,0)),"")</f>
        <v/>
      </c>
      <c r="F1578" t="str">
        <f>IFERROR(IF(D1578="","",VLOOKUP(D1578,CadProd!$A:$C,3,0)),"")</f>
        <v/>
      </c>
    </row>
    <row r="1579" spans="5:6" x14ac:dyDescent="0.3">
      <c r="E1579" t="str">
        <f>IFERROR(IF(D1579="","",VLOOKUP(D1579,CadProd!$A:$B,2,0)),"")</f>
        <v/>
      </c>
      <c r="F1579" t="str">
        <f>IFERROR(IF(D1579="","",VLOOKUP(D1579,CadProd!$A:$C,3,0)),"")</f>
        <v/>
      </c>
    </row>
    <row r="1580" spans="5:6" x14ac:dyDescent="0.3">
      <c r="E1580" t="str">
        <f>IFERROR(IF(D1580="","",VLOOKUP(D1580,CadProd!$A:$B,2,0)),"")</f>
        <v/>
      </c>
      <c r="F1580" t="str">
        <f>IFERROR(IF(D1580="","",VLOOKUP(D1580,CadProd!$A:$C,3,0)),"")</f>
        <v/>
      </c>
    </row>
    <row r="1581" spans="5:6" x14ac:dyDescent="0.3">
      <c r="E1581" t="str">
        <f>IFERROR(IF(D1581="","",VLOOKUP(D1581,CadProd!$A:$B,2,0)),"")</f>
        <v/>
      </c>
      <c r="F1581" t="str">
        <f>IFERROR(IF(D1581="","",VLOOKUP(D1581,CadProd!$A:$C,3,0)),"")</f>
        <v/>
      </c>
    </row>
    <row r="1582" spans="5:6" x14ac:dyDescent="0.3">
      <c r="E1582" t="str">
        <f>IFERROR(IF(D1582="","",VLOOKUP(D1582,CadProd!$A:$B,2,0)),"")</f>
        <v/>
      </c>
      <c r="F1582" t="str">
        <f>IFERROR(IF(D1582="","",VLOOKUP(D1582,CadProd!$A:$C,3,0)),"")</f>
        <v/>
      </c>
    </row>
    <row r="1583" spans="5:6" x14ac:dyDescent="0.3">
      <c r="E1583" t="str">
        <f>IFERROR(IF(D1583="","",VLOOKUP(D1583,CadProd!$A:$B,2,0)),"")</f>
        <v/>
      </c>
      <c r="F1583" t="str">
        <f>IFERROR(IF(D1583="","",VLOOKUP(D1583,CadProd!$A:$C,3,0)),"")</f>
        <v/>
      </c>
    </row>
    <row r="1584" spans="5:6" x14ac:dyDescent="0.3">
      <c r="E1584" t="str">
        <f>IFERROR(IF(D1584="","",VLOOKUP(D1584,CadProd!$A:$B,2,0)),"")</f>
        <v/>
      </c>
      <c r="F1584" t="str">
        <f>IFERROR(IF(D1584="","",VLOOKUP(D1584,CadProd!$A:$C,3,0)),"")</f>
        <v/>
      </c>
    </row>
    <row r="1585" spans="5:6" x14ac:dyDescent="0.3">
      <c r="E1585" t="str">
        <f>IFERROR(IF(D1585="","",VLOOKUP(D1585,CadProd!$A:$B,2,0)),"")</f>
        <v/>
      </c>
      <c r="F1585" t="str">
        <f>IFERROR(IF(D1585="","",VLOOKUP(D1585,CadProd!$A:$C,3,0)),"")</f>
        <v/>
      </c>
    </row>
    <row r="1586" spans="5:6" x14ac:dyDescent="0.3">
      <c r="E1586" t="str">
        <f>IFERROR(IF(D1586="","",VLOOKUP(D1586,CadProd!$A:$B,2,0)),"")</f>
        <v/>
      </c>
      <c r="F1586" t="str">
        <f>IFERROR(IF(D1586="","",VLOOKUP(D1586,CadProd!$A:$C,3,0)),"")</f>
        <v/>
      </c>
    </row>
    <row r="1587" spans="5:6" x14ac:dyDescent="0.3">
      <c r="E1587" t="str">
        <f>IFERROR(IF(D1587="","",VLOOKUP(D1587,CadProd!$A:$B,2,0)),"")</f>
        <v/>
      </c>
      <c r="F1587" t="str">
        <f>IFERROR(IF(D1587="","",VLOOKUP(D1587,CadProd!$A:$C,3,0)),"")</f>
        <v/>
      </c>
    </row>
    <row r="1588" spans="5:6" x14ac:dyDescent="0.3">
      <c r="E1588" t="str">
        <f>IFERROR(IF(D1588="","",VLOOKUP(D1588,CadProd!$A:$B,2,0)),"")</f>
        <v/>
      </c>
      <c r="F1588" t="str">
        <f>IFERROR(IF(D1588="","",VLOOKUP(D1588,CadProd!$A:$C,3,0)),"")</f>
        <v/>
      </c>
    </row>
    <row r="1589" spans="5:6" x14ac:dyDescent="0.3">
      <c r="E1589" t="str">
        <f>IFERROR(IF(D1589="","",VLOOKUP(D1589,CadProd!$A:$B,2,0)),"")</f>
        <v/>
      </c>
      <c r="F1589" t="str">
        <f>IFERROR(IF(D1589="","",VLOOKUP(D1589,CadProd!$A:$C,3,0)),"")</f>
        <v/>
      </c>
    </row>
    <row r="1590" spans="5:6" x14ac:dyDescent="0.3">
      <c r="E1590" t="str">
        <f>IFERROR(IF(D1590="","",VLOOKUP(D1590,CadProd!$A:$B,2,0)),"")</f>
        <v/>
      </c>
      <c r="F1590" t="str">
        <f>IFERROR(IF(D1590="","",VLOOKUP(D1590,CadProd!$A:$C,3,0)),"")</f>
        <v/>
      </c>
    </row>
    <row r="1591" spans="5:6" x14ac:dyDescent="0.3">
      <c r="E1591" t="str">
        <f>IFERROR(IF(D1591="","",VLOOKUP(D1591,CadProd!$A:$B,2,0)),"")</f>
        <v/>
      </c>
      <c r="F1591" t="str">
        <f>IFERROR(IF(D1591="","",VLOOKUP(D1591,CadProd!$A:$C,3,0)),"")</f>
        <v/>
      </c>
    </row>
    <row r="1592" spans="5:6" x14ac:dyDescent="0.3">
      <c r="E1592" t="str">
        <f>IFERROR(IF(D1592="","",VLOOKUP(D1592,CadProd!$A:$B,2,0)),"")</f>
        <v/>
      </c>
      <c r="F1592" t="str">
        <f>IFERROR(IF(D1592="","",VLOOKUP(D1592,CadProd!$A:$C,3,0)),"")</f>
        <v/>
      </c>
    </row>
    <row r="1593" spans="5:6" x14ac:dyDescent="0.3">
      <c r="E1593" t="str">
        <f>IFERROR(IF(D1593="","",VLOOKUP(D1593,CadProd!$A:$B,2,0)),"")</f>
        <v/>
      </c>
      <c r="F1593" t="str">
        <f>IFERROR(IF(D1593="","",VLOOKUP(D1593,CadProd!$A:$C,3,0)),"")</f>
        <v/>
      </c>
    </row>
    <row r="1594" spans="5:6" x14ac:dyDescent="0.3">
      <c r="E1594" t="str">
        <f>IFERROR(IF(D1594="","",VLOOKUP(D1594,CadProd!$A:$B,2,0)),"")</f>
        <v/>
      </c>
      <c r="F1594" t="str">
        <f>IFERROR(IF(D1594="","",VLOOKUP(D1594,CadProd!$A:$C,3,0)),"")</f>
        <v/>
      </c>
    </row>
    <row r="1595" spans="5:6" x14ac:dyDescent="0.3">
      <c r="E1595" t="str">
        <f>IFERROR(IF(D1595="","",VLOOKUP(D1595,CadProd!$A:$B,2,0)),"")</f>
        <v/>
      </c>
      <c r="F1595" t="str">
        <f>IFERROR(IF(D1595="","",VLOOKUP(D1595,CadProd!$A:$C,3,0)),"")</f>
        <v/>
      </c>
    </row>
    <row r="1596" spans="5:6" x14ac:dyDescent="0.3">
      <c r="E1596" t="str">
        <f>IFERROR(IF(D1596="","",VLOOKUP(D1596,CadProd!$A:$B,2,0)),"")</f>
        <v/>
      </c>
      <c r="F1596" t="str">
        <f>IFERROR(IF(D1596="","",VLOOKUP(D1596,CadProd!$A:$C,3,0)),"")</f>
        <v/>
      </c>
    </row>
    <row r="1597" spans="5:6" x14ac:dyDescent="0.3">
      <c r="E1597" t="str">
        <f>IFERROR(IF(D1597="","",VLOOKUP(D1597,CadProd!$A:$B,2,0)),"")</f>
        <v/>
      </c>
      <c r="F1597" t="str">
        <f>IFERROR(IF(D1597="","",VLOOKUP(D1597,CadProd!$A:$C,3,0)),"")</f>
        <v/>
      </c>
    </row>
    <row r="1598" spans="5:6" x14ac:dyDescent="0.3">
      <c r="E1598" t="str">
        <f>IFERROR(IF(D1598="","",VLOOKUP(D1598,CadProd!$A:$B,2,0)),"")</f>
        <v/>
      </c>
      <c r="F1598" t="str">
        <f>IFERROR(IF(D1598="","",VLOOKUP(D1598,CadProd!$A:$C,3,0)),"")</f>
        <v/>
      </c>
    </row>
    <row r="1599" spans="5:6" x14ac:dyDescent="0.3">
      <c r="E1599" t="str">
        <f>IFERROR(IF(D1599="","",VLOOKUP(D1599,CadProd!$A:$B,2,0)),"")</f>
        <v/>
      </c>
      <c r="F1599" t="str">
        <f>IFERROR(IF(D1599="","",VLOOKUP(D1599,CadProd!$A:$C,3,0)),"")</f>
        <v/>
      </c>
    </row>
    <row r="1600" spans="5:6" x14ac:dyDescent="0.3">
      <c r="E1600" t="str">
        <f>IFERROR(IF(D1600="","",VLOOKUP(D1600,CadProd!$A:$B,2,0)),"")</f>
        <v/>
      </c>
      <c r="F1600" t="str">
        <f>IFERROR(IF(D1600="","",VLOOKUP(D1600,CadProd!$A:$C,3,0)),"")</f>
        <v/>
      </c>
    </row>
    <row r="1601" spans="5:6" x14ac:dyDescent="0.3">
      <c r="E1601" t="str">
        <f>IFERROR(IF(D1601="","",VLOOKUP(D1601,CadProd!$A:$B,2,0)),"")</f>
        <v/>
      </c>
      <c r="F1601" t="str">
        <f>IFERROR(IF(D1601="","",VLOOKUP(D1601,CadProd!$A:$C,3,0)),"")</f>
        <v/>
      </c>
    </row>
    <row r="1602" spans="5:6" x14ac:dyDescent="0.3">
      <c r="E1602" t="str">
        <f>IFERROR(IF(D1602="","",VLOOKUP(D1602,CadProd!$A:$B,2,0)),"")</f>
        <v/>
      </c>
      <c r="F1602" t="str">
        <f>IFERROR(IF(D1602="","",VLOOKUP(D1602,CadProd!$A:$C,3,0)),"")</f>
        <v/>
      </c>
    </row>
    <row r="1603" spans="5:6" x14ac:dyDescent="0.3">
      <c r="E1603" t="str">
        <f>IFERROR(IF(D1603="","",VLOOKUP(D1603,CadProd!$A:$B,2,0)),"")</f>
        <v/>
      </c>
      <c r="F1603" t="str">
        <f>IFERROR(IF(D1603="","",VLOOKUP(D1603,CadProd!$A:$C,3,0)),"")</f>
        <v/>
      </c>
    </row>
    <row r="1604" spans="5:6" x14ac:dyDescent="0.3">
      <c r="E1604" t="str">
        <f>IFERROR(IF(D1604="","",VLOOKUP(D1604,CadProd!$A:$B,2,0)),"")</f>
        <v/>
      </c>
      <c r="F1604" t="str">
        <f>IFERROR(IF(D1604="","",VLOOKUP(D1604,CadProd!$A:$C,3,0)),"")</f>
        <v/>
      </c>
    </row>
    <row r="1605" spans="5:6" x14ac:dyDescent="0.3">
      <c r="E1605" t="str">
        <f>IFERROR(IF(D1605="","",VLOOKUP(D1605,CadProd!$A:$B,2,0)),"")</f>
        <v/>
      </c>
      <c r="F1605" t="str">
        <f>IFERROR(IF(D1605="","",VLOOKUP(D1605,CadProd!$A:$C,3,0)),"")</f>
        <v/>
      </c>
    </row>
    <row r="1606" spans="5:6" x14ac:dyDescent="0.3">
      <c r="E1606" t="str">
        <f>IFERROR(IF(D1606="","",VLOOKUP(D1606,CadProd!$A:$B,2,0)),"")</f>
        <v/>
      </c>
      <c r="F1606" t="str">
        <f>IFERROR(IF(D1606="","",VLOOKUP(D1606,CadProd!$A:$C,3,0)),"")</f>
        <v/>
      </c>
    </row>
    <row r="1607" spans="5:6" x14ac:dyDescent="0.3">
      <c r="E1607" t="str">
        <f>IFERROR(IF(D1607="","",VLOOKUP(D1607,CadProd!$A:$B,2,0)),"")</f>
        <v/>
      </c>
      <c r="F1607" t="str">
        <f>IFERROR(IF(D1607="","",VLOOKUP(D1607,CadProd!$A:$C,3,0)),"")</f>
        <v/>
      </c>
    </row>
    <row r="1608" spans="5:6" x14ac:dyDescent="0.3">
      <c r="E1608" t="str">
        <f>IFERROR(IF(D1608="","",VLOOKUP(D1608,CadProd!$A:$B,2,0)),"")</f>
        <v/>
      </c>
      <c r="F1608" t="str">
        <f>IFERROR(IF(D1608="","",VLOOKUP(D1608,CadProd!$A:$C,3,0)),"")</f>
        <v/>
      </c>
    </row>
    <row r="1609" spans="5:6" x14ac:dyDescent="0.3">
      <c r="E1609" t="str">
        <f>IFERROR(IF(D1609="","",VLOOKUP(D1609,CadProd!$A:$B,2,0)),"")</f>
        <v/>
      </c>
      <c r="F1609" t="str">
        <f>IFERROR(IF(D1609="","",VLOOKUP(D1609,CadProd!$A:$C,3,0)),"")</f>
        <v/>
      </c>
    </row>
    <row r="1610" spans="5:6" x14ac:dyDescent="0.3">
      <c r="E1610" t="str">
        <f>IFERROR(IF(D1610="","",VLOOKUP(D1610,CadProd!$A:$B,2,0)),"")</f>
        <v/>
      </c>
      <c r="F1610" t="str">
        <f>IFERROR(IF(D1610="","",VLOOKUP(D1610,CadProd!$A:$C,3,0)),"")</f>
        <v/>
      </c>
    </row>
    <row r="1611" spans="5:6" x14ac:dyDescent="0.3">
      <c r="E1611" t="str">
        <f>IFERROR(IF(D1611="","",VLOOKUP(D1611,CadProd!$A:$B,2,0)),"")</f>
        <v/>
      </c>
      <c r="F1611" t="str">
        <f>IFERROR(IF(D1611="","",VLOOKUP(D1611,CadProd!$A:$C,3,0)),"")</f>
        <v/>
      </c>
    </row>
    <row r="1612" spans="5:6" x14ac:dyDescent="0.3">
      <c r="E1612" t="str">
        <f>IFERROR(IF(D1612="","",VLOOKUP(D1612,CadProd!$A:$B,2,0)),"")</f>
        <v/>
      </c>
      <c r="F1612" t="str">
        <f>IFERROR(IF(D1612="","",VLOOKUP(D1612,CadProd!$A:$C,3,0)),"")</f>
        <v/>
      </c>
    </row>
    <row r="1613" spans="5:6" x14ac:dyDescent="0.3">
      <c r="E1613" t="str">
        <f>IFERROR(IF(D1613="","",VLOOKUP(D1613,CadProd!$A:$B,2,0)),"")</f>
        <v/>
      </c>
      <c r="F1613" t="str">
        <f>IFERROR(IF(D1613="","",VLOOKUP(D1613,CadProd!$A:$C,3,0)),"")</f>
        <v/>
      </c>
    </row>
    <row r="1614" spans="5:6" x14ac:dyDescent="0.3">
      <c r="E1614" t="str">
        <f>IFERROR(IF(D1614="","",VLOOKUP(D1614,CadProd!$A:$B,2,0)),"")</f>
        <v/>
      </c>
      <c r="F1614" t="str">
        <f>IFERROR(IF(D1614="","",VLOOKUP(D1614,CadProd!$A:$C,3,0)),"")</f>
        <v/>
      </c>
    </row>
    <row r="1615" spans="5:6" x14ac:dyDescent="0.3">
      <c r="E1615" t="str">
        <f>IFERROR(IF(D1615="","",VLOOKUP(D1615,CadProd!$A:$B,2,0)),"")</f>
        <v/>
      </c>
      <c r="F1615" t="str">
        <f>IFERROR(IF(D1615="","",VLOOKUP(D1615,CadProd!$A:$C,3,0)),"")</f>
        <v/>
      </c>
    </row>
    <row r="1616" spans="5:6" x14ac:dyDescent="0.3">
      <c r="E1616" t="str">
        <f>IFERROR(IF(D1616="","",VLOOKUP(D1616,CadProd!$A:$B,2,0)),"")</f>
        <v/>
      </c>
      <c r="F1616" t="str">
        <f>IFERROR(IF(D1616="","",VLOOKUP(D1616,CadProd!$A:$C,3,0)),"")</f>
        <v/>
      </c>
    </row>
    <row r="1617" spans="5:6" x14ac:dyDescent="0.3">
      <c r="E1617" t="str">
        <f>IFERROR(IF(D1617="","",VLOOKUP(D1617,CadProd!$A:$B,2,0)),"")</f>
        <v/>
      </c>
      <c r="F1617" t="str">
        <f>IFERROR(IF(D1617="","",VLOOKUP(D1617,CadProd!$A:$C,3,0)),"")</f>
        <v/>
      </c>
    </row>
    <row r="1618" spans="5:6" x14ac:dyDescent="0.3">
      <c r="E1618" t="str">
        <f>IFERROR(IF(D1618="","",VLOOKUP(D1618,CadProd!$A:$B,2,0)),"")</f>
        <v/>
      </c>
      <c r="F1618" t="str">
        <f>IFERROR(IF(D1618="","",VLOOKUP(D1618,CadProd!$A:$C,3,0)),"")</f>
        <v/>
      </c>
    </row>
    <row r="1619" spans="5:6" x14ac:dyDescent="0.3">
      <c r="E1619" t="str">
        <f>IFERROR(IF(D1619="","",VLOOKUP(D1619,CadProd!$A:$B,2,0)),"")</f>
        <v/>
      </c>
      <c r="F1619" t="str">
        <f>IFERROR(IF(D1619="","",VLOOKUP(D1619,CadProd!$A:$C,3,0)),"")</f>
        <v/>
      </c>
    </row>
    <row r="1620" spans="5:6" x14ac:dyDescent="0.3">
      <c r="E1620" t="str">
        <f>IFERROR(IF(D1620="","",VLOOKUP(D1620,CadProd!$A:$B,2,0)),"")</f>
        <v/>
      </c>
      <c r="F1620" t="str">
        <f>IFERROR(IF(D1620="","",VLOOKUP(D1620,CadProd!$A:$C,3,0)),"")</f>
        <v/>
      </c>
    </row>
    <row r="1621" spans="5:6" x14ac:dyDescent="0.3">
      <c r="E1621" t="str">
        <f>IFERROR(IF(D1621="","",VLOOKUP(D1621,CadProd!$A:$B,2,0)),"")</f>
        <v/>
      </c>
      <c r="F1621" t="str">
        <f>IFERROR(IF(D1621="","",VLOOKUP(D1621,CadProd!$A:$C,3,0)),"")</f>
        <v/>
      </c>
    </row>
    <row r="1622" spans="5:6" x14ac:dyDescent="0.3">
      <c r="E1622" t="str">
        <f>IFERROR(IF(D1622="","",VLOOKUP(D1622,CadProd!$A:$B,2,0)),"")</f>
        <v/>
      </c>
      <c r="F1622" t="str">
        <f>IFERROR(IF(D1622="","",VLOOKUP(D1622,CadProd!$A:$C,3,0)),"")</f>
        <v/>
      </c>
    </row>
    <row r="1623" spans="5:6" x14ac:dyDescent="0.3">
      <c r="E1623" t="str">
        <f>IFERROR(IF(D1623="","",VLOOKUP(D1623,CadProd!$A:$B,2,0)),"")</f>
        <v/>
      </c>
      <c r="F1623" t="str">
        <f>IFERROR(IF(D1623="","",VLOOKUP(D1623,CadProd!$A:$C,3,0)),"")</f>
        <v/>
      </c>
    </row>
    <row r="1624" spans="5:6" x14ac:dyDescent="0.3">
      <c r="E1624" t="str">
        <f>IFERROR(IF(D1624="","",VLOOKUP(D1624,CadProd!$A:$B,2,0)),"")</f>
        <v/>
      </c>
      <c r="F1624" t="str">
        <f>IFERROR(IF(D1624="","",VLOOKUP(D1624,CadProd!$A:$C,3,0)),"")</f>
        <v/>
      </c>
    </row>
    <row r="1625" spans="5:6" x14ac:dyDescent="0.3">
      <c r="E1625" t="str">
        <f>IFERROR(IF(D1625="","",VLOOKUP(D1625,CadProd!$A:$B,2,0)),"")</f>
        <v/>
      </c>
      <c r="F1625" t="str">
        <f>IFERROR(IF(D1625="","",VLOOKUP(D1625,CadProd!$A:$C,3,0)),"")</f>
        <v/>
      </c>
    </row>
    <row r="1626" spans="5:6" x14ac:dyDescent="0.3">
      <c r="E1626" t="str">
        <f>IFERROR(IF(D1626="","",VLOOKUP(D1626,CadProd!$A:$B,2,0)),"")</f>
        <v/>
      </c>
      <c r="F1626" t="str">
        <f>IFERROR(IF(D1626="","",VLOOKUP(D1626,CadProd!$A:$C,3,0)),"")</f>
        <v/>
      </c>
    </row>
    <row r="1627" spans="5:6" x14ac:dyDescent="0.3">
      <c r="E1627" t="str">
        <f>IFERROR(IF(D1627="","",VLOOKUP(D1627,CadProd!$A:$B,2,0)),"")</f>
        <v/>
      </c>
      <c r="F1627" t="str">
        <f>IFERROR(IF(D1627="","",VLOOKUP(D1627,CadProd!$A:$C,3,0)),"")</f>
        <v/>
      </c>
    </row>
    <row r="1628" spans="5:6" x14ac:dyDescent="0.3">
      <c r="E1628" t="str">
        <f>IFERROR(IF(D1628="","",VLOOKUP(D1628,CadProd!$A:$B,2,0)),"")</f>
        <v/>
      </c>
      <c r="F1628" t="str">
        <f>IFERROR(IF(D1628="","",VLOOKUP(D1628,CadProd!$A:$C,3,0)),"")</f>
        <v/>
      </c>
    </row>
    <row r="1629" spans="5:6" x14ac:dyDescent="0.3">
      <c r="E1629" t="str">
        <f>IFERROR(IF(D1629="","",VLOOKUP(D1629,CadProd!$A:$B,2,0)),"")</f>
        <v/>
      </c>
      <c r="F1629" t="str">
        <f>IFERROR(IF(D1629="","",VLOOKUP(D1629,CadProd!$A:$C,3,0)),"")</f>
        <v/>
      </c>
    </row>
    <row r="1630" spans="5:6" x14ac:dyDescent="0.3">
      <c r="E1630" t="str">
        <f>IFERROR(IF(D1630="","",VLOOKUP(D1630,CadProd!$A:$B,2,0)),"")</f>
        <v/>
      </c>
      <c r="F1630" t="str">
        <f>IFERROR(IF(D1630="","",VLOOKUP(D1630,CadProd!$A:$C,3,0)),"")</f>
        <v/>
      </c>
    </row>
    <row r="1631" spans="5:6" x14ac:dyDescent="0.3">
      <c r="E1631" t="str">
        <f>IFERROR(IF(D1631="","",VLOOKUP(D1631,CadProd!$A:$B,2,0)),"")</f>
        <v/>
      </c>
      <c r="F1631" t="str">
        <f>IFERROR(IF(D1631="","",VLOOKUP(D1631,CadProd!$A:$C,3,0)),"")</f>
        <v/>
      </c>
    </row>
    <row r="1632" spans="5:6" x14ac:dyDescent="0.3">
      <c r="E1632" t="str">
        <f>IFERROR(IF(D1632="","",VLOOKUP(D1632,CadProd!$A:$B,2,0)),"")</f>
        <v/>
      </c>
      <c r="F1632" t="str">
        <f>IFERROR(IF(D1632="","",VLOOKUP(D1632,CadProd!$A:$C,3,0)),"")</f>
        <v/>
      </c>
    </row>
    <row r="1633" spans="5:6" x14ac:dyDescent="0.3">
      <c r="E1633" t="str">
        <f>IFERROR(IF(D1633="","",VLOOKUP(D1633,CadProd!$A:$B,2,0)),"")</f>
        <v/>
      </c>
      <c r="F1633" t="str">
        <f>IFERROR(IF(D1633="","",VLOOKUP(D1633,CadProd!$A:$C,3,0)),"")</f>
        <v/>
      </c>
    </row>
    <row r="1634" spans="5:6" x14ac:dyDescent="0.3">
      <c r="E1634" t="str">
        <f>IFERROR(IF(D1634="","",VLOOKUP(D1634,CadProd!$A:$B,2,0)),"")</f>
        <v/>
      </c>
      <c r="F1634" t="str">
        <f>IFERROR(IF(D1634="","",VLOOKUP(D1634,CadProd!$A:$C,3,0)),"")</f>
        <v/>
      </c>
    </row>
    <row r="1635" spans="5:6" x14ac:dyDescent="0.3">
      <c r="E1635" t="str">
        <f>IFERROR(IF(D1635="","",VLOOKUP(D1635,CadProd!$A:$B,2,0)),"")</f>
        <v/>
      </c>
      <c r="F1635" t="str">
        <f>IFERROR(IF(D1635="","",VLOOKUP(D1635,CadProd!$A:$C,3,0)),"")</f>
        <v/>
      </c>
    </row>
    <row r="1636" spans="5:6" x14ac:dyDescent="0.3">
      <c r="E1636" t="str">
        <f>IFERROR(IF(D1636="","",VLOOKUP(D1636,CadProd!$A:$B,2,0)),"")</f>
        <v/>
      </c>
      <c r="F1636" t="str">
        <f>IFERROR(IF(D1636="","",VLOOKUP(D1636,CadProd!$A:$C,3,0)),"")</f>
        <v/>
      </c>
    </row>
    <row r="1637" spans="5:6" x14ac:dyDescent="0.3">
      <c r="E1637" t="str">
        <f>IFERROR(IF(D1637="","",VLOOKUP(D1637,CadProd!$A:$B,2,0)),"")</f>
        <v/>
      </c>
      <c r="F1637" t="str">
        <f>IFERROR(IF(D1637="","",VLOOKUP(D1637,CadProd!$A:$C,3,0)),"")</f>
        <v/>
      </c>
    </row>
    <row r="1638" spans="5:6" x14ac:dyDescent="0.3">
      <c r="E1638" t="str">
        <f>IFERROR(IF(D1638="","",VLOOKUP(D1638,CadProd!$A:$B,2,0)),"")</f>
        <v/>
      </c>
      <c r="F1638" t="str">
        <f>IFERROR(IF(D1638="","",VLOOKUP(D1638,CadProd!$A:$C,3,0)),"")</f>
        <v/>
      </c>
    </row>
    <row r="1639" spans="5:6" x14ac:dyDescent="0.3">
      <c r="E1639" t="str">
        <f>IFERROR(IF(D1639="","",VLOOKUP(D1639,CadProd!$A:$B,2,0)),"")</f>
        <v/>
      </c>
      <c r="F1639" t="str">
        <f>IFERROR(IF(D1639="","",VLOOKUP(D1639,CadProd!$A:$C,3,0)),"")</f>
        <v/>
      </c>
    </row>
    <row r="1640" spans="5:6" x14ac:dyDescent="0.3">
      <c r="E1640" t="str">
        <f>IFERROR(IF(D1640="","",VLOOKUP(D1640,CadProd!$A:$B,2,0)),"")</f>
        <v/>
      </c>
      <c r="F1640" t="str">
        <f>IFERROR(IF(D1640="","",VLOOKUP(D1640,CadProd!$A:$C,3,0)),"")</f>
        <v/>
      </c>
    </row>
    <row r="1641" spans="5:6" x14ac:dyDescent="0.3">
      <c r="E1641" t="str">
        <f>IFERROR(IF(D1641="","",VLOOKUP(D1641,CadProd!$A:$B,2,0)),"")</f>
        <v/>
      </c>
      <c r="F1641" t="str">
        <f>IFERROR(IF(D1641="","",VLOOKUP(D1641,CadProd!$A:$C,3,0)),"")</f>
        <v/>
      </c>
    </row>
    <row r="1642" spans="5:6" x14ac:dyDescent="0.3">
      <c r="E1642" t="str">
        <f>IFERROR(IF(D1642="","",VLOOKUP(D1642,CadProd!$A:$B,2,0)),"")</f>
        <v/>
      </c>
      <c r="F1642" t="str">
        <f>IFERROR(IF(D1642="","",VLOOKUP(D1642,CadProd!$A:$C,3,0)),"")</f>
        <v/>
      </c>
    </row>
    <row r="1643" spans="5:6" x14ac:dyDescent="0.3">
      <c r="E1643" t="str">
        <f>IFERROR(IF(D1643="","",VLOOKUP(D1643,CadProd!$A:$B,2,0)),"")</f>
        <v/>
      </c>
      <c r="F1643" t="str">
        <f>IFERROR(IF(D1643="","",VLOOKUP(D1643,CadProd!$A:$C,3,0)),"")</f>
        <v/>
      </c>
    </row>
    <row r="1644" spans="5:6" x14ac:dyDescent="0.3">
      <c r="E1644" t="str">
        <f>IFERROR(IF(D1644="","",VLOOKUP(D1644,CadProd!$A:$B,2,0)),"")</f>
        <v/>
      </c>
      <c r="F1644" t="str">
        <f>IFERROR(IF(D1644="","",VLOOKUP(D1644,CadProd!$A:$C,3,0)),"")</f>
        <v/>
      </c>
    </row>
    <row r="1645" spans="5:6" x14ac:dyDescent="0.3">
      <c r="E1645" t="str">
        <f>IFERROR(IF(D1645="","",VLOOKUP(D1645,CadProd!$A:$B,2,0)),"")</f>
        <v/>
      </c>
      <c r="F1645" t="str">
        <f>IFERROR(IF(D1645="","",VLOOKUP(D1645,CadProd!$A:$C,3,0)),"")</f>
        <v/>
      </c>
    </row>
    <row r="1646" spans="5:6" x14ac:dyDescent="0.3">
      <c r="E1646" t="str">
        <f>IFERROR(IF(D1646="","",VLOOKUP(D1646,CadProd!$A:$B,2,0)),"")</f>
        <v/>
      </c>
      <c r="F1646" t="str">
        <f>IFERROR(IF(D1646="","",VLOOKUP(D1646,CadProd!$A:$C,3,0)),"")</f>
        <v/>
      </c>
    </row>
    <row r="1647" spans="5:6" x14ac:dyDescent="0.3">
      <c r="E1647" t="str">
        <f>IFERROR(IF(D1647="","",VLOOKUP(D1647,CadProd!$A:$B,2,0)),"")</f>
        <v/>
      </c>
      <c r="F1647" t="str">
        <f>IFERROR(IF(D1647="","",VLOOKUP(D1647,CadProd!$A:$C,3,0)),"")</f>
        <v/>
      </c>
    </row>
    <row r="1648" spans="5:6" x14ac:dyDescent="0.3">
      <c r="E1648" t="str">
        <f>IFERROR(IF(D1648="","",VLOOKUP(D1648,CadProd!$A:$B,2,0)),"")</f>
        <v/>
      </c>
      <c r="F1648" t="str">
        <f>IFERROR(IF(D1648="","",VLOOKUP(D1648,CadProd!$A:$C,3,0)),"")</f>
        <v/>
      </c>
    </row>
    <row r="1649" spans="5:6" x14ac:dyDescent="0.3">
      <c r="E1649" t="str">
        <f>IFERROR(IF(D1649="","",VLOOKUP(D1649,CadProd!$A:$B,2,0)),"")</f>
        <v/>
      </c>
      <c r="F1649" t="str">
        <f>IFERROR(IF(D1649="","",VLOOKUP(D1649,CadProd!$A:$C,3,0)),"")</f>
        <v/>
      </c>
    </row>
    <row r="1650" spans="5:6" x14ac:dyDescent="0.3">
      <c r="E1650" t="str">
        <f>IFERROR(IF(D1650="","",VLOOKUP(D1650,CadProd!$A:$B,2,0)),"")</f>
        <v/>
      </c>
      <c r="F1650" t="str">
        <f>IFERROR(IF(D1650="","",VLOOKUP(D1650,CadProd!$A:$C,3,0)),"")</f>
        <v/>
      </c>
    </row>
    <row r="1651" spans="5:6" x14ac:dyDescent="0.3">
      <c r="E1651" t="str">
        <f>IFERROR(IF(D1651="","",VLOOKUP(D1651,CadProd!$A:$B,2,0)),"")</f>
        <v/>
      </c>
      <c r="F1651" t="str">
        <f>IFERROR(IF(D1651="","",VLOOKUP(D1651,CadProd!$A:$C,3,0)),"")</f>
        <v/>
      </c>
    </row>
    <row r="1652" spans="5:6" x14ac:dyDescent="0.3">
      <c r="E1652" t="str">
        <f>IFERROR(IF(D1652="","",VLOOKUP(D1652,CadProd!$A:$B,2,0)),"")</f>
        <v/>
      </c>
      <c r="F1652" t="str">
        <f>IFERROR(IF(D1652="","",VLOOKUP(D1652,CadProd!$A:$C,3,0)),"")</f>
        <v/>
      </c>
    </row>
    <row r="1653" spans="5:6" x14ac:dyDescent="0.3">
      <c r="E1653" t="str">
        <f>IFERROR(IF(D1653="","",VLOOKUP(D1653,CadProd!$A:$B,2,0)),"")</f>
        <v/>
      </c>
      <c r="F1653" t="str">
        <f>IFERROR(IF(D1653="","",VLOOKUP(D1653,CadProd!$A:$C,3,0)),"")</f>
        <v/>
      </c>
    </row>
    <row r="1654" spans="5:6" x14ac:dyDescent="0.3">
      <c r="E1654" t="str">
        <f>IFERROR(IF(D1654="","",VLOOKUP(D1654,CadProd!$A:$B,2,0)),"")</f>
        <v/>
      </c>
      <c r="F1654" t="str">
        <f>IFERROR(IF(D1654="","",VLOOKUP(D1654,CadProd!$A:$C,3,0)),"")</f>
        <v/>
      </c>
    </row>
    <row r="1655" spans="5:6" x14ac:dyDescent="0.3">
      <c r="E1655" t="str">
        <f>IFERROR(IF(D1655="","",VLOOKUP(D1655,CadProd!$A:$B,2,0)),"")</f>
        <v/>
      </c>
      <c r="F1655" t="str">
        <f>IFERROR(IF(D1655="","",VLOOKUP(D1655,CadProd!$A:$C,3,0)),"")</f>
        <v/>
      </c>
    </row>
    <row r="1656" spans="5:6" x14ac:dyDescent="0.3">
      <c r="E1656" t="str">
        <f>IFERROR(IF(D1656="","",VLOOKUP(D1656,CadProd!$A:$B,2,0)),"")</f>
        <v/>
      </c>
      <c r="F1656" t="str">
        <f>IFERROR(IF(D1656="","",VLOOKUP(D1656,CadProd!$A:$C,3,0)),"")</f>
        <v/>
      </c>
    </row>
    <row r="1657" spans="5:6" x14ac:dyDescent="0.3">
      <c r="E1657" t="str">
        <f>IFERROR(IF(D1657="","",VLOOKUP(D1657,CadProd!$A:$B,2,0)),"")</f>
        <v/>
      </c>
      <c r="F1657" t="str">
        <f>IFERROR(IF(D1657="","",VLOOKUP(D1657,CadProd!$A:$C,3,0)),"")</f>
        <v/>
      </c>
    </row>
    <row r="1658" spans="5:6" x14ac:dyDescent="0.3">
      <c r="E1658" t="str">
        <f>IFERROR(IF(D1658="","",VLOOKUP(D1658,CadProd!$A:$B,2,0)),"")</f>
        <v/>
      </c>
      <c r="F1658" t="str">
        <f>IFERROR(IF(D1658="","",VLOOKUP(D1658,CadProd!$A:$C,3,0)),"")</f>
        <v/>
      </c>
    </row>
    <row r="1659" spans="5:6" x14ac:dyDescent="0.3">
      <c r="E1659" t="str">
        <f>IFERROR(IF(D1659="","",VLOOKUP(D1659,CadProd!$A:$B,2,0)),"")</f>
        <v/>
      </c>
      <c r="F1659" t="str">
        <f>IFERROR(IF(D1659="","",VLOOKUP(D1659,CadProd!$A:$C,3,0)),"")</f>
        <v/>
      </c>
    </row>
    <row r="1660" spans="5:6" x14ac:dyDescent="0.3">
      <c r="E1660" t="str">
        <f>IFERROR(IF(D1660="","",VLOOKUP(D1660,CadProd!$A:$B,2,0)),"")</f>
        <v/>
      </c>
      <c r="F1660" t="str">
        <f>IFERROR(IF(D1660="","",VLOOKUP(D1660,CadProd!$A:$C,3,0)),"")</f>
        <v/>
      </c>
    </row>
    <row r="1661" spans="5:6" x14ac:dyDescent="0.3">
      <c r="E1661" t="str">
        <f>IFERROR(IF(D1661="","",VLOOKUP(D1661,CadProd!$A:$B,2,0)),"")</f>
        <v/>
      </c>
      <c r="F1661" t="str">
        <f>IFERROR(IF(D1661="","",VLOOKUP(D1661,CadProd!$A:$C,3,0)),"")</f>
        <v/>
      </c>
    </row>
    <row r="1662" spans="5:6" x14ac:dyDescent="0.3">
      <c r="E1662" t="str">
        <f>IFERROR(IF(D1662="","",VLOOKUP(D1662,CadProd!$A:$B,2,0)),"")</f>
        <v/>
      </c>
      <c r="F1662" t="str">
        <f>IFERROR(IF(D1662="","",VLOOKUP(D1662,CadProd!$A:$C,3,0)),"")</f>
        <v/>
      </c>
    </row>
    <row r="1663" spans="5:6" x14ac:dyDescent="0.3">
      <c r="E1663" t="str">
        <f>IFERROR(IF(D1663="","",VLOOKUP(D1663,CadProd!$A:$B,2,0)),"")</f>
        <v/>
      </c>
      <c r="F1663" t="str">
        <f>IFERROR(IF(D1663="","",VLOOKUP(D1663,CadProd!$A:$C,3,0)),"")</f>
        <v/>
      </c>
    </row>
    <row r="1664" spans="5:6" x14ac:dyDescent="0.3">
      <c r="E1664" t="str">
        <f>IFERROR(IF(D1664="","",VLOOKUP(D1664,CadProd!$A:$B,2,0)),"")</f>
        <v/>
      </c>
      <c r="F1664" t="str">
        <f>IFERROR(IF(D1664="","",VLOOKUP(D1664,CadProd!$A:$C,3,0)),"")</f>
        <v/>
      </c>
    </row>
    <row r="1665" spans="5:6" x14ac:dyDescent="0.3">
      <c r="E1665" t="str">
        <f>IFERROR(IF(D1665="","",VLOOKUP(D1665,CadProd!$A:$B,2,0)),"")</f>
        <v/>
      </c>
      <c r="F1665" t="str">
        <f>IFERROR(IF(D1665="","",VLOOKUP(D1665,CadProd!$A:$C,3,0)),"")</f>
        <v/>
      </c>
    </row>
    <row r="1666" spans="5:6" x14ac:dyDescent="0.3">
      <c r="E1666" t="str">
        <f>IFERROR(IF(D1666="","",VLOOKUP(D1666,CadProd!$A:$B,2,0)),"")</f>
        <v/>
      </c>
      <c r="F1666" t="str">
        <f>IFERROR(IF(D1666="","",VLOOKUP(D1666,CadProd!$A:$C,3,0)),"")</f>
        <v/>
      </c>
    </row>
    <row r="1667" spans="5:6" x14ac:dyDescent="0.3">
      <c r="E1667" t="str">
        <f>IFERROR(IF(D1667="","",VLOOKUP(D1667,CadProd!$A:$B,2,0)),"")</f>
        <v/>
      </c>
      <c r="F1667" t="str">
        <f>IFERROR(IF(D1667="","",VLOOKUP(D1667,CadProd!$A:$C,3,0)),"")</f>
        <v/>
      </c>
    </row>
    <row r="1668" spans="5:6" x14ac:dyDescent="0.3">
      <c r="E1668" t="str">
        <f>IFERROR(IF(D1668="","",VLOOKUP(D1668,CadProd!$A:$B,2,0)),"")</f>
        <v/>
      </c>
      <c r="F1668" t="str">
        <f>IFERROR(IF(D1668="","",VLOOKUP(D1668,CadProd!$A:$C,3,0)),"")</f>
        <v/>
      </c>
    </row>
    <row r="1669" spans="5:6" x14ac:dyDescent="0.3">
      <c r="E1669" t="str">
        <f>IFERROR(IF(D1669="","",VLOOKUP(D1669,CadProd!$A:$B,2,0)),"")</f>
        <v/>
      </c>
      <c r="F1669" t="str">
        <f>IFERROR(IF(D1669="","",VLOOKUP(D1669,CadProd!$A:$C,3,0)),"")</f>
        <v/>
      </c>
    </row>
    <row r="1670" spans="5:6" x14ac:dyDescent="0.3">
      <c r="E1670" t="str">
        <f>IFERROR(IF(D1670="","",VLOOKUP(D1670,CadProd!$A:$B,2,0)),"")</f>
        <v/>
      </c>
      <c r="F1670" t="str">
        <f>IFERROR(IF(D1670="","",VLOOKUP(D1670,CadProd!$A:$C,3,0)),"")</f>
        <v/>
      </c>
    </row>
    <row r="1671" spans="5:6" x14ac:dyDescent="0.3">
      <c r="E1671" t="str">
        <f>IFERROR(IF(D1671="","",VLOOKUP(D1671,CadProd!$A:$B,2,0)),"")</f>
        <v/>
      </c>
      <c r="F1671" t="str">
        <f>IFERROR(IF(D1671="","",VLOOKUP(D1671,CadProd!$A:$C,3,0)),"")</f>
        <v/>
      </c>
    </row>
    <row r="1672" spans="5:6" x14ac:dyDescent="0.3">
      <c r="E1672" t="str">
        <f>IFERROR(IF(D1672="","",VLOOKUP(D1672,CadProd!$A:$B,2,0)),"")</f>
        <v/>
      </c>
      <c r="F1672" t="str">
        <f>IFERROR(IF(D1672="","",VLOOKUP(D1672,CadProd!$A:$C,3,0)),"")</f>
        <v/>
      </c>
    </row>
    <row r="1673" spans="5:6" x14ac:dyDescent="0.3">
      <c r="E1673" t="str">
        <f>IFERROR(IF(D1673="","",VLOOKUP(D1673,CadProd!$A:$B,2,0)),"")</f>
        <v/>
      </c>
      <c r="F1673" t="str">
        <f>IFERROR(IF(D1673="","",VLOOKUP(D1673,CadProd!$A:$C,3,0)),"")</f>
        <v/>
      </c>
    </row>
    <row r="1674" spans="5:6" x14ac:dyDescent="0.3">
      <c r="E1674" t="str">
        <f>IFERROR(IF(D1674="","",VLOOKUP(D1674,CadProd!$A:$B,2,0)),"")</f>
        <v/>
      </c>
      <c r="F1674" t="str">
        <f>IFERROR(IF(D1674="","",VLOOKUP(D1674,CadProd!$A:$C,3,0)),"")</f>
        <v/>
      </c>
    </row>
    <row r="1675" spans="5:6" x14ac:dyDescent="0.3">
      <c r="E1675" t="str">
        <f>IFERROR(IF(D1675="","",VLOOKUP(D1675,CadProd!$A:$B,2,0)),"")</f>
        <v/>
      </c>
      <c r="F1675" t="str">
        <f>IFERROR(IF(D1675="","",VLOOKUP(D1675,CadProd!$A:$C,3,0)),"")</f>
        <v/>
      </c>
    </row>
    <row r="1676" spans="5:6" x14ac:dyDescent="0.3">
      <c r="E1676" t="str">
        <f>IFERROR(IF(D1676="","",VLOOKUP(D1676,CadProd!$A:$B,2,0)),"")</f>
        <v/>
      </c>
      <c r="F1676" t="str">
        <f>IFERROR(IF(D1676="","",VLOOKUP(D1676,CadProd!$A:$C,3,0)),"")</f>
        <v/>
      </c>
    </row>
    <row r="1677" spans="5:6" x14ac:dyDescent="0.3">
      <c r="E1677" t="str">
        <f>IFERROR(IF(D1677="","",VLOOKUP(D1677,CadProd!$A:$B,2,0)),"")</f>
        <v/>
      </c>
      <c r="F1677" t="str">
        <f>IFERROR(IF(D1677="","",VLOOKUP(D1677,CadProd!$A:$C,3,0)),"")</f>
        <v/>
      </c>
    </row>
    <row r="1678" spans="5:6" x14ac:dyDescent="0.3">
      <c r="E1678" t="str">
        <f>IFERROR(IF(D1678="","",VLOOKUP(D1678,CadProd!$A:$B,2,0)),"")</f>
        <v/>
      </c>
      <c r="F1678" t="str">
        <f>IFERROR(IF(D1678="","",VLOOKUP(D1678,CadProd!$A:$C,3,0)),"")</f>
        <v/>
      </c>
    </row>
    <row r="1679" spans="5:6" x14ac:dyDescent="0.3">
      <c r="E1679" t="str">
        <f>IFERROR(IF(D1679="","",VLOOKUP(D1679,CadProd!$A:$B,2,0)),"")</f>
        <v/>
      </c>
      <c r="F1679" t="str">
        <f>IFERROR(IF(D1679="","",VLOOKUP(D1679,CadProd!$A:$C,3,0)),"")</f>
        <v/>
      </c>
    </row>
    <row r="1680" spans="5:6" x14ac:dyDescent="0.3">
      <c r="E1680" t="str">
        <f>IFERROR(IF(D1680="","",VLOOKUP(D1680,CadProd!$A:$B,2,0)),"")</f>
        <v/>
      </c>
      <c r="F1680" t="str">
        <f>IFERROR(IF(D1680="","",VLOOKUP(D1680,CadProd!$A:$C,3,0)),"")</f>
        <v/>
      </c>
    </row>
    <row r="1681" spans="5:6" x14ac:dyDescent="0.3">
      <c r="E1681" t="str">
        <f>IFERROR(IF(D1681="","",VLOOKUP(D1681,CadProd!$A:$B,2,0)),"")</f>
        <v/>
      </c>
      <c r="F1681" t="str">
        <f>IFERROR(IF(D1681="","",VLOOKUP(D1681,CadProd!$A:$C,3,0)),"")</f>
        <v/>
      </c>
    </row>
    <row r="1682" spans="5:6" x14ac:dyDescent="0.3">
      <c r="E1682" t="str">
        <f>IFERROR(IF(D1682="","",VLOOKUP(D1682,CadProd!$A:$B,2,0)),"")</f>
        <v/>
      </c>
      <c r="F1682" t="str">
        <f>IFERROR(IF(D1682="","",VLOOKUP(D1682,CadProd!$A:$C,3,0)),"")</f>
        <v/>
      </c>
    </row>
    <row r="1683" spans="5:6" x14ac:dyDescent="0.3">
      <c r="E1683" t="str">
        <f>IFERROR(IF(D1683="","",VLOOKUP(D1683,CadProd!$A:$B,2,0)),"")</f>
        <v/>
      </c>
      <c r="F1683" t="str">
        <f>IFERROR(IF(D1683="","",VLOOKUP(D1683,CadProd!$A:$C,3,0)),"")</f>
        <v/>
      </c>
    </row>
    <row r="1684" spans="5:6" x14ac:dyDescent="0.3">
      <c r="E1684" t="str">
        <f>IFERROR(IF(D1684="","",VLOOKUP(D1684,CadProd!$A:$B,2,0)),"")</f>
        <v/>
      </c>
      <c r="F1684" t="str">
        <f>IFERROR(IF(D1684="","",VLOOKUP(D1684,CadProd!$A:$C,3,0)),"")</f>
        <v/>
      </c>
    </row>
    <row r="1685" spans="5:6" x14ac:dyDescent="0.3">
      <c r="E1685" t="str">
        <f>IFERROR(IF(D1685="","",VLOOKUP(D1685,CadProd!$A:$B,2,0)),"")</f>
        <v/>
      </c>
      <c r="F1685" t="str">
        <f>IFERROR(IF(D1685="","",VLOOKUP(D1685,CadProd!$A:$C,3,0)),"")</f>
        <v/>
      </c>
    </row>
    <row r="1686" spans="5:6" x14ac:dyDescent="0.3">
      <c r="E1686" t="str">
        <f>IFERROR(IF(D1686="","",VLOOKUP(D1686,CadProd!$A:$B,2,0)),"")</f>
        <v/>
      </c>
      <c r="F1686" t="str">
        <f>IFERROR(IF(D1686="","",VLOOKUP(D1686,CadProd!$A:$C,3,0)),"")</f>
        <v/>
      </c>
    </row>
    <row r="1687" spans="5:6" x14ac:dyDescent="0.3">
      <c r="E1687" t="str">
        <f>IFERROR(IF(D1687="","",VLOOKUP(D1687,CadProd!$A:$B,2,0)),"")</f>
        <v/>
      </c>
      <c r="F1687" t="str">
        <f>IFERROR(IF(D1687="","",VLOOKUP(D1687,CadProd!$A:$C,3,0)),"")</f>
        <v/>
      </c>
    </row>
    <row r="1688" spans="5:6" x14ac:dyDescent="0.3">
      <c r="E1688" t="str">
        <f>IFERROR(IF(D1688="","",VLOOKUP(D1688,CadProd!$A:$B,2,0)),"")</f>
        <v/>
      </c>
      <c r="F1688" t="str">
        <f>IFERROR(IF(D1688="","",VLOOKUP(D1688,CadProd!$A:$C,3,0)),"")</f>
        <v/>
      </c>
    </row>
    <row r="1689" spans="5:6" x14ac:dyDescent="0.3">
      <c r="E1689" t="str">
        <f>IFERROR(IF(D1689="","",VLOOKUP(D1689,CadProd!$A:$B,2,0)),"")</f>
        <v/>
      </c>
      <c r="F1689" t="str">
        <f>IFERROR(IF(D1689="","",VLOOKUP(D1689,CadProd!$A:$C,3,0)),"")</f>
        <v/>
      </c>
    </row>
    <row r="1690" spans="5:6" x14ac:dyDescent="0.3">
      <c r="E1690" t="str">
        <f>IFERROR(IF(D1690="","",VLOOKUP(D1690,CadProd!$A:$B,2,0)),"")</f>
        <v/>
      </c>
      <c r="F1690" t="str">
        <f>IFERROR(IF(D1690="","",VLOOKUP(D1690,CadProd!$A:$C,3,0)),"")</f>
        <v/>
      </c>
    </row>
    <row r="1691" spans="5:6" x14ac:dyDescent="0.3">
      <c r="E1691" t="str">
        <f>IFERROR(IF(D1691="","",VLOOKUP(D1691,CadProd!$A:$B,2,0)),"")</f>
        <v/>
      </c>
      <c r="F1691" t="str">
        <f>IFERROR(IF(D1691="","",VLOOKUP(D1691,CadProd!$A:$C,3,0)),"")</f>
        <v/>
      </c>
    </row>
    <row r="1692" spans="5:6" x14ac:dyDescent="0.3">
      <c r="E1692" t="str">
        <f>IFERROR(IF(D1692="","",VLOOKUP(D1692,CadProd!$A:$B,2,0)),"")</f>
        <v/>
      </c>
      <c r="F1692" t="str">
        <f>IFERROR(IF(D1692="","",VLOOKUP(D1692,CadProd!$A:$C,3,0)),"")</f>
        <v/>
      </c>
    </row>
    <row r="1693" spans="5:6" x14ac:dyDescent="0.3">
      <c r="E1693" t="str">
        <f>IFERROR(IF(D1693="","",VLOOKUP(D1693,CadProd!$A:$B,2,0)),"")</f>
        <v/>
      </c>
      <c r="F1693" t="str">
        <f>IFERROR(IF(D1693="","",VLOOKUP(D1693,CadProd!$A:$C,3,0)),"")</f>
        <v/>
      </c>
    </row>
    <row r="1694" spans="5:6" x14ac:dyDescent="0.3">
      <c r="E1694" t="str">
        <f>IFERROR(IF(D1694="","",VLOOKUP(D1694,CadProd!$A:$B,2,0)),"")</f>
        <v/>
      </c>
      <c r="F1694" t="str">
        <f>IFERROR(IF(D1694="","",VLOOKUP(D1694,CadProd!$A:$C,3,0)),"")</f>
        <v/>
      </c>
    </row>
    <row r="1695" spans="5:6" x14ac:dyDescent="0.3">
      <c r="E1695" t="str">
        <f>IFERROR(IF(D1695="","",VLOOKUP(D1695,CadProd!$A:$B,2,0)),"")</f>
        <v/>
      </c>
      <c r="F1695" t="str">
        <f>IFERROR(IF(D1695="","",VLOOKUP(D1695,CadProd!$A:$C,3,0)),"")</f>
        <v/>
      </c>
    </row>
    <row r="1696" spans="5:6" x14ac:dyDescent="0.3">
      <c r="E1696" t="str">
        <f>IFERROR(IF(D1696="","",VLOOKUP(D1696,CadProd!$A:$B,2,0)),"")</f>
        <v/>
      </c>
      <c r="F1696" t="str">
        <f>IFERROR(IF(D1696="","",VLOOKUP(D1696,CadProd!$A:$C,3,0)),"")</f>
        <v/>
      </c>
    </row>
    <row r="1697" spans="5:6" x14ac:dyDescent="0.3">
      <c r="E1697" t="str">
        <f>IFERROR(IF(D1697="","",VLOOKUP(D1697,CadProd!$A:$B,2,0)),"")</f>
        <v/>
      </c>
      <c r="F1697" t="str">
        <f>IFERROR(IF(D1697="","",VLOOKUP(D1697,CadProd!$A:$C,3,0)),"")</f>
        <v/>
      </c>
    </row>
    <row r="1698" spans="5:6" x14ac:dyDescent="0.3">
      <c r="E1698" t="str">
        <f>IFERROR(IF(D1698="","",VLOOKUP(D1698,CadProd!$A:$B,2,0)),"")</f>
        <v/>
      </c>
      <c r="F1698" t="str">
        <f>IFERROR(IF(D1698="","",VLOOKUP(D1698,CadProd!$A:$C,3,0)),"")</f>
        <v/>
      </c>
    </row>
    <row r="1699" spans="5:6" x14ac:dyDescent="0.3">
      <c r="E1699" t="str">
        <f>IFERROR(IF(D1699="","",VLOOKUP(D1699,CadProd!$A:$B,2,0)),"")</f>
        <v/>
      </c>
      <c r="F1699" t="str">
        <f>IFERROR(IF(D1699="","",VLOOKUP(D1699,CadProd!$A:$C,3,0)),"")</f>
        <v/>
      </c>
    </row>
    <row r="1700" spans="5:6" x14ac:dyDescent="0.3">
      <c r="E1700" t="str">
        <f>IFERROR(IF(D1700="","",VLOOKUP(D1700,CadProd!$A:$B,2,0)),"")</f>
        <v/>
      </c>
      <c r="F1700" t="str">
        <f>IFERROR(IF(D1700="","",VLOOKUP(D1700,CadProd!$A:$C,3,0)),"")</f>
        <v/>
      </c>
    </row>
    <row r="1701" spans="5:6" x14ac:dyDescent="0.3">
      <c r="E1701" t="str">
        <f>IFERROR(IF(D1701="","",VLOOKUP(D1701,CadProd!$A:$B,2,0)),"")</f>
        <v/>
      </c>
      <c r="F1701" t="str">
        <f>IFERROR(IF(D1701="","",VLOOKUP(D1701,CadProd!$A:$C,3,0)),"")</f>
        <v/>
      </c>
    </row>
    <row r="1702" spans="5:6" x14ac:dyDescent="0.3">
      <c r="E1702" t="str">
        <f>IFERROR(IF(D1702="","",VLOOKUP(D1702,CadProd!$A:$B,2,0)),"")</f>
        <v/>
      </c>
      <c r="F1702" t="str">
        <f>IFERROR(IF(D1702="","",VLOOKUP(D1702,CadProd!$A:$C,3,0)),"")</f>
        <v/>
      </c>
    </row>
    <row r="1703" spans="5:6" x14ac:dyDescent="0.3">
      <c r="E1703" t="str">
        <f>IFERROR(IF(D1703="","",VLOOKUP(D1703,CadProd!$A:$B,2,0)),"")</f>
        <v/>
      </c>
      <c r="F1703" t="str">
        <f>IFERROR(IF(D1703="","",VLOOKUP(D1703,CadProd!$A:$C,3,0)),"")</f>
        <v/>
      </c>
    </row>
    <row r="1704" spans="5:6" x14ac:dyDescent="0.3">
      <c r="E1704" t="str">
        <f>IFERROR(IF(D1704="","",VLOOKUP(D1704,CadProd!$A:$B,2,0)),"")</f>
        <v/>
      </c>
      <c r="F1704" t="str">
        <f>IFERROR(IF(D1704="","",VLOOKUP(D1704,CadProd!$A:$C,3,0)),"")</f>
        <v/>
      </c>
    </row>
    <row r="1705" spans="5:6" x14ac:dyDescent="0.3">
      <c r="E1705" t="str">
        <f>IFERROR(IF(D1705="","",VLOOKUP(D1705,CadProd!$A:$B,2,0)),"")</f>
        <v/>
      </c>
      <c r="F1705" t="str">
        <f>IFERROR(IF(D1705="","",VLOOKUP(D1705,CadProd!$A:$C,3,0)),"")</f>
        <v/>
      </c>
    </row>
    <row r="1706" spans="5:6" x14ac:dyDescent="0.3">
      <c r="E1706" t="str">
        <f>IFERROR(IF(D1706="","",VLOOKUP(D1706,CadProd!$A:$B,2,0)),"")</f>
        <v/>
      </c>
      <c r="F1706" t="str">
        <f>IFERROR(IF(D1706="","",VLOOKUP(D1706,CadProd!$A:$C,3,0)),"")</f>
        <v/>
      </c>
    </row>
    <row r="1707" spans="5:6" x14ac:dyDescent="0.3">
      <c r="E1707" t="str">
        <f>IFERROR(IF(D1707="","",VLOOKUP(D1707,CadProd!$A:$B,2,0)),"")</f>
        <v/>
      </c>
      <c r="F1707" t="str">
        <f>IFERROR(IF(D1707="","",VLOOKUP(D1707,CadProd!$A:$C,3,0)),"")</f>
        <v/>
      </c>
    </row>
    <row r="1708" spans="5:6" x14ac:dyDescent="0.3">
      <c r="E1708" t="str">
        <f>IFERROR(IF(D1708="","",VLOOKUP(D1708,CadProd!$A:$B,2,0)),"")</f>
        <v/>
      </c>
      <c r="F1708" t="str">
        <f>IFERROR(IF(D1708="","",VLOOKUP(D1708,CadProd!$A:$C,3,0)),"")</f>
        <v/>
      </c>
    </row>
    <row r="1709" spans="5:6" x14ac:dyDescent="0.3">
      <c r="E1709" t="str">
        <f>IFERROR(IF(D1709="","",VLOOKUP(D1709,CadProd!$A:$B,2,0)),"")</f>
        <v/>
      </c>
      <c r="F1709" t="str">
        <f>IFERROR(IF(D1709="","",VLOOKUP(D1709,CadProd!$A:$C,3,0)),"")</f>
        <v/>
      </c>
    </row>
    <row r="1710" spans="5:6" x14ac:dyDescent="0.3">
      <c r="E1710" t="str">
        <f>IFERROR(IF(D1710="","",VLOOKUP(D1710,CadProd!$A:$B,2,0)),"")</f>
        <v/>
      </c>
      <c r="F1710" t="str">
        <f>IFERROR(IF(D1710="","",VLOOKUP(D1710,CadProd!$A:$C,3,0)),"")</f>
        <v/>
      </c>
    </row>
    <row r="1711" spans="5:6" x14ac:dyDescent="0.3">
      <c r="E1711" t="str">
        <f>IFERROR(IF(D1711="","",VLOOKUP(D1711,CadProd!$A:$B,2,0)),"")</f>
        <v/>
      </c>
      <c r="F1711" t="str">
        <f>IFERROR(IF(D1711="","",VLOOKUP(D1711,CadProd!$A:$C,3,0)),"")</f>
        <v/>
      </c>
    </row>
    <row r="1712" spans="5:6" x14ac:dyDescent="0.3">
      <c r="E1712" t="str">
        <f>IFERROR(IF(D1712="","",VLOOKUP(D1712,CadProd!$A:$B,2,0)),"")</f>
        <v/>
      </c>
      <c r="F1712" t="str">
        <f>IFERROR(IF(D1712="","",VLOOKUP(D1712,CadProd!$A:$C,3,0)),"")</f>
        <v/>
      </c>
    </row>
    <row r="1713" spans="5:6" x14ac:dyDescent="0.3">
      <c r="E1713" t="str">
        <f>IFERROR(IF(D1713="","",VLOOKUP(D1713,CadProd!$A:$B,2,0)),"")</f>
        <v/>
      </c>
      <c r="F1713" t="str">
        <f>IFERROR(IF(D1713="","",VLOOKUP(D1713,CadProd!$A:$C,3,0)),"")</f>
        <v/>
      </c>
    </row>
    <row r="1714" spans="5:6" x14ac:dyDescent="0.3">
      <c r="E1714" t="str">
        <f>IFERROR(IF(D1714="","",VLOOKUP(D1714,CadProd!$A:$B,2,0)),"")</f>
        <v/>
      </c>
      <c r="F1714" t="str">
        <f>IFERROR(IF(D1714="","",VLOOKUP(D1714,CadProd!$A:$C,3,0)),"")</f>
        <v/>
      </c>
    </row>
    <row r="1715" spans="5:6" x14ac:dyDescent="0.3">
      <c r="E1715" t="str">
        <f>IFERROR(IF(D1715="","",VLOOKUP(D1715,CadProd!$A:$B,2,0)),"")</f>
        <v/>
      </c>
      <c r="F1715" t="str">
        <f>IFERROR(IF(D1715="","",VLOOKUP(D1715,CadProd!$A:$C,3,0)),"")</f>
        <v/>
      </c>
    </row>
    <row r="1716" spans="5:6" x14ac:dyDescent="0.3">
      <c r="E1716" t="str">
        <f>IFERROR(IF(D1716="","",VLOOKUP(D1716,CadProd!$A:$B,2,0)),"")</f>
        <v/>
      </c>
      <c r="F1716" t="str">
        <f>IFERROR(IF(D1716="","",VLOOKUP(D1716,CadProd!$A:$C,3,0)),"")</f>
        <v/>
      </c>
    </row>
    <row r="1717" spans="5:6" x14ac:dyDescent="0.3">
      <c r="E1717" t="str">
        <f>IFERROR(IF(D1717="","",VLOOKUP(D1717,CadProd!$A:$B,2,0)),"")</f>
        <v/>
      </c>
      <c r="F1717" t="str">
        <f>IFERROR(IF(D1717="","",VLOOKUP(D1717,CadProd!$A:$C,3,0)),"")</f>
        <v/>
      </c>
    </row>
    <row r="1718" spans="5:6" x14ac:dyDescent="0.3">
      <c r="E1718" t="str">
        <f>IFERROR(IF(D1718="","",VLOOKUP(D1718,CadProd!$A:$B,2,0)),"")</f>
        <v/>
      </c>
      <c r="F1718" t="str">
        <f>IFERROR(IF(D1718="","",VLOOKUP(D1718,CadProd!$A:$C,3,0)),"")</f>
        <v/>
      </c>
    </row>
    <row r="1719" spans="5:6" x14ac:dyDescent="0.3">
      <c r="E1719" t="str">
        <f>IFERROR(IF(D1719="","",VLOOKUP(D1719,CadProd!$A:$B,2,0)),"")</f>
        <v/>
      </c>
      <c r="F1719" t="str">
        <f>IFERROR(IF(D1719="","",VLOOKUP(D1719,CadProd!$A:$C,3,0)),"")</f>
        <v/>
      </c>
    </row>
    <row r="1720" spans="5:6" x14ac:dyDescent="0.3">
      <c r="E1720" t="str">
        <f>IFERROR(IF(D1720="","",VLOOKUP(D1720,CadProd!$A:$B,2,0)),"")</f>
        <v/>
      </c>
      <c r="F1720" t="str">
        <f>IFERROR(IF(D1720="","",VLOOKUP(D1720,CadProd!$A:$C,3,0)),"")</f>
        <v/>
      </c>
    </row>
    <row r="1721" spans="5:6" x14ac:dyDescent="0.3">
      <c r="E1721" t="str">
        <f>IFERROR(IF(D1721="","",VLOOKUP(D1721,CadProd!$A:$B,2,0)),"")</f>
        <v/>
      </c>
      <c r="F1721" t="str">
        <f>IFERROR(IF(D1721="","",VLOOKUP(D1721,CadProd!$A:$C,3,0)),"")</f>
        <v/>
      </c>
    </row>
    <row r="1722" spans="5:6" x14ac:dyDescent="0.3">
      <c r="E1722" t="str">
        <f>IFERROR(IF(D1722="","",VLOOKUP(D1722,CadProd!$A:$B,2,0)),"")</f>
        <v/>
      </c>
      <c r="F1722" t="str">
        <f>IFERROR(IF(D1722="","",VLOOKUP(D1722,CadProd!$A:$C,3,0)),"")</f>
        <v/>
      </c>
    </row>
    <row r="1723" spans="5:6" x14ac:dyDescent="0.3">
      <c r="E1723" t="str">
        <f>IFERROR(IF(D1723="","",VLOOKUP(D1723,CadProd!$A:$B,2,0)),"")</f>
        <v/>
      </c>
      <c r="F1723" t="str">
        <f>IFERROR(IF(D1723="","",VLOOKUP(D1723,CadProd!$A:$C,3,0)),"")</f>
        <v/>
      </c>
    </row>
    <row r="1724" spans="5:6" x14ac:dyDescent="0.3">
      <c r="E1724" t="str">
        <f>IFERROR(IF(D1724="","",VLOOKUP(D1724,CadProd!$A:$B,2,0)),"")</f>
        <v/>
      </c>
      <c r="F1724" t="str">
        <f>IFERROR(IF(D1724="","",VLOOKUP(D1724,CadProd!$A:$C,3,0)),"")</f>
        <v/>
      </c>
    </row>
    <row r="1725" spans="5:6" x14ac:dyDescent="0.3">
      <c r="E1725" t="str">
        <f>IFERROR(IF(D1725="","",VLOOKUP(D1725,CadProd!$A:$B,2,0)),"")</f>
        <v/>
      </c>
      <c r="F1725" t="str">
        <f>IFERROR(IF(D1725="","",VLOOKUP(D1725,CadProd!$A:$C,3,0)),"")</f>
        <v/>
      </c>
    </row>
    <row r="1726" spans="5:6" x14ac:dyDescent="0.3">
      <c r="E1726" t="str">
        <f>IFERROR(IF(D1726="","",VLOOKUP(D1726,CadProd!$A:$B,2,0)),"")</f>
        <v/>
      </c>
      <c r="F1726" t="str">
        <f>IFERROR(IF(D1726="","",VLOOKUP(D1726,CadProd!$A:$C,3,0)),"")</f>
        <v/>
      </c>
    </row>
    <row r="1727" spans="5:6" x14ac:dyDescent="0.3">
      <c r="E1727" t="str">
        <f>IFERROR(IF(D1727="","",VLOOKUP(D1727,CadProd!$A:$B,2,0)),"")</f>
        <v/>
      </c>
      <c r="F1727" t="str">
        <f>IFERROR(IF(D1727="","",VLOOKUP(D1727,CadProd!$A:$C,3,0)),"")</f>
        <v/>
      </c>
    </row>
    <row r="1728" spans="5:6" x14ac:dyDescent="0.3">
      <c r="E1728" t="str">
        <f>IFERROR(IF(D1728="","",VLOOKUP(D1728,CadProd!$A:$B,2,0)),"")</f>
        <v/>
      </c>
      <c r="F1728" t="str">
        <f>IFERROR(IF(D1728="","",VLOOKUP(D1728,CadProd!$A:$C,3,0)),"")</f>
        <v/>
      </c>
    </row>
    <row r="1729" spans="5:6" x14ac:dyDescent="0.3">
      <c r="E1729" t="str">
        <f>IFERROR(IF(D1729="","",VLOOKUP(D1729,CadProd!$A:$B,2,0)),"")</f>
        <v/>
      </c>
      <c r="F1729" t="str">
        <f>IFERROR(IF(D1729="","",VLOOKUP(D1729,CadProd!$A:$C,3,0)),"")</f>
        <v/>
      </c>
    </row>
    <row r="1730" spans="5:6" x14ac:dyDescent="0.3">
      <c r="E1730" t="str">
        <f>IFERROR(IF(D1730="","",VLOOKUP(D1730,CadProd!$A:$B,2,0)),"")</f>
        <v/>
      </c>
      <c r="F1730" t="str">
        <f>IFERROR(IF(D1730="","",VLOOKUP(D1730,CadProd!$A:$C,3,0)),"")</f>
        <v/>
      </c>
    </row>
    <row r="1731" spans="5:6" x14ac:dyDescent="0.3">
      <c r="E1731" t="str">
        <f>IFERROR(IF(D1731="","",VLOOKUP(D1731,CadProd!$A:$B,2,0)),"")</f>
        <v/>
      </c>
      <c r="F1731" t="str">
        <f>IFERROR(IF(D1731="","",VLOOKUP(D1731,CadProd!$A:$C,3,0)),"")</f>
        <v/>
      </c>
    </row>
    <row r="1732" spans="5:6" x14ac:dyDescent="0.3">
      <c r="E1732" t="str">
        <f>IFERROR(IF(D1732="","",VLOOKUP(D1732,CadProd!$A:$B,2,0)),"")</f>
        <v/>
      </c>
      <c r="F1732" t="str">
        <f>IFERROR(IF(D1732="","",VLOOKUP(D1732,CadProd!$A:$C,3,0)),"")</f>
        <v/>
      </c>
    </row>
    <row r="1733" spans="5:6" x14ac:dyDescent="0.3">
      <c r="E1733" t="str">
        <f>IFERROR(IF(D1733="","",VLOOKUP(D1733,CadProd!$A:$B,2,0)),"")</f>
        <v/>
      </c>
      <c r="F1733" t="str">
        <f>IFERROR(IF(D1733="","",VLOOKUP(D1733,CadProd!$A:$C,3,0)),"")</f>
        <v/>
      </c>
    </row>
    <row r="1734" spans="5:6" x14ac:dyDescent="0.3">
      <c r="E1734" t="str">
        <f>IFERROR(IF(D1734="","",VLOOKUP(D1734,CadProd!$A:$B,2,0)),"")</f>
        <v/>
      </c>
      <c r="F1734" t="str">
        <f>IFERROR(IF(D1734="","",VLOOKUP(D1734,CadProd!$A:$C,3,0)),"")</f>
        <v/>
      </c>
    </row>
    <row r="1735" spans="5:6" x14ac:dyDescent="0.3">
      <c r="E1735" t="str">
        <f>IFERROR(IF(D1735="","",VLOOKUP(D1735,CadProd!$A:$B,2,0)),"")</f>
        <v/>
      </c>
      <c r="F1735" t="str">
        <f>IFERROR(IF(D1735="","",VLOOKUP(D1735,CadProd!$A:$C,3,0)),"")</f>
        <v/>
      </c>
    </row>
    <row r="1736" spans="5:6" x14ac:dyDescent="0.3">
      <c r="E1736" t="str">
        <f>IFERROR(IF(D1736="","",VLOOKUP(D1736,CadProd!$A:$B,2,0)),"")</f>
        <v/>
      </c>
      <c r="F1736" t="str">
        <f>IFERROR(IF(D1736="","",VLOOKUP(D1736,CadProd!$A:$C,3,0)),"")</f>
        <v/>
      </c>
    </row>
    <row r="1737" spans="5:6" x14ac:dyDescent="0.3">
      <c r="E1737" t="str">
        <f>IFERROR(IF(D1737="","",VLOOKUP(D1737,CadProd!$A:$B,2,0)),"")</f>
        <v/>
      </c>
      <c r="F1737" t="str">
        <f>IFERROR(IF(D1737="","",VLOOKUP(D1737,CadProd!$A:$C,3,0)),"")</f>
        <v/>
      </c>
    </row>
    <row r="1738" spans="5:6" x14ac:dyDescent="0.3">
      <c r="E1738" t="str">
        <f>IFERROR(IF(D1738="","",VLOOKUP(D1738,CadProd!$A:$B,2,0)),"")</f>
        <v/>
      </c>
      <c r="F1738" t="str">
        <f>IFERROR(IF(D1738="","",VLOOKUP(D1738,CadProd!$A:$C,3,0)),"")</f>
        <v/>
      </c>
    </row>
    <row r="1739" spans="5:6" x14ac:dyDescent="0.3">
      <c r="E1739" t="str">
        <f>IFERROR(IF(D1739="","",VLOOKUP(D1739,CadProd!$A:$B,2,0)),"")</f>
        <v/>
      </c>
      <c r="F1739" t="str">
        <f>IFERROR(IF(D1739="","",VLOOKUP(D1739,CadProd!$A:$C,3,0)),"")</f>
        <v/>
      </c>
    </row>
    <row r="1740" spans="5:6" x14ac:dyDescent="0.3">
      <c r="E1740" t="str">
        <f>IFERROR(IF(D1740="","",VLOOKUP(D1740,CadProd!$A:$B,2,0)),"")</f>
        <v/>
      </c>
      <c r="F1740" t="str">
        <f>IFERROR(IF(D1740="","",VLOOKUP(D1740,CadProd!$A:$C,3,0)),"")</f>
        <v/>
      </c>
    </row>
    <row r="1741" spans="5:6" x14ac:dyDescent="0.3">
      <c r="E1741" t="str">
        <f>IFERROR(IF(D1741="","",VLOOKUP(D1741,CadProd!$A:$B,2,0)),"")</f>
        <v/>
      </c>
      <c r="F1741" t="str">
        <f>IFERROR(IF(D1741="","",VLOOKUP(D1741,CadProd!$A:$C,3,0)),"")</f>
        <v/>
      </c>
    </row>
    <row r="1742" spans="5:6" x14ac:dyDescent="0.3">
      <c r="E1742" t="str">
        <f>IFERROR(IF(D1742="","",VLOOKUP(D1742,CadProd!$A:$B,2,0)),"")</f>
        <v/>
      </c>
      <c r="F1742" t="str">
        <f>IFERROR(IF(D1742="","",VLOOKUP(D1742,CadProd!$A:$C,3,0)),"")</f>
        <v/>
      </c>
    </row>
    <row r="1743" spans="5:6" x14ac:dyDescent="0.3">
      <c r="E1743" t="str">
        <f>IFERROR(IF(D1743="","",VLOOKUP(D1743,CadProd!$A:$B,2,0)),"")</f>
        <v/>
      </c>
      <c r="F1743" t="str">
        <f>IFERROR(IF(D1743="","",VLOOKUP(D1743,CadProd!$A:$C,3,0)),"")</f>
        <v/>
      </c>
    </row>
    <row r="1744" spans="5:6" x14ac:dyDescent="0.3">
      <c r="E1744" t="str">
        <f>IFERROR(IF(D1744="","",VLOOKUP(D1744,CadProd!$A:$B,2,0)),"")</f>
        <v/>
      </c>
      <c r="F1744" t="str">
        <f>IFERROR(IF(D1744="","",VLOOKUP(D1744,CadProd!$A:$C,3,0)),"")</f>
        <v/>
      </c>
    </row>
    <row r="1745" spans="5:6" x14ac:dyDescent="0.3">
      <c r="E1745" t="str">
        <f>IFERROR(IF(D1745="","",VLOOKUP(D1745,CadProd!$A:$B,2,0)),"")</f>
        <v/>
      </c>
      <c r="F1745" t="str">
        <f>IFERROR(IF(D1745="","",VLOOKUP(D1745,CadProd!$A:$C,3,0)),"")</f>
        <v/>
      </c>
    </row>
    <row r="1746" spans="5:6" x14ac:dyDescent="0.3">
      <c r="E1746" t="str">
        <f>IFERROR(IF(D1746="","",VLOOKUP(D1746,CadProd!$A:$B,2,0)),"")</f>
        <v/>
      </c>
      <c r="F1746" t="str">
        <f>IFERROR(IF(D1746="","",VLOOKUP(D1746,CadProd!$A:$C,3,0)),"")</f>
        <v/>
      </c>
    </row>
    <row r="1747" spans="5:6" x14ac:dyDescent="0.3">
      <c r="E1747" t="str">
        <f>IFERROR(IF(D1747="","",VLOOKUP(D1747,CadProd!$A:$B,2,0)),"")</f>
        <v/>
      </c>
      <c r="F1747" t="str">
        <f>IFERROR(IF(D1747="","",VLOOKUP(D1747,CadProd!$A:$C,3,0)),"")</f>
        <v/>
      </c>
    </row>
    <row r="1748" spans="5:6" x14ac:dyDescent="0.3">
      <c r="E1748" t="str">
        <f>IFERROR(IF(D1748="","",VLOOKUP(D1748,CadProd!$A:$B,2,0)),"")</f>
        <v/>
      </c>
      <c r="F1748" t="str">
        <f>IFERROR(IF(D1748="","",VLOOKUP(D1748,CadProd!$A:$C,3,0)),"")</f>
        <v/>
      </c>
    </row>
    <row r="1749" spans="5:6" x14ac:dyDescent="0.3">
      <c r="E1749" t="str">
        <f>IFERROR(IF(D1749="","",VLOOKUP(D1749,CadProd!$A:$B,2,0)),"")</f>
        <v/>
      </c>
      <c r="F1749" t="str">
        <f>IFERROR(IF(D1749="","",VLOOKUP(D1749,CadProd!$A:$C,3,0)),"")</f>
        <v/>
      </c>
    </row>
    <row r="1750" spans="5:6" x14ac:dyDescent="0.3">
      <c r="E1750" t="str">
        <f>IFERROR(IF(D1750="","",VLOOKUP(D1750,CadProd!$A:$B,2,0)),"")</f>
        <v/>
      </c>
      <c r="F1750" t="str">
        <f>IFERROR(IF(D1750="","",VLOOKUP(D1750,CadProd!$A:$C,3,0)),"")</f>
        <v/>
      </c>
    </row>
    <row r="1751" spans="5:6" x14ac:dyDescent="0.3">
      <c r="E1751" t="str">
        <f>IFERROR(IF(D1751="","",VLOOKUP(D1751,CadProd!$A:$B,2,0)),"")</f>
        <v/>
      </c>
      <c r="F1751" t="str">
        <f>IFERROR(IF(D1751="","",VLOOKUP(D1751,CadProd!$A:$C,3,0)),"")</f>
        <v/>
      </c>
    </row>
    <row r="1752" spans="5:6" x14ac:dyDescent="0.3">
      <c r="E1752" t="str">
        <f>IFERROR(IF(D1752="","",VLOOKUP(D1752,CadProd!$A:$B,2,0)),"")</f>
        <v/>
      </c>
      <c r="F1752" t="str">
        <f>IFERROR(IF(D1752="","",VLOOKUP(D1752,CadProd!$A:$C,3,0)),"")</f>
        <v/>
      </c>
    </row>
    <row r="1753" spans="5:6" x14ac:dyDescent="0.3">
      <c r="E1753" t="str">
        <f>IFERROR(IF(D1753="","",VLOOKUP(D1753,CadProd!$A:$B,2,0)),"")</f>
        <v/>
      </c>
      <c r="F1753" t="str">
        <f>IFERROR(IF(D1753="","",VLOOKUP(D1753,CadProd!$A:$C,3,0)),"")</f>
        <v/>
      </c>
    </row>
    <row r="1754" spans="5:6" x14ac:dyDescent="0.3">
      <c r="E1754" t="str">
        <f>IFERROR(IF(D1754="","",VLOOKUP(D1754,CadProd!$A:$B,2,0)),"")</f>
        <v/>
      </c>
      <c r="F1754" t="str">
        <f>IFERROR(IF(D1754="","",VLOOKUP(D1754,CadProd!$A:$C,3,0)),"")</f>
        <v/>
      </c>
    </row>
    <row r="1755" spans="5:6" x14ac:dyDescent="0.3">
      <c r="E1755" t="str">
        <f>IFERROR(IF(D1755="","",VLOOKUP(D1755,CadProd!$A:$B,2,0)),"")</f>
        <v/>
      </c>
      <c r="F1755" t="str">
        <f>IFERROR(IF(D1755="","",VLOOKUP(D1755,CadProd!$A:$C,3,0)),"")</f>
        <v/>
      </c>
    </row>
    <row r="1756" spans="5:6" x14ac:dyDescent="0.3">
      <c r="E1756" t="str">
        <f>IFERROR(IF(D1756="","",VLOOKUP(D1756,CadProd!$A:$B,2,0)),"")</f>
        <v/>
      </c>
      <c r="F1756" t="str">
        <f>IFERROR(IF(D1756="","",VLOOKUP(D1756,CadProd!$A:$C,3,0)),"")</f>
        <v/>
      </c>
    </row>
    <row r="1757" spans="5:6" x14ac:dyDescent="0.3">
      <c r="E1757" t="str">
        <f>IFERROR(IF(D1757="","",VLOOKUP(D1757,CadProd!$A:$B,2,0)),"")</f>
        <v/>
      </c>
      <c r="F1757" t="str">
        <f>IFERROR(IF(D1757="","",VLOOKUP(D1757,CadProd!$A:$C,3,0)),"")</f>
        <v/>
      </c>
    </row>
    <row r="1758" spans="5:6" x14ac:dyDescent="0.3">
      <c r="E1758" t="str">
        <f>IFERROR(IF(D1758="","",VLOOKUP(D1758,CadProd!$A:$B,2,0)),"")</f>
        <v/>
      </c>
      <c r="F1758" t="str">
        <f>IFERROR(IF(D1758="","",VLOOKUP(D1758,CadProd!$A:$C,3,0)),"")</f>
        <v/>
      </c>
    </row>
    <row r="1759" spans="5:6" x14ac:dyDescent="0.3">
      <c r="E1759" t="str">
        <f>IFERROR(IF(D1759="","",VLOOKUP(D1759,CadProd!$A:$B,2,0)),"")</f>
        <v/>
      </c>
      <c r="F1759" t="str">
        <f>IFERROR(IF(D1759="","",VLOOKUP(D1759,CadProd!$A:$C,3,0)),"")</f>
        <v/>
      </c>
    </row>
    <row r="1760" spans="5:6" x14ac:dyDescent="0.3">
      <c r="E1760" t="str">
        <f>IFERROR(IF(D1760="","",VLOOKUP(D1760,CadProd!$A:$B,2,0)),"")</f>
        <v/>
      </c>
      <c r="F1760" t="str">
        <f>IFERROR(IF(D1760="","",VLOOKUP(D1760,CadProd!$A:$C,3,0)),"")</f>
        <v/>
      </c>
    </row>
    <row r="1761" spans="5:6" x14ac:dyDescent="0.3">
      <c r="E1761" t="str">
        <f>IFERROR(IF(D1761="","",VLOOKUP(D1761,CadProd!$A:$B,2,0)),"")</f>
        <v/>
      </c>
      <c r="F1761" t="str">
        <f>IFERROR(IF(D1761="","",VLOOKUP(D1761,CadProd!$A:$C,3,0)),"")</f>
        <v/>
      </c>
    </row>
    <row r="1762" spans="5:6" x14ac:dyDescent="0.3">
      <c r="E1762" t="str">
        <f>IFERROR(IF(D1762="","",VLOOKUP(D1762,CadProd!$A:$B,2,0)),"")</f>
        <v/>
      </c>
      <c r="F1762" t="str">
        <f>IFERROR(IF(D1762="","",VLOOKUP(D1762,CadProd!$A:$C,3,0)),"")</f>
        <v/>
      </c>
    </row>
    <row r="1763" spans="5:6" x14ac:dyDescent="0.3">
      <c r="E1763" t="str">
        <f>IFERROR(IF(D1763="","",VLOOKUP(D1763,CadProd!$A:$B,2,0)),"")</f>
        <v/>
      </c>
      <c r="F1763" t="str">
        <f>IFERROR(IF(D1763="","",VLOOKUP(D1763,CadProd!$A:$C,3,0)),"")</f>
        <v/>
      </c>
    </row>
    <row r="1764" spans="5:6" x14ac:dyDescent="0.3">
      <c r="E1764" t="str">
        <f>IFERROR(IF(D1764="","",VLOOKUP(D1764,CadProd!$A:$B,2,0)),"")</f>
        <v/>
      </c>
      <c r="F1764" t="str">
        <f>IFERROR(IF(D1764="","",VLOOKUP(D1764,CadProd!$A:$C,3,0)),"")</f>
        <v/>
      </c>
    </row>
    <row r="1765" spans="5:6" x14ac:dyDescent="0.3">
      <c r="E1765" t="str">
        <f>IFERROR(IF(D1765="","",VLOOKUP(D1765,CadProd!$A:$B,2,0)),"")</f>
        <v/>
      </c>
      <c r="F1765" t="str">
        <f>IFERROR(IF(D1765="","",VLOOKUP(D1765,CadProd!$A:$C,3,0)),"")</f>
        <v/>
      </c>
    </row>
    <row r="1766" spans="5:6" x14ac:dyDescent="0.3">
      <c r="E1766" t="str">
        <f>IFERROR(IF(D1766="","",VLOOKUP(D1766,CadProd!$A:$B,2,0)),"")</f>
        <v/>
      </c>
      <c r="F1766" t="str">
        <f>IFERROR(IF(D1766="","",VLOOKUP(D1766,CadProd!$A:$C,3,0)),"")</f>
        <v/>
      </c>
    </row>
    <row r="1767" spans="5:6" x14ac:dyDescent="0.3">
      <c r="E1767" t="str">
        <f>IFERROR(IF(D1767="","",VLOOKUP(D1767,CadProd!$A:$B,2,0)),"")</f>
        <v/>
      </c>
      <c r="F1767" t="str">
        <f>IFERROR(IF(D1767="","",VLOOKUP(D1767,CadProd!$A:$C,3,0)),"")</f>
        <v/>
      </c>
    </row>
    <row r="1768" spans="5:6" x14ac:dyDescent="0.3">
      <c r="E1768" t="str">
        <f>IFERROR(IF(D1768="","",VLOOKUP(D1768,CadProd!$A:$B,2,0)),"")</f>
        <v/>
      </c>
      <c r="F1768" t="str">
        <f>IFERROR(IF(D1768="","",VLOOKUP(D1768,CadProd!$A:$C,3,0)),"")</f>
        <v/>
      </c>
    </row>
    <row r="1769" spans="5:6" x14ac:dyDescent="0.3">
      <c r="E1769" t="str">
        <f>IFERROR(IF(D1769="","",VLOOKUP(D1769,CadProd!$A:$B,2,0)),"")</f>
        <v/>
      </c>
      <c r="F1769" t="str">
        <f>IFERROR(IF(D1769="","",VLOOKUP(D1769,CadProd!$A:$C,3,0)),"")</f>
        <v/>
      </c>
    </row>
    <row r="1770" spans="5:6" x14ac:dyDescent="0.3">
      <c r="E1770" t="str">
        <f>IFERROR(IF(D1770="","",VLOOKUP(D1770,CadProd!$A:$B,2,0)),"")</f>
        <v/>
      </c>
      <c r="F1770" t="str">
        <f>IFERROR(IF(D1770="","",VLOOKUP(D1770,CadProd!$A:$C,3,0)),"")</f>
        <v/>
      </c>
    </row>
    <row r="1771" spans="5:6" x14ac:dyDescent="0.3">
      <c r="E1771" t="str">
        <f>IFERROR(IF(D1771="","",VLOOKUP(D1771,CadProd!$A:$B,2,0)),"")</f>
        <v/>
      </c>
      <c r="F1771" t="str">
        <f>IFERROR(IF(D1771="","",VLOOKUP(D1771,CadProd!$A:$C,3,0)),"")</f>
        <v/>
      </c>
    </row>
    <row r="1772" spans="5:6" x14ac:dyDescent="0.3">
      <c r="E1772" t="str">
        <f>IFERROR(IF(D1772="","",VLOOKUP(D1772,CadProd!$A:$B,2,0)),"")</f>
        <v/>
      </c>
      <c r="F1772" t="str">
        <f>IFERROR(IF(D1772="","",VLOOKUP(D1772,CadProd!$A:$C,3,0)),"")</f>
        <v/>
      </c>
    </row>
    <row r="1773" spans="5:6" x14ac:dyDescent="0.3">
      <c r="E1773" t="str">
        <f>IFERROR(IF(D1773="","",VLOOKUP(D1773,CadProd!$A:$B,2,0)),"")</f>
        <v/>
      </c>
      <c r="F1773" t="str">
        <f>IFERROR(IF(D1773="","",VLOOKUP(D1773,CadProd!$A:$C,3,0)),"")</f>
        <v/>
      </c>
    </row>
    <row r="1774" spans="5:6" x14ac:dyDescent="0.3">
      <c r="E1774" t="str">
        <f>IFERROR(IF(D1774="","",VLOOKUP(D1774,CadProd!$A:$B,2,0)),"")</f>
        <v/>
      </c>
      <c r="F1774" t="str">
        <f>IFERROR(IF(D1774="","",VLOOKUP(D1774,CadProd!$A:$C,3,0)),"")</f>
        <v/>
      </c>
    </row>
    <row r="1775" spans="5:6" x14ac:dyDescent="0.3">
      <c r="E1775" t="str">
        <f>IFERROR(IF(D1775="","",VLOOKUP(D1775,CadProd!$A:$B,2,0)),"")</f>
        <v/>
      </c>
      <c r="F1775" t="str">
        <f>IFERROR(IF(D1775="","",VLOOKUP(D1775,CadProd!$A:$C,3,0)),"")</f>
        <v/>
      </c>
    </row>
    <row r="1776" spans="5:6" x14ac:dyDescent="0.3">
      <c r="E1776" t="str">
        <f>IFERROR(IF(D1776="","",VLOOKUP(D1776,CadProd!$A:$B,2,0)),"")</f>
        <v/>
      </c>
      <c r="F1776" t="str">
        <f>IFERROR(IF(D1776="","",VLOOKUP(D1776,CadProd!$A:$C,3,0)),"")</f>
        <v/>
      </c>
    </row>
    <row r="1777" spans="5:6" x14ac:dyDescent="0.3">
      <c r="E1777" t="str">
        <f>IFERROR(IF(D1777="","",VLOOKUP(D1777,CadProd!$A:$B,2,0)),"")</f>
        <v/>
      </c>
      <c r="F1777" t="str">
        <f>IFERROR(IF(D1777="","",VLOOKUP(D1777,CadProd!$A:$C,3,0)),"")</f>
        <v/>
      </c>
    </row>
    <row r="1778" spans="5:6" x14ac:dyDescent="0.3">
      <c r="E1778" t="str">
        <f>IFERROR(IF(D1778="","",VLOOKUP(D1778,CadProd!$A:$B,2,0)),"")</f>
        <v/>
      </c>
      <c r="F1778" t="str">
        <f>IFERROR(IF(D1778="","",VLOOKUP(D1778,CadProd!$A:$C,3,0)),"")</f>
        <v/>
      </c>
    </row>
    <row r="1779" spans="5:6" x14ac:dyDescent="0.3">
      <c r="E1779" t="str">
        <f>IFERROR(IF(D1779="","",VLOOKUP(D1779,CadProd!$A:$B,2,0)),"")</f>
        <v/>
      </c>
      <c r="F1779" t="str">
        <f>IFERROR(IF(D1779="","",VLOOKUP(D1779,CadProd!$A:$C,3,0)),"")</f>
        <v/>
      </c>
    </row>
    <row r="1780" spans="5:6" x14ac:dyDescent="0.3">
      <c r="E1780" t="str">
        <f>IFERROR(IF(D1780="","",VLOOKUP(D1780,CadProd!$A:$B,2,0)),"")</f>
        <v/>
      </c>
      <c r="F1780" t="str">
        <f>IFERROR(IF(D1780="","",VLOOKUP(D1780,CadProd!$A:$C,3,0)),"")</f>
        <v/>
      </c>
    </row>
    <row r="1781" spans="5:6" x14ac:dyDescent="0.3">
      <c r="E1781" t="str">
        <f>IFERROR(IF(D1781="","",VLOOKUP(D1781,CadProd!$A:$B,2,0)),"")</f>
        <v/>
      </c>
      <c r="F1781" t="str">
        <f>IFERROR(IF(D1781="","",VLOOKUP(D1781,CadProd!$A:$C,3,0)),"")</f>
        <v/>
      </c>
    </row>
    <row r="1782" spans="5:6" x14ac:dyDescent="0.3">
      <c r="E1782" t="str">
        <f>IFERROR(IF(D1782="","",VLOOKUP(D1782,CadProd!$A:$B,2,0)),"")</f>
        <v/>
      </c>
      <c r="F1782" t="str">
        <f>IFERROR(IF(D1782="","",VLOOKUP(D1782,CadProd!$A:$C,3,0)),"")</f>
        <v/>
      </c>
    </row>
    <row r="1783" spans="5:6" x14ac:dyDescent="0.3">
      <c r="E1783" t="str">
        <f>IFERROR(IF(D1783="","",VLOOKUP(D1783,CadProd!$A:$B,2,0)),"")</f>
        <v/>
      </c>
      <c r="F1783" t="str">
        <f>IFERROR(IF(D1783="","",VLOOKUP(D1783,CadProd!$A:$C,3,0)),"")</f>
        <v/>
      </c>
    </row>
    <row r="1784" spans="5:6" x14ac:dyDescent="0.3">
      <c r="E1784" t="str">
        <f>IFERROR(IF(D1784="","",VLOOKUP(D1784,CadProd!$A:$B,2,0)),"")</f>
        <v/>
      </c>
      <c r="F1784" t="str">
        <f>IFERROR(IF(D1784="","",VLOOKUP(D1784,CadProd!$A:$C,3,0)),"")</f>
        <v/>
      </c>
    </row>
    <row r="1785" spans="5:6" x14ac:dyDescent="0.3">
      <c r="E1785" t="str">
        <f>IFERROR(IF(D1785="","",VLOOKUP(D1785,CadProd!$A:$B,2,0)),"")</f>
        <v/>
      </c>
      <c r="F1785" t="str">
        <f>IFERROR(IF(D1785="","",VLOOKUP(D1785,CadProd!$A:$C,3,0)),"")</f>
        <v/>
      </c>
    </row>
    <row r="1786" spans="5:6" x14ac:dyDescent="0.3">
      <c r="E1786" t="str">
        <f>IFERROR(IF(D1786="","",VLOOKUP(D1786,CadProd!$A:$B,2,0)),"")</f>
        <v/>
      </c>
      <c r="F1786" t="str">
        <f>IFERROR(IF(D1786="","",VLOOKUP(D1786,CadProd!$A:$C,3,0)),"")</f>
        <v/>
      </c>
    </row>
    <row r="1787" spans="5:6" x14ac:dyDescent="0.3">
      <c r="E1787" t="str">
        <f>IFERROR(IF(D1787="","",VLOOKUP(D1787,CadProd!$A:$B,2,0)),"")</f>
        <v/>
      </c>
      <c r="F1787" t="str">
        <f>IFERROR(IF(D1787="","",VLOOKUP(D1787,CadProd!$A:$C,3,0)),"")</f>
        <v/>
      </c>
    </row>
    <row r="1788" spans="5:6" x14ac:dyDescent="0.3">
      <c r="E1788" t="str">
        <f>IFERROR(IF(D1788="","",VLOOKUP(D1788,CadProd!$A:$B,2,0)),"")</f>
        <v/>
      </c>
      <c r="F1788" t="str">
        <f>IFERROR(IF(D1788="","",VLOOKUP(D1788,CadProd!$A:$C,3,0)),"")</f>
        <v/>
      </c>
    </row>
    <row r="1789" spans="5:6" x14ac:dyDescent="0.3">
      <c r="E1789" t="str">
        <f>IFERROR(IF(D1789="","",VLOOKUP(D1789,CadProd!$A:$B,2,0)),"")</f>
        <v/>
      </c>
      <c r="F1789" t="str">
        <f>IFERROR(IF(D1789="","",VLOOKUP(D1789,CadProd!$A:$C,3,0)),"")</f>
        <v/>
      </c>
    </row>
    <row r="1790" spans="5:6" x14ac:dyDescent="0.3">
      <c r="E1790" t="str">
        <f>IFERROR(IF(D1790="","",VLOOKUP(D1790,CadProd!$A:$B,2,0)),"")</f>
        <v/>
      </c>
      <c r="F1790" t="str">
        <f>IFERROR(IF(D1790="","",VLOOKUP(D1790,CadProd!$A:$C,3,0)),"")</f>
        <v/>
      </c>
    </row>
    <row r="1791" spans="5:6" x14ac:dyDescent="0.3">
      <c r="E1791" t="str">
        <f>IFERROR(IF(D1791="","",VLOOKUP(D1791,CadProd!$A:$B,2,0)),"")</f>
        <v/>
      </c>
      <c r="F1791" t="str">
        <f>IFERROR(IF(D1791="","",VLOOKUP(D1791,CadProd!$A:$C,3,0)),"")</f>
        <v/>
      </c>
    </row>
    <row r="1792" spans="5:6" x14ac:dyDescent="0.3">
      <c r="E1792" t="str">
        <f>IFERROR(IF(D1792="","",VLOOKUP(D1792,CadProd!$A:$B,2,0)),"")</f>
        <v/>
      </c>
      <c r="F1792" t="str">
        <f>IFERROR(IF(D1792="","",VLOOKUP(D1792,CadProd!$A:$C,3,0)),"")</f>
        <v/>
      </c>
    </row>
    <row r="1793" spans="5:6" x14ac:dyDescent="0.3">
      <c r="E1793" t="str">
        <f>IFERROR(IF(D1793="","",VLOOKUP(D1793,CadProd!$A:$B,2,0)),"")</f>
        <v/>
      </c>
      <c r="F1793" t="str">
        <f>IFERROR(IF(D1793="","",VLOOKUP(D1793,CadProd!$A:$C,3,0)),"")</f>
        <v/>
      </c>
    </row>
    <row r="1794" spans="5:6" x14ac:dyDescent="0.3">
      <c r="E1794" t="str">
        <f>IFERROR(IF(D1794="","",VLOOKUP(D1794,CadProd!$A:$B,2,0)),"")</f>
        <v/>
      </c>
      <c r="F1794" t="str">
        <f>IFERROR(IF(D1794="","",VLOOKUP(D1794,CadProd!$A:$C,3,0)),"")</f>
        <v/>
      </c>
    </row>
    <row r="1795" spans="5:6" x14ac:dyDescent="0.3">
      <c r="E1795" t="str">
        <f>IFERROR(IF(D1795="","",VLOOKUP(D1795,CadProd!$A:$B,2,0)),"")</f>
        <v/>
      </c>
      <c r="F1795" t="str">
        <f>IFERROR(IF(D1795="","",VLOOKUP(D1795,CadProd!$A:$C,3,0)),"")</f>
        <v/>
      </c>
    </row>
    <row r="1796" spans="5:6" x14ac:dyDescent="0.3">
      <c r="E1796" t="str">
        <f>IFERROR(IF(D1796="","",VLOOKUP(D1796,CadProd!$A:$B,2,0)),"")</f>
        <v/>
      </c>
      <c r="F1796" t="str">
        <f>IFERROR(IF(D1796="","",VLOOKUP(D1796,CadProd!$A:$C,3,0)),"")</f>
        <v/>
      </c>
    </row>
    <row r="1797" spans="5:6" x14ac:dyDescent="0.3">
      <c r="E1797" t="str">
        <f>IFERROR(IF(D1797="","",VLOOKUP(D1797,CadProd!$A:$B,2,0)),"")</f>
        <v/>
      </c>
      <c r="F1797" t="str">
        <f>IFERROR(IF(D1797="","",VLOOKUP(D1797,CadProd!$A:$C,3,0)),"")</f>
        <v/>
      </c>
    </row>
    <row r="1798" spans="5:6" x14ac:dyDescent="0.3">
      <c r="E1798" t="str">
        <f>IFERROR(IF(D1798="","",VLOOKUP(D1798,CadProd!$A:$B,2,0)),"")</f>
        <v/>
      </c>
      <c r="F1798" t="str">
        <f>IFERROR(IF(D1798="","",VLOOKUP(D1798,CadProd!$A:$C,3,0)),"")</f>
        <v/>
      </c>
    </row>
    <row r="1799" spans="5:6" x14ac:dyDescent="0.3">
      <c r="E1799" t="str">
        <f>IFERROR(IF(D1799="","",VLOOKUP(D1799,CadProd!$A:$B,2,0)),"")</f>
        <v/>
      </c>
      <c r="F1799" t="str">
        <f>IFERROR(IF(D1799="","",VLOOKUP(D1799,CadProd!$A:$C,3,0)),"")</f>
        <v/>
      </c>
    </row>
    <row r="1800" spans="5:6" x14ac:dyDescent="0.3">
      <c r="E1800" t="str">
        <f>IFERROR(IF(D1800="","",VLOOKUP(D1800,CadProd!$A:$B,2,0)),"")</f>
        <v/>
      </c>
      <c r="F1800" t="str">
        <f>IFERROR(IF(D1800="","",VLOOKUP(D1800,CadProd!$A:$C,3,0)),"")</f>
        <v/>
      </c>
    </row>
    <row r="1801" spans="5:6" x14ac:dyDescent="0.3">
      <c r="E1801" t="str">
        <f>IFERROR(IF(D1801="","",VLOOKUP(D1801,CadProd!$A:$B,2,0)),"")</f>
        <v/>
      </c>
      <c r="F1801" t="str">
        <f>IFERROR(IF(D1801="","",VLOOKUP(D1801,CadProd!$A:$C,3,0)),"")</f>
        <v/>
      </c>
    </row>
    <row r="1802" spans="5:6" x14ac:dyDescent="0.3">
      <c r="E1802" t="str">
        <f>IFERROR(IF(D1802="","",VLOOKUP(D1802,CadProd!$A:$B,2,0)),"")</f>
        <v/>
      </c>
      <c r="F1802" t="str">
        <f>IFERROR(IF(D1802="","",VLOOKUP(D1802,CadProd!$A:$C,3,0)),"")</f>
        <v/>
      </c>
    </row>
    <row r="1803" spans="5:6" x14ac:dyDescent="0.3">
      <c r="E1803" t="str">
        <f>IFERROR(IF(D1803="","",VLOOKUP(D1803,CadProd!$A:$B,2,0)),"")</f>
        <v/>
      </c>
      <c r="F1803" t="str">
        <f>IFERROR(IF(D1803="","",VLOOKUP(D1803,CadProd!$A:$C,3,0)),"")</f>
        <v/>
      </c>
    </row>
    <row r="1804" spans="5:6" x14ac:dyDescent="0.3">
      <c r="E1804" t="str">
        <f>IFERROR(IF(D1804="","",VLOOKUP(D1804,CadProd!$A:$B,2,0)),"")</f>
        <v/>
      </c>
      <c r="F1804" t="str">
        <f>IFERROR(IF(D1804="","",VLOOKUP(D1804,CadProd!$A:$C,3,0)),"")</f>
        <v/>
      </c>
    </row>
    <row r="1805" spans="5:6" x14ac:dyDescent="0.3">
      <c r="E1805" t="str">
        <f>IFERROR(IF(D1805="","",VLOOKUP(D1805,CadProd!$A:$B,2,0)),"")</f>
        <v/>
      </c>
      <c r="F1805" t="str">
        <f>IFERROR(IF(D1805="","",VLOOKUP(D1805,CadProd!$A:$C,3,0)),"")</f>
        <v/>
      </c>
    </row>
    <row r="1806" spans="5:6" x14ac:dyDescent="0.3">
      <c r="E1806" t="str">
        <f>IFERROR(IF(D1806="","",VLOOKUP(D1806,CadProd!$A:$B,2,0)),"")</f>
        <v/>
      </c>
      <c r="F1806" t="str">
        <f>IFERROR(IF(D1806="","",VLOOKUP(D1806,CadProd!$A:$C,3,0)),"")</f>
        <v/>
      </c>
    </row>
    <row r="1807" spans="5:6" x14ac:dyDescent="0.3">
      <c r="E1807" t="str">
        <f>IFERROR(IF(D1807="","",VLOOKUP(D1807,CadProd!$A:$B,2,0)),"")</f>
        <v/>
      </c>
      <c r="F1807" t="str">
        <f>IFERROR(IF(D1807="","",VLOOKUP(D1807,CadProd!$A:$C,3,0)),"")</f>
        <v/>
      </c>
    </row>
    <row r="1808" spans="5:6" x14ac:dyDescent="0.3">
      <c r="E1808" t="str">
        <f>IFERROR(IF(D1808="","",VLOOKUP(D1808,CadProd!$A:$B,2,0)),"")</f>
        <v/>
      </c>
      <c r="F1808" t="str">
        <f>IFERROR(IF(D1808="","",VLOOKUP(D1808,CadProd!$A:$C,3,0)),"")</f>
        <v/>
      </c>
    </row>
    <row r="1809" spans="5:6" x14ac:dyDescent="0.3">
      <c r="E1809" t="str">
        <f>IFERROR(IF(D1809="","",VLOOKUP(D1809,CadProd!$A:$B,2,0)),"")</f>
        <v/>
      </c>
      <c r="F1809" t="str">
        <f>IFERROR(IF(D1809="","",VLOOKUP(D1809,CadProd!$A:$C,3,0)),"")</f>
        <v/>
      </c>
    </row>
    <row r="1810" spans="5:6" x14ac:dyDescent="0.3">
      <c r="E1810" t="str">
        <f>IFERROR(IF(D1810="","",VLOOKUP(D1810,CadProd!$A:$B,2,0)),"")</f>
        <v/>
      </c>
      <c r="F1810" t="str">
        <f>IFERROR(IF(D1810="","",VLOOKUP(D1810,CadProd!$A:$C,3,0)),"")</f>
        <v/>
      </c>
    </row>
    <row r="1811" spans="5:6" x14ac:dyDescent="0.3">
      <c r="E1811" t="str">
        <f>IFERROR(IF(D1811="","",VLOOKUP(D1811,CadProd!$A:$B,2,0)),"")</f>
        <v/>
      </c>
      <c r="F1811" t="str">
        <f>IFERROR(IF(D1811="","",VLOOKUP(D1811,CadProd!$A:$C,3,0)),"")</f>
        <v/>
      </c>
    </row>
    <row r="1812" spans="5:6" x14ac:dyDescent="0.3">
      <c r="E1812" t="str">
        <f>IFERROR(IF(D1812="","",VLOOKUP(D1812,CadProd!$A:$B,2,0)),"")</f>
        <v/>
      </c>
      <c r="F1812" t="str">
        <f>IFERROR(IF(D1812="","",VLOOKUP(D1812,CadProd!$A:$C,3,0)),"")</f>
        <v/>
      </c>
    </row>
    <row r="1813" spans="5:6" x14ac:dyDescent="0.3">
      <c r="E1813" t="str">
        <f>IFERROR(IF(D1813="","",VLOOKUP(D1813,CadProd!$A:$B,2,0)),"")</f>
        <v/>
      </c>
      <c r="F1813" t="str">
        <f>IFERROR(IF(D1813="","",VLOOKUP(D1813,CadProd!$A:$C,3,0)),"")</f>
        <v/>
      </c>
    </row>
    <row r="1814" spans="5:6" x14ac:dyDescent="0.3">
      <c r="E1814" t="str">
        <f>IFERROR(IF(D1814="","",VLOOKUP(D1814,CadProd!$A:$B,2,0)),"")</f>
        <v/>
      </c>
      <c r="F1814" t="str">
        <f>IFERROR(IF(D1814="","",VLOOKUP(D1814,CadProd!$A:$C,3,0)),"")</f>
        <v/>
      </c>
    </row>
    <row r="1815" spans="5:6" x14ac:dyDescent="0.3">
      <c r="E1815" t="str">
        <f>IFERROR(IF(D1815="","",VLOOKUP(D1815,CadProd!$A:$B,2,0)),"")</f>
        <v/>
      </c>
      <c r="F1815" t="str">
        <f>IFERROR(IF(D1815="","",VLOOKUP(D1815,CadProd!$A:$C,3,0)),"")</f>
        <v/>
      </c>
    </row>
    <row r="1816" spans="5:6" x14ac:dyDescent="0.3">
      <c r="E1816" t="str">
        <f>IFERROR(IF(D1816="","",VLOOKUP(D1816,CadProd!$A:$B,2,0)),"")</f>
        <v/>
      </c>
      <c r="F1816" t="str">
        <f>IFERROR(IF(D1816="","",VLOOKUP(D1816,CadProd!$A:$C,3,0)),"")</f>
        <v/>
      </c>
    </row>
    <row r="1817" spans="5:6" x14ac:dyDescent="0.3">
      <c r="E1817" t="str">
        <f>IFERROR(IF(D1817="","",VLOOKUP(D1817,CadProd!$A:$B,2,0)),"")</f>
        <v/>
      </c>
      <c r="F1817" t="str">
        <f>IFERROR(IF(D1817="","",VLOOKUP(D1817,CadProd!$A:$C,3,0)),"")</f>
        <v/>
      </c>
    </row>
    <row r="1818" spans="5:6" x14ac:dyDescent="0.3">
      <c r="E1818" t="str">
        <f>IFERROR(IF(D1818="","",VLOOKUP(D1818,CadProd!$A:$B,2,0)),"")</f>
        <v/>
      </c>
      <c r="F1818" t="str">
        <f>IFERROR(IF(D1818="","",VLOOKUP(D1818,CadProd!$A:$C,3,0)),"")</f>
        <v/>
      </c>
    </row>
    <row r="1819" spans="5:6" x14ac:dyDescent="0.3">
      <c r="E1819" t="str">
        <f>IFERROR(IF(D1819="","",VLOOKUP(D1819,CadProd!$A:$B,2,0)),"")</f>
        <v/>
      </c>
      <c r="F1819" t="str">
        <f>IFERROR(IF(D1819="","",VLOOKUP(D1819,CadProd!$A:$C,3,0)),"")</f>
        <v/>
      </c>
    </row>
    <row r="1820" spans="5:6" x14ac:dyDescent="0.3">
      <c r="E1820" t="str">
        <f>IFERROR(IF(D1820="","",VLOOKUP(D1820,CadProd!$A:$B,2,0)),"")</f>
        <v/>
      </c>
      <c r="F1820" t="str">
        <f>IFERROR(IF(D1820="","",VLOOKUP(D1820,CadProd!$A:$C,3,0)),"")</f>
        <v/>
      </c>
    </row>
    <row r="1821" spans="5:6" x14ac:dyDescent="0.3">
      <c r="E1821" t="str">
        <f>IFERROR(IF(D1821="","",VLOOKUP(D1821,CadProd!$A:$B,2,0)),"")</f>
        <v/>
      </c>
      <c r="F1821" t="str">
        <f>IFERROR(IF(D1821="","",VLOOKUP(D1821,CadProd!$A:$C,3,0)),"")</f>
        <v/>
      </c>
    </row>
    <row r="1822" spans="5:6" x14ac:dyDescent="0.3">
      <c r="E1822" t="str">
        <f>IFERROR(IF(D1822="","",VLOOKUP(D1822,CadProd!$A:$B,2,0)),"")</f>
        <v/>
      </c>
      <c r="F1822" t="str">
        <f>IFERROR(IF(D1822="","",VLOOKUP(D1822,CadProd!$A:$C,3,0)),"")</f>
        <v/>
      </c>
    </row>
    <row r="1823" spans="5:6" x14ac:dyDescent="0.3">
      <c r="E1823" t="str">
        <f>IFERROR(IF(D1823="","",VLOOKUP(D1823,CadProd!$A:$B,2,0)),"")</f>
        <v/>
      </c>
      <c r="F1823" t="str">
        <f>IFERROR(IF(D1823="","",VLOOKUP(D1823,CadProd!$A:$C,3,0)),"")</f>
        <v/>
      </c>
    </row>
    <row r="1824" spans="5:6" x14ac:dyDescent="0.3">
      <c r="E1824" t="str">
        <f>IFERROR(IF(D1824="","",VLOOKUP(D1824,CadProd!$A:$B,2,0)),"")</f>
        <v/>
      </c>
      <c r="F1824" t="str">
        <f>IFERROR(IF(D1824="","",VLOOKUP(D1824,CadProd!$A:$C,3,0)),"")</f>
        <v/>
      </c>
    </row>
    <row r="1825" spans="5:6" x14ac:dyDescent="0.3">
      <c r="E1825" t="str">
        <f>IFERROR(IF(D1825="","",VLOOKUP(D1825,CadProd!$A:$B,2,0)),"")</f>
        <v/>
      </c>
      <c r="F1825" t="str">
        <f>IFERROR(IF(D1825="","",VLOOKUP(D1825,CadProd!$A:$C,3,0)),"")</f>
        <v/>
      </c>
    </row>
    <row r="1826" spans="5:6" x14ac:dyDescent="0.3">
      <c r="E1826" t="str">
        <f>IFERROR(IF(D1826="","",VLOOKUP(D1826,CadProd!$A:$B,2,0)),"")</f>
        <v/>
      </c>
      <c r="F1826" t="str">
        <f>IFERROR(IF(D1826="","",VLOOKUP(D1826,CadProd!$A:$C,3,0)),"")</f>
        <v/>
      </c>
    </row>
    <row r="1827" spans="5:6" x14ac:dyDescent="0.3">
      <c r="E1827" t="str">
        <f>IFERROR(IF(D1827="","",VLOOKUP(D1827,CadProd!$A:$B,2,0)),"")</f>
        <v/>
      </c>
      <c r="F1827" t="str">
        <f>IFERROR(IF(D1827="","",VLOOKUP(D1827,CadProd!$A:$C,3,0)),"")</f>
        <v/>
      </c>
    </row>
    <row r="1828" spans="5:6" x14ac:dyDescent="0.3">
      <c r="E1828" t="str">
        <f>IFERROR(IF(D1828="","",VLOOKUP(D1828,CadProd!$A:$B,2,0)),"")</f>
        <v/>
      </c>
      <c r="F1828" t="str">
        <f>IFERROR(IF(D1828="","",VLOOKUP(D1828,CadProd!$A:$C,3,0)),"")</f>
        <v/>
      </c>
    </row>
    <row r="1829" spans="5:6" x14ac:dyDescent="0.3">
      <c r="E1829" t="str">
        <f>IFERROR(IF(D1829="","",VLOOKUP(D1829,CadProd!$A:$B,2,0)),"")</f>
        <v/>
      </c>
      <c r="F1829" t="str">
        <f>IFERROR(IF(D1829="","",VLOOKUP(D1829,CadProd!$A:$C,3,0)),"")</f>
        <v/>
      </c>
    </row>
    <row r="1830" spans="5:6" x14ac:dyDescent="0.3">
      <c r="E1830" t="str">
        <f>IFERROR(IF(D1830="","",VLOOKUP(D1830,CadProd!$A:$B,2,0)),"")</f>
        <v/>
      </c>
      <c r="F1830" t="str">
        <f>IFERROR(IF(D1830="","",VLOOKUP(D1830,CadProd!$A:$C,3,0)),"")</f>
        <v/>
      </c>
    </row>
    <row r="1831" spans="5:6" x14ac:dyDescent="0.3">
      <c r="E1831" t="str">
        <f>IFERROR(IF(D1831="","",VLOOKUP(D1831,CadProd!$A:$B,2,0)),"")</f>
        <v/>
      </c>
      <c r="F1831" t="str">
        <f>IFERROR(IF(D1831="","",VLOOKUP(D1831,CadProd!$A:$C,3,0)),"")</f>
        <v/>
      </c>
    </row>
    <row r="1832" spans="5:6" x14ac:dyDescent="0.3">
      <c r="E1832" t="str">
        <f>IFERROR(IF(D1832="","",VLOOKUP(D1832,CadProd!$A:$B,2,0)),"")</f>
        <v/>
      </c>
      <c r="F1832" t="str">
        <f>IFERROR(IF(D1832="","",VLOOKUP(D1832,CadProd!$A:$C,3,0)),"")</f>
        <v/>
      </c>
    </row>
    <row r="1833" spans="5:6" x14ac:dyDescent="0.3">
      <c r="E1833" t="str">
        <f>IFERROR(IF(D1833="","",VLOOKUP(D1833,CadProd!$A:$B,2,0)),"")</f>
        <v/>
      </c>
      <c r="F1833" t="str">
        <f>IFERROR(IF(D1833="","",VLOOKUP(D1833,CadProd!$A:$C,3,0)),"")</f>
        <v/>
      </c>
    </row>
    <row r="1834" spans="5:6" x14ac:dyDescent="0.3">
      <c r="E1834" t="str">
        <f>IFERROR(IF(D1834="","",VLOOKUP(D1834,CadProd!$A:$B,2,0)),"")</f>
        <v/>
      </c>
      <c r="F1834" t="str">
        <f>IFERROR(IF(D1834="","",VLOOKUP(D1834,CadProd!$A:$C,3,0)),"")</f>
        <v/>
      </c>
    </row>
    <row r="1835" spans="5:6" x14ac:dyDescent="0.3">
      <c r="E1835" t="str">
        <f>IFERROR(IF(D1835="","",VLOOKUP(D1835,CadProd!$A:$B,2,0)),"")</f>
        <v/>
      </c>
      <c r="F1835" t="str">
        <f>IFERROR(IF(D1835="","",VLOOKUP(D1835,CadProd!$A:$C,3,0)),"")</f>
        <v/>
      </c>
    </row>
    <row r="1836" spans="5:6" x14ac:dyDescent="0.3">
      <c r="E1836" t="str">
        <f>IFERROR(IF(D1836="","",VLOOKUP(D1836,CadProd!$A:$B,2,0)),"")</f>
        <v/>
      </c>
      <c r="F1836" t="str">
        <f>IFERROR(IF(D1836="","",VLOOKUP(D1836,CadProd!$A:$C,3,0)),"")</f>
        <v/>
      </c>
    </row>
    <row r="1837" spans="5:6" x14ac:dyDescent="0.3">
      <c r="E1837" t="str">
        <f>IFERROR(IF(D1837="","",VLOOKUP(D1837,CadProd!$A:$B,2,0)),"")</f>
        <v/>
      </c>
      <c r="F1837" t="str">
        <f>IFERROR(IF(D1837="","",VLOOKUP(D1837,CadProd!$A:$C,3,0)),"")</f>
        <v/>
      </c>
    </row>
    <row r="1838" spans="5:6" x14ac:dyDescent="0.3">
      <c r="E1838" t="str">
        <f>IFERROR(IF(D1838="","",VLOOKUP(D1838,CadProd!$A:$B,2,0)),"")</f>
        <v/>
      </c>
      <c r="F1838" t="str">
        <f>IFERROR(IF(D1838="","",VLOOKUP(D1838,CadProd!$A:$C,3,0)),"")</f>
        <v/>
      </c>
    </row>
    <row r="1839" spans="5:6" x14ac:dyDescent="0.3">
      <c r="E1839" t="str">
        <f>IFERROR(IF(D1839="","",VLOOKUP(D1839,CadProd!$A:$B,2,0)),"")</f>
        <v/>
      </c>
      <c r="F1839" t="str">
        <f>IFERROR(IF(D1839="","",VLOOKUP(D1839,CadProd!$A:$C,3,0)),"")</f>
        <v/>
      </c>
    </row>
    <row r="1840" spans="5:6" x14ac:dyDescent="0.3">
      <c r="E1840" t="str">
        <f>IFERROR(IF(D1840="","",VLOOKUP(D1840,CadProd!$A:$B,2,0)),"")</f>
        <v/>
      </c>
      <c r="F1840" t="str">
        <f>IFERROR(IF(D1840="","",VLOOKUP(D1840,CadProd!$A:$C,3,0)),"")</f>
        <v/>
      </c>
    </row>
    <row r="1841" spans="5:6" x14ac:dyDescent="0.3">
      <c r="E1841" t="str">
        <f>IFERROR(IF(D1841="","",VLOOKUP(D1841,CadProd!$A:$B,2,0)),"")</f>
        <v/>
      </c>
      <c r="F1841" t="str">
        <f>IFERROR(IF(D1841="","",VLOOKUP(D1841,CadProd!$A:$C,3,0)),"")</f>
        <v/>
      </c>
    </row>
    <row r="1842" spans="5:6" x14ac:dyDescent="0.3">
      <c r="E1842" t="str">
        <f>IFERROR(IF(D1842="","",VLOOKUP(D1842,CadProd!$A:$B,2,0)),"")</f>
        <v/>
      </c>
      <c r="F1842" t="str">
        <f>IFERROR(IF(D1842="","",VLOOKUP(D1842,CadProd!$A:$C,3,0)),"")</f>
        <v/>
      </c>
    </row>
    <row r="1843" spans="5:6" x14ac:dyDescent="0.3">
      <c r="E1843" t="str">
        <f>IFERROR(IF(D1843="","",VLOOKUP(D1843,CadProd!$A:$B,2,0)),"")</f>
        <v/>
      </c>
      <c r="F1843" t="str">
        <f>IFERROR(IF(D1843="","",VLOOKUP(D1843,CadProd!$A:$C,3,0)),"")</f>
        <v/>
      </c>
    </row>
    <row r="1844" spans="5:6" x14ac:dyDescent="0.3">
      <c r="E1844" t="str">
        <f>IFERROR(IF(D1844="","",VLOOKUP(D1844,CadProd!$A:$B,2,0)),"")</f>
        <v/>
      </c>
      <c r="F1844" t="str">
        <f>IFERROR(IF(D1844="","",VLOOKUP(D1844,CadProd!$A:$C,3,0)),"")</f>
        <v/>
      </c>
    </row>
    <row r="1845" spans="5:6" x14ac:dyDescent="0.3">
      <c r="E1845" t="str">
        <f>IFERROR(IF(D1845="","",VLOOKUP(D1845,CadProd!$A:$B,2,0)),"")</f>
        <v/>
      </c>
      <c r="F1845" t="str">
        <f>IFERROR(IF(D1845="","",VLOOKUP(D1845,CadProd!$A:$C,3,0)),"")</f>
        <v/>
      </c>
    </row>
    <row r="1846" spans="5:6" x14ac:dyDescent="0.3">
      <c r="E1846" t="str">
        <f>IFERROR(IF(D1846="","",VLOOKUP(D1846,CadProd!$A:$B,2,0)),"")</f>
        <v/>
      </c>
      <c r="F1846" t="str">
        <f>IFERROR(IF(D1846="","",VLOOKUP(D1846,CadProd!$A:$C,3,0)),"")</f>
        <v/>
      </c>
    </row>
    <row r="1847" spans="5:6" x14ac:dyDescent="0.3">
      <c r="E1847" t="str">
        <f>IFERROR(IF(D1847="","",VLOOKUP(D1847,CadProd!$A:$B,2,0)),"")</f>
        <v/>
      </c>
      <c r="F1847" t="str">
        <f>IFERROR(IF(D1847="","",VLOOKUP(D1847,CadProd!$A:$C,3,0)),"")</f>
        <v/>
      </c>
    </row>
    <row r="1848" spans="5:6" x14ac:dyDescent="0.3">
      <c r="E1848" t="str">
        <f>IFERROR(IF(D1848="","",VLOOKUP(D1848,CadProd!$A:$B,2,0)),"")</f>
        <v/>
      </c>
      <c r="F1848" t="str">
        <f>IFERROR(IF(D1848="","",VLOOKUP(D1848,CadProd!$A:$C,3,0)),"")</f>
        <v/>
      </c>
    </row>
    <row r="1849" spans="5:6" x14ac:dyDescent="0.3">
      <c r="E1849" t="str">
        <f>IFERROR(IF(D1849="","",VLOOKUP(D1849,CadProd!$A:$B,2,0)),"")</f>
        <v/>
      </c>
      <c r="F1849" t="str">
        <f>IFERROR(IF(D1849="","",VLOOKUP(D1849,CadProd!$A:$C,3,0)),"")</f>
        <v/>
      </c>
    </row>
    <row r="1850" spans="5:6" x14ac:dyDescent="0.3">
      <c r="E1850" t="str">
        <f>IFERROR(IF(D1850="","",VLOOKUP(D1850,CadProd!$A:$B,2,0)),"")</f>
        <v/>
      </c>
      <c r="F1850" t="str">
        <f>IFERROR(IF(D1850="","",VLOOKUP(D1850,CadProd!$A:$C,3,0)),"")</f>
        <v/>
      </c>
    </row>
    <row r="1851" spans="5:6" x14ac:dyDescent="0.3">
      <c r="E1851" t="str">
        <f>IFERROR(IF(D1851="","",VLOOKUP(D1851,CadProd!$A:$B,2,0)),"")</f>
        <v/>
      </c>
      <c r="F1851" t="str">
        <f>IFERROR(IF(D1851="","",VLOOKUP(D1851,CadProd!$A:$C,3,0)),"")</f>
        <v/>
      </c>
    </row>
    <row r="1852" spans="5:6" x14ac:dyDescent="0.3">
      <c r="E1852" t="str">
        <f>IFERROR(IF(D1852="","",VLOOKUP(D1852,CadProd!$A:$B,2,0)),"")</f>
        <v/>
      </c>
      <c r="F1852" t="str">
        <f>IFERROR(IF(D1852="","",VLOOKUP(D1852,CadProd!$A:$C,3,0)),"")</f>
        <v/>
      </c>
    </row>
    <row r="1853" spans="5:6" x14ac:dyDescent="0.3">
      <c r="E1853" t="str">
        <f>IFERROR(IF(D1853="","",VLOOKUP(D1853,CadProd!$A:$B,2,0)),"")</f>
        <v/>
      </c>
      <c r="F1853" t="str">
        <f>IFERROR(IF(D1853="","",VLOOKUP(D1853,CadProd!$A:$C,3,0)),"")</f>
        <v/>
      </c>
    </row>
    <row r="1854" spans="5:6" x14ac:dyDescent="0.3">
      <c r="E1854" t="str">
        <f>IFERROR(IF(D1854="","",VLOOKUP(D1854,CadProd!$A:$B,2,0)),"")</f>
        <v/>
      </c>
      <c r="F1854" t="str">
        <f>IFERROR(IF(D1854="","",VLOOKUP(D1854,CadProd!$A:$C,3,0)),"")</f>
        <v/>
      </c>
    </row>
    <row r="1855" spans="5:6" x14ac:dyDescent="0.3">
      <c r="E1855" t="str">
        <f>IFERROR(IF(D1855="","",VLOOKUP(D1855,CadProd!$A:$B,2,0)),"")</f>
        <v/>
      </c>
      <c r="F1855" t="str">
        <f>IFERROR(IF(D1855="","",VLOOKUP(D1855,CadProd!$A:$C,3,0)),"")</f>
        <v/>
      </c>
    </row>
    <row r="1856" spans="5:6" x14ac:dyDescent="0.3">
      <c r="E1856" t="str">
        <f>IFERROR(IF(D1856="","",VLOOKUP(D1856,CadProd!$A:$B,2,0)),"")</f>
        <v/>
      </c>
      <c r="F1856" t="str">
        <f>IFERROR(IF(D1856="","",VLOOKUP(D1856,CadProd!$A:$C,3,0)),"")</f>
        <v/>
      </c>
    </row>
    <row r="1857" spans="5:6" x14ac:dyDescent="0.3">
      <c r="E1857" t="str">
        <f>IFERROR(IF(D1857="","",VLOOKUP(D1857,CadProd!$A:$B,2,0)),"")</f>
        <v/>
      </c>
      <c r="F1857" t="str">
        <f>IFERROR(IF(D1857="","",VLOOKUP(D1857,CadProd!$A:$C,3,0)),"")</f>
        <v/>
      </c>
    </row>
    <row r="1858" spans="5:6" x14ac:dyDescent="0.3">
      <c r="E1858" t="str">
        <f>IFERROR(IF(D1858="","",VLOOKUP(D1858,CadProd!$A:$B,2,0)),"")</f>
        <v/>
      </c>
      <c r="F1858" t="str">
        <f>IFERROR(IF(D1858="","",VLOOKUP(D1858,CadProd!$A:$C,3,0)),"")</f>
        <v/>
      </c>
    </row>
    <row r="1859" spans="5:6" x14ac:dyDescent="0.3">
      <c r="E1859" t="str">
        <f>IFERROR(IF(D1859="","",VLOOKUP(D1859,CadProd!$A:$B,2,0)),"")</f>
        <v/>
      </c>
      <c r="F1859" t="str">
        <f>IFERROR(IF(D1859="","",VLOOKUP(D1859,CadProd!$A:$C,3,0)),"")</f>
        <v/>
      </c>
    </row>
    <row r="1860" spans="5:6" x14ac:dyDescent="0.3">
      <c r="E1860" t="str">
        <f>IFERROR(IF(D1860="","",VLOOKUP(D1860,CadProd!$A:$B,2,0)),"")</f>
        <v/>
      </c>
      <c r="F1860" t="str">
        <f>IFERROR(IF(D1860="","",VLOOKUP(D1860,CadProd!$A:$C,3,0)),"")</f>
        <v/>
      </c>
    </row>
    <row r="1861" spans="5:6" x14ac:dyDescent="0.3">
      <c r="E1861" t="str">
        <f>IFERROR(IF(D1861="","",VLOOKUP(D1861,CadProd!$A:$B,2,0)),"")</f>
        <v/>
      </c>
      <c r="F1861" t="str">
        <f>IFERROR(IF(D1861="","",VLOOKUP(D1861,CadProd!$A:$C,3,0)),"")</f>
        <v/>
      </c>
    </row>
    <row r="1862" spans="5:6" x14ac:dyDescent="0.3">
      <c r="E1862" t="str">
        <f>IFERROR(IF(D1862="","",VLOOKUP(D1862,CadProd!$A:$B,2,0)),"")</f>
        <v/>
      </c>
      <c r="F1862" t="str">
        <f>IFERROR(IF(D1862="","",VLOOKUP(D1862,CadProd!$A:$C,3,0)),"")</f>
        <v/>
      </c>
    </row>
    <row r="1863" spans="5:6" x14ac:dyDescent="0.3">
      <c r="E1863" t="str">
        <f>IFERROR(IF(D1863="","",VLOOKUP(D1863,CadProd!$A:$B,2,0)),"")</f>
        <v/>
      </c>
      <c r="F1863" t="str">
        <f>IFERROR(IF(D1863="","",VLOOKUP(D1863,CadProd!$A:$C,3,0)),"")</f>
        <v/>
      </c>
    </row>
    <row r="1864" spans="5:6" x14ac:dyDescent="0.3">
      <c r="E1864" t="str">
        <f>IFERROR(IF(D1864="","",VLOOKUP(D1864,CadProd!$A:$B,2,0)),"")</f>
        <v/>
      </c>
      <c r="F1864" t="str">
        <f>IFERROR(IF(D1864="","",VLOOKUP(D1864,CadProd!$A:$C,3,0)),"")</f>
        <v/>
      </c>
    </row>
    <row r="1865" spans="5:6" x14ac:dyDescent="0.3">
      <c r="E1865" t="str">
        <f>IFERROR(IF(D1865="","",VLOOKUP(D1865,CadProd!$A:$B,2,0)),"")</f>
        <v/>
      </c>
      <c r="F1865" t="str">
        <f>IFERROR(IF(D1865="","",VLOOKUP(D1865,CadProd!$A:$C,3,0)),"")</f>
        <v/>
      </c>
    </row>
    <row r="1866" spans="5:6" x14ac:dyDescent="0.3">
      <c r="E1866" t="str">
        <f>IFERROR(IF(D1866="","",VLOOKUP(D1866,CadProd!$A:$B,2,0)),"")</f>
        <v/>
      </c>
      <c r="F1866" t="str">
        <f>IFERROR(IF(D1866="","",VLOOKUP(D1866,CadProd!$A:$C,3,0)),"")</f>
        <v/>
      </c>
    </row>
    <row r="1867" spans="5:6" x14ac:dyDescent="0.3">
      <c r="E1867" t="str">
        <f>IFERROR(IF(D1867="","",VLOOKUP(D1867,CadProd!$A:$B,2,0)),"")</f>
        <v/>
      </c>
      <c r="F1867" t="str">
        <f>IFERROR(IF(D1867="","",VLOOKUP(D1867,CadProd!$A:$C,3,0)),"")</f>
        <v/>
      </c>
    </row>
    <row r="1868" spans="5:6" x14ac:dyDescent="0.3">
      <c r="E1868" t="str">
        <f>IFERROR(IF(D1868="","",VLOOKUP(D1868,CadProd!$A:$B,2,0)),"")</f>
        <v/>
      </c>
      <c r="F1868" t="str">
        <f>IFERROR(IF(D1868="","",VLOOKUP(D1868,CadProd!$A:$C,3,0)),"")</f>
        <v/>
      </c>
    </row>
    <row r="1869" spans="5:6" x14ac:dyDescent="0.3">
      <c r="E1869" t="str">
        <f>IFERROR(IF(D1869="","",VLOOKUP(D1869,CadProd!$A:$B,2,0)),"")</f>
        <v/>
      </c>
      <c r="F1869" t="str">
        <f>IFERROR(IF(D1869="","",VLOOKUP(D1869,CadProd!$A:$C,3,0)),"")</f>
        <v/>
      </c>
    </row>
    <row r="1870" spans="5:6" x14ac:dyDescent="0.3">
      <c r="E1870" t="str">
        <f>IFERROR(IF(D1870="","",VLOOKUP(D1870,CadProd!$A:$B,2,0)),"")</f>
        <v/>
      </c>
      <c r="F1870" t="str">
        <f>IFERROR(IF(D1870="","",VLOOKUP(D1870,CadProd!$A:$C,3,0)),"")</f>
        <v/>
      </c>
    </row>
    <row r="1871" spans="5:6" x14ac:dyDescent="0.3">
      <c r="E1871" t="str">
        <f>IFERROR(IF(D1871="","",VLOOKUP(D1871,CadProd!$A:$B,2,0)),"")</f>
        <v/>
      </c>
      <c r="F1871" t="str">
        <f>IFERROR(IF(D1871="","",VLOOKUP(D1871,CadProd!$A:$C,3,0)),"")</f>
        <v/>
      </c>
    </row>
    <row r="1872" spans="5:6" x14ac:dyDescent="0.3">
      <c r="E1872" t="str">
        <f>IFERROR(IF(D1872="","",VLOOKUP(D1872,CadProd!$A:$B,2,0)),"")</f>
        <v/>
      </c>
      <c r="F1872" t="str">
        <f>IFERROR(IF(D1872="","",VLOOKUP(D1872,CadProd!$A:$C,3,0)),"")</f>
        <v/>
      </c>
    </row>
    <row r="1873" spans="5:6" x14ac:dyDescent="0.3">
      <c r="E1873" t="str">
        <f>IFERROR(IF(D1873="","",VLOOKUP(D1873,CadProd!$A:$B,2,0)),"")</f>
        <v/>
      </c>
      <c r="F1873" t="str">
        <f>IFERROR(IF(D1873="","",VLOOKUP(D1873,CadProd!$A:$C,3,0)),"")</f>
        <v/>
      </c>
    </row>
    <row r="1874" spans="5:6" x14ac:dyDescent="0.3">
      <c r="E1874" t="str">
        <f>IFERROR(IF(D1874="","",VLOOKUP(D1874,CadProd!$A:$B,2,0)),"")</f>
        <v/>
      </c>
      <c r="F1874" t="str">
        <f>IFERROR(IF(D1874="","",VLOOKUP(D1874,CadProd!$A:$C,3,0)),"")</f>
        <v/>
      </c>
    </row>
    <row r="1875" spans="5:6" x14ac:dyDescent="0.3">
      <c r="E1875" t="str">
        <f>IFERROR(IF(D1875="","",VLOOKUP(D1875,CadProd!$A:$B,2,0)),"")</f>
        <v/>
      </c>
      <c r="F1875" t="str">
        <f>IFERROR(IF(D1875="","",VLOOKUP(D1875,CadProd!$A:$C,3,0)),"")</f>
        <v/>
      </c>
    </row>
    <row r="1876" spans="5:6" x14ac:dyDescent="0.3">
      <c r="E1876" t="str">
        <f>IFERROR(IF(D1876="","",VLOOKUP(D1876,CadProd!$A:$B,2,0)),"")</f>
        <v/>
      </c>
      <c r="F1876" t="str">
        <f>IFERROR(IF(D1876="","",VLOOKUP(D1876,CadProd!$A:$C,3,0)),"")</f>
        <v/>
      </c>
    </row>
    <row r="1877" spans="5:6" x14ac:dyDescent="0.3">
      <c r="E1877" t="str">
        <f>IFERROR(IF(D1877="","",VLOOKUP(D1877,CadProd!$A:$B,2,0)),"")</f>
        <v/>
      </c>
      <c r="F1877" t="str">
        <f>IFERROR(IF(D1877="","",VLOOKUP(D1877,CadProd!$A:$C,3,0)),"")</f>
        <v/>
      </c>
    </row>
    <row r="1878" spans="5:6" x14ac:dyDescent="0.3">
      <c r="E1878" t="str">
        <f>IFERROR(IF(D1878="","",VLOOKUP(D1878,CadProd!$A:$B,2,0)),"")</f>
        <v/>
      </c>
      <c r="F1878" t="str">
        <f>IFERROR(IF(D1878="","",VLOOKUP(D1878,CadProd!$A:$C,3,0)),"")</f>
        <v/>
      </c>
    </row>
    <row r="1879" spans="5:6" x14ac:dyDescent="0.3">
      <c r="E1879" t="str">
        <f>IFERROR(IF(D1879="","",VLOOKUP(D1879,CadProd!$A:$B,2,0)),"")</f>
        <v/>
      </c>
      <c r="F1879" t="str">
        <f>IFERROR(IF(D1879="","",VLOOKUP(D1879,CadProd!$A:$C,3,0)),"")</f>
        <v/>
      </c>
    </row>
    <row r="1880" spans="5:6" x14ac:dyDescent="0.3">
      <c r="E1880" t="str">
        <f>IFERROR(IF(D1880="","",VLOOKUP(D1880,CadProd!$A:$B,2,0)),"")</f>
        <v/>
      </c>
      <c r="F1880" t="str">
        <f>IFERROR(IF(D1880="","",VLOOKUP(D1880,CadProd!$A:$C,3,0)),"")</f>
        <v/>
      </c>
    </row>
    <row r="1881" spans="5:6" x14ac:dyDescent="0.3">
      <c r="E1881" t="str">
        <f>IFERROR(IF(D1881="","",VLOOKUP(D1881,CadProd!$A:$B,2,0)),"")</f>
        <v/>
      </c>
      <c r="F1881" t="str">
        <f>IFERROR(IF(D1881="","",VLOOKUP(D1881,CadProd!$A:$C,3,0)),"")</f>
        <v/>
      </c>
    </row>
    <row r="1882" spans="5:6" x14ac:dyDescent="0.3">
      <c r="E1882" t="str">
        <f>IFERROR(IF(D1882="","",VLOOKUP(D1882,CadProd!$A:$B,2,0)),"")</f>
        <v/>
      </c>
      <c r="F1882" t="str">
        <f>IFERROR(IF(D1882="","",VLOOKUP(D1882,CadProd!$A:$C,3,0)),"")</f>
        <v/>
      </c>
    </row>
    <row r="1883" spans="5:6" x14ac:dyDescent="0.3">
      <c r="E1883" t="str">
        <f>IFERROR(IF(D1883="","",VLOOKUP(D1883,CadProd!$A:$B,2,0)),"")</f>
        <v/>
      </c>
      <c r="F1883" t="str">
        <f>IFERROR(IF(D1883="","",VLOOKUP(D1883,CadProd!$A:$C,3,0)),"")</f>
        <v/>
      </c>
    </row>
    <row r="1884" spans="5:6" x14ac:dyDescent="0.3">
      <c r="E1884" t="str">
        <f>IFERROR(IF(D1884="","",VLOOKUP(D1884,CadProd!$A:$B,2,0)),"")</f>
        <v/>
      </c>
      <c r="F1884" t="str">
        <f>IFERROR(IF(D1884="","",VLOOKUP(D1884,CadProd!$A:$C,3,0)),"")</f>
        <v/>
      </c>
    </row>
    <row r="1885" spans="5:6" x14ac:dyDescent="0.3">
      <c r="E1885" t="str">
        <f>IFERROR(IF(D1885="","",VLOOKUP(D1885,CadProd!$A:$B,2,0)),"")</f>
        <v/>
      </c>
      <c r="F1885" t="str">
        <f>IFERROR(IF(D1885="","",VLOOKUP(D1885,CadProd!$A:$C,3,0)),"")</f>
        <v/>
      </c>
    </row>
    <row r="1886" spans="5:6" x14ac:dyDescent="0.3">
      <c r="E1886" t="str">
        <f>IFERROR(IF(D1886="","",VLOOKUP(D1886,CadProd!$A:$B,2,0)),"")</f>
        <v/>
      </c>
      <c r="F1886" t="str">
        <f>IFERROR(IF(D1886="","",VLOOKUP(D1886,CadProd!$A:$C,3,0)),"")</f>
        <v/>
      </c>
    </row>
    <row r="1887" spans="5:6" x14ac:dyDescent="0.3">
      <c r="E1887" t="str">
        <f>IFERROR(IF(D1887="","",VLOOKUP(D1887,CadProd!$A:$B,2,0)),"")</f>
        <v/>
      </c>
      <c r="F1887" t="str">
        <f>IFERROR(IF(D1887="","",VLOOKUP(D1887,CadProd!$A:$C,3,0)),"")</f>
        <v/>
      </c>
    </row>
    <row r="1888" spans="5:6" x14ac:dyDescent="0.3">
      <c r="E1888" t="str">
        <f>IFERROR(IF(D1888="","",VLOOKUP(D1888,CadProd!$A:$B,2,0)),"")</f>
        <v/>
      </c>
      <c r="F1888" t="str">
        <f>IFERROR(IF(D1888="","",VLOOKUP(D1888,CadProd!$A:$C,3,0)),"")</f>
        <v/>
      </c>
    </row>
    <row r="1889" spans="5:6" x14ac:dyDescent="0.3">
      <c r="E1889" t="str">
        <f>IFERROR(IF(D1889="","",VLOOKUP(D1889,CadProd!$A:$B,2,0)),"")</f>
        <v/>
      </c>
      <c r="F1889" t="str">
        <f>IFERROR(IF(D1889="","",VLOOKUP(D1889,CadProd!$A:$C,3,0)),"")</f>
        <v/>
      </c>
    </row>
    <row r="1890" spans="5:6" x14ac:dyDescent="0.3">
      <c r="E1890" t="str">
        <f>IFERROR(IF(D1890="","",VLOOKUP(D1890,CadProd!$A:$B,2,0)),"")</f>
        <v/>
      </c>
      <c r="F1890" t="str">
        <f>IFERROR(IF(D1890="","",VLOOKUP(D1890,CadProd!$A:$C,3,0)),"")</f>
        <v/>
      </c>
    </row>
    <row r="1891" spans="5:6" x14ac:dyDescent="0.3">
      <c r="E1891" t="str">
        <f>IFERROR(IF(D1891="","",VLOOKUP(D1891,CadProd!$A:$B,2,0)),"")</f>
        <v/>
      </c>
      <c r="F1891" t="str">
        <f>IFERROR(IF(D1891="","",VLOOKUP(D1891,CadProd!$A:$C,3,0)),"")</f>
        <v/>
      </c>
    </row>
    <row r="1892" spans="5:6" x14ac:dyDescent="0.3">
      <c r="E1892" t="str">
        <f>IFERROR(IF(D1892="","",VLOOKUP(D1892,CadProd!$A:$B,2,0)),"")</f>
        <v/>
      </c>
      <c r="F1892" t="str">
        <f>IFERROR(IF(D1892="","",VLOOKUP(D1892,CadProd!$A:$C,3,0)),"")</f>
        <v/>
      </c>
    </row>
    <row r="1893" spans="5:6" x14ac:dyDescent="0.3">
      <c r="E1893" t="str">
        <f>IFERROR(IF(D1893="","",VLOOKUP(D1893,CadProd!$A:$B,2,0)),"")</f>
        <v/>
      </c>
      <c r="F1893" t="str">
        <f>IFERROR(IF(D1893="","",VLOOKUP(D1893,CadProd!$A:$C,3,0)),"")</f>
        <v/>
      </c>
    </row>
    <row r="1894" spans="5:6" x14ac:dyDescent="0.3">
      <c r="E1894" t="str">
        <f>IFERROR(IF(D1894="","",VLOOKUP(D1894,CadProd!$A:$B,2,0)),"")</f>
        <v/>
      </c>
      <c r="F1894" t="str">
        <f>IFERROR(IF(D1894="","",VLOOKUP(D1894,CadProd!$A:$C,3,0)),"")</f>
        <v/>
      </c>
    </row>
    <row r="1895" spans="5:6" x14ac:dyDescent="0.3">
      <c r="E1895" t="str">
        <f>IFERROR(IF(D1895="","",VLOOKUP(D1895,CadProd!$A:$B,2,0)),"")</f>
        <v/>
      </c>
      <c r="F1895" t="str">
        <f>IFERROR(IF(D1895="","",VLOOKUP(D1895,CadProd!$A:$C,3,0)),"")</f>
        <v/>
      </c>
    </row>
    <row r="1896" spans="5:6" x14ac:dyDescent="0.3">
      <c r="E1896" t="str">
        <f>IFERROR(IF(D1896="","",VLOOKUP(D1896,CadProd!$A:$B,2,0)),"")</f>
        <v/>
      </c>
      <c r="F1896" t="str">
        <f>IFERROR(IF(D1896="","",VLOOKUP(D1896,CadProd!$A:$C,3,0)),"")</f>
        <v/>
      </c>
    </row>
    <row r="1897" spans="5:6" x14ac:dyDescent="0.3">
      <c r="E1897" t="str">
        <f>IFERROR(IF(D1897="","",VLOOKUP(D1897,CadProd!$A:$B,2,0)),"")</f>
        <v/>
      </c>
      <c r="F1897" t="str">
        <f>IFERROR(IF(D1897="","",VLOOKUP(D1897,CadProd!$A:$C,3,0)),"")</f>
        <v/>
      </c>
    </row>
    <row r="1898" spans="5:6" x14ac:dyDescent="0.3">
      <c r="E1898" t="str">
        <f>IFERROR(IF(D1898="","",VLOOKUP(D1898,CadProd!$A:$B,2,0)),"")</f>
        <v/>
      </c>
      <c r="F1898" t="str">
        <f>IFERROR(IF(D1898="","",VLOOKUP(D1898,CadProd!$A:$C,3,0)),"")</f>
        <v/>
      </c>
    </row>
    <row r="1899" spans="5:6" x14ac:dyDescent="0.3">
      <c r="E1899" t="str">
        <f>IFERROR(IF(D1899="","",VLOOKUP(D1899,CadProd!$A:$B,2,0)),"")</f>
        <v/>
      </c>
      <c r="F1899" t="str">
        <f>IFERROR(IF(D1899="","",VLOOKUP(D1899,CadProd!$A:$C,3,0)),"")</f>
        <v/>
      </c>
    </row>
    <row r="1900" spans="5:6" x14ac:dyDescent="0.3">
      <c r="E1900" t="str">
        <f>IFERROR(IF(D1900="","",VLOOKUP(D1900,CadProd!$A:$B,2,0)),"")</f>
        <v/>
      </c>
      <c r="F1900" t="str">
        <f>IFERROR(IF(D1900="","",VLOOKUP(D1900,CadProd!$A:$C,3,0)),"")</f>
        <v/>
      </c>
    </row>
    <row r="1901" spans="5:6" x14ac:dyDescent="0.3">
      <c r="E1901" t="str">
        <f>IFERROR(IF(D1901="","",VLOOKUP(D1901,CadProd!$A:$B,2,0)),"")</f>
        <v/>
      </c>
      <c r="F1901" t="str">
        <f>IFERROR(IF(D1901="","",VLOOKUP(D1901,CadProd!$A:$C,3,0)),"")</f>
        <v/>
      </c>
    </row>
    <row r="1902" spans="5:6" x14ac:dyDescent="0.3">
      <c r="E1902" t="str">
        <f>IFERROR(IF(D1902="","",VLOOKUP(D1902,CadProd!$A:$B,2,0)),"")</f>
        <v/>
      </c>
      <c r="F1902" t="str">
        <f>IFERROR(IF(D1902="","",VLOOKUP(D1902,CadProd!$A:$C,3,0)),"")</f>
        <v/>
      </c>
    </row>
    <row r="1903" spans="5:6" x14ac:dyDescent="0.3">
      <c r="E1903" t="str">
        <f>IFERROR(IF(D1903="","",VLOOKUP(D1903,CadProd!$A:$B,2,0)),"")</f>
        <v/>
      </c>
      <c r="F1903" t="str">
        <f>IFERROR(IF(D1903="","",VLOOKUP(D1903,CadProd!$A:$C,3,0)),"")</f>
        <v/>
      </c>
    </row>
    <row r="1904" spans="5:6" x14ac:dyDescent="0.3">
      <c r="E1904" t="str">
        <f>IFERROR(IF(D1904="","",VLOOKUP(D1904,CadProd!$A:$B,2,0)),"")</f>
        <v/>
      </c>
      <c r="F1904" t="str">
        <f>IFERROR(IF(D1904="","",VLOOKUP(D1904,CadProd!$A:$C,3,0)),"")</f>
        <v/>
      </c>
    </row>
    <row r="1905" spans="5:6" x14ac:dyDescent="0.3">
      <c r="E1905" t="str">
        <f>IFERROR(IF(D1905="","",VLOOKUP(D1905,CadProd!$A:$B,2,0)),"")</f>
        <v/>
      </c>
      <c r="F1905" t="str">
        <f>IFERROR(IF(D1905="","",VLOOKUP(D1905,CadProd!$A:$C,3,0)),"")</f>
        <v/>
      </c>
    </row>
    <row r="1906" spans="5:6" x14ac:dyDescent="0.3">
      <c r="E1906" t="str">
        <f>IFERROR(IF(D1906="","",VLOOKUP(D1906,CadProd!$A:$B,2,0)),"")</f>
        <v/>
      </c>
      <c r="F1906" t="str">
        <f>IFERROR(IF(D1906="","",VLOOKUP(D1906,CadProd!$A:$C,3,0)),"")</f>
        <v/>
      </c>
    </row>
    <row r="1907" spans="5:6" x14ac:dyDescent="0.3">
      <c r="E1907" t="str">
        <f>IFERROR(IF(D1907="","",VLOOKUP(D1907,CadProd!$A:$B,2,0)),"")</f>
        <v/>
      </c>
      <c r="F1907" t="str">
        <f>IFERROR(IF(D1907="","",VLOOKUP(D1907,CadProd!$A:$C,3,0)),"")</f>
        <v/>
      </c>
    </row>
    <row r="1908" spans="5:6" x14ac:dyDescent="0.3">
      <c r="E1908" t="str">
        <f>IFERROR(IF(D1908="","",VLOOKUP(D1908,CadProd!$A:$B,2,0)),"")</f>
        <v/>
      </c>
      <c r="F1908" t="str">
        <f>IFERROR(IF(D1908="","",VLOOKUP(D1908,CadProd!$A:$C,3,0)),"")</f>
        <v/>
      </c>
    </row>
    <row r="1909" spans="5:6" x14ac:dyDescent="0.3">
      <c r="E1909" t="str">
        <f>IFERROR(IF(D1909="","",VLOOKUP(D1909,CadProd!$A:$B,2,0)),"")</f>
        <v/>
      </c>
      <c r="F1909" t="str">
        <f>IFERROR(IF(D1909="","",VLOOKUP(D1909,CadProd!$A:$C,3,0)),"")</f>
        <v/>
      </c>
    </row>
    <row r="1910" spans="5:6" x14ac:dyDescent="0.3">
      <c r="E1910" t="str">
        <f>IFERROR(IF(D1910="","",VLOOKUP(D1910,CadProd!$A:$B,2,0)),"")</f>
        <v/>
      </c>
      <c r="F1910" t="str">
        <f>IFERROR(IF(D1910="","",VLOOKUP(D1910,CadProd!$A:$C,3,0)),"")</f>
        <v/>
      </c>
    </row>
    <row r="1911" spans="5:6" x14ac:dyDescent="0.3">
      <c r="E1911" t="str">
        <f>IFERROR(IF(D1911="","",VLOOKUP(D1911,CadProd!$A:$B,2,0)),"")</f>
        <v/>
      </c>
      <c r="F1911" t="str">
        <f>IFERROR(IF(D1911="","",VLOOKUP(D1911,CadProd!$A:$C,3,0)),"")</f>
        <v/>
      </c>
    </row>
    <row r="1912" spans="5:6" x14ac:dyDescent="0.3">
      <c r="E1912" t="str">
        <f>IFERROR(IF(D1912="","",VLOOKUP(D1912,CadProd!$A:$B,2,0)),"")</f>
        <v/>
      </c>
      <c r="F1912" t="str">
        <f>IFERROR(IF(D1912="","",VLOOKUP(D1912,CadProd!$A:$C,3,0)),"")</f>
        <v/>
      </c>
    </row>
    <row r="1913" spans="5:6" x14ac:dyDescent="0.3">
      <c r="E1913" t="str">
        <f>IFERROR(IF(D1913="","",VLOOKUP(D1913,CadProd!$A:$B,2,0)),"")</f>
        <v/>
      </c>
      <c r="F1913" t="str">
        <f>IFERROR(IF(D1913="","",VLOOKUP(D1913,CadProd!$A:$C,3,0)),"")</f>
        <v/>
      </c>
    </row>
    <row r="1914" spans="5:6" x14ac:dyDescent="0.3">
      <c r="E1914" t="str">
        <f>IFERROR(IF(D1914="","",VLOOKUP(D1914,CadProd!$A:$B,2,0)),"")</f>
        <v/>
      </c>
      <c r="F1914" t="str">
        <f>IFERROR(IF(D1914="","",VLOOKUP(D1914,CadProd!$A:$C,3,0)),"")</f>
        <v/>
      </c>
    </row>
    <row r="1915" spans="5:6" x14ac:dyDescent="0.3">
      <c r="E1915" t="str">
        <f>IFERROR(IF(D1915="","",VLOOKUP(D1915,CadProd!$A:$B,2,0)),"")</f>
        <v/>
      </c>
      <c r="F1915" t="str">
        <f>IFERROR(IF(D1915="","",VLOOKUP(D1915,CadProd!$A:$C,3,0)),"")</f>
        <v/>
      </c>
    </row>
    <row r="1916" spans="5:6" x14ac:dyDescent="0.3">
      <c r="E1916" t="str">
        <f>IFERROR(IF(D1916="","",VLOOKUP(D1916,CadProd!$A:$B,2,0)),"")</f>
        <v/>
      </c>
      <c r="F1916" t="str">
        <f>IFERROR(IF(D1916="","",VLOOKUP(D1916,CadProd!$A:$C,3,0)),"")</f>
        <v/>
      </c>
    </row>
    <row r="1917" spans="5:6" x14ac:dyDescent="0.3">
      <c r="E1917" t="str">
        <f>IFERROR(IF(D1917="","",VLOOKUP(D1917,CadProd!$A:$B,2,0)),"")</f>
        <v/>
      </c>
      <c r="F1917" t="str">
        <f>IFERROR(IF(D1917="","",VLOOKUP(D1917,CadProd!$A:$C,3,0)),"")</f>
        <v/>
      </c>
    </row>
    <row r="1918" spans="5:6" x14ac:dyDescent="0.3">
      <c r="E1918" t="str">
        <f>IFERROR(IF(D1918="","",VLOOKUP(D1918,CadProd!$A:$B,2,0)),"")</f>
        <v/>
      </c>
      <c r="F1918" t="str">
        <f>IFERROR(IF(D1918="","",VLOOKUP(D1918,CadProd!$A:$C,3,0)),"")</f>
        <v/>
      </c>
    </row>
    <row r="1919" spans="5:6" x14ac:dyDescent="0.3">
      <c r="E1919" t="str">
        <f>IFERROR(IF(D1919="","",VLOOKUP(D1919,CadProd!$A:$B,2,0)),"")</f>
        <v/>
      </c>
      <c r="F1919" t="str">
        <f>IFERROR(IF(D1919="","",VLOOKUP(D1919,CadProd!$A:$C,3,0)),"")</f>
        <v/>
      </c>
    </row>
    <row r="1920" spans="5:6" x14ac:dyDescent="0.3">
      <c r="E1920" t="str">
        <f>IFERROR(IF(D1920="","",VLOOKUP(D1920,CadProd!$A:$B,2,0)),"")</f>
        <v/>
      </c>
      <c r="F1920" t="str">
        <f>IFERROR(IF(D1920="","",VLOOKUP(D1920,CadProd!$A:$C,3,0)),"")</f>
        <v/>
      </c>
    </row>
    <row r="1921" spans="5:6" x14ac:dyDescent="0.3">
      <c r="E1921" t="str">
        <f>IFERROR(IF(D1921="","",VLOOKUP(D1921,CadProd!$A:$B,2,0)),"")</f>
        <v/>
      </c>
      <c r="F1921" t="str">
        <f>IFERROR(IF(D1921="","",VLOOKUP(D1921,CadProd!$A:$C,3,0)),"")</f>
        <v/>
      </c>
    </row>
    <row r="1922" spans="5:6" x14ac:dyDescent="0.3">
      <c r="E1922" t="str">
        <f>IFERROR(IF(D1922="","",VLOOKUP(D1922,CadProd!$A:$B,2,0)),"")</f>
        <v/>
      </c>
      <c r="F1922" t="str">
        <f>IFERROR(IF(D1922="","",VLOOKUP(D1922,CadProd!$A:$C,3,0)),"")</f>
        <v/>
      </c>
    </row>
    <row r="1923" spans="5:6" x14ac:dyDescent="0.3">
      <c r="E1923" t="str">
        <f>IFERROR(IF(D1923="","",VLOOKUP(D1923,CadProd!$A:$B,2,0)),"")</f>
        <v/>
      </c>
      <c r="F1923" t="str">
        <f>IFERROR(IF(D1923="","",VLOOKUP(D1923,CadProd!$A:$C,3,0)),"")</f>
        <v/>
      </c>
    </row>
    <row r="1924" spans="5:6" x14ac:dyDescent="0.3">
      <c r="E1924" t="str">
        <f>IFERROR(IF(D1924="","",VLOOKUP(D1924,CadProd!$A:$B,2,0)),"")</f>
        <v/>
      </c>
      <c r="F1924" t="str">
        <f>IFERROR(IF(D1924="","",VLOOKUP(D1924,CadProd!$A:$C,3,0)),"")</f>
        <v/>
      </c>
    </row>
    <row r="1925" spans="5:6" x14ac:dyDescent="0.3">
      <c r="E1925" t="str">
        <f>IFERROR(IF(D1925="","",VLOOKUP(D1925,CadProd!$A:$B,2,0)),"")</f>
        <v/>
      </c>
      <c r="F1925" t="str">
        <f>IFERROR(IF(D1925="","",VLOOKUP(D1925,CadProd!$A:$C,3,0)),"")</f>
        <v/>
      </c>
    </row>
    <row r="1926" spans="5:6" x14ac:dyDescent="0.3">
      <c r="E1926" t="str">
        <f>IFERROR(IF(D1926="","",VLOOKUP(D1926,CadProd!$A:$B,2,0)),"")</f>
        <v/>
      </c>
      <c r="F1926" t="str">
        <f>IFERROR(IF(D1926="","",VLOOKUP(D1926,CadProd!$A:$C,3,0)),"")</f>
        <v/>
      </c>
    </row>
    <row r="1927" spans="5:6" x14ac:dyDescent="0.3">
      <c r="E1927" t="str">
        <f>IFERROR(IF(D1927="","",VLOOKUP(D1927,CadProd!$A:$B,2,0)),"")</f>
        <v/>
      </c>
      <c r="F1927" t="str">
        <f>IFERROR(IF(D1927="","",VLOOKUP(D1927,CadProd!$A:$C,3,0)),"")</f>
        <v/>
      </c>
    </row>
    <row r="1928" spans="5:6" x14ac:dyDescent="0.3">
      <c r="E1928" t="str">
        <f>IFERROR(IF(D1928="","",VLOOKUP(D1928,CadProd!$A:$B,2,0)),"")</f>
        <v/>
      </c>
      <c r="F1928" t="str">
        <f>IFERROR(IF(D1928="","",VLOOKUP(D1928,CadProd!$A:$C,3,0)),"")</f>
        <v/>
      </c>
    </row>
    <row r="1929" spans="5:6" x14ac:dyDescent="0.3">
      <c r="E1929" t="str">
        <f>IFERROR(IF(D1929="","",VLOOKUP(D1929,CadProd!$A:$B,2,0)),"")</f>
        <v/>
      </c>
      <c r="F1929" t="str">
        <f>IFERROR(IF(D1929="","",VLOOKUP(D1929,CadProd!$A:$C,3,0)),"")</f>
        <v/>
      </c>
    </row>
    <row r="1930" spans="5:6" x14ac:dyDescent="0.3">
      <c r="E1930" t="str">
        <f>IFERROR(IF(D1930="","",VLOOKUP(D1930,CadProd!$A:$B,2,0)),"")</f>
        <v/>
      </c>
      <c r="F1930" t="str">
        <f>IFERROR(IF(D1930="","",VLOOKUP(D1930,CadProd!$A:$C,3,0)),"")</f>
        <v/>
      </c>
    </row>
    <row r="1931" spans="5:6" x14ac:dyDescent="0.3">
      <c r="E1931" t="str">
        <f>IFERROR(IF(D1931="","",VLOOKUP(D1931,CadProd!$A:$B,2,0)),"")</f>
        <v/>
      </c>
      <c r="F1931" t="str">
        <f>IFERROR(IF(D1931="","",VLOOKUP(D1931,CadProd!$A:$C,3,0)),"")</f>
        <v/>
      </c>
    </row>
    <row r="1932" spans="5:6" x14ac:dyDescent="0.3">
      <c r="E1932" t="str">
        <f>IFERROR(IF(D1932="","",VLOOKUP(D1932,CadProd!$A:$B,2,0)),"")</f>
        <v/>
      </c>
      <c r="F1932" t="str">
        <f>IFERROR(IF(D1932="","",VLOOKUP(D1932,CadProd!$A:$C,3,0)),"")</f>
        <v/>
      </c>
    </row>
    <row r="1933" spans="5:6" x14ac:dyDescent="0.3">
      <c r="E1933" t="str">
        <f>IFERROR(IF(D1933="","",VLOOKUP(D1933,CadProd!$A:$B,2,0)),"")</f>
        <v/>
      </c>
      <c r="F1933" t="str">
        <f>IFERROR(IF(D1933="","",VLOOKUP(D1933,CadProd!$A:$C,3,0)),"")</f>
        <v/>
      </c>
    </row>
    <row r="1934" spans="5:6" x14ac:dyDescent="0.3">
      <c r="E1934" t="str">
        <f>IFERROR(IF(D1934="","",VLOOKUP(D1934,CadProd!$A:$B,2,0)),"")</f>
        <v/>
      </c>
      <c r="F1934" t="str">
        <f>IFERROR(IF(D1934="","",VLOOKUP(D1934,CadProd!$A:$C,3,0)),"")</f>
        <v/>
      </c>
    </row>
    <row r="1935" spans="5:6" x14ac:dyDescent="0.3">
      <c r="E1935" t="str">
        <f>IFERROR(IF(D1935="","",VLOOKUP(D1935,CadProd!$A:$B,2,0)),"")</f>
        <v/>
      </c>
      <c r="F1935" t="str">
        <f>IFERROR(IF(D1935="","",VLOOKUP(D1935,CadProd!$A:$C,3,0)),"")</f>
        <v/>
      </c>
    </row>
    <row r="1936" spans="5:6" x14ac:dyDescent="0.3">
      <c r="E1936" t="str">
        <f>IFERROR(IF(D1936="","",VLOOKUP(D1936,CadProd!$A:$B,2,0)),"")</f>
        <v/>
      </c>
      <c r="F1936" t="str">
        <f>IFERROR(IF(D1936="","",VLOOKUP(D1936,CadProd!$A:$C,3,0)),"")</f>
        <v/>
      </c>
    </row>
    <row r="1937" spans="5:6" x14ac:dyDescent="0.3">
      <c r="E1937" t="str">
        <f>IFERROR(IF(D1937="","",VLOOKUP(D1937,CadProd!$A:$B,2,0)),"")</f>
        <v/>
      </c>
      <c r="F1937" t="str">
        <f>IFERROR(IF(D1937="","",VLOOKUP(D1937,CadProd!$A:$C,3,0)),"")</f>
        <v/>
      </c>
    </row>
    <row r="1938" spans="5:6" x14ac:dyDescent="0.3">
      <c r="E1938" t="str">
        <f>IFERROR(IF(D1938="","",VLOOKUP(D1938,CadProd!$A:$B,2,0)),"")</f>
        <v/>
      </c>
      <c r="F1938" t="str">
        <f>IFERROR(IF(D1938="","",VLOOKUP(D1938,CadProd!$A:$C,3,0)),"")</f>
        <v/>
      </c>
    </row>
    <row r="1939" spans="5:6" x14ac:dyDescent="0.3">
      <c r="E1939" t="str">
        <f>IFERROR(IF(D1939="","",VLOOKUP(D1939,CadProd!$A:$B,2,0)),"")</f>
        <v/>
      </c>
      <c r="F1939" t="str">
        <f>IFERROR(IF(D1939="","",VLOOKUP(D1939,CadProd!$A:$C,3,0)),"")</f>
        <v/>
      </c>
    </row>
    <row r="1940" spans="5:6" x14ac:dyDescent="0.3">
      <c r="E1940" t="str">
        <f>IFERROR(IF(D1940="","",VLOOKUP(D1940,CadProd!$A:$B,2,0)),"")</f>
        <v/>
      </c>
      <c r="F1940" t="str">
        <f>IFERROR(IF(D1940="","",VLOOKUP(D1940,CadProd!$A:$C,3,0)),"")</f>
        <v/>
      </c>
    </row>
    <row r="1941" spans="5:6" x14ac:dyDescent="0.3">
      <c r="E1941" t="str">
        <f>IFERROR(IF(D1941="","",VLOOKUP(D1941,CadProd!$A:$B,2,0)),"")</f>
        <v/>
      </c>
      <c r="F1941" t="str">
        <f>IFERROR(IF(D1941="","",VLOOKUP(D1941,CadProd!$A:$C,3,0)),"")</f>
        <v/>
      </c>
    </row>
    <row r="1942" spans="5:6" x14ac:dyDescent="0.3">
      <c r="E1942" t="str">
        <f>IFERROR(IF(D1942="","",VLOOKUP(D1942,CadProd!$A:$B,2,0)),"")</f>
        <v/>
      </c>
      <c r="F1942" t="str">
        <f>IFERROR(IF(D1942="","",VLOOKUP(D1942,CadProd!$A:$C,3,0)),"")</f>
        <v/>
      </c>
    </row>
    <row r="1943" spans="5:6" x14ac:dyDescent="0.3">
      <c r="E1943" t="str">
        <f>IFERROR(IF(D1943="","",VLOOKUP(D1943,CadProd!$A:$B,2,0)),"")</f>
        <v/>
      </c>
      <c r="F1943" t="str">
        <f>IFERROR(IF(D1943="","",VLOOKUP(D1943,CadProd!$A:$C,3,0)),"")</f>
        <v/>
      </c>
    </row>
    <row r="1944" spans="5:6" x14ac:dyDescent="0.3">
      <c r="E1944" t="str">
        <f>IFERROR(IF(D1944="","",VLOOKUP(D1944,CadProd!$A:$B,2,0)),"")</f>
        <v/>
      </c>
      <c r="F1944" t="str">
        <f>IFERROR(IF(D1944="","",VLOOKUP(D1944,CadProd!$A:$C,3,0)),"")</f>
        <v/>
      </c>
    </row>
    <row r="1945" spans="5:6" x14ac:dyDescent="0.3">
      <c r="E1945" t="str">
        <f>IFERROR(IF(D1945="","",VLOOKUP(D1945,CadProd!$A:$B,2,0)),"")</f>
        <v/>
      </c>
      <c r="F1945" t="str">
        <f>IFERROR(IF(D1945="","",VLOOKUP(D1945,CadProd!$A:$C,3,0)),"")</f>
        <v/>
      </c>
    </row>
    <row r="1946" spans="5:6" x14ac:dyDescent="0.3">
      <c r="E1946" t="str">
        <f>IFERROR(IF(D1946="","",VLOOKUP(D1946,CadProd!$A:$B,2,0)),"")</f>
        <v/>
      </c>
      <c r="F1946" t="str">
        <f>IFERROR(IF(D1946="","",VLOOKUP(D1946,CadProd!$A:$C,3,0)),"")</f>
        <v/>
      </c>
    </row>
    <row r="1947" spans="5:6" x14ac:dyDescent="0.3">
      <c r="E1947" t="str">
        <f>IFERROR(IF(D1947="","",VLOOKUP(D1947,CadProd!$A:$B,2,0)),"")</f>
        <v/>
      </c>
      <c r="F1947" t="str">
        <f>IFERROR(IF(D1947="","",VLOOKUP(D1947,CadProd!$A:$C,3,0)),"")</f>
        <v/>
      </c>
    </row>
    <row r="1948" spans="5:6" x14ac:dyDescent="0.3">
      <c r="E1948" t="str">
        <f>IFERROR(IF(D1948="","",VLOOKUP(D1948,CadProd!$A:$B,2,0)),"")</f>
        <v/>
      </c>
      <c r="F1948" t="str">
        <f>IFERROR(IF(D1948="","",VLOOKUP(D1948,CadProd!$A:$C,3,0)),"")</f>
        <v/>
      </c>
    </row>
    <row r="1949" spans="5:6" x14ac:dyDescent="0.3">
      <c r="E1949" t="str">
        <f>IFERROR(IF(D1949="","",VLOOKUP(D1949,CadProd!$A:$B,2,0)),"")</f>
        <v/>
      </c>
      <c r="F1949" t="str">
        <f>IFERROR(IF(D1949="","",VLOOKUP(D1949,CadProd!$A:$C,3,0)),"")</f>
        <v/>
      </c>
    </row>
    <row r="1950" spans="5:6" x14ac:dyDescent="0.3">
      <c r="E1950" t="str">
        <f>IFERROR(IF(D1950="","",VLOOKUP(D1950,CadProd!$A:$B,2,0)),"")</f>
        <v/>
      </c>
      <c r="F1950" t="str">
        <f>IFERROR(IF(D1950="","",VLOOKUP(D1950,CadProd!$A:$C,3,0)),"")</f>
        <v/>
      </c>
    </row>
    <row r="1951" spans="5:6" x14ac:dyDescent="0.3">
      <c r="E1951" t="str">
        <f>IFERROR(IF(D1951="","",VLOOKUP(D1951,CadProd!$A:$B,2,0)),"")</f>
        <v/>
      </c>
      <c r="F1951" t="str">
        <f>IFERROR(IF(D1951="","",VLOOKUP(D1951,CadProd!$A:$C,3,0)),"")</f>
        <v/>
      </c>
    </row>
    <row r="1952" spans="5:6" x14ac:dyDescent="0.3">
      <c r="E1952" t="str">
        <f>IFERROR(IF(D1952="","",VLOOKUP(D1952,CadProd!$A:$B,2,0)),"")</f>
        <v/>
      </c>
      <c r="F1952" t="str">
        <f>IFERROR(IF(D1952="","",VLOOKUP(D1952,CadProd!$A:$C,3,0)),"")</f>
        <v/>
      </c>
    </row>
    <row r="1953" spans="5:6" x14ac:dyDescent="0.3">
      <c r="E1953" t="str">
        <f>IFERROR(IF(D1953="","",VLOOKUP(D1953,CadProd!$A:$B,2,0)),"")</f>
        <v/>
      </c>
      <c r="F1953" t="str">
        <f>IFERROR(IF(D1953="","",VLOOKUP(D1953,CadProd!$A:$C,3,0)),"")</f>
        <v/>
      </c>
    </row>
    <row r="1954" spans="5:6" x14ac:dyDescent="0.3">
      <c r="E1954" t="str">
        <f>IFERROR(IF(D1954="","",VLOOKUP(D1954,CadProd!$A:$B,2,0)),"")</f>
        <v/>
      </c>
      <c r="F1954" t="str">
        <f>IFERROR(IF(D1954="","",VLOOKUP(D1954,CadProd!$A:$C,3,0)),"")</f>
        <v/>
      </c>
    </row>
    <row r="1955" spans="5:6" x14ac:dyDescent="0.3">
      <c r="E1955" t="str">
        <f>IFERROR(IF(D1955="","",VLOOKUP(D1955,CadProd!$A:$B,2,0)),"")</f>
        <v/>
      </c>
      <c r="F1955" t="str">
        <f>IFERROR(IF(D1955="","",VLOOKUP(D1955,CadProd!$A:$C,3,0)),"")</f>
        <v/>
      </c>
    </row>
    <row r="1956" spans="5:6" x14ac:dyDescent="0.3">
      <c r="E1956" t="str">
        <f>IFERROR(IF(D1956="","",VLOOKUP(D1956,CadProd!$A:$B,2,0)),"")</f>
        <v/>
      </c>
      <c r="F1956" t="str">
        <f>IFERROR(IF(D1956="","",VLOOKUP(D1956,CadProd!$A:$C,3,0)),"")</f>
        <v/>
      </c>
    </row>
    <row r="1957" spans="5:6" x14ac:dyDescent="0.3">
      <c r="E1957" t="str">
        <f>IFERROR(IF(D1957="","",VLOOKUP(D1957,CadProd!$A:$B,2,0)),"")</f>
        <v/>
      </c>
      <c r="F1957" t="str">
        <f>IFERROR(IF(D1957="","",VLOOKUP(D1957,CadProd!$A:$C,3,0)),"")</f>
        <v/>
      </c>
    </row>
    <row r="1958" spans="5:6" x14ac:dyDescent="0.3">
      <c r="E1958" t="str">
        <f>IFERROR(IF(D1958="","",VLOOKUP(D1958,CadProd!$A:$B,2,0)),"")</f>
        <v/>
      </c>
      <c r="F1958" t="str">
        <f>IFERROR(IF(D1958="","",VLOOKUP(D1958,CadProd!$A:$C,3,0)),"")</f>
        <v/>
      </c>
    </row>
    <row r="1959" spans="5:6" x14ac:dyDescent="0.3">
      <c r="E1959" t="str">
        <f>IFERROR(IF(D1959="","",VLOOKUP(D1959,CadProd!$A:$B,2,0)),"")</f>
        <v/>
      </c>
      <c r="F1959" t="str">
        <f>IFERROR(IF(D1959="","",VLOOKUP(D1959,CadProd!$A:$C,3,0)),"")</f>
        <v/>
      </c>
    </row>
    <row r="1960" spans="5:6" x14ac:dyDescent="0.3">
      <c r="E1960" t="str">
        <f>IFERROR(IF(D1960="","",VLOOKUP(D1960,CadProd!$A:$B,2,0)),"")</f>
        <v/>
      </c>
      <c r="F1960" t="str">
        <f>IFERROR(IF(D1960="","",VLOOKUP(D1960,CadProd!$A:$C,3,0)),"")</f>
        <v/>
      </c>
    </row>
    <row r="1961" spans="5:6" x14ac:dyDescent="0.3">
      <c r="E1961" t="str">
        <f>IFERROR(IF(D1961="","",VLOOKUP(D1961,CadProd!$A:$B,2,0)),"")</f>
        <v/>
      </c>
      <c r="F1961" t="str">
        <f>IFERROR(IF(D1961="","",VLOOKUP(D1961,CadProd!$A:$C,3,0)),"")</f>
        <v/>
      </c>
    </row>
    <row r="1962" spans="5:6" x14ac:dyDescent="0.3">
      <c r="E1962" t="str">
        <f>IFERROR(IF(D1962="","",VLOOKUP(D1962,CadProd!$A:$B,2,0)),"")</f>
        <v/>
      </c>
      <c r="F1962" t="str">
        <f>IFERROR(IF(D1962="","",VLOOKUP(D1962,CadProd!$A:$C,3,0)),"")</f>
        <v/>
      </c>
    </row>
    <row r="1963" spans="5:6" x14ac:dyDescent="0.3">
      <c r="E1963" t="str">
        <f>IFERROR(IF(D1963="","",VLOOKUP(D1963,CadProd!$A:$B,2,0)),"")</f>
        <v/>
      </c>
      <c r="F1963" t="str">
        <f>IFERROR(IF(D1963="","",VLOOKUP(D1963,CadProd!$A:$C,3,0)),"")</f>
        <v/>
      </c>
    </row>
    <row r="1964" spans="5:6" x14ac:dyDescent="0.3">
      <c r="E1964" t="str">
        <f>IFERROR(IF(D1964="","",VLOOKUP(D1964,CadProd!$A:$B,2,0)),"")</f>
        <v/>
      </c>
      <c r="F1964" t="str">
        <f>IFERROR(IF(D1964="","",VLOOKUP(D1964,CadProd!$A:$C,3,0)),"")</f>
        <v/>
      </c>
    </row>
    <row r="1965" spans="5:6" x14ac:dyDescent="0.3">
      <c r="E1965" t="str">
        <f>IFERROR(IF(D1965="","",VLOOKUP(D1965,CadProd!$A:$B,2,0)),"")</f>
        <v/>
      </c>
      <c r="F1965" t="str">
        <f>IFERROR(IF(D1965="","",VLOOKUP(D1965,CadProd!$A:$C,3,0)),"")</f>
        <v/>
      </c>
    </row>
    <row r="1966" spans="5:6" x14ac:dyDescent="0.3">
      <c r="E1966" t="str">
        <f>IFERROR(IF(D1966="","",VLOOKUP(D1966,CadProd!$A:$B,2,0)),"")</f>
        <v/>
      </c>
      <c r="F1966" t="str">
        <f>IFERROR(IF(D1966="","",VLOOKUP(D1966,CadProd!$A:$C,3,0)),"")</f>
        <v/>
      </c>
    </row>
    <row r="1967" spans="5:6" x14ac:dyDescent="0.3">
      <c r="E1967" t="str">
        <f>IFERROR(IF(D1967="","",VLOOKUP(D1967,CadProd!$A:$B,2,0)),"")</f>
        <v/>
      </c>
      <c r="F1967" t="str">
        <f>IFERROR(IF(D1967="","",VLOOKUP(D1967,CadProd!$A:$C,3,0)),"")</f>
        <v/>
      </c>
    </row>
    <row r="1968" spans="5:6" x14ac:dyDescent="0.3">
      <c r="E1968" t="str">
        <f>IFERROR(IF(D1968="","",VLOOKUP(D1968,CadProd!$A:$B,2,0)),"")</f>
        <v/>
      </c>
      <c r="F1968" t="str">
        <f>IFERROR(IF(D1968="","",VLOOKUP(D1968,CadProd!$A:$C,3,0)),"")</f>
        <v/>
      </c>
    </row>
    <row r="1969" spans="5:6" x14ac:dyDescent="0.3">
      <c r="E1969" t="str">
        <f>IFERROR(IF(D1969="","",VLOOKUP(D1969,CadProd!$A:$B,2,0)),"")</f>
        <v/>
      </c>
      <c r="F1969" t="str">
        <f>IFERROR(IF(D1969="","",VLOOKUP(D1969,CadProd!$A:$C,3,0)),"")</f>
        <v/>
      </c>
    </row>
    <row r="1970" spans="5:6" x14ac:dyDescent="0.3">
      <c r="E1970" t="str">
        <f>IFERROR(IF(D1970="","",VLOOKUP(D1970,CadProd!$A:$B,2,0)),"")</f>
        <v/>
      </c>
      <c r="F1970" t="str">
        <f>IFERROR(IF(D1970="","",VLOOKUP(D1970,CadProd!$A:$C,3,0)),"")</f>
        <v/>
      </c>
    </row>
    <row r="1971" spans="5:6" x14ac:dyDescent="0.3">
      <c r="E1971" t="str">
        <f>IFERROR(IF(D1971="","",VLOOKUP(D1971,CadProd!$A:$B,2,0)),"")</f>
        <v/>
      </c>
      <c r="F1971" t="str">
        <f>IFERROR(IF(D1971="","",VLOOKUP(D1971,CadProd!$A:$C,3,0)),"")</f>
        <v/>
      </c>
    </row>
    <row r="1972" spans="5:6" x14ac:dyDescent="0.3">
      <c r="E1972" t="str">
        <f>IFERROR(IF(D1972="","",VLOOKUP(D1972,CadProd!$A:$B,2,0)),"")</f>
        <v/>
      </c>
      <c r="F1972" t="str">
        <f>IFERROR(IF(D1972="","",VLOOKUP(D1972,CadProd!$A:$C,3,0)),"")</f>
        <v/>
      </c>
    </row>
    <row r="1973" spans="5:6" x14ac:dyDescent="0.3">
      <c r="E1973" t="str">
        <f>IFERROR(IF(D1973="","",VLOOKUP(D1973,CadProd!$A:$B,2,0)),"")</f>
        <v/>
      </c>
      <c r="F1973" t="str">
        <f>IFERROR(IF(D1973="","",VLOOKUP(D1973,CadProd!$A:$C,3,0)),"")</f>
        <v/>
      </c>
    </row>
    <row r="1974" spans="5:6" x14ac:dyDescent="0.3">
      <c r="E1974" t="str">
        <f>IFERROR(IF(D1974="","",VLOOKUP(D1974,CadProd!$A:$B,2,0)),"")</f>
        <v/>
      </c>
      <c r="F1974" t="str">
        <f>IFERROR(IF(D1974="","",VLOOKUP(D1974,CadProd!$A:$C,3,0)),"")</f>
        <v/>
      </c>
    </row>
    <row r="1975" spans="5:6" x14ac:dyDescent="0.3">
      <c r="E1975" t="str">
        <f>IFERROR(IF(D1975="","",VLOOKUP(D1975,CadProd!$A:$B,2,0)),"")</f>
        <v/>
      </c>
      <c r="F1975" t="str">
        <f>IFERROR(IF(D1975="","",VLOOKUP(D1975,CadProd!$A:$C,3,0)),"")</f>
        <v/>
      </c>
    </row>
    <row r="1976" spans="5:6" x14ac:dyDescent="0.3">
      <c r="E1976" t="str">
        <f>IFERROR(IF(D1976="","",VLOOKUP(D1976,CadProd!$A:$B,2,0)),"")</f>
        <v/>
      </c>
      <c r="F1976" t="str">
        <f>IFERROR(IF(D1976="","",VLOOKUP(D1976,CadProd!$A:$C,3,0)),"")</f>
        <v/>
      </c>
    </row>
    <row r="1977" spans="5:6" x14ac:dyDescent="0.3">
      <c r="E1977" t="str">
        <f>IFERROR(IF(D1977="","",VLOOKUP(D1977,CadProd!$A:$B,2,0)),"")</f>
        <v/>
      </c>
      <c r="F1977" t="str">
        <f>IFERROR(IF(D1977="","",VLOOKUP(D1977,CadProd!$A:$C,3,0)),"")</f>
        <v/>
      </c>
    </row>
    <row r="1978" spans="5:6" x14ac:dyDescent="0.3">
      <c r="E1978" t="str">
        <f>IFERROR(IF(D1978="","",VLOOKUP(D1978,CadProd!$A:$B,2,0)),"")</f>
        <v/>
      </c>
      <c r="F1978" t="str">
        <f>IFERROR(IF(D1978="","",VLOOKUP(D1978,CadProd!$A:$C,3,0)),"")</f>
        <v/>
      </c>
    </row>
    <row r="1979" spans="5:6" x14ac:dyDescent="0.3">
      <c r="E1979" t="str">
        <f>IFERROR(IF(D1979="","",VLOOKUP(D1979,CadProd!$A:$B,2,0)),"")</f>
        <v/>
      </c>
      <c r="F1979" t="str">
        <f>IFERROR(IF(D1979="","",VLOOKUP(D1979,CadProd!$A:$C,3,0)),"")</f>
        <v/>
      </c>
    </row>
    <row r="1980" spans="5:6" x14ac:dyDescent="0.3">
      <c r="E1980" t="str">
        <f>IFERROR(IF(D1980="","",VLOOKUP(D1980,CadProd!$A:$B,2,0)),"")</f>
        <v/>
      </c>
      <c r="F1980" t="str">
        <f>IFERROR(IF(D1980="","",VLOOKUP(D1980,CadProd!$A:$C,3,0)),"")</f>
        <v/>
      </c>
    </row>
    <row r="1981" spans="5:6" x14ac:dyDescent="0.3">
      <c r="E1981" t="str">
        <f>IFERROR(IF(D1981="","",VLOOKUP(D1981,CadProd!$A:$B,2,0)),"")</f>
        <v/>
      </c>
      <c r="F1981" t="str">
        <f>IFERROR(IF(D1981="","",VLOOKUP(D1981,CadProd!$A:$C,3,0)),"")</f>
        <v/>
      </c>
    </row>
    <row r="1982" spans="5:6" x14ac:dyDescent="0.3">
      <c r="E1982" t="str">
        <f>IFERROR(IF(D1982="","",VLOOKUP(D1982,CadProd!$A:$B,2,0)),"")</f>
        <v/>
      </c>
      <c r="F1982" t="str">
        <f>IFERROR(IF(D1982="","",VLOOKUP(D1982,CadProd!$A:$C,3,0)),"")</f>
        <v/>
      </c>
    </row>
    <row r="1983" spans="5:6" x14ac:dyDescent="0.3">
      <c r="E1983" t="str">
        <f>IFERROR(IF(D1983="","",VLOOKUP(D1983,CadProd!$A:$B,2,0)),"")</f>
        <v/>
      </c>
      <c r="F1983" t="str">
        <f>IFERROR(IF(D1983="","",VLOOKUP(D1983,CadProd!$A:$C,3,0)),"")</f>
        <v/>
      </c>
    </row>
    <row r="1984" spans="5:6" x14ac:dyDescent="0.3">
      <c r="E1984" t="str">
        <f>IFERROR(IF(D1984="","",VLOOKUP(D1984,CadProd!$A:$B,2,0)),"")</f>
        <v/>
      </c>
      <c r="F1984" t="str">
        <f>IFERROR(IF(D1984="","",VLOOKUP(D1984,CadProd!$A:$C,3,0)),"")</f>
        <v/>
      </c>
    </row>
    <row r="1985" spans="5:6" x14ac:dyDescent="0.3">
      <c r="E1985" t="str">
        <f>IFERROR(IF(D1985="","",VLOOKUP(D1985,CadProd!$A:$B,2,0)),"")</f>
        <v/>
      </c>
      <c r="F1985" t="str">
        <f>IFERROR(IF(D1985="","",VLOOKUP(D1985,CadProd!$A:$C,3,0)),"")</f>
        <v/>
      </c>
    </row>
    <row r="1986" spans="5:6" x14ac:dyDescent="0.3">
      <c r="E1986" t="str">
        <f>IFERROR(IF(D1986="","",VLOOKUP(D1986,CadProd!$A:$B,2,0)),"")</f>
        <v/>
      </c>
      <c r="F1986" t="str">
        <f>IFERROR(IF(D1986="","",VLOOKUP(D1986,CadProd!$A:$C,3,0)),"")</f>
        <v/>
      </c>
    </row>
    <row r="1987" spans="5:6" x14ac:dyDescent="0.3">
      <c r="E1987" t="str">
        <f>IFERROR(IF(D1987="","",VLOOKUP(D1987,CadProd!$A:$B,2,0)),"")</f>
        <v/>
      </c>
      <c r="F1987" t="str">
        <f>IFERROR(IF(D1987="","",VLOOKUP(D1987,CadProd!$A:$C,3,0)),"")</f>
        <v/>
      </c>
    </row>
    <row r="1988" spans="5:6" x14ac:dyDescent="0.3">
      <c r="E1988" t="str">
        <f>IFERROR(IF(D1988="","",VLOOKUP(D1988,CadProd!$A:$B,2,0)),"")</f>
        <v/>
      </c>
      <c r="F1988" t="str">
        <f>IFERROR(IF(D1988="","",VLOOKUP(D1988,CadProd!$A:$C,3,0)),"")</f>
        <v/>
      </c>
    </row>
    <row r="1989" spans="5:6" x14ac:dyDescent="0.3">
      <c r="E1989" t="str">
        <f>IFERROR(IF(D1989="","",VLOOKUP(D1989,CadProd!$A:$B,2,0)),"")</f>
        <v/>
      </c>
      <c r="F1989" t="str">
        <f>IFERROR(IF(D1989="","",VLOOKUP(D1989,CadProd!$A:$C,3,0)),"")</f>
        <v/>
      </c>
    </row>
    <row r="1990" spans="5:6" x14ac:dyDescent="0.3">
      <c r="E1990" t="str">
        <f>IFERROR(IF(D1990="","",VLOOKUP(D1990,CadProd!$A:$B,2,0)),"")</f>
        <v/>
      </c>
      <c r="F1990" t="str">
        <f>IFERROR(IF(D1990="","",VLOOKUP(D1990,CadProd!$A:$C,3,0)),"")</f>
        <v/>
      </c>
    </row>
    <row r="1991" spans="5:6" x14ac:dyDescent="0.3">
      <c r="E1991" t="str">
        <f>IFERROR(IF(D1991="","",VLOOKUP(D1991,CadProd!$A:$B,2,0)),"")</f>
        <v/>
      </c>
      <c r="F1991" t="str">
        <f>IFERROR(IF(D1991="","",VLOOKUP(D1991,CadProd!$A:$C,3,0)),"")</f>
        <v/>
      </c>
    </row>
    <row r="1992" spans="5:6" x14ac:dyDescent="0.3">
      <c r="E1992" t="str">
        <f>IFERROR(IF(D1992="","",VLOOKUP(D1992,CadProd!$A:$B,2,0)),"")</f>
        <v/>
      </c>
      <c r="F1992" t="str">
        <f>IFERROR(IF(D1992="","",VLOOKUP(D1992,CadProd!$A:$C,3,0)),"")</f>
        <v/>
      </c>
    </row>
    <row r="1993" spans="5:6" x14ac:dyDescent="0.3">
      <c r="E1993" t="str">
        <f>IFERROR(IF(D1993="","",VLOOKUP(D1993,CadProd!$A:$B,2,0)),"")</f>
        <v/>
      </c>
      <c r="F1993" t="str">
        <f>IFERROR(IF(D1993="","",VLOOKUP(D1993,CadProd!$A:$C,3,0)),"")</f>
        <v/>
      </c>
    </row>
    <row r="1994" spans="5:6" x14ac:dyDescent="0.3">
      <c r="E1994" t="str">
        <f>IFERROR(IF(D1994="","",VLOOKUP(D1994,CadProd!$A:$B,2,0)),"")</f>
        <v/>
      </c>
      <c r="F1994" t="str">
        <f>IFERROR(IF(D1994="","",VLOOKUP(D1994,CadProd!$A:$C,3,0)),"")</f>
        <v/>
      </c>
    </row>
    <row r="1995" spans="5:6" x14ac:dyDescent="0.3">
      <c r="E1995" t="str">
        <f>IFERROR(IF(D1995="","",VLOOKUP(D1995,CadProd!$A:$B,2,0)),"")</f>
        <v/>
      </c>
      <c r="F1995" t="str">
        <f>IFERROR(IF(D1995="","",VLOOKUP(D1995,CadProd!$A:$C,3,0)),"")</f>
        <v/>
      </c>
    </row>
    <row r="1996" spans="5:6" x14ac:dyDescent="0.3">
      <c r="E1996" t="str">
        <f>IFERROR(IF(D1996="","",VLOOKUP(D1996,CadProd!$A:$B,2,0)),"")</f>
        <v/>
      </c>
      <c r="F1996" t="str">
        <f>IFERROR(IF(D1996="","",VLOOKUP(D1996,CadProd!$A:$C,3,0)),"")</f>
        <v/>
      </c>
    </row>
    <row r="1997" spans="5:6" x14ac:dyDescent="0.3">
      <c r="E1997" t="str">
        <f>IFERROR(IF(D1997="","",VLOOKUP(D1997,CadProd!$A:$B,2,0)),"")</f>
        <v/>
      </c>
      <c r="F1997" t="str">
        <f>IFERROR(IF(D1997="","",VLOOKUP(D1997,CadProd!$A:$C,3,0)),"")</f>
        <v/>
      </c>
    </row>
    <row r="1998" spans="5:6" x14ac:dyDescent="0.3">
      <c r="E1998" t="str">
        <f>IFERROR(IF(D1998="","",VLOOKUP(D1998,CadProd!$A:$B,2,0)),"")</f>
        <v/>
      </c>
      <c r="F1998" t="str">
        <f>IFERROR(IF(D1998="","",VLOOKUP(D1998,CadProd!$A:$C,3,0)),"")</f>
        <v/>
      </c>
    </row>
    <row r="1999" spans="5:6" x14ac:dyDescent="0.3">
      <c r="E1999" t="str">
        <f>IFERROR(IF(D1999="","",VLOOKUP(D1999,CadProd!$A:$B,2,0)),"")</f>
        <v/>
      </c>
      <c r="F1999" t="str">
        <f>IFERROR(IF(D1999="","",VLOOKUP(D1999,CadProd!$A:$C,3,0)),"")</f>
        <v/>
      </c>
    </row>
    <row r="2000" spans="5:6" x14ac:dyDescent="0.3">
      <c r="E2000" t="str">
        <f>IFERROR(IF(D2000="","",VLOOKUP(D2000,CadProd!$A:$B,2,0)),"")</f>
        <v/>
      </c>
      <c r="F2000" t="str">
        <f>IFERROR(IF(D2000="","",VLOOKUP(D2000,CadProd!$A:$C,3,0)),"")</f>
        <v/>
      </c>
    </row>
    <row r="2001" spans="5:6" x14ac:dyDescent="0.3">
      <c r="E2001" t="str">
        <f>IFERROR(IF(D2001="","",VLOOKUP(D2001,CadProd!$A:$B,2,0)),"")</f>
        <v/>
      </c>
      <c r="F2001" t="str">
        <f>IFERROR(IF(D2001="","",VLOOKUP(D2001,CadProd!$A:$C,3,0)),"")</f>
        <v/>
      </c>
    </row>
    <row r="2002" spans="5:6" x14ac:dyDescent="0.3">
      <c r="E2002" t="str">
        <f>IFERROR(IF(D2002="","",VLOOKUP(D2002,CadProd!$A:$B,2,0)),"")</f>
        <v/>
      </c>
      <c r="F2002" t="str">
        <f>IFERROR(IF(D2002="","",VLOOKUP(D2002,CadProd!$A:$C,3,0)),"")</f>
        <v/>
      </c>
    </row>
    <row r="2003" spans="5:6" x14ac:dyDescent="0.3">
      <c r="E2003" t="str">
        <f>IFERROR(IF(D2003="","",VLOOKUP(D2003,CadProd!$A:$B,2,0)),"")</f>
        <v/>
      </c>
      <c r="F2003" t="str">
        <f>IFERROR(IF(D2003="","",VLOOKUP(D2003,CadProd!$A:$C,3,0)),"")</f>
        <v/>
      </c>
    </row>
    <row r="2004" spans="5:6" x14ac:dyDescent="0.3">
      <c r="E2004" t="str">
        <f>IFERROR(IF(D2004="","",VLOOKUP(D2004,CadProd!$A:$B,2,0)),"")</f>
        <v/>
      </c>
      <c r="F2004" t="str">
        <f>IFERROR(IF(D2004="","",VLOOKUP(D2004,CadProd!$A:$C,3,0)),"")</f>
        <v/>
      </c>
    </row>
    <row r="2005" spans="5:6" x14ac:dyDescent="0.3">
      <c r="E2005" t="str">
        <f>IFERROR(IF(D2005="","",VLOOKUP(D2005,CadProd!$A:$B,2,0)),"")</f>
        <v/>
      </c>
      <c r="F2005" t="str">
        <f>IFERROR(IF(D2005="","",VLOOKUP(D2005,CadProd!$A:$C,3,0)),"")</f>
        <v/>
      </c>
    </row>
    <row r="2006" spans="5:6" x14ac:dyDescent="0.3">
      <c r="E2006" t="str">
        <f>IFERROR(IF(D2006="","",VLOOKUP(D2006,CadProd!$A:$B,2,0)),"")</f>
        <v/>
      </c>
      <c r="F2006" t="str">
        <f>IFERROR(IF(D2006="","",VLOOKUP(D2006,CadProd!$A:$C,3,0)),"")</f>
        <v/>
      </c>
    </row>
    <row r="2007" spans="5:6" x14ac:dyDescent="0.3">
      <c r="E2007" t="str">
        <f>IFERROR(IF(D2007="","",VLOOKUP(D2007,CadProd!$A:$B,2,0)),"")</f>
        <v/>
      </c>
      <c r="F2007" t="str">
        <f>IFERROR(IF(D2007="","",VLOOKUP(D2007,CadProd!$A:$C,3,0)),"")</f>
        <v/>
      </c>
    </row>
    <row r="2008" spans="5:6" x14ac:dyDescent="0.3">
      <c r="E2008" t="str">
        <f>IFERROR(IF(D2008="","",VLOOKUP(D2008,CadProd!$A:$B,2,0)),"")</f>
        <v/>
      </c>
      <c r="F2008" t="str">
        <f>IFERROR(IF(D2008="","",VLOOKUP(D2008,CadProd!$A:$C,3,0)),"")</f>
        <v/>
      </c>
    </row>
    <row r="2009" spans="5:6" x14ac:dyDescent="0.3">
      <c r="E2009" t="str">
        <f>IFERROR(IF(D2009="","",VLOOKUP(D2009,CadProd!$A:$B,2,0)),"")</f>
        <v/>
      </c>
      <c r="F2009" t="str">
        <f>IFERROR(IF(D2009="","",VLOOKUP(D2009,CadProd!$A:$C,3,0)),"")</f>
        <v/>
      </c>
    </row>
    <row r="2010" spans="5:6" x14ac:dyDescent="0.3">
      <c r="E2010" t="str">
        <f>IFERROR(IF(D2010="","",VLOOKUP(D2010,CadProd!$A:$B,2,0)),"")</f>
        <v/>
      </c>
      <c r="F2010" t="str">
        <f>IFERROR(IF(D2010="","",VLOOKUP(D2010,CadProd!$A:$C,3,0)),"")</f>
        <v/>
      </c>
    </row>
    <row r="2011" spans="5:6" x14ac:dyDescent="0.3">
      <c r="E2011" t="str">
        <f>IFERROR(IF(D2011="","",VLOOKUP(D2011,CadProd!$A:$B,2,0)),"")</f>
        <v/>
      </c>
      <c r="F2011" t="str">
        <f>IFERROR(IF(D2011="","",VLOOKUP(D2011,CadProd!$A:$C,3,0)),"")</f>
        <v/>
      </c>
    </row>
    <row r="2012" spans="5:6" x14ac:dyDescent="0.3">
      <c r="E2012" t="str">
        <f>IFERROR(IF(D2012="","",VLOOKUP(D2012,CadProd!$A:$B,2,0)),"")</f>
        <v/>
      </c>
      <c r="F2012" t="str">
        <f>IFERROR(IF(D2012="","",VLOOKUP(D2012,CadProd!$A:$C,3,0)),"")</f>
        <v/>
      </c>
    </row>
    <row r="2013" spans="5:6" x14ac:dyDescent="0.3">
      <c r="E2013" t="str">
        <f>IFERROR(IF(D2013="","",VLOOKUP(D2013,CadProd!$A:$B,2,0)),"")</f>
        <v/>
      </c>
      <c r="F2013" t="str">
        <f>IFERROR(IF(D2013="","",VLOOKUP(D2013,CadProd!$A:$C,3,0)),"")</f>
        <v/>
      </c>
    </row>
    <row r="2014" spans="5:6" x14ac:dyDescent="0.3">
      <c r="E2014" t="str">
        <f>IFERROR(IF(D2014="","",VLOOKUP(D2014,CadProd!$A:$B,2,0)),"")</f>
        <v/>
      </c>
      <c r="F2014" t="str">
        <f>IFERROR(IF(D2014="","",VLOOKUP(D2014,CadProd!$A:$C,3,0)),"")</f>
        <v/>
      </c>
    </row>
    <row r="2015" spans="5:6" x14ac:dyDescent="0.3">
      <c r="E2015" t="str">
        <f>IFERROR(IF(D2015="","",VLOOKUP(D2015,CadProd!$A:$B,2,0)),"")</f>
        <v/>
      </c>
      <c r="F2015" t="str">
        <f>IFERROR(IF(D2015="","",VLOOKUP(D2015,CadProd!$A:$C,3,0)),"")</f>
        <v/>
      </c>
    </row>
    <row r="2016" spans="5:6" x14ac:dyDescent="0.3">
      <c r="E2016" t="str">
        <f>IFERROR(IF(D2016="","",VLOOKUP(D2016,CadProd!$A:$B,2,0)),"")</f>
        <v/>
      </c>
      <c r="F2016" t="str">
        <f>IFERROR(IF(D2016="","",VLOOKUP(D2016,CadProd!$A:$C,3,0)),"")</f>
        <v/>
      </c>
    </row>
    <row r="2017" spans="5:6" x14ac:dyDescent="0.3">
      <c r="E2017" t="str">
        <f>IFERROR(IF(D2017="","",VLOOKUP(D2017,CadProd!$A:$B,2,0)),"")</f>
        <v/>
      </c>
      <c r="F2017" t="str">
        <f>IFERROR(IF(D2017="","",VLOOKUP(D2017,CadProd!$A:$C,3,0)),"")</f>
        <v/>
      </c>
    </row>
    <row r="2018" spans="5:6" x14ac:dyDescent="0.3">
      <c r="E2018" t="str">
        <f>IFERROR(IF(D2018="","",VLOOKUP(D2018,CadProd!$A:$B,2,0)),"")</f>
        <v/>
      </c>
      <c r="F2018" t="str">
        <f>IFERROR(IF(D2018="","",VLOOKUP(D2018,CadProd!$A:$C,3,0)),"")</f>
        <v/>
      </c>
    </row>
    <row r="2019" spans="5:6" x14ac:dyDescent="0.3">
      <c r="E2019" t="str">
        <f>IFERROR(IF(D2019="","",VLOOKUP(D2019,CadProd!$A:$B,2,0)),"")</f>
        <v/>
      </c>
      <c r="F2019" t="str">
        <f>IFERROR(IF(D2019="","",VLOOKUP(D2019,CadProd!$A:$C,3,0)),"")</f>
        <v/>
      </c>
    </row>
    <row r="2020" spans="5:6" x14ac:dyDescent="0.3">
      <c r="E2020" t="str">
        <f>IFERROR(IF(D2020="","",VLOOKUP(D2020,CadProd!$A:$B,2,0)),"")</f>
        <v/>
      </c>
      <c r="F2020" t="str">
        <f>IFERROR(IF(D2020="","",VLOOKUP(D2020,CadProd!$A:$C,3,0)),"")</f>
        <v/>
      </c>
    </row>
    <row r="2021" spans="5:6" x14ac:dyDescent="0.3">
      <c r="E2021" t="str">
        <f>IFERROR(IF(D2021="","",VLOOKUP(D2021,CadProd!$A:$B,2,0)),"")</f>
        <v/>
      </c>
      <c r="F2021" t="str">
        <f>IFERROR(IF(D2021="","",VLOOKUP(D2021,CadProd!$A:$C,3,0)),"")</f>
        <v/>
      </c>
    </row>
    <row r="2022" spans="5:6" x14ac:dyDescent="0.3">
      <c r="E2022" t="str">
        <f>IFERROR(IF(D2022="","",VLOOKUP(D2022,CadProd!$A:$B,2,0)),"")</f>
        <v/>
      </c>
      <c r="F2022" t="str">
        <f>IFERROR(IF(D2022="","",VLOOKUP(D2022,CadProd!$A:$C,3,0)),"")</f>
        <v/>
      </c>
    </row>
    <row r="2023" spans="5:6" x14ac:dyDescent="0.3">
      <c r="E2023" t="str">
        <f>IFERROR(IF(D2023="","",VLOOKUP(D2023,CadProd!$A:$B,2,0)),"")</f>
        <v/>
      </c>
      <c r="F2023" t="str">
        <f>IFERROR(IF(D2023="","",VLOOKUP(D2023,CadProd!$A:$C,3,0)),"")</f>
        <v/>
      </c>
    </row>
    <row r="2024" spans="5:6" x14ac:dyDescent="0.3">
      <c r="E2024" t="str">
        <f>IFERROR(IF(D2024="","",VLOOKUP(D2024,CadProd!$A:$B,2,0)),"")</f>
        <v/>
      </c>
      <c r="F2024" t="str">
        <f>IFERROR(IF(D2024="","",VLOOKUP(D2024,CadProd!$A:$C,3,0)),"")</f>
        <v/>
      </c>
    </row>
    <row r="2025" spans="5:6" x14ac:dyDescent="0.3">
      <c r="E2025" t="str">
        <f>IFERROR(IF(D2025="","",VLOOKUP(D2025,CadProd!$A:$B,2,0)),"")</f>
        <v/>
      </c>
      <c r="F2025" t="str">
        <f>IFERROR(IF(D2025="","",VLOOKUP(D2025,CadProd!$A:$C,3,0)),"")</f>
        <v/>
      </c>
    </row>
    <row r="2026" spans="5:6" x14ac:dyDescent="0.3">
      <c r="E2026" t="str">
        <f>IFERROR(IF(D2026="","",VLOOKUP(D2026,CadProd!$A:$B,2,0)),"")</f>
        <v/>
      </c>
      <c r="F2026" t="str">
        <f>IFERROR(IF(D2026="","",VLOOKUP(D2026,CadProd!$A:$C,3,0)),"")</f>
        <v/>
      </c>
    </row>
    <row r="2027" spans="5:6" x14ac:dyDescent="0.3">
      <c r="E2027" t="str">
        <f>IFERROR(IF(D2027="","",VLOOKUP(D2027,CadProd!$A:$B,2,0)),"")</f>
        <v/>
      </c>
      <c r="F2027" t="str">
        <f>IFERROR(IF(D2027="","",VLOOKUP(D2027,CadProd!$A:$C,3,0)),"")</f>
        <v/>
      </c>
    </row>
    <row r="2028" spans="5:6" x14ac:dyDescent="0.3">
      <c r="E2028" t="str">
        <f>IFERROR(IF(D2028="","",VLOOKUP(D2028,CadProd!$A:$B,2,0)),"")</f>
        <v/>
      </c>
      <c r="F2028" t="str">
        <f>IFERROR(IF(D2028="","",VLOOKUP(D2028,CadProd!$A:$C,3,0)),"")</f>
        <v/>
      </c>
    </row>
    <row r="2029" spans="5:6" x14ac:dyDescent="0.3">
      <c r="E2029" t="str">
        <f>IFERROR(IF(D2029="","",VLOOKUP(D2029,CadProd!$A:$B,2,0)),"")</f>
        <v/>
      </c>
      <c r="F2029" t="str">
        <f>IFERROR(IF(D2029="","",VLOOKUP(D2029,CadProd!$A:$C,3,0)),"")</f>
        <v/>
      </c>
    </row>
    <row r="2030" spans="5:6" x14ac:dyDescent="0.3">
      <c r="E2030" t="str">
        <f>IFERROR(IF(D2030="","",VLOOKUP(D2030,CadProd!$A:$B,2,0)),"")</f>
        <v/>
      </c>
      <c r="F2030" t="str">
        <f>IFERROR(IF(D2030="","",VLOOKUP(D2030,CadProd!$A:$C,3,0)),"")</f>
        <v/>
      </c>
    </row>
    <row r="2031" spans="5:6" x14ac:dyDescent="0.3">
      <c r="E2031" t="str">
        <f>IFERROR(IF(D2031="","",VLOOKUP(D2031,CadProd!$A:$B,2,0)),"")</f>
        <v/>
      </c>
      <c r="F2031" t="str">
        <f>IFERROR(IF(D2031="","",VLOOKUP(D2031,CadProd!$A:$C,3,0)),"")</f>
        <v/>
      </c>
    </row>
    <row r="2032" spans="5:6" x14ac:dyDescent="0.3">
      <c r="E2032" t="str">
        <f>IFERROR(IF(D2032="","",VLOOKUP(D2032,CadProd!$A:$B,2,0)),"")</f>
        <v/>
      </c>
      <c r="F2032" t="str">
        <f>IFERROR(IF(D2032="","",VLOOKUP(D2032,CadProd!$A:$C,3,0)),"")</f>
        <v/>
      </c>
    </row>
    <row r="2033" spans="5:6" x14ac:dyDescent="0.3">
      <c r="E2033" t="str">
        <f>IFERROR(IF(D2033="","",VLOOKUP(D2033,CadProd!$A:$B,2,0)),"")</f>
        <v/>
      </c>
      <c r="F2033" t="str">
        <f>IFERROR(IF(D2033="","",VLOOKUP(D2033,CadProd!$A:$C,3,0)),"")</f>
        <v/>
      </c>
    </row>
    <row r="2034" spans="5:6" x14ac:dyDescent="0.3">
      <c r="E2034" t="str">
        <f>IFERROR(IF(D2034="","",VLOOKUP(D2034,CadProd!$A:$B,2,0)),"")</f>
        <v/>
      </c>
      <c r="F2034" t="str">
        <f>IFERROR(IF(D2034="","",VLOOKUP(D2034,CadProd!$A:$C,3,0)),"")</f>
        <v/>
      </c>
    </row>
    <row r="2035" spans="5:6" x14ac:dyDescent="0.3">
      <c r="E2035" t="str">
        <f>IFERROR(IF(D2035="","",VLOOKUP(D2035,CadProd!$A:$B,2,0)),"")</f>
        <v/>
      </c>
      <c r="F2035" t="str">
        <f>IFERROR(IF(D2035="","",VLOOKUP(D2035,CadProd!$A:$C,3,0)),"")</f>
        <v/>
      </c>
    </row>
    <row r="2036" spans="5:6" x14ac:dyDescent="0.3">
      <c r="E2036" t="str">
        <f>IFERROR(IF(D2036="","",VLOOKUP(D2036,CadProd!$A:$B,2,0)),"")</f>
        <v/>
      </c>
      <c r="F2036" t="str">
        <f>IFERROR(IF(D2036="","",VLOOKUP(D2036,CadProd!$A:$C,3,0)),"")</f>
        <v/>
      </c>
    </row>
    <row r="2037" spans="5:6" x14ac:dyDescent="0.3">
      <c r="E2037" t="str">
        <f>IFERROR(IF(D2037="","",VLOOKUP(D2037,CadProd!$A:$B,2,0)),"")</f>
        <v/>
      </c>
      <c r="F2037" t="str">
        <f>IFERROR(IF(D2037="","",VLOOKUP(D2037,CadProd!$A:$C,3,0)),"")</f>
        <v/>
      </c>
    </row>
    <row r="2038" spans="5:6" x14ac:dyDescent="0.3">
      <c r="E2038" t="str">
        <f>IFERROR(IF(D2038="","",VLOOKUP(D2038,CadProd!$A:$B,2,0)),"")</f>
        <v/>
      </c>
      <c r="F2038" t="str">
        <f>IFERROR(IF(D2038="","",VLOOKUP(D2038,CadProd!$A:$C,3,0)),"")</f>
        <v/>
      </c>
    </row>
    <row r="2039" spans="5:6" x14ac:dyDescent="0.3">
      <c r="E2039" t="str">
        <f>IFERROR(IF(D2039="","",VLOOKUP(D2039,CadProd!$A:$B,2,0)),"")</f>
        <v/>
      </c>
      <c r="F2039" t="str">
        <f>IFERROR(IF(D2039="","",VLOOKUP(D2039,CadProd!$A:$C,3,0)),"")</f>
        <v/>
      </c>
    </row>
    <row r="2040" spans="5:6" x14ac:dyDescent="0.3">
      <c r="E2040" t="str">
        <f>IFERROR(IF(D2040="","",VLOOKUP(D2040,CadProd!$A:$B,2,0)),"")</f>
        <v/>
      </c>
      <c r="F2040" t="str">
        <f>IFERROR(IF(D2040="","",VLOOKUP(D2040,CadProd!$A:$C,3,0)),"")</f>
        <v/>
      </c>
    </row>
    <row r="2041" spans="5:6" x14ac:dyDescent="0.3">
      <c r="E2041" t="str">
        <f>IFERROR(IF(D2041="","",VLOOKUP(D2041,CadProd!$A:$B,2,0)),"")</f>
        <v/>
      </c>
      <c r="F2041" t="str">
        <f>IFERROR(IF(D2041="","",VLOOKUP(D2041,CadProd!$A:$C,3,0)),"")</f>
        <v/>
      </c>
    </row>
    <row r="2042" spans="5:6" x14ac:dyDescent="0.3">
      <c r="E2042" t="str">
        <f>IFERROR(IF(D2042="","",VLOOKUP(D2042,CadProd!$A:$B,2,0)),"")</f>
        <v/>
      </c>
      <c r="F2042" t="str">
        <f>IFERROR(IF(D2042="","",VLOOKUP(D2042,CadProd!$A:$C,3,0)),"")</f>
        <v/>
      </c>
    </row>
    <row r="2043" spans="5:6" x14ac:dyDescent="0.3">
      <c r="E2043" t="str">
        <f>IFERROR(IF(D2043="","",VLOOKUP(D2043,CadProd!$A:$B,2,0)),"")</f>
        <v/>
      </c>
      <c r="F2043" t="str">
        <f>IFERROR(IF(D2043="","",VLOOKUP(D2043,CadProd!$A:$C,3,0)),"")</f>
        <v/>
      </c>
    </row>
    <row r="2044" spans="5:6" x14ac:dyDescent="0.3">
      <c r="E2044" t="str">
        <f>IFERROR(IF(D2044="","",VLOOKUP(D2044,CadProd!$A:$B,2,0)),"")</f>
        <v/>
      </c>
      <c r="F2044" t="str">
        <f>IFERROR(IF(D2044="","",VLOOKUP(D2044,CadProd!$A:$C,3,0)),"")</f>
        <v/>
      </c>
    </row>
    <row r="2045" spans="5:6" x14ac:dyDescent="0.3">
      <c r="E2045" t="str">
        <f>IFERROR(IF(D2045="","",VLOOKUP(D2045,CadProd!$A:$B,2,0)),"")</f>
        <v/>
      </c>
      <c r="F2045" t="str">
        <f>IFERROR(IF(D2045="","",VLOOKUP(D2045,CadProd!$A:$C,3,0)),"")</f>
        <v/>
      </c>
    </row>
    <row r="2046" spans="5:6" x14ac:dyDescent="0.3">
      <c r="E2046" t="str">
        <f>IFERROR(IF(D2046="","",VLOOKUP(D2046,CadProd!$A:$B,2,0)),"")</f>
        <v/>
      </c>
      <c r="F2046" t="str">
        <f>IFERROR(IF(D2046="","",VLOOKUP(D2046,CadProd!$A:$C,3,0)),"")</f>
        <v/>
      </c>
    </row>
    <row r="2047" spans="5:6" x14ac:dyDescent="0.3">
      <c r="E2047" t="str">
        <f>IFERROR(IF(D2047="","",VLOOKUP(D2047,CadProd!$A:$B,2,0)),"")</f>
        <v/>
      </c>
      <c r="F2047" t="str">
        <f>IFERROR(IF(D2047="","",VLOOKUP(D2047,CadProd!$A:$C,3,0)),"")</f>
        <v/>
      </c>
    </row>
    <row r="2048" spans="5:6" x14ac:dyDescent="0.3">
      <c r="E2048" t="str">
        <f>IFERROR(IF(D2048="","",VLOOKUP(D2048,CadProd!$A:$B,2,0)),"")</f>
        <v/>
      </c>
      <c r="F2048" t="str">
        <f>IFERROR(IF(D2048="","",VLOOKUP(D2048,CadProd!$A:$C,3,0)),"")</f>
        <v/>
      </c>
    </row>
    <row r="2049" spans="5:6" x14ac:dyDescent="0.3">
      <c r="E2049" t="str">
        <f>IFERROR(IF(D2049="","",VLOOKUP(D2049,CadProd!$A:$B,2,0)),"")</f>
        <v/>
      </c>
      <c r="F2049" t="str">
        <f>IFERROR(IF(D2049="","",VLOOKUP(D2049,CadProd!$A:$C,3,0)),"")</f>
        <v/>
      </c>
    </row>
    <row r="2050" spans="5:6" x14ac:dyDescent="0.3">
      <c r="E2050" t="str">
        <f>IFERROR(IF(D2050="","",VLOOKUP(D2050,CadProd!$A:$B,2,0)),"")</f>
        <v/>
      </c>
      <c r="F2050" t="str">
        <f>IFERROR(IF(D2050="","",VLOOKUP(D2050,CadProd!$A:$C,3,0)),"")</f>
        <v/>
      </c>
    </row>
    <row r="2051" spans="5:6" x14ac:dyDescent="0.3">
      <c r="E2051" t="str">
        <f>IFERROR(IF(D2051="","",VLOOKUP(D2051,CadProd!$A:$B,2,0)),"")</f>
        <v/>
      </c>
      <c r="F2051" t="str">
        <f>IFERROR(IF(D2051="","",VLOOKUP(D2051,CadProd!$A:$C,3,0)),"")</f>
        <v/>
      </c>
    </row>
    <row r="2052" spans="5:6" x14ac:dyDescent="0.3">
      <c r="E2052" t="str">
        <f>IFERROR(IF(D2052="","",VLOOKUP(D2052,CadProd!$A:$B,2,0)),"")</f>
        <v/>
      </c>
      <c r="F2052" t="str">
        <f>IFERROR(IF(D2052="","",VLOOKUP(D2052,CadProd!$A:$C,3,0)),"")</f>
        <v/>
      </c>
    </row>
    <row r="2053" spans="5:6" x14ac:dyDescent="0.3">
      <c r="E2053" t="str">
        <f>IFERROR(IF(D2053="","",VLOOKUP(D2053,CadProd!$A:$B,2,0)),"")</f>
        <v/>
      </c>
      <c r="F2053" t="str">
        <f>IFERROR(IF(D2053="","",VLOOKUP(D2053,CadProd!$A:$C,3,0)),"")</f>
        <v/>
      </c>
    </row>
    <row r="2054" spans="5:6" x14ac:dyDescent="0.3">
      <c r="E2054" t="str">
        <f>IFERROR(IF(D2054="","",VLOOKUP(D2054,CadProd!$A:$B,2,0)),"")</f>
        <v/>
      </c>
      <c r="F2054" t="str">
        <f>IFERROR(IF(D2054="","",VLOOKUP(D2054,CadProd!$A:$C,3,0)),"")</f>
        <v/>
      </c>
    </row>
    <row r="2055" spans="5:6" x14ac:dyDescent="0.3">
      <c r="E2055" t="str">
        <f>IFERROR(IF(D2055="","",VLOOKUP(D2055,CadProd!$A:$B,2,0)),"")</f>
        <v/>
      </c>
      <c r="F2055" t="str">
        <f>IFERROR(IF(D2055="","",VLOOKUP(D2055,CadProd!$A:$C,3,0)),"")</f>
        <v/>
      </c>
    </row>
    <row r="2056" spans="5:6" x14ac:dyDescent="0.3">
      <c r="E2056" t="str">
        <f>IFERROR(IF(D2056="","",VLOOKUP(D2056,CadProd!$A:$B,2,0)),"")</f>
        <v/>
      </c>
      <c r="F2056" t="str">
        <f>IFERROR(IF(D2056="","",VLOOKUP(D2056,CadProd!$A:$C,3,0)),"")</f>
        <v/>
      </c>
    </row>
    <row r="2057" spans="5:6" x14ac:dyDescent="0.3">
      <c r="E2057" t="str">
        <f>IFERROR(IF(D2057="","",VLOOKUP(D2057,CadProd!$A:$B,2,0)),"")</f>
        <v/>
      </c>
      <c r="F2057" t="str">
        <f>IFERROR(IF(D2057="","",VLOOKUP(D2057,CadProd!$A:$C,3,0)),"")</f>
        <v/>
      </c>
    </row>
    <row r="2058" spans="5:6" x14ac:dyDescent="0.3">
      <c r="E2058" t="str">
        <f>IFERROR(IF(D2058="","",VLOOKUP(D2058,CadProd!$A:$B,2,0)),"")</f>
        <v/>
      </c>
      <c r="F2058" t="str">
        <f>IFERROR(IF(D2058="","",VLOOKUP(D2058,CadProd!$A:$C,3,0)),"")</f>
        <v/>
      </c>
    </row>
    <row r="2059" spans="5:6" x14ac:dyDescent="0.3">
      <c r="E2059" t="str">
        <f>IFERROR(IF(D2059="","",VLOOKUP(D2059,CadProd!$A:$B,2,0)),"")</f>
        <v/>
      </c>
      <c r="F2059" t="str">
        <f>IFERROR(IF(D2059="","",VLOOKUP(D2059,CadProd!$A:$C,3,0)),"")</f>
        <v/>
      </c>
    </row>
    <row r="2060" spans="5:6" x14ac:dyDescent="0.3">
      <c r="E2060" t="str">
        <f>IFERROR(IF(D2060="","",VLOOKUP(D2060,CadProd!$A:$B,2,0)),"")</f>
        <v/>
      </c>
      <c r="F2060" t="str">
        <f>IFERROR(IF(D2060="","",VLOOKUP(D2060,CadProd!$A:$C,3,0)),"")</f>
        <v/>
      </c>
    </row>
    <row r="2061" spans="5:6" x14ac:dyDescent="0.3">
      <c r="E2061" t="str">
        <f>IFERROR(IF(D2061="","",VLOOKUP(D2061,CadProd!$A:$B,2,0)),"")</f>
        <v/>
      </c>
      <c r="F2061" t="str">
        <f>IFERROR(IF(D2061="","",VLOOKUP(D2061,CadProd!$A:$C,3,0)),"")</f>
        <v/>
      </c>
    </row>
    <row r="2062" spans="5:6" x14ac:dyDescent="0.3">
      <c r="E2062" t="str">
        <f>IFERROR(IF(D2062="","",VLOOKUP(D2062,CadProd!$A:$B,2,0)),"")</f>
        <v/>
      </c>
      <c r="F2062" t="str">
        <f>IFERROR(IF(D2062="","",VLOOKUP(D2062,CadProd!$A:$C,3,0)),"")</f>
        <v/>
      </c>
    </row>
    <row r="2063" spans="5:6" x14ac:dyDescent="0.3">
      <c r="E2063" t="str">
        <f>IFERROR(IF(D2063="","",VLOOKUP(D2063,CadProd!$A:$B,2,0)),"")</f>
        <v/>
      </c>
      <c r="F2063" t="str">
        <f>IFERROR(IF(D2063="","",VLOOKUP(D2063,CadProd!$A:$C,3,0)),"")</f>
        <v/>
      </c>
    </row>
    <row r="2064" spans="5:6" x14ac:dyDescent="0.3">
      <c r="E2064" t="str">
        <f>IFERROR(IF(D2064="","",VLOOKUP(D2064,CadProd!$A:$B,2,0)),"")</f>
        <v/>
      </c>
      <c r="F2064" t="str">
        <f>IFERROR(IF(D2064="","",VLOOKUP(D2064,CadProd!$A:$C,3,0)),"")</f>
        <v/>
      </c>
    </row>
    <row r="2065" spans="5:6" x14ac:dyDescent="0.3">
      <c r="E2065" t="str">
        <f>IFERROR(IF(D2065="","",VLOOKUP(D2065,CadProd!$A:$B,2,0)),"")</f>
        <v/>
      </c>
      <c r="F2065" t="str">
        <f>IFERROR(IF(D2065="","",VLOOKUP(D2065,CadProd!$A:$C,3,0)),"")</f>
        <v/>
      </c>
    </row>
    <row r="2066" spans="5:6" x14ac:dyDescent="0.3">
      <c r="E2066" t="str">
        <f>IFERROR(IF(D2066="","",VLOOKUP(D2066,CadProd!$A:$B,2,0)),"")</f>
        <v/>
      </c>
      <c r="F2066" t="str">
        <f>IFERROR(IF(D2066="","",VLOOKUP(D2066,CadProd!$A:$C,3,0)),"")</f>
        <v/>
      </c>
    </row>
    <row r="2067" spans="5:6" x14ac:dyDescent="0.3">
      <c r="E2067" t="str">
        <f>IFERROR(IF(D2067="","",VLOOKUP(D2067,CadProd!$A:$B,2,0)),"")</f>
        <v/>
      </c>
      <c r="F2067" t="str">
        <f>IFERROR(IF(D2067="","",VLOOKUP(D2067,CadProd!$A:$C,3,0)),"")</f>
        <v/>
      </c>
    </row>
    <row r="2068" spans="5:6" x14ac:dyDescent="0.3">
      <c r="E2068" t="str">
        <f>IFERROR(IF(D2068="","",VLOOKUP(D2068,CadProd!$A:$B,2,0)),"")</f>
        <v/>
      </c>
      <c r="F2068" t="str">
        <f>IFERROR(IF(D2068="","",VLOOKUP(D2068,CadProd!$A:$C,3,0)),"")</f>
        <v/>
      </c>
    </row>
    <row r="2069" spans="5:6" x14ac:dyDescent="0.3">
      <c r="E2069" t="str">
        <f>IFERROR(IF(D2069="","",VLOOKUP(D2069,CadProd!$A:$B,2,0)),"")</f>
        <v/>
      </c>
      <c r="F2069" t="str">
        <f>IFERROR(IF(D2069="","",VLOOKUP(D2069,CadProd!$A:$C,3,0)),"")</f>
        <v/>
      </c>
    </row>
    <row r="2070" spans="5:6" x14ac:dyDescent="0.3">
      <c r="E2070" t="str">
        <f>IFERROR(IF(D2070="","",VLOOKUP(D2070,CadProd!$A:$B,2,0)),"")</f>
        <v/>
      </c>
      <c r="F2070" t="str">
        <f>IFERROR(IF(D2070="","",VLOOKUP(D2070,CadProd!$A:$C,3,0)),"")</f>
        <v/>
      </c>
    </row>
    <row r="2071" spans="5:6" x14ac:dyDescent="0.3">
      <c r="E2071" t="str">
        <f>IFERROR(IF(D2071="","",VLOOKUP(D2071,CadProd!$A:$B,2,0)),"")</f>
        <v/>
      </c>
      <c r="F2071" t="str">
        <f>IFERROR(IF(D2071="","",VLOOKUP(D2071,CadProd!$A:$C,3,0)),"")</f>
        <v/>
      </c>
    </row>
    <row r="2072" spans="5:6" x14ac:dyDescent="0.3">
      <c r="E2072" t="str">
        <f>IFERROR(IF(D2072="","",VLOOKUP(D2072,CadProd!$A:$B,2,0)),"")</f>
        <v/>
      </c>
      <c r="F2072" t="str">
        <f>IFERROR(IF(D2072="","",VLOOKUP(D2072,CadProd!$A:$C,3,0)),"")</f>
        <v/>
      </c>
    </row>
    <row r="2073" spans="5:6" x14ac:dyDescent="0.3">
      <c r="E2073" t="str">
        <f>IFERROR(IF(D2073="","",VLOOKUP(D2073,CadProd!$A:$B,2,0)),"")</f>
        <v/>
      </c>
      <c r="F2073" t="str">
        <f>IFERROR(IF(D2073="","",VLOOKUP(D2073,CadProd!$A:$C,3,0)),"")</f>
        <v/>
      </c>
    </row>
    <row r="2074" spans="5:6" x14ac:dyDescent="0.3">
      <c r="E2074" t="str">
        <f>IFERROR(IF(D2074="","",VLOOKUP(D2074,CadProd!$A:$B,2,0)),"")</f>
        <v/>
      </c>
      <c r="F2074" t="str">
        <f>IFERROR(IF(D2074="","",VLOOKUP(D2074,CadProd!$A:$C,3,0)),"")</f>
        <v/>
      </c>
    </row>
    <row r="2075" spans="5:6" x14ac:dyDescent="0.3">
      <c r="E2075" t="str">
        <f>IFERROR(IF(D2075="","",VLOOKUP(D2075,CadProd!$A:$B,2,0)),"")</f>
        <v/>
      </c>
      <c r="F2075" t="str">
        <f>IFERROR(IF(D2075="","",VLOOKUP(D2075,CadProd!$A:$C,3,0)),"")</f>
        <v/>
      </c>
    </row>
    <row r="2076" spans="5:6" x14ac:dyDescent="0.3">
      <c r="E2076" t="str">
        <f>IFERROR(IF(D2076="","",VLOOKUP(D2076,CadProd!$A:$B,2,0)),"")</f>
        <v/>
      </c>
      <c r="F2076" t="str">
        <f>IFERROR(IF(D2076="","",VLOOKUP(D2076,CadProd!$A:$C,3,0)),"")</f>
        <v/>
      </c>
    </row>
    <row r="2077" spans="5:6" x14ac:dyDescent="0.3">
      <c r="E2077" t="str">
        <f>IFERROR(IF(D2077="","",VLOOKUP(D2077,CadProd!$A:$B,2,0)),"")</f>
        <v/>
      </c>
      <c r="F2077" t="str">
        <f>IFERROR(IF(D2077="","",VLOOKUP(D2077,CadProd!$A:$C,3,0)),"")</f>
        <v/>
      </c>
    </row>
    <row r="2078" spans="5:6" x14ac:dyDescent="0.3">
      <c r="E2078" t="str">
        <f>IFERROR(IF(D2078="","",VLOOKUP(D2078,CadProd!$A:$B,2,0)),"")</f>
        <v/>
      </c>
      <c r="F2078" t="str">
        <f>IFERROR(IF(D2078="","",VLOOKUP(D2078,CadProd!$A:$C,3,0)),"")</f>
        <v/>
      </c>
    </row>
    <row r="2079" spans="5:6" x14ac:dyDescent="0.3">
      <c r="E2079" t="str">
        <f>IFERROR(IF(D2079="","",VLOOKUP(D2079,CadProd!$A:$B,2,0)),"")</f>
        <v/>
      </c>
      <c r="F2079" t="str">
        <f>IFERROR(IF(D2079="","",VLOOKUP(D2079,CadProd!$A:$C,3,0)),"")</f>
        <v/>
      </c>
    </row>
    <row r="2080" spans="5:6" x14ac:dyDescent="0.3">
      <c r="E2080" t="str">
        <f>IFERROR(IF(D2080="","",VLOOKUP(D2080,CadProd!$A:$B,2,0)),"")</f>
        <v/>
      </c>
      <c r="F2080" t="str">
        <f>IFERROR(IF(D2080="","",VLOOKUP(D2080,CadProd!$A:$C,3,0)),"")</f>
        <v/>
      </c>
    </row>
    <row r="2081" spans="5:6" x14ac:dyDescent="0.3">
      <c r="E2081" t="str">
        <f>IFERROR(IF(D2081="","",VLOOKUP(D2081,CadProd!$A:$B,2,0)),"")</f>
        <v/>
      </c>
      <c r="F2081" t="str">
        <f>IFERROR(IF(D2081="","",VLOOKUP(D2081,CadProd!$A:$C,3,0)),"")</f>
        <v/>
      </c>
    </row>
    <row r="2082" spans="5:6" x14ac:dyDescent="0.3">
      <c r="E2082" t="str">
        <f>IFERROR(IF(D2082="","",VLOOKUP(D2082,CadProd!$A:$B,2,0)),"")</f>
        <v/>
      </c>
      <c r="F2082" t="str">
        <f>IFERROR(IF(D2082="","",VLOOKUP(D2082,CadProd!$A:$C,3,0)),"")</f>
        <v/>
      </c>
    </row>
    <row r="2083" spans="5:6" x14ac:dyDescent="0.3">
      <c r="E2083" t="str">
        <f>IFERROR(IF(D2083="","",VLOOKUP(D2083,CadProd!$A:$B,2,0)),"")</f>
        <v/>
      </c>
      <c r="F2083" t="str">
        <f>IFERROR(IF(D2083="","",VLOOKUP(D2083,CadProd!$A:$C,3,0)),"")</f>
        <v/>
      </c>
    </row>
    <row r="2084" spans="5:6" x14ac:dyDescent="0.3">
      <c r="E2084" t="str">
        <f>IFERROR(IF(D2084="","",VLOOKUP(D2084,CadProd!$A:$B,2,0)),"")</f>
        <v/>
      </c>
      <c r="F2084" t="str">
        <f>IFERROR(IF(D2084="","",VLOOKUP(D2084,CadProd!$A:$C,3,0)),"")</f>
        <v/>
      </c>
    </row>
    <row r="2085" spans="5:6" x14ac:dyDescent="0.3">
      <c r="E2085" t="str">
        <f>IFERROR(IF(D2085="","",VLOOKUP(D2085,CadProd!$A:$B,2,0)),"")</f>
        <v/>
      </c>
      <c r="F2085" t="str">
        <f>IFERROR(IF(D2085="","",VLOOKUP(D2085,CadProd!$A:$C,3,0)),"")</f>
        <v/>
      </c>
    </row>
    <row r="2086" spans="5:6" x14ac:dyDescent="0.3">
      <c r="E2086" t="str">
        <f>IFERROR(IF(D2086="","",VLOOKUP(D2086,CadProd!$A:$B,2,0)),"")</f>
        <v/>
      </c>
      <c r="F2086" t="str">
        <f>IFERROR(IF(D2086="","",VLOOKUP(D2086,CadProd!$A:$C,3,0)),"")</f>
        <v/>
      </c>
    </row>
    <row r="2087" spans="5:6" x14ac:dyDescent="0.3">
      <c r="E2087" t="str">
        <f>IFERROR(IF(D2087="","",VLOOKUP(D2087,CadProd!$A:$B,2,0)),"")</f>
        <v/>
      </c>
      <c r="F2087" t="str">
        <f>IFERROR(IF(D2087="","",VLOOKUP(D2087,CadProd!$A:$C,3,0)),"")</f>
        <v/>
      </c>
    </row>
    <row r="2088" spans="5:6" x14ac:dyDescent="0.3">
      <c r="E2088" t="str">
        <f>IFERROR(IF(D2088="","",VLOOKUP(D2088,CadProd!$A:$B,2,0)),"")</f>
        <v/>
      </c>
      <c r="F2088" t="str">
        <f>IFERROR(IF(D2088="","",VLOOKUP(D2088,CadProd!$A:$C,3,0)),"")</f>
        <v/>
      </c>
    </row>
    <row r="2089" spans="5:6" x14ac:dyDescent="0.3">
      <c r="E2089" t="str">
        <f>IFERROR(IF(D2089="","",VLOOKUP(D2089,CadProd!$A:$B,2,0)),"")</f>
        <v/>
      </c>
      <c r="F2089" t="str">
        <f>IFERROR(IF(D2089="","",VLOOKUP(D2089,CadProd!$A:$C,3,0)),"")</f>
        <v/>
      </c>
    </row>
    <row r="2090" spans="5:6" x14ac:dyDescent="0.3">
      <c r="E2090" t="str">
        <f>IFERROR(IF(D2090="","",VLOOKUP(D2090,CadProd!$A:$B,2,0)),"")</f>
        <v/>
      </c>
      <c r="F2090" t="str">
        <f>IFERROR(IF(D2090="","",VLOOKUP(D2090,CadProd!$A:$C,3,0)),"")</f>
        <v/>
      </c>
    </row>
    <row r="2091" spans="5:6" x14ac:dyDescent="0.3">
      <c r="E2091" t="str">
        <f>IFERROR(IF(D2091="","",VLOOKUP(D2091,CadProd!$A:$B,2,0)),"")</f>
        <v/>
      </c>
      <c r="F2091" t="str">
        <f>IFERROR(IF(D2091="","",VLOOKUP(D2091,CadProd!$A:$C,3,0)),"")</f>
        <v/>
      </c>
    </row>
    <row r="2092" spans="5:6" x14ac:dyDescent="0.3">
      <c r="E2092" t="str">
        <f>IFERROR(IF(D2092="","",VLOOKUP(D2092,CadProd!$A:$B,2,0)),"")</f>
        <v/>
      </c>
      <c r="F2092" t="str">
        <f>IFERROR(IF(D2092="","",VLOOKUP(D2092,CadProd!$A:$C,3,0)),"")</f>
        <v/>
      </c>
    </row>
    <row r="2093" spans="5:6" x14ac:dyDescent="0.3">
      <c r="E2093" t="str">
        <f>IFERROR(IF(D2093="","",VLOOKUP(D2093,CadProd!$A:$B,2,0)),"")</f>
        <v/>
      </c>
      <c r="F2093" t="str">
        <f>IFERROR(IF(D2093="","",VLOOKUP(D2093,CadProd!$A:$C,3,0)),"")</f>
        <v/>
      </c>
    </row>
    <row r="2094" spans="5:6" x14ac:dyDescent="0.3">
      <c r="E2094" t="str">
        <f>IFERROR(IF(D2094="","",VLOOKUP(D2094,CadProd!$A:$B,2,0)),"")</f>
        <v/>
      </c>
      <c r="F2094" t="str">
        <f>IFERROR(IF(D2094="","",VLOOKUP(D2094,CadProd!$A:$C,3,0)),"")</f>
        <v/>
      </c>
    </row>
    <row r="2095" spans="5:6" x14ac:dyDescent="0.3">
      <c r="E2095" t="str">
        <f>IFERROR(IF(D2095="","",VLOOKUP(D2095,CadProd!$A:$B,2,0)),"")</f>
        <v/>
      </c>
      <c r="F2095" t="str">
        <f>IFERROR(IF(D2095="","",VLOOKUP(D2095,CadProd!$A:$C,3,0)),"")</f>
        <v/>
      </c>
    </row>
    <row r="2096" spans="5:6" x14ac:dyDescent="0.3">
      <c r="E2096" t="str">
        <f>IFERROR(IF(D2096="","",VLOOKUP(D2096,CadProd!$A:$B,2,0)),"")</f>
        <v/>
      </c>
      <c r="F2096" t="str">
        <f>IFERROR(IF(D2096="","",VLOOKUP(D2096,CadProd!$A:$C,3,0)),"")</f>
        <v/>
      </c>
    </row>
    <row r="2097" spans="5:6" x14ac:dyDescent="0.3">
      <c r="E2097" t="str">
        <f>IFERROR(IF(D2097="","",VLOOKUP(D2097,CadProd!$A:$B,2,0)),"")</f>
        <v/>
      </c>
      <c r="F2097" t="str">
        <f>IFERROR(IF(D2097="","",VLOOKUP(D2097,CadProd!$A:$C,3,0)),"")</f>
        <v/>
      </c>
    </row>
    <row r="2098" spans="5:6" x14ac:dyDescent="0.3">
      <c r="E2098" t="str">
        <f>IFERROR(IF(D2098="","",VLOOKUP(D2098,CadProd!$A:$B,2,0)),"")</f>
        <v/>
      </c>
      <c r="F2098" t="str">
        <f>IFERROR(IF(D2098="","",VLOOKUP(D2098,CadProd!$A:$C,3,0)),"")</f>
        <v/>
      </c>
    </row>
    <row r="2099" spans="5:6" x14ac:dyDescent="0.3">
      <c r="E2099" t="str">
        <f>IFERROR(IF(D2099="","",VLOOKUP(D2099,CadProd!$A:$B,2,0)),"")</f>
        <v/>
      </c>
      <c r="F2099" t="str">
        <f>IFERROR(IF(D2099="","",VLOOKUP(D2099,CadProd!$A:$C,3,0)),"")</f>
        <v/>
      </c>
    </row>
    <row r="2100" spans="5:6" x14ac:dyDescent="0.3">
      <c r="E2100" t="str">
        <f>IFERROR(IF(D2100="","",VLOOKUP(D2100,CadProd!$A:$B,2,0)),"")</f>
        <v/>
      </c>
      <c r="F2100" t="str">
        <f>IFERROR(IF(D2100="","",VLOOKUP(D2100,CadProd!$A:$C,3,0)),"")</f>
        <v/>
      </c>
    </row>
    <row r="2101" spans="5:6" x14ac:dyDescent="0.3">
      <c r="E2101" t="str">
        <f>IFERROR(IF(D2101="","",VLOOKUP(D2101,CadProd!$A:$B,2,0)),"")</f>
        <v/>
      </c>
      <c r="F2101" t="str">
        <f>IFERROR(IF(D2101="","",VLOOKUP(D2101,CadProd!$A:$C,3,0)),"")</f>
        <v/>
      </c>
    </row>
    <row r="2102" spans="5:6" x14ac:dyDescent="0.3">
      <c r="E2102" t="str">
        <f>IFERROR(IF(D2102="","",VLOOKUP(D2102,CadProd!$A:$B,2,0)),"")</f>
        <v/>
      </c>
      <c r="F2102" t="str">
        <f>IFERROR(IF(D2102="","",VLOOKUP(D2102,CadProd!$A:$C,3,0)),"")</f>
        <v/>
      </c>
    </row>
    <row r="2103" spans="5:6" x14ac:dyDescent="0.3">
      <c r="E2103" t="str">
        <f>IFERROR(IF(D2103="","",VLOOKUP(D2103,CadProd!$A:$B,2,0)),"")</f>
        <v/>
      </c>
      <c r="F2103" t="str">
        <f>IFERROR(IF(D2103="","",VLOOKUP(D2103,CadProd!$A:$C,3,0)),"")</f>
        <v/>
      </c>
    </row>
    <row r="2104" spans="5:6" x14ac:dyDescent="0.3">
      <c r="E2104" t="str">
        <f>IFERROR(IF(D2104="","",VLOOKUP(D2104,CadProd!$A:$B,2,0)),"")</f>
        <v/>
      </c>
      <c r="F2104" t="str">
        <f>IFERROR(IF(D2104="","",VLOOKUP(D2104,CadProd!$A:$C,3,0)),"")</f>
        <v/>
      </c>
    </row>
    <row r="2105" spans="5:6" x14ac:dyDescent="0.3">
      <c r="E2105" t="str">
        <f>IFERROR(IF(D2105="","",VLOOKUP(D2105,CadProd!$A:$B,2,0)),"")</f>
        <v/>
      </c>
      <c r="F2105" t="str">
        <f>IFERROR(IF(D2105="","",VLOOKUP(D2105,CadProd!$A:$C,3,0)),"")</f>
        <v/>
      </c>
    </row>
    <row r="2106" spans="5:6" x14ac:dyDescent="0.3">
      <c r="E2106" t="str">
        <f>IFERROR(IF(D2106="","",VLOOKUP(D2106,CadProd!$A:$B,2,0)),"")</f>
        <v/>
      </c>
      <c r="F2106" t="str">
        <f>IFERROR(IF(D2106="","",VLOOKUP(D2106,CadProd!$A:$C,3,0)),"")</f>
        <v/>
      </c>
    </row>
    <row r="2107" spans="5:6" x14ac:dyDescent="0.3">
      <c r="E2107" t="str">
        <f>IFERROR(IF(D2107="","",VLOOKUP(D2107,CadProd!$A:$B,2,0)),"")</f>
        <v/>
      </c>
      <c r="F2107" t="str">
        <f>IFERROR(IF(D2107="","",VLOOKUP(D2107,CadProd!$A:$C,3,0)),"")</f>
        <v/>
      </c>
    </row>
    <row r="2108" spans="5:6" x14ac:dyDescent="0.3">
      <c r="E2108" t="str">
        <f>IFERROR(IF(D2108="","",VLOOKUP(D2108,CadProd!$A:$B,2,0)),"")</f>
        <v/>
      </c>
      <c r="F2108" t="str">
        <f>IFERROR(IF(D2108="","",VLOOKUP(D2108,CadProd!$A:$C,3,0)),"")</f>
        <v/>
      </c>
    </row>
    <row r="2109" spans="5:6" x14ac:dyDescent="0.3">
      <c r="E2109" t="str">
        <f>IFERROR(IF(D2109="","",VLOOKUP(D2109,CadProd!$A:$B,2,0)),"")</f>
        <v/>
      </c>
      <c r="F2109" t="str">
        <f>IFERROR(IF(D2109="","",VLOOKUP(D2109,CadProd!$A:$C,3,0)),"")</f>
        <v/>
      </c>
    </row>
    <row r="2110" spans="5:6" x14ac:dyDescent="0.3">
      <c r="E2110" t="str">
        <f>IFERROR(IF(D2110="","",VLOOKUP(D2110,CadProd!$A:$B,2,0)),"")</f>
        <v/>
      </c>
      <c r="F2110" t="str">
        <f>IFERROR(IF(D2110="","",VLOOKUP(D2110,CadProd!$A:$C,3,0)),"")</f>
        <v/>
      </c>
    </row>
    <row r="2111" spans="5:6" x14ac:dyDescent="0.3">
      <c r="E2111" t="str">
        <f>IFERROR(IF(D2111="","",VLOOKUP(D2111,CadProd!$A:$B,2,0)),"")</f>
        <v/>
      </c>
      <c r="F2111" t="str">
        <f>IFERROR(IF(D2111="","",VLOOKUP(D2111,CadProd!$A:$C,3,0)),"")</f>
        <v/>
      </c>
    </row>
    <row r="2112" spans="5:6" x14ac:dyDescent="0.3">
      <c r="E2112" t="str">
        <f>IFERROR(IF(D2112="","",VLOOKUP(D2112,CadProd!$A:$B,2,0)),"")</f>
        <v/>
      </c>
      <c r="F2112" t="str">
        <f>IFERROR(IF(D2112="","",VLOOKUP(D2112,CadProd!$A:$C,3,0)),"")</f>
        <v/>
      </c>
    </row>
    <row r="2113" spans="5:6" x14ac:dyDescent="0.3">
      <c r="E2113" t="str">
        <f>IFERROR(IF(D2113="","",VLOOKUP(D2113,CadProd!$A:$B,2,0)),"")</f>
        <v/>
      </c>
      <c r="F2113" t="str">
        <f>IFERROR(IF(D2113="","",VLOOKUP(D2113,CadProd!$A:$C,3,0)),"")</f>
        <v/>
      </c>
    </row>
    <row r="2114" spans="5:6" x14ac:dyDescent="0.3">
      <c r="E2114" t="str">
        <f>IFERROR(IF(D2114="","",VLOOKUP(D2114,CadProd!$A:$B,2,0)),"")</f>
        <v/>
      </c>
      <c r="F2114" t="str">
        <f>IFERROR(IF(D2114="","",VLOOKUP(D2114,CadProd!$A:$C,3,0)),"")</f>
        <v/>
      </c>
    </row>
    <row r="2115" spans="5:6" x14ac:dyDescent="0.3">
      <c r="E2115" t="str">
        <f>IFERROR(IF(D2115="","",VLOOKUP(D2115,CadProd!$A:$B,2,0)),"")</f>
        <v/>
      </c>
      <c r="F2115" t="str">
        <f>IFERROR(IF(D2115="","",VLOOKUP(D2115,CadProd!$A:$C,3,0)),"")</f>
        <v/>
      </c>
    </row>
    <row r="2116" spans="5:6" x14ac:dyDescent="0.3">
      <c r="E2116" t="str">
        <f>IFERROR(IF(D2116="","",VLOOKUP(D2116,CadProd!$A:$B,2,0)),"")</f>
        <v/>
      </c>
      <c r="F2116" t="str">
        <f>IFERROR(IF(D2116="","",VLOOKUP(D2116,CadProd!$A:$C,3,0)),"")</f>
        <v/>
      </c>
    </row>
    <row r="2117" spans="5:6" x14ac:dyDescent="0.3">
      <c r="E2117" t="str">
        <f>IFERROR(IF(D2117="","",VLOOKUP(D2117,CadProd!$A:$B,2,0)),"")</f>
        <v/>
      </c>
      <c r="F2117" t="str">
        <f>IFERROR(IF(D2117="","",VLOOKUP(D2117,CadProd!$A:$C,3,0)),"")</f>
        <v/>
      </c>
    </row>
    <row r="2118" spans="5:6" x14ac:dyDescent="0.3">
      <c r="E2118" t="str">
        <f>IFERROR(IF(D2118="","",VLOOKUP(D2118,CadProd!$A:$B,2,0)),"")</f>
        <v/>
      </c>
      <c r="F2118" t="str">
        <f>IFERROR(IF(D2118="","",VLOOKUP(D2118,CadProd!$A:$C,3,0)),"")</f>
        <v/>
      </c>
    </row>
    <row r="2119" spans="5:6" x14ac:dyDescent="0.3">
      <c r="E2119" t="str">
        <f>IFERROR(IF(D2119="","",VLOOKUP(D2119,CadProd!$A:$B,2,0)),"")</f>
        <v/>
      </c>
      <c r="F2119" t="str">
        <f>IFERROR(IF(D2119="","",VLOOKUP(D2119,CadProd!$A:$C,3,0)),"")</f>
        <v/>
      </c>
    </row>
    <row r="2120" spans="5:6" x14ac:dyDescent="0.3">
      <c r="E2120" t="str">
        <f>IFERROR(IF(D2120="","",VLOOKUP(D2120,CadProd!$A:$B,2,0)),"")</f>
        <v/>
      </c>
      <c r="F2120" t="str">
        <f>IFERROR(IF(D2120="","",VLOOKUP(D2120,CadProd!$A:$C,3,0)),"")</f>
        <v/>
      </c>
    </row>
    <row r="2121" spans="5:6" x14ac:dyDescent="0.3">
      <c r="E2121" t="str">
        <f>IFERROR(IF(D2121="","",VLOOKUP(D2121,CadProd!$A:$B,2,0)),"")</f>
        <v/>
      </c>
      <c r="F2121" t="str">
        <f>IFERROR(IF(D2121="","",VLOOKUP(D2121,CadProd!$A:$C,3,0)),"")</f>
        <v/>
      </c>
    </row>
    <row r="2122" spans="5:6" x14ac:dyDescent="0.3">
      <c r="E2122" t="str">
        <f>IFERROR(IF(D2122="","",VLOOKUP(D2122,CadProd!$A:$B,2,0)),"")</f>
        <v/>
      </c>
      <c r="F2122" t="str">
        <f>IFERROR(IF(D2122="","",VLOOKUP(D2122,CadProd!$A:$C,3,0)),"")</f>
        <v/>
      </c>
    </row>
    <row r="2123" spans="5:6" x14ac:dyDescent="0.3">
      <c r="E2123" t="str">
        <f>IFERROR(IF(D2123="","",VLOOKUP(D2123,CadProd!$A:$B,2,0)),"")</f>
        <v/>
      </c>
      <c r="F2123" t="str">
        <f>IFERROR(IF(D2123="","",VLOOKUP(D2123,CadProd!$A:$C,3,0)),"")</f>
        <v/>
      </c>
    </row>
    <row r="2124" spans="5:6" x14ac:dyDescent="0.3">
      <c r="E2124" t="str">
        <f>IFERROR(IF(D2124="","",VLOOKUP(D2124,CadProd!$A:$B,2,0)),"")</f>
        <v/>
      </c>
      <c r="F2124" t="str">
        <f>IFERROR(IF(D2124="","",VLOOKUP(D2124,CadProd!$A:$C,3,0)),"")</f>
        <v/>
      </c>
    </row>
    <row r="2125" spans="5:6" x14ac:dyDescent="0.3">
      <c r="E2125" t="str">
        <f>IFERROR(IF(D2125="","",VLOOKUP(D2125,CadProd!$A:$B,2,0)),"")</f>
        <v/>
      </c>
      <c r="F2125" t="str">
        <f>IFERROR(IF(D2125="","",VLOOKUP(D2125,CadProd!$A:$C,3,0)),"")</f>
        <v/>
      </c>
    </row>
    <row r="2126" spans="5:6" x14ac:dyDescent="0.3">
      <c r="E2126" t="str">
        <f>IFERROR(IF(D2126="","",VLOOKUP(D2126,CadProd!$A:$B,2,0)),"")</f>
        <v/>
      </c>
      <c r="F2126" t="str">
        <f>IFERROR(IF(D2126="","",VLOOKUP(D2126,CadProd!$A:$C,3,0)),"")</f>
        <v/>
      </c>
    </row>
    <row r="2127" spans="5:6" x14ac:dyDescent="0.3">
      <c r="E2127" t="str">
        <f>IFERROR(IF(D2127="","",VLOOKUP(D2127,CadProd!$A:$B,2,0)),"")</f>
        <v/>
      </c>
      <c r="F2127" t="str">
        <f>IFERROR(IF(D2127="","",VLOOKUP(D2127,CadProd!$A:$C,3,0)),"")</f>
        <v/>
      </c>
    </row>
    <row r="2128" spans="5:6" x14ac:dyDescent="0.3">
      <c r="E2128" t="str">
        <f>IFERROR(IF(D2128="","",VLOOKUP(D2128,CadProd!$A:$B,2,0)),"")</f>
        <v/>
      </c>
      <c r="F2128" t="str">
        <f>IFERROR(IF(D2128="","",VLOOKUP(D2128,CadProd!$A:$C,3,0)),"")</f>
        <v/>
      </c>
    </row>
    <row r="2129" spans="5:6" x14ac:dyDescent="0.3">
      <c r="E2129" t="str">
        <f>IFERROR(IF(D2129="","",VLOOKUP(D2129,CadProd!$A:$B,2,0)),"")</f>
        <v/>
      </c>
      <c r="F2129" t="str">
        <f>IFERROR(IF(D2129="","",VLOOKUP(D2129,CadProd!$A:$C,3,0)),"")</f>
        <v/>
      </c>
    </row>
    <row r="2130" spans="5:6" x14ac:dyDescent="0.3">
      <c r="E2130" t="str">
        <f>IFERROR(IF(D2130="","",VLOOKUP(D2130,CadProd!$A:$B,2,0)),"")</f>
        <v/>
      </c>
      <c r="F2130" t="str">
        <f>IFERROR(IF(D2130="","",VLOOKUP(D2130,CadProd!$A:$C,3,0)),"")</f>
        <v/>
      </c>
    </row>
    <row r="2131" spans="5:6" x14ac:dyDescent="0.3">
      <c r="E2131" t="str">
        <f>IFERROR(IF(D2131="","",VLOOKUP(D2131,CadProd!$A:$B,2,0)),"")</f>
        <v/>
      </c>
      <c r="F2131" t="str">
        <f>IFERROR(IF(D2131="","",VLOOKUP(D2131,CadProd!$A:$C,3,0)),"")</f>
        <v/>
      </c>
    </row>
    <row r="2132" spans="5:6" x14ac:dyDescent="0.3">
      <c r="E2132" t="str">
        <f>IFERROR(IF(D2132="","",VLOOKUP(D2132,CadProd!$A:$B,2,0)),"")</f>
        <v/>
      </c>
      <c r="F2132" t="str">
        <f>IFERROR(IF(D2132="","",VLOOKUP(D2132,CadProd!$A:$C,3,0)),"")</f>
        <v/>
      </c>
    </row>
    <row r="2133" spans="5:6" x14ac:dyDescent="0.3">
      <c r="E2133" t="str">
        <f>IFERROR(IF(D2133="","",VLOOKUP(D2133,CadProd!$A:$B,2,0)),"")</f>
        <v/>
      </c>
      <c r="F2133" t="str">
        <f>IFERROR(IF(D2133="","",VLOOKUP(D2133,CadProd!$A:$C,3,0)),"")</f>
        <v/>
      </c>
    </row>
    <row r="2134" spans="5:6" x14ac:dyDescent="0.3">
      <c r="E2134" t="str">
        <f>IFERROR(IF(D2134="","",VLOOKUP(D2134,CadProd!$A:$B,2,0)),"")</f>
        <v/>
      </c>
      <c r="F2134" t="str">
        <f>IFERROR(IF(D2134="","",VLOOKUP(D2134,CadProd!$A:$C,3,0)),"")</f>
        <v/>
      </c>
    </row>
    <row r="2135" spans="5:6" x14ac:dyDescent="0.3">
      <c r="E2135" t="str">
        <f>IFERROR(IF(D2135="","",VLOOKUP(D2135,CadProd!$A:$B,2,0)),"")</f>
        <v/>
      </c>
      <c r="F2135" t="str">
        <f>IFERROR(IF(D2135="","",VLOOKUP(D2135,CadProd!$A:$C,3,0)),"")</f>
        <v/>
      </c>
    </row>
    <row r="2136" spans="5:6" x14ac:dyDescent="0.3">
      <c r="E2136" t="str">
        <f>IFERROR(IF(D2136="","",VLOOKUP(D2136,CadProd!$A:$B,2,0)),"")</f>
        <v/>
      </c>
      <c r="F2136" t="str">
        <f>IFERROR(IF(D2136="","",VLOOKUP(D2136,CadProd!$A:$C,3,0)),"")</f>
        <v/>
      </c>
    </row>
    <row r="2137" spans="5:6" x14ac:dyDescent="0.3">
      <c r="E2137" t="str">
        <f>IFERROR(IF(D2137="","",VLOOKUP(D2137,CadProd!$A:$B,2,0)),"")</f>
        <v/>
      </c>
      <c r="F2137" t="str">
        <f>IFERROR(IF(D2137="","",VLOOKUP(D2137,CadProd!$A:$C,3,0)),"")</f>
        <v/>
      </c>
    </row>
    <row r="2138" spans="5:6" x14ac:dyDescent="0.3">
      <c r="E2138" t="str">
        <f>IFERROR(IF(D2138="","",VLOOKUP(D2138,CadProd!$A:$B,2,0)),"")</f>
        <v/>
      </c>
      <c r="F2138" t="str">
        <f>IFERROR(IF(D2138="","",VLOOKUP(D2138,CadProd!$A:$C,3,0)),"")</f>
        <v/>
      </c>
    </row>
    <row r="2139" spans="5:6" x14ac:dyDescent="0.3">
      <c r="E2139" t="str">
        <f>IFERROR(IF(D2139="","",VLOOKUP(D2139,CadProd!$A:$B,2,0)),"")</f>
        <v/>
      </c>
      <c r="F2139" t="str">
        <f>IFERROR(IF(D2139="","",VLOOKUP(D2139,CadProd!$A:$C,3,0)),"")</f>
        <v/>
      </c>
    </row>
    <row r="2140" spans="5:6" x14ac:dyDescent="0.3">
      <c r="E2140" t="str">
        <f>IFERROR(IF(D2140="","",VLOOKUP(D2140,CadProd!$A:$B,2,0)),"")</f>
        <v/>
      </c>
      <c r="F2140" t="str">
        <f>IFERROR(IF(D2140="","",VLOOKUP(D2140,CadProd!$A:$C,3,0)),"")</f>
        <v/>
      </c>
    </row>
    <row r="2141" spans="5:6" x14ac:dyDescent="0.3">
      <c r="E2141" t="str">
        <f>IFERROR(IF(D2141="","",VLOOKUP(D2141,CadProd!$A:$B,2,0)),"")</f>
        <v/>
      </c>
      <c r="F2141" t="str">
        <f>IFERROR(IF(D2141="","",VLOOKUP(D2141,CadProd!$A:$C,3,0)),"")</f>
        <v/>
      </c>
    </row>
    <row r="2142" spans="5:6" x14ac:dyDescent="0.3">
      <c r="E2142" t="str">
        <f>IFERROR(IF(D2142="","",VLOOKUP(D2142,CadProd!$A:$B,2,0)),"")</f>
        <v/>
      </c>
      <c r="F2142" t="str">
        <f>IFERROR(IF(D2142="","",VLOOKUP(D2142,CadProd!$A:$C,3,0)),"")</f>
        <v/>
      </c>
    </row>
    <row r="2143" spans="5:6" x14ac:dyDescent="0.3">
      <c r="E2143" t="str">
        <f>IFERROR(IF(D2143="","",VLOOKUP(D2143,CadProd!$A:$B,2,0)),"")</f>
        <v/>
      </c>
      <c r="F2143" t="str">
        <f>IFERROR(IF(D2143="","",VLOOKUP(D2143,CadProd!$A:$C,3,0)),"")</f>
        <v/>
      </c>
    </row>
    <row r="2144" spans="5:6" x14ac:dyDescent="0.3">
      <c r="E2144" t="str">
        <f>IFERROR(IF(D2144="","",VLOOKUP(D2144,CadProd!$A:$B,2,0)),"")</f>
        <v/>
      </c>
      <c r="F2144" t="str">
        <f>IFERROR(IF(D2144="","",VLOOKUP(D2144,CadProd!$A:$C,3,0)),"")</f>
        <v/>
      </c>
    </row>
    <row r="2145" spans="5:6" x14ac:dyDescent="0.3">
      <c r="E2145" t="str">
        <f>IFERROR(IF(D2145="","",VLOOKUP(D2145,CadProd!$A:$B,2,0)),"")</f>
        <v/>
      </c>
      <c r="F2145" t="str">
        <f>IFERROR(IF(D2145="","",VLOOKUP(D2145,CadProd!$A:$C,3,0)),"")</f>
        <v/>
      </c>
    </row>
    <row r="2146" spans="5:6" x14ac:dyDescent="0.3">
      <c r="E2146" t="str">
        <f>IFERROR(IF(D2146="","",VLOOKUP(D2146,CadProd!$A:$B,2,0)),"")</f>
        <v/>
      </c>
      <c r="F2146" t="str">
        <f>IFERROR(IF(D2146="","",VLOOKUP(D2146,CadProd!$A:$C,3,0)),"")</f>
        <v/>
      </c>
    </row>
    <row r="2147" spans="5:6" x14ac:dyDescent="0.3">
      <c r="E2147" t="str">
        <f>IFERROR(IF(D2147="","",VLOOKUP(D2147,CadProd!$A:$B,2,0)),"")</f>
        <v/>
      </c>
      <c r="F2147" t="str">
        <f>IFERROR(IF(D2147="","",VLOOKUP(D2147,CadProd!$A:$C,3,0)),"")</f>
        <v/>
      </c>
    </row>
    <row r="2148" spans="5:6" x14ac:dyDescent="0.3">
      <c r="E2148" t="str">
        <f>IFERROR(IF(D2148="","",VLOOKUP(D2148,CadProd!$A:$B,2,0)),"")</f>
        <v/>
      </c>
      <c r="F2148" t="str">
        <f>IFERROR(IF(D2148="","",VLOOKUP(D2148,CadProd!$A:$C,3,0)),"")</f>
        <v/>
      </c>
    </row>
    <row r="2149" spans="5:6" x14ac:dyDescent="0.3">
      <c r="E2149" t="str">
        <f>IFERROR(IF(D2149="","",VLOOKUP(D2149,CadProd!$A:$B,2,0)),"")</f>
        <v/>
      </c>
      <c r="F2149" t="str">
        <f>IFERROR(IF(D2149="","",VLOOKUP(D2149,CadProd!$A:$C,3,0)),"")</f>
        <v/>
      </c>
    </row>
    <row r="2150" spans="5:6" x14ac:dyDescent="0.3">
      <c r="E2150" t="str">
        <f>IFERROR(IF(D2150="","",VLOOKUP(D2150,CadProd!$A:$B,2,0)),"")</f>
        <v/>
      </c>
      <c r="F2150" t="str">
        <f>IFERROR(IF(D2150="","",VLOOKUP(D2150,CadProd!$A:$C,3,0)),"")</f>
        <v/>
      </c>
    </row>
    <row r="2151" spans="5:6" x14ac:dyDescent="0.3">
      <c r="E2151" t="str">
        <f>IFERROR(IF(D2151="","",VLOOKUP(D2151,CadProd!$A:$B,2,0)),"")</f>
        <v/>
      </c>
      <c r="F2151" t="str">
        <f>IFERROR(IF(D2151="","",VLOOKUP(D2151,CadProd!$A:$C,3,0)),"")</f>
        <v/>
      </c>
    </row>
    <row r="2152" spans="5:6" x14ac:dyDescent="0.3">
      <c r="E2152" t="str">
        <f>IFERROR(IF(D2152="","",VLOOKUP(D2152,CadProd!$A:$B,2,0)),"")</f>
        <v/>
      </c>
      <c r="F2152" t="str">
        <f>IFERROR(IF(D2152="","",VLOOKUP(D2152,CadProd!$A:$C,3,0)),"")</f>
        <v/>
      </c>
    </row>
    <row r="2153" spans="5:6" x14ac:dyDescent="0.3">
      <c r="E2153" t="str">
        <f>IFERROR(IF(D2153="","",VLOOKUP(D2153,CadProd!$A:$B,2,0)),"")</f>
        <v/>
      </c>
      <c r="F2153" t="str">
        <f>IFERROR(IF(D2153="","",VLOOKUP(D2153,CadProd!$A:$C,3,0)),"")</f>
        <v/>
      </c>
    </row>
    <row r="2154" spans="5:6" x14ac:dyDescent="0.3">
      <c r="E2154" t="str">
        <f>IFERROR(IF(D2154="","",VLOOKUP(D2154,CadProd!$A:$B,2,0)),"")</f>
        <v/>
      </c>
      <c r="F2154" t="str">
        <f>IFERROR(IF(D2154="","",VLOOKUP(D2154,CadProd!$A:$C,3,0)),"")</f>
        <v/>
      </c>
    </row>
    <row r="2155" spans="5:6" x14ac:dyDescent="0.3">
      <c r="E2155" t="str">
        <f>IFERROR(IF(D2155="","",VLOOKUP(D2155,CadProd!$A:$B,2,0)),"")</f>
        <v/>
      </c>
      <c r="F2155" t="str">
        <f>IFERROR(IF(D2155="","",VLOOKUP(D2155,CadProd!$A:$C,3,0)),"")</f>
        <v/>
      </c>
    </row>
    <row r="2156" spans="5:6" x14ac:dyDescent="0.3">
      <c r="E2156" t="str">
        <f>IFERROR(IF(D2156="","",VLOOKUP(D2156,CadProd!$A:$B,2,0)),"")</f>
        <v/>
      </c>
      <c r="F2156" t="str">
        <f>IFERROR(IF(D2156="","",VLOOKUP(D2156,CadProd!$A:$C,3,0)),"")</f>
        <v/>
      </c>
    </row>
    <row r="2157" spans="5:6" x14ac:dyDescent="0.3">
      <c r="E2157" t="str">
        <f>IFERROR(IF(D2157="","",VLOOKUP(D2157,CadProd!$A:$B,2,0)),"")</f>
        <v/>
      </c>
      <c r="F2157" t="str">
        <f>IFERROR(IF(D2157="","",VLOOKUP(D2157,CadProd!$A:$C,3,0)),"")</f>
        <v/>
      </c>
    </row>
    <row r="2158" spans="5:6" x14ac:dyDescent="0.3">
      <c r="E2158" t="str">
        <f>IFERROR(IF(D2158="","",VLOOKUP(D2158,CadProd!$A:$B,2,0)),"")</f>
        <v/>
      </c>
      <c r="F2158" t="str">
        <f>IFERROR(IF(D2158="","",VLOOKUP(D2158,CadProd!$A:$C,3,0)),"")</f>
        <v/>
      </c>
    </row>
    <row r="2159" spans="5:6" x14ac:dyDescent="0.3">
      <c r="E2159" t="str">
        <f>IFERROR(IF(D2159="","",VLOOKUP(D2159,CadProd!$A:$B,2,0)),"")</f>
        <v/>
      </c>
      <c r="F2159" t="str">
        <f>IFERROR(IF(D2159="","",VLOOKUP(D2159,CadProd!$A:$C,3,0)),"")</f>
        <v/>
      </c>
    </row>
    <row r="2160" spans="5:6" x14ac:dyDescent="0.3">
      <c r="E2160" t="str">
        <f>IFERROR(IF(D2160="","",VLOOKUP(D2160,CadProd!$A:$B,2,0)),"")</f>
        <v/>
      </c>
      <c r="F2160" t="str">
        <f>IFERROR(IF(D2160="","",VLOOKUP(D2160,CadProd!$A:$C,3,0)),"")</f>
        <v/>
      </c>
    </row>
    <row r="2161" spans="5:6" x14ac:dyDescent="0.3">
      <c r="E2161" t="str">
        <f>IFERROR(IF(D2161="","",VLOOKUP(D2161,CadProd!$A:$B,2,0)),"")</f>
        <v/>
      </c>
      <c r="F2161" t="str">
        <f>IFERROR(IF(D2161="","",VLOOKUP(D2161,CadProd!$A:$C,3,0)),"")</f>
        <v/>
      </c>
    </row>
    <row r="2162" spans="5:6" x14ac:dyDescent="0.3">
      <c r="E2162" t="str">
        <f>IFERROR(IF(D2162="","",VLOOKUP(D2162,CadProd!$A:$B,2,0)),"")</f>
        <v/>
      </c>
      <c r="F2162" t="str">
        <f>IFERROR(IF(D2162="","",VLOOKUP(D2162,CadProd!$A:$C,3,0)),"")</f>
        <v/>
      </c>
    </row>
    <row r="2163" spans="5:6" x14ac:dyDescent="0.3">
      <c r="E2163" t="str">
        <f>IFERROR(IF(D2163="","",VLOOKUP(D2163,CadProd!$A:$B,2,0)),"")</f>
        <v/>
      </c>
      <c r="F2163" t="str">
        <f>IFERROR(IF(D2163="","",VLOOKUP(D2163,CadProd!$A:$C,3,0)),"")</f>
        <v/>
      </c>
    </row>
    <row r="2164" spans="5:6" x14ac:dyDescent="0.3">
      <c r="E2164" t="str">
        <f>IFERROR(IF(D2164="","",VLOOKUP(D2164,CadProd!$A:$B,2,0)),"")</f>
        <v/>
      </c>
      <c r="F2164" t="str">
        <f>IFERROR(IF(D2164="","",VLOOKUP(D2164,CadProd!$A:$C,3,0)),"")</f>
        <v/>
      </c>
    </row>
    <row r="2165" spans="5:6" x14ac:dyDescent="0.3">
      <c r="E2165" t="str">
        <f>IFERROR(IF(D2165="","",VLOOKUP(D2165,CadProd!$A:$B,2,0)),"")</f>
        <v/>
      </c>
      <c r="F2165" t="str">
        <f>IFERROR(IF(D2165="","",VLOOKUP(D2165,CadProd!$A:$C,3,0)),"")</f>
        <v/>
      </c>
    </row>
    <row r="2166" spans="5:6" x14ac:dyDescent="0.3">
      <c r="E2166" t="str">
        <f>IFERROR(IF(D2166="","",VLOOKUP(D2166,CadProd!$A:$B,2,0)),"")</f>
        <v/>
      </c>
      <c r="F2166" t="str">
        <f>IFERROR(IF(D2166="","",VLOOKUP(D2166,CadProd!$A:$C,3,0)),"")</f>
        <v/>
      </c>
    </row>
    <row r="2167" spans="5:6" x14ac:dyDescent="0.3">
      <c r="E2167" t="str">
        <f>IFERROR(IF(D2167="","",VLOOKUP(D2167,CadProd!$A:$B,2,0)),"")</f>
        <v/>
      </c>
      <c r="F2167" t="str">
        <f>IFERROR(IF(D2167="","",VLOOKUP(D2167,CadProd!$A:$C,3,0)),"")</f>
        <v/>
      </c>
    </row>
    <row r="2168" spans="5:6" x14ac:dyDescent="0.3">
      <c r="E2168" t="str">
        <f>IFERROR(IF(D2168="","",VLOOKUP(D2168,CadProd!$A:$B,2,0)),"")</f>
        <v/>
      </c>
      <c r="F2168" t="str">
        <f>IFERROR(IF(D2168="","",VLOOKUP(D2168,CadProd!$A:$C,3,0)),"")</f>
        <v/>
      </c>
    </row>
    <row r="2169" spans="5:6" x14ac:dyDescent="0.3">
      <c r="E2169" t="str">
        <f>IFERROR(IF(D2169="","",VLOOKUP(D2169,CadProd!$A:$B,2,0)),"")</f>
        <v/>
      </c>
      <c r="F2169" t="str">
        <f>IFERROR(IF(D2169="","",VLOOKUP(D2169,CadProd!$A:$C,3,0)),"")</f>
        <v/>
      </c>
    </row>
    <row r="2170" spans="5:6" x14ac:dyDescent="0.3">
      <c r="E2170" t="str">
        <f>IFERROR(IF(D2170="","",VLOOKUP(D2170,CadProd!$A:$B,2,0)),"")</f>
        <v/>
      </c>
      <c r="F2170" t="str">
        <f>IFERROR(IF(D2170="","",VLOOKUP(D2170,CadProd!$A:$C,3,0)),"")</f>
        <v/>
      </c>
    </row>
    <row r="2171" spans="5:6" x14ac:dyDescent="0.3">
      <c r="E2171" t="str">
        <f>IFERROR(IF(D2171="","",VLOOKUP(D2171,CadProd!$A:$B,2,0)),"")</f>
        <v/>
      </c>
      <c r="F2171" t="str">
        <f>IFERROR(IF(D2171="","",VLOOKUP(D2171,CadProd!$A:$C,3,0)),"")</f>
        <v/>
      </c>
    </row>
    <row r="2172" spans="5:6" x14ac:dyDescent="0.3">
      <c r="E2172" t="str">
        <f>IFERROR(IF(D2172="","",VLOOKUP(D2172,CadProd!$A:$B,2,0)),"")</f>
        <v/>
      </c>
      <c r="F2172" t="str">
        <f>IFERROR(IF(D2172="","",VLOOKUP(D2172,CadProd!$A:$C,3,0)),"")</f>
        <v/>
      </c>
    </row>
    <row r="2173" spans="5:6" x14ac:dyDescent="0.3">
      <c r="E2173" t="str">
        <f>IFERROR(IF(D2173="","",VLOOKUP(D2173,CadProd!$A:$B,2,0)),"")</f>
        <v/>
      </c>
      <c r="F2173" t="str">
        <f>IFERROR(IF(D2173="","",VLOOKUP(D2173,CadProd!$A:$C,3,0)),"")</f>
        <v/>
      </c>
    </row>
    <row r="2174" spans="5:6" x14ac:dyDescent="0.3">
      <c r="E2174" t="str">
        <f>IFERROR(IF(D2174="","",VLOOKUP(D2174,CadProd!$A:$B,2,0)),"")</f>
        <v/>
      </c>
      <c r="F2174" t="str">
        <f>IFERROR(IF(D2174="","",VLOOKUP(D2174,CadProd!$A:$C,3,0)),"")</f>
        <v/>
      </c>
    </row>
    <row r="2175" spans="5:6" x14ac:dyDescent="0.3">
      <c r="E2175" t="str">
        <f>IFERROR(IF(D2175="","",VLOOKUP(D2175,CadProd!$A:$B,2,0)),"")</f>
        <v/>
      </c>
      <c r="F2175" t="str">
        <f>IFERROR(IF(D2175="","",VLOOKUP(D2175,CadProd!$A:$C,3,0)),"")</f>
        <v/>
      </c>
    </row>
    <row r="2176" spans="5:6" x14ac:dyDescent="0.3">
      <c r="E2176" t="str">
        <f>IFERROR(IF(D2176="","",VLOOKUP(D2176,CadProd!$A:$B,2,0)),"")</f>
        <v/>
      </c>
      <c r="F2176" t="str">
        <f>IFERROR(IF(D2176="","",VLOOKUP(D2176,CadProd!$A:$C,3,0)),"")</f>
        <v/>
      </c>
    </row>
    <row r="2177" spans="5:6" x14ac:dyDescent="0.3">
      <c r="E2177" t="str">
        <f>IFERROR(IF(D2177="","",VLOOKUP(D2177,CadProd!$A:$B,2,0)),"")</f>
        <v/>
      </c>
      <c r="F2177" t="str">
        <f>IFERROR(IF(D2177="","",VLOOKUP(D2177,CadProd!$A:$C,3,0)),"")</f>
        <v/>
      </c>
    </row>
    <row r="2178" spans="5:6" x14ac:dyDescent="0.3">
      <c r="E2178" t="str">
        <f>IFERROR(IF(D2178="","",VLOOKUP(D2178,CadProd!$A:$B,2,0)),"")</f>
        <v/>
      </c>
      <c r="F2178" t="str">
        <f>IFERROR(IF(D2178="","",VLOOKUP(D2178,CadProd!$A:$C,3,0)),"")</f>
        <v/>
      </c>
    </row>
    <row r="2179" spans="5:6" x14ac:dyDescent="0.3">
      <c r="E2179" t="str">
        <f>IFERROR(IF(D2179="","",VLOOKUP(D2179,CadProd!$A:$B,2,0)),"")</f>
        <v/>
      </c>
      <c r="F2179" t="str">
        <f>IFERROR(IF(D2179="","",VLOOKUP(D2179,CadProd!$A:$C,3,0)),"")</f>
        <v/>
      </c>
    </row>
    <row r="2180" spans="5:6" x14ac:dyDescent="0.3">
      <c r="E2180" t="str">
        <f>IFERROR(IF(D2180="","",VLOOKUP(D2180,CadProd!$A:$B,2,0)),"")</f>
        <v/>
      </c>
      <c r="F2180" t="str">
        <f>IFERROR(IF(D2180="","",VLOOKUP(D2180,CadProd!$A:$C,3,0)),"")</f>
        <v/>
      </c>
    </row>
    <row r="2181" spans="5:6" x14ac:dyDescent="0.3">
      <c r="E2181" t="str">
        <f>IFERROR(IF(D2181="","",VLOOKUP(D2181,CadProd!$A:$B,2,0)),"")</f>
        <v/>
      </c>
      <c r="F2181" t="str">
        <f>IFERROR(IF(D2181="","",VLOOKUP(D2181,CadProd!$A:$C,3,0)),"")</f>
        <v/>
      </c>
    </row>
    <row r="2182" spans="5:6" x14ac:dyDescent="0.3">
      <c r="E2182" t="str">
        <f>IFERROR(IF(D2182="","",VLOOKUP(D2182,CadProd!$A:$B,2,0)),"")</f>
        <v/>
      </c>
      <c r="F2182" t="str">
        <f>IFERROR(IF(D2182="","",VLOOKUP(D2182,CadProd!$A:$C,3,0)),"")</f>
        <v/>
      </c>
    </row>
    <row r="2183" spans="5:6" x14ac:dyDescent="0.3">
      <c r="E2183" t="str">
        <f>IFERROR(IF(D2183="","",VLOOKUP(D2183,CadProd!$A:$B,2,0)),"")</f>
        <v/>
      </c>
      <c r="F2183" t="str">
        <f>IFERROR(IF(D2183="","",VLOOKUP(D2183,CadProd!$A:$C,3,0)),"")</f>
        <v/>
      </c>
    </row>
    <row r="2184" spans="5:6" x14ac:dyDescent="0.3">
      <c r="E2184" t="str">
        <f>IFERROR(IF(D2184="","",VLOOKUP(D2184,CadProd!$A:$B,2,0)),"")</f>
        <v/>
      </c>
      <c r="F2184" t="str">
        <f>IFERROR(IF(D2184="","",VLOOKUP(D2184,CadProd!$A:$C,3,0)),"")</f>
        <v/>
      </c>
    </row>
    <row r="2185" spans="5:6" x14ac:dyDescent="0.3">
      <c r="E2185" t="str">
        <f>IFERROR(IF(D2185="","",VLOOKUP(D2185,CadProd!$A:$B,2,0)),"")</f>
        <v/>
      </c>
      <c r="F2185" t="str">
        <f>IFERROR(IF(D2185="","",VLOOKUP(D2185,CadProd!$A:$C,3,0)),"")</f>
        <v/>
      </c>
    </row>
    <row r="2186" spans="5:6" x14ac:dyDescent="0.3">
      <c r="E2186" t="str">
        <f>IFERROR(IF(D2186="","",VLOOKUP(D2186,CadProd!$A:$B,2,0)),"")</f>
        <v/>
      </c>
      <c r="F2186" t="str">
        <f>IFERROR(IF(D2186="","",VLOOKUP(D2186,CadProd!$A:$C,3,0)),"")</f>
        <v/>
      </c>
    </row>
    <row r="2187" spans="5:6" x14ac:dyDescent="0.3">
      <c r="E2187" t="str">
        <f>IFERROR(IF(D2187="","",VLOOKUP(D2187,CadProd!$A:$B,2,0)),"")</f>
        <v/>
      </c>
      <c r="F2187" t="str">
        <f>IFERROR(IF(D2187="","",VLOOKUP(D2187,CadProd!$A:$C,3,0)),"")</f>
        <v/>
      </c>
    </row>
    <row r="2188" spans="5:6" x14ac:dyDescent="0.3">
      <c r="E2188" t="str">
        <f>IFERROR(IF(D2188="","",VLOOKUP(D2188,CadProd!$A:$B,2,0)),"")</f>
        <v/>
      </c>
      <c r="F2188" t="str">
        <f>IFERROR(IF(D2188="","",VLOOKUP(D2188,CadProd!$A:$C,3,0)),"")</f>
        <v/>
      </c>
    </row>
    <row r="2189" spans="5:6" x14ac:dyDescent="0.3">
      <c r="E2189" t="str">
        <f>IFERROR(IF(D2189="","",VLOOKUP(D2189,CadProd!$A:$B,2,0)),"")</f>
        <v/>
      </c>
      <c r="F2189" t="str">
        <f>IFERROR(IF(D2189="","",VLOOKUP(D2189,CadProd!$A:$C,3,0)),"")</f>
        <v/>
      </c>
    </row>
    <row r="2190" spans="5:6" x14ac:dyDescent="0.3">
      <c r="E2190" t="str">
        <f>IFERROR(IF(D2190="","",VLOOKUP(D2190,CadProd!$A:$B,2,0)),"")</f>
        <v/>
      </c>
      <c r="F2190" t="str">
        <f>IFERROR(IF(D2190="","",VLOOKUP(D2190,CadProd!$A:$C,3,0)),"")</f>
        <v/>
      </c>
    </row>
    <row r="2191" spans="5:6" x14ac:dyDescent="0.3">
      <c r="E2191" t="str">
        <f>IFERROR(IF(D2191="","",VLOOKUP(D2191,CadProd!$A:$B,2,0)),"")</f>
        <v/>
      </c>
      <c r="F2191" t="str">
        <f>IFERROR(IF(D2191="","",VLOOKUP(D2191,CadProd!$A:$C,3,0)),"")</f>
        <v/>
      </c>
    </row>
    <row r="2192" spans="5:6" x14ac:dyDescent="0.3">
      <c r="E2192" t="str">
        <f>IFERROR(IF(D2192="","",VLOOKUP(D2192,CadProd!$A:$B,2,0)),"")</f>
        <v/>
      </c>
      <c r="F2192" t="str">
        <f>IFERROR(IF(D2192="","",VLOOKUP(D2192,CadProd!$A:$C,3,0)),"")</f>
        <v/>
      </c>
    </row>
    <row r="2193" spans="5:6" x14ac:dyDescent="0.3">
      <c r="E2193" t="str">
        <f>IFERROR(IF(D2193="","",VLOOKUP(D2193,CadProd!$A:$B,2,0)),"")</f>
        <v/>
      </c>
      <c r="F2193" t="str">
        <f>IFERROR(IF(D2193="","",VLOOKUP(D2193,CadProd!$A:$C,3,0)),"")</f>
        <v/>
      </c>
    </row>
    <row r="2194" spans="5:6" x14ac:dyDescent="0.3">
      <c r="E2194" t="str">
        <f>IFERROR(IF(D2194="","",VLOOKUP(D2194,CadProd!$A:$B,2,0)),"")</f>
        <v/>
      </c>
      <c r="F2194" t="str">
        <f>IFERROR(IF(D2194="","",VLOOKUP(D2194,CadProd!$A:$C,3,0)),"")</f>
        <v/>
      </c>
    </row>
    <row r="2195" spans="5:6" x14ac:dyDescent="0.3">
      <c r="E2195" t="str">
        <f>IFERROR(IF(D2195="","",VLOOKUP(D2195,CadProd!$A:$B,2,0)),"")</f>
        <v/>
      </c>
      <c r="F2195" t="str">
        <f>IFERROR(IF(D2195="","",VLOOKUP(D2195,CadProd!$A:$C,3,0)),"")</f>
        <v/>
      </c>
    </row>
    <row r="2196" spans="5:6" x14ac:dyDescent="0.3">
      <c r="E2196" t="str">
        <f>IFERROR(IF(D2196="","",VLOOKUP(D2196,CadProd!$A:$B,2,0)),"")</f>
        <v/>
      </c>
      <c r="F2196" t="str">
        <f>IFERROR(IF(D2196="","",VLOOKUP(D2196,CadProd!$A:$C,3,0)),"")</f>
        <v/>
      </c>
    </row>
    <row r="2197" spans="5:6" x14ac:dyDescent="0.3">
      <c r="E2197" t="str">
        <f>IFERROR(IF(D2197="","",VLOOKUP(D2197,CadProd!$A:$B,2,0)),"")</f>
        <v/>
      </c>
      <c r="F2197" t="str">
        <f>IFERROR(IF(D2197="","",VLOOKUP(D2197,CadProd!$A:$C,3,0)),"")</f>
        <v/>
      </c>
    </row>
    <row r="2198" spans="5:6" x14ac:dyDescent="0.3">
      <c r="E2198" t="str">
        <f>IFERROR(IF(D2198="","",VLOOKUP(D2198,CadProd!$A:$B,2,0)),"")</f>
        <v/>
      </c>
      <c r="F2198" t="str">
        <f>IFERROR(IF(D2198="","",VLOOKUP(D2198,CadProd!$A:$C,3,0)),"")</f>
        <v/>
      </c>
    </row>
    <row r="2199" spans="5:6" x14ac:dyDescent="0.3">
      <c r="E2199" t="str">
        <f>IFERROR(IF(D2199="","",VLOOKUP(D2199,CadProd!$A:$B,2,0)),"")</f>
        <v/>
      </c>
      <c r="F2199" t="str">
        <f>IFERROR(IF(D2199="","",VLOOKUP(D2199,CadProd!$A:$C,3,0)),"")</f>
        <v/>
      </c>
    </row>
    <row r="2200" spans="5:6" x14ac:dyDescent="0.3">
      <c r="E2200" t="str">
        <f>IFERROR(IF(D2200="","",VLOOKUP(D2200,CadProd!$A:$B,2,0)),"")</f>
        <v/>
      </c>
      <c r="F2200" t="str">
        <f>IFERROR(IF(D2200="","",VLOOKUP(D2200,CadProd!$A:$C,3,0)),"")</f>
        <v/>
      </c>
    </row>
    <row r="2201" spans="5:6" x14ac:dyDescent="0.3">
      <c r="E2201" t="str">
        <f>IFERROR(IF(D2201="","",VLOOKUP(D2201,CadProd!$A:$B,2,0)),"")</f>
        <v/>
      </c>
      <c r="F2201" t="str">
        <f>IFERROR(IF(D2201="","",VLOOKUP(D2201,CadProd!$A:$C,3,0)),"")</f>
        <v/>
      </c>
    </row>
    <row r="2202" spans="5:6" x14ac:dyDescent="0.3">
      <c r="E2202" t="str">
        <f>IFERROR(IF(D2202="","",VLOOKUP(D2202,CadProd!$A:$B,2,0)),"")</f>
        <v/>
      </c>
      <c r="F2202" t="str">
        <f>IFERROR(IF(D2202="","",VLOOKUP(D2202,CadProd!$A:$C,3,0)),"")</f>
        <v/>
      </c>
    </row>
    <row r="2203" spans="5:6" x14ac:dyDescent="0.3">
      <c r="E2203" t="str">
        <f>IFERROR(IF(D2203="","",VLOOKUP(D2203,CadProd!$A:$B,2,0)),"")</f>
        <v/>
      </c>
      <c r="F2203" t="str">
        <f>IFERROR(IF(D2203="","",VLOOKUP(D2203,CadProd!$A:$C,3,0)),"")</f>
        <v/>
      </c>
    </row>
    <row r="2204" spans="5:6" x14ac:dyDescent="0.3">
      <c r="E2204" t="str">
        <f>IFERROR(IF(D2204="","",VLOOKUP(D2204,CadProd!$A:$B,2,0)),"")</f>
        <v/>
      </c>
      <c r="F2204" t="str">
        <f>IFERROR(IF(D2204="","",VLOOKUP(D2204,CadProd!$A:$C,3,0)),"")</f>
        <v/>
      </c>
    </row>
    <row r="2205" spans="5:6" x14ac:dyDescent="0.3">
      <c r="E2205" t="str">
        <f>IFERROR(IF(D2205="","",VLOOKUP(D2205,CadProd!$A:$B,2,0)),"")</f>
        <v/>
      </c>
      <c r="F2205" t="str">
        <f>IFERROR(IF(D2205="","",VLOOKUP(D2205,CadProd!$A:$C,3,0)),"")</f>
        <v/>
      </c>
    </row>
    <row r="2206" spans="5:6" x14ac:dyDescent="0.3">
      <c r="E2206" t="str">
        <f>IFERROR(IF(D2206="","",VLOOKUP(D2206,CadProd!$A:$B,2,0)),"")</f>
        <v/>
      </c>
      <c r="F2206" t="str">
        <f>IFERROR(IF(D2206="","",VLOOKUP(D2206,CadProd!$A:$C,3,0)),"")</f>
        <v/>
      </c>
    </row>
    <row r="2207" spans="5:6" x14ac:dyDescent="0.3">
      <c r="E2207" t="str">
        <f>IFERROR(IF(D2207="","",VLOOKUP(D2207,CadProd!$A:$B,2,0)),"")</f>
        <v/>
      </c>
      <c r="F2207" t="str">
        <f>IFERROR(IF(D2207="","",VLOOKUP(D2207,CadProd!$A:$C,3,0)),"")</f>
        <v/>
      </c>
    </row>
    <row r="2208" spans="5:6" x14ac:dyDescent="0.3">
      <c r="E2208" t="str">
        <f>IFERROR(IF(D2208="","",VLOOKUP(D2208,CadProd!$A:$B,2,0)),"")</f>
        <v/>
      </c>
      <c r="F2208" t="str">
        <f>IFERROR(IF(D2208="","",VLOOKUP(D2208,CadProd!$A:$C,3,0)),"")</f>
        <v/>
      </c>
    </row>
    <row r="2209" spans="5:6" x14ac:dyDescent="0.3">
      <c r="E2209" t="str">
        <f>IFERROR(IF(D2209="","",VLOOKUP(D2209,CadProd!$A:$B,2,0)),"")</f>
        <v/>
      </c>
      <c r="F2209" t="str">
        <f>IFERROR(IF(D2209="","",VLOOKUP(D2209,CadProd!$A:$C,3,0)),"")</f>
        <v/>
      </c>
    </row>
    <row r="2210" spans="5:6" x14ac:dyDescent="0.3">
      <c r="E2210" t="str">
        <f>IFERROR(IF(D2210="","",VLOOKUP(D2210,CadProd!$A:$B,2,0)),"")</f>
        <v/>
      </c>
      <c r="F2210" t="str">
        <f>IFERROR(IF(D2210="","",VLOOKUP(D2210,CadProd!$A:$C,3,0)),"")</f>
        <v/>
      </c>
    </row>
    <row r="2211" spans="5:6" x14ac:dyDescent="0.3">
      <c r="E2211" t="str">
        <f>IFERROR(IF(D2211="","",VLOOKUP(D2211,CadProd!$A:$B,2,0)),"")</f>
        <v/>
      </c>
      <c r="F2211" t="str">
        <f>IFERROR(IF(D2211="","",VLOOKUP(D2211,CadProd!$A:$C,3,0)),"")</f>
        <v/>
      </c>
    </row>
    <row r="2212" spans="5:6" x14ac:dyDescent="0.3">
      <c r="E2212" t="str">
        <f>IFERROR(IF(D2212="","",VLOOKUP(D2212,CadProd!$A:$B,2,0)),"")</f>
        <v/>
      </c>
      <c r="F2212" t="str">
        <f>IFERROR(IF(D2212="","",VLOOKUP(D2212,CadProd!$A:$C,3,0)),"")</f>
        <v/>
      </c>
    </row>
    <row r="2213" spans="5:6" x14ac:dyDescent="0.3">
      <c r="E2213" t="str">
        <f>IFERROR(IF(D2213="","",VLOOKUP(D2213,CadProd!$A:$B,2,0)),"")</f>
        <v/>
      </c>
      <c r="F2213" t="str">
        <f>IFERROR(IF(D2213="","",VLOOKUP(D2213,CadProd!$A:$C,3,0)),"")</f>
        <v/>
      </c>
    </row>
    <row r="2214" spans="5:6" x14ac:dyDescent="0.3">
      <c r="E2214" t="str">
        <f>IFERROR(IF(D2214="","",VLOOKUP(D2214,CadProd!$A:$B,2,0)),"")</f>
        <v/>
      </c>
      <c r="F2214" t="str">
        <f>IFERROR(IF(D2214="","",VLOOKUP(D2214,CadProd!$A:$C,3,0)),"")</f>
        <v/>
      </c>
    </row>
    <row r="2215" spans="5:6" x14ac:dyDescent="0.3">
      <c r="E2215" t="str">
        <f>IFERROR(IF(D2215="","",VLOOKUP(D2215,CadProd!$A:$B,2,0)),"")</f>
        <v/>
      </c>
      <c r="F2215" t="str">
        <f>IFERROR(IF(D2215="","",VLOOKUP(D2215,CadProd!$A:$C,3,0)),"")</f>
        <v/>
      </c>
    </row>
    <row r="2216" spans="5:6" x14ac:dyDescent="0.3">
      <c r="E2216" t="str">
        <f>IFERROR(IF(D2216="","",VLOOKUP(D2216,CadProd!$A:$B,2,0)),"")</f>
        <v/>
      </c>
      <c r="F2216" t="str">
        <f>IFERROR(IF(D2216="","",VLOOKUP(D2216,CadProd!$A:$C,3,0)),"")</f>
        <v/>
      </c>
    </row>
    <row r="2217" spans="5:6" x14ac:dyDescent="0.3">
      <c r="E2217" t="str">
        <f>IFERROR(IF(D2217="","",VLOOKUP(D2217,CadProd!$A:$B,2,0)),"")</f>
        <v/>
      </c>
      <c r="F2217" t="str">
        <f>IFERROR(IF(D2217="","",VLOOKUP(D2217,CadProd!$A:$C,3,0)),"")</f>
        <v/>
      </c>
    </row>
    <row r="2218" spans="5:6" x14ac:dyDescent="0.3">
      <c r="E2218" t="str">
        <f>IFERROR(IF(D2218="","",VLOOKUP(D2218,CadProd!$A:$B,2,0)),"")</f>
        <v/>
      </c>
      <c r="F2218" t="str">
        <f>IFERROR(IF(D2218="","",VLOOKUP(D2218,CadProd!$A:$C,3,0)),"")</f>
        <v/>
      </c>
    </row>
    <row r="2219" spans="5:6" x14ac:dyDescent="0.3">
      <c r="E2219" t="str">
        <f>IFERROR(IF(D2219="","",VLOOKUP(D2219,CadProd!$A:$B,2,0)),"")</f>
        <v/>
      </c>
      <c r="F2219" t="str">
        <f>IFERROR(IF(D2219="","",VLOOKUP(D2219,CadProd!$A:$C,3,0)),"")</f>
        <v/>
      </c>
    </row>
    <row r="2220" spans="5:6" x14ac:dyDescent="0.3">
      <c r="E2220" t="str">
        <f>IFERROR(IF(D2220="","",VLOOKUP(D2220,CadProd!$A:$B,2,0)),"")</f>
        <v/>
      </c>
      <c r="F2220" t="str">
        <f>IFERROR(IF(D2220="","",VLOOKUP(D2220,CadProd!$A:$C,3,0)),"")</f>
        <v/>
      </c>
    </row>
    <row r="2221" spans="5:6" x14ac:dyDescent="0.3">
      <c r="E2221" t="str">
        <f>IFERROR(IF(D2221="","",VLOOKUP(D2221,CadProd!$A:$B,2,0)),"")</f>
        <v/>
      </c>
      <c r="F2221" t="str">
        <f>IFERROR(IF(D2221="","",VLOOKUP(D2221,CadProd!$A:$C,3,0)),"")</f>
        <v/>
      </c>
    </row>
    <row r="2222" spans="5:6" x14ac:dyDescent="0.3">
      <c r="E2222" t="str">
        <f>IFERROR(IF(D2222="","",VLOOKUP(D2222,CadProd!$A:$B,2,0)),"")</f>
        <v/>
      </c>
      <c r="F2222" t="str">
        <f>IFERROR(IF(D2222="","",VLOOKUP(D2222,CadProd!$A:$C,3,0)),"")</f>
        <v/>
      </c>
    </row>
    <row r="2223" spans="5:6" x14ac:dyDescent="0.3">
      <c r="E2223" t="str">
        <f>IFERROR(IF(D2223="","",VLOOKUP(D2223,CadProd!$A:$B,2,0)),"")</f>
        <v/>
      </c>
      <c r="F2223" t="str">
        <f>IFERROR(IF(D2223="","",VLOOKUP(D2223,CadProd!$A:$C,3,0)),"")</f>
        <v/>
      </c>
    </row>
    <row r="2224" spans="5:6" x14ac:dyDescent="0.3">
      <c r="E2224" t="str">
        <f>IFERROR(IF(D2224="","",VLOOKUP(D2224,CadProd!$A:$B,2,0)),"")</f>
        <v/>
      </c>
      <c r="F2224" t="str">
        <f>IFERROR(IF(D2224="","",VLOOKUP(D2224,CadProd!$A:$C,3,0)),"")</f>
        <v/>
      </c>
    </row>
    <row r="2225" spans="5:6" x14ac:dyDescent="0.3">
      <c r="E2225" t="str">
        <f>IFERROR(IF(D2225="","",VLOOKUP(D2225,CadProd!$A:$B,2,0)),"")</f>
        <v/>
      </c>
      <c r="F2225" t="str">
        <f>IFERROR(IF(D2225="","",VLOOKUP(D2225,CadProd!$A:$C,3,0)),"")</f>
        <v/>
      </c>
    </row>
    <row r="2226" spans="5:6" x14ac:dyDescent="0.3">
      <c r="E2226" t="str">
        <f>IFERROR(IF(D2226="","",VLOOKUP(D2226,CadProd!$A:$B,2,0)),"")</f>
        <v/>
      </c>
      <c r="F2226" t="str">
        <f>IFERROR(IF(D2226="","",VLOOKUP(D2226,CadProd!$A:$C,3,0)),"")</f>
        <v/>
      </c>
    </row>
    <row r="2227" spans="5:6" x14ac:dyDescent="0.3">
      <c r="E2227" t="str">
        <f>IFERROR(IF(D2227="","",VLOOKUP(D2227,CadProd!$A:$B,2,0)),"")</f>
        <v/>
      </c>
      <c r="F2227" t="str">
        <f>IFERROR(IF(D2227="","",VLOOKUP(D2227,CadProd!$A:$C,3,0)),"")</f>
        <v/>
      </c>
    </row>
    <row r="2228" spans="5:6" x14ac:dyDescent="0.3">
      <c r="E2228" t="str">
        <f>IFERROR(IF(D2228="","",VLOOKUP(D2228,CadProd!$A:$B,2,0)),"")</f>
        <v/>
      </c>
      <c r="F2228" t="str">
        <f>IFERROR(IF(D2228="","",VLOOKUP(D2228,CadProd!$A:$C,3,0)),"")</f>
        <v/>
      </c>
    </row>
    <row r="2229" spans="5:6" x14ac:dyDescent="0.3">
      <c r="E2229" t="str">
        <f>IFERROR(IF(D2229="","",VLOOKUP(D2229,CadProd!$A:$B,2,0)),"")</f>
        <v/>
      </c>
      <c r="F2229" t="str">
        <f>IFERROR(IF(D2229="","",VLOOKUP(D2229,CadProd!$A:$C,3,0)),"")</f>
        <v/>
      </c>
    </row>
    <row r="2230" spans="5:6" x14ac:dyDescent="0.3">
      <c r="E2230" t="str">
        <f>IFERROR(IF(D2230="","",VLOOKUP(D2230,CadProd!$A:$B,2,0)),"")</f>
        <v/>
      </c>
      <c r="F2230" t="str">
        <f>IFERROR(IF(D2230="","",VLOOKUP(D2230,CadProd!$A:$C,3,0)),"")</f>
        <v/>
      </c>
    </row>
    <row r="2231" spans="5:6" x14ac:dyDescent="0.3">
      <c r="E2231" t="str">
        <f>IFERROR(IF(D2231="","",VLOOKUP(D2231,CadProd!$A:$B,2,0)),"")</f>
        <v/>
      </c>
      <c r="F2231" t="str">
        <f>IFERROR(IF(D2231="","",VLOOKUP(D2231,CadProd!$A:$C,3,0)),"")</f>
        <v/>
      </c>
    </row>
    <row r="2232" spans="5:6" x14ac:dyDescent="0.3">
      <c r="E2232" t="str">
        <f>IFERROR(IF(D2232="","",VLOOKUP(D2232,CadProd!$A:$B,2,0)),"")</f>
        <v/>
      </c>
      <c r="F2232" t="str">
        <f>IFERROR(IF(D2232="","",VLOOKUP(D2232,CadProd!$A:$C,3,0)),"")</f>
        <v/>
      </c>
    </row>
    <row r="2233" spans="5:6" x14ac:dyDescent="0.3">
      <c r="E2233" t="str">
        <f>IFERROR(IF(D2233="","",VLOOKUP(D2233,CadProd!$A:$B,2,0)),"")</f>
        <v/>
      </c>
      <c r="F2233" t="str">
        <f>IFERROR(IF(D2233="","",VLOOKUP(D2233,CadProd!$A:$C,3,0)),"")</f>
        <v/>
      </c>
    </row>
    <row r="2234" spans="5:6" x14ac:dyDescent="0.3">
      <c r="E2234" t="str">
        <f>IFERROR(IF(D2234="","",VLOOKUP(D2234,CadProd!$A:$B,2,0)),"")</f>
        <v/>
      </c>
      <c r="F2234" t="str">
        <f>IFERROR(IF(D2234="","",VLOOKUP(D2234,CadProd!$A:$C,3,0)),"")</f>
        <v/>
      </c>
    </row>
    <row r="2235" spans="5:6" x14ac:dyDescent="0.3">
      <c r="E2235" t="str">
        <f>IFERROR(IF(D2235="","",VLOOKUP(D2235,CadProd!$A:$B,2,0)),"")</f>
        <v/>
      </c>
      <c r="F2235" t="str">
        <f>IFERROR(IF(D2235="","",VLOOKUP(D2235,CadProd!$A:$C,3,0)),"")</f>
        <v/>
      </c>
    </row>
    <row r="2236" spans="5:6" x14ac:dyDescent="0.3">
      <c r="E2236" t="str">
        <f>IFERROR(IF(D2236="","",VLOOKUP(D2236,CadProd!$A:$B,2,0)),"")</f>
        <v/>
      </c>
      <c r="F2236" t="str">
        <f>IFERROR(IF(D2236="","",VLOOKUP(D2236,CadProd!$A:$C,3,0)),"")</f>
        <v/>
      </c>
    </row>
    <row r="2237" spans="5:6" x14ac:dyDescent="0.3">
      <c r="E2237" t="str">
        <f>IFERROR(IF(D2237="","",VLOOKUP(D2237,CadProd!$A:$B,2,0)),"")</f>
        <v/>
      </c>
      <c r="F2237" t="str">
        <f>IFERROR(IF(D2237="","",VLOOKUP(D2237,CadProd!$A:$C,3,0)),"")</f>
        <v/>
      </c>
    </row>
    <row r="2238" spans="5:6" x14ac:dyDescent="0.3">
      <c r="E2238" t="str">
        <f>IFERROR(IF(D2238="","",VLOOKUP(D2238,CadProd!$A:$B,2,0)),"")</f>
        <v/>
      </c>
      <c r="F2238" t="str">
        <f>IFERROR(IF(D2238="","",VLOOKUP(D2238,CadProd!$A:$C,3,0)),"")</f>
        <v/>
      </c>
    </row>
    <row r="2239" spans="5:6" x14ac:dyDescent="0.3">
      <c r="E2239" t="str">
        <f>IFERROR(IF(D2239="","",VLOOKUP(D2239,CadProd!$A:$B,2,0)),"")</f>
        <v/>
      </c>
      <c r="F2239" t="str">
        <f>IFERROR(IF(D2239="","",VLOOKUP(D2239,CadProd!$A:$C,3,0)),"")</f>
        <v/>
      </c>
    </row>
    <row r="2240" spans="5:6" x14ac:dyDescent="0.3">
      <c r="E2240" t="str">
        <f>IFERROR(IF(D2240="","",VLOOKUP(D2240,CadProd!$A:$B,2,0)),"")</f>
        <v/>
      </c>
      <c r="F2240" t="str">
        <f>IFERROR(IF(D2240="","",VLOOKUP(D2240,CadProd!$A:$C,3,0)),"")</f>
        <v/>
      </c>
    </row>
    <row r="2241" spans="5:6" x14ac:dyDescent="0.3">
      <c r="E2241" t="str">
        <f>IFERROR(IF(D2241="","",VLOOKUP(D2241,CadProd!$A:$B,2,0)),"")</f>
        <v/>
      </c>
      <c r="F2241" t="str">
        <f>IFERROR(IF(D2241="","",VLOOKUP(D2241,CadProd!$A:$C,3,0)),"")</f>
        <v/>
      </c>
    </row>
    <row r="2242" spans="5:6" x14ac:dyDescent="0.3">
      <c r="E2242" t="str">
        <f>IFERROR(IF(D2242="","",VLOOKUP(D2242,CadProd!$A:$B,2,0)),"")</f>
        <v/>
      </c>
      <c r="F2242" t="str">
        <f>IFERROR(IF(D2242="","",VLOOKUP(D2242,CadProd!$A:$C,3,0)),"")</f>
        <v/>
      </c>
    </row>
    <row r="2243" spans="5:6" x14ac:dyDescent="0.3">
      <c r="E2243" t="str">
        <f>IFERROR(IF(D2243="","",VLOOKUP(D2243,CadProd!$A:$B,2,0)),"")</f>
        <v/>
      </c>
      <c r="F2243" t="str">
        <f>IFERROR(IF(D2243="","",VLOOKUP(D2243,CadProd!$A:$C,3,0)),"")</f>
        <v/>
      </c>
    </row>
    <row r="2244" spans="5:6" x14ac:dyDescent="0.3">
      <c r="E2244" t="str">
        <f>IFERROR(IF(D2244="","",VLOOKUP(D2244,CadProd!$A:$B,2,0)),"")</f>
        <v/>
      </c>
      <c r="F2244" t="str">
        <f>IFERROR(IF(D2244="","",VLOOKUP(D2244,CadProd!$A:$C,3,0)),"")</f>
        <v/>
      </c>
    </row>
    <row r="2245" spans="5:6" x14ac:dyDescent="0.3">
      <c r="E2245" t="str">
        <f>IFERROR(IF(D2245="","",VLOOKUP(D2245,CadProd!$A:$B,2,0)),"")</f>
        <v/>
      </c>
      <c r="F2245" t="str">
        <f>IFERROR(IF(D2245="","",VLOOKUP(D2245,CadProd!$A:$C,3,0)),"")</f>
        <v/>
      </c>
    </row>
    <row r="2246" spans="5:6" x14ac:dyDescent="0.3">
      <c r="E2246" t="str">
        <f>IFERROR(IF(D2246="","",VLOOKUP(D2246,CadProd!$A:$B,2,0)),"")</f>
        <v/>
      </c>
      <c r="F2246" t="str">
        <f>IFERROR(IF(D2246="","",VLOOKUP(D2246,CadProd!$A:$C,3,0)),"")</f>
        <v/>
      </c>
    </row>
    <row r="2247" spans="5:6" x14ac:dyDescent="0.3">
      <c r="E2247" t="str">
        <f>IFERROR(IF(D2247="","",VLOOKUP(D2247,CadProd!$A:$B,2,0)),"")</f>
        <v/>
      </c>
      <c r="F2247" t="str">
        <f>IFERROR(IF(D2247="","",VLOOKUP(D2247,CadProd!$A:$C,3,0)),"")</f>
        <v/>
      </c>
    </row>
    <row r="2248" spans="5:6" x14ac:dyDescent="0.3">
      <c r="E2248" t="str">
        <f>IFERROR(IF(D2248="","",VLOOKUP(D2248,CadProd!$A:$B,2,0)),"")</f>
        <v/>
      </c>
      <c r="F2248" t="str">
        <f>IFERROR(IF(D2248="","",VLOOKUP(D2248,CadProd!$A:$C,3,0)),"")</f>
        <v/>
      </c>
    </row>
    <row r="2249" spans="5:6" x14ac:dyDescent="0.3">
      <c r="E2249" t="str">
        <f>IFERROR(IF(D2249="","",VLOOKUP(D2249,CadProd!$A:$B,2,0)),"")</f>
        <v/>
      </c>
      <c r="F2249" t="str">
        <f>IFERROR(IF(D2249="","",VLOOKUP(D2249,CadProd!$A:$C,3,0)),"")</f>
        <v/>
      </c>
    </row>
    <row r="2250" spans="5:6" x14ac:dyDescent="0.3">
      <c r="E2250" t="str">
        <f>IFERROR(IF(D2250="","",VLOOKUP(D2250,CadProd!$A:$B,2,0)),"")</f>
        <v/>
      </c>
      <c r="F2250" t="str">
        <f>IFERROR(IF(D2250="","",VLOOKUP(D2250,CadProd!$A:$C,3,0)),"")</f>
        <v/>
      </c>
    </row>
    <row r="2251" spans="5:6" x14ac:dyDescent="0.3">
      <c r="E2251" t="str">
        <f>IFERROR(IF(D2251="","",VLOOKUP(D2251,CadProd!$A:$B,2,0)),"")</f>
        <v/>
      </c>
      <c r="F2251" t="str">
        <f>IFERROR(IF(D2251="","",VLOOKUP(D2251,CadProd!$A:$C,3,0)),"")</f>
        <v/>
      </c>
    </row>
    <row r="2252" spans="5:6" x14ac:dyDescent="0.3">
      <c r="E2252" t="str">
        <f>IFERROR(IF(D2252="","",VLOOKUP(D2252,CadProd!$A:$B,2,0)),"")</f>
        <v/>
      </c>
      <c r="F2252" t="str">
        <f>IFERROR(IF(D2252="","",VLOOKUP(D2252,CadProd!$A:$C,3,0)),"")</f>
        <v/>
      </c>
    </row>
    <row r="2253" spans="5:6" x14ac:dyDescent="0.3">
      <c r="E2253" t="str">
        <f>IFERROR(IF(D2253="","",VLOOKUP(D2253,CadProd!$A:$B,2,0)),"")</f>
        <v/>
      </c>
      <c r="F2253" t="str">
        <f>IFERROR(IF(D2253="","",VLOOKUP(D2253,CadProd!$A:$C,3,0)),"")</f>
        <v/>
      </c>
    </row>
    <row r="2254" spans="5:6" x14ac:dyDescent="0.3">
      <c r="E2254" t="str">
        <f>IFERROR(IF(D2254="","",VLOOKUP(D2254,CadProd!$A:$B,2,0)),"")</f>
        <v/>
      </c>
      <c r="F2254" t="str">
        <f>IFERROR(IF(D2254="","",VLOOKUP(D2254,CadProd!$A:$C,3,0)),"")</f>
        <v/>
      </c>
    </row>
    <row r="2255" spans="5:6" x14ac:dyDescent="0.3">
      <c r="E2255" t="str">
        <f>IFERROR(IF(D2255="","",VLOOKUP(D2255,CadProd!$A:$B,2,0)),"")</f>
        <v/>
      </c>
      <c r="F2255" t="str">
        <f>IFERROR(IF(D2255="","",VLOOKUP(D2255,CadProd!$A:$C,3,0)),"")</f>
        <v/>
      </c>
    </row>
    <row r="2256" spans="5:6" x14ac:dyDescent="0.3">
      <c r="E2256" t="str">
        <f>IFERROR(IF(D2256="","",VLOOKUP(D2256,CadProd!$A:$B,2,0)),"")</f>
        <v/>
      </c>
      <c r="F2256" t="str">
        <f>IFERROR(IF(D2256="","",VLOOKUP(D2256,CadProd!$A:$C,3,0)),"")</f>
        <v/>
      </c>
    </row>
    <row r="2257" spans="5:6" x14ac:dyDescent="0.3">
      <c r="E2257" t="str">
        <f>IFERROR(IF(D2257="","",VLOOKUP(D2257,CadProd!$A:$B,2,0)),"")</f>
        <v/>
      </c>
      <c r="F2257" t="str">
        <f>IFERROR(IF(D2257="","",VLOOKUP(D2257,CadProd!$A:$C,3,0)),"")</f>
        <v/>
      </c>
    </row>
    <row r="2258" spans="5:6" x14ac:dyDescent="0.3">
      <c r="E2258" t="str">
        <f>IFERROR(IF(D2258="","",VLOOKUP(D2258,CadProd!$A:$B,2,0)),"")</f>
        <v/>
      </c>
      <c r="F2258" t="str">
        <f>IFERROR(IF(D2258="","",VLOOKUP(D2258,CadProd!$A:$C,3,0)),"")</f>
        <v/>
      </c>
    </row>
    <row r="2259" spans="5:6" x14ac:dyDescent="0.3">
      <c r="E2259" t="str">
        <f>IFERROR(IF(D2259="","",VLOOKUP(D2259,CadProd!$A:$B,2,0)),"")</f>
        <v/>
      </c>
      <c r="F2259" t="str">
        <f>IFERROR(IF(D2259="","",VLOOKUP(D2259,CadProd!$A:$C,3,0)),"")</f>
        <v/>
      </c>
    </row>
    <row r="2260" spans="5:6" x14ac:dyDescent="0.3">
      <c r="E2260" t="str">
        <f>IFERROR(IF(D2260="","",VLOOKUP(D2260,CadProd!$A:$B,2,0)),"")</f>
        <v/>
      </c>
      <c r="F2260" t="str">
        <f>IFERROR(IF(D2260="","",VLOOKUP(D2260,CadProd!$A:$C,3,0)),"")</f>
        <v/>
      </c>
    </row>
    <row r="2261" spans="5:6" x14ac:dyDescent="0.3">
      <c r="E2261" t="str">
        <f>IFERROR(IF(D2261="","",VLOOKUP(D2261,CadProd!$A:$B,2,0)),"")</f>
        <v/>
      </c>
      <c r="F2261" t="str">
        <f>IFERROR(IF(D2261="","",VLOOKUP(D2261,CadProd!$A:$C,3,0)),"")</f>
        <v/>
      </c>
    </row>
    <row r="2262" spans="5:6" x14ac:dyDescent="0.3">
      <c r="E2262" t="str">
        <f>IFERROR(IF(D2262="","",VLOOKUP(D2262,CadProd!$A:$B,2,0)),"")</f>
        <v/>
      </c>
      <c r="F2262" t="str">
        <f>IFERROR(IF(D2262="","",VLOOKUP(D2262,CadProd!$A:$C,3,0)),"")</f>
        <v/>
      </c>
    </row>
    <row r="2263" spans="5:6" x14ac:dyDescent="0.3">
      <c r="E2263" t="str">
        <f>IFERROR(IF(D2263="","",VLOOKUP(D2263,CadProd!$A:$B,2,0)),"")</f>
        <v/>
      </c>
      <c r="F2263" t="str">
        <f>IFERROR(IF(D2263="","",VLOOKUP(D2263,CadProd!$A:$C,3,0)),"")</f>
        <v/>
      </c>
    </row>
    <row r="2264" spans="5:6" x14ac:dyDescent="0.3">
      <c r="E2264" t="str">
        <f>IFERROR(IF(D2264="","",VLOOKUP(D2264,CadProd!$A:$B,2,0)),"")</f>
        <v/>
      </c>
      <c r="F2264" t="str">
        <f>IFERROR(IF(D2264="","",VLOOKUP(D2264,CadProd!$A:$C,3,0)),"")</f>
        <v/>
      </c>
    </row>
    <row r="2265" spans="5:6" x14ac:dyDescent="0.3">
      <c r="E2265" t="str">
        <f>IFERROR(IF(D2265="","",VLOOKUP(D2265,CadProd!$A:$B,2,0)),"")</f>
        <v/>
      </c>
      <c r="F2265" t="str">
        <f>IFERROR(IF(D2265="","",VLOOKUP(D2265,CadProd!$A:$C,3,0)),"")</f>
        <v/>
      </c>
    </row>
    <row r="2266" spans="5:6" x14ac:dyDescent="0.3">
      <c r="E2266" t="str">
        <f>IFERROR(IF(D2266="","",VLOOKUP(D2266,CadProd!$A:$B,2,0)),"")</f>
        <v/>
      </c>
      <c r="F2266" t="str">
        <f>IFERROR(IF(D2266="","",VLOOKUP(D2266,CadProd!$A:$C,3,0)),"")</f>
        <v/>
      </c>
    </row>
    <row r="2267" spans="5:6" x14ac:dyDescent="0.3">
      <c r="E2267" t="str">
        <f>IFERROR(IF(D2267="","",VLOOKUP(D2267,CadProd!$A:$B,2,0)),"")</f>
        <v/>
      </c>
      <c r="F2267" t="str">
        <f>IFERROR(IF(D2267="","",VLOOKUP(D2267,CadProd!$A:$C,3,0)),"")</f>
        <v/>
      </c>
    </row>
    <row r="2268" spans="5:6" x14ac:dyDescent="0.3">
      <c r="E2268" t="str">
        <f>IFERROR(IF(D2268="","",VLOOKUP(D2268,CadProd!$A:$B,2,0)),"")</f>
        <v/>
      </c>
      <c r="F2268" t="str">
        <f>IFERROR(IF(D2268="","",VLOOKUP(D2268,CadProd!$A:$C,3,0)),"")</f>
        <v/>
      </c>
    </row>
    <row r="2269" spans="5:6" x14ac:dyDescent="0.3">
      <c r="E2269" t="str">
        <f>IFERROR(IF(D2269="","",VLOOKUP(D2269,CadProd!$A:$B,2,0)),"")</f>
        <v/>
      </c>
      <c r="F2269" t="str">
        <f>IFERROR(IF(D2269="","",VLOOKUP(D2269,CadProd!$A:$C,3,0)),"")</f>
        <v/>
      </c>
    </row>
    <row r="2270" spans="5:6" x14ac:dyDescent="0.3">
      <c r="E2270" t="str">
        <f>IFERROR(IF(D2270="","",VLOOKUP(D2270,CadProd!$A:$B,2,0)),"")</f>
        <v/>
      </c>
      <c r="F2270" t="str">
        <f>IFERROR(IF(D2270="","",VLOOKUP(D2270,CadProd!$A:$C,3,0)),"")</f>
        <v/>
      </c>
    </row>
    <row r="2271" spans="5:6" x14ac:dyDescent="0.3">
      <c r="E2271" t="str">
        <f>IFERROR(IF(D2271="","",VLOOKUP(D2271,CadProd!$A:$B,2,0)),"")</f>
        <v/>
      </c>
      <c r="F2271" t="str">
        <f>IFERROR(IF(D2271="","",VLOOKUP(D2271,CadProd!$A:$C,3,0)),"")</f>
        <v/>
      </c>
    </row>
    <row r="2272" spans="5:6" x14ac:dyDescent="0.3">
      <c r="E2272" t="str">
        <f>IFERROR(IF(D2272="","",VLOOKUP(D2272,CadProd!$A:$B,2,0)),"")</f>
        <v/>
      </c>
      <c r="F2272" t="str">
        <f>IFERROR(IF(D2272="","",VLOOKUP(D2272,CadProd!$A:$C,3,0)),"")</f>
        <v/>
      </c>
    </row>
    <row r="2273" spans="5:6" x14ac:dyDescent="0.3">
      <c r="E2273" t="str">
        <f>IFERROR(IF(D2273="","",VLOOKUP(D2273,CadProd!$A:$B,2,0)),"")</f>
        <v/>
      </c>
      <c r="F2273" t="str">
        <f>IFERROR(IF(D2273="","",VLOOKUP(D2273,CadProd!$A:$C,3,0)),"")</f>
        <v/>
      </c>
    </row>
    <row r="2274" spans="5:6" x14ac:dyDescent="0.3">
      <c r="E2274" t="str">
        <f>IFERROR(IF(D2274="","",VLOOKUP(D2274,CadProd!$A:$B,2,0)),"")</f>
        <v/>
      </c>
      <c r="F2274" t="str">
        <f>IFERROR(IF(D2274="","",VLOOKUP(D2274,CadProd!$A:$C,3,0)),"")</f>
        <v/>
      </c>
    </row>
    <row r="2275" spans="5:6" x14ac:dyDescent="0.3">
      <c r="E2275" t="str">
        <f>IFERROR(IF(D2275="","",VLOOKUP(D2275,CadProd!$A:$B,2,0)),"")</f>
        <v/>
      </c>
      <c r="F2275" t="str">
        <f>IFERROR(IF(D2275="","",VLOOKUP(D2275,CadProd!$A:$C,3,0)),"")</f>
        <v/>
      </c>
    </row>
    <row r="2276" spans="5:6" x14ac:dyDescent="0.3">
      <c r="E2276" t="str">
        <f>IFERROR(IF(D2276="","",VLOOKUP(D2276,CadProd!$A:$B,2,0)),"")</f>
        <v/>
      </c>
      <c r="F2276" t="str">
        <f>IFERROR(IF(D2276="","",VLOOKUP(D2276,CadProd!$A:$C,3,0)),"")</f>
        <v/>
      </c>
    </row>
    <row r="2277" spans="5:6" x14ac:dyDescent="0.3">
      <c r="E2277" t="str">
        <f>IFERROR(IF(D2277="","",VLOOKUP(D2277,CadProd!$A:$B,2,0)),"")</f>
        <v/>
      </c>
      <c r="F2277" t="str">
        <f>IFERROR(IF(D2277="","",VLOOKUP(D2277,CadProd!$A:$C,3,0)),"")</f>
        <v/>
      </c>
    </row>
    <row r="2278" spans="5:6" x14ac:dyDescent="0.3">
      <c r="E2278" t="str">
        <f>IFERROR(IF(D2278="","",VLOOKUP(D2278,CadProd!$A:$B,2,0)),"")</f>
        <v/>
      </c>
      <c r="F2278" t="str">
        <f>IFERROR(IF(D2278="","",VLOOKUP(D2278,CadProd!$A:$C,3,0)),"")</f>
        <v/>
      </c>
    </row>
    <row r="2279" spans="5:6" x14ac:dyDescent="0.3">
      <c r="E2279" t="str">
        <f>IFERROR(IF(D2279="","",VLOOKUP(D2279,CadProd!$A:$B,2,0)),"")</f>
        <v/>
      </c>
      <c r="F2279" t="str">
        <f>IFERROR(IF(D2279="","",VLOOKUP(D2279,CadProd!$A:$C,3,0)),"")</f>
        <v/>
      </c>
    </row>
    <row r="2280" spans="5:6" x14ac:dyDescent="0.3">
      <c r="E2280" t="str">
        <f>IFERROR(IF(D2280="","",VLOOKUP(D2280,CadProd!$A:$B,2,0)),"")</f>
        <v/>
      </c>
      <c r="F2280" t="str">
        <f>IFERROR(IF(D2280="","",VLOOKUP(D2280,CadProd!$A:$C,3,0)),"")</f>
        <v/>
      </c>
    </row>
    <row r="2281" spans="5:6" x14ac:dyDescent="0.3">
      <c r="E2281" t="str">
        <f>IFERROR(IF(D2281="","",VLOOKUP(D2281,CadProd!$A:$B,2,0)),"")</f>
        <v/>
      </c>
      <c r="F2281" t="str">
        <f>IFERROR(IF(D2281="","",VLOOKUP(D2281,CadProd!$A:$C,3,0)),"")</f>
        <v/>
      </c>
    </row>
    <row r="2282" spans="5:6" x14ac:dyDescent="0.3">
      <c r="E2282" t="str">
        <f>IFERROR(IF(D2282="","",VLOOKUP(D2282,CadProd!$A:$B,2,0)),"")</f>
        <v/>
      </c>
      <c r="F2282" t="str">
        <f>IFERROR(IF(D2282="","",VLOOKUP(D2282,CadProd!$A:$C,3,0)),"")</f>
        <v/>
      </c>
    </row>
    <row r="2283" spans="5:6" x14ac:dyDescent="0.3">
      <c r="E2283" t="str">
        <f>IFERROR(IF(D2283="","",VLOOKUP(D2283,CadProd!$A:$B,2,0)),"")</f>
        <v/>
      </c>
      <c r="F2283" t="str">
        <f>IFERROR(IF(D2283="","",VLOOKUP(D2283,CadProd!$A:$C,3,0)),"")</f>
        <v/>
      </c>
    </row>
    <row r="2284" spans="5:6" x14ac:dyDescent="0.3">
      <c r="E2284" t="str">
        <f>IFERROR(IF(D2284="","",VLOOKUP(D2284,CadProd!$A:$B,2,0)),"")</f>
        <v/>
      </c>
      <c r="F2284" t="str">
        <f>IFERROR(IF(D2284="","",VLOOKUP(D2284,CadProd!$A:$C,3,0)),"")</f>
        <v/>
      </c>
    </row>
    <row r="2285" spans="5:6" x14ac:dyDescent="0.3">
      <c r="E2285" t="str">
        <f>IFERROR(IF(D2285="","",VLOOKUP(D2285,CadProd!$A:$B,2,0)),"")</f>
        <v/>
      </c>
      <c r="F2285" t="str">
        <f>IFERROR(IF(D2285="","",VLOOKUP(D2285,CadProd!$A:$C,3,0)),"")</f>
        <v/>
      </c>
    </row>
    <row r="2286" spans="5:6" x14ac:dyDescent="0.3">
      <c r="E2286" t="str">
        <f>IFERROR(IF(D2286="","",VLOOKUP(D2286,CadProd!$A:$B,2,0)),"")</f>
        <v/>
      </c>
      <c r="F2286" t="str">
        <f>IFERROR(IF(D2286="","",VLOOKUP(D2286,CadProd!$A:$C,3,0)),"")</f>
        <v/>
      </c>
    </row>
    <row r="2287" spans="5:6" x14ac:dyDescent="0.3">
      <c r="E2287" t="str">
        <f>IFERROR(IF(D2287="","",VLOOKUP(D2287,CadProd!$A:$B,2,0)),"")</f>
        <v/>
      </c>
      <c r="F2287" t="str">
        <f>IFERROR(IF(D2287="","",VLOOKUP(D2287,CadProd!$A:$C,3,0)),"")</f>
        <v/>
      </c>
    </row>
    <row r="2288" spans="5:6" x14ac:dyDescent="0.3">
      <c r="E2288" t="str">
        <f>IFERROR(IF(D2288="","",VLOOKUP(D2288,CadProd!$A:$B,2,0)),"")</f>
        <v/>
      </c>
      <c r="F2288" t="str">
        <f>IFERROR(IF(D2288="","",VLOOKUP(D2288,CadProd!$A:$C,3,0)),"")</f>
        <v/>
      </c>
    </row>
    <row r="2289" spans="5:6" x14ac:dyDescent="0.3">
      <c r="E2289" t="str">
        <f>IFERROR(IF(D2289="","",VLOOKUP(D2289,CadProd!$A:$B,2,0)),"")</f>
        <v/>
      </c>
      <c r="F2289" t="str">
        <f>IFERROR(IF(D2289="","",VLOOKUP(D2289,CadProd!$A:$C,3,0)),"")</f>
        <v/>
      </c>
    </row>
    <row r="2290" spans="5:6" x14ac:dyDescent="0.3">
      <c r="E2290" t="str">
        <f>IFERROR(IF(D2290="","",VLOOKUP(D2290,CadProd!$A:$B,2,0)),"")</f>
        <v/>
      </c>
      <c r="F2290" t="str">
        <f>IFERROR(IF(D2290="","",VLOOKUP(D2290,CadProd!$A:$C,3,0)),"")</f>
        <v/>
      </c>
    </row>
    <row r="2291" spans="5:6" x14ac:dyDescent="0.3">
      <c r="E2291" t="str">
        <f>IFERROR(IF(D2291="","",VLOOKUP(D2291,CadProd!$A:$B,2,0)),"")</f>
        <v/>
      </c>
      <c r="F2291" t="str">
        <f>IFERROR(IF(D2291="","",VLOOKUP(D2291,CadProd!$A:$C,3,0)),"")</f>
        <v/>
      </c>
    </row>
    <row r="2292" spans="5:6" x14ac:dyDescent="0.3">
      <c r="E2292" t="str">
        <f>IFERROR(IF(D2292="","",VLOOKUP(D2292,CadProd!$A:$B,2,0)),"")</f>
        <v/>
      </c>
      <c r="F2292" t="str">
        <f>IFERROR(IF(D2292="","",VLOOKUP(D2292,CadProd!$A:$C,3,0)),"")</f>
        <v/>
      </c>
    </row>
    <row r="2293" spans="5:6" x14ac:dyDescent="0.3">
      <c r="E2293" t="str">
        <f>IFERROR(IF(D2293="","",VLOOKUP(D2293,CadProd!$A:$B,2,0)),"")</f>
        <v/>
      </c>
      <c r="F2293" t="str">
        <f>IFERROR(IF(D2293="","",VLOOKUP(D2293,CadProd!$A:$C,3,0)),"")</f>
        <v/>
      </c>
    </row>
    <row r="2294" spans="5:6" x14ac:dyDescent="0.3">
      <c r="E2294" t="str">
        <f>IFERROR(IF(D2294="","",VLOOKUP(D2294,CadProd!$A:$B,2,0)),"")</f>
        <v/>
      </c>
      <c r="F2294" t="str">
        <f>IFERROR(IF(D2294="","",VLOOKUP(D2294,CadProd!$A:$C,3,0)),"")</f>
        <v/>
      </c>
    </row>
    <row r="2295" spans="5:6" x14ac:dyDescent="0.3">
      <c r="E2295" t="str">
        <f>IFERROR(IF(D2295="","",VLOOKUP(D2295,CadProd!$A:$B,2,0)),"")</f>
        <v/>
      </c>
      <c r="F2295" t="str">
        <f>IFERROR(IF(D2295="","",VLOOKUP(D2295,CadProd!$A:$C,3,0)),"")</f>
        <v/>
      </c>
    </row>
    <row r="2296" spans="5:6" x14ac:dyDescent="0.3">
      <c r="E2296" t="str">
        <f>IFERROR(IF(D2296="","",VLOOKUP(D2296,CadProd!$A:$B,2,0)),"")</f>
        <v/>
      </c>
      <c r="F2296" t="str">
        <f>IFERROR(IF(D2296="","",VLOOKUP(D2296,CadProd!$A:$C,3,0)),"")</f>
        <v/>
      </c>
    </row>
    <row r="2297" spans="5:6" x14ac:dyDescent="0.3">
      <c r="E2297" t="str">
        <f>IFERROR(IF(D2297="","",VLOOKUP(D2297,CadProd!$A:$B,2,0)),"")</f>
        <v/>
      </c>
      <c r="F2297" t="str">
        <f>IFERROR(IF(D2297="","",VLOOKUP(D2297,CadProd!$A:$C,3,0)),"")</f>
        <v/>
      </c>
    </row>
    <row r="2298" spans="5:6" x14ac:dyDescent="0.3">
      <c r="E2298" t="str">
        <f>IFERROR(IF(D2298="","",VLOOKUP(D2298,CadProd!$A:$B,2,0)),"")</f>
        <v/>
      </c>
      <c r="F2298" t="str">
        <f>IFERROR(IF(D2298="","",VLOOKUP(D2298,CadProd!$A:$C,3,0)),"")</f>
        <v/>
      </c>
    </row>
    <row r="2299" spans="5:6" x14ac:dyDescent="0.3">
      <c r="E2299" t="str">
        <f>IFERROR(IF(D2299="","",VLOOKUP(D2299,CadProd!$A:$B,2,0)),"")</f>
        <v/>
      </c>
      <c r="F2299" t="str">
        <f>IFERROR(IF(D2299="","",VLOOKUP(D2299,CadProd!$A:$C,3,0)),"")</f>
        <v/>
      </c>
    </row>
    <row r="2300" spans="5:6" x14ac:dyDescent="0.3">
      <c r="E2300" t="str">
        <f>IFERROR(IF(D2300="","",VLOOKUP(D2300,CadProd!$A:$B,2,0)),"")</f>
        <v/>
      </c>
      <c r="F2300" t="str">
        <f>IFERROR(IF(D2300="","",VLOOKUP(D2300,CadProd!$A:$C,3,0)),"")</f>
        <v/>
      </c>
    </row>
    <row r="2301" spans="5:6" x14ac:dyDescent="0.3">
      <c r="E2301" t="str">
        <f>IFERROR(IF(D2301="","",VLOOKUP(D2301,CadProd!$A:$B,2,0)),"")</f>
        <v/>
      </c>
      <c r="F2301" t="str">
        <f>IFERROR(IF(D2301="","",VLOOKUP(D2301,CadProd!$A:$C,3,0)),"")</f>
        <v/>
      </c>
    </row>
    <row r="2302" spans="5:6" x14ac:dyDescent="0.3">
      <c r="E2302" t="str">
        <f>IFERROR(IF(D2302="","",VLOOKUP(D2302,CadProd!$A:$B,2,0)),"")</f>
        <v/>
      </c>
      <c r="F2302" t="str">
        <f>IFERROR(IF(D2302="","",VLOOKUP(D2302,CadProd!$A:$C,3,0)),"")</f>
        <v/>
      </c>
    </row>
    <row r="2303" spans="5:6" x14ac:dyDescent="0.3">
      <c r="E2303" t="str">
        <f>IFERROR(IF(D2303="","",VLOOKUP(D2303,CadProd!$A:$B,2,0)),"")</f>
        <v/>
      </c>
      <c r="F2303" t="str">
        <f>IFERROR(IF(D2303="","",VLOOKUP(D2303,CadProd!$A:$C,3,0)),"")</f>
        <v/>
      </c>
    </row>
    <row r="2304" spans="5:6" x14ac:dyDescent="0.3">
      <c r="E2304" t="str">
        <f>IFERROR(IF(D2304="","",VLOOKUP(D2304,CadProd!$A:$B,2,0)),"")</f>
        <v/>
      </c>
      <c r="F2304" t="str">
        <f>IFERROR(IF(D2304="","",VLOOKUP(D2304,CadProd!$A:$C,3,0)),"")</f>
        <v/>
      </c>
    </row>
    <row r="2305" spans="5:6" x14ac:dyDescent="0.3">
      <c r="E2305" t="str">
        <f>IFERROR(IF(D2305="","",VLOOKUP(D2305,CadProd!$A:$B,2,0)),"")</f>
        <v/>
      </c>
      <c r="F2305" t="str">
        <f>IFERROR(IF(D2305="","",VLOOKUP(D2305,CadProd!$A:$C,3,0)),"")</f>
        <v/>
      </c>
    </row>
    <row r="2306" spans="5:6" x14ac:dyDescent="0.3">
      <c r="E2306" t="str">
        <f>IFERROR(IF(D2306="","",VLOOKUP(D2306,CadProd!$A:$B,2,0)),"")</f>
        <v/>
      </c>
      <c r="F2306" t="str">
        <f>IFERROR(IF(D2306="","",VLOOKUP(D2306,CadProd!$A:$C,3,0)),"")</f>
        <v/>
      </c>
    </row>
    <row r="2307" spans="5:6" x14ac:dyDescent="0.3">
      <c r="E2307" t="str">
        <f>IFERROR(IF(D2307="","",VLOOKUP(D2307,CadProd!$A:$B,2,0)),"")</f>
        <v/>
      </c>
      <c r="F2307" t="str">
        <f>IFERROR(IF(D2307="","",VLOOKUP(D2307,CadProd!$A:$C,3,0)),"")</f>
        <v/>
      </c>
    </row>
    <row r="2308" spans="5:6" x14ac:dyDescent="0.3">
      <c r="E2308" t="str">
        <f>IFERROR(IF(D2308="","",VLOOKUP(D2308,CadProd!$A:$B,2,0)),"")</f>
        <v/>
      </c>
      <c r="F2308" t="str">
        <f>IFERROR(IF(D2308="","",VLOOKUP(D2308,CadProd!$A:$C,3,0)),"")</f>
        <v/>
      </c>
    </row>
    <row r="2309" spans="5:6" x14ac:dyDescent="0.3">
      <c r="E2309" t="str">
        <f>IFERROR(IF(D2309="","",VLOOKUP(D2309,CadProd!$A:$B,2,0)),"")</f>
        <v/>
      </c>
      <c r="F2309" t="str">
        <f>IFERROR(IF(D2309="","",VLOOKUP(D2309,CadProd!$A:$C,3,0)),"")</f>
        <v/>
      </c>
    </row>
    <row r="2310" spans="5:6" x14ac:dyDescent="0.3">
      <c r="E2310" t="str">
        <f>IFERROR(IF(D2310="","",VLOOKUP(D2310,CadProd!$A:$B,2,0)),"")</f>
        <v/>
      </c>
      <c r="F2310" t="str">
        <f>IFERROR(IF(D2310="","",VLOOKUP(D2310,CadProd!$A:$C,3,0)),"")</f>
        <v/>
      </c>
    </row>
    <row r="2311" spans="5:6" x14ac:dyDescent="0.3">
      <c r="E2311" t="str">
        <f>IFERROR(IF(D2311="","",VLOOKUP(D2311,CadProd!$A:$B,2,0)),"")</f>
        <v/>
      </c>
      <c r="F2311" t="str">
        <f>IFERROR(IF(D2311="","",VLOOKUP(D2311,CadProd!$A:$C,3,0)),"")</f>
        <v/>
      </c>
    </row>
    <row r="2312" spans="5:6" x14ac:dyDescent="0.3">
      <c r="E2312" t="str">
        <f>IFERROR(IF(D2312="","",VLOOKUP(D2312,CadProd!$A:$B,2,0)),"")</f>
        <v/>
      </c>
      <c r="F2312" t="str">
        <f>IFERROR(IF(D2312="","",VLOOKUP(D2312,CadProd!$A:$C,3,0)),"")</f>
        <v/>
      </c>
    </row>
    <row r="2313" spans="5:6" x14ac:dyDescent="0.3">
      <c r="E2313" t="str">
        <f>IFERROR(IF(D2313="","",VLOOKUP(D2313,CadProd!$A:$B,2,0)),"")</f>
        <v/>
      </c>
      <c r="F2313" t="str">
        <f>IFERROR(IF(D2313="","",VLOOKUP(D2313,CadProd!$A:$C,3,0)),"")</f>
        <v/>
      </c>
    </row>
    <row r="2314" spans="5:6" x14ac:dyDescent="0.3">
      <c r="E2314" t="str">
        <f>IFERROR(IF(D2314="","",VLOOKUP(D2314,CadProd!$A:$B,2,0)),"")</f>
        <v/>
      </c>
      <c r="F2314" t="str">
        <f>IFERROR(IF(D2314="","",VLOOKUP(D2314,CadProd!$A:$C,3,0)),"")</f>
        <v/>
      </c>
    </row>
    <row r="2315" spans="5:6" x14ac:dyDescent="0.3">
      <c r="E2315" t="str">
        <f>IFERROR(IF(D2315="","",VLOOKUP(D2315,CadProd!$A:$B,2,0)),"")</f>
        <v/>
      </c>
      <c r="F2315" t="str">
        <f>IFERROR(IF(D2315="","",VLOOKUP(D2315,CadProd!$A:$C,3,0)),"")</f>
        <v/>
      </c>
    </row>
    <row r="2316" spans="5:6" x14ac:dyDescent="0.3">
      <c r="E2316" t="str">
        <f>IFERROR(IF(D2316="","",VLOOKUP(D2316,CadProd!$A:$B,2,0)),"")</f>
        <v/>
      </c>
      <c r="F2316" t="str">
        <f>IFERROR(IF(D2316="","",VLOOKUP(D2316,CadProd!$A:$C,3,0)),"")</f>
        <v/>
      </c>
    </row>
    <row r="2317" spans="5:6" x14ac:dyDescent="0.3">
      <c r="E2317" t="str">
        <f>IFERROR(IF(D2317="","",VLOOKUP(D2317,CadProd!$A:$B,2,0)),"")</f>
        <v/>
      </c>
      <c r="F2317" t="str">
        <f>IFERROR(IF(D2317="","",VLOOKUP(D2317,CadProd!$A:$C,3,0)),"")</f>
        <v/>
      </c>
    </row>
    <row r="2318" spans="5:6" x14ac:dyDescent="0.3">
      <c r="E2318" t="str">
        <f>IFERROR(IF(D2318="","",VLOOKUP(D2318,CadProd!$A:$B,2,0)),"")</f>
        <v/>
      </c>
      <c r="F2318" t="str">
        <f>IFERROR(IF(D2318="","",VLOOKUP(D2318,CadProd!$A:$C,3,0)),"")</f>
        <v/>
      </c>
    </row>
    <row r="2319" spans="5:6" x14ac:dyDescent="0.3">
      <c r="E2319" t="str">
        <f>IFERROR(IF(D2319="","",VLOOKUP(D2319,CadProd!$A:$B,2,0)),"")</f>
        <v/>
      </c>
      <c r="F2319" t="str">
        <f>IFERROR(IF(D2319="","",VLOOKUP(D2319,CadProd!$A:$C,3,0)),"")</f>
        <v/>
      </c>
    </row>
    <row r="2320" spans="5:6" x14ac:dyDescent="0.3">
      <c r="E2320" t="str">
        <f>IFERROR(IF(D2320="","",VLOOKUP(D2320,CadProd!$A:$B,2,0)),"")</f>
        <v/>
      </c>
      <c r="F2320" t="str">
        <f>IFERROR(IF(D2320="","",VLOOKUP(D2320,CadProd!$A:$C,3,0)),"")</f>
        <v/>
      </c>
    </row>
    <row r="2321" spans="5:6" x14ac:dyDescent="0.3">
      <c r="E2321" t="str">
        <f>IFERROR(IF(D2321="","",VLOOKUP(D2321,CadProd!$A:$B,2,0)),"")</f>
        <v/>
      </c>
      <c r="F2321" t="str">
        <f>IFERROR(IF(D2321="","",VLOOKUP(D2321,CadProd!$A:$C,3,0)),"")</f>
        <v/>
      </c>
    </row>
    <row r="2322" spans="5:6" x14ac:dyDescent="0.3">
      <c r="E2322" t="str">
        <f>IFERROR(IF(D2322="","",VLOOKUP(D2322,CadProd!$A:$B,2,0)),"")</f>
        <v/>
      </c>
      <c r="F2322" t="str">
        <f>IFERROR(IF(D2322="","",VLOOKUP(D2322,CadProd!$A:$C,3,0)),"")</f>
        <v/>
      </c>
    </row>
    <row r="2323" spans="5:6" x14ac:dyDescent="0.3">
      <c r="E2323" t="str">
        <f>IFERROR(IF(D2323="","",VLOOKUP(D2323,CadProd!$A:$B,2,0)),"")</f>
        <v/>
      </c>
      <c r="F2323" t="str">
        <f>IFERROR(IF(D2323="","",VLOOKUP(D2323,CadProd!$A:$C,3,0)),"")</f>
        <v/>
      </c>
    </row>
    <row r="2324" spans="5:6" x14ac:dyDescent="0.3">
      <c r="E2324" t="str">
        <f>IFERROR(IF(D2324="","",VLOOKUP(D2324,CadProd!$A:$B,2,0)),"")</f>
        <v/>
      </c>
      <c r="F2324" t="str">
        <f>IFERROR(IF(D2324="","",VLOOKUP(D2324,CadProd!$A:$C,3,0)),"")</f>
        <v/>
      </c>
    </row>
    <row r="2325" spans="5:6" x14ac:dyDescent="0.3">
      <c r="E2325" t="str">
        <f>IFERROR(IF(D2325="","",VLOOKUP(D2325,CadProd!$A:$B,2,0)),"")</f>
        <v/>
      </c>
      <c r="F2325" t="str">
        <f>IFERROR(IF(D2325="","",VLOOKUP(D2325,CadProd!$A:$C,3,0)),"")</f>
        <v/>
      </c>
    </row>
    <row r="2326" spans="5:6" x14ac:dyDescent="0.3">
      <c r="E2326" t="str">
        <f>IFERROR(IF(D2326="","",VLOOKUP(D2326,CadProd!$A:$B,2,0)),"")</f>
        <v/>
      </c>
      <c r="F2326" t="str">
        <f>IFERROR(IF(D2326="","",VLOOKUP(D2326,CadProd!$A:$C,3,0)),"")</f>
        <v/>
      </c>
    </row>
    <row r="2327" spans="5:6" x14ac:dyDescent="0.3">
      <c r="E2327" t="str">
        <f>IFERROR(IF(D2327="","",VLOOKUP(D2327,CadProd!$A:$B,2,0)),"")</f>
        <v/>
      </c>
      <c r="F2327" t="str">
        <f>IFERROR(IF(D2327="","",VLOOKUP(D2327,CadProd!$A:$C,3,0)),"")</f>
        <v/>
      </c>
    </row>
    <row r="2328" spans="5:6" x14ac:dyDescent="0.3">
      <c r="E2328" t="str">
        <f>IFERROR(IF(D2328="","",VLOOKUP(D2328,CadProd!$A:$B,2,0)),"")</f>
        <v/>
      </c>
      <c r="F2328" t="str">
        <f>IFERROR(IF(D2328="","",VLOOKUP(D2328,CadProd!$A:$C,3,0)),"")</f>
        <v/>
      </c>
    </row>
    <row r="2329" spans="5:6" x14ac:dyDescent="0.3">
      <c r="E2329" t="str">
        <f>IFERROR(IF(D2329="","",VLOOKUP(D2329,CadProd!$A:$B,2,0)),"")</f>
        <v/>
      </c>
      <c r="F2329" t="str">
        <f>IFERROR(IF(D2329="","",VLOOKUP(D2329,CadProd!$A:$C,3,0)),"")</f>
        <v/>
      </c>
    </row>
    <row r="2330" spans="5:6" x14ac:dyDescent="0.3">
      <c r="E2330" t="str">
        <f>IFERROR(IF(D2330="","",VLOOKUP(D2330,CadProd!$A:$B,2,0)),"")</f>
        <v/>
      </c>
      <c r="F2330" t="str">
        <f>IFERROR(IF(D2330="","",VLOOKUP(D2330,CadProd!$A:$C,3,0)),"")</f>
        <v/>
      </c>
    </row>
    <row r="2331" spans="5:6" x14ac:dyDescent="0.3">
      <c r="E2331" t="str">
        <f>IFERROR(IF(D2331="","",VLOOKUP(D2331,CadProd!$A:$B,2,0)),"")</f>
        <v/>
      </c>
      <c r="F2331" t="str">
        <f>IFERROR(IF(D2331="","",VLOOKUP(D2331,CadProd!$A:$C,3,0)),"")</f>
        <v/>
      </c>
    </row>
    <row r="2332" spans="5:6" x14ac:dyDescent="0.3">
      <c r="E2332" t="str">
        <f>IFERROR(IF(D2332="","",VLOOKUP(D2332,CadProd!$A:$B,2,0)),"")</f>
        <v/>
      </c>
      <c r="F2332" t="str">
        <f>IFERROR(IF(D2332="","",VLOOKUP(D2332,CadProd!$A:$C,3,0)),"")</f>
        <v/>
      </c>
    </row>
    <row r="2333" spans="5:6" x14ac:dyDescent="0.3">
      <c r="E2333" t="str">
        <f>IFERROR(IF(D2333="","",VLOOKUP(D2333,CadProd!$A:$B,2,0)),"")</f>
        <v/>
      </c>
      <c r="F2333" t="str">
        <f>IFERROR(IF(D2333="","",VLOOKUP(D2333,CadProd!$A:$C,3,0)),"")</f>
        <v/>
      </c>
    </row>
    <row r="2334" spans="5:6" x14ac:dyDescent="0.3">
      <c r="E2334" t="str">
        <f>IFERROR(IF(D2334="","",VLOOKUP(D2334,CadProd!$A:$B,2,0)),"")</f>
        <v/>
      </c>
      <c r="F2334" t="str">
        <f>IFERROR(IF(D2334="","",VLOOKUP(D2334,CadProd!$A:$C,3,0)),"")</f>
        <v/>
      </c>
    </row>
    <row r="2335" spans="5:6" x14ac:dyDescent="0.3">
      <c r="E2335" t="str">
        <f>IFERROR(IF(D2335="","",VLOOKUP(D2335,CadProd!$A:$B,2,0)),"")</f>
        <v/>
      </c>
      <c r="F2335" t="str">
        <f>IFERROR(IF(D2335="","",VLOOKUP(D2335,CadProd!$A:$C,3,0)),"")</f>
        <v/>
      </c>
    </row>
    <row r="2336" spans="5:6" x14ac:dyDescent="0.3">
      <c r="E2336" t="str">
        <f>IFERROR(IF(D2336="","",VLOOKUP(D2336,CadProd!$A:$B,2,0)),"")</f>
        <v/>
      </c>
      <c r="F2336" t="str">
        <f>IFERROR(IF(D2336="","",VLOOKUP(D2336,CadProd!$A:$C,3,0)),"")</f>
        <v/>
      </c>
    </row>
    <row r="2337" spans="5:6" x14ac:dyDescent="0.3">
      <c r="E2337" t="str">
        <f>IFERROR(IF(D2337="","",VLOOKUP(D2337,CadProd!$A:$B,2,0)),"")</f>
        <v/>
      </c>
      <c r="F2337" t="str">
        <f>IFERROR(IF(D2337="","",VLOOKUP(D2337,CadProd!$A:$C,3,0)),"")</f>
        <v/>
      </c>
    </row>
    <row r="2338" spans="5:6" x14ac:dyDescent="0.3">
      <c r="E2338" t="str">
        <f>IFERROR(IF(D2338="","",VLOOKUP(D2338,CadProd!$A:$B,2,0)),"")</f>
        <v/>
      </c>
      <c r="F2338" t="str">
        <f>IFERROR(IF(D2338="","",VLOOKUP(D2338,CadProd!$A:$C,3,0)),"")</f>
        <v/>
      </c>
    </row>
    <row r="2339" spans="5:6" x14ac:dyDescent="0.3">
      <c r="E2339" t="str">
        <f>IFERROR(IF(D2339="","",VLOOKUP(D2339,CadProd!$A:$B,2,0)),"")</f>
        <v/>
      </c>
      <c r="F2339" t="str">
        <f>IFERROR(IF(D2339="","",VLOOKUP(D2339,CadProd!$A:$C,3,0)),"")</f>
        <v/>
      </c>
    </row>
    <row r="2340" spans="5:6" x14ac:dyDescent="0.3">
      <c r="E2340" t="str">
        <f>IFERROR(IF(D2340="","",VLOOKUP(D2340,CadProd!$A:$B,2,0)),"")</f>
        <v/>
      </c>
      <c r="F2340" t="str">
        <f>IFERROR(IF(D2340="","",VLOOKUP(D2340,CadProd!$A:$C,3,0)),"")</f>
        <v/>
      </c>
    </row>
    <row r="2341" spans="5:6" x14ac:dyDescent="0.3">
      <c r="E2341" t="str">
        <f>IFERROR(IF(D2341="","",VLOOKUP(D2341,CadProd!$A:$B,2,0)),"")</f>
        <v/>
      </c>
      <c r="F2341" t="str">
        <f>IFERROR(IF(D2341="","",VLOOKUP(D2341,CadProd!$A:$C,3,0)),"")</f>
        <v/>
      </c>
    </row>
    <row r="2342" spans="5:6" x14ac:dyDescent="0.3">
      <c r="E2342" t="str">
        <f>IFERROR(IF(D2342="","",VLOOKUP(D2342,CadProd!$A:$B,2,0)),"")</f>
        <v/>
      </c>
      <c r="F2342" t="str">
        <f>IFERROR(IF(D2342="","",VLOOKUP(D2342,CadProd!$A:$C,3,0)),"")</f>
        <v/>
      </c>
    </row>
    <row r="2343" spans="5:6" x14ac:dyDescent="0.3">
      <c r="E2343" t="str">
        <f>IFERROR(IF(D2343="","",VLOOKUP(D2343,CadProd!$A:$B,2,0)),"")</f>
        <v/>
      </c>
      <c r="F2343" t="str">
        <f>IFERROR(IF(D2343="","",VLOOKUP(D2343,CadProd!$A:$C,3,0)),"")</f>
        <v/>
      </c>
    </row>
    <row r="2344" spans="5:6" x14ac:dyDescent="0.3">
      <c r="E2344" t="str">
        <f>IFERROR(IF(D2344="","",VLOOKUP(D2344,CadProd!$A:$B,2,0)),"")</f>
        <v/>
      </c>
      <c r="F2344" t="str">
        <f>IFERROR(IF(D2344="","",VLOOKUP(D2344,CadProd!$A:$C,3,0)),"")</f>
        <v/>
      </c>
    </row>
    <row r="2345" spans="5:6" x14ac:dyDescent="0.3">
      <c r="E2345" t="str">
        <f>IFERROR(IF(D2345="","",VLOOKUP(D2345,CadProd!$A:$B,2,0)),"")</f>
        <v/>
      </c>
      <c r="F2345" t="str">
        <f>IFERROR(IF(D2345="","",VLOOKUP(D2345,CadProd!$A:$C,3,0)),"")</f>
        <v/>
      </c>
    </row>
    <row r="2346" spans="5:6" x14ac:dyDescent="0.3">
      <c r="E2346" t="str">
        <f>IFERROR(IF(D2346="","",VLOOKUP(D2346,CadProd!$A:$B,2,0)),"")</f>
        <v/>
      </c>
      <c r="F2346" t="str">
        <f>IFERROR(IF(D2346="","",VLOOKUP(D2346,CadProd!$A:$C,3,0)),"")</f>
        <v/>
      </c>
    </row>
    <row r="2347" spans="5:6" x14ac:dyDescent="0.3">
      <c r="E2347" t="str">
        <f>IFERROR(IF(D2347="","",VLOOKUP(D2347,CadProd!$A:$B,2,0)),"")</f>
        <v/>
      </c>
      <c r="F2347" t="str">
        <f>IFERROR(IF(D2347="","",VLOOKUP(D2347,CadProd!$A:$C,3,0)),"")</f>
        <v/>
      </c>
    </row>
    <row r="2348" spans="5:6" x14ac:dyDescent="0.3">
      <c r="E2348" t="str">
        <f>IFERROR(IF(D2348="","",VLOOKUP(D2348,CadProd!$A:$B,2,0)),"")</f>
        <v/>
      </c>
      <c r="F2348" t="str">
        <f>IFERROR(IF(D2348="","",VLOOKUP(D2348,CadProd!$A:$C,3,0)),"")</f>
        <v/>
      </c>
    </row>
    <row r="2349" spans="5:6" x14ac:dyDescent="0.3">
      <c r="E2349" t="str">
        <f>IFERROR(IF(D2349="","",VLOOKUP(D2349,CadProd!$A:$B,2,0)),"")</f>
        <v/>
      </c>
      <c r="F2349" t="str">
        <f>IFERROR(IF(D2349="","",VLOOKUP(D2349,CadProd!$A:$C,3,0)),"")</f>
        <v/>
      </c>
    </row>
    <row r="2350" spans="5:6" x14ac:dyDescent="0.3">
      <c r="E2350" t="str">
        <f>IFERROR(IF(D2350="","",VLOOKUP(D2350,CadProd!$A:$B,2,0)),"")</f>
        <v/>
      </c>
      <c r="F2350" t="str">
        <f>IFERROR(IF(D2350="","",VLOOKUP(D2350,CadProd!$A:$C,3,0)),"")</f>
        <v/>
      </c>
    </row>
    <row r="2351" spans="5:6" x14ac:dyDescent="0.3">
      <c r="E2351" t="str">
        <f>IFERROR(IF(D2351="","",VLOOKUP(D2351,CadProd!$A:$B,2,0)),"")</f>
        <v/>
      </c>
      <c r="F2351" t="str">
        <f>IFERROR(IF(D2351="","",VLOOKUP(D2351,CadProd!$A:$C,3,0)),"")</f>
        <v/>
      </c>
    </row>
    <row r="2352" spans="5:6" x14ac:dyDescent="0.3">
      <c r="E2352" t="str">
        <f>IFERROR(IF(D2352="","",VLOOKUP(D2352,CadProd!$A:$B,2,0)),"")</f>
        <v/>
      </c>
      <c r="F2352" t="str">
        <f>IFERROR(IF(D2352="","",VLOOKUP(D2352,CadProd!$A:$C,3,0)),"")</f>
        <v/>
      </c>
    </row>
    <row r="2353" spans="5:6" x14ac:dyDescent="0.3">
      <c r="E2353" t="str">
        <f>IFERROR(IF(D2353="","",VLOOKUP(D2353,CadProd!$A:$B,2,0)),"")</f>
        <v/>
      </c>
      <c r="F2353" t="str">
        <f>IFERROR(IF(D2353="","",VLOOKUP(D2353,CadProd!$A:$C,3,0)),"")</f>
        <v/>
      </c>
    </row>
    <row r="2354" spans="5:6" x14ac:dyDescent="0.3">
      <c r="E2354" t="str">
        <f>IFERROR(IF(D2354="","",VLOOKUP(D2354,CadProd!$A:$B,2,0)),"")</f>
        <v/>
      </c>
      <c r="F2354" t="str">
        <f>IFERROR(IF(D2354="","",VLOOKUP(D2354,CadProd!$A:$C,3,0)),"")</f>
        <v/>
      </c>
    </row>
    <row r="2355" spans="5:6" x14ac:dyDescent="0.3">
      <c r="E2355" t="str">
        <f>IFERROR(IF(D2355="","",VLOOKUP(D2355,CadProd!$A:$B,2,0)),"")</f>
        <v/>
      </c>
      <c r="F2355" t="str">
        <f>IFERROR(IF(D2355="","",VLOOKUP(D2355,CadProd!$A:$C,3,0)),"")</f>
        <v/>
      </c>
    </row>
    <row r="2356" spans="5:6" x14ac:dyDescent="0.3">
      <c r="E2356" t="str">
        <f>IFERROR(IF(D2356="","",VLOOKUP(D2356,CadProd!$A:$B,2,0)),"")</f>
        <v/>
      </c>
      <c r="F2356" t="str">
        <f>IFERROR(IF(D2356="","",VLOOKUP(D2356,CadProd!$A:$C,3,0)),"")</f>
        <v/>
      </c>
    </row>
    <row r="2357" spans="5:6" x14ac:dyDescent="0.3">
      <c r="E2357" t="str">
        <f>IFERROR(IF(D2357="","",VLOOKUP(D2357,CadProd!$A:$B,2,0)),"")</f>
        <v/>
      </c>
      <c r="F2357" t="str">
        <f>IFERROR(IF(D2357="","",VLOOKUP(D2357,CadProd!$A:$C,3,0)),"")</f>
        <v/>
      </c>
    </row>
    <row r="2358" spans="5:6" x14ac:dyDescent="0.3">
      <c r="E2358" t="str">
        <f>IFERROR(IF(D2358="","",VLOOKUP(D2358,CadProd!$A:$B,2,0)),"")</f>
        <v/>
      </c>
      <c r="F2358" t="str">
        <f>IFERROR(IF(D2358="","",VLOOKUP(D2358,CadProd!$A:$C,3,0)),"")</f>
        <v/>
      </c>
    </row>
    <row r="2359" spans="5:6" x14ac:dyDescent="0.3">
      <c r="E2359" t="str">
        <f>IFERROR(IF(D2359="","",VLOOKUP(D2359,CadProd!$A:$B,2,0)),"")</f>
        <v/>
      </c>
      <c r="F2359" t="str">
        <f>IFERROR(IF(D2359="","",VLOOKUP(D2359,CadProd!$A:$C,3,0)),"")</f>
        <v/>
      </c>
    </row>
    <row r="2360" spans="5:6" x14ac:dyDescent="0.3">
      <c r="E2360" t="str">
        <f>IFERROR(IF(D2360="","",VLOOKUP(D2360,CadProd!$A:$B,2,0)),"")</f>
        <v/>
      </c>
      <c r="F2360" t="str">
        <f>IFERROR(IF(D2360="","",VLOOKUP(D2360,CadProd!$A:$C,3,0)),"")</f>
        <v/>
      </c>
    </row>
    <row r="2361" spans="5:6" x14ac:dyDescent="0.3">
      <c r="E2361" t="str">
        <f>IFERROR(IF(D2361="","",VLOOKUP(D2361,CadProd!$A:$B,2,0)),"")</f>
        <v/>
      </c>
      <c r="F2361" t="str">
        <f>IFERROR(IF(D2361="","",VLOOKUP(D2361,CadProd!$A:$C,3,0)),"")</f>
        <v/>
      </c>
    </row>
    <row r="2362" spans="5:6" x14ac:dyDescent="0.3">
      <c r="E2362" t="str">
        <f>IFERROR(IF(D2362="","",VLOOKUP(D2362,CadProd!$A:$B,2,0)),"")</f>
        <v/>
      </c>
      <c r="F2362" t="str">
        <f>IFERROR(IF(D2362="","",VLOOKUP(D2362,CadProd!$A:$C,3,0)),"")</f>
        <v/>
      </c>
    </row>
    <row r="2363" spans="5:6" x14ac:dyDescent="0.3">
      <c r="E2363" t="str">
        <f>IFERROR(IF(D2363="","",VLOOKUP(D2363,CadProd!$A:$B,2,0)),"")</f>
        <v/>
      </c>
      <c r="F2363" t="str">
        <f>IFERROR(IF(D2363="","",VLOOKUP(D2363,CadProd!$A:$C,3,0)),"")</f>
        <v/>
      </c>
    </row>
    <row r="2364" spans="5:6" x14ac:dyDescent="0.3">
      <c r="E2364" t="str">
        <f>IFERROR(IF(D2364="","",VLOOKUP(D2364,CadProd!$A:$B,2,0)),"")</f>
        <v/>
      </c>
      <c r="F2364" t="str">
        <f>IFERROR(IF(D2364="","",VLOOKUP(D2364,CadProd!$A:$C,3,0)),"")</f>
        <v/>
      </c>
    </row>
    <row r="2365" spans="5:6" x14ac:dyDescent="0.3">
      <c r="E2365" t="str">
        <f>IFERROR(IF(D2365="","",VLOOKUP(D2365,CadProd!$A:$B,2,0)),"")</f>
        <v/>
      </c>
      <c r="F2365" t="str">
        <f>IFERROR(IF(D2365="","",VLOOKUP(D2365,CadProd!$A:$C,3,0)),"")</f>
        <v/>
      </c>
    </row>
    <row r="2366" spans="5:6" x14ac:dyDescent="0.3">
      <c r="E2366" t="str">
        <f>IFERROR(IF(D2366="","",VLOOKUP(D2366,CadProd!$A:$B,2,0)),"")</f>
        <v/>
      </c>
      <c r="F2366" t="str">
        <f>IFERROR(IF(D2366="","",VLOOKUP(D2366,CadProd!$A:$C,3,0)),"")</f>
        <v/>
      </c>
    </row>
    <row r="2367" spans="5:6" x14ac:dyDescent="0.3">
      <c r="E2367" t="str">
        <f>IFERROR(IF(D2367="","",VLOOKUP(D2367,CadProd!$A:$B,2,0)),"")</f>
        <v/>
      </c>
      <c r="F2367" t="str">
        <f>IFERROR(IF(D2367="","",VLOOKUP(D2367,CadProd!$A:$C,3,0)),"")</f>
        <v/>
      </c>
    </row>
    <row r="2368" spans="5:6" x14ac:dyDescent="0.3">
      <c r="E2368" t="str">
        <f>IFERROR(IF(D2368="","",VLOOKUP(D2368,CadProd!$A:$B,2,0)),"")</f>
        <v/>
      </c>
      <c r="F2368" t="str">
        <f>IFERROR(IF(D2368="","",VLOOKUP(D2368,CadProd!$A:$C,3,0)),"")</f>
        <v/>
      </c>
    </row>
    <row r="2369" spans="5:6" x14ac:dyDescent="0.3">
      <c r="E2369" t="str">
        <f>IFERROR(IF(D2369="","",VLOOKUP(D2369,CadProd!$A:$B,2,0)),"")</f>
        <v/>
      </c>
      <c r="F2369" t="str">
        <f>IFERROR(IF(D2369="","",VLOOKUP(D2369,CadProd!$A:$C,3,0)),"")</f>
        <v/>
      </c>
    </row>
    <row r="2370" spans="5:6" x14ac:dyDescent="0.3">
      <c r="E2370" t="str">
        <f>IFERROR(IF(D2370="","",VLOOKUP(D2370,CadProd!$A:$B,2,0)),"")</f>
        <v/>
      </c>
      <c r="F2370" t="str">
        <f>IFERROR(IF(D2370="","",VLOOKUP(D2370,CadProd!$A:$C,3,0)),"")</f>
        <v/>
      </c>
    </row>
    <row r="2371" spans="5:6" x14ac:dyDescent="0.3">
      <c r="E2371" t="str">
        <f>IFERROR(IF(D2371="","",VLOOKUP(D2371,CadProd!$A:$B,2,0)),"")</f>
        <v/>
      </c>
      <c r="F2371" t="str">
        <f>IFERROR(IF(D2371="","",VLOOKUP(D2371,CadProd!$A:$C,3,0)),"")</f>
        <v/>
      </c>
    </row>
    <row r="2372" spans="5:6" x14ac:dyDescent="0.3">
      <c r="E2372" t="str">
        <f>IFERROR(IF(D2372="","",VLOOKUP(D2372,CadProd!$A:$B,2,0)),"")</f>
        <v/>
      </c>
      <c r="F2372" t="str">
        <f>IFERROR(IF(D2372="","",VLOOKUP(D2372,CadProd!$A:$C,3,0)),"")</f>
        <v/>
      </c>
    </row>
    <row r="2373" spans="5:6" x14ac:dyDescent="0.3">
      <c r="E2373" t="str">
        <f>IFERROR(IF(D2373="","",VLOOKUP(D2373,CadProd!$A:$B,2,0)),"")</f>
        <v/>
      </c>
      <c r="F2373" t="str">
        <f>IFERROR(IF(D2373="","",VLOOKUP(D2373,CadProd!$A:$C,3,0)),"")</f>
        <v/>
      </c>
    </row>
    <row r="2374" spans="5:6" x14ac:dyDescent="0.3">
      <c r="E2374" t="str">
        <f>IFERROR(IF(D2374="","",VLOOKUP(D2374,CadProd!$A:$B,2,0)),"")</f>
        <v/>
      </c>
      <c r="F2374" t="str">
        <f>IFERROR(IF(D2374="","",VLOOKUP(D2374,CadProd!$A:$C,3,0)),"")</f>
        <v/>
      </c>
    </row>
    <row r="2375" spans="5:6" x14ac:dyDescent="0.3">
      <c r="E2375" t="str">
        <f>IFERROR(IF(D2375="","",VLOOKUP(D2375,CadProd!$A:$B,2,0)),"")</f>
        <v/>
      </c>
      <c r="F2375" t="str">
        <f>IFERROR(IF(D2375="","",VLOOKUP(D2375,CadProd!$A:$C,3,0)),"")</f>
        <v/>
      </c>
    </row>
    <row r="2376" spans="5:6" x14ac:dyDescent="0.3">
      <c r="E2376" t="str">
        <f>IFERROR(IF(D2376="","",VLOOKUP(D2376,CadProd!$A:$B,2,0)),"")</f>
        <v/>
      </c>
      <c r="F2376" t="str">
        <f>IFERROR(IF(D2376="","",VLOOKUP(D2376,CadProd!$A:$C,3,0)),"")</f>
        <v/>
      </c>
    </row>
    <row r="2377" spans="5:6" x14ac:dyDescent="0.3">
      <c r="E2377" t="str">
        <f>IFERROR(IF(D2377="","",VLOOKUP(D2377,CadProd!$A:$B,2,0)),"")</f>
        <v/>
      </c>
      <c r="F2377" t="str">
        <f>IFERROR(IF(D2377="","",VLOOKUP(D2377,CadProd!$A:$C,3,0)),"")</f>
        <v/>
      </c>
    </row>
    <row r="2378" spans="5:6" x14ac:dyDescent="0.3">
      <c r="E2378" t="str">
        <f>IFERROR(IF(D2378="","",VLOOKUP(D2378,CadProd!$A:$B,2,0)),"")</f>
        <v/>
      </c>
      <c r="F2378" t="str">
        <f>IFERROR(IF(D2378="","",VLOOKUP(D2378,CadProd!$A:$C,3,0)),"")</f>
        <v/>
      </c>
    </row>
    <row r="2379" spans="5:6" x14ac:dyDescent="0.3">
      <c r="E2379" t="str">
        <f>IFERROR(IF(D2379="","",VLOOKUP(D2379,CadProd!$A:$B,2,0)),"")</f>
        <v/>
      </c>
      <c r="F2379" t="str">
        <f>IFERROR(IF(D2379="","",VLOOKUP(D2379,CadProd!$A:$C,3,0)),"")</f>
        <v/>
      </c>
    </row>
    <row r="2380" spans="5:6" x14ac:dyDescent="0.3">
      <c r="E2380" t="str">
        <f>IFERROR(IF(D2380="","",VLOOKUP(D2380,CadProd!$A:$B,2,0)),"")</f>
        <v/>
      </c>
      <c r="F2380" t="str">
        <f>IFERROR(IF(D2380="","",VLOOKUP(D2380,CadProd!$A:$C,3,0)),"")</f>
        <v/>
      </c>
    </row>
    <row r="2381" spans="5:6" x14ac:dyDescent="0.3">
      <c r="E2381" t="str">
        <f>IFERROR(IF(D2381="","",VLOOKUP(D2381,CadProd!$A:$B,2,0)),"")</f>
        <v/>
      </c>
      <c r="F2381" t="str">
        <f>IFERROR(IF(D2381="","",VLOOKUP(D2381,CadProd!$A:$C,3,0)),"")</f>
        <v/>
      </c>
    </row>
    <row r="2382" spans="5:6" x14ac:dyDescent="0.3">
      <c r="E2382" t="str">
        <f>IFERROR(IF(D2382="","",VLOOKUP(D2382,CadProd!$A:$B,2,0)),"")</f>
        <v/>
      </c>
      <c r="F2382" t="str">
        <f>IFERROR(IF(D2382="","",VLOOKUP(D2382,CadProd!$A:$C,3,0)),"")</f>
        <v/>
      </c>
    </row>
    <row r="2383" spans="5:6" x14ac:dyDescent="0.3">
      <c r="E2383" t="str">
        <f>IFERROR(IF(D2383="","",VLOOKUP(D2383,CadProd!$A:$B,2,0)),"")</f>
        <v/>
      </c>
      <c r="F2383" t="str">
        <f>IFERROR(IF(D2383="","",VLOOKUP(D2383,CadProd!$A:$C,3,0)),"")</f>
        <v/>
      </c>
    </row>
    <row r="2384" spans="5:6" x14ac:dyDescent="0.3">
      <c r="E2384" t="str">
        <f>IFERROR(IF(D2384="","",VLOOKUP(D2384,CadProd!$A:$B,2,0)),"")</f>
        <v/>
      </c>
      <c r="F2384" t="str">
        <f>IFERROR(IF(D2384="","",VLOOKUP(D2384,CadProd!$A:$C,3,0)),"")</f>
        <v/>
      </c>
    </row>
    <row r="2385" spans="5:6" x14ac:dyDescent="0.3">
      <c r="E2385" t="str">
        <f>IFERROR(IF(D2385="","",VLOOKUP(D2385,CadProd!$A:$B,2,0)),"")</f>
        <v/>
      </c>
      <c r="F2385" t="str">
        <f>IFERROR(IF(D2385="","",VLOOKUP(D2385,CadProd!$A:$C,3,0)),"")</f>
        <v/>
      </c>
    </row>
    <row r="2386" spans="5:6" x14ac:dyDescent="0.3">
      <c r="E2386" t="str">
        <f>IFERROR(IF(D2386="","",VLOOKUP(D2386,CadProd!$A:$B,2,0)),"")</f>
        <v/>
      </c>
      <c r="F2386" t="str">
        <f>IFERROR(IF(D2386="","",VLOOKUP(D2386,CadProd!$A:$C,3,0)),"")</f>
        <v/>
      </c>
    </row>
    <row r="2387" spans="5:6" x14ac:dyDescent="0.3">
      <c r="E2387" t="str">
        <f>IFERROR(IF(D2387="","",VLOOKUP(D2387,CadProd!$A:$B,2,0)),"")</f>
        <v/>
      </c>
      <c r="F2387" t="str">
        <f>IFERROR(IF(D2387="","",VLOOKUP(D2387,CadProd!$A:$C,3,0)),"")</f>
        <v/>
      </c>
    </row>
    <row r="2388" spans="5:6" x14ac:dyDescent="0.3">
      <c r="E2388" t="str">
        <f>IFERROR(IF(D2388="","",VLOOKUP(D2388,CadProd!$A:$B,2,0)),"")</f>
        <v/>
      </c>
      <c r="F2388" t="str">
        <f>IFERROR(IF(D2388="","",VLOOKUP(D2388,CadProd!$A:$C,3,0)),"")</f>
        <v/>
      </c>
    </row>
    <row r="2389" spans="5:6" x14ac:dyDescent="0.3">
      <c r="E2389" t="str">
        <f>IFERROR(IF(D2389="","",VLOOKUP(D2389,CadProd!$A:$B,2,0)),"")</f>
        <v/>
      </c>
      <c r="F2389" t="str">
        <f>IFERROR(IF(D2389="","",VLOOKUP(D2389,CadProd!$A:$C,3,0)),"")</f>
        <v/>
      </c>
    </row>
    <row r="2390" spans="5:6" x14ac:dyDescent="0.3">
      <c r="E2390" t="str">
        <f>IFERROR(IF(D2390="","",VLOOKUP(D2390,CadProd!$A:$B,2,0)),"")</f>
        <v/>
      </c>
      <c r="F2390" t="str">
        <f>IFERROR(IF(D2390="","",VLOOKUP(D2390,CadProd!$A:$C,3,0)),"")</f>
        <v/>
      </c>
    </row>
    <row r="2391" spans="5:6" x14ac:dyDescent="0.3">
      <c r="E2391" t="str">
        <f>IFERROR(IF(D2391="","",VLOOKUP(D2391,CadProd!$A:$B,2,0)),"")</f>
        <v/>
      </c>
      <c r="F2391" t="str">
        <f>IFERROR(IF(D2391="","",VLOOKUP(D2391,CadProd!$A:$C,3,0)),"")</f>
        <v/>
      </c>
    </row>
    <row r="2392" spans="5:6" x14ac:dyDescent="0.3">
      <c r="E2392" t="str">
        <f>IFERROR(IF(D2392="","",VLOOKUP(D2392,CadProd!$A:$B,2,0)),"")</f>
        <v/>
      </c>
      <c r="F2392" t="str">
        <f>IFERROR(IF(D2392="","",VLOOKUP(D2392,CadProd!$A:$C,3,0)),"")</f>
        <v/>
      </c>
    </row>
    <row r="2393" spans="5:6" x14ac:dyDescent="0.3">
      <c r="E2393" t="str">
        <f>IFERROR(IF(D2393="","",VLOOKUP(D2393,CadProd!$A:$B,2,0)),"")</f>
        <v/>
      </c>
      <c r="F2393" t="str">
        <f>IFERROR(IF(D2393="","",VLOOKUP(D2393,CadProd!$A:$C,3,0)),"")</f>
        <v/>
      </c>
    </row>
    <row r="2394" spans="5:6" x14ac:dyDescent="0.3">
      <c r="E2394" t="str">
        <f>IFERROR(IF(D2394="","",VLOOKUP(D2394,CadProd!$A:$B,2,0)),"")</f>
        <v/>
      </c>
      <c r="F2394" t="str">
        <f>IFERROR(IF(D2394="","",VLOOKUP(D2394,CadProd!$A:$C,3,0)),"")</f>
        <v/>
      </c>
    </row>
    <row r="2395" spans="5:6" x14ac:dyDescent="0.3">
      <c r="E2395" t="str">
        <f>IFERROR(IF(D2395="","",VLOOKUP(D2395,CadProd!$A:$B,2,0)),"")</f>
        <v/>
      </c>
      <c r="F2395" t="str">
        <f>IFERROR(IF(D2395="","",VLOOKUP(D2395,CadProd!$A:$C,3,0)),"")</f>
        <v/>
      </c>
    </row>
    <row r="2396" spans="5:6" x14ac:dyDescent="0.3">
      <c r="E2396" t="str">
        <f>IFERROR(IF(D2396="","",VLOOKUP(D2396,CadProd!$A:$B,2,0)),"")</f>
        <v/>
      </c>
      <c r="F2396" t="str">
        <f>IFERROR(IF(D2396="","",VLOOKUP(D2396,CadProd!$A:$C,3,0)),"")</f>
        <v/>
      </c>
    </row>
    <row r="2397" spans="5:6" x14ac:dyDescent="0.3">
      <c r="E2397" t="str">
        <f>IFERROR(IF(D2397="","",VLOOKUP(D2397,CadProd!$A:$B,2,0)),"")</f>
        <v/>
      </c>
      <c r="F2397" t="str">
        <f>IFERROR(IF(D2397="","",VLOOKUP(D2397,CadProd!$A:$C,3,0)),"")</f>
        <v/>
      </c>
    </row>
    <row r="2398" spans="5:6" x14ac:dyDescent="0.3">
      <c r="E2398" t="str">
        <f>IFERROR(IF(D2398="","",VLOOKUP(D2398,CadProd!$A:$B,2,0)),"")</f>
        <v/>
      </c>
      <c r="F2398" t="str">
        <f>IFERROR(IF(D2398="","",VLOOKUP(D2398,CadProd!$A:$C,3,0)),"")</f>
        <v/>
      </c>
    </row>
    <row r="2399" spans="5:6" x14ac:dyDescent="0.3">
      <c r="E2399" t="str">
        <f>IFERROR(IF(D2399="","",VLOOKUP(D2399,CadProd!$A:$B,2,0)),"")</f>
        <v/>
      </c>
      <c r="F2399" t="str">
        <f>IFERROR(IF(D2399="","",VLOOKUP(D2399,CadProd!$A:$C,3,0)),"")</f>
        <v/>
      </c>
    </row>
    <row r="2400" spans="5:6" x14ac:dyDescent="0.3">
      <c r="E2400" t="str">
        <f>IFERROR(IF(D2400="","",VLOOKUP(D2400,CadProd!$A:$B,2,0)),"")</f>
        <v/>
      </c>
      <c r="F2400" t="str">
        <f>IFERROR(IF(D2400="","",VLOOKUP(D2400,CadProd!$A:$C,3,0)),"")</f>
        <v/>
      </c>
    </row>
    <row r="2401" spans="5:6" x14ac:dyDescent="0.3">
      <c r="E2401" t="str">
        <f>IFERROR(IF(D2401="","",VLOOKUP(D2401,CadProd!$A:$B,2,0)),"")</f>
        <v/>
      </c>
      <c r="F2401" t="str">
        <f>IFERROR(IF(D2401="","",VLOOKUP(D2401,CadProd!$A:$C,3,0)),"")</f>
        <v/>
      </c>
    </row>
    <row r="2402" spans="5:6" x14ac:dyDescent="0.3">
      <c r="E2402" t="str">
        <f>IFERROR(IF(D2402="","",VLOOKUP(D2402,CadProd!$A:$B,2,0)),"")</f>
        <v/>
      </c>
      <c r="F2402" t="str">
        <f>IFERROR(IF(D2402="","",VLOOKUP(D2402,CadProd!$A:$C,3,0)),"")</f>
        <v/>
      </c>
    </row>
    <row r="2403" spans="5:6" x14ac:dyDescent="0.3">
      <c r="E2403" t="str">
        <f>IFERROR(IF(D2403="","",VLOOKUP(D2403,CadProd!$A:$B,2,0)),"")</f>
        <v/>
      </c>
      <c r="F2403" t="str">
        <f>IFERROR(IF(D2403="","",VLOOKUP(D2403,CadProd!$A:$C,3,0)),"")</f>
        <v/>
      </c>
    </row>
    <row r="2404" spans="5:6" x14ac:dyDescent="0.3">
      <c r="E2404" t="str">
        <f>IFERROR(IF(D2404="","",VLOOKUP(D2404,CadProd!$A:$B,2,0)),"")</f>
        <v/>
      </c>
      <c r="F2404" t="str">
        <f>IFERROR(IF(D2404="","",VLOOKUP(D2404,CadProd!$A:$C,3,0)),"")</f>
        <v/>
      </c>
    </row>
    <row r="2405" spans="5:6" x14ac:dyDescent="0.3">
      <c r="E2405" t="str">
        <f>IFERROR(IF(D2405="","",VLOOKUP(D2405,CadProd!$A:$B,2,0)),"")</f>
        <v/>
      </c>
      <c r="F2405" t="str">
        <f>IFERROR(IF(D2405="","",VLOOKUP(D2405,CadProd!$A:$C,3,0)),"")</f>
        <v/>
      </c>
    </row>
    <row r="2406" spans="5:6" x14ac:dyDescent="0.3">
      <c r="E2406" t="str">
        <f>IFERROR(IF(D2406="","",VLOOKUP(D2406,CadProd!$A:$B,2,0)),"")</f>
        <v/>
      </c>
      <c r="F2406" t="str">
        <f>IFERROR(IF(D2406="","",VLOOKUP(D2406,CadProd!$A:$C,3,0)),"")</f>
        <v/>
      </c>
    </row>
    <row r="2407" spans="5:6" x14ac:dyDescent="0.3">
      <c r="E2407" t="str">
        <f>IFERROR(IF(D2407="","",VLOOKUP(D2407,CadProd!$A:$B,2,0)),"")</f>
        <v/>
      </c>
      <c r="F2407" t="str">
        <f>IFERROR(IF(D2407="","",VLOOKUP(D2407,CadProd!$A:$C,3,0)),"")</f>
        <v/>
      </c>
    </row>
    <row r="2408" spans="5:6" x14ac:dyDescent="0.3">
      <c r="E2408" t="str">
        <f>IFERROR(IF(D2408="","",VLOOKUP(D2408,CadProd!$A:$B,2,0)),"")</f>
        <v/>
      </c>
      <c r="F2408" t="str">
        <f>IFERROR(IF(D2408="","",VLOOKUP(D2408,CadProd!$A:$C,3,0)),"")</f>
        <v/>
      </c>
    </row>
    <row r="2409" spans="5:6" x14ac:dyDescent="0.3">
      <c r="E2409" t="str">
        <f>IFERROR(IF(D2409="","",VLOOKUP(D2409,CadProd!$A:$B,2,0)),"")</f>
        <v/>
      </c>
      <c r="F2409" t="str">
        <f>IFERROR(IF(D2409="","",VLOOKUP(D2409,CadProd!$A:$C,3,0)),"")</f>
        <v/>
      </c>
    </row>
    <row r="2410" spans="5:6" x14ac:dyDescent="0.3">
      <c r="E2410" t="str">
        <f>IFERROR(IF(D2410="","",VLOOKUP(D2410,CadProd!$A:$B,2,0)),"")</f>
        <v/>
      </c>
      <c r="F2410" t="str">
        <f>IFERROR(IF(D2410="","",VLOOKUP(D2410,CadProd!$A:$C,3,0)),"")</f>
        <v/>
      </c>
    </row>
    <row r="2411" spans="5:6" x14ac:dyDescent="0.3">
      <c r="E2411" t="str">
        <f>IFERROR(IF(D2411="","",VLOOKUP(D2411,CadProd!$A:$B,2,0)),"")</f>
        <v/>
      </c>
      <c r="F2411" t="str">
        <f>IFERROR(IF(D2411="","",VLOOKUP(D2411,CadProd!$A:$C,3,0)),"")</f>
        <v/>
      </c>
    </row>
    <row r="2412" spans="5:6" x14ac:dyDescent="0.3">
      <c r="E2412" t="str">
        <f>IFERROR(IF(D2412="","",VLOOKUP(D2412,CadProd!$A:$B,2,0)),"")</f>
        <v/>
      </c>
      <c r="F2412" t="str">
        <f>IFERROR(IF(D2412="","",VLOOKUP(D2412,CadProd!$A:$C,3,0)),"")</f>
        <v/>
      </c>
    </row>
    <row r="2413" spans="5:6" x14ac:dyDescent="0.3">
      <c r="E2413" t="str">
        <f>IFERROR(IF(D2413="","",VLOOKUP(D2413,CadProd!$A:$B,2,0)),"")</f>
        <v/>
      </c>
      <c r="F2413" t="str">
        <f>IFERROR(IF(D2413="","",VLOOKUP(D2413,CadProd!$A:$C,3,0)),"")</f>
        <v/>
      </c>
    </row>
    <row r="2414" spans="5:6" x14ac:dyDescent="0.3">
      <c r="E2414" t="str">
        <f>IFERROR(IF(D2414="","",VLOOKUP(D2414,CadProd!$A:$B,2,0)),"")</f>
        <v/>
      </c>
      <c r="F2414" t="str">
        <f>IFERROR(IF(D2414="","",VLOOKUP(D2414,CadProd!$A:$C,3,0)),"")</f>
        <v/>
      </c>
    </row>
    <row r="2415" spans="5:6" x14ac:dyDescent="0.3">
      <c r="E2415" t="str">
        <f>IFERROR(IF(D2415="","",VLOOKUP(D2415,CadProd!$A:$B,2,0)),"")</f>
        <v/>
      </c>
      <c r="F2415" t="str">
        <f>IFERROR(IF(D2415="","",VLOOKUP(D2415,CadProd!$A:$C,3,0)),"")</f>
        <v/>
      </c>
    </row>
    <row r="2416" spans="5:6" x14ac:dyDescent="0.3">
      <c r="E2416" t="str">
        <f>IFERROR(IF(D2416="","",VLOOKUP(D2416,CadProd!$A:$B,2,0)),"")</f>
        <v/>
      </c>
      <c r="F2416" t="str">
        <f>IFERROR(IF(D2416="","",VLOOKUP(D2416,CadProd!$A:$C,3,0)),"")</f>
        <v/>
      </c>
    </row>
    <row r="2417" spans="5:6" x14ac:dyDescent="0.3">
      <c r="E2417" t="str">
        <f>IFERROR(IF(D2417="","",VLOOKUP(D2417,CadProd!$A:$B,2,0)),"")</f>
        <v/>
      </c>
      <c r="F2417" t="str">
        <f>IFERROR(IF(D2417="","",VLOOKUP(D2417,CadProd!$A:$C,3,0)),"")</f>
        <v/>
      </c>
    </row>
    <row r="2418" spans="5:6" x14ac:dyDescent="0.3">
      <c r="E2418" t="str">
        <f>IFERROR(IF(D2418="","",VLOOKUP(D2418,CadProd!$A:$B,2,0)),"")</f>
        <v/>
      </c>
      <c r="F2418" t="str">
        <f>IFERROR(IF(D2418="","",VLOOKUP(D2418,CadProd!$A:$C,3,0)),"")</f>
        <v/>
      </c>
    </row>
    <row r="2419" spans="5:6" x14ac:dyDescent="0.3">
      <c r="E2419" t="str">
        <f>IFERROR(IF(D2419="","",VLOOKUP(D2419,CadProd!$A:$B,2,0)),"")</f>
        <v/>
      </c>
      <c r="F2419" t="str">
        <f>IFERROR(IF(D2419="","",VLOOKUP(D2419,CadProd!$A:$C,3,0)),"")</f>
        <v/>
      </c>
    </row>
    <row r="2420" spans="5:6" x14ac:dyDescent="0.3">
      <c r="E2420" t="str">
        <f>IFERROR(IF(D2420="","",VLOOKUP(D2420,CadProd!$A:$B,2,0)),"")</f>
        <v/>
      </c>
      <c r="F2420" t="str">
        <f>IFERROR(IF(D2420="","",VLOOKUP(D2420,CadProd!$A:$C,3,0)),"")</f>
        <v/>
      </c>
    </row>
    <row r="2421" spans="5:6" x14ac:dyDescent="0.3">
      <c r="E2421" t="str">
        <f>IFERROR(IF(D2421="","",VLOOKUP(D2421,CadProd!$A:$B,2,0)),"")</f>
        <v/>
      </c>
      <c r="F2421" t="str">
        <f>IFERROR(IF(D2421="","",VLOOKUP(D2421,CadProd!$A:$C,3,0)),"")</f>
        <v/>
      </c>
    </row>
    <row r="2422" spans="5:6" x14ac:dyDescent="0.3">
      <c r="E2422" t="str">
        <f>IFERROR(IF(D2422="","",VLOOKUP(D2422,CadProd!$A:$B,2,0)),"")</f>
        <v/>
      </c>
      <c r="F2422" t="str">
        <f>IFERROR(IF(D2422="","",VLOOKUP(D2422,CadProd!$A:$C,3,0)),"")</f>
        <v/>
      </c>
    </row>
    <row r="2423" spans="5:6" x14ac:dyDescent="0.3">
      <c r="E2423" t="str">
        <f>IFERROR(IF(D2423="","",VLOOKUP(D2423,CadProd!$A:$B,2,0)),"")</f>
        <v/>
      </c>
      <c r="F2423" t="str">
        <f>IFERROR(IF(D2423="","",VLOOKUP(D2423,CadProd!$A:$C,3,0)),"")</f>
        <v/>
      </c>
    </row>
    <row r="2424" spans="5:6" x14ac:dyDescent="0.3">
      <c r="E2424" t="str">
        <f>IFERROR(IF(D2424="","",VLOOKUP(D2424,CadProd!$A:$B,2,0)),"")</f>
        <v/>
      </c>
      <c r="F2424" t="str">
        <f>IFERROR(IF(D2424="","",VLOOKUP(D2424,CadProd!$A:$C,3,0)),"")</f>
        <v/>
      </c>
    </row>
    <row r="2425" spans="5:6" x14ac:dyDescent="0.3">
      <c r="E2425" t="str">
        <f>IFERROR(IF(D2425="","",VLOOKUP(D2425,CadProd!$A:$B,2,0)),"")</f>
        <v/>
      </c>
      <c r="F2425" t="str">
        <f>IFERROR(IF(D2425="","",VLOOKUP(D2425,CadProd!$A:$C,3,0)),"")</f>
        <v/>
      </c>
    </row>
    <row r="2426" spans="5:6" x14ac:dyDescent="0.3">
      <c r="E2426" t="str">
        <f>IFERROR(IF(D2426="","",VLOOKUP(D2426,CadProd!$A:$B,2,0)),"")</f>
        <v/>
      </c>
      <c r="F2426" t="str">
        <f>IFERROR(IF(D2426="","",VLOOKUP(D2426,CadProd!$A:$C,3,0)),"")</f>
        <v/>
      </c>
    </row>
    <row r="2427" spans="5:6" x14ac:dyDescent="0.3">
      <c r="E2427" t="str">
        <f>IFERROR(IF(D2427="","",VLOOKUP(D2427,CadProd!$A:$B,2,0)),"")</f>
        <v/>
      </c>
      <c r="F2427" t="str">
        <f>IFERROR(IF(D2427="","",VLOOKUP(D2427,CadProd!$A:$C,3,0)),"")</f>
        <v/>
      </c>
    </row>
    <row r="2428" spans="5:6" x14ac:dyDescent="0.3">
      <c r="E2428" t="str">
        <f>IFERROR(IF(D2428="","",VLOOKUP(D2428,CadProd!$A:$B,2,0)),"")</f>
        <v/>
      </c>
      <c r="F2428" t="str">
        <f>IFERROR(IF(D2428="","",VLOOKUP(D2428,CadProd!$A:$C,3,0)),"")</f>
        <v/>
      </c>
    </row>
    <row r="2429" spans="5:6" x14ac:dyDescent="0.3">
      <c r="E2429" t="str">
        <f>IFERROR(IF(D2429="","",VLOOKUP(D2429,CadProd!$A:$B,2,0)),"")</f>
        <v/>
      </c>
      <c r="F2429" t="str">
        <f>IFERROR(IF(D2429="","",VLOOKUP(D2429,CadProd!$A:$C,3,0)),"")</f>
        <v/>
      </c>
    </row>
    <row r="2430" spans="5:6" x14ac:dyDescent="0.3">
      <c r="E2430" t="str">
        <f>IFERROR(IF(D2430="","",VLOOKUP(D2430,CadProd!$A:$B,2,0)),"")</f>
        <v/>
      </c>
      <c r="F2430" t="str">
        <f>IFERROR(IF(D2430="","",VLOOKUP(D2430,CadProd!$A:$C,3,0)),"")</f>
        <v/>
      </c>
    </row>
    <row r="2431" spans="5:6" x14ac:dyDescent="0.3">
      <c r="E2431" t="str">
        <f>IFERROR(IF(D2431="","",VLOOKUP(D2431,CadProd!$A:$B,2,0)),"")</f>
        <v/>
      </c>
      <c r="F2431" t="str">
        <f>IFERROR(IF(D2431="","",VLOOKUP(D2431,CadProd!$A:$C,3,0)),"")</f>
        <v/>
      </c>
    </row>
    <row r="2432" spans="5:6" x14ac:dyDescent="0.3">
      <c r="E2432" t="str">
        <f>IFERROR(IF(D2432="","",VLOOKUP(D2432,CadProd!$A:$B,2,0)),"")</f>
        <v/>
      </c>
      <c r="F2432" t="str">
        <f>IFERROR(IF(D2432="","",VLOOKUP(D2432,CadProd!$A:$C,3,0)),"")</f>
        <v/>
      </c>
    </row>
    <row r="2433" spans="5:6" x14ac:dyDescent="0.3">
      <c r="E2433" t="str">
        <f>IFERROR(IF(D2433="","",VLOOKUP(D2433,CadProd!$A:$B,2,0)),"")</f>
        <v/>
      </c>
      <c r="F2433" t="str">
        <f>IFERROR(IF(D2433="","",VLOOKUP(D2433,CadProd!$A:$C,3,0)),"")</f>
        <v/>
      </c>
    </row>
    <row r="2434" spans="5:6" x14ac:dyDescent="0.3">
      <c r="E2434" t="str">
        <f>IFERROR(IF(D2434="","",VLOOKUP(D2434,CadProd!$A:$B,2,0)),"")</f>
        <v/>
      </c>
      <c r="F2434" t="str">
        <f>IFERROR(IF(D2434="","",VLOOKUP(D2434,CadProd!$A:$C,3,0)),"")</f>
        <v/>
      </c>
    </row>
    <row r="2435" spans="5:6" x14ac:dyDescent="0.3">
      <c r="E2435" t="str">
        <f>IFERROR(IF(D2435="","",VLOOKUP(D2435,CadProd!$A:$B,2,0)),"")</f>
        <v/>
      </c>
      <c r="F2435" t="str">
        <f>IFERROR(IF(D2435="","",VLOOKUP(D2435,CadProd!$A:$C,3,0)),"")</f>
        <v/>
      </c>
    </row>
    <row r="2436" spans="5:6" x14ac:dyDescent="0.3">
      <c r="E2436" t="str">
        <f>IFERROR(IF(D2436="","",VLOOKUP(D2436,CadProd!$A:$B,2,0)),"")</f>
        <v/>
      </c>
      <c r="F2436" t="str">
        <f>IFERROR(IF(D2436="","",VLOOKUP(D2436,CadProd!$A:$C,3,0)),"")</f>
        <v/>
      </c>
    </row>
    <row r="2437" spans="5:6" x14ac:dyDescent="0.3">
      <c r="E2437" t="str">
        <f>IFERROR(IF(D2437="","",VLOOKUP(D2437,CadProd!$A:$B,2,0)),"")</f>
        <v/>
      </c>
      <c r="F2437" t="str">
        <f>IFERROR(IF(D2437="","",VLOOKUP(D2437,CadProd!$A:$C,3,0)),"")</f>
        <v/>
      </c>
    </row>
    <row r="2438" spans="5:6" x14ac:dyDescent="0.3">
      <c r="E2438" t="str">
        <f>IFERROR(IF(D2438="","",VLOOKUP(D2438,CadProd!$A:$B,2,0)),"")</f>
        <v/>
      </c>
      <c r="F2438" t="str">
        <f>IFERROR(IF(D2438="","",VLOOKUP(D2438,CadProd!$A:$C,3,0)),"")</f>
        <v/>
      </c>
    </row>
    <row r="2439" spans="5:6" x14ac:dyDescent="0.3">
      <c r="E2439" t="str">
        <f>IFERROR(IF(D2439="","",VLOOKUP(D2439,CadProd!$A:$B,2,0)),"")</f>
        <v/>
      </c>
      <c r="F2439" t="str">
        <f>IFERROR(IF(D2439="","",VLOOKUP(D2439,CadProd!$A:$C,3,0)),"")</f>
        <v/>
      </c>
    </row>
    <row r="2440" spans="5:6" x14ac:dyDescent="0.3">
      <c r="E2440" t="str">
        <f>IFERROR(IF(D2440="","",VLOOKUP(D2440,CadProd!$A:$B,2,0)),"")</f>
        <v/>
      </c>
      <c r="F2440" t="str">
        <f>IFERROR(IF(D2440="","",VLOOKUP(D2440,CadProd!$A:$C,3,0)),"")</f>
        <v/>
      </c>
    </row>
    <row r="2441" spans="5:6" x14ac:dyDescent="0.3">
      <c r="E2441" t="str">
        <f>IFERROR(IF(D2441="","",VLOOKUP(D2441,CadProd!$A:$B,2,0)),"")</f>
        <v/>
      </c>
      <c r="F2441" t="str">
        <f>IFERROR(IF(D2441="","",VLOOKUP(D2441,CadProd!$A:$C,3,0)),"")</f>
        <v/>
      </c>
    </row>
    <row r="2442" spans="5:6" x14ac:dyDescent="0.3">
      <c r="E2442" t="str">
        <f>IFERROR(IF(D2442="","",VLOOKUP(D2442,CadProd!$A:$B,2,0)),"")</f>
        <v/>
      </c>
      <c r="F2442" t="str">
        <f>IFERROR(IF(D2442="","",VLOOKUP(D2442,CadProd!$A:$C,3,0)),"")</f>
        <v/>
      </c>
    </row>
    <row r="2443" spans="5:6" x14ac:dyDescent="0.3">
      <c r="E2443" t="str">
        <f>IFERROR(IF(D2443="","",VLOOKUP(D2443,CadProd!$A:$B,2,0)),"")</f>
        <v/>
      </c>
      <c r="F2443" t="str">
        <f>IFERROR(IF(D2443="","",VLOOKUP(D2443,CadProd!$A:$C,3,0)),"")</f>
        <v/>
      </c>
    </row>
    <row r="2444" spans="5:6" x14ac:dyDescent="0.3">
      <c r="E2444" t="str">
        <f>IFERROR(IF(D2444="","",VLOOKUP(D2444,CadProd!$A:$B,2,0)),"")</f>
        <v/>
      </c>
      <c r="F2444" t="str">
        <f>IFERROR(IF(D2444="","",VLOOKUP(D2444,CadProd!$A:$C,3,0)),"")</f>
        <v/>
      </c>
    </row>
    <row r="2445" spans="5:6" x14ac:dyDescent="0.3">
      <c r="E2445" t="str">
        <f>IFERROR(IF(D2445="","",VLOOKUP(D2445,CadProd!$A:$B,2,0)),"")</f>
        <v/>
      </c>
      <c r="F2445" t="str">
        <f>IFERROR(IF(D2445="","",VLOOKUP(D2445,CadProd!$A:$C,3,0)),"")</f>
        <v/>
      </c>
    </row>
    <row r="2446" spans="5:6" x14ac:dyDescent="0.3">
      <c r="E2446" t="str">
        <f>IFERROR(IF(D2446="","",VLOOKUP(D2446,CadProd!$A:$B,2,0)),"")</f>
        <v/>
      </c>
      <c r="F2446" t="str">
        <f>IFERROR(IF(D2446="","",VLOOKUP(D2446,CadProd!$A:$C,3,0)),"")</f>
        <v/>
      </c>
    </row>
    <row r="2447" spans="5:6" x14ac:dyDescent="0.3">
      <c r="E2447" t="str">
        <f>IFERROR(IF(D2447="","",VLOOKUP(D2447,CadProd!$A:$B,2,0)),"")</f>
        <v/>
      </c>
      <c r="F2447" t="str">
        <f>IFERROR(IF(D2447="","",VLOOKUP(D2447,CadProd!$A:$C,3,0)),"")</f>
        <v/>
      </c>
    </row>
    <row r="2448" spans="5:6" x14ac:dyDescent="0.3">
      <c r="E2448" t="str">
        <f>IFERROR(IF(D2448="","",VLOOKUP(D2448,CadProd!$A:$B,2,0)),"")</f>
        <v/>
      </c>
      <c r="F2448" t="str">
        <f>IFERROR(IF(D2448="","",VLOOKUP(D2448,CadProd!$A:$C,3,0)),"")</f>
        <v/>
      </c>
    </row>
    <row r="2449" spans="5:6" x14ac:dyDescent="0.3">
      <c r="E2449" t="str">
        <f>IFERROR(IF(D2449="","",VLOOKUP(D2449,CadProd!$A:$B,2,0)),"")</f>
        <v/>
      </c>
      <c r="F2449" t="str">
        <f>IFERROR(IF(D2449="","",VLOOKUP(D2449,CadProd!$A:$C,3,0)),"")</f>
        <v/>
      </c>
    </row>
    <row r="2450" spans="5:6" x14ac:dyDescent="0.3">
      <c r="E2450" t="str">
        <f>IFERROR(IF(D2450="","",VLOOKUP(D2450,CadProd!$A:$B,2,0)),"")</f>
        <v/>
      </c>
      <c r="F2450" t="str">
        <f>IFERROR(IF(D2450="","",VLOOKUP(D2450,CadProd!$A:$C,3,0)),"")</f>
        <v/>
      </c>
    </row>
    <row r="2451" spans="5:6" x14ac:dyDescent="0.3">
      <c r="E2451" t="str">
        <f>IFERROR(IF(D2451="","",VLOOKUP(D2451,CadProd!$A:$B,2,0)),"")</f>
        <v/>
      </c>
      <c r="F2451" t="str">
        <f>IFERROR(IF(D2451="","",VLOOKUP(D2451,CadProd!$A:$C,3,0)),"")</f>
        <v/>
      </c>
    </row>
    <row r="2452" spans="5:6" x14ac:dyDescent="0.3">
      <c r="E2452" t="str">
        <f>IFERROR(IF(D2452="","",VLOOKUP(D2452,CadProd!$A:$B,2,0)),"")</f>
        <v/>
      </c>
      <c r="F2452" t="str">
        <f>IFERROR(IF(D2452="","",VLOOKUP(D2452,CadProd!$A:$C,3,0)),"")</f>
        <v/>
      </c>
    </row>
    <row r="2453" spans="5:6" x14ac:dyDescent="0.3">
      <c r="E2453" t="str">
        <f>IFERROR(IF(D2453="","",VLOOKUP(D2453,CadProd!$A:$B,2,0)),"")</f>
        <v/>
      </c>
      <c r="F2453" t="str">
        <f>IFERROR(IF(D2453="","",VLOOKUP(D2453,CadProd!$A:$C,3,0)),"")</f>
        <v/>
      </c>
    </row>
    <row r="2454" spans="5:6" x14ac:dyDescent="0.3">
      <c r="E2454" t="str">
        <f>IFERROR(IF(D2454="","",VLOOKUP(D2454,CadProd!$A:$B,2,0)),"")</f>
        <v/>
      </c>
      <c r="F2454" t="str">
        <f>IFERROR(IF(D2454="","",VLOOKUP(D2454,CadProd!$A:$C,3,0)),"")</f>
        <v/>
      </c>
    </row>
    <row r="2455" spans="5:6" x14ac:dyDescent="0.3">
      <c r="E2455" t="str">
        <f>IFERROR(IF(D2455="","",VLOOKUP(D2455,CadProd!$A:$B,2,0)),"")</f>
        <v/>
      </c>
      <c r="F2455" t="str">
        <f>IFERROR(IF(D2455="","",VLOOKUP(D2455,CadProd!$A:$C,3,0)),"")</f>
        <v/>
      </c>
    </row>
    <row r="2456" spans="5:6" x14ac:dyDescent="0.3">
      <c r="E2456" t="str">
        <f>IFERROR(IF(D2456="","",VLOOKUP(D2456,CadProd!$A:$B,2,0)),"")</f>
        <v/>
      </c>
      <c r="F2456" t="str">
        <f>IFERROR(IF(D2456="","",VLOOKUP(D2456,CadProd!$A:$C,3,0)),"")</f>
        <v/>
      </c>
    </row>
    <row r="2457" spans="5:6" x14ac:dyDescent="0.3">
      <c r="E2457" t="str">
        <f>IFERROR(IF(D2457="","",VLOOKUP(D2457,CadProd!$A:$B,2,0)),"")</f>
        <v/>
      </c>
      <c r="F2457" t="str">
        <f>IFERROR(IF(D2457="","",VLOOKUP(D2457,CadProd!$A:$C,3,0)),"")</f>
        <v/>
      </c>
    </row>
    <row r="2458" spans="5:6" x14ac:dyDescent="0.3">
      <c r="E2458" t="str">
        <f>IFERROR(IF(D2458="","",VLOOKUP(D2458,CadProd!$A:$B,2,0)),"")</f>
        <v/>
      </c>
      <c r="F2458" t="str">
        <f>IFERROR(IF(D2458="","",VLOOKUP(D2458,CadProd!$A:$C,3,0)),"")</f>
        <v/>
      </c>
    </row>
    <row r="2459" spans="5:6" x14ac:dyDescent="0.3">
      <c r="E2459" t="str">
        <f>IFERROR(IF(D2459="","",VLOOKUP(D2459,CadProd!$A:$B,2,0)),"")</f>
        <v/>
      </c>
      <c r="F2459" t="str">
        <f>IFERROR(IF(D2459="","",VLOOKUP(D2459,CadProd!$A:$C,3,0)),"")</f>
        <v/>
      </c>
    </row>
    <row r="2460" spans="5:6" x14ac:dyDescent="0.3">
      <c r="E2460" t="str">
        <f>IFERROR(IF(D2460="","",VLOOKUP(D2460,CadProd!$A:$B,2,0)),"")</f>
        <v/>
      </c>
      <c r="F2460" t="str">
        <f>IFERROR(IF(D2460="","",VLOOKUP(D2460,CadProd!$A:$C,3,0)),"")</f>
        <v/>
      </c>
    </row>
    <row r="2461" spans="5:6" x14ac:dyDescent="0.3">
      <c r="E2461" t="str">
        <f>IFERROR(IF(D2461="","",VLOOKUP(D2461,CadProd!$A:$B,2,0)),"")</f>
        <v/>
      </c>
      <c r="F2461" t="str">
        <f>IFERROR(IF(D2461="","",VLOOKUP(D2461,CadProd!$A:$C,3,0)),"")</f>
        <v/>
      </c>
    </row>
    <row r="2462" spans="5:6" x14ac:dyDescent="0.3">
      <c r="E2462" t="str">
        <f>IFERROR(IF(D2462="","",VLOOKUP(D2462,CadProd!$A:$B,2,0)),"")</f>
        <v/>
      </c>
      <c r="F2462" t="str">
        <f>IFERROR(IF(D2462="","",VLOOKUP(D2462,CadProd!$A:$C,3,0)),"")</f>
        <v/>
      </c>
    </row>
    <row r="2463" spans="5:6" x14ac:dyDescent="0.3">
      <c r="E2463" t="str">
        <f>IFERROR(IF(D2463="","",VLOOKUP(D2463,CadProd!$A:$B,2,0)),"")</f>
        <v/>
      </c>
      <c r="F2463" t="str">
        <f>IFERROR(IF(D2463="","",VLOOKUP(D2463,CadProd!$A:$C,3,0)),"")</f>
        <v/>
      </c>
    </row>
    <row r="2464" spans="5:6" x14ac:dyDescent="0.3">
      <c r="E2464" t="str">
        <f>IFERROR(IF(D2464="","",VLOOKUP(D2464,CadProd!$A:$B,2,0)),"")</f>
        <v/>
      </c>
      <c r="F2464" t="str">
        <f>IFERROR(IF(D2464="","",VLOOKUP(D2464,CadProd!$A:$C,3,0)),"")</f>
        <v/>
      </c>
    </row>
    <row r="2465" spans="5:6" x14ac:dyDescent="0.3">
      <c r="E2465" t="str">
        <f>IFERROR(IF(D2465="","",VLOOKUP(D2465,CadProd!$A:$B,2,0)),"")</f>
        <v/>
      </c>
      <c r="F2465" t="str">
        <f>IFERROR(IF(D2465="","",VLOOKUP(D2465,CadProd!$A:$C,3,0)),"")</f>
        <v/>
      </c>
    </row>
    <row r="2466" spans="5:6" x14ac:dyDescent="0.3">
      <c r="E2466" t="str">
        <f>IFERROR(IF(D2466="","",VLOOKUP(D2466,CadProd!$A:$B,2,0)),"")</f>
        <v/>
      </c>
      <c r="F2466" t="str">
        <f>IFERROR(IF(D2466="","",VLOOKUP(D2466,CadProd!$A:$C,3,0)),"")</f>
        <v/>
      </c>
    </row>
    <row r="2467" spans="5:6" x14ac:dyDescent="0.3">
      <c r="E2467" t="str">
        <f>IFERROR(IF(D2467="","",VLOOKUP(D2467,CadProd!$A:$B,2,0)),"")</f>
        <v/>
      </c>
      <c r="F2467" t="str">
        <f>IFERROR(IF(D2467="","",VLOOKUP(D2467,CadProd!$A:$C,3,0)),"")</f>
        <v/>
      </c>
    </row>
    <row r="2468" spans="5:6" x14ac:dyDescent="0.3">
      <c r="E2468" t="str">
        <f>IFERROR(IF(D2468="","",VLOOKUP(D2468,CadProd!$A:$B,2,0)),"")</f>
        <v/>
      </c>
      <c r="F2468" t="str">
        <f>IFERROR(IF(D2468="","",VLOOKUP(D2468,CadProd!$A:$C,3,0)),"")</f>
        <v/>
      </c>
    </row>
    <row r="2469" spans="5:6" x14ac:dyDescent="0.3">
      <c r="E2469" t="str">
        <f>IFERROR(IF(D2469="","",VLOOKUP(D2469,CadProd!$A:$B,2,0)),"")</f>
        <v/>
      </c>
      <c r="F2469" t="str">
        <f>IFERROR(IF(D2469="","",VLOOKUP(D2469,CadProd!$A:$C,3,0)),"")</f>
        <v/>
      </c>
    </row>
    <row r="2470" spans="5:6" x14ac:dyDescent="0.3">
      <c r="E2470" t="str">
        <f>IFERROR(IF(D2470="","",VLOOKUP(D2470,CadProd!$A:$B,2,0)),"")</f>
        <v/>
      </c>
      <c r="F2470" t="str">
        <f>IFERROR(IF(D2470="","",VLOOKUP(D2470,CadProd!$A:$C,3,0)),"")</f>
        <v/>
      </c>
    </row>
    <row r="2471" spans="5:6" x14ac:dyDescent="0.3">
      <c r="E2471" t="str">
        <f>IFERROR(IF(D2471="","",VLOOKUP(D2471,CadProd!$A:$B,2,0)),"")</f>
        <v/>
      </c>
      <c r="F2471" t="str">
        <f>IFERROR(IF(D2471="","",VLOOKUP(D2471,CadProd!$A:$C,3,0)),"")</f>
        <v/>
      </c>
    </row>
    <row r="2472" spans="5:6" x14ac:dyDescent="0.3">
      <c r="E2472" t="str">
        <f>IFERROR(IF(D2472="","",VLOOKUP(D2472,CadProd!$A:$B,2,0)),"")</f>
        <v/>
      </c>
      <c r="F2472" t="str">
        <f>IFERROR(IF(D2472="","",VLOOKUP(D2472,CadProd!$A:$C,3,0)),"")</f>
        <v/>
      </c>
    </row>
    <row r="2473" spans="5:6" x14ac:dyDescent="0.3">
      <c r="E2473" t="str">
        <f>IFERROR(IF(D2473="","",VLOOKUP(D2473,CadProd!$A:$B,2,0)),"")</f>
        <v/>
      </c>
      <c r="F2473" t="str">
        <f>IFERROR(IF(D2473="","",VLOOKUP(D2473,CadProd!$A:$C,3,0)),"")</f>
        <v/>
      </c>
    </row>
    <row r="2474" spans="5:6" x14ac:dyDescent="0.3">
      <c r="E2474" t="str">
        <f>IFERROR(IF(D2474="","",VLOOKUP(D2474,CadProd!$A:$B,2,0)),"")</f>
        <v/>
      </c>
      <c r="F2474" t="str">
        <f>IFERROR(IF(D2474="","",VLOOKUP(D2474,CadProd!$A:$C,3,0)),"")</f>
        <v/>
      </c>
    </row>
    <row r="2475" spans="5:6" x14ac:dyDescent="0.3">
      <c r="E2475" t="str">
        <f>IFERROR(IF(D2475="","",VLOOKUP(D2475,CadProd!$A:$B,2,0)),"")</f>
        <v/>
      </c>
      <c r="F2475" t="str">
        <f>IFERROR(IF(D2475="","",VLOOKUP(D2475,CadProd!$A:$C,3,0)),"")</f>
        <v/>
      </c>
    </row>
    <row r="2476" spans="5:6" x14ac:dyDescent="0.3">
      <c r="E2476" t="str">
        <f>IFERROR(IF(D2476="","",VLOOKUP(D2476,CadProd!$A:$B,2,0)),"")</f>
        <v/>
      </c>
      <c r="F2476" t="str">
        <f>IFERROR(IF(D2476="","",VLOOKUP(D2476,CadProd!$A:$C,3,0)),"")</f>
        <v/>
      </c>
    </row>
    <row r="2477" spans="5:6" x14ac:dyDescent="0.3">
      <c r="E2477" t="str">
        <f>IFERROR(IF(D2477="","",VLOOKUP(D2477,CadProd!$A:$B,2,0)),"")</f>
        <v/>
      </c>
      <c r="F2477" t="str">
        <f>IFERROR(IF(D2477="","",VLOOKUP(D2477,CadProd!$A:$C,3,0)),"")</f>
        <v/>
      </c>
    </row>
    <row r="2478" spans="5:6" x14ac:dyDescent="0.3">
      <c r="E2478" t="str">
        <f>IFERROR(IF(D2478="","",VLOOKUP(D2478,CadProd!$A:$B,2,0)),"")</f>
        <v/>
      </c>
      <c r="F2478" t="str">
        <f>IFERROR(IF(D2478="","",VLOOKUP(D2478,CadProd!$A:$C,3,0)),"")</f>
        <v/>
      </c>
    </row>
    <row r="2479" spans="5:6" x14ac:dyDescent="0.3">
      <c r="E2479" t="str">
        <f>IFERROR(IF(D2479="","",VLOOKUP(D2479,CadProd!$A:$B,2,0)),"")</f>
        <v/>
      </c>
      <c r="F2479" t="str">
        <f>IFERROR(IF(D2479="","",VLOOKUP(D2479,CadProd!$A:$C,3,0)),"")</f>
        <v/>
      </c>
    </row>
    <row r="2480" spans="5:6" x14ac:dyDescent="0.3">
      <c r="E2480" t="str">
        <f>IFERROR(IF(D2480="","",VLOOKUP(D2480,CadProd!$A:$B,2,0)),"")</f>
        <v/>
      </c>
      <c r="F2480" t="str">
        <f>IFERROR(IF(D2480="","",VLOOKUP(D2480,CadProd!$A:$C,3,0)),"")</f>
        <v/>
      </c>
    </row>
    <row r="2481" spans="5:6" x14ac:dyDescent="0.3">
      <c r="E2481" t="str">
        <f>IFERROR(IF(D2481="","",VLOOKUP(D2481,CadProd!$A:$B,2,0)),"")</f>
        <v/>
      </c>
      <c r="F2481" t="str">
        <f>IFERROR(IF(D2481="","",VLOOKUP(D2481,CadProd!$A:$C,3,0)),"")</f>
        <v/>
      </c>
    </row>
    <row r="2482" spans="5:6" x14ac:dyDescent="0.3">
      <c r="E2482" t="str">
        <f>IFERROR(IF(D2482="","",VLOOKUP(D2482,CadProd!$A:$B,2,0)),"")</f>
        <v/>
      </c>
      <c r="F2482" t="str">
        <f>IFERROR(IF(D2482="","",VLOOKUP(D2482,CadProd!$A:$C,3,0)),"")</f>
        <v/>
      </c>
    </row>
    <row r="2483" spans="5:6" x14ac:dyDescent="0.3">
      <c r="E2483" t="str">
        <f>IFERROR(IF(D2483="","",VLOOKUP(D2483,CadProd!$A:$B,2,0)),"")</f>
        <v/>
      </c>
      <c r="F2483" t="str">
        <f>IFERROR(IF(D2483="","",VLOOKUP(D2483,CadProd!$A:$C,3,0)),"")</f>
        <v/>
      </c>
    </row>
    <row r="2484" spans="5:6" x14ac:dyDescent="0.3">
      <c r="E2484" t="str">
        <f>IFERROR(IF(D2484="","",VLOOKUP(D2484,CadProd!$A:$B,2,0)),"")</f>
        <v/>
      </c>
      <c r="F2484" t="str">
        <f>IFERROR(IF(D2484="","",VLOOKUP(D2484,CadProd!$A:$C,3,0)),"")</f>
        <v/>
      </c>
    </row>
    <row r="2485" spans="5:6" x14ac:dyDescent="0.3">
      <c r="E2485" t="str">
        <f>IFERROR(IF(D2485="","",VLOOKUP(D2485,CadProd!$A:$B,2,0)),"")</f>
        <v/>
      </c>
      <c r="F2485" t="str">
        <f>IFERROR(IF(D2485="","",VLOOKUP(D2485,CadProd!$A:$C,3,0)),"")</f>
        <v/>
      </c>
    </row>
    <row r="2486" spans="5:6" x14ac:dyDescent="0.3">
      <c r="E2486" t="str">
        <f>IFERROR(IF(D2486="","",VLOOKUP(D2486,CadProd!$A:$B,2,0)),"")</f>
        <v/>
      </c>
      <c r="F2486" t="str">
        <f>IFERROR(IF(D2486="","",VLOOKUP(D2486,CadProd!$A:$C,3,0)),"")</f>
        <v/>
      </c>
    </row>
    <row r="2487" spans="5:6" x14ac:dyDescent="0.3">
      <c r="E2487" t="str">
        <f>IFERROR(IF(D2487="","",VLOOKUP(D2487,CadProd!$A:$B,2,0)),"")</f>
        <v/>
      </c>
      <c r="F2487" t="str">
        <f>IFERROR(IF(D2487="","",VLOOKUP(D2487,CadProd!$A:$C,3,0)),"")</f>
        <v/>
      </c>
    </row>
    <row r="2488" spans="5:6" x14ac:dyDescent="0.3">
      <c r="E2488" t="str">
        <f>IFERROR(IF(D2488="","",VLOOKUP(D2488,CadProd!$A:$B,2,0)),"")</f>
        <v/>
      </c>
      <c r="F2488" t="str">
        <f>IFERROR(IF(D2488="","",VLOOKUP(D2488,CadProd!$A:$C,3,0)),"")</f>
        <v/>
      </c>
    </row>
    <row r="2489" spans="5:6" x14ac:dyDescent="0.3">
      <c r="E2489" t="str">
        <f>IFERROR(IF(D2489="","",VLOOKUP(D2489,CadProd!$A:$B,2,0)),"")</f>
        <v/>
      </c>
      <c r="F2489" t="str">
        <f>IFERROR(IF(D2489="","",VLOOKUP(D2489,CadProd!$A:$C,3,0)),"")</f>
        <v/>
      </c>
    </row>
    <row r="2490" spans="5:6" x14ac:dyDescent="0.3">
      <c r="E2490" t="str">
        <f>IFERROR(IF(D2490="","",VLOOKUP(D2490,CadProd!$A:$B,2,0)),"")</f>
        <v/>
      </c>
      <c r="F2490" t="str">
        <f>IFERROR(IF(D2490="","",VLOOKUP(D2490,CadProd!$A:$C,3,0)),"")</f>
        <v/>
      </c>
    </row>
    <row r="2491" spans="5:6" x14ac:dyDescent="0.3">
      <c r="E2491" t="str">
        <f>IFERROR(IF(D2491="","",VLOOKUP(D2491,CadProd!$A:$B,2,0)),"")</f>
        <v/>
      </c>
      <c r="F2491" t="str">
        <f>IFERROR(IF(D2491="","",VLOOKUP(D2491,CadProd!$A:$C,3,0)),"")</f>
        <v/>
      </c>
    </row>
    <row r="2492" spans="5:6" x14ac:dyDescent="0.3">
      <c r="E2492" t="str">
        <f>IFERROR(IF(D2492="","",VLOOKUP(D2492,CadProd!$A:$B,2,0)),"")</f>
        <v/>
      </c>
      <c r="F2492" t="str">
        <f>IFERROR(IF(D2492="","",VLOOKUP(D2492,CadProd!$A:$C,3,0)),"")</f>
        <v/>
      </c>
    </row>
    <row r="2493" spans="5:6" x14ac:dyDescent="0.3">
      <c r="E2493" t="str">
        <f>IFERROR(IF(D2493="","",VLOOKUP(D2493,CadProd!$A:$B,2,0)),"")</f>
        <v/>
      </c>
      <c r="F2493" t="str">
        <f>IFERROR(IF(D2493="","",VLOOKUP(D2493,CadProd!$A:$C,3,0)),"")</f>
        <v/>
      </c>
    </row>
    <row r="2494" spans="5:6" x14ac:dyDescent="0.3">
      <c r="E2494" t="str">
        <f>IFERROR(IF(D2494="","",VLOOKUP(D2494,CadProd!$A:$B,2,0)),"")</f>
        <v/>
      </c>
      <c r="F2494" t="str">
        <f>IFERROR(IF(D2494="","",VLOOKUP(D2494,CadProd!$A:$C,3,0)),"")</f>
        <v/>
      </c>
    </row>
    <row r="2495" spans="5:6" x14ac:dyDescent="0.3">
      <c r="E2495" t="str">
        <f>IFERROR(IF(D2495="","",VLOOKUP(D2495,CadProd!$A:$B,2,0)),"")</f>
        <v/>
      </c>
      <c r="F2495" t="str">
        <f>IFERROR(IF(D2495="","",VLOOKUP(D2495,CadProd!$A:$C,3,0)),"")</f>
        <v/>
      </c>
    </row>
    <row r="2496" spans="5:6" x14ac:dyDescent="0.3">
      <c r="E2496" t="str">
        <f>IFERROR(IF(D2496="","",VLOOKUP(D2496,CadProd!$A:$B,2,0)),"")</f>
        <v/>
      </c>
      <c r="F2496" t="str">
        <f>IFERROR(IF(D2496="","",VLOOKUP(D2496,CadProd!$A:$C,3,0)),"")</f>
        <v/>
      </c>
    </row>
    <row r="2497" spans="5:6" x14ac:dyDescent="0.3">
      <c r="E2497" t="str">
        <f>IFERROR(IF(D2497="","",VLOOKUP(D2497,CadProd!$A:$B,2,0)),"")</f>
        <v/>
      </c>
      <c r="F2497" t="str">
        <f>IFERROR(IF(D2497="","",VLOOKUP(D2497,CadProd!$A:$C,3,0)),"")</f>
        <v/>
      </c>
    </row>
    <row r="2498" spans="5:6" x14ac:dyDescent="0.3">
      <c r="E2498" t="str">
        <f>IFERROR(IF(D2498="","",VLOOKUP(D2498,CadProd!$A:$B,2,0)),"")</f>
        <v/>
      </c>
      <c r="F2498" t="str">
        <f>IFERROR(IF(D2498="","",VLOOKUP(D2498,CadProd!$A:$C,3,0)),"")</f>
        <v/>
      </c>
    </row>
    <row r="2499" spans="5:6" x14ac:dyDescent="0.3">
      <c r="E2499" t="str">
        <f>IFERROR(IF(D2499="","",VLOOKUP(D2499,CadProd!$A:$B,2,0)),"")</f>
        <v/>
      </c>
      <c r="F2499" t="str">
        <f>IFERROR(IF(D2499="","",VLOOKUP(D2499,CadProd!$A:$C,3,0)),"")</f>
        <v/>
      </c>
    </row>
    <row r="2500" spans="5:6" x14ac:dyDescent="0.3">
      <c r="E2500" t="str">
        <f>IFERROR(IF(D2500="","",VLOOKUP(D2500,CadProd!$A:$B,2,0)),"")</f>
        <v/>
      </c>
      <c r="F2500" t="str">
        <f>IFERROR(IF(D2500="","",VLOOKUP(D2500,CadProd!$A:$C,3,0)),"")</f>
        <v/>
      </c>
    </row>
    <row r="2501" spans="5:6" x14ac:dyDescent="0.3">
      <c r="E2501" t="str">
        <f>IFERROR(IF(D2501="","",VLOOKUP(D2501,CadProd!$A:$B,2,0)),"")</f>
        <v/>
      </c>
      <c r="F2501" t="str">
        <f>IFERROR(IF(D2501="","",VLOOKUP(D2501,CadProd!$A:$C,3,0)),"")</f>
        <v/>
      </c>
    </row>
    <row r="2502" spans="5:6" x14ac:dyDescent="0.3">
      <c r="E2502" t="str">
        <f>IFERROR(IF(D2502="","",VLOOKUP(D2502,CadProd!$A:$B,2,0)),"")</f>
        <v/>
      </c>
      <c r="F2502" t="str">
        <f>IFERROR(IF(D2502="","",VLOOKUP(D2502,CadProd!$A:$C,3,0)),"")</f>
        <v/>
      </c>
    </row>
    <row r="2503" spans="5:6" x14ac:dyDescent="0.3">
      <c r="E2503" t="str">
        <f>IFERROR(IF(D2503="","",VLOOKUP(D2503,CadProd!$A:$B,2,0)),"")</f>
        <v/>
      </c>
      <c r="F2503" t="str">
        <f>IFERROR(IF(D2503="","",VLOOKUP(D2503,CadProd!$A:$C,3,0)),"")</f>
        <v/>
      </c>
    </row>
    <row r="2504" spans="5:6" x14ac:dyDescent="0.3">
      <c r="E2504" t="str">
        <f>IFERROR(IF(D2504="","",VLOOKUP(D2504,CadProd!$A:$B,2,0)),"")</f>
        <v/>
      </c>
      <c r="F2504" t="str">
        <f>IFERROR(IF(D2504="","",VLOOKUP(D2504,CadProd!$A:$C,3,0)),"")</f>
        <v/>
      </c>
    </row>
    <row r="2505" spans="5:6" x14ac:dyDescent="0.3">
      <c r="E2505" t="str">
        <f>IFERROR(IF(D2505="","",VLOOKUP(D2505,CadProd!$A:$B,2,0)),"")</f>
        <v/>
      </c>
      <c r="F2505" t="str">
        <f>IFERROR(IF(D2505="","",VLOOKUP(D2505,CadProd!$A:$C,3,0)),"")</f>
        <v/>
      </c>
    </row>
    <row r="2506" spans="5:6" x14ac:dyDescent="0.3">
      <c r="E2506" t="str">
        <f>IFERROR(IF(D2506="","",VLOOKUP(D2506,CadProd!$A:$B,2,0)),"")</f>
        <v/>
      </c>
      <c r="F2506" t="str">
        <f>IFERROR(IF(D2506="","",VLOOKUP(D2506,CadProd!$A:$C,3,0)),"")</f>
        <v/>
      </c>
    </row>
    <row r="2507" spans="5:6" x14ac:dyDescent="0.3">
      <c r="E2507" t="str">
        <f>IFERROR(IF(D2507="","",VLOOKUP(D2507,CadProd!$A:$B,2,0)),"")</f>
        <v/>
      </c>
      <c r="F2507" t="str">
        <f>IFERROR(IF(D2507="","",VLOOKUP(D2507,CadProd!$A:$C,3,0)),"")</f>
        <v/>
      </c>
    </row>
    <row r="2508" spans="5:6" x14ac:dyDescent="0.3">
      <c r="E2508" t="str">
        <f>IFERROR(IF(D2508="","",VLOOKUP(D2508,CadProd!$A:$B,2,0)),"")</f>
        <v/>
      </c>
      <c r="F2508" t="str">
        <f>IFERROR(IF(D2508="","",VLOOKUP(D2508,CadProd!$A:$C,3,0)),"")</f>
        <v/>
      </c>
    </row>
    <row r="2509" spans="5:6" x14ac:dyDescent="0.3">
      <c r="E2509" t="str">
        <f>IFERROR(IF(D2509="","",VLOOKUP(D2509,CadProd!$A:$B,2,0)),"")</f>
        <v/>
      </c>
      <c r="F2509" t="str">
        <f>IFERROR(IF(D2509="","",VLOOKUP(D2509,CadProd!$A:$C,3,0)),"")</f>
        <v/>
      </c>
    </row>
    <row r="2510" spans="5:6" x14ac:dyDescent="0.3">
      <c r="E2510" t="str">
        <f>IFERROR(IF(D2510="","",VLOOKUP(D2510,CadProd!$A:$B,2,0)),"")</f>
        <v/>
      </c>
      <c r="F2510" t="str">
        <f>IFERROR(IF(D2510="","",VLOOKUP(D2510,CadProd!$A:$C,3,0)),"")</f>
        <v/>
      </c>
    </row>
    <row r="2511" spans="5:6" x14ac:dyDescent="0.3">
      <c r="E2511" t="str">
        <f>IFERROR(IF(D2511="","",VLOOKUP(D2511,CadProd!$A:$B,2,0)),"")</f>
        <v/>
      </c>
      <c r="F2511" t="str">
        <f>IFERROR(IF(D2511="","",VLOOKUP(D2511,CadProd!$A:$C,3,0)),"")</f>
        <v/>
      </c>
    </row>
    <row r="2512" spans="5:6" x14ac:dyDescent="0.3">
      <c r="E2512" t="str">
        <f>IFERROR(IF(D2512="","",VLOOKUP(D2512,CadProd!$A:$B,2,0)),"")</f>
        <v/>
      </c>
      <c r="F2512" t="str">
        <f>IFERROR(IF(D2512="","",VLOOKUP(D2512,CadProd!$A:$C,3,0)),"")</f>
        <v/>
      </c>
    </row>
    <row r="2513" spans="5:6" x14ac:dyDescent="0.3">
      <c r="E2513" t="str">
        <f>IFERROR(IF(D2513="","",VLOOKUP(D2513,CadProd!$A:$B,2,0)),"")</f>
        <v/>
      </c>
      <c r="F2513" t="str">
        <f>IFERROR(IF(D2513="","",VLOOKUP(D2513,CadProd!$A:$C,3,0)),"")</f>
        <v/>
      </c>
    </row>
    <row r="2514" spans="5:6" x14ac:dyDescent="0.3">
      <c r="E2514" t="str">
        <f>IFERROR(IF(D2514="","",VLOOKUP(D2514,CadProd!$A:$B,2,0)),"")</f>
        <v/>
      </c>
      <c r="F2514" t="str">
        <f>IFERROR(IF(D2514="","",VLOOKUP(D2514,CadProd!$A:$C,3,0)),"")</f>
        <v/>
      </c>
    </row>
    <row r="2515" spans="5:6" x14ac:dyDescent="0.3">
      <c r="E2515" t="str">
        <f>IFERROR(IF(D2515="","",VLOOKUP(D2515,CadProd!$A:$B,2,0)),"")</f>
        <v/>
      </c>
      <c r="F2515" t="str">
        <f>IFERROR(IF(D2515="","",VLOOKUP(D2515,CadProd!$A:$C,3,0)),"")</f>
        <v/>
      </c>
    </row>
    <row r="2516" spans="5:6" x14ac:dyDescent="0.3">
      <c r="E2516" t="str">
        <f>IFERROR(IF(D2516="","",VLOOKUP(D2516,CadProd!$A:$B,2,0)),"")</f>
        <v/>
      </c>
      <c r="F2516" t="str">
        <f>IFERROR(IF(D2516="","",VLOOKUP(D2516,CadProd!$A:$C,3,0)),"")</f>
        <v/>
      </c>
    </row>
    <row r="2517" spans="5:6" x14ac:dyDescent="0.3">
      <c r="E2517" t="str">
        <f>IFERROR(IF(D2517="","",VLOOKUP(D2517,CadProd!$A:$B,2,0)),"")</f>
        <v/>
      </c>
      <c r="F2517" t="str">
        <f>IFERROR(IF(D2517="","",VLOOKUP(D2517,CadProd!$A:$C,3,0)),"")</f>
        <v/>
      </c>
    </row>
    <row r="2518" spans="5:6" x14ac:dyDescent="0.3">
      <c r="E2518" t="str">
        <f>IFERROR(IF(D2518="","",VLOOKUP(D2518,CadProd!$A:$B,2,0)),"")</f>
        <v/>
      </c>
      <c r="F2518" t="str">
        <f>IFERROR(IF(D2518="","",VLOOKUP(D2518,CadProd!$A:$C,3,0)),"")</f>
        <v/>
      </c>
    </row>
    <row r="2519" spans="5:6" x14ac:dyDescent="0.3">
      <c r="E2519" t="str">
        <f>IFERROR(IF(D2519="","",VLOOKUP(D2519,CadProd!$A:$B,2,0)),"")</f>
        <v/>
      </c>
      <c r="F2519" t="str">
        <f>IFERROR(IF(D2519="","",VLOOKUP(D2519,CadProd!$A:$C,3,0)),"")</f>
        <v/>
      </c>
    </row>
    <row r="2520" spans="5:6" x14ac:dyDescent="0.3">
      <c r="E2520" t="str">
        <f>IFERROR(IF(D2520="","",VLOOKUP(D2520,CadProd!$A:$B,2,0)),"")</f>
        <v/>
      </c>
      <c r="F2520" t="str">
        <f>IFERROR(IF(D2520="","",VLOOKUP(D2520,CadProd!$A:$C,3,0)),"")</f>
        <v/>
      </c>
    </row>
    <row r="2521" spans="5:6" x14ac:dyDescent="0.3">
      <c r="E2521" t="str">
        <f>IFERROR(IF(D2521="","",VLOOKUP(D2521,CadProd!$A:$B,2,0)),"")</f>
        <v/>
      </c>
      <c r="F2521" t="str">
        <f>IFERROR(IF(D2521="","",VLOOKUP(D2521,CadProd!$A:$C,3,0)),"")</f>
        <v/>
      </c>
    </row>
    <row r="2522" spans="5:6" x14ac:dyDescent="0.3">
      <c r="E2522" t="str">
        <f>IFERROR(IF(D2522="","",VLOOKUP(D2522,CadProd!$A:$B,2,0)),"")</f>
        <v/>
      </c>
      <c r="F2522" t="str">
        <f>IFERROR(IF(D2522="","",VLOOKUP(D2522,CadProd!$A:$C,3,0)),"")</f>
        <v/>
      </c>
    </row>
    <row r="2523" spans="5:6" x14ac:dyDescent="0.3">
      <c r="E2523" t="str">
        <f>IFERROR(IF(D2523="","",VLOOKUP(D2523,CadProd!$A:$B,2,0)),"")</f>
        <v/>
      </c>
      <c r="F2523" t="str">
        <f>IFERROR(IF(D2523="","",VLOOKUP(D2523,CadProd!$A:$C,3,0)),"")</f>
        <v/>
      </c>
    </row>
    <row r="2524" spans="5:6" x14ac:dyDescent="0.3">
      <c r="E2524" t="str">
        <f>IFERROR(IF(D2524="","",VLOOKUP(D2524,CadProd!$A:$B,2,0)),"")</f>
        <v/>
      </c>
      <c r="F2524" t="str">
        <f>IFERROR(IF(D2524="","",VLOOKUP(D2524,CadProd!$A:$C,3,0)),"")</f>
        <v/>
      </c>
    </row>
    <row r="2525" spans="5:6" x14ac:dyDescent="0.3">
      <c r="E2525" t="str">
        <f>IFERROR(IF(D2525="","",VLOOKUP(D2525,CadProd!$A:$B,2,0)),"")</f>
        <v/>
      </c>
      <c r="F2525" t="str">
        <f>IFERROR(IF(D2525="","",VLOOKUP(D2525,CadProd!$A:$C,3,0)),"")</f>
        <v/>
      </c>
    </row>
    <row r="2526" spans="5:6" x14ac:dyDescent="0.3">
      <c r="E2526" t="str">
        <f>IFERROR(IF(D2526="","",VLOOKUP(D2526,CadProd!$A:$B,2,0)),"")</f>
        <v/>
      </c>
      <c r="F2526" t="str">
        <f>IFERROR(IF(D2526="","",VLOOKUP(D2526,CadProd!$A:$C,3,0)),"")</f>
        <v/>
      </c>
    </row>
    <row r="2527" spans="5:6" x14ac:dyDescent="0.3">
      <c r="E2527" t="str">
        <f>IFERROR(IF(D2527="","",VLOOKUP(D2527,CadProd!$A:$B,2,0)),"")</f>
        <v/>
      </c>
      <c r="F2527" t="str">
        <f>IFERROR(IF(D2527="","",VLOOKUP(D2527,CadProd!$A:$C,3,0)),"")</f>
        <v/>
      </c>
    </row>
    <row r="2528" spans="5:6" x14ac:dyDescent="0.3">
      <c r="E2528" t="str">
        <f>IFERROR(IF(D2528="","",VLOOKUP(D2528,CadProd!$A:$B,2,0)),"")</f>
        <v/>
      </c>
      <c r="F2528" t="str">
        <f>IFERROR(IF(D2528="","",VLOOKUP(D2528,CadProd!$A:$C,3,0)),"")</f>
        <v/>
      </c>
    </row>
    <row r="2529" spans="5:6" x14ac:dyDescent="0.3">
      <c r="E2529" t="str">
        <f>IFERROR(IF(D2529="","",VLOOKUP(D2529,CadProd!$A:$B,2,0)),"")</f>
        <v/>
      </c>
      <c r="F2529" t="str">
        <f>IFERROR(IF(D2529="","",VLOOKUP(D2529,CadProd!$A:$C,3,0)),"")</f>
        <v/>
      </c>
    </row>
    <row r="2530" spans="5:6" x14ac:dyDescent="0.3">
      <c r="E2530" t="str">
        <f>IFERROR(IF(D2530="","",VLOOKUP(D2530,CadProd!$A:$B,2,0)),"")</f>
        <v/>
      </c>
      <c r="F2530" t="str">
        <f>IFERROR(IF(D2530="","",VLOOKUP(D2530,CadProd!$A:$C,3,0)),"")</f>
        <v/>
      </c>
    </row>
    <row r="2531" spans="5:6" x14ac:dyDescent="0.3">
      <c r="E2531" t="str">
        <f>IFERROR(IF(D2531="","",VLOOKUP(D2531,CadProd!$A:$B,2,0)),"")</f>
        <v/>
      </c>
      <c r="F2531" t="str">
        <f>IFERROR(IF(D2531="","",VLOOKUP(D2531,CadProd!$A:$C,3,0)),"")</f>
        <v/>
      </c>
    </row>
    <row r="2532" spans="5:6" x14ac:dyDescent="0.3">
      <c r="E2532" t="str">
        <f>IFERROR(IF(D2532="","",VLOOKUP(D2532,CadProd!$A:$B,2,0)),"")</f>
        <v/>
      </c>
      <c r="F2532" t="str">
        <f>IFERROR(IF(D2532="","",VLOOKUP(D2532,CadProd!$A:$C,3,0)),"")</f>
        <v/>
      </c>
    </row>
    <row r="2533" spans="5:6" x14ac:dyDescent="0.3">
      <c r="E2533" t="str">
        <f>IFERROR(IF(D2533="","",VLOOKUP(D2533,CadProd!$A:$B,2,0)),"")</f>
        <v/>
      </c>
      <c r="F2533" t="str">
        <f>IFERROR(IF(D2533="","",VLOOKUP(D2533,CadProd!$A:$C,3,0)),"")</f>
        <v/>
      </c>
    </row>
    <row r="2534" spans="5:6" x14ac:dyDescent="0.3">
      <c r="E2534" t="str">
        <f>IFERROR(IF(D2534="","",VLOOKUP(D2534,CadProd!$A:$B,2,0)),"")</f>
        <v/>
      </c>
      <c r="F2534" t="str">
        <f>IFERROR(IF(D2534="","",VLOOKUP(D2534,CadProd!$A:$C,3,0)),"")</f>
        <v/>
      </c>
    </row>
    <row r="2535" spans="5:6" x14ac:dyDescent="0.3">
      <c r="E2535" t="str">
        <f>IFERROR(IF(D2535="","",VLOOKUP(D2535,CadProd!$A:$B,2,0)),"")</f>
        <v/>
      </c>
      <c r="F2535" t="str">
        <f>IFERROR(IF(D2535="","",VLOOKUP(D2535,CadProd!$A:$C,3,0)),"")</f>
        <v/>
      </c>
    </row>
    <row r="2536" spans="5:6" x14ac:dyDescent="0.3">
      <c r="E2536" t="str">
        <f>IFERROR(IF(D2536="","",VLOOKUP(D2536,CadProd!$A:$B,2,0)),"")</f>
        <v/>
      </c>
      <c r="F2536" t="str">
        <f>IFERROR(IF(D2536="","",VLOOKUP(D2536,CadProd!$A:$C,3,0)),"")</f>
        <v/>
      </c>
    </row>
    <row r="2537" spans="5:6" x14ac:dyDescent="0.3">
      <c r="E2537" t="str">
        <f>IFERROR(IF(D2537="","",VLOOKUP(D2537,CadProd!$A:$B,2,0)),"")</f>
        <v/>
      </c>
      <c r="F2537" t="str">
        <f>IFERROR(IF(D2537="","",VLOOKUP(D2537,CadProd!$A:$C,3,0)),"")</f>
        <v/>
      </c>
    </row>
    <row r="2538" spans="5:6" x14ac:dyDescent="0.3">
      <c r="E2538" t="str">
        <f>IFERROR(IF(D2538="","",VLOOKUP(D2538,CadProd!$A:$B,2,0)),"")</f>
        <v/>
      </c>
      <c r="F2538" t="str">
        <f>IFERROR(IF(D2538="","",VLOOKUP(D2538,CadProd!$A:$C,3,0)),"")</f>
        <v/>
      </c>
    </row>
    <row r="2539" spans="5:6" x14ac:dyDescent="0.3">
      <c r="E2539" t="str">
        <f>IFERROR(IF(D2539="","",VLOOKUP(D2539,CadProd!$A:$B,2,0)),"")</f>
        <v/>
      </c>
      <c r="F2539" t="str">
        <f>IFERROR(IF(D2539="","",VLOOKUP(D2539,CadProd!$A:$C,3,0)),"")</f>
        <v/>
      </c>
    </row>
    <row r="2540" spans="5:6" x14ac:dyDescent="0.3">
      <c r="E2540" t="str">
        <f>IFERROR(IF(D2540="","",VLOOKUP(D2540,CadProd!$A:$B,2,0)),"")</f>
        <v/>
      </c>
      <c r="F2540" t="str">
        <f>IFERROR(IF(D2540="","",VLOOKUP(D2540,CadProd!$A:$C,3,0)),"")</f>
        <v/>
      </c>
    </row>
    <row r="2541" spans="5:6" x14ac:dyDescent="0.3">
      <c r="E2541" t="str">
        <f>IFERROR(IF(D2541="","",VLOOKUP(D2541,CadProd!$A:$B,2,0)),"")</f>
        <v/>
      </c>
      <c r="F2541" t="str">
        <f>IFERROR(IF(D2541="","",VLOOKUP(D2541,CadProd!$A:$C,3,0)),"")</f>
        <v/>
      </c>
    </row>
    <row r="2542" spans="5:6" x14ac:dyDescent="0.3">
      <c r="E2542" t="str">
        <f>IFERROR(IF(D2542="","",VLOOKUP(D2542,CadProd!$A:$B,2,0)),"")</f>
        <v/>
      </c>
      <c r="F2542" t="str">
        <f>IFERROR(IF(D2542="","",VLOOKUP(D2542,CadProd!$A:$C,3,0)),"")</f>
        <v/>
      </c>
    </row>
    <row r="2543" spans="5:6" x14ac:dyDescent="0.3">
      <c r="E2543" t="str">
        <f>IFERROR(IF(D2543="","",VLOOKUP(D2543,CadProd!$A:$B,2,0)),"")</f>
        <v/>
      </c>
      <c r="F2543" t="str">
        <f>IFERROR(IF(D2543="","",VLOOKUP(D2543,CadProd!$A:$C,3,0)),"")</f>
        <v/>
      </c>
    </row>
    <row r="2544" spans="5:6" x14ac:dyDescent="0.3">
      <c r="E2544" t="str">
        <f>IFERROR(IF(D2544="","",VLOOKUP(D2544,CadProd!$A:$B,2,0)),"")</f>
        <v/>
      </c>
      <c r="F2544" t="str">
        <f>IFERROR(IF(D2544="","",VLOOKUP(D2544,CadProd!$A:$C,3,0)),"")</f>
        <v/>
      </c>
    </row>
    <row r="2545" spans="5:6" x14ac:dyDescent="0.3">
      <c r="E2545" t="str">
        <f>IFERROR(IF(D2545="","",VLOOKUP(D2545,CadProd!$A:$B,2,0)),"")</f>
        <v/>
      </c>
      <c r="F2545" t="str">
        <f>IFERROR(IF(D2545="","",VLOOKUP(D2545,CadProd!$A:$C,3,0)),"")</f>
        <v/>
      </c>
    </row>
    <row r="2546" spans="5:6" x14ac:dyDescent="0.3">
      <c r="E2546" t="str">
        <f>IFERROR(IF(D2546="","",VLOOKUP(D2546,CadProd!$A:$B,2,0)),"")</f>
        <v/>
      </c>
      <c r="F2546" t="str">
        <f>IFERROR(IF(D2546="","",VLOOKUP(D2546,CadProd!$A:$C,3,0)),"")</f>
        <v/>
      </c>
    </row>
    <row r="2547" spans="5:6" x14ac:dyDescent="0.3">
      <c r="E2547" t="str">
        <f>IFERROR(IF(D2547="","",VLOOKUP(D2547,CadProd!$A:$B,2,0)),"")</f>
        <v/>
      </c>
      <c r="F2547" t="str">
        <f>IFERROR(IF(D2547="","",VLOOKUP(D2547,CadProd!$A:$C,3,0)),"")</f>
        <v/>
      </c>
    </row>
    <row r="2548" spans="5:6" x14ac:dyDescent="0.3">
      <c r="E2548" t="str">
        <f>IFERROR(IF(D2548="","",VLOOKUP(D2548,CadProd!$A:$B,2,0)),"")</f>
        <v/>
      </c>
      <c r="F2548" t="str">
        <f>IFERROR(IF(D2548="","",VLOOKUP(D2548,CadProd!$A:$C,3,0)),"")</f>
        <v/>
      </c>
    </row>
    <row r="2549" spans="5:6" x14ac:dyDescent="0.3">
      <c r="E2549" t="str">
        <f>IFERROR(IF(D2549="","",VLOOKUP(D2549,CadProd!$A:$B,2,0)),"")</f>
        <v/>
      </c>
      <c r="F2549" t="str">
        <f>IFERROR(IF(D2549="","",VLOOKUP(D2549,CadProd!$A:$C,3,0)),"")</f>
        <v/>
      </c>
    </row>
    <row r="2550" spans="5:6" x14ac:dyDescent="0.3">
      <c r="E2550" t="str">
        <f>IFERROR(IF(D2550="","",VLOOKUP(D2550,CadProd!$A:$B,2,0)),"")</f>
        <v/>
      </c>
      <c r="F2550" t="str">
        <f>IFERROR(IF(D2550="","",VLOOKUP(D2550,CadProd!$A:$C,3,0)),"")</f>
        <v/>
      </c>
    </row>
    <row r="2551" spans="5:6" x14ac:dyDescent="0.3">
      <c r="E2551" t="str">
        <f>IFERROR(IF(D2551="","",VLOOKUP(D2551,CadProd!$A:$B,2,0)),"")</f>
        <v/>
      </c>
      <c r="F2551" t="str">
        <f>IFERROR(IF(D2551="","",VLOOKUP(D2551,CadProd!$A:$C,3,0)),"")</f>
        <v/>
      </c>
    </row>
    <row r="2552" spans="5:6" x14ac:dyDescent="0.3">
      <c r="E2552" t="str">
        <f>IFERROR(IF(D2552="","",VLOOKUP(D2552,CadProd!$A:$B,2,0)),"")</f>
        <v/>
      </c>
      <c r="F2552" t="str">
        <f>IFERROR(IF(D2552="","",VLOOKUP(D2552,CadProd!$A:$C,3,0)),"")</f>
        <v/>
      </c>
    </row>
    <row r="2553" spans="5:6" x14ac:dyDescent="0.3">
      <c r="E2553" t="str">
        <f>IFERROR(IF(D2553="","",VLOOKUP(D2553,CadProd!$A:$B,2,0)),"")</f>
        <v/>
      </c>
      <c r="F2553" t="str">
        <f>IFERROR(IF(D2553="","",VLOOKUP(D2553,CadProd!$A:$C,3,0)),"")</f>
        <v/>
      </c>
    </row>
    <row r="2554" spans="5:6" x14ac:dyDescent="0.3">
      <c r="E2554" t="str">
        <f>IFERROR(IF(D2554="","",VLOOKUP(D2554,CadProd!$A:$B,2,0)),"")</f>
        <v/>
      </c>
      <c r="F2554" t="str">
        <f>IFERROR(IF(D2554="","",VLOOKUP(D2554,CadProd!$A:$C,3,0)),"")</f>
        <v/>
      </c>
    </row>
    <row r="2555" spans="5:6" x14ac:dyDescent="0.3">
      <c r="E2555" t="str">
        <f>IFERROR(IF(D2555="","",VLOOKUP(D2555,CadProd!$A:$B,2,0)),"")</f>
        <v/>
      </c>
      <c r="F2555" t="str">
        <f>IFERROR(IF(D2555="","",VLOOKUP(D2555,CadProd!$A:$C,3,0)),"")</f>
        <v/>
      </c>
    </row>
    <row r="2556" spans="5:6" x14ac:dyDescent="0.3">
      <c r="E2556" t="str">
        <f>IFERROR(IF(D2556="","",VLOOKUP(D2556,CadProd!$A:$B,2,0)),"")</f>
        <v/>
      </c>
      <c r="F2556" t="str">
        <f>IFERROR(IF(D2556="","",VLOOKUP(D2556,CadProd!$A:$C,3,0)),"")</f>
        <v/>
      </c>
    </row>
    <row r="2557" spans="5:6" x14ac:dyDescent="0.3">
      <c r="E2557" t="str">
        <f>IFERROR(IF(D2557="","",VLOOKUP(D2557,CadProd!$A:$B,2,0)),"")</f>
        <v/>
      </c>
      <c r="F2557" t="str">
        <f>IFERROR(IF(D2557="","",VLOOKUP(D2557,CadProd!$A:$C,3,0)),"")</f>
        <v/>
      </c>
    </row>
    <row r="2558" spans="5:6" x14ac:dyDescent="0.3">
      <c r="E2558" t="str">
        <f>IFERROR(IF(D2558="","",VLOOKUP(D2558,CadProd!$A:$B,2,0)),"")</f>
        <v/>
      </c>
      <c r="F2558" t="str">
        <f>IFERROR(IF(D2558="","",VLOOKUP(D2558,CadProd!$A:$C,3,0)),"")</f>
        <v/>
      </c>
    </row>
    <row r="2559" spans="5:6" x14ac:dyDescent="0.3">
      <c r="E2559" t="str">
        <f>IFERROR(IF(D2559="","",VLOOKUP(D2559,CadProd!$A:$B,2,0)),"")</f>
        <v/>
      </c>
      <c r="F2559" t="str">
        <f>IFERROR(IF(D2559="","",VLOOKUP(D2559,CadProd!$A:$C,3,0)),"")</f>
        <v/>
      </c>
    </row>
    <row r="2560" spans="5:6" x14ac:dyDescent="0.3">
      <c r="E2560" t="str">
        <f>IFERROR(IF(D2560="","",VLOOKUP(D2560,CadProd!$A:$B,2,0)),"")</f>
        <v/>
      </c>
      <c r="F2560" t="str">
        <f>IFERROR(IF(D2560="","",VLOOKUP(D2560,CadProd!$A:$C,3,0)),"")</f>
        <v/>
      </c>
    </row>
    <row r="2561" spans="5:6" x14ac:dyDescent="0.3">
      <c r="E2561" t="str">
        <f>IFERROR(IF(D2561="","",VLOOKUP(D2561,CadProd!$A:$B,2,0)),"")</f>
        <v/>
      </c>
      <c r="F2561" t="str">
        <f>IFERROR(IF(D2561="","",VLOOKUP(D2561,CadProd!$A:$C,3,0)),"")</f>
        <v/>
      </c>
    </row>
    <row r="2562" spans="5:6" x14ac:dyDescent="0.3">
      <c r="E2562" t="str">
        <f>IFERROR(IF(D2562="","",VLOOKUP(D2562,CadProd!$A:$B,2,0)),"")</f>
        <v/>
      </c>
      <c r="F2562" t="str">
        <f>IFERROR(IF(D2562="","",VLOOKUP(D2562,CadProd!$A:$C,3,0)),"")</f>
        <v/>
      </c>
    </row>
    <row r="2563" spans="5:6" x14ac:dyDescent="0.3">
      <c r="E2563" t="str">
        <f>IFERROR(IF(D2563="","",VLOOKUP(D2563,CadProd!$A:$B,2,0)),"")</f>
        <v/>
      </c>
      <c r="F2563" t="str">
        <f>IFERROR(IF(D2563="","",VLOOKUP(D2563,CadProd!$A:$C,3,0)),"")</f>
        <v/>
      </c>
    </row>
    <row r="2564" spans="5:6" x14ac:dyDescent="0.3">
      <c r="E2564" t="str">
        <f>IFERROR(IF(D2564="","",VLOOKUP(D2564,CadProd!$A:$B,2,0)),"")</f>
        <v/>
      </c>
      <c r="F2564" t="str">
        <f>IFERROR(IF(D2564="","",VLOOKUP(D2564,CadProd!$A:$C,3,0)),"")</f>
        <v/>
      </c>
    </row>
    <row r="2565" spans="5:6" x14ac:dyDescent="0.3">
      <c r="E2565" t="str">
        <f>IFERROR(IF(D2565="","",VLOOKUP(D2565,CadProd!$A:$B,2,0)),"")</f>
        <v/>
      </c>
      <c r="F2565" t="str">
        <f>IFERROR(IF(D2565="","",VLOOKUP(D2565,CadProd!$A:$C,3,0)),"")</f>
        <v/>
      </c>
    </row>
    <row r="2566" spans="5:6" x14ac:dyDescent="0.3">
      <c r="E2566" t="str">
        <f>IFERROR(IF(D2566="","",VLOOKUP(D2566,CadProd!$A:$B,2,0)),"")</f>
        <v/>
      </c>
      <c r="F2566" t="str">
        <f>IFERROR(IF(D2566="","",VLOOKUP(D2566,CadProd!$A:$C,3,0)),"")</f>
        <v/>
      </c>
    </row>
    <row r="2567" spans="5:6" x14ac:dyDescent="0.3">
      <c r="E2567" t="str">
        <f>IFERROR(IF(D2567="","",VLOOKUP(D2567,CadProd!$A:$B,2,0)),"")</f>
        <v/>
      </c>
      <c r="F2567" t="str">
        <f>IFERROR(IF(D2567="","",VLOOKUP(D2567,CadProd!$A:$C,3,0)),"")</f>
        <v/>
      </c>
    </row>
    <row r="2568" spans="5:6" x14ac:dyDescent="0.3">
      <c r="E2568" t="str">
        <f>IFERROR(IF(D2568="","",VLOOKUP(D2568,CadProd!$A:$B,2,0)),"")</f>
        <v/>
      </c>
      <c r="F2568" t="str">
        <f>IFERROR(IF(D2568="","",VLOOKUP(D2568,CadProd!$A:$C,3,0)),"")</f>
        <v/>
      </c>
    </row>
    <row r="2569" spans="5:6" x14ac:dyDescent="0.3">
      <c r="E2569" t="str">
        <f>IFERROR(IF(D2569="","",VLOOKUP(D2569,CadProd!$A:$B,2,0)),"")</f>
        <v/>
      </c>
      <c r="F2569" t="str">
        <f>IFERROR(IF(D2569="","",VLOOKUP(D2569,CadProd!$A:$C,3,0)),"")</f>
        <v/>
      </c>
    </row>
    <row r="2570" spans="5:6" x14ac:dyDescent="0.3">
      <c r="E2570" t="str">
        <f>IFERROR(IF(D2570="","",VLOOKUP(D2570,CadProd!$A:$B,2,0)),"")</f>
        <v/>
      </c>
      <c r="F2570" t="str">
        <f>IFERROR(IF(D2570="","",VLOOKUP(D2570,CadProd!$A:$C,3,0)),"")</f>
        <v/>
      </c>
    </row>
    <row r="2571" spans="5:6" x14ac:dyDescent="0.3">
      <c r="E2571" t="str">
        <f>IFERROR(IF(D2571="","",VLOOKUP(D2571,CadProd!$A:$B,2,0)),"")</f>
        <v/>
      </c>
      <c r="F2571" t="str">
        <f>IFERROR(IF(D2571="","",VLOOKUP(D2571,CadProd!$A:$C,3,0)),"")</f>
        <v/>
      </c>
    </row>
    <row r="2572" spans="5:6" x14ac:dyDescent="0.3">
      <c r="E2572" t="str">
        <f>IFERROR(IF(D2572="","",VLOOKUP(D2572,CadProd!$A:$B,2,0)),"")</f>
        <v/>
      </c>
      <c r="F2572" t="str">
        <f>IFERROR(IF(D2572="","",VLOOKUP(D2572,CadProd!$A:$C,3,0)),"")</f>
        <v/>
      </c>
    </row>
    <row r="2573" spans="5:6" x14ac:dyDescent="0.3">
      <c r="E2573" t="str">
        <f>IFERROR(IF(D2573="","",VLOOKUP(D2573,CadProd!$A:$B,2,0)),"")</f>
        <v/>
      </c>
      <c r="F2573" t="str">
        <f>IFERROR(IF(D2573="","",VLOOKUP(D2573,CadProd!$A:$C,3,0)),"")</f>
        <v/>
      </c>
    </row>
    <row r="2574" spans="5:6" x14ac:dyDescent="0.3">
      <c r="E2574" t="str">
        <f>IFERROR(IF(D2574="","",VLOOKUP(D2574,CadProd!$A:$B,2,0)),"")</f>
        <v/>
      </c>
      <c r="F2574" t="str">
        <f>IFERROR(IF(D2574="","",VLOOKUP(D2574,CadProd!$A:$C,3,0)),"")</f>
        <v/>
      </c>
    </row>
    <row r="2575" spans="5:6" x14ac:dyDescent="0.3">
      <c r="E2575" t="str">
        <f>IFERROR(IF(D2575="","",VLOOKUP(D2575,CadProd!$A:$B,2,0)),"")</f>
        <v/>
      </c>
      <c r="F2575" t="str">
        <f>IFERROR(IF(D2575="","",VLOOKUP(D2575,CadProd!$A:$C,3,0)),"")</f>
        <v/>
      </c>
    </row>
    <row r="2576" spans="5:6" x14ac:dyDescent="0.3">
      <c r="E2576" t="str">
        <f>IFERROR(IF(D2576="","",VLOOKUP(D2576,CadProd!$A:$B,2,0)),"")</f>
        <v/>
      </c>
      <c r="F2576" t="str">
        <f>IFERROR(IF(D2576="","",VLOOKUP(D2576,CadProd!$A:$C,3,0)),"")</f>
        <v/>
      </c>
    </row>
    <row r="2577" spans="5:6" x14ac:dyDescent="0.3">
      <c r="E2577" t="str">
        <f>IFERROR(IF(D2577="","",VLOOKUP(D2577,CadProd!$A:$B,2,0)),"")</f>
        <v/>
      </c>
      <c r="F2577" t="str">
        <f>IFERROR(IF(D2577="","",VLOOKUP(D2577,CadProd!$A:$C,3,0)),"")</f>
        <v/>
      </c>
    </row>
    <row r="2578" spans="5:6" x14ac:dyDescent="0.3">
      <c r="E2578" t="str">
        <f>IFERROR(IF(D2578="","",VLOOKUP(D2578,CadProd!$A:$B,2,0)),"")</f>
        <v/>
      </c>
      <c r="F2578" t="str">
        <f>IFERROR(IF(D2578="","",VLOOKUP(D2578,CadProd!$A:$C,3,0)),"")</f>
        <v/>
      </c>
    </row>
    <row r="2579" spans="5:6" x14ac:dyDescent="0.3">
      <c r="E2579" t="str">
        <f>IFERROR(IF(D2579="","",VLOOKUP(D2579,CadProd!$A:$B,2,0)),"")</f>
        <v/>
      </c>
      <c r="F2579" t="str">
        <f>IFERROR(IF(D2579="","",VLOOKUP(D2579,CadProd!$A:$C,3,0)),"")</f>
        <v/>
      </c>
    </row>
    <row r="2580" spans="5:6" x14ac:dyDescent="0.3">
      <c r="E2580" t="str">
        <f>IFERROR(IF(D2580="","",VLOOKUP(D2580,CadProd!$A:$B,2,0)),"")</f>
        <v/>
      </c>
      <c r="F2580" t="str">
        <f>IFERROR(IF(D2580="","",VLOOKUP(D2580,CadProd!$A:$C,3,0)),"")</f>
        <v/>
      </c>
    </row>
    <row r="2581" spans="5:6" x14ac:dyDescent="0.3">
      <c r="E2581" t="str">
        <f>IFERROR(IF(D2581="","",VLOOKUP(D2581,CadProd!$A:$B,2,0)),"")</f>
        <v/>
      </c>
      <c r="F2581" t="str">
        <f>IFERROR(IF(D2581="","",VLOOKUP(D2581,CadProd!$A:$C,3,0)),"")</f>
        <v/>
      </c>
    </row>
    <row r="2582" spans="5:6" x14ac:dyDescent="0.3">
      <c r="E2582" t="str">
        <f>IFERROR(IF(D2582="","",VLOOKUP(D2582,CadProd!$A:$B,2,0)),"")</f>
        <v/>
      </c>
      <c r="F2582" t="str">
        <f>IFERROR(IF(D2582="","",VLOOKUP(D2582,CadProd!$A:$C,3,0)),"")</f>
        <v/>
      </c>
    </row>
    <row r="2583" spans="5:6" x14ac:dyDescent="0.3">
      <c r="E2583" t="str">
        <f>IFERROR(IF(D2583="","",VLOOKUP(D2583,CadProd!$A:$B,2,0)),"")</f>
        <v/>
      </c>
      <c r="F2583" t="str">
        <f>IFERROR(IF(D2583="","",VLOOKUP(D2583,CadProd!$A:$C,3,0)),"")</f>
        <v/>
      </c>
    </row>
    <row r="2584" spans="5:6" x14ac:dyDescent="0.3">
      <c r="E2584" t="str">
        <f>IFERROR(IF(D2584="","",VLOOKUP(D2584,CadProd!$A:$B,2,0)),"")</f>
        <v/>
      </c>
      <c r="F2584" t="str">
        <f>IFERROR(IF(D2584="","",VLOOKUP(D2584,CadProd!$A:$C,3,0)),"")</f>
        <v/>
      </c>
    </row>
    <row r="2585" spans="5:6" x14ac:dyDescent="0.3">
      <c r="E2585" t="str">
        <f>IFERROR(IF(D2585="","",VLOOKUP(D2585,CadProd!$A:$B,2,0)),"")</f>
        <v/>
      </c>
      <c r="F2585" t="str">
        <f>IFERROR(IF(D2585="","",VLOOKUP(D2585,CadProd!$A:$C,3,0)),"")</f>
        <v/>
      </c>
    </row>
    <row r="2586" spans="5:6" x14ac:dyDescent="0.3">
      <c r="E2586" t="str">
        <f>IFERROR(IF(D2586="","",VLOOKUP(D2586,CadProd!$A:$B,2,0)),"")</f>
        <v/>
      </c>
      <c r="F2586" t="str">
        <f>IFERROR(IF(D2586="","",VLOOKUP(D2586,CadProd!$A:$C,3,0)),"")</f>
        <v/>
      </c>
    </row>
    <row r="2587" spans="5:6" x14ac:dyDescent="0.3">
      <c r="E2587" t="str">
        <f>IFERROR(IF(D2587="","",VLOOKUP(D2587,CadProd!$A:$B,2,0)),"")</f>
        <v/>
      </c>
      <c r="F2587" t="str">
        <f>IFERROR(IF(D2587="","",VLOOKUP(D2587,CadProd!$A:$C,3,0)),"")</f>
        <v/>
      </c>
    </row>
    <row r="2588" spans="5:6" x14ac:dyDescent="0.3">
      <c r="E2588" t="str">
        <f>IFERROR(IF(D2588="","",VLOOKUP(D2588,CadProd!$A:$B,2,0)),"")</f>
        <v/>
      </c>
      <c r="F2588" t="str">
        <f>IFERROR(IF(D2588="","",VLOOKUP(D2588,CadProd!$A:$C,3,0)),"")</f>
        <v/>
      </c>
    </row>
    <row r="2589" spans="5:6" x14ac:dyDescent="0.3">
      <c r="E2589" t="str">
        <f>IFERROR(IF(D2589="","",VLOOKUP(D2589,CadProd!$A:$B,2,0)),"")</f>
        <v/>
      </c>
      <c r="F2589" t="str">
        <f>IFERROR(IF(D2589="","",VLOOKUP(D2589,CadProd!$A:$C,3,0)),"")</f>
        <v/>
      </c>
    </row>
    <row r="2590" spans="5:6" x14ac:dyDescent="0.3">
      <c r="E2590" t="str">
        <f>IFERROR(IF(D2590="","",VLOOKUP(D2590,CadProd!$A:$B,2,0)),"")</f>
        <v/>
      </c>
      <c r="F2590" t="str">
        <f>IFERROR(IF(D2590="","",VLOOKUP(D2590,CadProd!$A:$C,3,0)),"")</f>
        <v/>
      </c>
    </row>
    <row r="2591" spans="5:6" x14ac:dyDescent="0.3">
      <c r="E2591" t="str">
        <f>IFERROR(IF(D2591="","",VLOOKUP(D2591,CadProd!$A:$B,2,0)),"")</f>
        <v/>
      </c>
      <c r="F2591" t="str">
        <f>IFERROR(IF(D2591="","",VLOOKUP(D2591,CadProd!$A:$C,3,0)),"")</f>
        <v/>
      </c>
    </row>
    <row r="2592" spans="5:6" x14ac:dyDescent="0.3">
      <c r="E2592" t="str">
        <f>IFERROR(IF(D2592="","",VLOOKUP(D2592,CadProd!$A:$B,2,0)),"")</f>
        <v/>
      </c>
      <c r="F2592" t="str">
        <f>IFERROR(IF(D2592="","",VLOOKUP(D2592,CadProd!$A:$C,3,0)),"")</f>
        <v/>
      </c>
    </row>
    <row r="2593" spans="5:6" x14ac:dyDescent="0.3">
      <c r="E2593" t="str">
        <f>IFERROR(IF(D2593="","",VLOOKUP(D2593,CadProd!$A:$B,2,0)),"")</f>
        <v/>
      </c>
      <c r="F2593" t="str">
        <f>IFERROR(IF(D2593="","",VLOOKUP(D2593,CadProd!$A:$C,3,0)),"")</f>
        <v/>
      </c>
    </row>
    <row r="2594" spans="5:6" x14ac:dyDescent="0.3">
      <c r="E2594" t="str">
        <f>IFERROR(IF(D2594="","",VLOOKUP(D2594,CadProd!$A:$B,2,0)),"")</f>
        <v/>
      </c>
      <c r="F2594" t="str">
        <f>IFERROR(IF(D2594="","",VLOOKUP(D2594,CadProd!$A:$C,3,0)),"")</f>
        <v/>
      </c>
    </row>
    <row r="2595" spans="5:6" x14ac:dyDescent="0.3">
      <c r="E2595" t="str">
        <f>IFERROR(IF(D2595="","",VLOOKUP(D2595,CadProd!$A:$B,2,0)),"")</f>
        <v/>
      </c>
      <c r="F2595" t="str">
        <f>IFERROR(IF(D2595="","",VLOOKUP(D2595,CadProd!$A:$C,3,0)),"")</f>
        <v/>
      </c>
    </row>
    <row r="2596" spans="5:6" x14ac:dyDescent="0.3">
      <c r="E2596" t="str">
        <f>IFERROR(IF(D2596="","",VLOOKUP(D2596,CadProd!$A:$B,2,0)),"")</f>
        <v/>
      </c>
      <c r="F2596" t="str">
        <f>IFERROR(IF(D2596="","",VLOOKUP(D2596,CadProd!$A:$C,3,0)),"")</f>
        <v/>
      </c>
    </row>
    <row r="2597" spans="5:6" x14ac:dyDescent="0.3">
      <c r="E2597" t="str">
        <f>IFERROR(IF(D2597="","",VLOOKUP(D2597,CadProd!$A:$B,2,0)),"")</f>
        <v/>
      </c>
      <c r="F2597" t="str">
        <f>IFERROR(IF(D2597="","",VLOOKUP(D2597,CadProd!$A:$C,3,0)),"")</f>
        <v/>
      </c>
    </row>
    <row r="2598" spans="5:6" x14ac:dyDescent="0.3">
      <c r="E2598" t="str">
        <f>IFERROR(IF(D2598="","",VLOOKUP(D2598,CadProd!$A:$B,2,0)),"")</f>
        <v/>
      </c>
      <c r="F2598" t="str">
        <f>IFERROR(IF(D2598="","",VLOOKUP(D2598,CadProd!$A:$C,3,0)),"")</f>
        <v/>
      </c>
    </row>
    <row r="2599" spans="5:6" x14ac:dyDescent="0.3">
      <c r="E2599" t="str">
        <f>IFERROR(IF(D2599="","",VLOOKUP(D2599,CadProd!$A:$B,2,0)),"")</f>
        <v/>
      </c>
      <c r="F2599" t="str">
        <f>IFERROR(IF(D2599="","",VLOOKUP(D2599,CadProd!$A:$C,3,0)),"")</f>
        <v/>
      </c>
    </row>
    <row r="2600" spans="5:6" x14ac:dyDescent="0.3">
      <c r="E2600" t="str">
        <f>IFERROR(IF(D2600="","",VLOOKUP(D2600,CadProd!$A:$B,2,0)),"")</f>
        <v/>
      </c>
      <c r="F2600" t="str">
        <f>IFERROR(IF(D2600="","",VLOOKUP(D2600,CadProd!$A:$C,3,0)),"")</f>
        <v/>
      </c>
    </row>
    <row r="2601" spans="5:6" x14ac:dyDescent="0.3">
      <c r="E2601" t="str">
        <f>IFERROR(IF(D2601="","",VLOOKUP(D2601,CadProd!$A:$B,2,0)),"")</f>
        <v/>
      </c>
      <c r="F2601" t="str">
        <f>IFERROR(IF(D2601="","",VLOOKUP(D2601,CadProd!$A:$C,3,0)),"")</f>
        <v/>
      </c>
    </row>
    <row r="2602" spans="5:6" x14ac:dyDescent="0.3">
      <c r="E2602" t="str">
        <f>IFERROR(IF(D2602="","",VLOOKUP(D2602,CadProd!$A:$B,2,0)),"")</f>
        <v/>
      </c>
      <c r="F2602" t="str">
        <f>IFERROR(IF(D2602="","",VLOOKUP(D2602,CadProd!$A:$C,3,0)),"")</f>
        <v/>
      </c>
    </row>
    <row r="2603" spans="5:6" x14ac:dyDescent="0.3">
      <c r="E2603" t="str">
        <f>IFERROR(IF(D2603="","",VLOOKUP(D2603,CadProd!$A:$B,2,0)),"")</f>
        <v/>
      </c>
      <c r="F2603" t="str">
        <f>IFERROR(IF(D2603="","",VLOOKUP(D2603,CadProd!$A:$C,3,0)),"")</f>
        <v/>
      </c>
    </row>
    <row r="2604" spans="5:6" x14ac:dyDescent="0.3">
      <c r="E2604" t="str">
        <f>IFERROR(IF(D2604="","",VLOOKUP(D2604,CadProd!$A:$B,2,0)),"")</f>
        <v/>
      </c>
      <c r="F2604" t="str">
        <f>IFERROR(IF(D2604="","",VLOOKUP(D2604,CadProd!$A:$C,3,0)),"")</f>
        <v/>
      </c>
    </row>
    <row r="2605" spans="5:6" x14ac:dyDescent="0.3">
      <c r="E2605" t="str">
        <f>IFERROR(IF(D2605="","",VLOOKUP(D2605,CadProd!$A:$B,2,0)),"")</f>
        <v/>
      </c>
      <c r="F2605" t="str">
        <f>IFERROR(IF(D2605="","",VLOOKUP(D2605,CadProd!$A:$C,3,0)),"")</f>
        <v/>
      </c>
    </row>
    <row r="2606" spans="5:6" x14ac:dyDescent="0.3">
      <c r="E2606" t="str">
        <f>IFERROR(IF(D2606="","",VLOOKUP(D2606,CadProd!$A:$B,2,0)),"")</f>
        <v/>
      </c>
      <c r="F2606" t="str">
        <f>IFERROR(IF(D2606="","",VLOOKUP(D2606,CadProd!$A:$C,3,0)),"")</f>
        <v/>
      </c>
    </row>
    <row r="2607" spans="5:6" x14ac:dyDescent="0.3">
      <c r="E2607" t="str">
        <f>IFERROR(IF(D2607="","",VLOOKUP(D2607,CadProd!$A:$B,2,0)),"")</f>
        <v/>
      </c>
      <c r="F2607" t="str">
        <f>IFERROR(IF(D2607="","",VLOOKUP(D2607,CadProd!$A:$C,3,0)),"")</f>
        <v/>
      </c>
    </row>
    <row r="2608" spans="5:6" x14ac:dyDescent="0.3">
      <c r="E2608" t="str">
        <f>IFERROR(IF(D2608="","",VLOOKUP(D2608,CadProd!$A:$B,2,0)),"")</f>
        <v/>
      </c>
      <c r="F2608" t="str">
        <f>IFERROR(IF(D2608="","",VLOOKUP(D2608,CadProd!$A:$C,3,0)),"")</f>
        <v/>
      </c>
    </row>
    <row r="2609" spans="5:6" x14ac:dyDescent="0.3">
      <c r="E2609" t="str">
        <f>IFERROR(IF(D2609="","",VLOOKUP(D2609,CadProd!$A:$B,2,0)),"")</f>
        <v/>
      </c>
      <c r="F2609" t="str">
        <f>IFERROR(IF(D2609="","",VLOOKUP(D2609,CadProd!$A:$C,3,0)),"")</f>
        <v/>
      </c>
    </row>
    <row r="2610" spans="5:6" x14ac:dyDescent="0.3">
      <c r="E2610" t="str">
        <f>IFERROR(IF(D2610="","",VLOOKUP(D2610,CadProd!$A:$B,2,0)),"")</f>
        <v/>
      </c>
      <c r="F2610" t="str">
        <f>IFERROR(IF(D2610="","",VLOOKUP(D2610,CadProd!$A:$C,3,0)),"")</f>
        <v/>
      </c>
    </row>
    <row r="2611" spans="5:6" x14ac:dyDescent="0.3">
      <c r="E2611" t="str">
        <f>IFERROR(IF(D2611="","",VLOOKUP(D2611,CadProd!$A:$B,2,0)),"")</f>
        <v/>
      </c>
      <c r="F2611" t="str">
        <f>IFERROR(IF(D2611="","",VLOOKUP(D2611,CadProd!$A:$C,3,0)),"")</f>
        <v/>
      </c>
    </row>
    <row r="2612" spans="5:6" x14ac:dyDescent="0.3">
      <c r="E2612" t="str">
        <f>IFERROR(IF(D2612="","",VLOOKUP(D2612,CadProd!$A:$B,2,0)),"")</f>
        <v/>
      </c>
      <c r="F2612" t="str">
        <f>IFERROR(IF(D2612="","",VLOOKUP(D2612,CadProd!$A:$C,3,0)),"")</f>
        <v/>
      </c>
    </row>
    <row r="2613" spans="5:6" x14ac:dyDescent="0.3">
      <c r="E2613" t="str">
        <f>IFERROR(IF(D2613="","",VLOOKUP(D2613,CadProd!$A:$B,2,0)),"")</f>
        <v/>
      </c>
      <c r="F2613" t="str">
        <f>IFERROR(IF(D2613="","",VLOOKUP(D2613,CadProd!$A:$C,3,0)),"")</f>
        <v/>
      </c>
    </row>
    <row r="2614" spans="5:6" x14ac:dyDescent="0.3">
      <c r="E2614" t="str">
        <f>IFERROR(IF(D2614="","",VLOOKUP(D2614,CadProd!$A:$B,2,0)),"")</f>
        <v/>
      </c>
      <c r="F2614" t="str">
        <f>IFERROR(IF(D2614="","",VLOOKUP(D2614,CadProd!$A:$C,3,0)),"")</f>
        <v/>
      </c>
    </row>
    <row r="2615" spans="5:6" x14ac:dyDescent="0.3">
      <c r="E2615" t="str">
        <f>IFERROR(IF(D2615="","",VLOOKUP(D2615,CadProd!$A:$B,2,0)),"")</f>
        <v/>
      </c>
      <c r="F2615" t="str">
        <f>IFERROR(IF(D2615="","",VLOOKUP(D2615,CadProd!$A:$C,3,0)),"")</f>
        <v/>
      </c>
    </row>
    <row r="2616" spans="5:6" x14ac:dyDescent="0.3">
      <c r="E2616" t="str">
        <f>IFERROR(IF(D2616="","",VLOOKUP(D2616,CadProd!$A:$B,2,0)),"")</f>
        <v/>
      </c>
      <c r="F2616" t="str">
        <f>IFERROR(IF(D2616="","",VLOOKUP(D2616,CadProd!$A:$C,3,0)),"")</f>
        <v/>
      </c>
    </row>
    <row r="2617" spans="5:6" x14ac:dyDescent="0.3">
      <c r="E2617" t="str">
        <f>IFERROR(IF(D2617="","",VLOOKUP(D2617,CadProd!$A:$B,2,0)),"")</f>
        <v/>
      </c>
      <c r="F2617" t="str">
        <f>IFERROR(IF(D2617="","",VLOOKUP(D2617,CadProd!$A:$C,3,0)),"")</f>
        <v/>
      </c>
    </row>
    <row r="2618" spans="5:6" x14ac:dyDescent="0.3">
      <c r="E2618" t="str">
        <f>IFERROR(IF(D2618="","",VLOOKUP(D2618,CadProd!$A:$B,2,0)),"")</f>
        <v/>
      </c>
      <c r="F2618" t="str">
        <f>IFERROR(IF(D2618="","",VLOOKUP(D2618,CadProd!$A:$C,3,0)),"")</f>
        <v/>
      </c>
    </row>
    <row r="2619" spans="5:6" x14ac:dyDescent="0.3">
      <c r="E2619" t="str">
        <f>IFERROR(IF(D2619="","",VLOOKUP(D2619,CadProd!$A:$B,2,0)),"")</f>
        <v/>
      </c>
      <c r="F2619" t="str">
        <f>IFERROR(IF(D2619="","",VLOOKUP(D2619,CadProd!$A:$C,3,0)),"")</f>
        <v/>
      </c>
    </row>
    <row r="2620" spans="5:6" x14ac:dyDescent="0.3">
      <c r="E2620" t="str">
        <f>IFERROR(IF(D2620="","",VLOOKUP(D2620,CadProd!$A:$B,2,0)),"")</f>
        <v/>
      </c>
      <c r="F2620" t="str">
        <f>IFERROR(IF(D2620="","",VLOOKUP(D2620,CadProd!$A:$C,3,0)),"")</f>
        <v/>
      </c>
    </row>
    <row r="2621" spans="5:6" x14ac:dyDescent="0.3">
      <c r="E2621" t="str">
        <f>IFERROR(IF(D2621="","",VLOOKUP(D2621,CadProd!$A:$B,2,0)),"")</f>
        <v/>
      </c>
      <c r="F2621" t="str">
        <f>IFERROR(IF(D2621="","",VLOOKUP(D2621,CadProd!$A:$C,3,0)),"")</f>
        <v/>
      </c>
    </row>
    <row r="2622" spans="5:6" x14ac:dyDescent="0.3">
      <c r="E2622" t="str">
        <f>IFERROR(IF(D2622="","",VLOOKUP(D2622,CadProd!$A:$B,2,0)),"")</f>
        <v/>
      </c>
      <c r="F2622" t="str">
        <f>IFERROR(IF(D2622="","",VLOOKUP(D2622,CadProd!$A:$C,3,0)),"")</f>
        <v/>
      </c>
    </row>
    <row r="2623" spans="5:6" x14ac:dyDescent="0.3">
      <c r="E2623" t="str">
        <f>IFERROR(IF(D2623="","",VLOOKUP(D2623,CadProd!$A:$B,2,0)),"")</f>
        <v/>
      </c>
      <c r="F2623" t="str">
        <f>IFERROR(IF(D2623="","",VLOOKUP(D2623,CadProd!$A:$C,3,0)),"")</f>
        <v/>
      </c>
    </row>
    <row r="2624" spans="5:6" x14ac:dyDescent="0.3">
      <c r="E2624" t="str">
        <f>IFERROR(IF(D2624="","",VLOOKUP(D2624,CadProd!$A:$B,2,0)),"")</f>
        <v/>
      </c>
      <c r="F2624" t="str">
        <f>IFERROR(IF(D2624="","",VLOOKUP(D2624,CadProd!$A:$C,3,0)),"")</f>
        <v/>
      </c>
    </row>
    <row r="2625" spans="5:6" x14ac:dyDescent="0.3">
      <c r="E2625" t="str">
        <f>IFERROR(IF(D2625="","",VLOOKUP(D2625,CadProd!$A:$B,2,0)),"")</f>
        <v/>
      </c>
      <c r="F2625" t="str">
        <f>IFERROR(IF(D2625="","",VLOOKUP(D2625,CadProd!$A:$C,3,0)),"")</f>
        <v/>
      </c>
    </row>
    <row r="2626" spans="5:6" x14ac:dyDescent="0.3">
      <c r="E2626" t="str">
        <f>IFERROR(IF(D2626="","",VLOOKUP(D2626,CadProd!$A:$B,2,0)),"")</f>
        <v/>
      </c>
      <c r="F2626" t="str">
        <f>IFERROR(IF(D2626="","",VLOOKUP(D2626,CadProd!$A:$C,3,0)),"")</f>
        <v/>
      </c>
    </row>
    <row r="2627" spans="5:6" x14ac:dyDescent="0.3">
      <c r="E2627" t="str">
        <f>IFERROR(IF(D2627="","",VLOOKUP(D2627,CadProd!$A:$B,2,0)),"")</f>
        <v/>
      </c>
      <c r="F2627" t="str">
        <f>IFERROR(IF(D2627="","",VLOOKUP(D2627,CadProd!$A:$C,3,0)),"")</f>
        <v/>
      </c>
    </row>
    <row r="2628" spans="5:6" x14ac:dyDescent="0.3">
      <c r="E2628" t="str">
        <f>IFERROR(IF(D2628="","",VLOOKUP(D2628,CadProd!$A:$B,2,0)),"")</f>
        <v/>
      </c>
      <c r="F2628" t="str">
        <f>IFERROR(IF(D2628="","",VLOOKUP(D2628,CadProd!$A:$C,3,0)),"")</f>
        <v/>
      </c>
    </row>
    <row r="2629" spans="5:6" x14ac:dyDescent="0.3">
      <c r="E2629" t="str">
        <f>IFERROR(IF(D2629="","",VLOOKUP(D2629,CadProd!$A:$B,2,0)),"")</f>
        <v/>
      </c>
      <c r="F2629" t="str">
        <f>IFERROR(IF(D2629="","",VLOOKUP(D2629,CadProd!$A:$C,3,0)),"")</f>
        <v/>
      </c>
    </row>
    <row r="2630" spans="5:6" x14ac:dyDescent="0.3">
      <c r="E2630" t="str">
        <f>IFERROR(IF(D2630="","",VLOOKUP(D2630,CadProd!$A:$B,2,0)),"")</f>
        <v/>
      </c>
      <c r="F2630" t="str">
        <f>IFERROR(IF(D2630="","",VLOOKUP(D2630,CadProd!$A:$C,3,0)),"")</f>
        <v/>
      </c>
    </row>
    <row r="2631" spans="5:6" x14ac:dyDescent="0.3">
      <c r="E2631" t="str">
        <f>IFERROR(IF(D2631="","",VLOOKUP(D2631,CadProd!$A:$B,2,0)),"")</f>
        <v/>
      </c>
      <c r="F2631" t="str">
        <f>IFERROR(IF(D2631="","",VLOOKUP(D2631,CadProd!$A:$C,3,0)),"")</f>
        <v/>
      </c>
    </row>
    <row r="2632" spans="5:6" x14ac:dyDescent="0.3">
      <c r="E2632" t="str">
        <f>IFERROR(IF(D2632="","",VLOOKUP(D2632,CadProd!$A:$B,2,0)),"")</f>
        <v/>
      </c>
      <c r="F2632" t="str">
        <f>IFERROR(IF(D2632="","",VLOOKUP(D2632,CadProd!$A:$C,3,0)),"")</f>
        <v/>
      </c>
    </row>
    <row r="2633" spans="5:6" x14ac:dyDescent="0.3">
      <c r="E2633" t="str">
        <f>IFERROR(IF(D2633="","",VLOOKUP(D2633,CadProd!$A:$B,2,0)),"")</f>
        <v/>
      </c>
      <c r="F2633" t="str">
        <f>IFERROR(IF(D2633="","",VLOOKUP(D2633,CadProd!$A:$C,3,0)),"")</f>
        <v/>
      </c>
    </row>
    <row r="2634" spans="5:6" x14ac:dyDescent="0.3">
      <c r="E2634" t="str">
        <f>IFERROR(IF(D2634="","",VLOOKUP(D2634,CadProd!$A:$B,2,0)),"")</f>
        <v/>
      </c>
      <c r="F2634" t="str">
        <f>IFERROR(IF(D2634="","",VLOOKUP(D2634,CadProd!$A:$C,3,0)),"")</f>
        <v/>
      </c>
    </row>
    <row r="2635" spans="5:6" x14ac:dyDescent="0.3">
      <c r="E2635" t="str">
        <f>IFERROR(IF(D2635="","",VLOOKUP(D2635,CadProd!$A:$B,2,0)),"")</f>
        <v/>
      </c>
      <c r="F2635" t="str">
        <f>IFERROR(IF(D2635="","",VLOOKUP(D2635,CadProd!$A:$C,3,0)),"")</f>
        <v/>
      </c>
    </row>
    <row r="2636" spans="5:6" x14ac:dyDescent="0.3">
      <c r="E2636" t="str">
        <f>IFERROR(IF(D2636="","",VLOOKUP(D2636,CadProd!$A:$B,2,0)),"")</f>
        <v/>
      </c>
      <c r="F2636" t="str">
        <f>IFERROR(IF(D2636="","",VLOOKUP(D2636,CadProd!$A:$C,3,0)),"")</f>
        <v/>
      </c>
    </row>
    <row r="2637" spans="5:6" x14ac:dyDescent="0.3">
      <c r="E2637" t="str">
        <f>IFERROR(IF(D2637="","",VLOOKUP(D2637,CadProd!$A:$B,2,0)),"")</f>
        <v/>
      </c>
      <c r="F2637" t="str">
        <f>IFERROR(IF(D2637="","",VLOOKUP(D2637,CadProd!$A:$C,3,0)),"")</f>
        <v/>
      </c>
    </row>
    <row r="2638" spans="5:6" x14ac:dyDescent="0.3">
      <c r="E2638" t="str">
        <f>IFERROR(IF(D2638="","",VLOOKUP(D2638,CadProd!$A:$B,2,0)),"")</f>
        <v/>
      </c>
      <c r="F2638" t="str">
        <f>IFERROR(IF(D2638="","",VLOOKUP(D2638,CadProd!$A:$C,3,0)),"")</f>
        <v/>
      </c>
    </row>
    <row r="2639" spans="5:6" x14ac:dyDescent="0.3">
      <c r="E2639" t="str">
        <f>IFERROR(IF(D2639="","",VLOOKUP(D2639,CadProd!$A:$B,2,0)),"")</f>
        <v/>
      </c>
      <c r="F2639" t="str">
        <f>IFERROR(IF(D2639="","",VLOOKUP(D2639,CadProd!$A:$C,3,0)),"")</f>
        <v/>
      </c>
    </row>
    <row r="2640" spans="5:6" x14ac:dyDescent="0.3">
      <c r="E2640" t="str">
        <f>IFERROR(IF(D2640="","",VLOOKUP(D2640,CadProd!$A:$B,2,0)),"")</f>
        <v/>
      </c>
      <c r="F2640" t="str">
        <f>IFERROR(IF(D2640="","",VLOOKUP(D2640,CadProd!$A:$C,3,0)),"")</f>
        <v/>
      </c>
    </row>
    <row r="2641" spans="5:6" x14ac:dyDescent="0.3">
      <c r="E2641" t="str">
        <f>IFERROR(IF(D2641="","",VLOOKUP(D2641,CadProd!$A:$B,2,0)),"")</f>
        <v/>
      </c>
      <c r="F2641" t="str">
        <f>IFERROR(IF(D2641="","",VLOOKUP(D2641,CadProd!$A:$C,3,0)),"")</f>
        <v/>
      </c>
    </row>
    <row r="2642" spans="5:6" x14ac:dyDescent="0.3">
      <c r="E2642" t="str">
        <f>IFERROR(IF(D2642="","",VLOOKUP(D2642,CadProd!$A:$B,2,0)),"")</f>
        <v/>
      </c>
      <c r="F2642" t="str">
        <f>IFERROR(IF(D2642="","",VLOOKUP(D2642,CadProd!$A:$C,3,0)),"")</f>
        <v/>
      </c>
    </row>
    <row r="2643" spans="5:6" x14ac:dyDescent="0.3">
      <c r="E2643" t="str">
        <f>IFERROR(IF(D2643="","",VLOOKUP(D2643,CadProd!$A:$B,2,0)),"")</f>
        <v/>
      </c>
      <c r="F2643" t="str">
        <f>IFERROR(IF(D2643="","",VLOOKUP(D2643,CadProd!$A:$C,3,0)),"")</f>
        <v/>
      </c>
    </row>
    <row r="2644" spans="5:6" x14ac:dyDescent="0.3">
      <c r="E2644" t="str">
        <f>IFERROR(IF(D2644="","",VLOOKUP(D2644,CadProd!$A:$B,2,0)),"")</f>
        <v/>
      </c>
      <c r="F2644" t="str">
        <f>IFERROR(IF(D2644="","",VLOOKUP(D2644,CadProd!$A:$C,3,0)),"")</f>
        <v/>
      </c>
    </row>
    <row r="2645" spans="5:6" x14ac:dyDescent="0.3">
      <c r="E2645" t="str">
        <f>IFERROR(IF(D2645="","",VLOOKUP(D2645,CadProd!$A:$B,2,0)),"")</f>
        <v/>
      </c>
      <c r="F2645" t="str">
        <f>IFERROR(IF(D2645="","",VLOOKUP(D2645,CadProd!$A:$C,3,0)),"")</f>
        <v/>
      </c>
    </row>
    <row r="2646" spans="5:6" x14ac:dyDescent="0.3">
      <c r="E2646" t="str">
        <f>IFERROR(IF(D2646="","",VLOOKUP(D2646,CadProd!$A:$B,2,0)),"")</f>
        <v/>
      </c>
      <c r="F2646" t="str">
        <f>IFERROR(IF(D2646="","",VLOOKUP(D2646,CadProd!$A:$C,3,0)),"")</f>
        <v/>
      </c>
    </row>
    <row r="2647" spans="5:6" x14ac:dyDescent="0.3">
      <c r="E2647" t="str">
        <f>IFERROR(IF(D2647="","",VLOOKUP(D2647,CadProd!$A:$B,2,0)),"")</f>
        <v/>
      </c>
      <c r="F2647" t="str">
        <f>IFERROR(IF(D2647="","",VLOOKUP(D2647,CadProd!$A:$C,3,0)),"")</f>
        <v/>
      </c>
    </row>
    <row r="2648" spans="5:6" x14ac:dyDescent="0.3">
      <c r="E2648" t="str">
        <f>IFERROR(IF(D2648="","",VLOOKUP(D2648,CadProd!$A:$B,2,0)),"")</f>
        <v/>
      </c>
      <c r="F2648" t="str">
        <f>IFERROR(IF(D2648="","",VLOOKUP(D2648,CadProd!$A:$C,3,0)),"")</f>
        <v/>
      </c>
    </row>
    <row r="2649" spans="5:6" x14ac:dyDescent="0.3">
      <c r="E2649" t="str">
        <f>IFERROR(IF(D2649="","",VLOOKUP(D2649,CadProd!$A:$B,2,0)),"")</f>
        <v/>
      </c>
      <c r="F2649" t="str">
        <f>IFERROR(IF(D2649="","",VLOOKUP(D2649,CadProd!$A:$C,3,0)),"")</f>
        <v/>
      </c>
    </row>
    <row r="2650" spans="5:6" x14ac:dyDescent="0.3">
      <c r="E2650" t="str">
        <f>IFERROR(IF(D2650="","",VLOOKUP(D2650,CadProd!$A:$B,2,0)),"")</f>
        <v/>
      </c>
      <c r="F2650" t="str">
        <f>IFERROR(IF(D2650="","",VLOOKUP(D2650,CadProd!$A:$C,3,0)),"")</f>
        <v/>
      </c>
    </row>
    <row r="2651" spans="5:6" x14ac:dyDescent="0.3">
      <c r="E2651" t="str">
        <f>IFERROR(IF(D2651="","",VLOOKUP(D2651,CadProd!$A:$B,2,0)),"")</f>
        <v/>
      </c>
      <c r="F2651" t="str">
        <f>IFERROR(IF(D2651="","",VLOOKUP(D2651,CadProd!$A:$C,3,0)),"")</f>
        <v/>
      </c>
    </row>
    <row r="2652" spans="5:6" x14ac:dyDescent="0.3">
      <c r="E2652" t="str">
        <f>IFERROR(IF(D2652="","",VLOOKUP(D2652,CadProd!$A:$B,2,0)),"")</f>
        <v/>
      </c>
      <c r="F2652" t="str">
        <f>IFERROR(IF(D2652="","",VLOOKUP(D2652,CadProd!$A:$C,3,0)),"")</f>
        <v/>
      </c>
    </row>
    <row r="2653" spans="5:6" x14ac:dyDescent="0.3">
      <c r="E2653" t="str">
        <f>IFERROR(IF(D2653="","",VLOOKUP(D2653,CadProd!$A:$B,2,0)),"")</f>
        <v/>
      </c>
      <c r="F2653" t="str">
        <f>IFERROR(IF(D2653="","",VLOOKUP(D2653,CadProd!$A:$C,3,0)),"")</f>
        <v/>
      </c>
    </row>
    <row r="2654" spans="5:6" x14ac:dyDescent="0.3">
      <c r="E2654" t="str">
        <f>IFERROR(IF(D2654="","",VLOOKUP(D2654,CadProd!$A:$B,2,0)),"")</f>
        <v/>
      </c>
      <c r="F2654" t="str">
        <f>IFERROR(IF(D2654="","",VLOOKUP(D2654,CadProd!$A:$C,3,0)),"")</f>
        <v/>
      </c>
    </row>
    <row r="2655" spans="5:6" x14ac:dyDescent="0.3">
      <c r="E2655" t="str">
        <f>IFERROR(IF(D2655="","",VLOOKUP(D2655,CadProd!$A:$B,2,0)),"")</f>
        <v/>
      </c>
      <c r="F2655" t="str">
        <f>IFERROR(IF(D2655="","",VLOOKUP(D2655,CadProd!$A:$C,3,0)),"")</f>
        <v/>
      </c>
    </row>
    <row r="2656" spans="5:6" x14ac:dyDescent="0.3">
      <c r="E2656" t="str">
        <f>IFERROR(IF(D2656="","",VLOOKUP(D2656,CadProd!$A:$B,2,0)),"")</f>
        <v/>
      </c>
      <c r="F2656" t="str">
        <f>IFERROR(IF(D2656="","",VLOOKUP(D2656,CadProd!$A:$C,3,0)),"")</f>
        <v/>
      </c>
    </row>
    <row r="2657" spans="5:6" x14ac:dyDescent="0.3">
      <c r="E2657" t="str">
        <f>IFERROR(IF(D2657="","",VLOOKUP(D2657,CadProd!$A:$B,2,0)),"")</f>
        <v/>
      </c>
      <c r="F2657" t="str">
        <f>IFERROR(IF(D2657="","",VLOOKUP(D2657,CadProd!$A:$C,3,0)),"")</f>
        <v/>
      </c>
    </row>
    <row r="2658" spans="5:6" x14ac:dyDescent="0.3">
      <c r="E2658" t="str">
        <f>IFERROR(IF(D2658="","",VLOOKUP(D2658,CadProd!$A:$B,2,0)),"")</f>
        <v/>
      </c>
      <c r="F2658" t="str">
        <f>IFERROR(IF(D2658="","",VLOOKUP(D2658,CadProd!$A:$C,3,0)),"")</f>
        <v/>
      </c>
    </row>
    <row r="2659" spans="5:6" x14ac:dyDescent="0.3">
      <c r="E2659" t="str">
        <f>IFERROR(IF(D2659="","",VLOOKUP(D2659,CadProd!$A:$B,2,0)),"")</f>
        <v/>
      </c>
      <c r="F2659" t="str">
        <f>IFERROR(IF(D2659="","",VLOOKUP(D2659,CadProd!$A:$C,3,0)),"")</f>
        <v/>
      </c>
    </row>
    <row r="2660" spans="5:6" x14ac:dyDescent="0.3">
      <c r="E2660" t="str">
        <f>IFERROR(IF(D2660="","",VLOOKUP(D2660,CadProd!$A:$B,2,0)),"")</f>
        <v/>
      </c>
      <c r="F2660" t="str">
        <f>IFERROR(IF(D2660="","",VLOOKUP(D2660,CadProd!$A:$C,3,0)),"")</f>
        <v/>
      </c>
    </row>
    <row r="2661" spans="5:6" x14ac:dyDescent="0.3">
      <c r="E2661" t="str">
        <f>IFERROR(IF(D2661="","",VLOOKUP(D2661,CadProd!$A:$B,2,0)),"")</f>
        <v/>
      </c>
      <c r="F2661" t="str">
        <f>IFERROR(IF(D2661="","",VLOOKUP(D2661,CadProd!$A:$C,3,0)),"")</f>
        <v/>
      </c>
    </row>
    <row r="2662" spans="5:6" x14ac:dyDescent="0.3">
      <c r="E2662" t="str">
        <f>IFERROR(IF(D2662="","",VLOOKUP(D2662,CadProd!$A:$B,2,0)),"")</f>
        <v/>
      </c>
      <c r="F2662" t="str">
        <f>IFERROR(IF(D2662="","",VLOOKUP(D2662,CadProd!$A:$C,3,0)),"")</f>
        <v/>
      </c>
    </row>
    <row r="2663" spans="5:6" x14ac:dyDescent="0.3">
      <c r="E2663" t="str">
        <f>IFERROR(IF(D2663="","",VLOOKUP(D2663,CadProd!$A:$B,2,0)),"")</f>
        <v/>
      </c>
      <c r="F2663" t="str">
        <f>IFERROR(IF(D2663="","",VLOOKUP(D2663,CadProd!$A:$C,3,0)),"")</f>
        <v/>
      </c>
    </row>
    <row r="2664" spans="5:6" x14ac:dyDescent="0.3">
      <c r="E2664" t="str">
        <f>IFERROR(IF(D2664="","",VLOOKUP(D2664,CadProd!$A:$B,2,0)),"")</f>
        <v/>
      </c>
      <c r="F2664" t="str">
        <f>IFERROR(IF(D2664="","",VLOOKUP(D2664,CadProd!$A:$C,3,0)),"")</f>
        <v/>
      </c>
    </row>
    <row r="2665" spans="5:6" x14ac:dyDescent="0.3">
      <c r="E2665" t="str">
        <f>IFERROR(IF(D2665="","",VLOOKUP(D2665,CadProd!$A:$B,2,0)),"")</f>
        <v/>
      </c>
      <c r="F2665" t="str">
        <f>IFERROR(IF(D2665="","",VLOOKUP(D2665,CadProd!$A:$C,3,0)),"")</f>
        <v/>
      </c>
    </row>
    <row r="2666" spans="5:6" x14ac:dyDescent="0.3">
      <c r="E2666" t="str">
        <f>IFERROR(IF(D2666="","",VLOOKUP(D2666,CadProd!$A:$B,2,0)),"")</f>
        <v/>
      </c>
      <c r="F2666" t="str">
        <f>IFERROR(IF(D2666="","",VLOOKUP(D2666,CadProd!$A:$C,3,0)),"")</f>
        <v/>
      </c>
    </row>
    <row r="2667" spans="5:6" x14ac:dyDescent="0.3">
      <c r="E2667" t="str">
        <f>IFERROR(IF(D2667="","",VLOOKUP(D2667,CadProd!$A:$B,2,0)),"")</f>
        <v/>
      </c>
      <c r="F2667" t="str">
        <f>IFERROR(IF(D2667="","",VLOOKUP(D2667,CadProd!$A:$C,3,0)),"")</f>
        <v/>
      </c>
    </row>
    <row r="2668" spans="5:6" x14ac:dyDescent="0.3">
      <c r="E2668" t="str">
        <f>IFERROR(IF(D2668="","",VLOOKUP(D2668,CadProd!$A:$B,2,0)),"")</f>
        <v/>
      </c>
      <c r="F2668" t="str">
        <f>IFERROR(IF(D2668="","",VLOOKUP(D2668,CadProd!$A:$C,3,0)),"")</f>
        <v/>
      </c>
    </row>
    <row r="2669" spans="5:6" x14ac:dyDescent="0.3">
      <c r="E2669" t="str">
        <f>IFERROR(IF(D2669="","",VLOOKUP(D2669,CadProd!$A:$B,2,0)),"")</f>
        <v/>
      </c>
      <c r="F2669" t="str">
        <f>IFERROR(IF(D2669="","",VLOOKUP(D2669,CadProd!$A:$C,3,0)),"")</f>
        <v/>
      </c>
    </row>
    <row r="2670" spans="5:6" x14ac:dyDescent="0.3">
      <c r="E2670" t="str">
        <f>IFERROR(IF(D2670="","",VLOOKUP(D2670,CadProd!$A:$B,2,0)),"")</f>
        <v/>
      </c>
      <c r="F2670" t="str">
        <f>IFERROR(IF(D2670="","",VLOOKUP(D2670,CadProd!$A:$C,3,0)),"")</f>
        <v/>
      </c>
    </row>
    <row r="2671" spans="5:6" x14ac:dyDescent="0.3">
      <c r="E2671" t="str">
        <f>IFERROR(IF(D2671="","",VLOOKUP(D2671,CadProd!$A:$B,2,0)),"")</f>
        <v/>
      </c>
      <c r="F2671" t="str">
        <f>IFERROR(IF(D2671="","",VLOOKUP(D2671,CadProd!$A:$C,3,0)),"")</f>
        <v/>
      </c>
    </row>
    <row r="2672" spans="5:6" x14ac:dyDescent="0.3">
      <c r="E2672" t="str">
        <f>IFERROR(IF(D2672="","",VLOOKUP(D2672,CadProd!$A:$B,2,0)),"")</f>
        <v/>
      </c>
      <c r="F2672" t="str">
        <f>IFERROR(IF(D2672="","",VLOOKUP(D2672,CadProd!$A:$C,3,0)),"")</f>
        <v/>
      </c>
    </row>
    <row r="2673" spans="5:6" x14ac:dyDescent="0.3">
      <c r="E2673" t="str">
        <f>IFERROR(IF(D2673="","",VLOOKUP(D2673,CadProd!$A:$B,2,0)),"")</f>
        <v/>
      </c>
      <c r="F2673" t="str">
        <f>IFERROR(IF(D2673="","",VLOOKUP(D2673,CadProd!$A:$C,3,0)),"")</f>
        <v/>
      </c>
    </row>
    <row r="2674" spans="5:6" x14ac:dyDescent="0.3">
      <c r="E2674" t="str">
        <f>IFERROR(IF(D2674="","",VLOOKUP(D2674,CadProd!$A:$B,2,0)),"")</f>
        <v/>
      </c>
      <c r="F2674" t="str">
        <f>IFERROR(IF(D2674="","",VLOOKUP(D2674,CadProd!$A:$C,3,0)),"")</f>
        <v/>
      </c>
    </row>
    <row r="2675" spans="5:6" x14ac:dyDescent="0.3">
      <c r="E2675" t="str">
        <f>IFERROR(IF(D2675="","",VLOOKUP(D2675,CadProd!$A:$B,2,0)),"")</f>
        <v/>
      </c>
      <c r="F2675" t="str">
        <f>IFERROR(IF(D2675="","",VLOOKUP(D2675,CadProd!$A:$C,3,0)),"")</f>
        <v/>
      </c>
    </row>
    <row r="2676" spans="5:6" x14ac:dyDescent="0.3">
      <c r="E2676" t="str">
        <f>IFERROR(IF(D2676="","",VLOOKUP(D2676,CadProd!$A:$B,2,0)),"")</f>
        <v/>
      </c>
      <c r="F2676" t="str">
        <f>IFERROR(IF(D2676="","",VLOOKUP(D2676,CadProd!$A:$C,3,0)),"")</f>
        <v/>
      </c>
    </row>
    <row r="2677" spans="5:6" x14ac:dyDescent="0.3">
      <c r="E2677" t="str">
        <f>IFERROR(IF(D2677="","",VLOOKUP(D2677,CadProd!$A:$B,2,0)),"")</f>
        <v/>
      </c>
      <c r="F2677" t="str">
        <f>IFERROR(IF(D2677="","",VLOOKUP(D2677,CadProd!$A:$C,3,0)),"")</f>
        <v/>
      </c>
    </row>
    <row r="2678" spans="5:6" x14ac:dyDescent="0.3">
      <c r="E2678" t="str">
        <f>IFERROR(IF(D2678="","",VLOOKUP(D2678,CadProd!$A:$B,2,0)),"")</f>
        <v/>
      </c>
      <c r="F2678" t="str">
        <f>IFERROR(IF(D2678="","",VLOOKUP(D2678,CadProd!$A:$C,3,0)),"")</f>
        <v/>
      </c>
    </row>
    <row r="2679" spans="5:6" x14ac:dyDescent="0.3">
      <c r="E2679" t="str">
        <f>IFERROR(IF(D2679="","",VLOOKUP(D2679,CadProd!$A:$B,2,0)),"")</f>
        <v/>
      </c>
      <c r="F2679" t="str">
        <f>IFERROR(IF(D2679="","",VLOOKUP(D2679,CadProd!$A:$C,3,0)),"")</f>
        <v/>
      </c>
    </row>
    <row r="2680" spans="5:6" x14ac:dyDescent="0.3">
      <c r="E2680" t="str">
        <f>IFERROR(IF(D2680="","",VLOOKUP(D2680,CadProd!$A:$B,2,0)),"")</f>
        <v/>
      </c>
      <c r="F2680" t="str">
        <f>IFERROR(IF(D2680="","",VLOOKUP(D2680,CadProd!$A:$C,3,0)),"")</f>
        <v/>
      </c>
    </row>
    <row r="2681" spans="5:6" x14ac:dyDescent="0.3">
      <c r="E2681" t="str">
        <f>IFERROR(IF(D2681="","",VLOOKUP(D2681,CadProd!$A:$B,2,0)),"")</f>
        <v/>
      </c>
      <c r="F2681" t="str">
        <f>IFERROR(IF(D2681="","",VLOOKUP(D2681,CadProd!$A:$C,3,0)),"")</f>
        <v/>
      </c>
    </row>
    <row r="2682" spans="5:6" x14ac:dyDescent="0.3">
      <c r="E2682" t="str">
        <f>IFERROR(IF(D2682="","",VLOOKUP(D2682,CadProd!$A:$B,2,0)),"")</f>
        <v/>
      </c>
      <c r="F2682" t="str">
        <f>IFERROR(IF(D2682="","",VLOOKUP(D2682,CadProd!$A:$C,3,0)),"")</f>
        <v/>
      </c>
    </row>
    <row r="2683" spans="5:6" x14ac:dyDescent="0.3">
      <c r="E2683" t="str">
        <f>IFERROR(IF(D2683="","",VLOOKUP(D2683,CadProd!$A:$B,2,0)),"")</f>
        <v/>
      </c>
      <c r="F2683" t="str">
        <f>IFERROR(IF(D2683="","",VLOOKUP(D2683,CadProd!$A:$C,3,0)),"")</f>
        <v/>
      </c>
    </row>
    <row r="2684" spans="5:6" x14ac:dyDescent="0.3">
      <c r="E2684" t="str">
        <f>IFERROR(IF(D2684="","",VLOOKUP(D2684,CadProd!$A:$B,2,0)),"")</f>
        <v/>
      </c>
      <c r="F2684" t="str">
        <f>IFERROR(IF(D2684="","",VLOOKUP(D2684,CadProd!$A:$C,3,0)),"")</f>
        <v/>
      </c>
    </row>
    <row r="2685" spans="5:6" x14ac:dyDescent="0.3">
      <c r="E2685" t="str">
        <f>IFERROR(IF(D2685="","",VLOOKUP(D2685,CadProd!$A:$B,2,0)),"")</f>
        <v/>
      </c>
      <c r="F2685" t="str">
        <f>IFERROR(IF(D2685="","",VLOOKUP(D2685,CadProd!$A:$C,3,0)),"")</f>
        <v/>
      </c>
    </row>
    <row r="2686" spans="5:6" x14ac:dyDescent="0.3">
      <c r="E2686" t="str">
        <f>IFERROR(IF(D2686="","",VLOOKUP(D2686,CadProd!$A:$B,2,0)),"")</f>
        <v/>
      </c>
      <c r="F2686" t="str">
        <f>IFERROR(IF(D2686="","",VLOOKUP(D2686,CadProd!$A:$C,3,0)),"")</f>
        <v/>
      </c>
    </row>
    <row r="2687" spans="5:6" x14ac:dyDescent="0.3">
      <c r="E2687" t="str">
        <f>IFERROR(IF(D2687="","",VLOOKUP(D2687,CadProd!$A:$B,2,0)),"")</f>
        <v/>
      </c>
      <c r="F2687" t="str">
        <f>IFERROR(IF(D2687="","",VLOOKUP(D2687,CadProd!$A:$C,3,0)),"")</f>
        <v/>
      </c>
    </row>
    <row r="2688" spans="5:6" x14ac:dyDescent="0.3">
      <c r="E2688" t="str">
        <f>IFERROR(IF(D2688="","",VLOOKUP(D2688,CadProd!$A:$B,2,0)),"")</f>
        <v/>
      </c>
      <c r="F2688" t="str">
        <f>IFERROR(IF(D2688="","",VLOOKUP(D2688,CadProd!$A:$C,3,0)),"")</f>
        <v/>
      </c>
    </row>
    <row r="2689" spans="5:6" x14ac:dyDescent="0.3">
      <c r="E2689" t="str">
        <f>IFERROR(IF(D2689="","",VLOOKUP(D2689,CadProd!$A:$B,2,0)),"")</f>
        <v/>
      </c>
      <c r="F2689" t="str">
        <f>IFERROR(IF(D2689="","",VLOOKUP(D2689,CadProd!$A:$C,3,0)),"")</f>
        <v/>
      </c>
    </row>
    <row r="2690" spans="5:6" x14ac:dyDescent="0.3">
      <c r="E2690" t="str">
        <f>IFERROR(IF(D2690="","",VLOOKUP(D2690,CadProd!$A:$B,2,0)),"")</f>
        <v/>
      </c>
      <c r="F2690" t="str">
        <f>IFERROR(IF(D2690="","",VLOOKUP(D2690,CadProd!$A:$C,3,0)),"")</f>
        <v/>
      </c>
    </row>
    <row r="2691" spans="5:6" x14ac:dyDescent="0.3">
      <c r="E2691" t="str">
        <f>IFERROR(IF(D2691="","",VLOOKUP(D2691,CadProd!$A:$B,2,0)),"")</f>
        <v/>
      </c>
      <c r="F2691" t="str">
        <f>IFERROR(IF(D2691="","",VLOOKUP(D2691,CadProd!$A:$C,3,0)),"")</f>
        <v/>
      </c>
    </row>
    <row r="2692" spans="5:6" x14ac:dyDescent="0.3">
      <c r="E2692" t="str">
        <f>IFERROR(IF(D2692="","",VLOOKUP(D2692,CadProd!$A:$B,2,0)),"")</f>
        <v/>
      </c>
      <c r="F2692" t="str">
        <f>IFERROR(IF(D2692="","",VLOOKUP(D2692,CadProd!$A:$C,3,0)),"")</f>
        <v/>
      </c>
    </row>
    <row r="2693" spans="5:6" x14ac:dyDescent="0.3">
      <c r="E2693" t="str">
        <f>IFERROR(IF(D2693="","",VLOOKUP(D2693,CadProd!$A:$B,2,0)),"")</f>
        <v/>
      </c>
      <c r="F2693" t="str">
        <f>IFERROR(IF(D2693="","",VLOOKUP(D2693,CadProd!$A:$C,3,0)),"")</f>
        <v/>
      </c>
    </row>
    <row r="2694" spans="5:6" x14ac:dyDescent="0.3">
      <c r="E2694" t="str">
        <f>IFERROR(IF(D2694="","",VLOOKUP(D2694,CadProd!$A:$B,2,0)),"")</f>
        <v/>
      </c>
      <c r="F2694" t="str">
        <f>IFERROR(IF(D2694="","",VLOOKUP(D2694,CadProd!$A:$C,3,0)),"")</f>
        <v/>
      </c>
    </row>
    <row r="2695" spans="5:6" x14ac:dyDescent="0.3">
      <c r="E2695" t="str">
        <f>IFERROR(IF(D2695="","",VLOOKUP(D2695,CadProd!$A:$B,2,0)),"")</f>
        <v/>
      </c>
      <c r="F2695" t="str">
        <f>IFERROR(IF(D2695="","",VLOOKUP(D2695,CadProd!$A:$C,3,0)),"")</f>
        <v/>
      </c>
    </row>
    <row r="2696" spans="5:6" x14ac:dyDescent="0.3">
      <c r="E2696" t="str">
        <f>IFERROR(IF(D2696="","",VLOOKUP(D2696,CadProd!$A:$B,2,0)),"")</f>
        <v/>
      </c>
      <c r="F2696" t="str">
        <f>IFERROR(IF(D2696="","",VLOOKUP(D2696,CadProd!$A:$C,3,0)),"")</f>
        <v/>
      </c>
    </row>
    <row r="2697" spans="5:6" x14ac:dyDescent="0.3">
      <c r="E2697" t="str">
        <f>IFERROR(IF(D2697="","",VLOOKUP(D2697,CadProd!$A:$B,2,0)),"")</f>
        <v/>
      </c>
      <c r="F2697" t="str">
        <f>IFERROR(IF(D2697="","",VLOOKUP(D2697,CadProd!$A:$C,3,0)),"")</f>
        <v/>
      </c>
    </row>
    <row r="2698" spans="5:6" x14ac:dyDescent="0.3">
      <c r="E2698" t="str">
        <f>IFERROR(IF(D2698="","",VLOOKUP(D2698,CadProd!$A:$B,2,0)),"")</f>
        <v/>
      </c>
      <c r="F2698" t="str">
        <f>IFERROR(IF(D2698="","",VLOOKUP(D2698,CadProd!$A:$C,3,0)),"")</f>
        <v/>
      </c>
    </row>
    <row r="2699" spans="5:6" x14ac:dyDescent="0.3">
      <c r="E2699" t="str">
        <f>IFERROR(IF(D2699="","",VLOOKUP(D2699,CadProd!$A:$B,2,0)),"")</f>
        <v/>
      </c>
      <c r="F2699" t="str">
        <f>IFERROR(IF(D2699="","",VLOOKUP(D2699,CadProd!$A:$C,3,0)),"")</f>
        <v/>
      </c>
    </row>
    <row r="2700" spans="5:6" x14ac:dyDescent="0.3">
      <c r="E2700" t="str">
        <f>IFERROR(IF(D2700="","",VLOOKUP(D2700,CadProd!$A:$B,2,0)),"")</f>
        <v/>
      </c>
      <c r="F2700" t="str">
        <f>IFERROR(IF(D2700="","",VLOOKUP(D2700,CadProd!$A:$C,3,0)),"")</f>
        <v/>
      </c>
    </row>
    <row r="2701" spans="5:6" x14ac:dyDescent="0.3">
      <c r="E2701" t="str">
        <f>IFERROR(IF(D2701="","",VLOOKUP(D2701,CadProd!$A:$B,2,0)),"")</f>
        <v/>
      </c>
      <c r="F2701" t="str">
        <f>IFERROR(IF(D2701="","",VLOOKUP(D2701,CadProd!$A:$C,3,0)),"")</f>
        <v/>
      </c>
    </row>
    <row r="2702" spans="5:6" x14ac:dyDescent="0.3">
      <c r="E2702" t="str">
        <f>IFERROR(IF(D2702="","",VLOOKUP(D2702,CadProd!$A:$B,2,0)),"")</f>
        <v/>
      </c>
      <c r="F2702" t="str">
        <f>IFERROR(IF(D2702="","",VLOOKUP(D2702,CadProd!$A:$C,3,0)),"")</f>
        <v/>
      </c>
    </row>
    <row r="2703" spans="5:6" x14ac:dyDescent="0.3">
      <c r="E2703" t="str">
        <f>IFERROR(IF(D2703="","",VLOOKUP(D2703,CadProd!$A:$B,2,0)),"")</f>
        <v/>
      </c>
      <c r="F2703" t="str">
        <f>IFERROR(IF(D2703="","",VLOOKUP(D2703,CadProd!$A:$C,3,0)),"")</f>
        <v/>
      </c>
    </row>
    <row r="2704" spans="5:6" x14ac:dyDescent="0.3">
      <c r="E2704" t="str">
        <f>IFERROR(IF(D2704="","",VLOOKUP(D2704,CadProd!$A:$B,2,0)),"")</f>
        <v/>
      </c>
      <c r="F2704" t="str">
        <f>IFERROR(IF(D2704="","",VLOOKUP(D2704,CadProd!$A:$C,3,0)),"")</f>
        <v/>
      </c>
    </row>
    <row r="2705" spans="5:6" x14ac:dyDescent="0.3">
      <c r="E2705" t="str">
        <f>IFERROR(IF(D2705="","",VLOOKUP(D2705,CadProd!$A:$B,2,0)),"")</f>
        <v/>
      </c>
      <c r="F2705" t="str">
        <f>IFERROR(IF(D2705="","",VLOOKUP(D2705,CadProd!$A:$C,3,0)),"")</f>
        <v/>
      </c>
    </row>
    <row r="2706" spans="5:6" x14ac:dyDescent="0.3">
      <c r="E2706" t="str">
        <f>IFERROR(IF(D2706="","",VLOOKUP(D2706,CadProd!$A:$B,2,0)),"")</f>
        <v/>
      </c>
      <c r="F2706" t="str">
        <f>IFERROR(IF(D2706="","",VLOOKUP(D2706,CadProd!$A:$C,3,0)),"")</f>
        <v/>
      </c>
    </row>
    <row r="2707" spans="5:6" x14ac:dyDescent="0.3">
      <c r="E2707" t="str">
        <f>IFERROR(IF(D2707="","",VLOOKUP(D2707,CadProd!$A:$B,2,0)),"")</f>
        <v/>
      </c>
      <c r="F2707" t="str">
        <f>IFERROR(IF(D2707="","",VLOOKUP(D2707,CadProd!$A:$C,3,0)),"")</f>
        <v/>
      </c>
    </row>
    <row r="2708" spans="5:6" x14ac:dyDescent="0.3">
      <c r="E2708" t="str">
        <f>IFERROR(IF(D2708="","",VLOOKUP(D2708,CadProd!$A:$B,2,0)),"")</f>
        <v/>
      </c>
      <c r="F2708" t="str">
        <f>IFERROR(IF(D2708="","",VLOOKUP(D2708,CadProd!$A:$C,3,0)),"")</f>
        <v/>
      </c>
    </row>
    <row r="2709" spans="5:6" x14ac:dyDescent="0.3">
      <c r="E2709" t="str">
        <f>IFERROR(IF(D2709="","",VLOOKUP(D2709,CadProd!$A:$B,2,0)),"")</f>
        <v/>
      </c>
      <c r="F2709" t="str">
        <f>IFERROR(IF(D2709="","",VLOOKUP(D2709,CadProd!$A:$C,3,0)),"")</f>
        <v/>
      </c>
    </row>
    <row r="2710" spans="5:6" x14ac:dyDescent="0.3">
      <c r="E2710" t="str">
        <f>IFERROR(IF(D2710="","",VLOOKUP(D2710,CadProd!$A:$B,2,0)),"")</f>
        <v/>
      </c>
      <c r="F2710" t="str">
        <f>IFERROR(IF(D2710="","",VLOOKUP(D2710,CadProd!$A:$C,3,0)),"")</f>
        <v/>
      </c>
    </row>
    <row r="2711" spans="5:6" x14ac:dyDescent="0.3">
      <c r="E2711" t="str">
        <f>IFERROR(IF(D2711="","",VLOOKUP(D2711,CadProd!$A:$B,2,0)),"")</f>
        <v/>
      </c>
      <c r="F2711" t="str">
        <f>IFERROR(IF(D2711="","",VLOOKUP(D2711,CadProd!$A:$C,3,0)),"")</f>
        <v/>
      </c>
    </row>
    <row r="2712" spans="5:6" x14ac:dyDescent="0.3">
      <c r="E2712" t="str">
        <f>IFERROR(IF(D2712="","",VLOOKUP(D2712,CadProd!$A:$B,2,0)),"")</f>
        <v/>
      </c>
      <c r="F2712" t="str">
        <f>IFERROR(IF(D2712="","",VLOOKUP(D2712,CadProd!$A:$C,3,0)),"")</f>
        <v/>
      </c>
    </row>
    <row r="2713" spans="5:6" x14ac:dyDescent="0.3">
      <c r="E2713" t="str">
        <f>IFERROR(IF(D2713="","",VLOOKUP(D2713,CadProd!$A:$B,2,0)),"")</f>
        <v/>
      </c>
      <c r="F2713" t="str">
        <f>IFERROR(IF(D2713="","",VLOOKUP(D2713,CadProd!$A:$C,3,0)),"")</f>
        <v/>
      </c>
    </row>
    <row r="2714" spans="5:6" x14ac:dyDescent="0.3">
      <c r="E2714" t="str">
        <f>IFERROR(IF(D2714="","",VLOOKUP(D2714,CadProd!$A:$B,2,0)),"")</f>
        <v/>
      </c>
      <c r="F2714" t="str">
        <f>IFERROR(IF(D2714="","",VLOOKUP(D2714,CadProd!$A:$C,3,0)),"")</f>
        <v/>
      </c>
    </row>
    <row r="2715" spans="5:6" x14ac:dyDescent="0.3">
      <c r="E2715" t="str">
        <f>IFERROR(IF(D2715="","",VLOOKUP(D2715,CadProd!$A:$B,2,0)),"")</f>
        <v/>
      </c>
      <c r="F2715" t="str">
        <f>IFERROR(IF(D2715="","",VLOOKUP(D2715,CadProd!$A:$C,3,0)),"")</f>
        <v/>
      </c>
    </row>
    <row r="2716" spans="5:6" x14ac:dyDescent="0.3">
      <c r="E2716" t="str">
        <f>IFERROR(IF(D2716="","",VLOOKUP(D2716,CadProd!$A:$B,2,0)),"")</f>
        <v/>
      </c>
      <c r="F2716" t="str">
        <f>IFERROR(IF(D2716="","",VLOOKUP(D2716,CadProd!$A:$C,3,0)),"")</f>
        <v/>
      </c>
    </row>
    <row r="2717" spans="5:6" x14ac:dyDescent="0.3">
      <c r="E2717" t="str">
        <f>IFERROR(IF(D2717="","",VLOOKUP(D2717,CadProd!$A:$B,2,0)),"")</f>
        <v/>
      </c>
      <c r="F2717" t="str">
        <f>IFERROR(IF(D2717="","",VLOOKUP(D2717,CadProd!$A:$C,3,0)),"")</f>
        <v/>
      </c>
    </row>
    <row r="2718" spans="5:6" x14ac:dyDescent="0.3">
      <c r="E2718" t="str">
        <f>IFERROR(IF(D2718="","",VLOOKUP(D2718,CadProd!$A:$B,2,0)),"")</f>
        <v/>
      </c>
      <c r="F2718" t="str">
        <f>IFERROR(IF(D2718="","",VLOOKUP(D2718,CadProd!$A:$C,3,0)),"")</f>
        <v/>
      </c>
    </row>
    <row r="2719" spans="5:6" x14ac:dyDescent="0.3">
      <c r="E2719" t="str">
        <f>IFERROR(IF(D2719="","",VLOOKUP(D2719,CadProd!$A:$B,2,0)),"")</f>
        <v/>
      </c>
      <c r="F2719" t="str">
        <f>IFERROR(IF(D2719="","",VLOOKUP(D2719,CadProd!$A:$C,3,0)),"")</f>
        <v/>
      </c>
    </row>
    <row r="2720" spans="5:6" x14ac:dyDescent="0.3">
      <c r="E2720" t="str">
        <f>IFERROR(IF(D2720="","",VLOOKUP(D2720,CadProd!$A:$B,2,0)),"")</f>
        <v/>
      </c>
      <c r="F2720" t="str">
        <f>IFERROR(IF(D2720="","",VLOOKUP(D2720,CadProd!$A:$C,3,0)),"")</f>
        <v/>
      </c>
    </row>
    <row r="2721" spans="5:6" x14ac:dyDescent="0.3">
      <c r="E2721" t="str">
        <f>IFERROR(IF(D2721="","",VLOOKUP(D2721,CadProd!$A:$B,2,0)),"")</f>
        <v/>
      </c>
      <c r="F2721" t="str">
        <f>IFERROR(IF(D2721="","",VLOOKUP(D2721,CadProd!$A:$C,3,0)),"")</f>
        <v/>
      </c>
    </row>
    <row r="2722" spans="5:6" x14ac:dyDescent="0.3">
      <c r="E2722" t="str">
        <f>IFERROR(IF(D2722="","",VLOOKUP(D2722,CadProd!$A:$B,2,0)),"")</f>
        <v/>
      </c>
      <c r="F2722" t="str">
        <f>IFERROR(IF(D2722="","",VLOOKUP(D2722,CadProd!$A:$C,3,0)),"")</f>
        <v/>
      </c>
    </row>
    <row r="2723" spans="5:6" x14ac:dyDescent="0.3">
      <c r="E2723" t="str">
        <f>IFERROR(IF(D2723="","",VLOOKUP(D2723,CadProd!$A:$B,2,0)),"")</f>
        <v/>
      </c>
      <c r="F2723" t="str">
        <f>IFERROR(IF(D2723="","",VLOOKUP(D2723,CadProd!$A:$C,3,0)),"")</f>
        <v/>
      </c>
    </row>
    <row r="2724" spans="5:6" x14ac:dyDescent="0.3">
      <c r="E2724" t="str">
        <f>IFERROR(IF(D2724="","",VLOOKUP(D2724,CadProd!$A:$B,2,0)),"")</f>
        <v/>
      </c>
      <c r="F2724" t="str">
        <f>IFERROR(IF(D2724="","",VLOOKUP(D2724,CadProd!$A:$C,3,0)),"")</f>
        <v/>
      </c>
    </row>
    <row r="2725" spans="5:6" x14ac:dyDescent="0.3">
      <c r="E2725" t="str">
        <f>IFERROR(IF(D2725="","",VLOOKUP(D2725,CadProd!$A:$B,2,0)),"")</f>
        <v/>
      </c>
      <c r="F2725" t="str">
        <f>IFERROR(IF(D2725="","",VLOOKUP(D2725,CadProd!$A:$C,3,0)),"")</f>
        <v/>
      </c>
    </row>
    <row r="2726" spans="5:6" x14ac:dyDescent="0.3">
      <c r="E2726" t="str">
        <f>IFERROR(IF(D2726="","",VLOOKUP(D2726,CadProd!$A:$B,2,0)),"")</f>
        <v/>
      </c>
      <c r="F2726" t="str">
        <f>IFERROR(IF(D2726="","",VLOOKUP(D2726,CadProd!$A:$C,3,0)),"")</f>
        <v/>
      </c>
    </row>
    <row r="2727" spans="5:6" x14ac:dyDescent="0.3">
      <c r="E2727" t="str">
        <f>IFERROR(IF(D2727="","",VLOOKUP(D2727,CadProd!$A:$B,2,0)),"")</f>
        <v/>
      </c>
      <c r="F2727" t="str">
        <f>IFERROR(IF(D2727="","",VLOOKUP(D2727,CadProd!$A:$C,3,0)),"")</f>
        <v/>
      </c>
    </row>
    <row r="2728" spans="5:6" x14ac:dyDescent="0.3">
      <c r="E2728" t="str">
        <f>IFERROR(IF(D2728="","",VLOOKUP(D2728,CadProd!$A:$B,2,0)),"")</f>
        <v/>
      </c>
      <c r="F2728" t="str">
        <f>IFERROR(IF(D2728="","",VLOOKUP(D2728,CadProd!$A:$C,3,0)),"")</f>
        <v/>
      </c>
    </row>
    <row r="2729" spans="5:6" x14ac:dyDescent="0.3">
      <c r="E2729" t="str">
        <f>IFERROR(IF(D2729="","",VLOOKUP(D2729,CadProd!$A:$B,2,0)),"")</f>
        <v/>
      </c>
      <c r="F2729" t="str">
        <f>IFERROR(IF(D2729="","",VLOOKUP(D2729,CadProd!$A:$C,3,0)),"")</f>
        <v/>
      </c>
    </row>
    <row r="2730" spans="5:6" x14ac:dyDescent="0.3">
      <c r="E2730" t="str">
        <f>IFERROR(IF(D2730="","",VLOOKUP(D2730,CadProd!$A:$B,2,0)),"")</f>
        <v/>
      </c>
      <c r="F2730" t="str">
        <f>IFERROR(IF(D2730="","",VLOOKUP(D2730,CadProd!$A:$C,3,0)),"")</f>
        <v/>
      </c>
    </row>
    <row r="2731" spans="5:6" x14ac:dyDescent="0.3">
      <c r="E2731" t="str">
        <f>IFERROR(IF(D2731="","",VLOOKUP(D2731,CadProd!$A:$B,2,0)),"")</f>
        <v/>
      </c>
      <c r="F2731" t="str">
        <f>IFERROR(IF(D2731="","",VLOOKUP(D2731,CadProd!$A:$C,3,0)),"")</f>
        <v/>
      </c>
    </row>
    <row r="2732" spans="5:6" x14ac:dyDescent="0.3">
      <c r="E2732" t="str">
        <f>IFERROR(IF(D2732="","",VLOOKUP(D2732,CadProd!$A:$B,2,0)),"")</f>
        <v/>
      </c>
      <c r="F2732" t="str">
        <f>IFERROR(IF(D2732="","",VLOOKUP(D2732,CadProd!$A:$C,3,0)),"")</f>
        <v/>
      </c>
    </row>
    <row r="2733" spans="5:6" x14ac:dyDescent="0.3">
      <c r="E2733" t="str">
        <f>IFERROR(IF(D2733="","",VLOOKUP(D2733,CadProd!$A:$B,2,0)),"")</f>
        <v/>
      </c>
      <c r="F2733" t="str">
        <f>IFERROR(IF(D2733="","",VLOOKUP(D2733,CadProd!$A:$C,3,0)),"")</f>
        <v/>
      </c>
    </row>
    <row r="2734" spans="5:6" x14ac:dyDescent="0.3">
      <c r="E2734" t="str">
        <f>IFERROR(IF(D2734="","",VLOOKUP(D2734,CadProd!$A:$B,2,0)),"")</f>
        <v/>
      </c>
      <c r="F2734" t="str">
        <f>IFERROR(IF(D2734="","",VLOOKUP(D2734,CadProd!$A:$C,3,0)),"")</f>
        <v/>
      </c>
    </row>
    <row r="2735" spans="5:6" x14ac:dyDescent="0.3">
      <c r="E2735" t="str">
        <f>IFERROR(IF(D2735="","",VLOOKUP(D2735,CadProd!$A:$B,2,0)),"")</f>
        <v/>
      </c>
      <c r="F2735" t="str">
        <f>IFERROR(IF(D2735="","",VLOOKUP(D2735,CadProd!$A:$C,3,0)),"")</f>
        <v/>
      </c>
    </row>
    <row r="2736" spans="5:6" x14ac:dyDescent="0.3">
      <c r="E2736" t="str">
        <f>IFERROR(IF(D2736="","",VLOOKUP(D2736,CadProd!$A:$B,2,0)),"")</f>
        <v/>
      </c>
      <c r="F2736" t="str">
        <f>IFERROR(IF(D2736="","",VLOOKUP(D2736,CadProd!$A:$C,3,0)),"")</f>
        <v/>
      </c>
    </row>
    <row r="2737" spans="5:6" x14ac:dyDescent="0.3">
      <c r="E2737" t="str">
        <f>IFERROR(IF(D2737="","",VLOOKUP(D2737,CadProd!$A:$B,2,0)),"")</f>
        <v/>
      </c>
      <c r="F2737" t="str">
        <f>IFERROR(IF(D2737="","",VLOOKUP(D2737,CadProd!$A:$C,3,0)),"")</f>
        <v/>
      </c>
    </row>
    <row r="2738" spans="5:6" x14ac:dyDescent="0.3">
      <c r="E2738" t="str">
        <f>IFERROR(IF(D2738="","",VLOOKUP(D2738,CadProd!$A:$B,2,0)),"")</f>
        <v/>
      </c>
      <c r="F2738" t="str">
        <f>IFERROR(IF(D2738="","",VLOOKUP(D2738,CadProd!$A:$C,3,0)),"")</f>
        <v/>
      </c>
    </row>
    <row r="2739" spans="5:6" x14ac:dyDescent="0.3">
      <c r="E2739" t="str">
        <f>IFERROR(IF(D2739="","",VLOOKUP(D2739,CadProd!$A:$B,2,0)),"")</f>
        <v/>
      </c>
      <c r="F2739" t="str">
        <f>IFERROR(IF(D2739="","",VLOOKUP(D2739,CadProd!$A:$C,3,0)),"")</f>
        <v/>
      </c>
    </row>
    <row r="2740" spans="5:6" x14ac:dyDescent="0.3">
      <c r="E2740" t="str">
        <f>IFERROR(IF(D2740="","",VLOOKUP(D2740,CadProd!$A:$B,2,0)),"")</f>
        <v/>
      </c>
      <c r="F2740" t="str">
        <f>IFERROR(IF(D2740="","",VLOOKUP(D2740,CadProd!$A:$C,3,0)),"")</f>
        <v/>
      </c>
    </row>
    <row r="2741" spans="5:6" x14ac:dyDescent="0.3">
      <c r="E2741" t="str">
        <f>IFERROR(IF(D2741="","",VLOOKUP(D2741,CadProd!$A:$B,2,0)),"")</f>
        <v/>
      </c>
      <c r="F2741" t="str">
        <f>IFERROR(IF(D2741="","",VLOOKUP(D2741,CadProd!$A:$C,3,0)),"")</f>
        <v/>
      </c>
    </row>
    <row r="2742" spans="5:6" x14ac:dyDescent="0.3">
      <c r="E2742" t="str">
        <f>IFERROR(IF(D2742="","",VLOOKUP(D2742,CadProd!$A:$B,2,0)),"")</f>
        <v/>
      </c>
      <c r="F2742" t="str">
        <f>IFERROR(IF(D2742="","",VLOOKUP(D2742,CadProd!$A:$C,3,0)),"")</f>
        <v/>
      </c>
    </row>
    <row r="2743" spans="5:6" x14ac:dyDescent="0.3">
      <c r="E2743" t="str">
        <f>IFERROR(IF(D2743="","",VLOOKUP(D2743,CadProd!$A:$B,2,0)),"")</f>
        <v/>
      </c>
      <c r="F2743" t="str">
        <f>IFERROR(IF(D2743="","",VLOOKUP(D2743,CadProd!$A:$C,3,0)),"")</f>
        <v/>
      </c>
    </row>
    <row r="2744" spans="5:6" x14ac:dyDescent="0.3">
      <c r="E2744" t="str">
        <f>IFERROR(IF(D2744="","",VLOOKUP(D2744,CadProd!$A:$B,2,0)),"")</f>
        <v/>
      </c>
      <c r="F2744" t="str">
        <f>IFERROR(IF(D2744="","",VLOOKUP(D2744,CadProd!$A:$C,3,0)),"")</f>
        <v/>
      </c>
    </row>
    <row r="2745" spans="5:6" x14ac:dyDescent="0.3">
      <c r="E2745" t="str">
        <f>IFERROR(IF(D2745="","",VLOOKUP(D2745,CadProd!$A:$B,2,0)),"")</f>
        <v/>
      </c>
      <c r="F2745" t="str">
        <f>IFERROR(IF(D2745="","",VLOOKUP(D2745,CadProd!$A:$C,3,0)),"")</f>
        <v/>
      </c>
    </row>
    <row r="2746" spans="5:6" x14ac:dyDescent="0.3">
      <c r="E2746" t="str">
        <f>IFERROR(IF(D2746="","",VLOOKUP(D2746,CadProd!$A:$B,2,0)),"")</f>
        <v/>
      </c>
      <c r="F2746" t="str">
        <f>IFERROR(IF(D2746="","",VLOOKUP(D2746,CadProd!$A:$C,3,0)),"")</f>
        <v/>
      </c>
    </row>
    <row r="2747" spans="5:6" x14ac:dyDescent="0.3">
      <c r="E2747" t="str">
        <f>IFERROR(IF(D2747="","",VLOOKUP(D2747,CadProd!$A:$B,2,0)),"")</f>
        <v/>
      </c>
      <c r="F2747" t="str">
        <f>IFERROR(IF(D2747="","",VLOOKUP(D2747,CadProd!$A:$C,3,0)),"")</f>
        <v/>
      </c>
    </row>
    <row r="2748" spans="5:6" x14ac:dyDescent="0.3">
      <c r="E2748" t="str">
        <f>IFERROR(IF(D2748="","",VLOOKUP(D2748,CadProd!$A:$B,2,0)),"")</f>
        <v/>
      </c>
      <c r="F2748" t="str">
        <f>IFERROR(IF(D2748="","",VLOOKUP(D2748,CadProd!$A:$C,3,0)),"")</f>
        <v/>
      </c>
    </row>
    <row r="2749" spans="5:6" x14ac:dyDescent="0.3">
      <c r="E2749" t="str">
        <f>IFERROR(IF(D2749="","",VLOOKUP(D2749,CadProd!$A:$B,2,0)),"")</f>
        <v/>
      </c>
      <c r="F2749" t="str">
        <f>IFERROR(IF(D2749="","",VLOOKUP(D2749,CadProd!$A:$C,3,0)),"")</f>
        <v/>
      </c>
    </row>
    <row r="2750" spans="5:6" x14ac:dyDescent="0.3">
      <c r="E2750" t="str">
        <f>IFERROR(IF(D2750="","",VLOOKUP(D2750,CadProd!$A:$B,2,0)),"")</f>
        <v/>
      </c>
      <c r="F2750" t="str">
        <f>IFERROR(IF(D2750="","",VLOOKUP(D2750,CadProd!$A:$C,3,0)),"")</f>
        <v/>
      </c>
    </row>
    <row r="2751" spans="5:6" x14ac:dyDescent="0.3">
      <c r="E2751" t="str">
        <f>IFERROR(IF(D2751="","",VLOOKUP(D2751,CadProd!$A:$B,2,0)),"")</f>
        <v/>
      </c>
      <c r="F2751" t="str">
        <f>IFERROR(IF(D2751="","",VLOOKUP(D2751,CadProd!$A:$C,3,0)),"")</f>
        <v/>
      </c>
    </row>
    <row r="2752" spans="5:6" x14ac:dyDescent="0.3">
      <c r="E2752" t="str">
        <f>IFERROR(IF(D2752="","",VLOOKUP(D2752,CadProd!$A:$B,2,0)),"")</f>
        <v/>
      </c>
      <c r="F2752" t="str">
        <f>IFERROR(IF(D2752="","",VLOOKUP(D2752,CadProd!$A:$C,3,0)),"")</f>
        <v/>
      </c>
    </row>
    <row r="2753" spans="5:6" x14ac:dyDescent="0.3">
      <c r="E2753" t="str">
        <f>IFERROR(IF(D2753="","",VLOOKUP(D2753,CadProd!$A:$B,2,0)),"")</f>
        <v/>
      </c>
      <c r="F2753" t="str">
        <f>IFERROR(IF(D2753="","",VLOOKUP(D2753,CadProd!$A:$C,3,0)),"")</f>
        <v/>
      </c>
    </row>
    <row r="2754" spans="5:6" x14ac:dyDescent="0.3">
      <c r="E2754" t="str">
        <f>IFERROR(IF(D2754="","",VLOOKUP(D2754,CadProd!$A:$B,2,0)),"")</f>
        <v/>
      </c>
      <c r="F2754" t="str">
        <f>IFERROR(IF(D2754="","",VLOOKUP(D2754,CadProd!$A:$C,3,0)),"")</f>
        <v/>
      </c>
    </row>
    <row r="2755" spans="5:6" x14ac:dyDescent="0.3">
      <c r="E2755" t="str">
        <f>IFERROR(IF(D2755="","",VLOOKUP(D2755,CadProd!$A:$B,2,0)),"")</f>
        <v/>
      </c>
      <c r="F2755" t="str">
        <f>IFERROR(IF(D2755="","",VLOOKUP(D2755,CadProd!$A:$C,3,0)),"")</f>
        <v/>
      </c>
    </row>
    <row r="2756" spans="5:6" x14ac:dyDescent="0.3">
      <c r="E2756" t="str">
        <f>IFERROR(IF(D2756="","",VLOOKUP(D2756,CadProd!$A:$B,2,0)),"")</f>
        <v/>
      </c>
      <c r="F2756" t="str">
        <f>IFERROR(IF(D2756="","",VLOOKUP(D2756,CadProd!$A:$C,3,0)),"")</f>
        <v/>
      </c>
    </row>
    <row r="2757" spans="5:6" x14ac:dyDescent="0.3">
      <c r="E2757" t="str">
        <f>IFERROR(IF(D2757="","",VLOOKUP(D2757,CadProd!$A:$B,2,0)),"")</f>
        <v/>
      </c>
      <c r="F2757" t="str">
        <f>IFERROR(IF(D2757="","",VLOOKUP(D2757,CadProd!$A:$C,3,0)),"")</f>
        <v/>
      </c>
    </row>
    <row r="2758" spans="5:6" x14ac:dyDescent="0.3">
      <c r="E2758" t="str">
        <f>IFERROR(IF(D2758="","",VLOOKUP(D2758,CadProd!$A:$B,2,0)),"")</f>
        <v/>
      </c>
      <c r="F2758" t="str">
        <f>IFERROR(IF(D2758="","",VLOOKUP(D2758,CadProd!$A:$C,3,0)),"")</f>
        <v/>
      </c>
    </row>
    <row r="2759" spans="5:6" x14ac:dyDescent="0.3">
      <c r="E2759" t="str">
        <f>IFERROR(IF(D2759="","",VLOOKUP(D2759,CadProd!$A:$B,2,0)),"")</f>
        <v/>
      </c>
      <c r="F2759" t="str">
        <f>IFERROR(IF(D2759="","",VLOOKUP(D2759,CadProd!$A:$C,3,0)),"")</f>
        <v/>
      </c>
    </row>
    <row r="2760" spans="5:6" x14ac:dyDescent="0.3">
      <c r="E2760" t="str">
        <f>IFERROR(IF(D2760="","",VLOOKUP(D2760,CadProd!$A:$B,2,0)),"")</f>
        <v/>
      </c>
      <c r="F2760" t="str">
        <f>IFERROR(IF(D2760="","",VLOOKUP(D2760,CadProd!$A:$C,3,0)),"")</f>
        <v/>
      </c>
    </row>
    <row r="2761" spans="5:6" x14ac:dyDescent="0.3">
      <c r="E2761" t="str">
        <f>IFERROR(IF(D2761="","",VLOOKUP(D2761,CadProd!$A:$B,2,0)),"")</f>
        <v/>
      </c>
      <c r="F2761" t="str">
        <f>IFERROR(IF(D2761="","",VLOOKUP(D2761,CadProd!$A:$C,3,0)),"")</f>
        <v/>
      </c>
    </row>
    <row r="2762" spans="5:6" x14ac:dyDescent="0.3">
      <c r="E2762" t="str">
        <f>IFERROR(IF(D2762="","",VLOOKUP(D2762,CadProd!$A:$B,2,0)),"")</f>
        <v/>
      </c>
      <c r="F2762" t="str">
        <f>IFERROR(IF(D2762="","",VLOOKUP(D2762,CadProd!$A:$C,3,0)),"")</f>
        <v/>
      </c>
    </row>
    <row r="2763" spans="5:6" x14ac:dyDescent="0.3">
      <c r="E2763" t="str">
        <f>IFERROR(IF(D2763="","",VLOOKUP(D2763,CadProd!$A:$B,2,0)),"")</f>
        <v/>
      </c>
      <c r="F2763" t="str">
        <f>IFERROR(IF(D2763="","",VLOOKUP(D2763,CadProd!$A:$C,3,0)),"")</f>
        <v/>
      </c>
    </row>
    <row r="2764" spans="5:6" x14ac:dyDescent="0.3">
      <c r="E2764" t="str">
        <f>IFERROR(IF(D2764="","",VLOOKUP(D2764,CadProd!$A:$B,2,0)),"")</f>
        <v/>
      </c>
      <c r="F2764" t="str">
        <f>IFERROR(IF(D2764="","",VLOOKUP(D2764,CadProd!$A:$C,3,0)),"")</f>
        <v/>
      </c>
    </row>
    <row r="2765" spans="5:6" x14ac:dyDescent="0.3">
      <c r="E2765" t="str">
        <f>IFERROR(IF(D2765="","",VLOOKUP(D2765,CadProd!$A:$B,2,0)),"")</f>
        <v/>
      </c>
      <c r="F2765" t="str">
        <f>IFERROR(IF(D2765="","",VLOOKUP(D2765,CadProd!$A:$C,3,0)),"")</f>
        <v/>
      </c>
    </row>
    <row r="2766" spans="5:6" x14ac:dyDescent="0.3">
      <c r="E2766" t="str">
        <f>IFERROR(IF(D2766="","",VLOOKUP(D2766,CadProd!$A:$B,2,0)),"")</f>
        <v/>
      </c>
      <c r="F2766" t="str">
        <f>IFERROR(IF(D2766="","",VLOOKUP(D2766,CadProd!$A:$C,3,0)),"")</f>
        <v/>
      </c>
    </row>
    <row r="2767" spans="5:6" x14ac:dyDescent="0.3">
      <c r="E2767" t="str">
        <f>IFERROR(IF(D2767="","",VLOOKUP(D2767,CadProd!$A:$B,2,0)),"")</f>
        <v/>
      </c>
      <c r="F2767" t="str">
        <f>IFERROR(IF(D2767="","",VLOOKUP(D2767,CadProd!$A:$C,3,0)),"")</f>
        <v/>
      </c>
    </row>
    <row r="2768" spans="5:6" x14ac:dyDescent="0.3">
      <c r="E2768" t="str">
        <f>IFERROR(IF(D2768="","",VLOOKUP(D2768,CadProd!$A:$B,2,0)),"")</f>
        <v/>
      </c>
      <c r="F2768" t="str">
        <f>IFERROR(IF(D2768="","",VLOOKUP(D2768,CadProd!$A:$C,3,0)),"")</f>
        <v/>
      </c>
    </row>
    <row r="2769" spans="5:6" x14ac:dyDescent="0.3">
      <c r="E2769" t="str">
        <f>IFERROR(IF(D2769="","",VLOOKUP(D2769,CadProd!$A:$B,2,0)),"")</f>
        <v/>
      </c>
      <c r="F2769" t="str">
        <f>IFERROR(IF(D2769="","",VLOOKUP(D2769,CadProd!$A:$C,3,0)),"")</f>
        <v/>
      </c>
    </row>
    <row r="2770" spans="5:6" x14ac:dyDescent="0.3">
      <c r="E2770" t="str">
        <f>IFERROR(IF(D2770="","",VLOOKUP(D2770,CadProd!$A:$B,2,0)),"")</f>
        <v/>
      </c>
      <c r="F2770" t="str">
        <f>IFERROR(IF(D2770="","",VLOOKUP(D2770,CadProd!$A:$C,3,0)),"")</f>
        <v/>
      </c>
    </row>
    <row r="2771" spans="5:6" x14ac:dyDescent="0.3">
      <c r="E2771" t="str">
        <f>IFERROR(IF(D2771="","",VLOOKUP(D2771,CadProd!$A:$B,2,0)),"")</f>
        <v/>
      </c>
      <c r="F2771" t="str">
        <f>IFERROR(IF(D2771="","",VLOOKUP(D2771,CadProd!$A:$C,3,0)),"")</f>
        <v/>
      </c>
    </row>
    <row r="2772" spans="5:6" x14ac:dyDescent="0.3">
      <c r="E2772" t="str">
        <f>IFERROR(IF(D2772="","",VLOOKUP(D2772,CadProd!$A:$B,2,0)),"")</f>
        <v/>
      </c>
      <c r="F2772" t="str">
        <f>IFERROR(IF(D2772="","",VLOOKUP(D2772,CadProd!$A:$C,3,0)),"")</f>
        <v/>
      </c>
    </row>
    <row r="2773" spans="5:6" x14ac:dyDescent="0.3">
      <c r="E2773" t="str">
        <f>IFERROR(IF(D2773="","",VLOOKUP(D2773,CadProd!$A:$B,2,0)),"")</f>
        <v/>
      </c>
      <c r="F2773" t="str">
        <f>IFERROR(IF(D2773="","",VLOOKUP(D2773,CadProd!$A:$C,3,0)),"")</f>
        <v/>
      </c>
    </row>
    <row r="2774" spans="5:6" x14ac:dyDescent="0.3">
      <c r="E2774" t="str">
        <f>IFERROR(IF(D2774="","",VLOOKUP(D2774,CadProd!$A:$B,2,0)),"")</f>
        <v/>
      </c>
      <c r="F2774" t="str">
        <f>IFERROR(IF(D2774="","",VLOOKUP(D2774,CadProd!$A:$C,3,0)),"")</f>
        <v/>
      </c>
    </row>
    <row r="2775" spans="5:6" x14ac:dyDescent="0.3">
      <c r="E2775" t="str">
        <f>IFERROR(IF(D2775="","",VLOOKUP(D2775,CadProd!$A:$B,2,0)),"")</f>
        <v/>
      </c>
      <c r="F2775" t="str">
        <f>IFERROR(IF(D2775="","",VLOOKUP(D2775,CadProd!$A:$C,3,0)),"")</f>
        <v/>
      </c>
    </row>
    <row r="2776" spans="5:6" x14ac:dyDescent="0.3">
      <c r="E2776" t="str">
        <f>IFERROR(IF(D2776="","",VLOOKUP(D2776,CadProd!$A:$B,2,0)),"")</f>
        <v/>
      </c>
      <c r="F2776" t="str">
        <f>IFERROR(IF(D2776="","",VLOOKUP(D2776,CadProd!$A:$C,3,0)),"")</f>
        <v/>
      </c>
    </row>
    <row r="2777" spans="5:6" x14ac:dyDescent="0.3">
      <c r="E2777" t="str">
        <f>IFERROR(IF(D2777="","",VLOOKUP(D2777,CadProd!$A:$B,2,0)),"")</f>
        <v/>
      </c>
      <c r="F2777" t="str">
        <f>IFERROR(IF(D2777="","",VLOOKUP(D2777,CadProd!$A:$C,3,0)),"")</f>
        <v/>
      </c>
    </row>
    <row r="2778" spans="5:6" x14ac:dyDescent="0.3">
      <c r="E2778" t="str">
        <f>IFERROR(IF(D2778="","",VLOOKUP(D2778,CadProd!$A:$B,2,0)),"")</f>
        <v/>
      </c>
      <c r="F2778" t="str">
        <f>IFERROR(IF(D2778="","",VLOOKUP(D2778,CadProd!$A:$C,3,0)),"")</f>
        <v/>
      </c>
    </row>
    <row r="2779" spans="5:6" x14ac:dyDescent="0.3">
      <c r="E2779" t="str">
        <f>IFERROR(IF(D2779="","",VLOOKUP(D2779,CadProd!$A:$B,2,0)),"")</f>
        <v/>
      </c>
      <c r="F2779" t="str">
        <f>IFERROR(IF(D2779="","",VLOOKUP(D2779,CadProd!$A:$C,3,0)),"")</f>
        <v/>
      </c>
    </row>
    <row r="2780" spans="5:6" x14ac:dyDescent="0.3">
      <c r="E2780" t="str">
        <f>IFERROR(IF(D2780="","",VLOOKUP(D2780,CadProd!$A:$B,2,0)),"")</f>
        <v/>
      </c>
      <c r="F2780" t="str">
        <f>IFERROR(IF(D2780="","",VLOOKUP(D2780,CadProd!$A:$C,3,0)),"")</f>
        <v/>
      </c>
    </row>
    <row r="2781" spans="5:6" x14ac:dyDescent="0.3">
      <c r="E2781" t="str">
        <f>IFERROR(IF(D2781="","",VLOOKUP(D2781,CadProd!$A:$B,2,0)),"")</f>
        <v/>
      </c>
      <c r="F2781" t="str">
        <f>IFERROR(IF(D2781="","",VLOOKUP(D2781,CadProd!$A:$C,3,0)),"")</f>
        <v/>
      </c>
    </row>
    <row r="2782" spans="5:6" x14ac:dyDescent="0.3">
      <c r="E2782" t="str">
        <f>IFERROR(IF(D2782="","",VLOOKUP(D2782,CadProd!$A:$B,2,0)),"")</f>
        <v/>
      </c>
      <c r="F2782" t="str">
        <f>IFERROR(IF(D2782="","",VLOOKUP(D2782,CadProd!$A:$C,3,0)),"")</f>
        <v/>
      </c>
    </row>
    <row r="2783" spans="5:6" x14ac:dyDescent="0.3">
      <c r="E2783" t="str">
        <f>IFERROR(IF(D2783="","",VLOOKUP(D2783,CadProd!$A:$B,2,0)),"")</f>
        <v/>
      </c>
      <c r="F2783" t="str">
        <f>IFERROR(IF(D2783="","",VLOOKUP(D2783,CadProd!$A:$C,3,0)),"")</f>
        <v/>
      </c>
    </row>
    <row r="2784" spans="5:6" x14ac:dyDescent="0.3">
      <c r="E2784" t="str">
        <f>IFERROR(IF(D2784="","",VLOOKUP(D2784,CadProd!$A:$B,2,0)),"")</f>
        <v/>
      </c>
      <c r="F2784" t="str">
        <f>IFERROR(IF(D2784="","",VLOOKUP(D2784,CadProd!$A:$C,3,0)),"")</f>
        <v/>
      </c>
    </row>
    <row r="2785" spans="5:6" x14ac:dyDescent="0.3">
      <c r="E2785" t="str">
        <f>IFERROR(IF(D2785="","",VLOOKUP(D2785,CadProd!$A:$B,2,0)),"")</f>
        <v/>
      </c>
      <c r="F2785" t="str">
        <f>IFERROR(IF(D2785="","",VLOOKUP(D2785,CadProd!$A:$C,3,0)),"")</f>
        <v/>
      </c>
    </row>
    <row r="2786" spans="5:6" x14ac:dyDescent="0.3">
      <c r="E2786" t="str">
        <f>IFERROR(IF(D2786="","",VLOOKUP(D2786,CadProd!$A:$B,2,0)),"")</f>
        <v/>
      </c>
      <c r="F2786" t="str">
        <f>IFERROR(IF(D2786="","",VLOOKUP(D2786,CadProd!$A:$C,3,0)),"")</f>
        <v/>
      </c>
    </row>
    <row r="2787" spans="5:6" x14ac:dyDescent="0.3">
      <c r="E2787" t="str">
        <f>IFERROR(IF(D2787="","",VLOOKUP(D2787,CadProd!$A:$B,2,0)),"")</f>
        <v/>
      </c>
      <c r="F2787" t="str">
        <f>IFERROR(IF(D2787="","",VLOOKUP(D2787,CadProd!$A:$C,3,0)),"")</f>
        <v/>
      </c>
    </row>
    <row r="2788" spans="5:6" x14ac:dyDescent="0.3">
      <c r="E2788" t="str">
        <f>IFERROR(IF(D2788="","",VLOOKUP(D2788,CadProd!$A:$B,2,0)),"")</f>
        <v/>
      </c>
      <c r="F2788" t="str">
        <f>IFERROR(IF(D2788="","",VLOOKUP(D2788,CadProd!$A:$C,3,0)),"")</f>
        <v/>
      </c>
    </row>
    <row r="2789" spans="5:6" x14ac:dyDescent="0.3">
      <c r="E2789" t="str">
        <f>IFERROR(IF(D2789="","",VLOOKUP(D2789,CadProd!$A:$B,2,0)),"")</f>
        <v/>
      </c>
      <c r="F2789" t="str">
        <f>IFERROR(IF(D2789="","",VLOOKUP(D2789,CadProd!$A:$C,3,0)),"")</f>
        <v/>
      </c>
    </row>
    <row r="2790" spans="5:6" x14ac:dyDescent="0.3">
      <c r="E2790" t="str">
        <f>IFERROR(IF(D2790="","",VLOOKUP(D2790,CadProd!$A:$B,2,0)),"")</f>
        <v/>
      </c>
      <c r="F2790" t="str">
        <f>IFERROR(IF(D2790="","",VLOOKUP(D2790,CadProd!$A:$C,3,0)),"")</f>
        <v/>
      </c>
    </row>
    <row r="2791" spans="5:6" x14ac:dyDescent="0.3">
      <c r="E2791" t="str">
        <f>IFERROR(IF(D2791="","",VLOOKUP(D2791,CadProd!$A:$B,2,0)),"")</f>
        <v/>
      </c>
      <c r="F2791" t="str">
        <f>IFERROR(IF(D2791="","",VLOOKUP(D2791,CadProd!$A:$C,3,0)),"")</f>
        <v/>
      </c>
    </row>
    <row r="2792" spans="5:6" x14ac:dyDescent="0.3">
      <c r="E2792" t="str">
        <f>IFERROR(IF(D2792="","",VLOOKUP(D2792,CadProd!$A:$B,2,0)),"")</f>
        <v/>
      </c>
      <c r="F2792" t="str">
        <f>IFERROR(IF(D2792="","",VLOOKUP(D2792,CadProd!$A:$C,3,0)),"")</f>
        <v/>
      </c>
    </row>
    <row r="2793" spans="5:6" x14ac:dyDescent="0.3">
      <c r="E2793" t="str">
        <f>IFERROR(IF(D2793="","",VLOOKUP(D2793,CadProd!$A:$B,2,0)),"")</f>
        <v/>
      </c>
      <c r="F2793" t="str">
        <f>IFERROR(IF(D2793="","",VLOOKUP(D2793,CadProd!$A:$C,3,0)),"")</f>
        <v/>
      </c>
    </row>
    <row r="2794" spans="5:6" x14ac:dyDescent="0.3">
      <c r="E2794" t="str">
        <f>IFERROR(IF(D2794="","",VLOOKUP(D2794,CadProd!$A:$B,2,0)),"")</f>
        <v/>
      </c>
      <c r="F2794" t="str">
        <f>IFERROR(IF(D2794="","",VLOOKUP(D2794,CadProd!$A:$C,3,0)),"")</f>
        <v/>
      </c>
    </row>
    <row r="2795" spans="5:6" x14ac:dyDescent="0.3">
      <c r="E2795" t="str">
        <f>IFERROR(IF(D2795="","",VLOOKUP(D2795,CadProd!$A:$B,2,0)),"")</f>
        <v/>
      </c>
      <c r="F2795" t="str">
        <f>IFERROR(IF(D2795="","",VLOOKUP(D2795,CadProd!$A:$C,3,0)),"")</f>
        <v/>
      </c>
    </row>
    <row r="2796" spans="5:6" x14ac:dyDescent="0.3">
      <c r="E2796" t="str">
        <f>IFERROR(IF(D2796="","",VLOOKUP(D2796,CadProd!$A:$B,2,0)),"")</f>
        <v/>
      </c>
      <c r="F2796" t="str">
        <f>IFERROR(IF(D2796="","",VLOOKUP(D2796,CadProd!$A:$C,3,0)),"")</f>
        <v/>
      </c>
    </row>
    <row r="2797" spans="5:6" x14ac:dyDescent="0.3">
      <c r="E2797" t="str">
        <f>IFERROR(IF(D2797="","",VLOOKUP(D2797,CadProd!$A:$B,2,0)),"")</f>
        <v/>
      </c>
      <c r="F2797" t="str">
        <f>IFERROR(IF(D2797="","",VLOOKUP(D2797,CadProd!$A:$C,3,0)),"")</f>
        <v/>
      </c>
    </row>
    <row r="2798" spans="5:6" x14ac:dyDescent="0.3">
      <c r="E2798" t="str">
        <f>IFERROR(IF(D2798="","",VLOOKUP(D2798,CadProd!$A:$B,2,0)),"")</f>
        <v/>
      </c>
      <c r="F2798" t="str">
        <f>IFERROR(IF(D2798="","",VLOOKUP(D2798,CadProd!$A:$C,3,0)),"")</f>
        <v/>
      </c>
    </row>
    <row r="2799" spans="5:6" x14ac:dyDescent="0.3">
      <c r="E2799" t="str">
        <f>IFERROR(IF(D2799="","",VLOOKUP(D2799,CadProd!$A:$B,2,0)),"")</f>
        <v/>
      </c>
      <c r="F2799" t="str">
        <f>IFERROR(IF(D2799="","",VLOOKUP(D2799,CadProd!$A:$C,3,0)),"")</f>
        <v/>
      </c>
    </row>
    <row r="2800" spans="5:6" x14ac:dyDescent="0.3">
      <c r="E2800" t="str">
        <f>IFERROR(IF(D2800="","",VLOOKUP(D2800,CadProd!$A:$B,2,0)),"")</f>
        <v/>
      </c>
      <c r="F2800" t="str">
        <f>IFERROR(IF(D2800="","",VLOOKUP(D2800,CadProd!$A:$C,3,0)),"")</f>
        <v/>
      </c>
    </row>
    <row r="2801" spans="5:6" x14ac:dyDescent="0.3">
      <c r="E2801" t="str">
        <f>IFERROR(IF(D2801="","",VLOOKUP(D2801,CadProd!$A:$B,2,0)),"")</f>
        <v/>
      </c>
      <c r="F2801" t="str">
        <f>IFERROR(IF(D2801="","",VLOOKUP(D2801,CadProd!$A:$C,3,0)),"")</f>
        <v/>
      </c>
    </row>
    <row r="2802" spans="5:6" x14ac:dyDescent="0.3">
      <c r="E2802" t="str">
        <f>IFERROR(IF(D2802="","",VLOOKUP(D2802,CadProd!$A:$B,2,0)),"")</f>
        <v/>
      </c>
      <c r="F2802" t="str">
        <f>IFERROR(IF(D2802="","",VLOOKUP(D2802,CadProd!$A:$C,3,0)),"")</f>
        <v/>
      </c>
    </row>
    <row r="2803" spans="5:6" x14ac:dyDescent="0.3">
      <c r="E2803" t="str">
        <f>IFERROR(IF(D2803="","",VLOOKUP(D2803,CadProd!$A:$B,2,0)),"")</f>
        <v/>
      </c>
      <c r="F2803" t="str">
        <f>IFERROR(IF(D2803="","",VLOOKUP(D2803,CadProd!$A:$C,3,0)),"")</f>
        <v/>
      </c>
    </row>
    <row r="2804" spans="5:6" x14ac:dyDescent="0.3">
      <c r="E2804" t="str">
        <f>IFERROR(IF(D2804="","",VLOOKUP(D2804,CadProd!$A:$B,2,0)),"")</f>
        <v/>
      </c>
      <c r="F2804" t="str">
        <f>IFERROR(IF(D2804="","",VLOOKUP(D2804,CadProd!$A:$C,3,0)),"")</f>
        <v/>
      </c>
    </row>
    <row r="2805" spans="5:6" x14ac:dyDescent="0.3">
      <c r="E2805" t="str">
        <f>IFERROR(IF(D2805="","",VLOOKUP(D2805,CadProd!$A:$B,2,0)),"")</f>
        <v/>
      </c>
      <c r="F2805" t="str">
        <f>IFERROR(IF(D2805="","",VLOOKUP(D2805,CadProd!$A:$C,3,0)),"")</f>
        <v/>
      </c>
    </row>
    <row r="2806" spans="5:6" x14ac:dyDescent="0.3">
      <c r="E2806" t="str">
        <f>IFERROR(IF(D2806="","",VLOOKUP(D2806,CadProd!$A:$B,2,0)),"")</f>
        <v/>
      </c>
      <c r="F2806" t="str">
        <f>IFERROR(IF(D2806="","",VLOOKUP(D2806,CadProd!$A:$C,3,0)),"")</f>
        <v/>
      </c>
    </row>
    <row r="2807" spans="5:6" x14ac:dyDescent="0.3">
      <c r="E2807" t="str">
        <f>IFERROR(IF(D2807="","",VLOOKUP(D2807,CadProd!$A:$B,2,0)),"")</f>
        <v/>
      </c>
      <c r="F2807" t="str">
        <f>IFERROR(IF(D2807="","",VLOOKUP(D2807,CadProd!$A:$C,3,0)),"")</f>
        <v/>
      </c>
    </row>
    <row r="2808" spans="5:6" x14ac:dyDescent="0.3">
      <c r="E2808" t="str">
        <f>IFERROR(IF(D2808="","",VLOOKUP(D2808,CadProd!$A:$B,2,0)),"")</f>
        <v/>
      </c>
      <c r="F2808" t="str">
        <f>IFERROR(IF(D2808="","",VLOOKUP(D2808,CadProd!$A:$C,3,0)),"")</f>
        <v/>
      </c>
    </row>
    <row r="2809" spans="5:6" x14ac:dyDescent="0.3">
      <c r="E2809" t="str">
        <f>IFERROR(IF(D2809="","",VLOOKUP(D2809,CadProd!$A:$B,2,0)),"")</f>
        <v/>
      </c>
      <c r="F2809" t="str">
        <f>IFERROR(IF(D2809="","",VLOOKUP(D2809,CadProd!$A:$C,3,0)),"")</f>
        <v/>
      </c>
    </row>
    <row r="2810" spans="5:6" x14ac:dyDescent="0.3">
      <c r="E2810" t="str">
        <f>IFERROR(IF(D2810="","",VLOOKUP(D2810,CadProd!$A:$B,2,0)),"")</f>
        <v/>
      </c>
      <c r="F2810" t="str">
        <f>IFERROR(IF(D2810="","",VLOOKUP(D2810,CadProd!$A:$C,3,0)),"")</f>
        <v/>
      </c>
    </row>
    <row r="2811" spans="5:6" x14ac:dyDescent="0.3">
      <c r="E2811" t="str">
        <f>IFERROR(IF(D2811="","",VLOOKUP(D2811,CadProd!$A:$B,2,0)),"")</f>
        <v/>
      </c>
      <c r="F2811" t="str">
        <f>IFERROR(IF(D2811="","",VLOOKUP(D2811,CadProd!$A:$C,3,0)),"")</f>
        <v/>
      </c>
    </row>
    <row r="2812" spans="5:6" x14ac:dyDescent="0.3">
      <c r="E2812" t="str">
        <f>IFERROR(IF(D2812="","",VLOOKUP(D2812,CadProd!$A:$B,2,0)),"")</f>
        <v/>
      </c>
      <c r="F2812" t="str">
        <f>IFERROR(IF(D2812="","",VLOOKUP(D2812,CadProd!$A:$C,3,0)),"")</f>
        <v/>
      </c>
    </row>
    <row r="2813" spans="5:6" x14ac:dyDescent="0.3">
      <c r="E2813" t="str">
        <f>IFERROR(IF(D2813="","",VLOOKUP(D2813,CadProd!$A:$B,2,0)),"")</f>
        <v/>
      </c>
      <c r="F2813" t="str">
        <f>IFERROR(IF(D2813="","",VLOOKUP(D2813,CadProd!$A:$C,3,0)),"")</f>
        <v/>
      </c>
    </row>
    <row r="2814" spans="5:6" x14ac:dyDescent="0.3">
      <c r="E2814" t="str">
        <f>IFERROR(IF(D2814="","",VLOOKUP(D2814,CadProd!$A:$B,2,0)),"")</f>
        <v/>
      </c>
      <c r="F2814" t="str">
        <f>IFERROR(IF(D2814="","",VLOOKUP(D2814,CadProd!$A:$C,3,0)),"")</f>
        <v/>
      </c>
    </row>
    <row r="2815" spans="5:6" x14ac:dyDescent="0.3">
      <c r="E2815" t="str">
        <f>IFERROR(IF(D2815="","",VLOOKUP(D2815,CadProd!$A:$B,2,0)),"")</f>
        <v/>
      </c>
      <c r="F2815" t="str">
        <f>IFERROR(IF(D2815="","",VLOOKUP(D2815,CadProd!$A:$C,3,0)),"")</f>
        <v/>
      </c>
    </row>
    <row r="2816" spans="5:6" x14ac:dyDescent="0.3">
      <c r="E2816" t="str">
        <f>IFERROR(IF(D2816="","",VLOOKUP(D2816,CadProd!$A:$B,2,0)),"")</f>
        <v/>
      </c>
      <c r="F2816" t="str">
        <f>IFERROR(IF(D2816="","",VLOOKUP(D2816,CadProd!$A:$C,3,0)),"")</f>
        <v/>
      </c>
    </row>
    <row r="2817" spans="5:6" x14ac:dyDescent="0.3">
      <c r="E2817" t="str">
        <f>IFERROR(IF(D2817="","",VLOOKUP(D2817,CadProd!$A:$B,2,0)),"")</f>
        <v/>
      </c>
      <c r="F2817" t="str">
        <f>IFERROR(IF(D2817="","",VLOOKUP(D2817,CadProd!$A:$C,3,0)),"")</f>
        <v/>
      </c>
    </row>
    <row r="2818" spans="5:6" x14ac:dyDescent="0.3">
      <c r="E2818" t="str">
        <f>IFERROR(IF(D2818="","",VLOOKUP(D2818,CadProd!$A:$B,2,0)),"")</f>
        <v/>
      </c>
      <c r="F2818" t="str">
        <f>IFERROR(IF(D2818="","",VLOOKUP(D2818,CadProd!$A:$C,3,0)),"")</f>
        <v/>
      </c>
    </row>
    <row r="2819" spans="5:6" x14ac:dyDescent="0.3">
      <c r="E2819" t="str">
        <f>IFERROR(IF(D2819="","",VLOOKUP(D2819,CadProd!$A:$B,2,0)),"")</f>
        <v/>
      </c>
      <c r="F2819" t="str">
        <f>IFERROR(IF(D2819="","",VLOOKUP(D2819,CadProd!$A:$C,3,0)),"")</f>
        <v/>
      </c>
    </row>
    <row r="2820" spans="5:6" x14ac:dyDescent="0.3">
      <c r="E2820" t="str">
        <f>IFERROR(IF(D2820="","",VLOOKUP(D2820,CadProd!$A:$B,2,0)),"")</f>
        <v/>
      </c>
      <c r="F2820" t="str">
        <f>IFERROR(IF(D2820="","",VLOOKUP(D2820,CadProd!$A:$C,3,0)),"")</f>
        <v/>
      </c>
    </row>
    <row r="2821" spans="5:6" x14ac:dyDescent="0.3">
      <c r="E2821" t="str">
        <f>IFERROR(IF(D2821="","",VLOOKUP(D2821,CadProd!$A:$B,2,0)),"")</f>
        <v/>
      </c>
      <c r="F2821" t="str">
        <f>IFERROR(IF(D2821="","",VLOOKUP(D2821,CadProd!$A:$C,3,0)),"")</f>
        <v/>
      </c>
    </row>
    <row r="2822" spans="5:6" x14ac:dyDescent="0.3">
      <c r="E2822" t="str">
        <f>IFERROR(IF(D2822="","",VLOOKUP(D2822,CadProd!$A:$B,2,0)),"")</f>
        <v/>
      </c>
      <c r="F2822" t="str">
        <f>IFERROR(IF(D2822="","",VLOOKUP(D2822,CadProd!$A:$C,3,0)),"")</f>
        <v/>
      </c>
    </row>
    <row r="2823" spans="5:6" x14ac:dyDescent="0.3">
      <c r="E2823" t="str">
        <f>IFERROR(IF(D2823="","",VLOOKUP(D2823,CadProd!$A:$B,2,0)),"")</f>
        <v/>
      </c>
      <c r="F2823" t="str">
        <f>IFERROR(IF(D2823="","",VLOOKUP(D2823,CadProd!$A:$C,3,0)),"")</f>
        <v/>
      </c>
    </row>
    <row r="2824" spans="5:6" x14ac:dyDescent="0.3">
      <c r="E2824" t="str">
        <f>IFERROR(IF(D2824="","",VLOOKUP(D2824,CadProd!$A:$B,2,0)),"")</f>
        <v/>
      </c>
      <c r="F2824" t="str">
        <f>IFERROR(IF(D2824="","",VLOOKUP(D2824,CadProd!$A:$C,3,0)),"")</f>
        <v/>
      </c>
    </row>
    <row r="2825" spans="5:6" x14ac:dyDescent="0.3">
      <c r="E2825" t="str">
        <f>IFERROR(IF(D2825="","",VLOOKUP(D2825,CadProd!$A:$B,2,0)),"")</f>
        <v/>
      </c>
      <c r="F2825" t="str">
        <f>IFERROR(IF(D2825="","",VLOOKUP(D2825,CadProd!$A:$C,3,0)),"")</f>
        <v/>
      </c>
    </row>
    <row r="2826" spans="5:6" x14ac:dyDescent="0.3">
      <c r="E2826" t="str">
        <f>IFERROR(IF(D2826="","",VLOOKUP(D2826,CadProd!$A:$B,2,0)),"")</f>
        <v/>
      </c>
      <c r="F2826" t="str">
        <f>IFERROR(IF(D2826="","",VLOOKUP(D2826,CadProd!$A:$C,3,0)),"")</f>
        <v/>
      </c>
    </row>
    <row r="2827" spans="5:6" x14ac:dyDescent="0.3">
      <c r="E2827" t="str">
        <f>IFERROR(IF(D2827="","",VLOOKUP(D2827,CadProd!$A:$B,2,0)),"")</f>
        <v/>
      </c>
      <c r="F2827" t="str">
        <f>IFERROR(IF(D2827="","",VLOOKUP(D2827,CadProd!$A:$C,3,0)),"")</f>
        <v/>
      </c>
    </row>
    <row r="2828" spans="5:6" x14ac:dyDescent="0.3">
      <c r="E2828" t="str">
        <f>IFERROR(IF(D2828="","",VLOOKUP(D2828,CadProd!$A:$B,2,0)),"")</f>
        <v/>
      </c>
      <c r="F2828" t="str">
        <f>IFERROR(IF(D2828="","",VLOOKUP(D2828,CadProd!$A:$C,3,0)),"")</f>
        <v/>
      </c>
    </row>
    <row r="2829" spans="5:6" x14ac:dyDescent="0.3">
      <c r="E2829" t="str">
        <f>IFERROR(IF(D2829="","",VLOOKUP(D2829,CadProd!$A:$B,2,0)),"")</f>
        <v/>
      </c>
      <c r="F2829" t="str">
        <f>IFERROR(IF(D2829="","",VLOOKUP(D2829,CadProd!$A:$C,3,0)),"")</f>
        <v/>
      </c>
    </row>
    <row r="2830" spans="5:6" x14ac:dyDescent="0.3">
      <c r="E2830" t="str">
        <f>IFERROR(IF(D2830="","",VLOOKUP(D2830,CadProd!$A:$B,2,0)),"")</f>
        <v/>
      </c>
      <c r="F2830" t="str">
        <f>IFERROR(IF(D2830="","",VLOOKUP(D2830,CadProd!$A:$C,3,0)),"")</f>
        <v/>
      </c>
    </row>
    <row r="2831" spans="5:6" x14ac:dyDescent="0.3">
      <c r="E2831" t="str">
        <f>IFERROR(IF(D2831="","",VLOOKUP(D2831,CadProd!$A:$B,2,0)),"")</f>
        <v/>
      </c>
      <c r="F2831" t="str">
        <f>IFERROR(IF(D2831="","",VLOOKUP(D2831,CadProd!$A:$C,3,0)),"")</f>
        <v/>
      </c>
    </row>
    <row r="2832" spans="5:6" x14ac:dyDescent="0.3">
      <c r="E2832" t="str">
        <f>IFERROR(IF(D2832="","",VLOOKUP(D2832,CadProd!$A:$B,2,0)),"")</f>
        <v/>
      </c>
      <c r="F2832" t="str">
        <f>IFERROR(IF(D2832="","",VLOOKUP(D2832,CadProd!$A:$C,3,0)),"")</f>
        <v/>
      </c>
    </row>
    <row r="2833" spans="5:6" x14ac:dyDescent="0.3">
      <c r="E2833" t="str">
        <f>IFERROR(IF(D2833="","",VLOOKUP(D2833,CadProd!$A:$B,2,0)),"")</f>
        <v/>
      </c>
      <c r="F2833" t="str">
        <f>IFERROR(IF(D2833="","",VLOOKUP(D2833,CadProd!$A:$C,3,0)),"")</f>
        <v/>
      </c>
    </row>
    <row r="2834" spans="5:6" x14ac:dyDescent="0.3">
      <c r="E2834" t="str">
        <f>IFERROR(IF(D2834="","",VLOOKUP(D2834,CadProd!$A:$B,2,0)),"")</f>
        <v/>
      </c>
      <c r="F2834" t="str">
        <f>IFERROR(IF(D2834="","",VLOOKUP(D2834,CadProd!$A:$C,3,0)),"")</f>
        <v/>
      </c>
    </row>
    <row r="2835" spans="5:6" x14ac:dyDescent="0.3">
      <c r="E2835" t="str">
        <f>IFERROR(IF(D2835="","",VLOOKUP(D2835,CadProd!$A:$B,2,0)),"")</f>
        <v/>
      </c>
      <c r="F2835" t="str">
        <f>IFERROR(IF(D2835="","",VLOOKUP(D2835,CadProd!$A:$C,3,0)),"")</f>
        <v/>
      </c>
    </row>
    <row r="2836" spans="5:6" x14ac:dyDescent="0.3">
      <c r="E2836" t="str">
        <f>IFERROR(IF(D2836="","",VLOOKUP(D2836,CadProd!$A:$B,2,0)),"")</f>
        <v/>
      </c>
      <c r="F2836" t="str">
        <f>IFERROR(IF(D2836="","",VLOOKUP(D2836,CadProd!$A:$C,3,0)),"")</f>
        <v/>
      </c>
    </row>
    <row r="2837" spans="5:6" x14ac:dyDescent="0.3">
      <c r="E2837" t="str">
        <f>IFERROR(IF(D2837="","",VLOOKUP(D2837,CadProd!$A:$B,2,0)),"")</f>
        <v/>
      </c>
      <c r="F2837" t="str">
        <f>IFERROR(IF(D2837="","",VLOOKUP(D2837,CadProd!$A:$C,3,0)),"")</f>
        <v/>
      </c>
    </row>
    <row r="2838" spans="5:6" x14ac:dyDescent="0.3">
      <c r="E2838" t="str">
        <f>IFERROR(IF(D2838="","",VLOOKUP(D2838,CadProd!$A:$B,2,0)),"")</f>
        <v/>
      </c>
      <c r="F2838" t="str">
        <f>IFERROR(IF(D2838="","",VLOOKUP(D2838,CadProd!$A:$C,3,0)),"")</f>
        <v/>
      </c>
    </row>
    <row r="2839" spans="5:6" x14ac:dyDescent="0.3">
      <c r="E2839" t="str">
        <f>IFERROR(IF(D2839="","",VLOOKUP(D2839,CadProd!$A:$B,2,0)),"")</f>
        <v/>
      </c>
      <c r="F2839" t="str">
        <f>IFERROR(IF(D2839="","",VLOOKUP(D2839,CadProd!$A:$C,3,0)),"")</f>
        <v/>
      </c>
    </row>
    <row r="2840" spans="5:6" x14ac:dyDescent="0.3">
      <c r="E2840" t="str">
        <f>IFERROR(IF(D2840="","",VLOOKUP(D2840,CadProd!$A:$B,2,0)),"")</f>
        <v/>
      </c>
      <c r="F2840" t="str">
        <f>IFERROR(IF(D2840="","",VLOOKUP(D2840,CadProd!$A:$C,3,0)),"")</f>
        <v/>
      </c>
    </row>
    <row r="2841" spans="5:6" x14ac:dyDescent="0.3">
      <c r="E2841" t="str">
        <f>IFERROR(IF(D2841="","",VLOOKUP(D2841,CadProd!$A:$B,2,0)),"")</f>
        <v/>
      </c>
      <c r="F2841" t="str">
        <f>IFERROR(IF(D2841="","",VLOOKUP(D2841,CadProd!$A:$C,3,0)),"")</f>
        <v/>
      </c>
    </row>
    <row r="2842" spans="5:6" x14ac:dyDescent="0.3">
      <c r="E2842" t="str">
        <f>IFERROR(IF(D2842="","",VLOOKUP(D2842,CadProd!$A:$B,2,0)),"")</f>
        <v/>
      </c>
      <c r="F2842" t="str">
        <f>IFERROR(IF(D2842="","",VLOOKUP(D2842,CadProd!$A:$C,3,0)),"")</f>
        <v/>
      </c>
    </row>
    <row r="2843" spans="5:6" x14ac:dyDescent="0.3">
      <c r="E2843" t="str">
        <f>IFERROR(IF(D2843="","",VLOOKUP(D2843,CadProd!$A:$B,2,0)),"")</f>
        <v/>
      </c>
      <c r="F2843" t="str">
        <f>IFERROR(IF(D2843="","",VLOOKUP(D2843,CadProd!$A:$C,3,0)),"")</f>
        <v/>
      </c>
    </row>
    <row r="2844" spans="5:6" x14ac:dyDescent="0.3">
      <c r="E2844" t="str">
        <f>IFERROR(IF(D2844="","",VLOOKUP(D2844,CadProd!$A:$B,2,0)),"")</f>
        <v/>
      </c>
      <c r="F2844" t="str">
        <f>IFERROR(IF(D2844="","",VLOOKUP(D2844,CadProd!$A:$C,3,0)),"")</f>
        <v/>
      </c>
    </row>
    <row r="2845" spans="5:6" x14ac:dyDescent="0.3">
      <c r="E2845" t="str">
        <f>IFERROR(IF(D2845="","",VLOOKUP(D2845,CadProd!$A:$B,2,0)),"")</f>
        <v/>
      </c>
      <c r="F2845" t="str">
        <f>IFERROR(IF(D2845="","",VLOOKUP(D2845,CadProd!$A:$C,3,0)),"")</f>
        <v/>
      </c>
    </row>
    <row r="2846" spans="5:6" x14ac:dyDescent="0.3">
      <c r="E2846" t="str">
        <f>IFERROR(IF(D2846="","",VLOOKUP(D2846,CadProd!$A:$B,2,0)),"")</f>
        <v/>
      </c>
      <c r="F2846" t="str">
        <f>IFERROR(IF(D2846="","",VLOOKUP(D2846,CadProd!$A:$C,3,0)),"")</f>
        <v/>
      </c>
    </row>
    <row r="2847" spans="5:6" x14ac:dyDescent="0.3">
      <c r="E2847" t="str">
        <f>IFERROR(IF(D2847="","",VLOOKUP(D2847,CadProd!$A:$B,2,0)),"")</f>
        <v/>
      </c>
      <c r="F2847" t="str">
        <f>IFERROR(IF(D2847="","",VLOOKUP(D2847,CadProd!$A:$C,3,0)),"")</f>
        <v/>
      </c>
    </row>
    <row r="2848" spans="5:6" x14ac:dyDescent="0.3">
      <c r="E2848" t="str">
        <f>IFERROR(IF(D2848="","",VLOOKUP(D2848,CadProd!$A:$B,2,0)),"")</f>
        <v/>
      </c>
      <c r="F2848" t="str">
        <f>IFERROR(IF(D2848="","",VLOOKUP(D2848,CadProd!$A:$C,3,0)),"")</f>
        <v/>
      </c>
    </row>
    <row r="2849" spans="5:6" x14ac:dyDescent="0.3">
      <c r="E2849" t="str">
        <f>IFERROR(IF(D2849="","",VLOOKUP(D2849,CadProd!$A:$B,2,0)),"")</f>
        <v/>
      </c>
      <c r="F2849" t="str">
        <f>IFERROR(IF(D2849="","",VLOOKUP(D2849,CadProd!$A:$C,3,0)),"")</f>
        <v/>
      </c>
    </row>
    <row r="2850" spans="5:6" x14ac:dyDescent="0.3">
      <c r="E2850" t="str">
        <f>IFERROR(IF(D2850="","",VLOOKUP(D2850,CadProd!$A:$B,2,0)),"")</f>
        <v/>
      </c>
      <c r="F2850" t="str">
        <f>IFERROR(IF(D2850="","",VLOOKUP(D2850,CadProd!$A:$C,3,0)),"")</f>
        <v/>
      </c>
    </row>
    <row r="2851" spans="5:6" x14ac:dyDescent="0.3">
      <c r="E2851" t="str">
        <f>IFERROR(IF(D2851="","",VLOOKUP(D2851,CadProd!$A:$B,2,0)),"")</f>
        <v/>
      </c>
      <c r="F2851" t="str">
        <f>IFERROR(IF(D2851="","",VLOOKUP(D2851,CadProd!$A:$C,3,0)),"")</f>
        <v/>
      </c>
    </row>
    <row r="2852" spans="5:6" x14ac:dyDescent="0.3">
      <c r="E2852" t="str">
        <f>IFERROR(IF(D2852="","",VLOOKUP(D2852,CadProd!$A:$B,2,0)),"")</f>
        <v/>
      </c>
      <c r="F2852" t="str">
        <f>IFERROR(IF(D2852="","",VLOOKUP(D2852,CadProd!$A:$C,3,0)),"")</f>
        <v/>
      </c>
    </row>
    <row r="2853" spans="5:6" x14ac:dyDescent="0.3">
      <c r="E2853" t="str">
        <f>IFERROR(IF(D2853="","",VLOOKUP(D2853,CadProd!$A:$B,2,0)),"")</f>
        <v/>
      </c>
      <c r="F2853" t="str">
        <f>IFERROR(IF(D2853="","",VLOOKUP(D2853,CadProd!$A:$C,3,0)),"")</f>
        <v/>
      </c>
    </row>
    <row r="2854" spans="5:6" x14ac:dyDescent="0.3">
      <c r="E2854" t="str">
        <f>IFERROR(IF(D2854="","",VLOOKUP(D2854,CadProd!$A:$B,2,0)),"")</f>
        <v/>
      </c>
      <c r="F2854" t="str">
        <f>IFERROR(IF(D2854="","",VLOOKUP(D2854,CadProd!$A:$C,3,0)),"")</f>
        <v/>
      </c>
    </row>
    <row r="2855" spans="5:6" x14ac:dyDescent="0.3">
      <c r="E2855" t="str">
        <f>IFERROR(IF(D2855="","",VLOOKUP(D2855,CadProd!$A:$B,2,0)),"")</f>
        <v/>
      </c>
      <c r="F2855" t="str">
        <f>IFERROR(IF(D2855="","",VLOOKUP(D2855,CadProd!$A:$C,3,0)),"")</f>
        <v/>
      </c>
    </row>
    <row r="2856" spans="5:6" x14ac:dyDescent="0.3">
      <c r="E2856" t="str">
        <f>IFERROR(IF(D2856="","",VLOOKUP(D2856,CadProd!$A:$B,2,0)),"")</f>
        <v/>
      </c>
      <c r="F2856" t="str">
        <f>IFERROR(IF(D2856="","",VLOOKUP(D2856,CadProd!$A:$C,3,0)),"")</f>
        <v/>
      </c>
    </row>
    <row r="2857" spans="5:6" x14ac:dyDescent="0.3">
      <c r="E2857" t="str">
        <f>IFERROR(IF(D2857="","",VLOOKUP(D2857,CadProd!$A:$B,2,0)),"")</f>
        <v/>
      </c>
      <c r="F2857" t="str">
        <f>IFERROR(IF(D2857="","",VLOOKUP(D2857,CadProd!$A:$C,3,0)),"")</f>
        <v/>
      </c>
    </row>
    <row r="2858" spans="5:6" x14ac:dyDescent="0.3">
      <c r="E2858" t="str">
        <f>IFERROR(IF(D2858="","",VLOOKUP(D2858,CadProd!$A:$B,2,0)),"")</f>
        <v/>
      </c>
      <c r="F2858" t="str">
        <f>IFERROR(IF(D2858="","",VLOOKUP(D2858,CadProd!$A:$C,3,0)),"")</f>
        <v/>
      </c>
    </row>
    <row r="2859" spans="5:6" x14ac:dyDescent="0.3">
      <c r="E2859" t="str">
        <f>IFERROR(IF(D2859="","",VLOOKUP(D2859,CadProd!$A:$B,2,0)),"")</f>
        <v/>
      </c>
      <c r="F2859" t="str">
        <f>IFERROR(IF(D2859="","",VLOOKUP(D2859,CadProd!$A:$C,3,0)),"")</f>
        <v/>
      </c>
    </row>
    <row r="2860" spans="5:6" x14ac:dyDescent="0.3">
      <c r="E2860" t="str">
        <f>IFERROR(IF(D2860="","",VLOOKUP(D2860,CadProd!$A:$B,2,0)),"")</f>
        <v/>
      </c>
      <c r="F2860" t="str">
        <f>IFERROR(IF(D2860="","",VLOOKUP(D2860,CadProd!$A:$C,3,0)),"")</f>
        <v/>
      </c>
    </row>
    <row r="2861" spans="5:6" x14ac:dyDescent="0.3">
      <c r="E2861" t="str">
        <f>IFERROR(IF(D2861="","",VLOOKUP(D2861,CadProd!$A:$B,2,0)),"")</f>
        <v/>
      </c>
      <c r="F2861" t="str">
        <f>IFERROR(IF(D2861="","",VLOOKUP(D2861,CadProd!$A:$C,3,0)),"")</f>
        <v/>
      </c>
    </row>
    <row r="2862" spans="5:6" x14ac:dyDescent="0.3">
      <c r="E2862" t="str">
        <f>IFERROR(IF(D2862="","",VLOOKUP(D2862,CadProd!$A:$B,2,0)),"")</f>
        <v/>
      </c>
      <c r="F2862" t="str">
        <f>IFERROR(IF(D2862="","",VLOOKUP(D2862,CadProd!$A:$C,3,0)),"")</f>
        <v/>
      </c>
    </row>
    <row r="2863" spans="5:6" x14ac:dyDescent="0.3">
      <c r="E2863" t="str">
        <f>IFERROR(IF(D2863="","",VLOOKUP(D2863,CadProd!$A:$B,2,0)),"")</f>
        <v/>
      </c>
      <c r="F2863" t="str">
        <f>IFERROR(IF(D2863="","",VLOOKUP(D2863,CadProd!$A:$C,3,0)),"")</f>
        <v/>
      </c>
    </row>
    <row r="2864" spans="5:6" x14ac:dyDescent="0.3">
      <c r="E2864" t="str">
        <f>IFERROR(IF(D2864="","",VLOOKUP(D2864,CadProd!$A:$B,2,0)),"")</f>
        <v/>
      </c>
      <c r="F2864" t="str">
        <f>IFERROR(IF(D2864="","",VLOOKUP(D2864,CadProd!$A:$C,3,0)),"")</f>
        <v/>
      </c>
    </row>
    <row r="2865" spans="5:6" x14ac:dyDescent="0.3">
      <c r="E2865" t="str">
        <f>IFERROR(IF(D2865="","",VLOOKUP(D2865,CadProd!$A:$B,2,0)),"")</f>
        <v/>
      </c>
      <c r="F2865" t="str">
        <f>IFERROR(IF(D2865="","",VLOOKUP(D2865,CadProd!$A:$C,3,0)),"")</f>
        <v/>
      </c>
    </row>
    <row r="2866" spans="5:6" x14ac:dyDescent="0.3">
      <c r="E2866" t="str">
        <f>IFERROR(IF(D2866="","",VLOOKUP(D2866,CadProd!$A:$B,2,0)),"")</f>
        <v/>
      </c>
      <c r="F2866" t="str">
        <f>IFERROR(IF(D2866="","",VLOOKUP(D2866,CadProd!$A:$C,3,0)),"")</f>
        <v/>
      </c>
    </row>
    <row r="2867" spans="5:6" x14ac:dyDescent="0.3">
      <c r="E2867" t="str">
        <f>IFERROR(IF(D2867="","",VLOOKUP(D2867,CadProd!$A:$B,2,0)),"")</f>
        <v/>
      </c>
      <c r="F2867" t="str">
        <f>IFERROR(IF(D2867="","",VLOOKUP(D2867,CadProd!$A:$C,3,0)),"")</f>
        <v/>
      </c>
    </row>
    <row r="2868" spans="5:6" x14ac:dyDescent="0.3">
      <c r="E2868" t="str">
        <f>IFERROR(IF(D2868="","",VLOOKUP(D2868,CadProd!$A:$B,2,0)),"")</f>
        <v/>
      </c>
      <c r="F2868" t="str">
        <f>IFERROR(IF(D2868="","",VLOOKUP(D2868,CadProd!$A:$C,3,0)),"")</f>
        <v/>
      </c>
    </row>
    <row r="2869" spans="5:6" x14ac:dyDescent="0.3">
      <c r="E2869" t="str">
        <f>IFERROR(IF(D2869="","",VLOOKUP(D2869,CadProd!$A:$B,2,0)),"")</f>
        <v/>
      </c>
      <c r="F2869" t="str">
        <f>IFERROR(IF(D2869="","",VLOOKUP(D2869,CadProd!$A:$C,3,0)),"")</f>
        <v/>
      </c>
    </row>
    <row r="2870" spans="5:6" x14ac:dyDescent="0.3">
      <c r="E2870" t="str">
        <f>IFERROR(IF(D2870="","",VLOOKUP(D2870,CadProd!$A:$B,2,0)),"")</f>
        <v/>
      </c>
      <c r="F2870" t="str">
        <f>IFERROR(IF(D2870="","",VLOOKUP(D2870,CadProd!$A:$C,3,0)),"")</f>
        <v/>
      </c>
    </row>
    <row r="2871" spans="5:6" x14ac:dyDescent="0.3">
      <c r="E2871" t="str">
        <f>IFERROR(IF(D2871="","",VLOOKUP(D2871,CadProd!$A:$B,2,0)),"")</f>
        <v/>
      </c>
      <c r="F2871" t="str">
        <f>IFERROR(IF(D2871="","",VLOOKUP(D2871,CadProd!$A:$C,3,0)),"")</f>
        <v/>
      </c>
    </row>
    <row r="2872" spans="5:6" x14ac:dyDescent="0.3">
      <c r="E2872" t="str">
        <f>IFERROR(IF(D2872="","",VLOOKUP(D2872,CadProd!$A:$B,2,0)),"")</f>
        <v/>
      </c>
      <c r="F2872" t="str">
        <f>IFERROR(IF(D2872="","",VLOOKUP(D2872,CadProd!$A:$C,3,0)),"")</f>
        <v/>
      </c>
    </row>
    <row r="2873" spans="5:6" x14ac:dyDescent="0.3">
      <c r="E2873" t="str">
        <f>IFERROR(IF(D2873="","",VLOOKUP(D2873,CadProd!$A:$B,2,0)),"")</f>
        <v/>
      </c>
      <c r="F2873" t="str">
        <f>IFERROR(IF(D2873="","",VLOOKUP(D2873,CadProd!$A:$C,3,0)),"")</f>
        <v/>
      </c>
    </row>
    <row r="2874" spans="5:6" x14ac:dyDescent="0.3">
      <c r="E2874" t="str">
        <f>IFERROR(IF(D2874="","",VLOOKUP(D2874,CadProd!$A:$B,2,0)),"")</f>
        <v/>
      </c>
      <c r="F2874" t="str">
        <f>IFERROR(IF(D2874="","",VLOOKUP(D2874,CadProd!$A:$C,3,0)),"")</f>
        <v/>
      </c>
    </row>
    <row r="2875" spans="5:6" x14ac:dyDescent="0.3">
      <c r="E2875" t="str">
        <f>IFERROR(IF(D2875="","",VLOOKUP(D2875,CadProd!$A:$B,2,0)),"")</f>
        <v/>
      </c>
      <c r="F2875" t="str">
        <f>IFERROR(IF(D2875="","",VLOOKUP(D2875,CadProd!$A:$C,3,0)),"")</f>
        <v/>
      </c>
    </row>
    <row r="2876" spans="5:6" x14ac:dyDescent="0.3">
      <c r="E2876" t="str">
        <f>IFERROR(IF(D2876="","",VLOOKUP(D2876,CadProd!$A:$B,2,0)),"")</f>
        <v/>
      </c>
      <c r="F2876" t="str">
        <f>IFERROR(IF(D2876="","",VLOOKUP(D2876,CadProd!$A:$C,3,0)),"")</f>
        <v/>
      </c>
    </row>
    <row r="2877" spans="5:6" x14ac:dyDescent="0.3">
      <c r="E2877" t="str">
        <f>IFERROR(IF(D2877="","",VLOOKUP(D2877,CadProd!$A:$B,2,0)),"")</f>
        <v/>
      </c>
      <c r="F2877" t="str">
        <f>IFERROR(IF(D2877="","",VLOOKUP(D2877,CadProd!$A:$C,3,0)),"")</f>
        <v/>
      </c>
    </row>
    <row r="2878" spans="5:6" x14ac:dyDescent="0.3">
      <c r="E2878" t="str">
        <f>IFERROR(IF(D2878="","",VLOOKUP(D2878,CadProd!$A:$B,2,0)),"")</f>
        <v/>
      </c>
      <c r="F2878" t="str">
        <f>IFERROR(IF(D2878="","",VLOOKUP(D2878,CadProd!$A:$C,3,0)),"")</f>
        <v/>
      </c>
    </row>
    <row r="2879" spans="5:6" x14ac:dyDescent="0.3">
      <c r="E2879" t="str">
        <f>IFERROR(IF(D2879="","",VLOOKUP(D2879,CadProd!$A:$B,2,0)),"")</f>
        <v/>
      </c>
      <c r="F2879" t="str">
        <f>IFERROR(IF(D2879="","",VLOOKUP(D2879,CadProd!$A:$C,3,0)),"")</f>
        <v/>
      </c>
    </row>
    <row r="2880" spans="5:6" x14ac:dyDescent="0.3">
      <c r="E2880" t="str">
        <f>IFERROR(IF(D2880="","",VLOOKUP(D2880,CadProd!$A:$B,2,0)),"")</f>
        <v/>
      </c>
      <c r="F2880" t="str">
        <f>IFERROR(IF(D2880="","",VLOOKUP(D2880,CadProd!$A:$C,3,0)),"")</f>
        <v/>
      </c>
    </row>
    <row r="2881" spans="5:6" x14ac:dyDescent="0.3">
      <c r="E2881" t="str">
        <f>IFERROR(IF(D2881="","",VLOOKUP(D2881,CadProd!$A:$B,2,0)),"")</f>
        <v/>
      </c>
      <c r="F2881" t="str">
        <f>IFERROR(IF(D2881="","",VLOOKUP(D2881,CadProd!$A:$C,3,0)),"")</f>
        <v/>
      </c>
    </row>
    <row r="2882" spans="5:6" x14ac:dyDescent="0.3">
      <c r="E2882" t="str">
        <f>IFERROR(IF(D2882="","",VLOOKUP(D2882,CadProd!$A:$B,2,0)),"")</f>
        <v/>
      </c>
      <c r="F2882" t="str">
        <f>IFERROR(IF(D2882="","",VLOOKUP(D2882,CadProd!$A:$C,3,0)),"")</f>
        <v/>
      </c>
    </row>
    <row r="2883" spans="5:6" x14ac:dyDescent="0.3">
      <c r="E2883" t="str">
        <f>IFERROR(IF(D2883="","",VLOOKUP(D2883,CadProd!$A:$B,2,0)),"")</f>
        <v/>
      </c>
      <c r="F2883" t="str">
        <f>IFERROR(IF(D2883="","",VLOOKUP(D2883,CadProd!$A:$C,3,0)),"")</f>
        <v/>
      </c>
    </row>
    <row r="2884" spans="5:6" x14ac:dyDescent="0.3">
      <c r="E2884" t="str">
        <f>IFERROR(IF(D2884="","",VLOOKUP(D2884,CadProd!$A:$B,2,0)),"")</f>
        <v/>
      </c>
      <c r="F2884" t="str">
        <f>IFERROR(IF(D2884="","",VLOOKUP(D2884,CadProd!$A:$C,3,0)),"")</f>
        <v/>
      </c>
    </row>
    <row r="2885" spans="5:6" x14ac:dyDescent="0.3">
      <c r="E2885" t="str">
        <f>IFERROR(IF(D2885="","",VLOOKUP(D2885,CadProd!$A:$B,2,0)),"")</f>
        <v/>
      </c>
      <c r="F2885" t="str">
        <f>IFERROR(IF(D2885="","",VLOOKUP(D2885,CadProd!$A:$C,3,0)),"")</f>
        <v/>
      </c>
    </row>
    <row r="2886" spans="5:6" x14ac:dyDescent="0.3">
      <c r="E2886" t="str">
        <f>IFERROR(IF(D2886="","",VLOOKUP(D2886,CadProd!$A:$B,2,0)),"")</f>
        <v/>
      </c>
      <c r="F2886" t="str">
        <f>IFERROR(IF(D2886="","",VLOOKUP(D2886,CadProd!$A:$C,3,0)),"")</f>
        <v/>
      </c>
    </row>
    <row r="2887" spans="5:6" x14ac:dyDescent="0.3">
      <c r="E2887" t="str">
        <f>IFERROR(IF(D2887="","",VLOOKUP(D2887,CadProd!$A:$B,2,0)),"")</f>
        <v/>
      </c>
      <c r="F2887" t="str">
        <f>IFERROR(IF(D2887="","",VLOOKUP(D2887,CadProd!$A:$C,3,0)),"")</f>
        <v/>
      </c>
    </row>
    <row r="2888" spans="5:6" x14ac:dyDescent="0.3">
      <c r="E2888" t="str">
        <f>IFERROR(IF(D2888="","",VLOOKUP(D2888,CadProd!$A:$B,2,0)),"")</f>
        <v/>
      </c>
      <c r="F2888" t="str">
        <f>IFERROR(IF(D2888="","",VLOOKUP(D2888,CadProd!$A:$C,3,0)),"")</f>
        <v/>
      </c>
    </row>
    <row r="2889" spans="5:6" x14ac:dyDescent="0.3">
      <c r="E2889" t="str">
        <f>IFERROR(IF(D2889="","",VLOOKUP(D2889,CadProd!$A:$B,2,0)),"")</f>
        <v/>
      </c>
      <c r="F2889" t="str">
        <f>IFERROR(IF(D2889="","",VLOOKUP(D2889,CadProd!$A:$C,3,0)),"")</f>
        <v/>
      </c>
    </row>
    <row r="2890" spans="5:6" x14ac:dyDescent="0.3">
      <c r="E2890" t="str">
        <f>IFERROR(IF(D2890="","",VLOOKUP(D2890,CadProd!$A:$B,2,0)),"")</f>
        <v/>
      </c>
      <c r="F2890" t="str">
        <f>IFERROR(IF(D2890="","",VLOOKUP(D2890,CadProd!$A:$C,3,0)),"")</f>
        <v/>
      </c>
    </row>
    <row r="2891" spans="5:6" x14ac:dyDescent="0.3">
      <c r="E2891" t="str">
        <f>IFERROR(IF(D2891="","",VLOOKUP(D2891,CadProd!$A:$B,2,0)),"")</f>
        <v/>
      </c>
      <c r="F2891" t="str">
        <f>IFERROR(IF(D2891="","",VLOOKUP(D2891,CadProd!$A:$C,3,0)),"")</f>
        <v/>
      </c>
    </row>
    <row r="2892" spans="5:6" x14ac:dyDescent="0.3">
      <c r="E2892" t="str">
        <f>IFERROR(IF(D2892="","",VLOOKUP(D2892,CadProd!$A:$B,2,0)),"")</f>
        <v/>
      </c>
      <c r="F2892" t="str">
        <f>IFERROR(IF(D2892="","",VLOOKUP(D2892,CadProd!$A:$C,3,0)),"")</f>
        <v/>
      </c>
    </row>
    <row r="2893" spans="5:6" x14ac:dyDescent="0.3">
      <c r="E2893" t="str">
        <f>IFERROR(IF(D2893="","",VLOOKUP(D2893,CadProd!$A:$B,2,0)),"")</f>
        <v/>
      </c>
      <c r="F2893" t="str">
        <f>IFERROR(IF(D2893="","",VLOOKUP(D2893,CadProd!$A:$C,3,0)),"")</f>
        <v/>
      </c>
    </row>
    <row r="2894" spans="5:6" x14ac:dyDescent="0.3">
      <c r="E2894" t="str">
        <f>IFERROR(IF(D2894="","",VLOOKUP(D2894,CadProd!$A:$B,2,0)),"")</f>
        <v/>
      </c>
      <c r="F2894" t="str">
        <f>IFERROR(IF(D2894="","",VLOOKUP(D2894,CadProd!$A:$C,3,0)),"")</f>
        <v/>
      </c>
    </row>
    <row r="2895" spans="5:6" x14ac:dyDescent="0.3">
      <c r="E2895" t="str">
        <f>IFERROR(IF(D2895="","",VLOOKUP(D2895,CadProd!$A:$B,2,0)),"")</f>
        <v/>
      </c>
      <c r="F2895" t="str">
        <f>IFERROR(IF(D2895="","",VLOOKUP(D2895,CadProd!$A:$C,3,0)),"")</f>
        <v/>
      </c>
    </row>
    <row r="2896" spans="5:6" x14ac:dyDescent="0.3">
      <c r="E2896" t="str">
        <f>IFERROR(IF(D2896="","",VLOOKUP(D2896,CadProd!$A:$B,2,0)),"")</f>
        <v/>
      </c>
      <c r="F2896" t="str">
        <f>IFERROR(IF(D2896="","",VLOOKUP(D2896,CadProd!$A:$C,3,0)),"")</f>
        <v/>
      </c>
    </row>
    <row r="2897" spans="5:6" x14ac:dyDescent="0.3">
      <c r="E2897" t="str">
        <f>IFERROR(IF(D2897="","",VLOOKUP(D2897,CadProd!$A:$B,2,0)),"")</f>
        <v/>
      </c>
      <c r="F2897" t="str">
        <f>IFERROR(IF(D2897="","",VLOOKUP(D2897,CadProd!$A:$C,3,0)),"")</f>
        <v/>
      </c>
    </row>
    <row r="2898" spans="5:6" x14ac:dyDescent="0.3">
      <c r="E2898" t="str">
        <f>IFERROR(IF(D2898="","",VLOOKUP(D2898,CadProd!$A:$B,2,0)),"")</f>
        <v/>
      </c>
      <c r="F2898" t="str">
        <f>IFERROR(IF(D2898="","",VLOOKUP(D2898,CadProd!$A:$C,3,0)),"")</f>
        <v/>
      </c>
    </row>
    <row r="2899" spans="5:6" x14ac:dyDescent="0.3">
      <c r="E2899" t="str">
        <f>IFERROR(IF(D2899="","",VLOOKUP(D2899,CadProd!$A:$B,2,0)),"")</f>
        <v/>
      </c>
      <c r="F2899" t="str">
        <f>IFERROR(IF(D2899="","",VLOOKUP(D2899,CadProd!$A:$C,3,0)),"")</f>
        <v/>
      </c>
    </row>
    <row r="2900" spans="5:6" x14ac:dyDescent="0.3">
      <c r="E2900" t="str">
        <f>IFERROR(IF(D2900="","",VLOOKUP(D2900,CadProd!$A:$B,2,0)),"")</f>
        <v/>
      </c>
      <c r="F2900" t="str">
        <f>IFERROR(IF(D2900="","",VLOOKUP(D2900,CadProd!$A:$C,3,0)),"")</f>
        <v/>
      </c>
    </row>
    <row r="2901" spans="5:6" x14ac:dyDescent="0.3">
      <c r="E2901" t="str">
        <f>IFERROR(IF(D2901="","",VLOOKUP(D2901,CadProd!$A:$B,2,0)),"")</f>
        <v/>
      </c>
      <c r="F2901" t="str">
        <f>IFERROR(IF(D2901="","",VLOOKUP(D2901,CadProd!$A:$C,3,0)),"")</f>
        <v/>
      </c>
    </row>
    <row r="2902" spans="5:6" x14ac:dyDescent="0.3">
      <c r="E2902" t="str">
        <f>IFERROR(IF(D2902="","",VLOOKUP(D2902,CadProd!$A:$B,2,0)),"")</f>
        <v/>
      </c>
      <c r="F2902" t="str">
        <f>IFERROR(IF(D2902="","",VLOOKUP(D2902,CadProd!$A:$C,3,0)),"")</f>
        <v/>
      </c>
    </row>
    <row r="2903" spans="5:6" x14ac:dyDescent="0.3">
      <c r="E2903" t="str">
        <f>IFERROR(IF(D2903="","",VLOOKUP(D2903,CadProd!$A:$B,2,0)),"")</f>
        <v/>
      </c>
      <c r="F2903" t="str">
        <f>IFERROR(IF(D2903="","",VLOOKUP(D2903,CadProd!$A:$C,3,0)),"")</f>
        <v/>
      </c>
    </row>
    <row r="2904" spans="5:6" x14ac:dyDescent="0.3">
      <c r="E2904" t="str">
        <f>IFERROR(IF(D2904="","",VLOOKUP(D2904,CadProd!$A:$B,2,0)),"")</f>
        <v/>
      </c>
      <c r="F2904" t="str">
        <f>IFERROR(IF(D2904="","",VLOOKUP(D2904,CadProd!$A:$C,3,0)),"")</f>
        <v/>
      </c>
    </row>
    <row r="2905" spans="5:6" x14ac:dyDescent="0.3">
      <c r="E2905" t="str">
        <f>IFERROR(IF(D2905="","",VLOOKUP(D2905,CadProd!$A:$B,2,0)),"")</f>
        <v/>
      </c>
      <c r="F2905" t="str">
        <f>IFERROR(IF(D2905="","",VLOOKUP(D2905,CadProd!$A:$C,3,0)),"")</f>
        <v/>
      </c>
    </row>
    <row r="2906" spans="5:6" x14ac:dyDescent="0.3">
      <c r="E2906" t="str">
        <f>IFERROR(IF(D2906="","",VLOOKUP(D2906,CadProd!$A:$B,2,0)),"")</f>
        <v/>
      </c>
      <c r="F2906" t="str">
        <f>IFERROR(IF(D2906="","",VLOOKUP(D2906,CadProd!$A:$C,3,0)),"")</f>
        <v/>
      </c>
    </row>
    <row r="2907" spans="5:6" x14ac:dyDescent="0.3">
      <c r="E2907" t="str">
        <f>IFERROR(IF(D2907="","",VLOOKUP(D2907,CadProd!$A:$B,2,0)),"")</f>
        <v/>
      </c>
      <c r="F2907" t="str">
        <f>IFERROR(IF(D2907="","",VLOOKUP(D2907,CadProd!$A:$C,3,0)),"")</f>
        <v/>
      </c>
    </row>
    <row r="2908" spans="5:6" x14ac:dyDescent="0.3">
      <c r="E2908" t="str">
        <f>IFERROR(IF(D2908="","",VLOOKUP(D2908,CadProd!$A:$B,2,0)),"")</f>
        <v/>
      </c>
      <c r="F2908" t="str">
        <f>IFERROR(IF(D2908="","",VLOOKUP(D2908,CadProd!$A:$C,3,0)),"")</f>
        <v/>
      </c>
    </row>
    <row r="2909" spans="5:6" x14ac:dyDescent="0.3">
      <c r="E2909" t="str">
        <f>IFERROR(IF(D2909="","",VLOOKUP(D2909,CadProd!$A:$B,2,0)),"")</f>
        <v/>
      </c>
      <c r="F2909" t="str">
        <f>IFERROR(IF(D2909="","",VLOOKUP(D2909,CadProd!$A:$C,3,0)),"")</f>
        <v/>
      </c>
    </row>
    <row r="2910" spans="5:6" x14ac:dyDescent="0.3">
      <c r="E2910" t="str">
        <f>IFERROR(IF(D2910="","",VLOOKUP(D2910,CadProd!$A:$B,2,0)),"")</f>
        <v/>
      </c>
      <c r="F2910" t="str">
        <f>IFERROR(IF(D2910="","",VLOOKUP(D2910,CadProd!$A:$C,3,0)),"")</f>
        <v/>
      </c>
    </row>
    <row r="2911" spans="5:6" x14ac:dyDescent="0.3">
      <c r="E2911" t="str">
        <f>IFERROR(IF(D2911="","",VLOOKUP(D2911,CadProd!$A:$B,2,0)),"")</f>
        <v/>
      </c>
      <c r="F2911" t="str">
        <f>IFERROR(IF(D2911="","",VLOOKUP(D2911,CadProd!$A:$C,3,0)),"")</f>
        <v/>
      </c>
    </row>
    <row r="2912" spans="5:6" x14ac:dyDescent="0.3">
      <c r="E2912" t="str">
        <f>IFERROR(IF(D2912="","",VLOOKUP(D2912,CadProd!$A:$B,2,0)),"")</f>
        <v/>
      </c>
      <c r="F2912" t="str">
        <f>IFERROR(IF(D2912="","",VLOOKUP(D2912,CadProd!$A:$C,3,0)),"")</f>
        <v/>
      </c>
    </row>
    <row r="2913" spans="5:6" x14ac:dyDescent="0.3">
      <c r="E2913" t="str">
        <f>IFERROR(IF(D2913="","",VLOOKUP(D2913,CadProd!$A:$B,2,0)),"")</f>
        <v/>
      </c>
      <c r="F2913" t="str">
        <f>IFERROR(IF(D2913="","",VLOOKUP(D2913,CadProd!$A:$C,3,0)),"")</f>
        <v/>
      </c>
    </row>
    <row r="2914" spans="5:6" x14ac:dyDescent="0.3">
      <c r="E2914" t="str">
        <f>IFERROR(IF(D2914="","",VLOOKUP(D2914,CadProd!$A:$B,2,0)),"")</f>
        <v/>
      </c>
      <c r="F2914" t="str">
        <f>IFERROR(IF(D2914="","",VLOOKUP(D2914,CadProd!$A:$C,3,0)),"")</f>
        <v/>
      </c>
    </row>
    <row r="2915" spans="5:6" x14ac:dyDescent="0.3">
      <c r="E2915" t="str">
        <f>IFERROR(IF(D2915="","",VLOOKUP(D2915,CadProd!$A:$B,2,0)),"")</f>
        <v/>
      </c>
      <c r="F2915" t="str">
        <f>IFERROR(IF(D2915="","",VLOOKUP(D2915,CadProd!$A:$C,3,0)),"")</f>
        <v/>
      </c>
    </row>
    <row r="2916" spans="5:6" x14ac:dyDescent="0.3">
      <c r="E2916" t="str">
        <f>IFERROR(IF(D2916="","",VLOOKUP(D2916,CadProd!$A:$B,2,0)),"")</f>
        <v/>
      </c>
      <c r="F2916" t="str">
        <f>IFERROR(IF(D2916="","",VLOOKUP(D2916,CadProd!$A:$C,3,0)),"")</f>
        <v/>
      </c>
    </row>
    <row r="2917" spans="5:6" x14ac:dyDescent="0.3">
      <c r="E2917" t="str">
        <f>IFERROR(IF(D2917="","",VLOOKUP(D2917,CadProd!$A:$B,2,0)),"")</f>
        <v/>
      </c>
      <c r="F2917" t="str">
        <f>IFERROR(IF(D2917="","",VLOOKUP(D2917,CadProd!$A:$C,3,0)),"")</f>
        <v/>
      </c>
    </row>
    <row r="2918" spans="5:6" x14ac:dyDescent="0.3">
      <c r="E2918" t="str">
        <f>IFERROR(IF(D2918="","",VLOOKUP(D2918,CadProd!$A:$B,2,0)),"")</f>
        <v/>
      </c>
      <c r="F2918" t="str">
        <f>IFERROR(IF(D2918="","",VLOOKUP(D2918,CadProd!$A:$C,3,0)),"")</f>
        <v/>
      </c>
    </row>
    <row r="2919" spans="5:6" x14ac:dyDescent="0.3">
      <c r="E2919" t="str">
        <f>IFERROR(IF(D2919="","",VLOOKUP(D2919,CadProd!$A:$B,2,0)),"")</f>
        <v/>
      </c>
      <c r="F2919" t="str">
        <f>IFERROR(IF(D2919="","",VLOOKUP(D2919,CadProd!$A:$C,3,0)),"")</f>
        <v/>
      </c>
    </row>
    <row r="2920" spans="5:6" x14ac:dyDescent="0.3">
      <c r="E2920" t="str">
        <f>IFERROR(IF(D2920="","",VLOOKUP(D2920,CadProd!$A:$B,2,0)),"")</f>
        <v/>
      </c>
      <c r="F2920" t="str">
        <f>IFERROR(IF(D2920="","",VLOOKUP(D2920,CadProd!$A:$C,3,0)),"")</f>
        <v/>
      </c>
    </row>
    <row r="2921" spans="5:6" x14ac:dyDescent="0.3">
      <c r="E2921" t="str">
        <f>IFERROR(IF(D2921="","",VLOOKUP(D2921,CadProd!$A:$B,2,0)),"")</f>
        <v/>
      </c>
      <c r="F2921" t="str">
        <f>IFERROR(IF(D2921="","",VLOOKUP(D2921,CadProd!$A:$C,3,0)),"")</f>
        <v/>
      </c>
    </row>
    <row r="2922" spans="5:6" x14ac:dyDescent="0.3">
      <c r="E2922" t="str">
        <f>IFERROR(IF(D2922="","",VLOOKUP(D2922,CadProd!$A:$B,2,0)),"")</f>
        <v/>
      </c>
      <c r="F2922" t="str">
        <f>IFERROR(IF(D2922="","",VLOOKUP(D2922,CadProd!$A:$C,3,0)),"")</f>
        <v/>
      </c>
    </row>
    <row r="2923" spans="5:6" x14ac:dyDescent="0.3">
      <c r="E2923" t="str">
        <f>IFERROR(IF(D2923="","",VLOOKUP(D2923,CadProd!$A:$B,2,0)),"")</f>
        <v/>
      </c>
      <c r="F2923" t="str">
        <f>IFERROR(IF(D2923="","",VLOOKUP(D2923,CadProd!$A:$C,3,0)),"")</f>
        <v/>
      </c>
    </row>
    <row r="2924" spans="5:6" x14ac:dyDescent="0.3">
      <c r="E2924" t="str">
        <f>IFERROR(IF(D2924="","",VLOOKUP(D2924,CadProd!$A:$B,2,0)),"")</f>
        <v/>
      </c>
      <c r="F2924" t="str">
        <f>IFERROR(IF(D2924="","",VLOOKUP(D2924,CadProd!$A:$C,3,0)),"")</f>
        <v/>
      </c>
    </row>
    <row r="2925" spans="5:6" x14ac:dyDescent="0.3">
      <c r="E2925" t="str">
        <f>IFERROR(IF(D2925="","",VLOOKUP(D2925,CadProd!$A:$B,2,0)),"")</f>
        <v/>
      </c>
      <c r="F2925" t="str">
        <f>IFERROR(IF(D2925="","",VLOOKUP(D2925,CadProd!$A:$C,3,0)),"")</f>
        <v/>
      </c>
    </row>
    <row r="2926" spans="5:6" x14ac:dyDescent="0.3">
      <c r="E2926" t="str">
        <f>IFERROR(IF(D2926="","",VLOOKUP(D2926,CadProd!$A:$B,2,0)),"")</f>
        <v/>
      </c>
      <c r="F2926" t="str">
        <f>IFERROR(IF(D2926="","",VLOOKUP(D2926,CadProd!$A:$C,3,0)),"")</f>
        <v/>
      </c>
    </row>
    <row r="2927" spans="5:6" x14ac:dyDescent="0.3">
      <c r="E2927" t="str">
        <f>IFERROR(IF(D2927="","",VLOOKUP(D2927,CadProd!$A:$B,2,0)),"")</f>
        <v/>
      </c>
      <c r="F2927" t="str">
        <f>IFERROR(IF(D2927="","",VLOOKUP(D2927,CadProd!$A:$C,3,0)),"")</f>
        <v/>
      </c>
    </row>
    <row r="2928" spans="5:6" x14ac:dyDescent="0.3">
      <c r="E2928" t="str">
        <f>IFERROR(IF(D2928="","",VLOOKUP(D2928,CadProd!$A:$B,2,0)),"")</f>
        <v/>
      </c>
      <c r="F2928" t="str">
        <f>IFERROR(IF(D2928="","",VLOOKUP(D2928,CadProd!$A:$C,3,0)),"")</f>
        <v/>
      </c>
    </row>
    <row r="2929" spans="5:6" x14ac:dyDescent="0.3">
      <c r="E2929" t="str">
        <f>IFERROR(IF(D2929="","",VLOOKUP(D2929,CadProd!$A:$B,2,0)),"")</f>
        <v/>
      </c>
      <c r="F2929" t="str">
        <f>IFERROR(IF(D2929="","",VLOOKUP(D2929,CadProd!$A:$C,3,0)),"")</f>
        <v/>
      </c>
    </row>
    <row r="2930" spans="5:6" x14ac:dyDescent="0.3">
      <c r="E2930" t="str">
        <f>IFERROR(IF(D2930="","",VLOOKUP(D2930,CadProd!$A:$B,2,0)),"")</f>
        <v/>
      </c>
      <c r="F2930" t="str">
        <f>IFERROR(IF(D2930="","",VLOOKUP(D2930,CadProd!$A:$C,3,0)),"")</f>
        <v/>
      </c>
    </row>
    <row r="2931" spans="5:6" x14ac:dyDescent="0.3">
      <c r="E2931" t="str">
        <f>IFERROR(IF(D2931="","",VLOOKUP(D2931,CadProd!$A:$B,2,0)),"")</f>
        <v/>
      </c>
      <c r="F2931" t="str">
        <f>IFERROR(IF(D2931="","",VLOOKUP(D2931,CadProd!$A:$C,3,0)),"")</f>
        <v/>
      </c>
    </row>
    <row r="2932" spans="5:6" x14ac:dyDescent="0.3">
      <c r="E2932" t="str">
        <f>IFERROR(IF(D2932="","",VLOOKUP(D2932,CadProd!$A:$B,2,0)),"")</f>
        <v/>
      </c>
      <c r="F2932" t="str">
        <f>IFERROR(IF(D2932="","",VLOOKUP(D2932,CadProd!$A:$C,3,0)),"")</f>
        <v/>
      </c>
    </row>
    <row r="2933" spans="5:6" x14ac:dyDescent="0.3">
      <c r="E2933" t="str">
        <f>IFERROR(IF(D2933="","",VLOOKUP(D2933,CadProd!$A:$B,2,0)),"")</f>
        <v/>
      </c>
      <c r="F2933" t="str">
        <f>IFERROR(IF(D2933="","",VLOOKUP(D2933,CadProd!$A:$C,3,0)),"")</f>
        <v/>
      </c>
    </row>
    <row r="2934" spans="5:6" x14ac:dyDescent="0.3">
      <c r="E2934" t="str">
        <f>IFERROR(IF(D2934="","",VLOOKUP(D2934,CadProd!$A:$B,2,0)),"")</f>
        <v/>
      </c>
      <c r="F2934" t="str">
        <f>IFERROR(IF(D2934="","",VLOOKUP(D2934,CadProd!$A:$C,3,0)),"")</f>
        <v/>
      </c>
    </row>
    <row r="2935" spans="5:6" x14ac:dyDescent="0.3">
      <c r="E2935" t="str">
        <f>IFERROR(IF(D2935="","",VLOOKUP(D2935,CadProd!$A:$B,2,0)),"")</f>
        <v/>
      </c>
      <c r="F2935" t="str">
        <f>IFERROR(IF(D2935="","",VLOOKUP(D2935,CadProd!$A:$C,3,0)),"")</f>
        <v/>
      </c>
    </row>
    <row r="2936" spans="5:6" x14ac:dyDescent="0.3">
      <c r="E2936" t="str">
        <f>IFERROR(IF(D2936="","",VLOOKUP(D2936,CadProd!$A:$B,2,0)),"")</f>
        <v/>
      </c>
      <c r="F2936" t="str">
        <f>IFERROR(IF(D2936="","",VLOOKUP(D2936,CadProd!$A:$C,3,0)),"")</f>
        <v/>
      </c>
    </row>
    <row r="2937" spans="5:6" x14ac:dyDescent="0.3">
      <c r="E2937" t="str">
        <f>IFERROR(IF(D2937="","",VLOOKUP(D2937,CadProd!$A:$B,2,0)),"")</f>
        <v/>
      </c>
      <c r="F2937" t="str">
        <f>IFERROR(IF(D2937="","",VLOOKUP(D2937,CadProd!$A:$C,3,0)),"")</f>
        <v/>
      </c>
    </row>
    <row r="2938" spans="5:6" x14ac:dyDescent="0.3">
      <c r="E2938" t="str">
        <f>IFERROR(IF(D2938="","",VLOOKUP(D2938,CadProd!$A:$B,2,0)),"")</f>
        <v/>
      </c>
      <c r="F2938" t="str">
        <f>IFERROR(IF(D2938="","",VLOOKUP(D2938,CadProd!$A:$C,3,0)),"")</f>
        <v/>
      </c>
    </row>
    <row r="2939" spans="5:6" x14ac:dyDescent="0.3">
      <c r="E2939" t="str">
        <f>IFERROR(IF(D2939="","",VLOOKUP(D2939,CadProd!$A:$B,2,0)),"")</f>
        <v/>
      </c>
      <c r="F2939" t="str">
        <f>IFERROR(IF(D2939="","",VLOOKUP(D2939,CadProd!$A:$C,3,0)),"")</f>
        <v/>
      </c>
    </row>
    <row r="2940" spans="5:6" x14ac:dyDescent="0.3">
      <c r="E2940" t="str">
        <f>IFERROR(IF(D2940="","",VLOOKUP(D2940,CadProd!$A:$B,2,0)),"")</f>
        <v/>
      </c>
      <c r="F2940" t="str">
        <f>IFERROR(IF(D2940="","",VLOOKUP(D2940,CadProd!$A:$C,3,0)),"")</f>
        <v/>
      </c>
    </row>
    <row r="2941" spans="5:6" x14ac:dyDescent="0.3">
      <c r="E2941" t="str">
        <f>IFERROR(IF(D2941="","",VLOOKUP(D2941,CadProd!$A:$B,2,0)),"")</f>
        <v/>
      </c>
      <c r="F2941" t="str">
        <f>IFERROR(IF(D2941="","",VLOOKUP(D2941,CadProd!$A:$C,3,0)),"")</f>
        <v/>
      </c>
    </row>
    <row r="2942" spans="5:6" x14ac:dyDescent="0.3">
      <c r="E2942" t="str">
        <f>IFERROR(IF(D2942="","",VLOOKUP(D2942,CadProd!$A:$B,2,0)),"")</f>
        <v/>
      </c>
      <c r="F2942" t="str">
        <f>IFERROR(IF(D2942="","",VLOOKUP(D2942,CadProd!$A:$C,3,0)),"")</f>
        <v/>
      </c>
    </row>
    <row r="2943" spans="5:6" x14ac:dyDescent="0.3">
      <c r="E2943" t="str">
        <f>IFERROR(IF(D2943="","",VLOOKUP(D2943,CadProd!$A:$B,2,0)),"")</f>
        <v/>
      </c>
      <c r="F2943" t="str">
        <f>IFERROR(IF(D2943="","",VLOOKUP(D2943,CadProd!$A:$C,3,0)),"")</f>
        <v/>
      </c>
    </row>
    <row r="2944" spans="5:6" x14ac:dyDescent="0.3">
      <c r="E2944" t="str">
        <f>IFERROR(IF(D2944="","",VLOOKUP(D2944,CadProd!$A:$B,2,0)),"")</f>
        <v/>
      </c>
      <c r="F2944" t="str">
        <f>IFERROR(IF(D2944="","",VLOOKUP(D2944,CadProd!$A:$C,3,0)),"")</f>
        <v/>
      </c>
    </row>
    <row r="2945" spans="5:6" x14ac:dyDescent="0.3">
      <c r="E2945" t="str">
        <f>IFERROR(IF(D2945="","",VLOOKUP(D2945,CadProd!$A:$B,2,0)),"")</f>
        <v/>
      </c>
      <c r="F2945" t="str">
        <f>IFERROR(IF(D2945="","",VLOOKUP(D2945,CadProd!$A:$C,3,0)),"")</f>
        <v/>
      </c>
    </row>
    <row r="2946" spans="5:6" x14ac:dyDescent="0.3">
      <c r="E2946" t="str">
        <f>IFERROR(IF(D2946="","",VLOOKUP(D2946,CadProd!$A:$B,2,0)),"")</f>
        <v/>
      </c>
      <c r="F2946" t="str">
        <f>IFERROR(IF(D2946="","",VLOOKUP(D2946,CadProd!$A:$C,3,0)),"")</f>
        <v/>
      </c>
    </row>
    <row r="2947" spans="5:6" x14ac:dyDescent="0.3">
      <c r="E2947" t="str">
        <f>IFERROR(IF(D2947="","",VLOOKUP(D2947,CadProd!$A:$B,2,0)),"")</f>
        <v/>
      </c>
      <c r="F2947" t="str">
        <f>IFERROR(IF(D2947="","",VLOOKUP(D2947,CadProd!$A:$C,3,0)),"")</f>
        <v/>
      </c>
    </row>
    <row r="2948" spans="5:6" x14ac:dyDescent="0.3">
      <c r="E2948" t="str">
        <f>IFERROR(IF(D2948="","",VLOOKUP(D2948,CadProd!$A:$B,2,0)),"")</f>
        <v/>
      </c>
      <c r="F2948" t="str">
        <f>IFERROR(IF(D2948="","",VLOOKUP(D2948,CadProd!$A:$C,3,0)),"")</f>
        <v/>
      </c>
    </row>
    <row r="2949" spans="5:6" x14ac:dyDescent="0.3">
      <c r="E2949" t="str">
        <f>IFERROR(IF(D2949="","",VLOOKUP(D2949,CadProd!$A:$B,2,0)),"")</f>
        <v/>
      </c>
      <c r="F2949" t="str">
        <f>IFERROR(IF(D2949="","",VLOOKUP(D2949,CadProd!$A:$C,3,0)),"")</f>
        <v/>
      </c>
    </row>
    <row r="2950" spans="5:6" x14ac:dyDescent="0.3">
      <c r="E2950" t="str">
        <f>IFERROR(IF(D2950="","",VLOOKUP(D2950,CadProd!$A:$B,2,0)),"")</f>
        <v/>
      </c>
      <c r="F2950" t="str">
        <f>IFERROR(IF(D2950="","",VLOOKUP(D2950,CadProd!$A:$C,3,0)),"")</f>
        <v/>
      </c>
    </row>
    <row r="2951" spans="5:6" x14ac:dyDescent="0.3">
      <c r="E2951" t="str">
        <f>IFERROR(IF(D2951="","",VLOOKUP(D2951,CadProd!$A:$B,2,0)),"")</f>
        <v/>
      </c>
      <c r="F2951" t="str">
        <f>IFERROR(IF(D2951="","",VLOOKUP(D2951,CadProd!$A:$C,3,0)),"")</f>
        <v/>
      </c>
    </row>
    <row r="2952" spans="5:6" x14ac:dyDescent="0.3">
      <c r="E2952" t="str">
        <f>IFERROR(IF(D2952="","",VLOOKUP(D2952,CadProd!$A:$B,2,0)),"")</f>
        <v/>
      </c>
      <c r="F2952" t="str">
        <f>IFERROR(IF(D2952="","",VLOOKUP(D2952,CadProd!$A:$C,3,0)),"")</f>
        <v/>
      </c>
    </row>
    <row r="2953" spans="5:6" x14ac:dyDescent="0.3">
      <c r="E2953" t="str">
        <f>IFERROR(IF(D2953="","",VLOOKUP(D2953,CadProd!$A:$B,2,0)),"")</f>
        <v/>
      </c>
      <c r="F2953" t="str">
        <f>IFERROR(IF(D2953="","",VLOOKUP(D2953,CadProd!$A:$C,3,0)),"")</f>
        <v/>
      </c>
    </row>
    <row r="2954" spans="5:6" x14ac:dyDescent="0.3">
      <c r="E2954" t="str">
        <f>IFERROR(IF(D2954="","",VLOOKUP(D2954,CadProd!$A:$B,2,0)),"")</f>
        <v/>
      </c>
      <c r="F2954" t="str">
        <f>IFERROR(IF(D2954="","",VLOOKUP(D2954,CadProd!$A:$C,3,0)),"")</f>
        <v/>
      </c>
    </row>
    <row r="2955" spans="5:6" x14ac:dyDescent="0.3">
      <c r="E2955" t="str">
        <f>IFERROR(IF(D2955="","",VLOOKUP(D2955,CadProd!$A:$B,2,0)),"")</f>
        <v/>
      </c>
      <c r="F2955" t="str">
        <f>IFERROR(IF(D2955="","",VLOOKUP(D2955,CadProd!$A:$C,3,0)),"")</f>
        <v/>
      </c>
    </row>
    <row r="2956" spans="5:6" x14ac:dyDescent="0.3">
      <c r="E2956" t="str">
        <f>IFERROR(IF(D2956="","",VLOOKUP(D2956,CadProd!$A:$B,2,0)),"")</f>
        <v/>
      </c>
      <c r="F2956" t="str">
        <f>IFERROR(IF(D2956="","",VLOOKUP(D2956,CadProd!$A:$C,3,0)),"")</f>
        <v/>
      </c>
    </row>
    <row r="2957" spans="5:6" x14ac:dyDescent="0.3">
      <c r="E2957" t="str">
        <f>IFERROR(IF(D2957="","",VLOOKUP(D2957,CadProd!$A:$B,2,0)),"")</f>
        <v/>
      </c>
      <c r="F2957" t="str">
        <f>IFERROR(IF(D2957="","",VLOOKUP(D2957,CadProd!$A:$C,3,0)),"")</f>
        <v/>
      </c>
    </row>
    <row r="2958" spans="5:6" x14ac:dyDescent="0.3">
      <c r="E2958" t="str">
        <f>IFERROR(IF(D2958="","",VLOOKUP(D2958,CadProd!$A:$B,2,0)),"")</f>
        <v/>
      </c>
      <c r="F2958" t="str">
        <f>IFERROR(IF(D2958="","",VLOOKUP(D2958,CadProd!$A:$C,3,0)),"")</f>
        <v/>
      </c>
    </row>
    <row r="2959" spans="5:6" x14ac:dyDescent="0.3">
      <c r="E2959" t="str">
        <f>IFERROR(IF(D2959="","",VLOOKUP(D2959,CadProd!$A:$B,2,0)),"")</f>
        <v/>
      </c>
      <c r="F2959" t="str">
        <f>IFERROR(IF(D2959="","",VLOOKUP(D2959,CadProd!$A:$C,3,0)),"")</f>
        <v/>
      </c>
    </row>
    <row r="2960" spans="5:6" x14ac:dyDescent="0.3">
      <c r="E2960" t="str">
        <f>IFERROR(IF(D2960="","",VLOOKUP(D2960,CadProd!$A:$B,2,0)),"")</f>
        <v/>
      </c>
      <c r="F2960" t="str">
        <f>IFERROR(IF(D2960="","",VLOOKUP(D2960,CadProd!$A:$C,3,0)),"")</f>
        <v/>
      </c>
    </row>
    <row r="2961" spans="5:6" x14ac:dyDescent="0.3">
      <c r="E2961" t="str">
        <f>IFERROR(IF(D2961="","",VLOOKUP(D2961,CadProd!$A:$B,2,0)),"")</f>
        <v/>
      </c>
      <c r="F2961" t="str">
        <f>IFERROR(IF(D2961="","",VLOOKUP(D2961,CadProd!$A:$C,3,0)),"")</f>
        <v/>
      </c>
    </row>
    <row r="2962" spans="5:6" x14ac:dyDescent="0.3">
      <c r="E2962" t="str">
        <f>IFERROR(IF(D2962="","",VLOOKUP(D2962,CadProd!$A:$B,2,0)),"")</f>
        <v/>
      </c>
      <c r="F2962" t="str">
        <f>IFERROR(IF(D2962="","",VLOOKUP(D2962,CadProd!$A:$C,3,0)),"")</f>
        <v/>
      </c>
    </row>
    <row r="2963" spans="5:6" x14ac:dyDescent="0.3">
      <c r="E2963" t="str">
        <f>IFERROR(IF(D2963="","",VLOOKUP(D2963,CadProd!$A:$B,2,0)),"")</f>
        <v/>
      </c>
      <c r="F2963" t="str">
        <f>IFERROR(IF(D2963="","",VLOOKUP(D2963,CadProd!$A:$C,3,0)),"")</f>
        <v/>
      </c>
    </row>
    <row r="2964" spans="5:6" x14ac:dyDescent="0.3">
      <c r="E2964" t="str">
        <f>IFERROR(IF(D2964="","",VLOOKUP(D2964,CadProd!$A:$B,2,0)),"")</f>
        <v/>
      </c>
      <c r="F2964" t="str">
        <f>IFERROR(IF(D2964="","",VLOOKUP(D2964,CadProd!$A:$C,3,0)),"")</f>
        <v/>
      </c>
    </row>
    <row r="2965" spans="5:6" x14ac:dyDescent="0.3">
      <c r="E2965" t="str">
        <f>IFERROR(IF(D2965="","",VLOOKUP(D2965,CadProd!$A:$B,2,0)),"")</f>
        <v/>
      </c>
      <c r="F2965" t="str">
        <f>IFERROR(IF(D2965="","",VLOOKUP(D2965,CadProd!$A:$C,3,0)),"")</f>
        <v/>
      </c>
    </row>
    <row r="2966" spans="5:6" x14ac:dyDescent="0.3">
      <c r="E2966" t="str">
        <f>IFERROR(IF(D2966="","",VLOOKUP(D2966,CadProd!$A:$B,2,0)),"")</f>
        <v/>
      </c>
      <c r="F2966" t="str">
        <f>IFERROR(IF(D2966="","",VLOOKUP(D2966,CadProd!$A:$C,3,0)),"")</f>
        <v/>
      </c>
    </row>
    <row r="2967" spans="5:6" x14ac:dyDescent="0.3">
      <c r="E2967" t="str">
        <f>IFERROR(IF(D2967="","",VLOOKUP(D2967,CadProd!$A:$B,2,0)),"")</f>
        <v/>
      </c>
      <c r="F2967" t="str">
        <f>IFERROR(IF(D2967="","",VLOOKUP(D2967,CadProd!$A:$C,3,0)),"")</f>
        <v/>
      </c>
    </row>
    <row r="2968" spans="5:6" x14ac:dyDescent="0.3">
      <c r="E2968" t="str">
        <f>IFERROR(IF(D2968="","",VLOOKUP(D2968,CadProd!$A:$B,2,0)),"")</f>
        <v/>
      </c>
      <c r="F2968" t="str">
        <f>IFERROR(IF(D2968="","",VLOOKUP(D2968,CadProd!$A:$C,3,0)),"")</f>
        <v/>
      </c>
    </row>
    <row r="2969" spans="5:6" x14ac:dyDescent="0.3">
      <c r="E2969" t="str">
        <f>IFERROR(IF(D2969="","",VLOOKUP(D2969,CadProd!$A:$B,2,0)),"")</f>
        <v/>
      </c>
      <c r="F2969" t="str">
        <f>IFERROR(IF(D2969="","",VLOOKUP(D2969,CadProd!$A:$C,3,0)),"")</f>
        <v/>
      </c>
    </row>
    <row r="2970" spans="5:6" x14ac:dyDescent="0.3">
      <c r="E2970" t="str">
        <f>IFERROR(IF(D2970="","",VLOOKUP(D2970,CadProd!$A:$B,2,0)),"")</f>
        <v/>
      </c>
      <c r="F2970" t="str">
        <f>IFERROR(IF(D2970="","",VLOOKUP(D2970,CadProd!$A:$C,3,0)),"")</f>
        <v/>
      </c>
    </row>
    <row r="2971" spans="5:6" x14ac:dyDescent="0.3">
      <c r="E2971" t="str">
        <f>IFERROR(IF(D2971="","",VLOOKUP(D2971,CadProd!$A:$B,2,0)),"")</f>
        <v/>
      </c>
      <c r="F2971" t="str">
        <f>IFERROR(IF(D2971="","",VLOOKUP(D2971,CadProd!$A:$C,3,0)),"")</f>
        <v/>
      </c>
    </row>
    <row r="2972" spans="5:6" x14ac:dyDescent="0.3">
      <c r="E2972" t="str">
        <f>IFERROR(IF(D2972="","",VLOOKUP(D2972,CadProd!$A:$B,2,0)),"")</f>
        <v/>
      </c>
      <c r="F2972" t="str">
        <f>IFERROR(IF(D2972="","",VLOOKUP(D2972,CadProd!$A:$C,3,0)),"")</f>
        <v/>
      </c>
    </row>
    <row r="2973" spans="5:6" x14ac:dyDescent="0.3">
      <c r="E2973" t="str">
        <f>IFERROR(IF(D2973="","",VLOOKUP(D2973,CadProd!$A:$B,2,0)),"")</f>
        <v/>
      </c>
      <c r="F2973" t="str">
        <f>IFERROR(IF(D2973="","",VLOOKUP(D2973,CadProd!$A:$C,3,0)),"")</f>
        <v/>
      </c>
    </row>
    <row r="2974" spans="5:6" x14ac:dyDescent="0.3">
      <c r="E2974" t="str">
        <f>IFERROR(IF(D2974="","",VLOOKUP(D2974,CadProd!$A:$B,2,0)),"")</f>
        <v/>
      </c>
      <c r="F2974" t="str">
        <f>IFERROR(IF(D2974="","",VLOOKUP(D2974,CadProd!$A:$C,3,0)),"")</f>
        <v/>
      </c>
    </row>
    <row r="2975" spans="5:6" x14ac:dyDescent="0.3">
      <c r="E2975" t="str">
        <f>IFERROR(IF(D2975="","",VLOOKUP(D2975,CadProd!$A:$B,2,0)),"")</f>
        <v/>
      </c>
      <c r="F2975" t="str">
        <f>IFERROR(IF(D2975="","",VLOOKUP(D2975,CadProd!$A:$C,3,0)),"")</f>
        <v/>
      </c>
    </row>
    <row r="2976" spans="5:6" x14ac:dyDescent="0.3">
      <c r="E2976" t="str">
        <f>IFERROR(IF(D2976="","",VLOOKUP(D2976,CadProd!$A:$B,2,0)),"")</f>
        <v/>
      </c>
      <c r="F2976" t="str">
        <f>IFERROR(IF(D2976="","",VLOOKUP(D2976,CadProd!$A:$C,3,0)),"")</f>
        <v/>
      </c>
    </row>
    <row r="2977" spans="5:6" x14ac:dyDescent="0.3">
      <c r="E2977" t="str">
        <f>IFERROR(IF(D2977="","",VLOOKUP(D2977,CadProd!$A:$B,2,0)),"")</f>
        <v/>
      </c>
      <c r="F2977" t="str">
        <f>IFERROR(IF(D2977="","",VLOOKUP(D2977,CadProd!$A:$C,3,0)),"")</f>
        <v/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CEC85-2DB4-4FA5-8B46-9C29A893EF5B}">
  <sheetPr codeName="Planilha3"/>
  <dimension ref="A1:S1"/>
  <sheetViews>
    <sheetView workbookViewId="0">
      <selection activeCell="A2" sqref="A2:M1048576"/>
    </sheetView>
  </sheetViews>
  <sheetFormatPr defaultRowHeight="14.4" x14ac:dyDescent="0.3"/>
  <cols>
    <col min="1" max="1" width="10" bestFit="1" customWidth="1"/>
    <col min="2" max="2" width="10" customWidth="1"/>
    <col min="3" max="3" width="12.44140625" bestFit="1" customWidth="1"/>
    <col min="4" max="4" width="11" bestFit="1" customWidth="1"/>
    <col min="5" max="5" width="17" bestFit="1" customWidth="1"/>
    <col min="6" max="6" width="35.77734375" customWidth="1"/>
    <col min="8" max="8" width="11.88671875" style="1" bestFit="1" customWidth="1"/>
    <col min="9" max="9" width="12.44140625" style="1" customWidth="1"/>
    <col min="10" max="10" width="10.5546875" style="2" bestFit="1" customWidth="1"/>
    <col min="11" max="11" width="10.5546875" style="2" customWidth="1"/>
    <col min="12" max="12" width="4.5546875" bestFit="1" customWidth="1"/>
    <col min="13" max="13" width="5" bestFit="1" customWidth="1"/>
    <col min="15" max="15" width="12.33203125" bestFit="1" customWidth="1"/>
    <col min="16" max="16" width="4.77734375" customWidth="1"/>
    <col min="18" max="18" width="12.77734375" bestFit="1" customWidth="1"/>
    <col min="19" max="19" width="11.88671875" bestFit="1" customWidth="1"/>
  </cols>
  <sheetData>
    <row r="1" spans="1:19" x14ac:dyDescent="0.3">
      <c r="A1" t="s">
        <v>44</v>
      </c>
      <c r="B1" t="s">
        <v>0</v>
      </c>
      <c r="C1" t="s">
        <v>45</v>
      </c>
      <c r="D1" t="s">
        <v>0</v>
      </c>
      <c r="E1" t="s">
        <v>38</v>
      </c>
      <c r="F1" t="s">
        <v>1</v>
      </c>
      <c r="G1" t="s">
        <v>3</v>
      </c>
      <c r="H1" t="s">
        <v>2</v>
      </c>
      <c r="I1" t="s">
        <v>5</v>
      </c>
      <c r="J1" t="s">
        <v>4</v>
      </c>
      <c r="K1" t="s">
        <v>6</v>
      </c>
      <c r="L1" t="s">
        <v>7</v>
      </c>
      <c r="M1" t="s">
        <v>8</v>
      </c>
      <c r="O1" t="s">
        <v>10</v>
      </c>
      <c r="P1">
        <f>SUM(G2:G1048576)</f>
        <v>0</v>
      </c>
      <c r="R1" t="s">
        <v>9</v>
      </c>
      <c r="S1" s="5">
        <f>SUM(I2:I1048576)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3F52C-BCCC-4232-810D-42A85C3F91BB}">
  <sheetPr codeName="Planilha31">
    <pageSetUpPr fitToPage="1"/>
  </sheetPr>
  <dimension ref="A1:M43"/>
  <sheetViews>
    <sheetView workbookViewId="0">
      <selection activeCell="C14" sqref="C14:G19"/>
    </sheetView>
  </sheetViews>
  <sheetFormatPr defaultColWidth="0" defaultRowHeight="14.4" zeroHeight="1" x14ac:dyDescent="0.3"/>
  <cols>
    <col min="1" max="2" width="0.88671875" customWidth="1"/>
    <col min="3" max="3" width="9.5546875" customWidth="1"/>
    <col min="4" max="4" width="23.88671875" customWidth="1"/>
    <col min="5" max="5" width="44.44140625" customWidth="1"/>
    <col min="6" max="6" width="8.88671875" customWidth="1"/>
    <col min="7" max="7" width="11.77734375" customWidth="1"/>
    <col min="8" max="8" width="14" bestFit="1" customWidth="1"/>
    <col min="9" max="10" width="0.88671875" customWidth="1"/>
    <col min="11" max="13" width="0" hidden="1" customWidth="1"/>
    <col min="14" max="16384" width="8.88671875" hidden="1"/>
  </cols>
  <sheetData>
    <row r="1" spans="2:9" ht="4.5" customHeight="1" x14ac:dyDescent="0.3"/>
    <row r="2" spans="2:9" ht="4.5" customHeight="1" x14ac:dyDescent="0.3">
      <c r="B2" s="8"/>
      <c r="C2" s="9"/>
      <c r="D2" s="9"/>
      <c r="E2" s="9"/>
      <c r="F2" s="9"/>
      <c r="G2" s="9"/>
      <c r="H2" s="9"/>
      <c r="I2" s="27"/>
    </row>
    <row r="3" spans="2:9" ht="18" x14ac:dyDescent="0.35">
      <c r="B3" s="10"/>
      <c r="C3" s="17" t="s">
        <v>49</v>
      </c>
      <c r="D3" s="32">
        <v>2</v>
      </c>
      <c r="E3" s="47">
        <f ca="1">NOW()</f>
        <v>45019.801071412039</v>
      </c>
      <c r="F3" s="47"/>
      <c r="G3" s="47"/>
      <c r="H3" s="47"/>
      <c r="I3" s="28"/>
    </row>
    <row r="4" spans="2:9" ht="4.5" customHeight="1" x14ac:dyDescent="0.3">
      <c r="B4" s="10"/>
      <c r="I4" s="28"/>
    </row>
    <row r="5" spans="2:9" x14ac:dyDescent="0.3">
      <c r="B5" s="10"/>
      <c r="C5" s="11" t="s">
        <v>0</v>
      </c>
      <c r="D5" s="12" t="s">
        <v>46</v>
      </c>
      <c r="E5" s="9"/>
      <c r="F5" s="9"/>
      <c r="G5" s="9"/>
      <c r="H5" s="27"/>
      <c r="I5" s="28"/>
    </row>
    <row r="6" spans="2:9" x14ac:dyDescent="0.3">
      <c r="B6" s="10"/>
      <c r="C6" s="14">
        <v>2</v>
      </c>
      <c r="D6" s="45" t="str">
        <f>IFERROR(VLOOKUP(C6,CadForn!$A:$B,2,0),"")</f>
        <v/>
      </c>
      <c r="E6" s="45"/>
      <c r="F6" s="45"/>
      <c r="G6" s="45"/>
      <c r="H6" s="46"/>
      <c r="I6" s="28"/>
    </row>
    <row r="7" spans="2:9" ht="4.5" customHeight="1" x14ac:dyDescent="0.3">
      <c r="B7" s="10"/>
      <c r="C7" s="10"/>
      <c r="H7" s="28"/>
      <c r="I7" s="28"/>
    </row>
    <row r="8" spans="2:9" x14ac:dyDescent="0.3">
      <c r="B8" s="10"/>
      <c r="C8" s="13" t="str">
        <f>IFERROR(IF(C6="","",VLOOKUP(C6,CadForn!$A:$C,3,0)),"")</f>
        <v/>
      </c>
      <c r="E8" s="15" t="s">
        <v>48</v>
      </c>
      <c r="H8" s="28"/>
      <c r="I8" s="28"/>
    </row>
    <row r="9" spans="2:9" x14ac:dyDescent="0.3">
      <c r="B9" s="10"/>
      <c r="C9" s="10" t="str">
        <f>IFERROR(VLOOKUP(C6,CadForn!$A:$D,4,0),"")</f>
        <v/>
      </c>
      <c r="E9" t="str">
        <f>IFERROR(VLOOKUP(C6,CadForn!$A:$E,5,0),"")</f>
        <v/>
      </c>
      <c r="H9" s="28"/>
      <c r="I9" s="28"/>
    </row>
    <row r="10" spans="2:9" ht="4.5" customHeight="1" x14ac:dyDescent="0.3">
      <c r="B10" s="10"/>
      <c r="C10" s="10"/>
      <c r="H10" s="28"/>
      <c r="I10" s="28"/>
    </row>
    <row r="11" spans="2:9" x14ac:dyDescent="0.3">
      <c r="B11" s="10"/>
      <c r="C11" s="13" t="s">
        <v>47</v>
      </c>
      <c r="H11" s="28"/>
      <c r="I11" s="28"/>
    </row>
    <row r="12" spans="2:9" ht="43.2" customHeight="1" x14ac:dyDescent="0.3">
      <c r="B12" s="10"/>
      <c r="C12" s="42" t="str">
        <f>IFERROR(VLOOKUP(C6,CadForn!$A:$F,6,0),"")</f>
        <v/>
      </c>
      <c r="D12" s="43"/>
      <c r="E12" s="43"/>
      <c r="F12" s="43"/>
      <c r="G12" s="43"/>
      <c r="H12" s="44"/>
      <c r="I12" s="28"/>
    </row>
    <row r="13" spans="2:9" x14ac:dyDescent="0.3">
      <c r="B13" s="10"/>
      <c r="C13" s="19" t="s">
        <v>0</v>
      </c>
      <c r="D13" s="19" t="s">
        <v>38</v>
      </c>
      <c r="E13" s="19" t="s">
        <v>1</v>
      </c>
      <c r="F13" s="19" t="s">
        <v>3</v>
      </c>
      <c r="G13" s="19" t="s">
        <v>2</v>
      </c>
      <c r="H13" s="19" t="s">
        <v>5</v>
      </c>
      <c r="I13" s="28"/>
    </row>
    <row r="14" spans="2:9" x14ac:dyDescent="0.3">
      <c r="B14" s="10"/>
      <c r="C14" s="33">
        <v>1</v>
      </c>
      <c r="D14" s="39" t="s">
        <v>59</v>
      </c>
      <c r="E14" s="39" t="s">
        <v>61</v>
      </c>
      <c r="F14" s="39">
        <v>100</v>
      </c>
      <c r="G14" s="40">
        <v>11</v>
      </c>
      <c r="H14" s="21">
        <f>IFERROR(IF(F14="","",F14*G14),0)</f>
        <v>1100</v>
      </c>
      <c r="I14" s="28"/>
    </row>
    <row r="15" spans="2:9" x14ac:dyDescent="0.3">
      <c r="B15" s="10"/>
      <c r="C15" s="14">
        <v>2</v>
      </c>
      <c r="D15" t="s">
        <v>59</v>
      </c>
      <c r="E15" t="s">
        <v>62</v>
      </c>
      <c r="F15" s="37">
        <v>110</v>
      </c>
      <c r="G15" s="22">
        <v>12</v>
      </c>
      <c r="H15" s="23">
        <f t="shared" ref="H15:H30" si="0">IFERROR(IF(F15="","",F15*G15),0)</f>
        <v>1320</v>
      </c>
      <c r="I15" s="28"/>
    </row>
    <row r="16" spans="2:9" x14ac:dyDescent="0.3">
      <c r="B16" s="10"/>
      <c r="C16" s="14">
        <v>3</v>
      </c>
      <c r="D16" t="s">
        <v>59</v>
      </c>
      <c r="E16" t="s">
        <v>65</v>
      </c>
      <c r="F16" s="37">
        <v>120</v>
      </c>
      <c r="G16" s="22">
        <v>13</v>
      </c>
      <c r="H16" s="23">
        <f t="shared" si="0"/>
        <v>1560</v>
      </c>
      <c r="I16" s="28"/>
    </row>
    <row r="17" spans="2:9" x14ac:dyDescent="0.3">
      <c r="B17" s="10"/>
      <c r="C17" s="14">
        <v>4</v>
      </c>
      <c r="D17" t="s">
        <v>59</v>
      </c>
      <c r="E17" t="s">
        <v>66</v>
      </c>
      <c r="F17" s="37">
        <v>130</v>
      </c>
      <c r="G17" s="22">
        <v>14</v>
      </c>
      <c r="H17" s="23">
        <f t="shared" si="0"/>
        <v>1820</v>
      </c>
      <c r="I17" s="28"/>
    </row>
    <row r="18" spans="2:9" x14ac:dyDescent="0.3">
      <c r="B18" s="10"/>
      <c r="C18" s="14">
        <v>5</v>
      </c>
      <c r="D18" t="s">
        <v>60</v>
      </c>
      <c r="E18" t="s">
        <v>67</v>
      </c>
      <c r="F18" s="37">
        <v>140</v>
      </c>
      <c r="G18" s="22">
        <v>15</v>
      </c>
      <c r="H18" s="23">
        <f t="shared" si="0"/>
        <v>2100</v>
      </c>
      <c r="I18" s="28"/>
    </row>
    <row r="19" spans="2:9" x14ac:dyDescent="0.3">
      <c r="B19" s="10"/>
      <c r="C19" s="14">
        <v>6</v>
      </c>
      <c r="D19" t="s">
        <v>60</v>
      </c>
      <c r="E19" t="s">
        <v>68</v>
      </c>
      <c r="F19" s="37">
        <v>150</v>
      </c>
      <c r="G19" s="22">
        <v>16</v>
      </c>
      <c r="H19" s="23">
        <f t="shared" si="0"/>
        <v>2400</v>
      </c>
      <c r="I19" s="28"/>
    </row>
    <row r="20" spans="2:9" x14ac:dyDescent="0.3">
      <c r="B20" s="10"/>
      <c r="C20" s="14"/>
      <c r="F20" s="37"/>
      <c r="G20" s="22"/>
      <c r="H20" s="23" t="str">
        <f t="shared" si="0"/>
        <v/>
      </c>
      <c r="I20" s="28"/>
    </row>
    <row r="21" spans="2:9" x14ac:dyDescent="0.3">
      <c r="B21" s="10"/>
      <c r="C21" s="14"/>
      <c r="F21" s="37"/>
      <c r="G21" s="22"/>
      <c r="H21" s="23" t="str">
        <f t="shared" si="0"/>
        <v/>
      </c>
      <c r="I21" s="28"/>
    </row>
    <row r="22" spans="2:9" x14ac:dyDescent="0.3">
      <c r="B22" s="10"/>
      <c r="C22" s="14"/>
      <c r="F22" s="37"/>
      <c r="G22" s="22"/>
      <c r="H22" s="23" t="str">
        <f t="shared" si="0"/>
        <v/>
      </c>
      <c r="I22" s="28"/>
    </row>
    <row r="23" spans="2:9" x14ac:dyDescent="0.3">
      <c r="B23" s="10"/>
      <c r="C23" s="14"/>
      <c r="F23" s="37"/>
      <c r="G23" s="22"/>
      <c r="H23" s="23" t="str">
        <f t="shared" si="0"/>
        <v/>
      </c>
      <c r="I23" s="28"/>
    </row>
    <row r="24" spans="2:9" x14ac:dyDescent="0.3">
      <c r="B24" s="10"/>
      <c r="C24" s="14"/>
      <c r="F24" s="37"/>
      <c r="G24" s="22"/>
      <c r="H24" s="23" t="str">
        <f t="shared" si="0"/>
        <v/>
      </c>
      <c r="I24" s="28"/>
    </row>
    <row r="25" spans="2:9" x14ac:dyDescent="0.3">
      <c r="B25" s="10"/>
      <c r="C25" s="14"/>
      <c r="F25" s="37"/>
      <c r="G25" s="22"/>
      <c r="H25" s="23" t="str">
        <f>IFERROR(IF(F25="","",F25*G25),0)</f>
        <v/>
      </c>
      <c r="I25" s="28"/>
    </row>
    <row r="26" spans="2:9" x14ac:dyDescent="0.3">
      <c r="B26" s="10"/>
      <c r="C26" s="14"/>
      <c r="F26" s="37"/>
      <c r="G26" s="22"/>
      <c r="H26" s="23" t="str">
        <f t="shared" si="0"/>
        <v/>
      </c>
      <c r="I26" s="28"/>
    </row>
    <row r="27" spans="2:9" x14ac:dyDescent="0.3">
      <c r="B27" s="10"/>
      <c r="C27" s="14"/>
      <c r="F27" s="37"/>
      <c r="G27" s="22"/>
      <c r="H27" s="23" t="str">
        <f t="shared" si="0"/>
        <v/>
      </c>
      <c r="I27" s="28"/>
    </row>
    <row r="28" spans="2:9" x14ac:dyDescent="0.3">
      <c r="B28" s="10"/>
      <c r="C28" s="14"/>
      <c r="F28" s="37"/>
      <c r="G28" s="22"/>
      <c r="H28" s="23" t="str">
        <f t="shared" si="0"/>
        <v/>
      </c>
      <c r="I28" s="28"/>
    </row>
    <row r="29" spans="2:9" x14ac:dyDescent="0.3">
      <c r="B29" s="10"/>
      <c r="C29" s="14"/>
      <c r="F29" s="37"/>
      <c r="G29" s="22"/>
      <c r="H29" s="23" t="str">
        <f t="shared" si="0"/>
        <v/>
      </c>
      <c r="I29" s="28"/>
    </row>
    <row r="30" spans="2:9" x14ac:dyDescent="0.3">
      <c r="B30" s="10"/>
      <c r="C30" s="34"/>
      <c r="D30" s="16"/>
      <c r="E30" s="16"/>
      <c r="F30" s="38"/>
      <c r="G30" s="18"/>
      <c r="H30" s="25" t="str">
        <f t="shared" si="0"/>
        <v/>
      </c>
      <c r="I30" s="28"/>
    </row>
    <row r="31" spans="2:9" ht="4.5" customHeight="1" x14ac:dyDescent="0.3">
      <c r="B31" s="10"/>
      <c r="I31" s="28"/>
    </row>
    <row r="32" spans="2:9" x14ac:dyDescent="0.3">
      <c r="B32" s="10"/>
      <c r="E32" s="29" t="s">
        <v>50</v>
      </c>
      <c r="F32" s="35">
        <f>SUM(F14:F30)</f>
        <v>750</v>
      </c>
      <c r="G32" s="29" t="s">
        <v>51</v>
      </c>
      <c r="H32" s="26">
        <f>SUM(H14:H30)</f>
        <v>10300</v>
      </c>
      <c r="I32" s="28"/>
    </row>
    <row r="33" spans="2:9" ht="4.5" customHeight="1" x14ac:dyDescent="0.3">
      <c r="B33" s="10"/>
      <c r="I33" s="28"/>
    </row>
    <row r="34" spans="2:9" x14ac:dyDescent="0.3">
      <c r="B34" s="10"/>
      <c r="I34" s="28"/>
    </row>
    <row r="35" spans="2:9" x14ac:dyDescent="0.3">
      <c r="B35" s="10"/>
      <c r="I35" s="28"/>
    </row>
    <row r="36" spans="2:9" ht="15" thickBot="1" x14ac:dyDescent="0.35">
      <c r="B36" s="10"/>
      <c r="E36" s="31"/>
      <c r="F36" s="31"/>
      <c r="G36" s="31"/>
      <c r="H36" s="31"/>
      <c r="I36" s="28"/>
    </row>
    <row r="37" spans="2:9" ht="15" thickTop="1" x14ac:dyDescent="0.3">
      <c r="B37" s="10"/>
      <c r="H37" s="29" t="s">
        <v>52</v>
      </c>
      <c r="I37" s="28"/>
    </row>
    <row r="38" spans="2:9" x14ac:dyDescent="0.3">
      <c r="B38" s="10"/>
      <c r="I38" s="28"/>
    </row>
    <row r="39" spans="2:9" x14ac:dyDescent="0.3">
      <c r="B39" s="10"/>
      <c r="I39" s="28"/>
    </row>
    <row r="40" spans="2:9" ht="15" thickBot="1" x14ac:dyDescent="0.35">
      <c r="B40" s="10"/>
      <c r="E40" s="31"/>
      <c r="F40" s="31"/>
      <c r="G40" s="31"/>
      <c r="H40" s="31"/>
      <c r="I40" s="28"/>
    </row>
    <row r="41" spans="2:9" ht="15" thickTop="1" x14ac:dyDescent="0.3">
      <c r="B41" s="10"/>
      <c r="H41" s="29" t="s">
        <v>53</v>
      </c>
      <c r="I41" s="28"/>
    </row>
    <row r="42" spans="2:9" x14ac:dyDescent="0.3">
      <c r="B42" s="24"/>
      <c r="C42" s="16"/>
      <c r="D42" s="16"/>
      <c r="E42" s="16"/>
      <c r="F42" s="16"/>
      <c r="G42" s="16"/>
      <c r="H42" s="16"/>
      <c r="I42" s="30"/>
    </row>
    <row r="43" spans="2:9" ht="4.5" customHeight="1" x14ac:dyDescent="0.3"/>
  </sheetData>
  <mergeCells count="3">
    <mergeCell ref="C12:H12"/>
    <mergeCell ref="D6:H6"/>
    <mergeCell ref="E3:H3"/>
  </mergeCells>
  <pageMargins left="0.511811024" right="0.511811024" top="0.78740157499999996" bottom="0.78740157499999996" header="0.31496062000000002" footer="0.31496062000000002"/>
  <pageSetup scale="82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90104-E082-4365-AB4C-D4BF40D23CF8}">
  <sheetPr codeName="Planilha10"/>
  <dimension ref="A1:Q5001"/>
  <sheetViews>
    <sheetView workbookViewId="0">
      <selection activeCell="A2" sqref="A2:K2"/>
    </sheetView>
  </sheetViews>
  <sheetFormatPr defaultRowHeight="14.4" x14ac:dyDescent="0.3"/>
  <cols>
    <col min="1" max="1" width="10" bestFit="1" customWidth="1"/>
    <col min="3" max="3" width="12.44140625" bestFit="1" customWidth="1"/>
    <col min="4" max="4" width="11" customWidth="1"/>
    <col min="5" max="5" width="12.33203125" customWidth="1"/>
    <col min="6" max="6" width="35.77734375" customWidth="1"/>
    <col min="7" max="7" width="8.88671875" style="4" customWidth="1"/>
    <col min="8" max="8" width="10.33203125" style="1" customWidth="1"/>
    <col min="9" max="9" width="14.6640625" style="1" bestFit="1" customWidth="1"/>
    <col min="10" max="10" width="10.5546875" style="2" bestFit="1" customWidth="1"/>
    <col min="13" max="13" width="11.6640625" bestFit="1" customWidth="1"/>
    <col min="16" max="16" width="12.77734375" bestFit="1" customWidth="1"/>
    <col min="17" max="17" width="12.21875" bestFit="1" customWidth="1"/>
  </cols>
  <sheetData>
    <row r="1" spans="1:17" x14ac:dyDescent="0.3">
      <c r="A1" t="s">
        <v>44</v>
      </c>
      <c r="B1" t="s">
        <v>0</v>
      </c>
      <c r="C1" t="s">
        <v>45</v>
      </c>
      <c r="D1" t="s">
        <v>0</v>
      </c>
      <c r="E1" t="s">
        <v>38</v>
      </c>
      <c r="F1" t="s">
        <v>1</v>
      </c>
      <c r="G1" t="s">
        <v>3</v>
      </c>
      <c r="H1" t="s">
        <v>2</v>
      </c>
      <c r="I1" t="s">
        <v>5</v>
      </c>
      <c r="J1" t="s">
        <v>4</v>
      </c>
      <c r="K1" t="s">
        <v>6</v>
      </c>
      <c r="M1" t="s">
        <v>10</v>
      </c>
      <c r="N1">
        <f>SUM(TempMovEntrada!G2:G1048576)</f>
        <v>0</v>
      </c>
      <c r="P1" t="s">
        <v>9</v>
      </c>
      <c r="Q1" s="5">
        <f>SUM(TempMovEntrada!I2:I1048576)</f>
        <v>0</v>
      </c>
    </row>
    <row r="2" spans="1:17" x14ac:dyDescent="0.3">
      <c r="G2"/>
    </row>
    <row r="3" spans="1:17" x14ac:dyDescent="0.3">
      <c r="G3"/>
    </row>
    <row r="4" spans="1:17" x14ac:dyDescent="0.3">
      <c r="G4"/>
    </row>
    <row r="5" spans="1:17" x14ac:dyDescent="0.3">
      <c r="G5"/>
    </row>
    <row r="6" spans="1:17" x14ac:dyDescent="0.3">
      <c r="G6"/>
    </row>
    <row r="7" spans="1:17" x14ac:dyDescent="0.3">
      <c r="G7"/>
    </row>
    <row r="8" spans="1:17" x14ac:dyDescent="0.3">
      <c r="G8"/>
    </row>
    <row r="9" spans="1:17" x14ac:dyDescent="0.3">
      <c r="G9"/>
    </row>
    <row r="10" spans="1:17" x14ac:dyDescent="0.3">
      <c r="G10"/>
    </row>
    <row r="11" spans="1:17" x14ac:dyDescent="0.3">
      <c r="G11"/>
    </row>
    <row r="12" spans="1:17" x14ac:dyDescent="0.3">
      <c r="G12"/>
    </row>
    <row r="13" spans="1:17" x14ac:dyDescent="0.3">
      <c r="G13"/>
    </row>
    <row r="14" spans="1:17" x14ac:dyDescent="0.3">
      <c r="G14"/>
    </row>
    <row r="15" spans="1:17" x14ac:dyDescent="0.3">
      <c r="G15"/>
    </row>
    <row r="16" spans="1:17" x14ac:dyDescent="0.3">
      <c r="G16"/>
    </row>
    <row r="17" spans="7:7" x14ac:dyDescent="0.3">
      <c r="G17"/>
    </row>
    <row r="18" spans="7:7" x14ac:dyDescent="0.3">
      <c r="G18"/>
    </row>
    <row r="19" spans="7:7" x14ac:dyDescent="0.3">
      <c r="G19"/>
    </row>
    <row r="20" spans="7:7" x14ac:dyDescent="0.3">
      <c r="G20"/>
    </row>
    <row r="21" spans="7:7" x14ac:dyDescent="0.3">
      <c r="G21"/>
    </row>
    <row r="22" spans="7:7" x14ac:dyDescent="0.3">
      <c r="G22"/>
    </row>
    <row r="23" spans="7:7" x14ac:dyDescent="0.3">
      <c r="G23"/>
    </row>
    <row r="24" spans="7:7" x14ac:dyDescent="0.3">
      <c r="G24"/>
    </row>
    <row r="25" spans="7:7" x14ac:dyDescent="0.3">
      <c r="G25"/>
    </row>
    <row r="26" spans="7:7" x14ac:dyDescent="0.3">
      <c r="G26"/>
    </row>
    <row r="27" spans="7:7" x14ac:dyDescent="0.3">
      <c r="G27"/>
    </row>
    <row r="28" spans="7:7" x14ac:dyDescent="0.3">
      <c r="G28"/>
    </row>
    <row r="29" spans="7:7" x14ac:dyDescent="0.3">
      <c r="G29"/>
    </row>
    <row r="30" spans="7:7" x14ac:dyDescent="0.3">
      <c r="G30"/>
    </row>
    <row r="31" spans="7:7" x14ac:dyDescent="0.3">
      <c r="G31"/>
    </row>
    <row r="32" spans="7:7" x14ac:dyDescent="0.3">
      <c r="G32"/>
    </row>
    <row r="33" spans="7:7" x14ac:dyDescent="0.3">
      <c r="G33"/>
    </row>
    <row r="34" spans="7:7" x14ac:dyDescent="0.3">
      <c r="G34"/>
    </row>
    <row r="35" spans="7:7" x14ac:dyDescent="0.3">
      <c r="G35"/>
    </row>
    <row r="36" spans="7:7" x14ac:dyDescent="0.3">
      <c r="G36"/>
    </row>
    <row r="37" spans="7:7" x14ac:dyDescent="0.3">
      <c r="G37"/>
    </row>
    <row r="38" spans="7:7" x14ac:dyDescent="0.3">
      <c r="G38"/>
    </row>
    <row r="39" spans="7:7" x14ac:dyDescent="0.3">
      <c r="G39"/>
    </row>
    <row r="40" spans="7:7" x14ac:dyDescent="0.3">
      <c r="G40"/>
    </row>
    <row r="41" spans="7:7" x14ac:dyDescent="0.3">
      <c r="G41"/>
    </row>
    <row r="42" spans="7:7" x14ac:dyDescent="0.3">
      <c r="G42"/>
    </row>
    <row r="43" spans="7:7" x14ac:dyDescent="0.3">
      <c r="G43"/>
    </row>
    <row r="44" spans="7:7" x14ac:dyDescent="0.3">
      <c r="G44"/>
    </row>
    <row r="45" spans="7:7" x14ac:dyDescent="0.3">
      <c r="G45"/>
    </row>
    <row r="46" spans="7:7" x14ac:dyDescent="0.3">
      <c r="G46"/>
    </row>
    <row r="47" spans="7:7" x14ac:dyDescent="0.3">
      <c r="G47"/>
    </row>
    <row r="48" spans="7:7" x14ac:dyDescent="0.3">
      <c r="G48"/>
    </row>
    <row r="49" spans="7:7" x14ac:dyDescent="0.3">
      <c r="G49"/>
    </row>
    <row r="50" spans="7:7" x14ac:dyDescent="0.3">
      <c r="G50"/>
    </row>
    <row r="51" spans="7:7" x14ac:dyDescent="0.3">
      <c r="G51"/>
    </row>
    <row r="52" spans="7:7" x14ac:dyDescent="0.3">
      <c r="G52"/>
    </row>
    <row r="53" spans="7:7" x14ac:dyDescent="0.3">
      <c r="G53"/>
    </row>
    <row r="54" spans="7:7" x14ac:dyDescent="0.3">
      <c r="G54"/>
    </row>
    <row r="55" spans="7:7" x14ac:dyDescent="0.3">
      <c r="G55"/>
    </row>
    <row r="56" spans="7:7" x14ac:dyDescent="0.3">
      <c r="G56"/>
    </row>
    <row r="57" spans="7:7" x14ac:dyDescent="0.3">
      <c r="G57"/>
    </row>
    <row r="58" spans="7:7" x14ac:dyDescent="0.3">
      <c r="G58"/>
    </row>
    <row r="59" spans="7:7" x14ac:dyDescent="0.3">
      <c r="G59"/>
    </row>
    <row r="60" spans="7:7" x14ac:dyDescent="0.3">
      <c r="G60"/>
    </row>
    <row r="61" spans="7:7" x14ac:dyDescent="0.3">
      <c r="G61"/>
    </row>
    <row r="62" spans="7:7" x14ac:dyDescent="0.3">
      <c r="G62"/>
    </row>
    <row r="63" spans="7:7" x14ac:dyDescent="0.3">
      <c r="G63"/>
    </row>
    <row r="64" spans="7:7" x14ac:dyDescent="0.3">
      <c r="G64"/>
    </row>
    <row r="65" spans="7:7" x14ac:dyDescent="0.3">
      <c r="G65"/>
    </row>
    <row r="66" spans="7:7" x14ac:dyDescent="0.3">
      <c r="G66"/>
    </row>
    <row r="67" spans="7:7" x14ac:dyDescent="0.3">
      <c r="G67"/>
    </row>
    <row r="68" spans="7:7" x14ac:dyDescent="0.3">
      <c r="G68"/>
    </row>
    <row r="69" spans="7:7" x14ac:dyDescent="0.3">
      <c r="G69"/>
    </row>
    <row r="70" spans="7:7" x14ac:dyDescent="0.3">
      <c r="G70"/>
    </row>
    <row r="71" spans="7:7" x14ac:dyDescent="0.3">
      <c r="G71"/>
    </row>
    <row r="72" spans="7:7" x14ac:dyDescent="0.3">
      <c r="G72"/>
    </row>
    <row r="73" spans="7:7" x14ac:dyDescent="0.3">
      <c r="G73"/>
    </row>
    <row r="74" spans="7:7" x14ac:dyDescent="0.3">
      <c r="G74"/>
    </row>
    <row r="75" spans="7:7" x14ac:dyDescent="0.3">
      <c r="G75"/>
    </row>
    <row r="76" spans="7:7" x14ac:dyDescent="0.3">
      <c r="G76"/>
    </row>
    <row r="77" spans="7:7" x14ac:dyDescent="0.3">
      <c r="G77"/>
    </row>
    <row r="78" spans="7:7" x14ac:dyDescent="0.3">
      <c r="G78"/>
    </row>
    <row r="79" spans="7:7" x14ac:dyDescent="0.3">
      <c r="G79"/>
    </row>
    <row r="80" spans="7:7" x14ac:dyDescent="0.3">
      <c r="G80"/>
    </row>
    <row r="81" spans="7:7" x14ac:dyDescent="0.3">
      <c r="G81"/>
    </row>
    <row r="82" spans="7:7" x14ac:dyDescent="0.3">
      <c r="G82"/>
    </row>
    <row r="83" spans="7:7" x14ac:dyDescent="0.3">
      <c r="G83"/>
    </row>
    <row r="84" spans="7:7" x14ac:dyDescent="0.3">
      <c r="G84"/>
    </row>
    <row r="85" spans="7:7" x14ac:dyDescent="0.3">
      <c r="G85"/>
    </row>
    <row r="86" spans="7:7" x14ac:dyDescent="0.3">
      <c r="G86"/>
    </row>
    <row r="87" spans="7:7" x14ac:dyDescent="0.3">
      <c r="G87"/>
    </row>
    <row r="88" spans="7:7" x14ac:dyDescent="0.3">
      <c r="G88"/>
    </row>
    <row r="89" spans="7:7" x14ac:dyDescent="0.3">
      <c r="G89"/>
    </row>
    <row r="90" spans="7:7" x14ac:dyDescent="0.3">
      <c r="G90"/>
    </row>
    <row r="91" spans="7:7" x14ac:dyDescent="0.3">
      <c r="G91"/>
    </row>
    <row r="92" spans="7:7" x14ac:dyDescent="0.3">
      <c r="G92"/>
    </row>
    <row r="93" spans="7:7" x14ac:dyDescent="0.3">
      <c r="G93"/>
    </row>
    <row r="94" spans="7:7" x14ac:dyDescent="0.3">
      <c r="G94"/>
    </row>
    <row r="95" spans="7:7" x14ac:dyDescent="0.3">
      <c r="G95"/>
    </row>
    <row r="96" spans="7:7" x14ac:dyDescent="0.3">
      <c r="G96"/>
    </row>
    <row r="97" spans="7:7" x14ac:dyDescent="0.3">
      <c r="G97"/>
    </row>
    <row r="98" spans="7:7" x14ac:dyDescent="0.3">
      <c r="G98"/>
    </row>
    <row r="99" spans="7:7" x14ac:dyDescent="0.3">
      <c r="G99"/>
    </row>
    <row r="100" spans="7:7" x14ac:dyDescent="0.3">
      <c r="G100"/>
    </row>
    <row r="101" spans="7:7" x14ac:dyDescent="0.3">
      <c r="G101"/>
    </row>
    <row r="102" spans="7:7" x14ac:dyDescent="0.3">
      <c r="G102"/>
    </row>
    <row r="103" spans="7:7" x14ac:dyDescent="0.3">
      <c r="G103"/>
    </row>
    <row r="104" spans="7:7" x14ac:dyDescent="0.3">
      <c r="G104"/>
    </row>
    <row r="105" spans="7:7" x14ac:dyDescent="0.3">
      <c r="G105"/>
    </row>
    <row r="106" spans="7:7" x14ac:dyDescent="0.3">
      <c r="G106"/>
    </row>
    <row r="107" spans="7:7" x14ac:dyDescent="0.3">
      <c r="G107"/>
    </row>
    <row r="108" spans="7:7" x14ac:dyDescent="0.3">
      <c r="G108"/>
    </row>
    <row r="109" spans="7:7" x14ac:dyDescent="0.3">
      <c r="G109"/>
    </row>
    <row r="110" spans="7:7" x14ac:dyDescent="0.3">
      <c r="G110"/>
    </row>
    <row r="111" spans="7:7" x14ac:dyDescent="0.3">
      <c r="G111"/>
    </row>
    <row r="112" spans="7:7" x14ac:dyDescent="0.3">
      <c r="G112"/>
    </row>
    <row r="113" spans="7:7" x14ac:dyDescent="0.3">
      <c r="G113"/>
    </row>
    <row r="114" spans="7:7" x14ac:dyDescent="0.3">
      <c r="G114"/>
    </row>
    <row r="115" spans="7:7" x14ac:dyDescent="0.3">
      <c r="G115"/>
    </row>
    <row r="116" spans="7:7" x14ac:dyDescent="0.3">
      <c r="G116"/>
    </row>
    <row r="117" spans="7:7" x14ac:dyDescent="0.3">
      <c r="G117"/>
    </row>
    <row r="118" spans="7:7" x14ac:dyDescent="0.3">
      <c r="G118"/>
    </row>
    <row r="119" spans="7:7" x14ac:dyDescent="0.3">
      <c r="G119"/>
    </row>
    <row r="120" spans="7:7" x14ac:dyDescent="0.3">
      <c r="G120"/>
    </row>
    <row r="121" spans="7:7" x14ac:dyDescent="0.3">
      <c r="G121"/>
    </row>
    <row r="122" spans="7:7" x14ac:dyDescent="0.3">
      <c r="G122"/>
    </row>
    <row r="123" spans="7:7" x14ac:dyDescent="0.3">
      <c r="G123"/>
    </row>
    <row r="124" spans="7:7" x14ac:dyDescent="0.3">
      <c r="G124"/>
    </row>
    <row r="125" spans="7:7" x14ac:dyDescent="0.3">
      <c r="G125"/>
    </row>
    <row r="126" spans="7:7" x14ac:dyDescent="0.3">
      <c r="G126"/>
    </row>
    <row r="127" spans="7:7" x14ac:dyDescent="0.3">
      <c r="G127"/>
    </row>
    <row r="128" spans="7:7" x14ac:dyDescent="0.3">
      <c r="G128"/>
    </row>
    <row r="129" spans="7:7" x14ac:dyDescent="0.3">
      <c r="G129"/>
    </row>
    <row r="130" spans="7:7" x14ac:dyDescent="0.3">
      <c r="G130"/>
    </row>
    <row r="131" spans="7:7" x14ac:dyDescent="0.3">
      <c r="G131"/>
    </row>
    <row r="132" spans="7:7" x14ac:dyDescent="0.3">
      <c r="G132"/>
    </row>
    <row r="133" spans="7:7" x14ac:dyDescent="0.3">
      <c r="G133"/>
    </row>
    <row r="134" spans="7:7" x14ac:dyDescent="0.3">
      <c r="G134"/>
    </row>
    <row r="135" spans="7:7" x14ac:dyDescent="0.3">
      <c r="G135"/>
    </row>
    <row r="136" spans="7:7" x14ac:dyDescent="0.3">
      <c r="G136"/>
    </row>
    <row r="137" spans="7:7" x14ac:dyDescent="0.3">
      <c r="G137"/>
    </row>
    <row r="138" spans="7:7" x14ac:dyDescent="0.3">
      <c r="G138"/>
    </row>
    <row r="139" spans="7:7" x14ac:dyDescent="0.3">
      <c r="G139"/>
    </row>
    <row r="140" spans="7:7" x14ac:dyDescent="0.3">
      <c r="G140"/>
    </row>
    <row r="141" spans="7:7" x14ac:dyDescent="0.3">
      <c r="G141"/>
    </row>
    <row r="142" spans="7:7" x14ac:dyDescent="0.3">
      <c r="G142"/>
    </row>
    <row r="143" spans="7:7" x14ac:dyDescent="0.3">
      <c r="G143"/>
    </row>
    <row r="144" spans="7:7" x14ac:dyDescent="0.3">
      <c r="G144"/>
    </row>
    <row r="145" spans="7:7" x14ac:dyDescent="0.3">
      <c r="G145"/>
    </row>
    <row r="146" spans="7:7" x14ac:dyDescent="0.3">
      <c r="G146"/>
    </row>
    <row r="147" spans="7:7" x14ac:dyDescent="0.3">
      <c r="G147"/>
    </row>
    <row r="148" spans="7:7" x14ac:dyDescent="0.3">
      <c r="G148"/>
    </row>
    <row r="149" spans="7:7" x14ac:dyDescent="0.3">
      <c r="G149"/>
    </row>
    <row r="150" spans="7:7" x14ac:dyDescent="0.3">
      <c r="G150"/>
    </row>
    <row r="151" spans="7:7" x14ac:dyDescent="0.3">
      <c r="G151"/>
    </row>
    <row r="152" spans="7:7" x14ac:dyDescent="0.3">
      <c r="G152"/>
    </row>
    <row r="153" spans="7:7" x14ac:dyDescent="0.3">
      <c r="G153"/>
    </row>
    <row r="154" spans="7:7" x14ac:dyDescent="0.3">
      <c r="G154"/>
    </row>
    <row r="155" spans="7:7" x14ac:dyDescent="0.3">
      <c r="G155"/>
    </row>
    <row r="156" spans="7:7" x14ac:dyDescent="0.3">
      <c r="G156"/>
    </row>
    <row r="157" spans="7:7" x14ac:dyDescent="0.3">
      <c r="G157"/>
    </row>
    <row r="158" spans="7:7" x14ac:dyDescent="0.3">
      <c r="G158"/>
    </row>
    <row r="159" spans="7:7" x14ac:dyDescent="0.3">
      <c r="G159"/>
    </row>
    <row r="160" spans="7:7" x14ac:dyDescent="0.3">
      <c r="G160"/>
    </row>
    <row r="161" spans="7:7" x14ac:dyDescent="0.3">
      <c r="G161"/>
    </row>
    <row r="162" spans="7:7" x14ac:dyDescent="0.3">
      <c r="G162"/>
    </row>
    <row r="163" spans="7:7" x14ac:dyDescent="0.3">
      <c r="G163"/>
    </row>
    <row r="164" spans="7:7" x14ac:dyDescent="0.3">
      <c r="G164"/>
    </row>
    <row r="165" spans="7:7" x14ac:dyDescent="0.3">
      <c r="G165"/>
    </row>
    <row r="166" spans="7:7" x14ac:dyDescent="0.3">
      <c r="G166"/>
    </row>
    <row r="167" spans="7:7" x14ac:dyDescent="0.3">
      <c r="G167"/>
    </row>
    <row r="168" spans="7:7" x14ac:dyDescent="0.3">
      <c r="G168"/>
    </row>
    <row r="169" spans="7:7" x14ac:dyDescent="0.3">
      <c r="G169"/>
    </row>
    <row r="170" spans="7:7" x14ac:dyDescent="0.3">
      <c r="G170"/>
    </row>
    <row r="171" spans="7:7" x14ac:dyDescent="0.3">
      <c r="G171"/>
    </row>
    <row r="172" spans="7:7" x14ac:dyDescent="0.3">
      <c r="G172"/>
    </row>
    <row r="173" spans="7:7" x14ac:dyDescent="0.3">
      <c r="G173"/>
    </row>
    <row r="174" spans="7:7" x14ac:dyDescent="0.3">
      <c r="G174"/>
    </row>
    <row r="175" spans="7:7" x14ac:dyDescent="0.3">
      <c r="G175"/>
    </row>
    <row r="176" spans="7:7" x14ac:dyDescent="0.3">
      <c r="G176"/>
    </row>
    <row r="177" spans="7:7" x14ac:dyDescent="0.3">
      <c r="G177"/>
    </row>
    <row r="178" spans="7:7" x14ac:dyDescent="0.3">
      <c r="G178"/>
    </row>
    <row r="179" spans="7:7" x14ac:dyDescent="0.3">
      <c r="G179"/>
    </row>
    <row r="180" spans="7:7" x14ac:dyDescent="0.3">
      <c r="G180"/>
    </row>
    <row r="181" spans="7:7" x14ac:dyDescent="0.3">
      <c r="G181"/>
    </row>
    <row r="182" spans="7:7" x14ac:dyDescent="0.3">
      <c r="G182"/>
    </row>
    <row r="183" spans="7:7" x14ac:dyDescent="0.3">
      <c r="G183"/>
    </row>
    <row r="184" spans="7:7" x14ac:dyDescent="0.3">
      <c r="G184"/>
    </row>
    <row r="185" spans="7:7" x14ac:dyDescent="0.3">
      <c r="G185"/>
    </row>
    <row r="186" spans="7:7" x14ac:dyDescent="0.3">
      <c r="G186"/>
    </row>
    <row r="187" spans="7:7" x14ac:dyDescent="0.3">
      <c r="G187"/>
    </row>
    <row r="188" spans="7:7" x14ac:dyDescent="0.3">
      <c r="G188"/>
    </row>
    <row r="189" spans="7:7" x14ac:dyDescent="0.3">
      <c r="G189"/>
    </row>
    <row r="190" spans="7:7" x14ac:dyDescent="0.3">
      <c r="G190"/>
    </row>
    <row r="191" spans="7:7" x14ac:dyDescent="0.3">
      <c r="G191"/>
    </row>
    <row r="192" spans="7:7" x14ac:dyDescent="0.3">
      <c r="G192"/>
    </row>
    <row r="193" spans="7:7" x14ac:dyDescent="0.3">
      <c r="G193"/>
    </row>
    <row r="194" spans="7:7" x14ac:dyDescent="0.3">
      <c r="G194"/>
    </row>
    <row r="195" spans="7:7" x14ac:dyDescent="0.3">
      <c r="G195"/>
    </row>
    <row r="196" spans="7:7" x14ac:dyDescent="0.3">
      <c r="G196"/>
    </row>
    <row r="197" spans="7:7" x14ac:dyDescent="0.3">
      <c r="G197"/>
    </row>
    <row r="198" spans="7:7" x14ac:dyDescent="0.3">
      <c r="G198"/>
    </row>
    <row r="199" spans="7:7" x14ac:dyDescent="0.3">
      <c r="G199"/>
    </row>
    <row r="200" spans="7:7" x14ac:dyDescent="0.3">
      <c r="G200"/>
    </row>
    <row r="201" spans="7:7" x14ac:dyDescent="0.3">
      <c r="G201"/>
    </row>
    <row r="202" spans="7:7" x14ac:dyDescent="0.3">
      <c r="G202"/>
    </row>
    <row r="203" spans="7:7" x14ac:dyDescent="0.3">
      <c r="G203"/>
    </row>
    <row r="204" spans="7:7" x14ac:dyDescent="0.3">
      <c r="G204"/>
    </row>
    <row r="205" spans="7:7" x14ac:dyDescent="0.3">
      <c r="G205"/>
    </row>
    <row r="206" spans="7:7" x14ac:dyDescent="0.3">
      <c r="G206"/>
    </row>
    <row r="207" spans="7:7" x14ac:dyDescent="0.3">
      <c r="G207"/>
    </row>
    <row r="208" spans="7:7" x14ac:dyDescent="0.3">
      <c r="G208"/>
    </row>
    <row r="209" spans="7:7" x14ac:dyDescent="0.3">
      <c r="G209"/>
    </row>
    <row r="210" spans="7:7" x14ac:dyDescent="0.3">
      <c r="G210"/>
    </row>
    <row r="211" spans="7:7" x14ac:dyDescent="0.3">
      <c r="G211"/>
    </row>
    <row r="212" spans="7:7" x14ac:dyDescent="0.3">
      <c r="G212"/>
    </row>
    <row r="213" spans="7:7" x14ac:dyDescent="0.3">
      <c r="G213"/>
    </row>
    <row r="214" spans="7:7" x14ac:dyDescent="0.3">
      <c r="G214"/>
    </row>
    <row r="215" spans="7:7" x14ac:dyDescent="0.3">
      <c r="G215"/>
    </row>
    <row r="216" spans="7:7" x14ac:dyDescent="0.3">
      <c r="G216"/>
    </row>
    <row r="217" spans="7:7" x14ac:dyDescent="0.3">
      <c r="G217"/>
    </row>
    <row r="218" spans="7:7" x14ac:dyDescent="0.3">
      <c r="G218"/>
    </row>
    <row r="219" spans="7:7" x14ac:dyDescent="0.3">
      <c r="G219"/>
    </row>
    <row r="220" spans="7:7" x14ac:dyDescent="0.3">
      <c r="G220"/>
    </row>
    <row r="221" spans="7:7" x14ac:dyDescent="0.3">
      <c r="G221"/>
    </row>
    <row r="222" spans="7:7" x14ac:dyDescent="0.3">
      <c r="G222"/>
    </row>
    <row r="223" spans="7:7" x14ac:dyDescent="0.3">
      <c r="G223"/>
    </row>
    <row r="224" spans="7:7" x14ac:dyDescent="0.3">
      <c r="G224"/>
    </row>
    <row r="225" spans="7:7" x14ac:dyDescent="0.3">
      <c r="G225"/>
    </row>
    <row r="226" spans="7:7" x14ac:dyDescent="0.3">
      <c r="G226"/>
    </row>
    <row r="227" spans="7:7" x14ac:dyDescent="0.3">
      <c r="G227"/>
    </row>
    <row r="228" spans="7:7" x14ac:dyDescent="0.3">
      <c r="G228"/>
    </row>
    <row r="229" spans="7:7" x14ac:dyDescent="0.3">
      <c r="G229"/>
    </row>
    <row r="230" spans="7:7" x14ac:dyDescent="0.3">
      <c r="G230"/>
    </row>
    <row r="231" spans="7:7" x14ac:dyDescent="0.3">
      <c r="G231"/>
    </row>
    <row r="232" spans="7:7" x14ac:dyDescent="0.3">
      <c r="G232"/>
    </row>
    <row r="233" spans="7:7" x14ac:dyDescent="0.3">
      <c r="G233"/>
    </row>
    <row r="234" spans="7:7" x14ac:dyDescent="0.3">
      <c r="G234"/>
    </row>
    <row r="235" spans="7:7" x14ac:dyDescent="0.3">
      <c r="G235"/>
    </row>
    <row r="236" spans="7:7" x14ac:dyDescent="0.3">
      <c r="G236"/>
    </row>
    <row r="237" spans="7:7" x14ac:dyDescent="0.3">
      <c r="G237"/>
    </row>
    <row r="238" spans="7:7" x14ac:dyDescent="0.3">
      <c r="G238"/>
    </row>
    <row r="239" spans="7:7" x14ac:dyDescent="0.3">
      <c r="G239"/>
    </row>
    <row r="240" spans="7:7" x14ac:dyDescent="0.3">
      <c r="G240"/>
    </row>
    <row r="241" spans="7:7" x14ac:dyDescent="0.3">
      <c r="G241"/>
    </row>
    <row r="242" spans="7:7" x14ac:dyDescent="0.3">
      <c r="G242"/>
    </row>
    <row r="243" spans="7:7" x14ac:dyDescent="0.3">
      <c r="G243"/>
    </row>
    <row r="244" spans="7:7" x14ac:dyDescent="0.3">
      <c r="G244"/>
    </row>
    <row r="245" spans="7:7" x14ac:dyDescent="0.3">
      <c r="G245"/>
    </row>
    <row r="246" spans="7:7" x14ac:dyDescent="0.3">
      <c r="G246"/>
    </row>
    <row r="247" spans="7:7" x14ac:dyDescent="0.3">
      <c r="G247"/>
    </row>
    <row r="248" spans="7:7" x14ac:dyDescent="0.3">
      <c r="G248"/>
    </row>
    <row r="249" spans="7:7" x14ac:dyDescent="0.3">
      <c r="G249"/>
    </row>
    <row r="250" spans="7:7" x14ac:dyDescent="0.3">
      <c r="G250"/>
    </row>
    <row r="251" spans="7:7" x14ac:dyDescent="0.3">
      <c r="G251"/>
    </row>
    <row r="252" spans="7:7" x14ac:dyDescent="0.3">
      <c r="G252"/>
    </row>
    <row r="253" spans="7:7" x14ac:dyDescent="0.3">
      <c r="G253"/>
    </row>
    <row r="254" spans="7:7" x14ac:dyDescent="0.3">
      <c r="G254"/>
    </row>
    <row r="255" spans="7:7" x14ac:dyDescent="0.3">
      <c r="G255"/>
    </row>
    <row r="256" spans="7:7" x14ac:dyDescent="0.3">
      <c r="G256"/>
    </row>
    <row r="257" spans="7:7" x14ac:dyDescent="0.3">
      <c r="G257"/>
    </row>
    <row r="258" spans="7:7" x14ac:dyDescent="0.3">
      <c r="G258"/>
    </row>
    <row r="259" spans="7:7" x14ac:dyDescent="0.3">
      <c r="G259"/>
    </row>
    <row r="260" spans="7:7" x14ac:dyDescent="0.3">
      <c r="G260"/>
    </row>
    <row r="261" spans="7:7" x14ac:dyDescent="0.3">
      <c r="G261"/>
    </row>
    <row r="262" spans="7:7" x14ac:dyDescent="0.3">
      <c r="G262"/>
    </row>
    <row r="263" spans="7:7" x14ac:dyDescent="0.3">
      <c r="G263"/>
    </row>
    <row r="264" spans="7:7" x14ac:dyDescent="0.3">
      <c r="G264"/>
    </row>
    <row r="265" spans="7:7" x14ac:dyDescent="0.3">
      <c r="G265"/>
    </row>
    <row r="266" spans="7:7" x14ac:dyDescent="0.3">
      <c r="G266"/>
    </row>
    <row r="267" spans="7:7" x14ac:dyDescent="0.3">
      <c r="G267"/>
    </row>
    <row r="268" spans="7:7" x14ac:dyDescent="0.3">
      <c r="G268"/>
    </row>
    <row r="269" spans="7:7" x14ac:dyDescent="0.3">
      <c r="G269"/>
    </row>
    <row r="270" spans="7:7" x14ac:dyDescent="0.3">
      <c r="G270"/>
    </row>
    <row r="271" spans="7:7" x14ac:dyDescent="0.3">
      <c r="G271"/>
    </row>
    <row r="272" spans="7:7" x14ac:dyDescent="0.3">
      <c r="G272"/>
    </row>
    <row r="273" spans="7:7" x14ac:dyDescent="0.3">
      <c r="G273"/>
    </row>
    <row r="274" spans="7:7" x14ac:dyDescent="0.3">
      <c r="G274"/>
    </row>
    <row r="275" spans="7:7" x14ac:dyDescent="0.3">
      <c r="G275"/>
    </row>
    <row r="276" spans="7:7" x14ac:dyDescent="0.3">
      <c r="G276"/>
    </row>
    <row r="277" spans="7:7" x14ac:dyDescent="0.3">
      <c r="G277"/>
    </row>
    <row r="278" spans="7:7" x14ac:dyDescent="0.3">
      <c r="G278"/>
    </row>
    <row r="279" spans="7:7" x14ac:dyDescent="0.3">
      <c r="G279"/>
    </row>
    <row r="280" spans="7:7" x14ac:dyDescent="0.3">
      <c r="G280"/>
    </row>
    <row r="281" spans="7:7" x14ac:dyDescent="0.3">
      <c r="G281"/>
    </row>
    <row r="282" spans="7:7" x14ac:dyDescent="0.3">
      <c r="G282"/>
    </row>
    <row r="283" spans="7:7" x14ac:dyDescent="0.3">
      <c r="G283"/>
    </row>
    <row r="284" spans="7:7" x14ac:dyDescent="0.3">
      <c r="G284"/>
    </row>
    <row r="285" spans="7:7" x14ac:dyDescent="0.3">
      <c r="G285"/>
    </row>
    <row r="286" spans="7:7" x14ac:dyDescent="0.3">
      <c r="G286"/>
    </row>
    <row r="287" spans="7:7" x14ac:dyDescent="0.3">
      <c r="G287"/>
    </row>
    <row r="288" spans="7:7" x14ac:dyDescent="0.3">
      <c r="G288"/>
    </row>
    <row r="289" spans="7:7" x14ac:dyDescent="0.3">
      <c r="G289"/>
    </row>
    <row r="290" spans="7:7" x14ac:dyDescent="0.3">
      <c r="G290"/>
    </row>
    <row r="291" spans="7:7" x14ac:dyDescent="0.3">
      <c r="G291"/>
    </row>
    <row r="292" spans="7:7" x14ac:dyDescent="0.3">
      <c r="G292"/>
    </row>
    <row r="293" spans="7:7" x14ac:dyDescent="0.3">
      <c r="G293"/>
    </row>
    <row r="294" spans="7:7" x14ac:dyDescent="0.3">
      <c r="G294"/>
    </row>
    <row r="295" spans="7:7" x14ac:dyDescent="0.3">
      <c r="G295"/>
    </row>
    <row r="296" spans="7:7" x14ac:dyDescent="0.3">
      <c r="G296"/>
    </row>
    <row r="297" spans="7:7" x14ac:dyDescent="0.3">
      <c r="G297"/>
    </row>
    <row r="298" spans="7:7" x14ac:dyDescent="0.3">
      <c r="G298"/>
    </row>
    <row r="299" spans="7:7" x14ac:dyDescent="0.3">
      <c r="G299"/>
    </row>
    <row r="300" spans="7:7" x14ac:dyDescent="0.3">
      <c r="G300"/>
    </row>
    <row r="301" spans="7:7" x14ac:dyDescent="0.3">
      <c r="G301"/>
    </row>
    <row r="302" spans="7:7" x14ac:dyDescent="0.3">
      <c r="G302"/>
    </row>
    <row r="303" spans="7:7" x14ac:dyDescent="0.3">
      <c r="G303"/>
    </row>
    <row r="304" spans="7:7" x14ac:dyDescent="0.3">
      <c r="G304"/>
    </row>
    <row r="305" spans="7:7" x14ac:dyDescent="0.3">
      <c r="G305"/>
    </row>
    <row r="306" spans="7:7" x14ac:dyDescent="0.3">
      <c r="G306"/>
    </row>
    <row r="307" spans="7:7" x14ac:dyDescent="0.3">
      <c r="G307"/>
    </row>
    <row r="308" spans="7:7" x14ac:dyDescent="0.3">
      <c r="G308"/>
    </row>
    <row r="309" spans="7:7" x14ac:dyDescent="0.3">
      <c r="G309"/>
    </row>
    <row r="310" spans="7:7" x14ac:dyDescent="0.3">
      <c r="G310"/>
    </row>
    <row r="311" spans="7:7" x14ac:dyDescent="0.3">
      <c r="G311"/>
    </row>
    <row r="312" spans="7:7" x14ac:dyDescent="0.3">
      <c r="G312"/>
    </row>
    <row r="313" spans="7:7" x14ac:dyDescent="0.3">
      <c r="G313"/>
    </row>
    <row r="314" spans="7:7" x14ac:dyDescent="0.3">
      <c r="G314"/>
    </row>
    <row r="315" spans="7:7" x14ac:dyDescent="0.3">
      <c r="G315"/>
    </row>
    <row r="316" spans="7:7" x14ac:dyDescent="0.3">
      <c r="G316"/>
    </row>
    <row r="317" spans="7:7" x14ac:dyDescent="0.3">
      <c r="G317"/>
    </row>
    <row r="318" spans="7:7" x14ac:dyDescent="0.3">
      <c r="G318"/>
    </row>
    <row r="319" spans="7:7" x14ac:dyDescent="0.3">
      <c r="G319"/>
    </row>
    <row r="320" spans="7:7" x14ac:dyDescent="0.3">
      <c r="G320"/>
    </row>
    <row r="321" spans="7:7" x14ac:dyDescent="0.3">
      <c r="G321"/>
    </row>
    <row r="322" spans="7:7" x14ac:dyDescent="0.3">
      <c r="G322"/>
    </row>
    <row r="323" spans="7:7" x14ac:dyDescent="0.3">
      <c r="G323"/>
    </row>
    <row r="324" spans="7:7" x14ac:dyDescent="0.3">
      <c r="G324"/>
    </row>
    <row r="325" spans="7:7" x14ac:dyDescent="0.3">
      <c r="G325"/>
    </row>
    <row r="326" spans="7:7" x14ac:dyDescent="0.3">
      <c r="G326"/>
    </row>
    <row r="327" spans="7:7" x14ac:dyDescent="0.3">
      <c r="G327"/>
    </row>
    <row r="328" spans="7:7" x14ac:dyDescent="0.3">
      <c r="G328"/>
    </row>
    <row r="329" spans="7:7" x14ac:dyDescent="0.3">
      <c r="G329"/>
    </row>
    <row r="330" spans="7:7" x14ac:dyDescent="0.3">
      <c r="G330"/>
    </row>
    <row r="331" spans="7:7" x14ac:dyDescent="0.3">
      <c r="G331"/>
    </row>
    <row r="332" spans="7:7" x14ac:dyDescent="0.3">
      <c r="G332"/>
    </row>
    <row r="333" spans="7:7" x14ac:dyDescent="0.3">
      <c r="G333"/>
    </row>
    <row r="334" spans="7:7" x14ac:dyDescent="0.3">
      <c r="G334"/>
    </row>
    <row r="335" spans="7:7" x14ac:dyDescent="0.3">
      <c r="G335"/>
    </row>
    <row r="336" spans="7:7" x14ac:dyDescent="0.3">
      <c r="G336"/>
    </row>
    <row r="337" spans="7:7" x14ac:dyDescent="0.3">
      <c r="G337"/>
    </row>
    <row r="338" spans="7:7" x14ac:dyDescent="0.3">
      <c r="G338"/>
    </row>
    <row r="339" spans="7:7" x14ac:dyDescent="0.3">
      <c r="G339"/>
    </row>
    <row r="340" spans="7:7" x14ac:dyDescent="0.3">
      <c r="G340"/>
    </row>
    <row r="341" spans="7:7" x14ac:dyDescent="0.3">
      <c r="G341"/>
    </row>
    <row r="342" spans="7:7" x14ac:dyDescent="0.3">
      <c r="G342"/>
    </row>
    <row r="343" spans="7:7" x14ac:dyDescent="0.3">
      <c r="G343"/>
    </row>
    <row r="344" spans="7:7" x14ac:dyDescent="0.3">
      <c r="G344"/>
    </row>
    <row r="345" spans="7:7" x14ac:dyDescent="0.3">
      <c r="G345"/>
    </row>
    <row r="346" spans="7:7" x14ac:dyDescent="0.3">
      <c r="G346"/>
    </row>
    <row r="347" spans="7:7" x14ac:dyDescent="0.3">
      <c r="G347"/>
    </row>
    <row r="348" spans="7:7" x14ac:dyDescent="0.3">
      <c r="G348"/>
    </row>
    <row r="349" spans="7:7" x14ac:dyDescent="0.3">
      <c r="G349"/>
    </row>
    <row r="350" spans="7:7" x14ac:dyDescent="0.3">
      <c r="G350"/>
    </row>
    <row r="351" spans="7:7" x14ac:dyDescent="0.3">
      <c r="G351"/>
    </row>
    <row r="352" spans="7:7" x14ac:dyDescent="0.3">
      <c r="G352"/>
    </row>
    <row r="353" spans="7:7" x14ac:dyDescent="0.3">
      <c r="G353"/>
    </row>
    <row r="354" spans="7:7" x14ac:dyDescent="0.3">
      <c r="G354"/>
    </row>
    <row r="355" spans="7:7" x14ac:dyDescent="0.3">
      <c r="G355"/>
    </row>
    <row r="356" spans="7:7" x14ac:dyDescent="0.3">
      <c r="G356"/>
    </row>
    <row r="357" spans="7:7" x14ac:dyDescent="0.3">
      <c r="G357"/>
    </row>
    <row r="358" spans="7:7" x14ac:dyDescent="0.3">
      <c r="G358"/>
    </row>
    <row r="359" spans="7:7" x14ac:dyDescent="0.3">
      <c r="G359"/>
    </row>
    <row r="360" spans="7:7" x14ac:dyDescent="0.3">
      <c r="G360"/>
    </row>
    <row r="361" spans="7:7" x14ac:dyDescent="0.3">
      <c r="G361"/>
    </row>
    <row r="362" spans="7:7" x14ac:dyDescent="0.3">
      <c r="G362"/>
    </row>
    <row r="363" spans="7:7" x14ac:dyDescent="0.3">
      <c r="G363"/>
    </row>
    <row r="364" spans="7:7" x14ac:dyDescent="0.3">
      <c r="G364"/>
    </row>
    <row r="365" spans="7:7" x14ac:dyDescent="0.3">
      <c r="G365"/>
    </row>
    <row r="366" spans="7:7" x14ac:dyDescent="0.3">
      <c r="G366"/>
    </row>
    <row r="367" spans="7:7" x14ac:dyDescent="0.3">
      <c r="G367"/>
    </row>
    <row r="368" spans="7:7" x14ac:dyDescent="0.3">
      <c r="G368"/>
    </row>
    <row r="369" spans="7:7" x14ac:dyDescent="0.3">
      <c r="G369"/>
    </row>
    <row r="370" spans="7:7" x14ac:dyDescent="0.3">
      <c r="G370"/>
    </row>
    <row r="371" spans="7:7" x14ac:dyDescent="0.3">
      <c r="G371"/>
    </row>
    <row r="372" spans="7:7" x14ac:dyDescent="0.3">
      <c r="G372"/>
    </row>
    <row r="373" spans="7:7" x14ac:dyDescent="0.3">
      <c r="G373"/>
    </row>
    <row r="374" spans="7:7" x14ac:dyDescent="0.3">
      <c r="G374"/>
    </row>
    <row r="375" spans="7:7" x14ac:dyDescent="0.3">
      <c r="G375"/>
    </row>
    <row r="376" spans="7:7" x14ac:dyDescent="0.3">
      <c r="G376"/>
    </row>
    <row r="377" spans="7:7" x14ac:dyDescent="0.3">
      <c r="G377"/>
    </row>
    <row r="378" spans="7:7" x14ac:dyDescent="0.3">
      <c r="G378"/>
    </row>
    <row r="379" spans="7:7" x14ac:dyDescent="0.3">
      <c r="G379"/>
    </row>
    <row r="380" spans="7:7" x14ac:dyDescent="0.3">
      <c r="G380"/>
    </row>
    <row r="381" spans="7:7" x14ac:dyDescent="0.3">
      <c r="G381"/>
    </row>
    <row r="382" spans="7:7" x14ac:dyDescent="0.3">
      <c r="G382"/>
    </row>
    <row r="383" spans="7:7" x14ac:dyDescent="0.3">
      <c r="G383"/>
    </row>
    <row r="384" spans="7:7" x14ac:dyDescent="0.3">
      <c r="G384"/>
    </row>
    <row r="385" spans="7:7" x14ac:dyDescent="0.3">
      <c r="G385"/>
    </row>
    <row r="386" spans="7:7" x14ac:dyDescent="0.3">
      <c r="G386"/>
    </row>
    <row r="387" spans="7:7" x14ac:dyDescent="0.3">
      <c r="G387"/>
    </row>
    <row r="388" spans="7:7" x14ac:dyDescent="0.3">
      <c r="G388"/>
    </row>
    <row r="389" spans="7:7" x14ac:dyDescent="0.3">
      <c r="G389"/>
    </row>
    <row r="390" spans="7:7" x14ac:dyDescent="0.3">
      <c r="G390"/>
    </row>
    <row r="391" spans="7:7" x14ac:dyDescent="0.3">
      <c r="G391"/>
    </row>
    <row r="392" spans="7:7" x14ac:dyDescent="0.3">
      <c r="G392"/>
    </row>
    <row r="393" spans="7:7" x14ac:dyDescent="0.3">
      <c r="G393"/>
    </row>
    <row r="394" spans="7:7" x14ac:dyDescent="0.3">
      <c r="G394"/>
    </row>
    <row r="395" spans="7:7" x14ac:dyDescent="0.3">
      <c r="G395"/>
    </row>
    <row r="396" spans="7:7" x14ac:dyDescent="0.3">
      <c r="G396"/>
    </row>
    <row r="397" spans="7:7" x14ac:dyDescent="0.3">
      <c r="G397"/>
    </row>
    <row r="398" spans="7:7" x14ac:dyDescent="0.3">
      <c r="G398"/>
    </row>
    <row r="399" spans="7:7" x14ac:dyDescent="0.3">
      <c r="G399"/>
    </row>
    <row r="400" spans="7:7" x14ac:dyDescent="0.3">
      <c r="G400"/>
    </row>
    <row r="401" spans="7:7" x14ac:dyDescent="0.3">
      <c r="G401"/>
    </row>
    <row r="402" spans="7:7" x14ac:dyDescent="0.3">
      <c r="G402"/>
    </row>
    <row r="403" spans="7:7" x14ac:dyDescent="0.3">
      <c r="G403"/>
    </row>
    <row r="404" spans="7:7" x14ac:dyDescent="0.3">
      <c r="G404"/>
    </row>
    <row r="405" spans="7:7" x14ac:dyDescent="0.3">
      <c r="G405"/>
    </row>
    <row r="406" spans="7:7" x14ac:dyDescent="0.3">
      <c r="G406"/>
    </row>
    <row r="407" spans="7:7" x14ac:dyDescent="0.3">
      <c r="G407"/>
    </row>
    <row r="408" spans="7:7" x14ac:dyDescent="0.3">
      <c r="G408"/>
    </row>
    <row r="409" spans="7:7" x14ac:dyDescent="0.3">
      <c r="G409"/>
    </row>
    <row r="410" spans="7:7" x14ac:dyDescent="0.3">
      <c r="G410"/>
    </row>
    <row r="411" spans="7:7" x14ac:dyDescent="0.3">
      <c r="G411"/>
    </row>
    <row r="412" spans="7:7" x14ac:dyDescent="0.3">
      <c r="G412"/>
    </row>
    <row r="413" spans="7:7" x14ac:dyDescent="0.3">
      <c r="G413"/>
    </row>
    <row r="414" spans="7:7" x14ac:dyDescent="0.3">
      <c r="G414"/>
    </row>
    <row r="415" spans="7:7" x14ac:dyDescent="0.3">
      <c r="G415"/>
    </row>
    <row r="416" spans="7:7" x14ac:dyDescent="0.3">
      <c r="G416"/>
    </row>
    <row r="417" spans="7:7" x14ac:dyDescent="0.3">
      <c r="G417"/>
    </row>
    <row r="418" spans="7:7" x14ac:dyDescent="0.3">
      <c r="G418"/>
    </row>
    <row r="419" spans="7:7" x14ac:dyDescent="0.3">
      <c r="G419"/>
    </row>
    <row r="420" spans="7:7" x14ac:dyDescent="0.3">
      <c r="G420"/>
    </row>
    <row r="421" spans="7:7" x14ac:dyDescent="0.3">
      <c r="G421"/>
    </row>
    <row r="422" spans="7:7" x14ac:dyDescent="0.3">
      <c r="G422"/>
    </row>
    <row r="423" spans="7:7" x14ac:dyDescent="0.3">
      <c r="G423"/>
    </row>
    <row r="424" spans="7:7" x14ac:dyDescent="0.3">
      <c r="G424"/>
    </row>
    <row r="425" spans="7:7" x14ac:dyDescent="0.3">
      <c r="G425"/>
    </row>
    <row r="426" spans="7:7" x14ac:dyDescent="0.3">
      <c r="G426"/>
    </row>
    <row r="427" spans="7:7" x14ac:dyDescent="0.3">
      <c r="G427"/>
    </row>
    <row r="428" spans="7:7" x14ac:dyDescent="0.3">
      <c r="G428"/>
    </row>
    <row r="429" spans="7:7" x14ac:dyDescent="0.3">
      <c r="G429"/>
    </row>
    <row r="430" spans="7:7" x14ac:dyDescent="0.3">
      <c r="G430"/>
    </row>
    <row r="431" spans="7:7" x14ac:dyDescent="0.3">
      <c r="G431"/>
    </row>
    <row r="432" spans="7:7" x14ac:dyDescent="0.3">
      <c r="G432"/>
    </row>
    <row r="433" spans="7:7" x14ac:dyDescent="0.3">
      <c r="G433"/>
    </row>
    <row r="434" spans="7:7" x14ac:dyDescent="0.3">
      <c r="G434"/>
    </row>
    <row r="435" spans="7:7" x14ac:dyDescent="0.3">
      <c r="G435"/>
    </row>
    <row r="436" spans="7:7" x14ac:dyDescent="0.3">
      <c r="G436"/>
    </row>
    <row r="437" spans="7:7" x14ac:dyDescent="0.3">
      <c r="G437"/>
    </row>
    <row r="438" spans="7:7" x14ac:dyDescent="0.3">
      <c r="G438"/>
    </row>
    <row r="439" spans="7:7" x14ac:dyDescent="0.3">
      <c r="G439"/>
    </row>
    <row r="440" spans="7:7" x14ac:dyDescent="0.3">
      <c r="G440"/>
    </row>
    <row r="441" spans="7:7" x14ac:dyDescent="0.3">
      <c r="G441"/>
    </row>
    <row r="442" spans="7:7" x14ac:dyDescent="0.3">
      <c r="G442"/>
    </row>
    <row r="443" spans="7:7" x14ac:dyDescent="0.3">
      <c r="G443"/>
    </row>
    <row r="444" spans="7:7" x14ac:dyDescent="0.3">
      <c r="G444"/>
    </row>
    <row r="445" spans="7:7" x14ac:dyDescent="0.3">
      <c r="G445"/>
    </row>
    <row r="446" spans="7:7" x14ac:dyDescent="0.3">
      <c r="G446"/>
    </row>
    <row r="447" spans="7:7" x14ac:dyDescent="0.3">
      <c r="G447"/>
    </row>
    <row r="448" spans="7:7" x14ac:dyDescent="0.3">
      <c r="G448"/>
    </row>
    <row r="449" spans="7:7" x14ac:dyDescent="0.3">
      <c r="G449"/>
    </row>
    <row r="450" spans="7:7" x14ac:dyDescent="0.3">
      <c r="G450"/>
    </row>
    <row r="451" spans="7:7" x14ac:dyDescent="0.3">
      <c r="G451"/>
    </row>
    <row r="452" spans="7:7" x14ac:dyDescent="0.3">
      <c r="G452"/>
    </row>
    <row r="453" spans="7:7" x14ac:dyDescent="0.3">
      <c r="G453"/>
    </row>
    <row r="454" spans="7:7" x14ac:dyDescent="0.3">
      <c r="G454"/>
    </row>
    <row r="455" spans="7:7" x14ac:dyDescent="0.3">
      <c r="G455"/>
    </row>
    <row r="456" spans="7:7" x14ac:dyDescent="0.3">
      <c r="G456"/>
    </row>
    <row r="457" spans="7:7" x14ac:dyDescent="0.3">
      <c r="G457"/>
    </row>
    <row r="458" spans="7:7" x14ac:dyDescent="0.3">
      <c r="G458"/>
    </row>
    <row r="459" spans="7:7" x14ac:dyDescent="0.3">
      <c r="G459"/>
    </row>
    <row r="460" spans="7:7" x14ac:dyDescent="0.3">
      <c r="G460"/>
    </row>
    <row r="461" spans="7:7" x14ac:dyDescent="0.3">
      <c r="G461"/>
    </row>
    <row r="462" spans="7:7" x14ac:dyDescent="0.3">
      <c r="G462"/>
    </row>
    <row r="463" spans="7:7" x14ac:dyDescent="0.3">
      <c r="G463"/>
    </row>
    <row r="464" spans="7:7" x14ac:dyDescent="0.3">
      <c r="G464"/>
    </row>
    <row r="465" spans="7:7" x14ac:dyDescent="0.3">
      <c r="G465"/>
    </row>
    <row r="466" spans="7:7" x14ac:dyDescent="0.3">
      <c r="G466"/>
    </row>
    <row r="467" spans="7:7" x14ac:dyDescent="0.3">
      <c r="G467"/>
    </row>
    <row r="468" spans="7:7" x14ac:dyDescent="0.3">
      <c r="G468"/>
    </row>
    <row r="469" spans="7:7" x14ac:dyDescent="0.3">
      <c r="G469"/>
    </row>
    <row r="470" spans="7:7" x14ac:dyDescent="0.3">
      <c r="G470"/>
    </row>
    <row r="471" spans="7:7" x14ac:dyDescent="0.3">
      <c r="G471"/>
    </row>
    <row r="472" spans="7:7" x14ac:dyDescent="0.3">
      <c r="G472"/>
    </row>
    <row r="473" spans="7:7" x14ac:dyDescent="0.3">
      <c r="G473"/>
    </row>
    <row r="474" spans="7:7" x14ac:dyDescent="0.3">
      <c r="G474"/>
    </row>
    <row r="475" spans="7:7" x14ac:dyDescent="0.3">
      <c r="G475"/>
    </row>
    <row r="476" spans="7:7" x14ac:dyDescent="0.3">
      <c r="G476"/>
    </row>
    <row r="477" spans="7:7" x14ac:dyDescent="0.3">
      <c r="G477"/>
    </row>
    <row r="478" spans="7:7" x14ac:dyDescent="0.3">
      <c r="G478"/>
    </row>
    <row r="479" spans="7:7" x14ac:dyDescent="0.3">
      <c r="G479"/>
    </row>
    <row r="480" spans="7:7" x14ac:dyDescent="0.3">
      <c r="G480"/>
    </row>
    <row r="481" spans="7:7" x14ac:dyDescent="0.3">
      <c r="G481"/>
    </row>
    <row r="482" spans="7:7" x14ac:dyDescent="0.3">
      <c r="G482"/>
    </row>
    <row r="483" spans="7:7" x14ac:dyDescent="0.3">
      <c r="G483"/>
    </row>
    <row r="484" spans="7:7" x14ac:dyDescent="0.3">
      <c r="G484"/>
    </row>
    <row r="485" spans="7:7" x14ac:dyDescent="0.3">
      <c r="G485"/>
    </row>
    <row r="486" spans="7:7" x14ac:dyDescent="0.3">
      <c r="G486"/>
    </row>
    <row r="487" spans="7:7" x14ac:dyDescent="0.3">
      <c r="G487"/>
    </row>
    <row r="488" spans="7:7" x14ac:dyDescent="0.3">
      <c r="G488"/>
    </row>
    <row r="489" spans="7:7" x14ac:dyDescent="0.3">
      <c r="G489"/>
    </row>
    <row r="490" spans="7:7" x14ac:dyDescent="0.3">
      <c r="G490"/>
    </row>
    <row r="491" spans="7:7" x14ac:dyDescent="0.3">
      <c r="G491"/>
    </row>
    <row r="492" spans="7:7" x14ac:dyDescent="0.3">
      <c r="G492"/>
    </row>
    <row r="493" spans="7:7" x14ac:dyDescent="0.3">
      <c r="G493"/>
    </row>
    <row r="494" spans="7:7" x14ac:dyDescent="0.3">
      <c r="G494"/>
    </row>
    <row r="495" spans="7:7" x14ac:dyDescent="0.3">
      <c r="G495"/>
    </row>
    <row r="496" spans="7:7" x14ac:dyDescent="0.3">
      <c r="G496"/>
    </row>
    <row r="497" spans="7:7" x14ac:dyDescent="0.3">
      <c r="G497"/>
    </row>
    <row r="498" spans="7:7" x14ac:dyDescent="0.3">
      <c r="G498"/>
    </row>
    <row r="499" spans="7:7" x14ac:dyDescent="0.3">
      <c r="G499"/>
    </row>
    <row r="500" spans="7:7" x14ac:dyDescent="0.3">
      <c r="G500"/>
    </row>
    <row r="501" spans="7:7" x14ac:dyDescent="0.3">
      <c r="G501"/>
    </row>
    <row r="502" spans="7:7" x14ac:dyDescent="0.3">
      <c r="G502"/>
    </row>
    <row r="503" spans="7:7" x14ac:dyDescent="0.3">
      <c r="G503"/>
    </row>
    <row r="504" spans="7:7" x14ac:dyDescent="0.3">
      <c r="G504"/>
    </row>
    <row r="505" spans="7:7" x14ac:dyDescent="0.3">
      <c r="G505"/>
    </row>
    <row r="506" spans="7:7" x14ac:dyDescent="0.3">
      <c r="G506"/>
    </row>
    <row r="507" spans="7:7" x14ac:dyDescent="0.3">
      <c r="G507"/>
    </row>
    <row r="508" spans="7:7" x14ac:dyDescent="0.3">
      <c r="G508"/>
    </row>
    <row r="509" spans="7:7" x14ac:dyDescent="0.3">
      <c r="G509"/>
    </row>
    <row r="510" spans="7:7" x14ac:dyDescent="0.3">
      <c r="G510"/>
    </row>
    <row r="511" spans="7:7" x14ac:dyDescent="0.3">
      <c r="G511"/>
    </row>
    <row r="512" spans="7:7" x14ac:dyDescent="0.3">
      <c r="G512"/>
    </row>
    <row r="513" spans="7:7" x14ac:dyDescent="0.3">
      <c r="G513"/>
    </row>
    <row r="514" spans="7:7" x14ac:dyDescent="0.3">
      <c r="G514"/>
    </row>
    <row r="515" spans="7:7" x14ac:dyDescent="0.3">
      <c r="G515"/>
    </row>
    <row r="516" spans="7:7" x14ac:dyDescent="0.3">
      <c r="G516"/>
    </row>
    <row r="517" spans="7:7" x14ac:dyDescent="0.3">
      <c r="G517"/>
    </row>
    <row r="518" spans="7:7" x14ac:dyDescent="0.3">
      <c r="G518"/>
    </row>
    <row r="519" spans="7:7" x14ac:dyDescent="0.3">
      <c r="G519"/>
    </row>
    <row r="520" spans="7:7" x14ac:dyDescent="0.3">
      <c r="G520"/>
    </row>
    <row r="521" spans="7:7" x14ac:dyDescent="0.3">
      <c r="G521"/>
    </row>
    <row r="522" spans="7:7" x14ac:dyDescent="0.3">
      <c r="G522"/>
    </row>
    <row r="523" spans="7:7" x14ac:dyDescent="0.3">
      <c r="G523"/>
    </row>
    <row r="524" spans="7:7" x14ac:dyDescent="0.3">
      <c r="G524"/>
    </row>
    <row r="525" spans="7:7" x14ac:dyDescent="0.3">
      <c r="G525"/>
    </row>
    <row r="526" spans="7:7" x14ac:dyDescent="0.3">
      <c r="G526"/>
    </row>
    <row r="527" spans="7:7" x14ac:dyDescent="0.3">
      <c r="G527"/>
    </row>
    <row r="528" spans="7:7" x14ac:dyDescent="0.3">
      <c r="G528"/>
    </row>
    <row r="529" spans="7:7" x14ac:dyDescent="0.3">
      <c r="G529"/>
    </row>
    <row r="530" spans="7:7" x14ac:dyDescent="0.3">
      <c r="G530"/>
    </row>
    <row r="531" spans="7:7" x14ac:dyDescent="0.3">
      <c r="G531"/>
    </row>
    <row r="532" spans="7:7" x14ac:dyDescent="0.3">
      <c r="G532"/>
    </row>
    <row r="533" spans="7:7" x14ac:dyDescent="0.3">
      <c r="G533"/>
    </row>
    <row r="534" spans="7:7" x14ac:dyDescent="0.3">
      <c r="G534"/>
    </row>
    <row r="535" spans="7:7" x14ac:dyDescent="0.3">
      <c r="G535"/>
    </row>
    <row r="536" spans="7:7" x14ac:dyDescent="0.3">
      <c r="G536"/>
    </row>
    <row r="537" spans="7:7" x14ac:dyDescent="0.3">
      <c r="G537"/>
    </row>
    <row r="538" spans="7:7" x14ac:dyDescent="0.3">
      <c r="G538"/>
    </row>
    <row r="539" spans="7:7" x14ac:dyDescent="0.3">
      <c r="G539"/>
    </row>
    <row r="540" spans="7:7" x14ac:dyDescent="0.3">
      <c r="G540"/>
    </row>
    <row r="541" spans="7:7" x14ac:dyDescent="0.3">
      <c r="G541"/>
    </row>
    <row r="542" spans="7:7" x14ac:dyDescent="0.3">
      <c r="G542"/>
    </row>
    <row r="543" spans="7:7" x14ac:dyDescent="0.3">
      <c r="G543"/>
    </row>
    <row r="544" spans="7:7" x14ac:dyDescent="0.3">
      <c r="G544"/>
    </row>
    <row r="545" spans="7:7" x14ac:dyDescent="0.3">
      <c r="G545"/>
    </row>
    <row r="546" spans="7:7" x14ac:dyDescent="0.3">
      <c r="G546"/>
    </row>
    <row r="547" spans="7:7" x14ac:dyDescent="0.3">
      <c r="G547"/>
    </row>
    <row r="548" spans="7:7" x14ac:dyDescent="0.3">
      <c r="G548"/>
    </row>
    <row r="549" spans="7:7" x14ac:dyDescent="0.3">
      <c r="G549"/>
    </row>
    <row r="550" spans="7:7" x14ac:dyDescent="0.3">
      <c r="G550"/>
    </row>
    <row r="551" spans="7:7" x14ac:dyDescent="0.3">
      <c r="G551"/>
    </row>
    <row r="552" spans="7:7" x14ac:dyDescent="0.3">
      <c r="G552"/>
    </row>
    <row r="553" spans="7:7" x14ac:dyDescent="0.3">
      <c r="G553"/>
    </row>
    <row r="554" spans="7:7" x14ac:dyDescent="0.3">
      <c r="G554"/>
    </row>
    <row r="555" spans="7:7" x14ac:dyDescent="0.3">
      <c r="G555"/>
    </row>
    <row r="556" spans="7:7" x14ac:dyDescent="0.3">
      <c r="G556"/>
    </row>
    <row r="557" spans="7:7" x14ac:dyDescent="0.3">
      <c r="G557"/>
    </row>
    <row r="558" spans="7:7" x14ac:dyDescent="0.3">
      <c r="G558"/>
    </row>
    <row r="559" spans="7:7" x14ac:dyDescent="0.3">
      <c r="G559"/>
    </row>
    <row r="560" spans="7:7" x14ac:dyDescent="0.3">
      <c r="G560"/>
    </row>
    <row r="561" spans="7:7" x14ac:dyDescent="0.3">
      <c r="G561"/>
    </row>
    <row r="562" spans="7:7" x14ac:dyDescent="0.3">
      <c r="G562"/>
    </row>
    <row r="563" spans="7:7" x14ac:dyDescent="0.3">
      <c r="G563"/>
    </row>
    <row r="564" spans="7:7" x14ac:dyDescent="0.3">
      <c r="G564"/>
    </row>
    <row r="565" spans="7:7" x14ac:dyDescent="0.3">
      <c r="G565"/>
    </row>
    <row r="566" spans="7:7" x14ac:dyDescent="0.3">
      <c r="G566"/>
    </row>
    <row r="567" spans="7:7" x14ac:dyDescent="0.3">
      <c r="G567"/>
    </row>
    <row r="568" spans="7:7" x14ac:dyDescent="0.3">
      <c r="G568"/>
    </row>
    <row r="569" spans="7:7" x14ac:dyDescent="0.3">
      <c r="G569"/>
    </row>
    <row r="570" spans="7:7" x14ac:dyDescent="0.3">
      <c r="G570"/>
    </row>
    <row r="571" spans="7:7" x14ac:dyDescent="0.3">
      <c r="G571"/>
    </row>
    <row r="572" spans="7:7" x14ac:dyDescent="0.3">
      <c r="G572"/>
    </row>
    <row r="573" spans="7:7" x14ac:dyDescent="0.3">
      <c r="G573"/>
    </row>
    <row r="574" spans="7:7" x14ac:dyDescent="0.3">
      <c r="G574"/>
    </row>
    <row r="575" spans="7:7" x14ac:dyDescent="0.3">
      <c r="G575"/>
    </row>
    <row r="576" spans="7:7" x14ac:dyDescent="0.3">
      <c r="G576"/>
    </row>
    <row r="577" spans="7:7" x14ac:dyDescent="0.3">
      <c r="G577"/>
    </row>
    <row r="578" spans="7:7" x14ac:dyDescent="0.3">
      <c r="G578"/>
    </row>
    <row r="579" spans="7:7" x14ac:dyDescent="0.3">
      <c r="G579"/>
    </row>
    <row r="580" spans="7:7" x14ac:dyDescent="0.3">
      <c r="G580"/>
    </row>
    <row r="581" spans="7:7" x14ac:dyDescent="0.3">
      <c r="G581"/>
    </row>
    <row r="582" spans="7:7" x14ac:dyDescent="0.3">
      <c r="G582"/>
    </row>
    <row r="583" spans="7:7" x14ac:dyDescent="0.3">
      <c r="G583"/>
    </row>
    <row r="584" spans="7:7" x14ac:dyDescent="0.3">
      <c r="G584"/>
    </row>
    <row r="585" spans="7:7" x14ac:dyDescent="0.3">
      <c r="G585"/>
    </row>
    <row r="586" spans="7:7" x14ac:dyDescent="0.3">
      <c r="G586"/>
    </row>
    <row r="587" spans="7:7" x14ac:dyDescent="0.3">
      <c r="G587"/>
    </row>
    <row r="588" spans="7:7" x14ac:dyDescent="0.3">
      <c r="G588"/>
    </row>
    <row r="589" spans="7:7" x14ac:dyDescent="0.3">
      <c r="G589"/>
    </row>
    <row r="590" spans="7:7" x14ac:dyDescent="0.3">
      <c r="G590"/>
    </row>
    <row r="591" spans="7:7" x14ac:dyDescent="0.3">
      <c r="G591"/>
    </row>
    <row r="592" spans="7:7" x14ac:dyDescent="0.3">
      <c r="G592"/>
    </row>
    <row r="593" spans="7:7" x14ac:dyDescent="0.3">
      <c r="G593"/>
    </row>
    <row r="594" spans="7:7" x14ac:dyDescent="0.3">
      <c r="G594"/>
    </row>
    <row r="595" spans="7:7" x14ac:dyDescent="0.3">
      <c r="G595"/>
    </row>
    <row r="596" spans="7:7" x14ac:dyDescent="0.3">
      <c r="G596"/>
    </row>
    <row r="597" spans="7:7" x14ac:dyDescent="0.3">
      <c r="G597"/>
    </row>
    <row r="598" spans="7:7" x14ac:dyDescent="0.3">
      <c r="G598"/>
    </row>
    <row r="599" spans="7:7" x14ac:dyDescent="0.3">
      <c r="G599"/>
    </row>
    <row r="600" spans="7:7" x14ac:dyDescent="0.3">
      <c r="G600"/>
    </row>
    <row r="601" spans="7:7" x14ac:dyDescent="0.3">
      <c r="G601"/>
    </row>
    <row r="602" spans="7:7" x14ac:dyDescent="0.3">
      <c r="G602"/>
    </row>
    <row r="603" spans="7:7" x14ac:dyDescent="0.3">
      <c r="G603"/>
    </row>
    <row r="604" spans="7:7" x14ac:dyDescent="0.3">
      <c r="G604"/>
    </row>
    <row r="605" spans="7:7" x14ac:dyDescent="0.3">
      <c r="G605"/>
    </row>
    <row r="606" spans="7:7" x14ac:dyDescent="0.3">
      <c r="G606"/>
    </row>
    <row r="607" spans="7:7" x14ac:dyDescent="0.3">
      <c r="G607"/>
    </row>
    <row r="608" spans="7:7" x14ac:dyDescent="0.3">
      <c r="G608"/>
    </row>
    <row r="609" spans="7:7" x14ac:dyDescent="0.3">
      <c r="G609"/>
    </row>
    <row r="610" spans="7:7" x14ac:dyDescent="0.3">
      <c r="G610"/>
    </row>
    <row r="611" spans="7:7" x14ac:dyDescent="0.3">
      <c r="G611"/>
    </row>
    <row r="612" spans="7:7" x14ac:dyDescent="0.3">
      <c r="G612"/>
    </row>
    <row r="613" spans="7:7" x14ac:dyDescent="0.3">
      <c r="G613"/>
    </row>
    <row r="614" spans="7:7" x14ac:dyDescent="0.3">
      <c r="G614"/>
    </row>
    <row r="615" spans="7:7" x14ac:dyDescent="0.3">
      <c r="G615"/>
    </row>
    <row r="616" spans="7:7" x14ac:dyDescent="0.3">
      <c r="G616"/>
    </row>
    <row r="617" spans="7:7" x14ac:dyDescent="0.3">
      <c r="G617"/>
    </row>
    <row r="618" spans="7:7" x14ac:dyDescent="0.3">
      <c r="G618"/>
    </row>
    <row r="619" spans="7:7" x14ac:dyDescent="0.3">
      <c r="G619"/>
    </row>
    <row r="620" spans="7:7" x14ac:dyDescent="0.3">
      <c r="G620"/>
    </row>
    <row r="621" spans="7:7" x14ac:dyDescent="0.3">
      <c r="G621"/>
    </row>
    <row r="622" spans="7:7" x14ac:dyDescent="0.3">
      <c r="G622"/>
    </row>
    <row r="623" spans="7:7" x14ac:dyDescent="0.3">
      <c r="G623"/>
    </row>
    <row r="624" spans="7:7" x14ac:dyDescent="0.3">
      <c r="G624"/>
    </row>
    <row r="625" spans="7:7" x14ac:dyDescent="0.3">
      <c r="G625"/>
    </row>
    <row r="626" spans="7:7" x14ac:dyDescent="0.3">
      <c r="G626"/>
    </row>
    <row r="627" spans="7:7" x14ac:dyDescent="0.3">
      <c r="G627"/>
    </row>
    <row r="628" spans="7:7" x14ac:dyDescent="0.3">
      <c r="G628"/>
    </row>
    <row r="629" spans="7:7" x14ac:dyDescent="0.3">
      <c r="G629"/>
    </row>
    <row r="630" spans="7:7" x14ac:dyDescent="0.3">
      <c r="G630"/>
    </row>
    <row r="631" spans="7:7" x14ac:dyDescent="0.3">
      <c r="G631"/>
    </row>
    <row r="632" spans="7:7" x14ac:dyDescent="0.3">
      <c r="G632"/>
    </row>
    <row r="633" spans="7:7" x14ac:dyDescent="0.3">
      <c r="G633"/>
    </row>
    <row r="634" spans="7:7" x14ac:dyDescent="0.3">
      <c r="G634"/>
    </row>
    <row r="635" spans="7:7" x14ac:dyDescent="0.3">
      <c r="G635"/>
    </row>
    <row r="636" spans="7:7" x14ac:dyDescent="0.3">
      <c r="G636"/>
    </row>
    <row r="637" spans="7:7" x14ac:dyDescent="0.3">
      <c r="G637"/>
    </row>
    <row r="638" spans="7:7" x14ac:dyDescent="0.3">
      <c r="G638"/>
    </row>
    <row r="639" spans="7:7" x14ac:dyDescent="0.3">
      <c r="G639"/>
    </row>
    <row r="640" spans="7:7" x14ac:dyDescent="0.3">
      <c r="G640"/>
    </row>
    <row r="641" spans="7:7" x14ac:dyDescent="0.3">
      <c r="G641"/>
    </row>
    <row r="642" spans="7:7" x14ac:dyDescent="0.3">
      <c r="G642"/>
    </row>
    <row r="643" spans="7:7" x14ac:dyDescent="0.3">
      <c r="G643"/>
    </row>
    <row r="644" spans="7:7" x14ac:dyDescent="0.3">
      <c r="G644"/>
    </row>
    <row r="645" spans="7:7" x14ac:dyDescent="0.3">
      <c r="G645"/>
    </row>
    <row r="646" spans="7:7" x14ac:dyDescent="0.3">
      <c r="G646"/>
    </row>
    <row r="647" spans="7:7" x14ac:dyDescent="0.3">
      <c r="G647"/>
    </row>
    <row r="648" spans="7:7" x14ac:dyDescent="0.3">
      <c r="G648"/>
    </row>
    <row r="649" spans="7:7" x14ac:dyDescent="0.3">
      <c r="G649"/>
    </row>
    <row r="650" spans="7:7" x14ac:dyDescent="0.3">
      <c r="G650"/>
    </row>
    <row r="651" spans="7:7" x14ac:dyDescent="0.3">
      <c r="G651"/>
    </row>
    <row r="652" spans="7:7" x14ac:dyDescent="0.3">
      <c r="G652"/>
    </row>
    <row r="653" spans="7:7" x14ac:dyDescent="0.3">
      <c r="G653"/>
    </row>
    <row r="654" spans="7:7" x14ac:dyDescent="0.3">
      <c r="G654"/>
    </row>
    <row r="655" spans="7:7" x14ac:dyDescent="0.3">
      <c r="G655"/>
    </row>
    <row r="656" spans="7:7" x14ac:dyDescent="0.3">
      <c r="G656"/>
    </row>
    <row r="657" spans="7:7" x14ac:dyDescent="0.3">
      <c r="G657"/>
    </row>
    <row r="658" spans="7:7" x14ac:dyDescent="0.3">
      <c r="G658"/>
    </row>
    <row r="659" spans="7:7" x14ac:dyDescent="0.3">
      <c r="G659"/>
    </row>
    <row r="660" spans="7:7" x14ac:dyDescent="0.3">
      <c r="G660"/>
    </row>
    <row r="661" spans="7:7" x14ac:dyDescent="0.3">
      <c r="G661"/>
    </row>
    <row r="662" spans="7:7" x14ac:dyDescent="0.3">
      <c r="G662"/>
    </row>
    <row r="663" spans="7:7" x14ac:dyDescent="0.3">
      <c r="G663"/>
    </row>
    <row r="664" spans="7:7" x14ac:dyDescent="0.3">
      <c r="G664"/>
    </row>
    <row r="665" spans="7:7" x14ac:dyDescent="0.3">
      <c r="G665"/>
    </row>
    <row r="666" spans="7:7" x14ac:dyDescent="0.3">
      <c r="G666"/>
    </row>
    <row r="667" spans="7:7" x14ac:dyDescent="0.3">
      <c r="G667"/>
    </row>
    <row r="668" spans="7:7" x14ac:dyDescent="0.3">
      <c r="G668"/>
    </row>
    <row r="669" spans="7:7" x14ac:dyDescent="0.3">
      <c r="G669"/>
    </row>
    <row r="670" spans="7:7" x14ac:dyDescent="0.3">
      <c r="G670"/>
    </row>
    <row r="671" spans="7:7" x14ac:dyDescent="0.3">
      <c r="G671"/>
    </row>
    <row r="672" spans="7:7" x14ac:dyDescent="0.3">
      <c r="G672"/>
    </row>
    <row r="673" spans="7:7" x14ac:dyDescent="0.3">
      <c r="G673"/>
    </row>
    <row r="674" spans="7:7" x14ac:dyDescent="0.3">
      <c r="G674"/>
    </row>
    <row r="675" spans="7:7" x14ac:dyDescent="0.3">
      <c r="G675"/>
    </row>
    <row r="676" spans="7:7" x14ac:dyDescent="0.3">
      <c r="G676"/>
    </row>
    <row r="677" spans="7:7" x14ac:dyDescent="0.3">
      <c r="G677"/>
    </row>
    <row r="678" spans="7:7" x14ac:dyDescent="0.3">
      <c r="G678"/>
    </row>
    <row r="679" spans="7:7" x14ac:dyDescent="0.3">
      <c r="G679"/>
    </row>
    <row r="680" spans="7:7" x14ac:dyDescent="0.3">
      <c r="G680"/>
    </row>
    <row r="681" spans="7:7" x14ac:dyDescent="0.3">
      <c r="G681"/>
    </row>
    <row r="682" spans="7:7" x14ac:dyDescent="0.3">
      <c r="G682"/>
    </row>
    <row r="683" spans="7:7" x14ac:dyDescent="0.3">
      <c r="G683"/>
    </row>
    <row r="684" spans="7:7" x14ac:dyDescent="0.3">
      <c r="G684"/>
    </row>
    <row r="685" spans="7:7" x14ac:dyDescent="0.3">
      <c r="G685"/>
    </row>
    <row r="686" spans="7:7" x14ac:dyDescent="0.3">
      <c r="G686"/>
    </row>
    <row r="687" spans="7:7" x14ac:dyDescent="0.3">
      <c r="G687"/>
    </row>
    <row r="688" spans="7:7" x14ac:dyDescent="0.3">
      <c r="G688"/>
    </row>
    <row r="689" spans="7:7" x14ac:dyDescent="0.3">
      <c r="G689"/>
    </row>
    <row r="690" spans="7:7" x14ac:dyDescent="0.3">
      <c r="G690"/>
    </row>
    <row r="691" spans="7:7" x14ac:dyDescent="0.3">
      <c r="G691"/>
    </row>
    <row r="692" spans="7:7" x14ac:dyDescent="0.3">
      <c r="G692"/>
    </row>
    <row r="693" spans="7:7" x14ac:dyDescent="0.3">
      <c r="G693"/>
    </row>
    <row r="694" spans="7:7" x14ac:dyDescent="0.3">
      <c r="G694"/>
    </row>
    <row r="695" spans="7:7" x14ac:dyDescent="0.3">
      <c r="G695"/>
    </row>
    <row r="696" spans="7:7" x14ac:dyDescent="0.3">
      <c r="G696"/>
    </row>
    <row r="697" spans="7:7" x14ac:dyDescent="0.3">
      <c r="G697"/>
    </row>
    <row r="698" spans="7:7" x14ac:dyDescent="0.3">
      <c r="G698"/>
    </row>
    <row r="699" spans="7:7" x14ac:dyDescent="0.3">
      <c r="G699"/>
    </row>
    <row r="700" spans="7:7" x14ac:dyDescent="0.3">
      <c r="G700"/>
    </row>
    <row r="701" spans="7:7" x14ac:dyDescent="0.3">
      <c r="G701"/>
    </row>
    <row r="702" spans="7:7" x14ac:dyDescent="0.3">
      <c r="G702"/>
    </row>
    <row r="703" spans="7:7" x14ac:dyDescent="0.3">
      <c r="G703"/>
    </row>
    <row r="704" spans="7:7" x14ac:dyDescent="0.3">
      <c r="G704"/>
    </row>
    <row r="705" spans="7:7" x14ac:dyDescent="0.3">
      <c r="G705"/>
    </row>
    <row r="706" spans="7:7" x14ac:dyDescent="0.3">
      <c r="G706"/>
    </row>
    <row r="707" spans="7:7" x14ac:dyDescent="0.3">
      <c r="G707"/>
    </row>
    <row r="708" spans="7:7" x14ac:dyDescent="0.3">
      <c r="G708"/>
    </row>
    <row r="709" spans="7:7" x14ac:dyDescent="0.3">
      <c r="G709"/>
    </row>
    <row r="710" spans="7:7" x14ac:dyDescent="0.3">
      <c r="G710"/>
    </row>
    <row r="711" spans="7:7" x14ac:dyDescent="0.3">
      <c r="G711"/>
    </row>
    <row r="712" spans="7:7" x14ac:dyDescent="0.3">
      <c r="G712"/>
    </row>
    <row r="713" spans="7:7" x14ac:dyDescent="0.3">
      <c r="G713"/>
    </row>
    <row r="714" spans="7:7" x14ac:dyDescent="0.3">
      <c r="G714"/>
    </row>
    <row r="715" spans="7:7" x14ac:dyDescent="0.3">
      <c r="G715"/>
    </row>
    <row r="716" spans="7:7" x14ac:dyDescent="0.3">
      <c r="G716"/>
    </row>
    <row r="717" spans="7:7" x14ac:dyDescent="0.3">
      <c r="G717"/>
    </row>
    <row r="718" spans="7:7" x14ac:dyDescent="0.3">
      <c r="G718"/>
    </row>
    <row r="719" spans="7:7" x14ac:dyDescent="0.3">
      <c r="G719"/>
    </row>
    <row r="720" spans="7:7" x14ac:dyDescent="0.3">
      <c r="G720"/>
    </row>
    <row r="721" spans="7:7" x14ac:dyDescent="0.3">
      <c r="G721"/>
    </row>
    <row r="722" spans="7:7" x14ac:dyDescent="0.3">
      <c r="G722"/>
    </row>
    <row r="723" spans="7:7" x14ac:dyDescent="0.3">
      <c r="G723"/>
    </row>
    <row r="724" spans="7:7" x14ac:dyDescent="0.3">
      <c r="G724"/>
    </row>
    <row r="725" spans="7:7" x14ac:dyDescent="0.3">
      <c r="G725"/>
    </row>
    <row r="726" spans="7:7" x14ac:dyDescent="0.3">
      <c r="G726"/>
    </row>
    <row r="727" spans="7:7" x14ac:dyDescent="0.3">
      <c r="G727"/>
    </row>
    <row r="728" spans="7:7" x14ac:dyDescent="0.3">
      <c r="G728"/>
    </row>
    <row r="729" spans="7:7" x14ac:dyDescent="0.3">
      <c r="G729"/>
    </row>
    <row r="730" spans="7:7" x14ac:dyDescent="0.3">
      <c r="G730"/>
    </row>
    <row r="731" spans="7:7" x14ac:dyDescent="0.3">
      <c r="G731"/>
    </row>
    <row r="732" spans="7:7" x14ac:dyDescent="0.3">
      <c r="G732"/>
    </row>
    <row r="733" spans="7:7" x14ac:dyDescent="0.3">
      <c r="G733"/>
    </row>
    <row r="734" spans="7:7" x14ac:dyDescent="0.3">
      <c r="G734"/>
    </row>
    <row r="735" spans="7:7" x14ac:dyDescent="0.3">
      <c r="G735"/>
    </row>
    <row r="736" spans="7:7" x14ac:dyDescent="0.3">
      <c r="G736"/>
    </row>
    <row r="737" spans="7:7" x14ac:dyDescent="0.3">
      <c r="G737"/>
    </row>
    <row r="738" spans="7:7" x14ac:dyDescent="0.3">
      <c r="G738"/>
    </row>
    <row r="739" spans="7:7" x14ac:dyDescent="0.3">
      <c r="G739"/>
    </row>
    <row r="740" spans="7:7" x14ac:dyDescent="0.3">
      <c r="G740"/>
    </row>
    <row r="741" spans="7:7" x14ac:dyDescent="0.3">
      <c r="G741"/>
    </row>
    <row r="742" spans="7:7" x14ac:dyDescent="0.3">
      <c r="G742"/>
    </row>
    <row r="743" spans="7:7" x14ac:dyDescent="0.3">
      <c r="G743"/>
    </row>
    <row r="744" spans="7:7" x14ac:dyDescent="0.3">
      <c r="G744"/>
    </row>
    <row r="745" spans="7:7" x14ac:dyDescent="0.3">
      <c r="G745"/>
    </row>
    <row r="746" spans="7:7" x14ac:dyDescent="0.3">
      <c r="G746"/>
    </row>
    <row r="747" spans="7:7" x14ac:dyDescent="0.3">
      <c r="G747"/>
    </row>
    <row r="748" spans="7:7" x14ac:dyDescent="0.3">
      <c r="G748"/>
    </row>
    <row r="749" spans="7:7" x14ac:dyDescent="0.3">
      <c r="G749"/>
    </row>
    <row r="750" spans="7:7" x14ac:dyDescent="0.3">
      <c r="G750"/>
    </row>
    <row r="751" spans="7:7" x14ac:dyDescent="0.3">
      <c r="G751"/>
    </row>
    <row r="752" spans="7:7" x14ac:dyDescent="0.3">
      <c r="G752"/>
    </row>
    <row r="753" spans="7:7" x14ac:dyDescent="0.3">
      <c r="G753"/>
    </row>
    <row r="754" spans="7:7" x14ac:dyDescent="0.3">
      <c r="G754"/>
    </row>
    <row r="755" spans="7:7" x14ac:dyDescent="0.3">
      <c r="G755"/>
    </row>
    <row r="756" spans="7:7" x14ac:dyDescent="0.3">
      <c r="G756"/>
    </row>
    <row r="757" spans="7:7" x14ac:dyDescent="0.3">
      <c r="G757"/>
    </row>
    <row r="758" spans="7:7" x14ac:dyDescent="0.3">
      <c r="G758"/>
    </row>
    <row r="759" spans="7:7" x14ac:dyDescent="0.3">
      <c r="G759"/>
    </row>
    <row r="760" spans="7:7" x14ac:dyDescent="0.3">
      <c r="G760"/>
    </row>
    <row r="761" spans="7:7" x14ac:dyDescent="0.3">
      <c r="G761"/>
    </row>
    <row r="762" spans="7:7" x14ac:dyDescent="0.3">
      <c r="G762"/>
    </row>
    <row r="763" spans="7:7" x14ac:dyDescent="0.3">
      <c r="G763"/>
    </row>
    <row r="764" spans="7:7" x14ac:dyDescent="0.3">
      <c r="G764"/>
    </row>
    <row r="765" spans="7:7" x14ac:dyDescent="0.3">
      <c r="G765"/>
    </row>
    <row r="766" spans="7:7" x14ac:dyDescent="0.3">
      <c r="G766"/>
    </row>
    <row r="767" spans="7:7" x14ac:dyDescent="0.3">
      <c r="G767"/>
    </row>
    <row r="768" spans="7:7" x14ac:dyDescent="0.3">
      <c r="G768"/>
    </row>
    <row r="769" spans="7:7" x14ac:dyDescent="0.3">
      <c r="G769"/>
    </row>
    <row r="770" spans="7:7" x14ac:dyDescent="0.3">
      <c r="G770"/>
    </row>
    <row r="771" spans="7:7" x14ac:dyDescent="0.3">
      <c r="G771"/>
    </row>
    <row r="772" spans="7:7" x14ac:dyDescent="0.3">
      <c r="G772"/>
    </row>
    <row r="773" spans="7:7" x14ac:dyDescent="0.3">
      <c r="G773"/>
    </row>
    <row r="774" spans="7:7" x14ac:dyDescent="0.3">
      <c r="G774"/>
    </row>
    <row r="775" spans="7:7" x14ac:dyDescent="0.3">
      <c r="G775"/>
    </row>
    <row r="776" spans="7:7" x14ac:dyDescent="0.3">
      <c r="G776"/>
    </row>
    <row r="777" spans="7:7" x14ac:dyDescent="0.3">
      <c r="G777"/>
    </row>
    <row r="778" spans="7:7" x14ac:dyDescent="0.3">
      <c r="G778"/>
    </row>
    <row r="779" spans="7:7" x14ac:dyDescent="0.3">
      <c r="G779"/>
    </row>
    <row r="780" spans="7:7" x14ac:dyDescent="0.3">
      <c r="G780"/>
    </row>
    <row r="781" spans="7:7" x14ac:dyDescent="0.3">
      <c r="G781"/>
    </row>
    <row r="782" spans="7:7" x14ac:dyDescent="0.3">
      <c r="G782"/>
    </row>
    <row r="783" spans="7:7" x14ac:dyDescent="0.3">
      <c r="G783"/>
    </row>
    <row r="784" spans="7:7" x14ac:dyDescent="0.3">
      <c r="G784"/>
    </row>
    <row r="785" spans="7:7" x14ac:dyDescent="0.3">
      <c r="G785"/>
    </row>
    <row r="786" spans="7:7" x14ac:dyDescent="0.3">
      <c r="G786"/>
    </row>
    <row r="787" spans="7:7" x14ac:dyDescent="0.3">
      <c r="G787"/>
    </row>
    <row r="788" spans="7:7" x14ac:dyDescent="0.3">
      <c r="G788"/>
    </row>
    <row r="789" spans="7:7" x14ac:dyDescent="0.3">
      <c r="G789"/>
    </row>
    <row r="790" spans="7:7" x14ac:dyDescent="0.3">
      <c r="G790"/>
    </row>
    <row r="791" spans="7:7" x14ac:dyDescent="0.3">
      <c r="G791"/>
    </row>
    <row r="792" spans="7:7" x14ac:dyDescent="0.3">
      <c r="G792"/>
    </row>
    <row r="793" spans="7:7" x14ac:dyDescent="0.3">
      <c r="G793"/>
    </row>
    <row r="794" spans="7:7" x14ac:dyDescent="0.3">
      <c r="G794"/>
    </row>
    <row r="795" spans="7:7" x14ac:dyDescent="0.3">
      <c r="G795"/>
    </row>
    <row r="796" spans="7:7" x14ac:dyDescent="0.3">
      <c r="G796"/>
    </row>
    <row r="797" spans="7:7" x14ac:dyDescent="0.3">
      <c r="G797"/>
    </row>
    <row r="798" spans="7:7" x14ac:dyDescent="0.3">
      <c r="G798"/>
    </row>
    <row r="799" spans="7:7" x14ac:dyDescent="0.3">
      <c r="G799"/>
    </row>
    <row r="800" spans="7:7" x14ac:dyDescent="0.3">
      <c r="G800"/>
    </row>
    <row r="801" spans="7:7" x14ac:dyDescent="0.3">
      <c r="G801"/>
    </row>
    <row r="802" spans="7:7" x14ac:dyDescent="0.3">
      <c r="G802"/>
    </row>
    <row r="803" spans="7:7" x14ac:dyDescent="0.3">
      <c r="G803"/>
    </row>
    <row r="804" spans="7:7" x14ac:dyDescent="0.3">
      <c r="G804"/>
    </row>
    <row r="805" spans="7:7" x14ac:dyDescent="0.3">
      <c r="G805"/>
    </row>
    <row r="806" spans="7:7" x14ac:dyDescent="0.3">
      <c r="G806"/>
    </row>
    <row r="807" spans="7:7" x14ac:dyDescent="0.3">
      <c r="G807"/>
    </row>
    <row r="808" spans="7:7" x14ac:dyDescent="0.3">
      <c r="G808"/>
    </row>
    <row r="809" spans="7:7" x14ac:dyDescent="0.3">
      <c r="G809"/>
    </row>
    <row r="810" spans="7:7" x14ac:dyDescent="0.3">
      <c r="G810"/>
    </row>
    <row r="811" spans="7:7" x14ac:dyDescent="0.3">
      <c r="G811"/>
    </row>
    <row r="812" spans="7:7" x14ac:dyDescent="0.3">
      <c r="G812"/>
    </row>
    <row r="813" spans="7:7" x14ac:dyDescent="0.3">
      <c r="G813"/>
    </row>
    <row r="814" spans="7:7" x14ac:dyDescent="0.3">
      <c r="G814"/>
    </row>
    <row r="815" spans="7:7" x14ac:dyDescent="0.3">
      <c r="G815"/>
    </row>
    <row r="816" spans="7:7" x14ac:dyDescent="0.3">
      <c r="G816"/>
    </row>
    <row r="817" spans="7:7" x14ac:dyDescent="0.3">
      <c r="G817"/>
    </row>
    <row r="818" spans="7:7" x14ac:dyDescent="0.3">
      <c r="G818"/>
    </row>
    <row r="819" spans="7:7" x14ac:dyDescent="0.3">
      <c r="G819"/>
    </row>
    <row r="820" spans="7:7" x14ac:dyDescent="0.3">
      <c r="G820"/>
    </row>
    <row r="821" spans="7:7" x14ac:dyDescent="0.3">
      <c r="G821"/>
    </row>
    <row r="822" spans="7:7" x14ac:dyDescent="0.3">
      <c r="G822"/>
    </row>
    <row r="823" spans="7:7" x14ac:dyDescent="0.3">
      <c r="G823"/>
    </row>
    <row r="824" spans="7:7" x14ac:dyDescent="0.3">
      <c r="G824"/>
    </row>
    <row r="825" spans="7:7" x14ac:dyDescent="0.3">
      <c r="G825"/>
    </row>
    <row r="826" spans="7:7" x14ac:dyDescent="0.3">
      <c r="G826"/>
    </row>
    <row r="827" spans="7:7" x14ac:dyDescent="0.3">
      <c r="G827"/>
    </row>
    <row r="828" spans="7:7" x14ac:dyDescent="0.3">
      <c r="G828"/>
    </row>
    <row r="829" spans="7:7" x14ac:dyDescent="0.3">
      <c r="G829"/>
    </row>
    <row r="830" spans="7:7" x14ac:dyDescent="0.3">
      <c r="G830"/>
    </row>
    <row r="831" spans="7:7" x14ac:dyDescent="0.3">
      <c r="G831"/>
    </row>
    <row r="832" spans="7:7" x14ac:dyDescent="0.3">
      <c r="G832"/>
    </row>
    <row r="833" spans="7:7" x14ac:dyDescent="0.3">
      <c r="G833"/>
    </row>
    <row r="834" spans="7:7" x14ac:dyDescent="0.3">
      <c r="G834"/>
    </row>
    <row r="835" spans="7:7" x14ac:dyDescent="0.3">
      <c r="G835"/>
    </row>
    <row r="836" spans="7:7" x14ac:dyDescent="0.3">
      <c r="G836"/>
    </row>
    <row r="837" spans="7:7" x14ac:dyDescent="0.3">
      <c r="G837"/>
    </row>
    <row r="838" spans="7:7" x14ac:dyDescent="0.3">
      <c r="G838"/>
    </row>
    <row r="839" spans="7:7" x14ac:dyDescent="0.3">
      <c r="G839"/>
    </row>
    <row r="840" spans="7:7" x14ac:dyDescent="0.3">
      <c r="G840"/>
    </row>
    <row r="841" spans="7:7" x14ac:dyDescent="0.3">
      <c r="G841"/>
    </row>
    <row r="842" spans="7:7" x14ac:dyDescent="0.3">
      <c r="G842"/>
    </row>
    <row r="843" spans="7:7" x14ac:dyDescent="0.3">
      <c r="G843"/>
    </row>
    <row r="844" spans="7:7" x14ac:dyDescent="0.3">
      <c r="G844"/>
    </row>
    <row r="845" spans="7:7" x14ac:dyDescent="0.3">
      <c r="G845"/>
    </row>
    <row r="846" spans="7:7" x14ac:dyDescent="0.3">
      <c r="G846"/>
    </row>
    <row r="847" spans="7:7" x14ac:dyDescent="0.3">
      <c r="G847"/>
    </row>
    <row r="848" spans="7:7" x14ac:dyDescent="0.3">
      <c r="G848"/>
    </row>
    <row r="849" spans="7:7" x14ac:dyDescent="0.3">
      <c r="G849"/>
    </row>
    <row r="850" spans="7:7" x14ac:dyDescent="0.3">
      <c r="G850"/>
    </row>
    <row r="851" spans="7:7" x14ac:dyDescent="0.3">
      <c r="G851"/>
    </row>
    <row r="852" spans="7:7" x14ac:dyDescent="0.3">
      <c r="G852"/>
    </row>
    <row r="853" spans="7:7" x14ac:dyDescent="0.3">
      <c r="G853"/>
    </row>
    <row r="854" spans="7:7" x14ac:dyDescent="0.3">
      <c r="G854"/>
    </row>
    <row r="855" spans="7:7" x14ac:dyDescent="0.3">
      <c r="G855"/>
    </row>
    <row r="856" spans="7:7" x14ac:dyDescent="0.3">
      <c r="G856"/>
    </row>
    <row r="857" spans="7:7" x14ac:dyDescent="0.3">
      <c r="G857"/>
    </row>
    <row r="858" spans="7:7" x14ac:dyDescent="0.3">
      <c r="G858"/>
    </row>
    <row r="859" spans="7:7" x14ac:dyDescent="0.3">
      <c r="G859"/>
    </row>
    <row r="860" spans="7:7" x14ac:dyDescent="0.3">
      <c r="G860"/>
    </row>
    <row r="861" spans="7:7" x14ac:dyDescent="0.3">
      <c r="G861"/>
    </row>
    <row r="862" spans="7:7" x14ac:dyDescent="0.3">
      <c r="G862"/>
    </row>
    <row r="863" spans="7:7" x14ac:dyDescent="0.3">
      <c r="G863"/>
    </row>
    <row r="864" spans="7:7" x14ac:dyDescent="0.3">
      <c r="G864"/>
    </row>
    <row r="865" spans="7:7" x14ac:dyDescent="0.3">
      <c r="G865"/>
    </row>
    <row r="866" spans="7:7" x14ac:dyDescent="0.3">
      <c r="G866"/>
    </row>
    <row r="867" spans="7:7" x14ac:dyDescent="0.3">
      <c r="G867"/>
    </row>
    <row r="868" spans="7:7" x14ac:dyDescent="0.3">
      <c r="G868"/>
    </row>
    <row r="869" spans="7:7" x14ac:dyDescent="0.3">
      <c r="G869"/>
    </row>
    <row r="870" spans="7:7" x14ac:dyDescent="0.3">
      <c r="G870"/>
    </row>
    <row r="871" spans="7:7" x14ac:dyDescent="0.3">
      <c r="G871"/>
    </row>
    <row r="872" spans="7:7" x14ac:dyDescent="0.3">
      <c r="G872"/>
    </row>
    <row r="873" spans="7:7" x14ac:dyDescent="0.3">
      <c r="G873"/>
    </row>
    <row r="874" spans="7:7" x14ac:dyDescent="0.3">
      <c r="G874"/>
    </row>
    <row r="875" spans="7:7" x14ac:dyDescent="0.3">
      <c r="G875"/>
    </row>
    <row r="876" spans="7:7" x14ac:dyDescent="0.3">
      <c r="G876"/>
    </row>
    <row r="877" spans="7:7" x14ac:dyDescent="0.3">
      <c r="G877"/>
    </row>
    <row r="878" spans="7:7" x14ac:dyDescent="0.3">
      <c r="G878"/>
    </row>
    <row r="879" spans="7:7" x14ac:dyDescent="0.3">
      <c r="G879"/>
    </row>
    <row r="880" spans="7:7" x14ac:dyDescent="0.3">
      <c r="G880"/>
    </row>
    <row r="881" spans="7:7" x14ac:dyDescent="0.3">
      <c r="G881"/>
    </row>
    <row r="882" spans="7:7" x14ac:dyDescent="0.3">
      <c r="G882"/>
    </row>
    <row r="883" spans="7:7" x14ac:dyDescent="0.3">
      <c r="G883"/>
    </row>
    <row r="884" spans="7:7" x14ac:dyDescent="0.3">
      <c r="G884"/>
    </row>
    <row r="885" spans="7:7" x14ac:dyDescent="0.3">
      <c r="G885"/>
    </row>
    <row r="886" spans="7:7" x14ac:dyDescent="0.3">
      <c r="G886"/>
    </row>
    <row r="887" spans="7:7" x14ac:dyDescent="0.3">
      <c r="G887"/>
    </row>
    <row r="888" spans="7:7" x14ac:dyDescent="0.3">
      <c r="G888"/>
    </row>
    <row r="889" spans="7:7" x14ac:dyDescent="0.3">
      <c r="G889"/>
    </row>
    <row r="890" spans="7:7" x14ac:dyDescent="0.3">
      <c r="G890"/>
    </row>
    <row r="891" spans="7:7" x14ac:dyDescent="0.3">
      <c r="G891"/>
    </row>
    <row r="892" spans="7:7" x14ac:dyDescent="0.3">
      <c r="G892"/>
    </row>
    <row r="893" spans="7:7" x14ac:dyDescent="0.3">
      <c r="G893"/>
    </row>
    <row r="894" spans="7:7" x14ac:dyDescent="0.3">
      <c r="G894"/>
    </row>
    <row r="895" spans="7:7" x14ac:dyDescent="0.3">
      <c r="G895"/>
    </row>
    <row r="896" spans="7:7" x14ac:dyDescent="0.3">
      <c r="G896"/>
    </row>
    <row r="897" spans="7:7" x14ac:dyDescent="0.3">
      <c r="G897"/>
    </row>
    <row r="898" spans="7:7" x14ac:dyDescent="0.3">
      <c r="G898"/>
    </row>
    <row r="899" spans="7:7" x14ac:dyDescent="0.3">
      <c r="G899"/>
    </row>
    <row r="900" spans="7:7" x14ac:dyDescent="0.3">
      <c r="G900"/>
    </row>
    <row r="901" spans="7:7" x14ac:dyDescent="0.3">
      <c r="G901"/>
    </row>
    <row r="902" spans="7:7" x14ac:dyDescent="0.3">
      <c r="G902"/>
    </row>
    <row r="903" spans="7:7" x14ac:dyDescent="0.3">
      <c r="G903"/>
    </row>
    <row r="904" spans="7:7" x14ac:dyDescent="0.3">
      <c r="G904"/>
    </row>
    <row r="905" spans="7:7" x14ac:dyDescent="0.3">
      <c r="G905"/>
    </row>
    <row r="906" spans="7:7" x14ac:dyDescent="0.3">
      <c r="G906"/>
    </row>
    <row r="907" spans="7:7" x14ac:dyDescent="0.3">
      <c r="G907"/>
    </row>
    <row r="908" spans="7:7" x14ac:dyDescent="0.3">
      <c r="G908"/>
    </row>
    <row r="909" spans="7:7" x14ac:dyDescent="0.3">
      <c r="G909"/>
    </row>
    <row r="910" spans="7:7" x14ac:dyDescent="0.3">
      <c r="G910"/>
    </row>
    <row r="911" spans="7:7" x14ac:dyDescent="0.3">
      <c r="G911"/>
    </row>
    <row r="912" spans="7:7" x14ac:dyDescent="0.3">
      <c r="G912"/>
    </row>
    <row r="913" spans="7:7" x14ac:dyDescent="0.3">
      <c r="G913"/>
    </row>
    <row r="914" spans="7:7" x14ac:dyDescent="0.3">
      <c r="G914"/>
    </row>
    <row r="915" spans="7:7" x14ac:dyDescent="0.3">
      <c r="G915"/>
    </row>
    <row r="916" spans="7:7" x14ac:dyDescent="0.3">
      <c r="G916"/>
    </row>
    <row r="917" spans="7:7" x14ac:dyDescent="0.3">
      <c r="G917"/>
    </row>
    <row r="918" spans="7:7" x14ac:dyDescent="0.3">
      <c r="G918"/>
    </row>
    <row r="919" spans="7:7" x14ac:dyDescent="0.3">
      <c r="G919"/>
    </row>
    <row r="920" spans="7:7" x14ac:dyDescent="0.3">
      <c r="G920"/>
    </row>
    <row r="921" spans="7:7" x14ac:dyDescent="0.3">
      <c r="G921"/>
    </row>
    <row r="922" spans="7:7" x14ac:dyDescent="0.3">
      <c r="G922"/>
    </row>
    <row r="923" spans="7:7" x14ac:dyDescent="0.3">
      <c r="G923"/>
    </row>
    <row r="924" spans="7:7" x14ac:dyDescent="0.3">
      <c r="G924"/>
    </row>
    <row r="925" spans="7:7" x14ac:dyDescent="0.3">
      <c r="G925"/>
    </row>
    <row r="926" spans="7:7" x14ac:dyDescent="0.3">
      <c r="G926"/>
    </row>
    <row r="927" spans="7:7" x14ac:dyDescent="0.3">
      <c r="G927"/>
    </row>
    <row r="928" spans="7:7" x14ac:dyDescent="0.3">
      <c r="G928"/>
    </row>
    <row r="929" spans="7:7" x14ac:dyDescent="0.3">
      <c r="G929"/>
    </row>
    <row r="930" spans="7:7" x14ac:dyDescent="0.3">
      <c r="G930"/>
    </row>
    <row r="931" spans="7:7" x14ac:dyDescent="0.3">
      <c r="G931"/>
    </row>
    <row r="932" spans="7:7" x14ac:dyDescent="0.3">
      <c r="G932"/>
    </row>
    <row r="933" spans="7:7" x14ac:dyDescent="0.3">
      <c r="G933"/>
    </row>
    <row r="934" spans="7:7" x14ac:dyDescent="0.3">
      <c r="G934"/>
    </row>
    <row r="935" spans="7:7" x14ac:dyDescent="0.3">
      <c r="G935"/>
    </row>
    <row r="936" spans="7:7" x14ac:dyDescent="0.3">
      <c r="G936"/>
    </row>
    <row r="937" spans="7:7" x14ac:dyDescent="0.3">
      <c r="G937"/>
    </row>
    <row r="938" spans="7:7" x14ac:dyDescent="0.3">
      <c r="G938"/>
    </row>
    <row r="939" spans="7:7" x14ac:dyDescent="0.3">
      <c r="G939"/>
    </row>
    <row r="940" spans="7:7" x14ac:dyDescent="0.3">
      <c r="G940"/>
    </row>
    <row r="941" spans="7:7" x14ac:dyDescent="0.3">
      <c r="G941"/>
    </row>
    <row r="942" spans="7:7" x14ac:dyDescent="0.3">
      <c r="G942"/>
    </row>
    <row r="943" spans="7:7" x14ac:dyDescent="0.3">
      <c r="G943"/>
    </row>
    <row r="944" spans="7:7" x14ac:dyDescent="0.3">
      <c r="G944"/>
    </row>
    <row r="945" spans="7:7" x14ac:dyDescent="0.3">
      <c r="G945"/>
    </row>
    <row r="946" spans="7:7" x14ac:dyDescent="0.3">
      <c r="G946"/>
    </row>
    <row r="947" spans="7:7" x14ac:dyDescent="0.3">
      <c r="G947"/>
    </row>
    <row r="948" spans="7:7" x14ac:dyDescent="0.3">
      <c r="G948"/>
    </row>
    <row r="949" spans="7:7" x14ac:dyDescent="0.3">
      <c r="G949"/>
    </row>
    <row r="950" spans="7:7" x14ac:dyDescent="0.3">
      <c r="G950"/>
    </row>
    <row r="951" spans="7:7" x14ac:dyDescent="0.3">
      <c r="G951"/>
    </row>
    <row r="952" spans="7:7" x14ac:dyDescent="0.3">
      <c r="G952"/>
    </row>
    <row r="953" spans="7:7" x14ac:dyDescent="0.3">
      <c r="G953"/>
    </row>
    <row r="954" spans="7:7" x14ac:dyDescent="0.3">
      <c r="G954"/>
    </row>
    <row r="955" spans="7:7" x14ac:dyDescent="0.3">
      <c r="G955"/>
    </row>
    <row r="956" spans="7:7" x14ac:dyDescent="0.3">
      <c r="G956"/>
    </row>
    <row r="957" spans="7:7" x14ac:dyDescent="0.3">
      <c r="G957"/>
    </row>
    <row r="958" spans="7:7" x14ac:dyDescent="0.3">
      <c r="G958"/>
    </row>
    <row r="959" spans="7:7" x14ac:dyDescent="0.3">
      <c r="G959"/>
    </row>
    <row r="960" spans="7:7" x14ac:dyDescent="0.3">
      <c r="G960"/>
    </row>
    <row r="961" spans="7:7" x14ac:dyDescent="0.3">
      <c r="G961"/>
    </row>
    <row r="962" spans="7:7" x14ac:dyDescent="0.3">
      <c r="G962"/>
    </row>
    <row r="963" spans="7:7" x14ac:dyDescent="0.3">
      <c r="G963"/>
    </row>
    <row r="964" spans="7:7" x14ac:dyDescent="0.3">
      <c r="G964"/>
    </row>
    <row r="965" spans="7:7" x14ac:dyDescent="0.3">
      <c r="G965"/>
    </row>
    <row r="966" spans="7:7" x14ac:dyDescent="0.3">
      <c r="G966"/>
    </row>
    <row r="967" spans="7:7" x14ac:dyDescent="0.3">
      <c r="G967"/>
    </row>
    <row r="968" spans="7:7" x14ac:dyDescent="0.3">
      <c r="G968"/>
    </row>
    <row r="969" spans="7:7" x14ac:dyDescent="0.3">
      <c r="G969"/>
    </row>
    <row r="970" spans="7:7" x14ac:dyDescent="0.3">
      <c r="G970"/>
    </row>
    <row r="971" spans="7:7" x14ac:dyDescent="0.3">
      <c r="G971"/>
    </row>
    <row r="972" spans="7:7" x14ac:dyDescent="0.3">
      <c r="G972"/>
    </row>
    <row r="973" spans="7:7" x14ac:dyDescent="0.3">
      <c r="G973"/>
    </row>
    <row r="974" spans="7:7" x14ac:dyDescent="0.3">
      <c r="G974"/>
    </row>
    <row r="975" spans="7:7" x14ac:dyDescent="0.3">
      <c r="G975"/>
    </row>
    <row r="976" spans="7:7" x14ac:dyDescent="0.3">
      <c r="G976"/>
    </row>
    <row r="977" spans="7:7" x14ac:dyDescent="0.3">
      <c r="G977"/>
    </row>
    <row r="978" spans="7:7" x14ac:dyDescent="0.3">
      <c r="G978"/>
    </row>
    <row r="979" spans="7:7" x14ac:dyDescent="0.3">
      <c r="G979"/>
    </row>
    <row r="980" spans="7:7" x14ac:dyDescent="0.3">
      <c r="G980"/>
    </row>
    <row r="981" spans="7:7" x14ac:dyDescent="0.3">
      <c r="G981"/>
    </row>
    <row r="982" spans="7:7" x14ac:dyDescent="0.3">
      <c r="G982"/>
    </row>
    <row r="983" spans="7:7" x14ac:dyDescent="0.3">
      <c r="G983"/>
    </row>
    <row r="984" spans="7:7" x14ac:dyDescent="0.3">
      <c r="G984"/>
    </row>
    <row r="985" spans="7:7" x14ac:dyDescent="0.3">
      <c r="G985"/>
    </row>
    <row r="986" spans="7:7" x14ac:dyDescent="0.3">
      <c r="G986"/>
    </row>
    <row r="987" spans="7:7" x14ac:dyDescent="0.3">
      <c r="G987"/>
    </row>
    <row r="988" spans="7:7" x14ac:dyDescent="0.3">
      <c r="G988"/>
    </row>
    <row r="989" spans="7:7" x14ac:dyDescent="0.3">
      <c r="G989"/>
    </row>
    <row r="990" spans="7:7" x14ac:dyDescent="0.3">
      <c r="G990"/>
    </row>
    <row r="991" spans="7:7" x14ac:dyDescent="0.3">
      <c r="G991"/>
    </row>
    <row r="992" spans="7:7" x14ac:dyDescent="0.3">
      <c r="G992"/>
    </row>
    <row r="993" spans="7:7" x14ac:dyDescent="0.3">
      <c r="G993"/>
    </row>
    <row r="994" spans="7:7" x14ac:dyDescent="0.3">
      <c r="G994"/>
    </row>
    <row r="995" spans="7:7" x14ac:dyDescent="0.3">
      <c r="G995"/>
    </row>
    <row r="996" spans="7:7" x14ac:dyDescent="0.3">
      <c r="G996"/>
    </row>
    <row r="997" spans="7:7" x14ac:dyDescent="0.3">
      <c r="G997"/>
    </row>
    <row r="998" spans="7:7" x14ac:dyDescent="0.3">
      <c r="G998"/>
    </row>
    <row r="999" spans="7:7" x14ac:dyDescent="0.3">
      <c r="G999"/>
    </row>
    <row r="1000" spans="7:7" x14ac:dyDescent="0.3">
      <c r="G1000"/>
    </row>
    <row r="1001" spans="7:7" x14ac:dyDescent="0.3">
      <c r="G1001"/>
    </row>
    <row r="1002" spans="7:7" x14ac:dyDescent="0.3">
      <c r="G1002"/>
    </row>
    <row r="1003" spans="7:7" x14ac:dyDescent="0.3">
      <c r="G1003"/>
    </row>
    <row r="1004" spans="7:7" x14ac:dyDescent="0.3">
      <c r="G1004"/>
    </row>
    <row r="1005" spans="7:7" x14ac:dyDescent="0.3">
      <c r="G1005"/>
    </row>
    <row r="1006" spans="7:7" x14ac:dyDescent="0.3">
      <c r="G1006"/>
    </row>
    <row r="1007" spans="7:7" x14ac:dyDescent="0.3">
      <c r="G1007"/>
    </row>
    <row r="1008" spans="7:7" x14ac:dyDescent="0.3">
      <c r="G1008"/>
    </row>
    <row r="1009" spans="7:7" x14ac:dyDescent="0.3">
      <c r="G1009"/>
    </row>
    <row r="1010" spans="7:7" x14ac:dyDescent="0.3">
      <c r="G1010"/>
    </row>
    <row r="1011" spans="7:7" x14ac:dyDescent="0.3">
      <c r="G1011"/>
    </row>
    <row r="1012" spans="7:7" x14ac:dyDescent="0.3">
      <c r="G1012"/>
    </row>
    <row r="1013" spans="7:7" x14ac:dyDescent="0.3">
      <c r="G1013"/>
    </row>
    <row r="1014" spans="7:7" x14ac:dyDescent="0.3">
      <c r="G1014"/>
    </row>
    <row r="1015" spans="7:7" x14ac:dyDescent="0.3">
      <c r="G1015"/>
    </row>
    <row r="1016" spans="7:7" x14ac:dyDescent="0.3">
      <c r="G1016"/>
    </row>
    <row r="1017" spans="7:7" x14ac:dyDescent="0.3">
      <c r="G1017"/>
    </row>
    <row r="1018" spans="7:7" x14ac:dyDescent="0.3">
      <c r="G1018"/>
    </row>
    <row r="1019" spans="7:7" x14ac:dyDescent="0.3">
      <c r="G1019"/>
    </row>
    <row r="1020" spans="7:7" x14ac:dyDescent="0.3">
      <c r="G1020"/>
    </row>
    <row r="1021" spans="7:7" x14ac:dyDescent="0.3">
      <c r="G1021"/>
    </row>
    <row r="1022" spans="7:7" x14ac:dyDescent="0.3">
      <c r="G1022"/>
    </row>
    <row r="1023" spans="7:7" x14ac:dyDescent="0.3">
      <c r="G1023"/>
    </row>
    <row r="1024" spans="7:7" x14ac:dyDescent="0.3">
      <c r="G1024"/>
    </row>
    <row r="1025" spans="7:7" x14ac:dyDescent="0.3">
      <c r="G1025"/>
    </row>
    <row r="1026" spans="7:7" x14ac:dyDescent="0.3">
      <c r="G1026"/>
    </row>
    <row r="1027" spans="7:7" x14ac:dyDescent="0.3">
      <c r="G1027"/>
    </row>
    <row r="1028" spans="7:7" x14ac:dyDescent="0.3">
      <c r="G1028"/>
    </row>
    <row r="1029" spans="7:7" x14ac:dyDescent="0.3">
      <c r="G1029"/>
    </row>
    <row r="1030" spans="7:7" x14ac:dyDescent="0.3">
      <c r="G1030"/>
    </row>
    <row r="1031" spans="7:7" x14ac:dyDescent="0.3">
      <c r="G1031"/>
    </row>
    <row r="1032" spans="7:7" x14ac:dyDescent="0.3">
      <c r="G1032"/>
    </row>
    <row r="1033" spans="7:7" x14ac:dyDescent="0.3">
      <c r="G1033"/>
    </row>
    <row r="1034" spans="7:7" x14ac:dyDescent="0.3">
      <c r="G1034"/>
    </row>
    <row r="1035" spans="7:7" x14ac:dyDescent="0.3">
      <c r="G1035"/>
    </row>
    <row r="1036" spans="7:7" x14ac:dyDescent="0.3">
      <c r="G1036"/>
    </row>
    <row r="1037" spans="7:7" x14ac:dyDescent="0.3">
      <c r="G1037"/>
    </row>
    <row r="1038" spans="7:7" x14ac:dyDescent="0.3">
      <c r="G1038"/>
    </row>
    <row r="1039" spans="7:7" x14ac:dyDescent="0.3">
      <c r="G1039"/>
    </row>
    <row r="1040" spans="7:7" x14ac:dyDescent="0.3">
      <c r="G1040"/>
    </row>
    <row r="1041" spans="7:7" x14ac:dyDescent="0.3">
      <c r="G1041"/>
    </row>
    <row r="1042" spans="7:7" x14ac:dyDescent="0.3">
      <c r="G1042"/>
    </row>
    <row r="1043" spans="7:7" x14ac:dyDescent="0.3">
      <c r="G1043"/>
    </row>
    <row r="1044" spans="7:7" x14ac:dyDescent="0.3">
      <c r="G1044"/>
    </row>
    <row r="1045" spans="7:7" x14ac:dyDescent="0.3">
      <c r="G1045"/>
    </row>
    <row r="1046" spans="7:7" x14ac:dyDescent="0.3">
      <c r="G1046"/>
    </row>
    <row r="1047" spans="7:7" x14ac:dyDescent="0.3">
      <c r="G1047"/>
    </row>
    <row r="1048" spans="7:7" x14ac:dyDescent="0.3">
      <c r="G1048"/>
    </row>
    <row r="1049" spans="7:7" x14ac:dyDescent="0.3">
      <c r="G1049"/>
    </row>
    <row r="1050" spans="7:7" x14ac:dyDescent="0.3">
      <c r="G1050"/>
    </row>
    <row r="1051" spans="7:7" x14ac:dyDescent="0.3">
      <c r="G1051"/>
    </row>
    <row r="1052" spans="7:7" x14ac:dyDescent="0.3">
      <c r="G1052"/>
    </row>
    <row r="1053" spans="7:7" x14ac:dyDescent="0.3">
      <c r="G1053"/>
    </row>
    <row r="1054" spans="7:7" x14ac:dyDescent="0.3">
      <c r="G1054"/>
    </row>
    <row r="1055" spans="7:7" x14ac:dyDescent="0.3">
      <c r="G1055"/>
    </row>
    <row r="1056" spans="7:7" x14ac:dyDescent="0.3">
      <c r="G1056"/>
    </row>
    <row r="1057" spans="7:7" x14ac:dyDescent="0.3">
      <c r="G1057"/>
    </row>
    <row r="1058" spans="7:7" x14ac:dyDescent="0.3">
      <c r="G1058"/>
    </row>
    <row r="1059" spans="7:7" x14ac:dyDescent="0.3">
      <c r="G1059"/>
    </row>
    <row r="1060" spans="7:7" x14ac:dyDescent="0.3">
      <c r="G1060"/>
    </row>
    <row r="1061" spans="7:7" x14ac:dyDescent="0.3">
      <c r="G1061"/>
    </row>
    <row r="1062" spans="7:7" x14ac:dyDescent="0.3">
      <c r="G1062"/>
    </row>
    <row r="1063" spans="7:7" x14ac:dyDescent="0.3">
      <c r="G1063"/>
    </row>
    <row r="1064" spans="7:7" x14ac:dyDescent="0.3">
      <c r="G1064"/>
    </row>
    <row r="1065" spans="7:7" x14ac:dyDescent="0.3">
      <c r="G1065"/>
    </row>
    <row r="1066" spans="7:7" x14ac:dyDescent="0.3">
      <c r="G1066"/>
    </row>
    <row r="1067" spans="7:7" x14ac:dyDescent="0.3">
      <c r="G1067"/>
    </row>
    <row r="1068" spans="7:7" x14ac:dyDescent="0.3">
      <c r="G1068"/>
    </row>
    <row r="1069" spans="7:7" x14ac:dyDescent="0.3">
      <c r="G1069"/>
    </row>
    <row r="1070" spans="7:7" x14ac:dyDescent="0.3">
      <c r="G1070"/>
    </row>
    <row r="1071" spans="7:7" x14ac:dyDescent="0.3">
      <c r="G1071"/>
    </row>
    <row r="1072" spans="7:7" x14ac:dyDescent="0.3">
      <c r="G1072"/>
    </row>
    <row r="1073" spans="7:7" x14ac:dyDescent="0.3">
      <c r="G1073"/>
    </row>
    <row r="1074" spans="7:7" x14ac:dyDescent="0.3">
      <c r="G1074"/>
    </row>
    <row r="1075" spans="7:7" x14ac:dyDescent="0.3">
      <c r="G1075"/>
    </row>
    <row r="1076" spans="7:7" x14ac:dyDescent="0.3">
      <c r="G1076"/>
    </row>
    <row r="1077" spans="7:7" x14ac:dyDescent="0.3">
      <c r="G1077"/>
    </row>
    <row r="1078" spans="7:7" x14ac:dyDescent="0.3">
      <c r="G1078"/>
    </row>
    <row r="1079" spans="7:7" x14ac:dyDescent="0.3">
      <c r="G1079"/>
    </row>
    <row r="1080" spans="7:7" x14ac:dyDescent="0.3">
      <c r="G1080"/>
    </row>
    <row r="1081" spans="7:7" x14ac:dyDescent="0.3">
      <c r="G1081"/>
    </row>
    <row r="1082" spans="7:7" x14ac:dyDescent="0.3">
      <c r="G1082"/>
    </row>
    <row r="1083" spans="7:7" x14ac:dyDescent="0.3">
      <c r="G1083"/>
    </row>
    <row r="1084" spans="7:7" x14ac:dyDescent="0.3">
      <c r="G1084"/>
    </row>
    <row r="1085" spans="7:7" x14ac:dyDescent="0.3">
      <c r="G1085"/>
    </row>
    <row r="1086" spans="7:7" x14ac:dyDescent="0.3">
      <c r="G1086"/>
    </row>
    <row r="1087" spans="7:7" x14ac:dyDescent="0.3">
      <c r="G1087"/>
    </row>
    <row r="1088" spans="7:7" x14ac:dyDescent="0.3">
      <c r="G1088"/>
    </row>
    <row r="1089" spans="7:7" x14ac:dyDescent="0.3">
      <c r="G1089"/>
    </row>
    <row r="1090" spans="7:7" x14ac:dyDescent="0.3">
      <c r="G1090"/>
    </row>
    <row r="1091" spans="7:7" x14ac:dyDescent="0.3">
      <c r="G1091"/>
    </row>
    <row r="1092" spans="7:7" x14ac:dyDescent="0.3">
      <c r="G1092"/>
    </row>
    <row r="1093" spans="7:7" x14ac:dyDescent="0.3">
      <c r="G1093"/>
    </row>
    <row r="1094" spans="7:7" x14ac:dyDescent="0.3">
      <c r="G1094"/>
    </row>
    <row r="1095" spans="7:7" x14ac:dyDescent="0.3">
      <c r="G1095"/>
    </row>
    <row r="1096" spans="7:7" x14ac:dyDescent="0.3">
      <c r="G1096"/>
    </row>
    <row r="1097" spans="7:7" x14ac:dyDescent="0.3">
      <c r="G1097"/>
    </row>
    <row r="1098" spans="7:7" x14ac:dyDescent="0.3">
      <c r="G1098"/>
    </row>
    <row r="1099" spans="7:7" x14ac:dyDescent="0.3">
      <c r="G1099"/>
    </row>
    <row r="1100" spans="7:7" x14ac:dyDescent="0.3">
      <c r="G1100"/>
    </row>
    <row r="1101" spans="7:7" x14ac:dyDescent="0.3">
      <c r="G1101"/>
    </row>
    <row r="1102" spans="7:7" x14ac:dyDescent="0.3">
      <c r="G1102"/>
    </row>
    <row r="1103" spans="7:7" x14ac:dyDescent="0.3">
      <c r="G1103"/>
    </row>
    <row r="1104" spans="7:7" x14ac:dyDescent="0.3">
      <c r="G1104"/>
    </row>
    <row r="1105" spans="7:7" x14ac:dyDescent="0.3">
      <c r="G1105"/>
    </row>
    <row r="1106" spans="7:7" x14ac:dyDescent="0.3">
      <c r="G1106"/>
    </row>
    <row r="1107" spans="7:7" x14ac:dyDescent="0.3">
      <c r="G1107"/>
    </row>
    <row r="1108" spans="7:7" x14ac:dyDescent="0.3">
      <c r="G1108"/>
    </row>
    <row r="1109" spans="7:7" x14ac:dyDescent="0.3">
      <c r="G1109"/>
    </row>
    <row r="1110" spans="7:7" x14ac:dyDescent="0.3">
      <c r="G1110"/>
    </row>
    <row r="1111" spans="7:7" x14ac:dyDescent="0.3">
      <c r="G1111"/>
    </row>
    <row r="1112" spans="7:7" x14ac:dyDescent="0.3">
      <c r="G1112"/>
    </row>
    <row r="1113" spans="7:7" x14ac:dyDescent="0.3">
      <c r="G1113"/>
    </row>
    <row r="1114" spans="7:7" x14ac:dyDescent="0.3">
      <c r="G1114"/>
    </row>
    <row r="1115" spans="7:7" x14ac:dyDescent="0.3">
      <c r="G1115"/>
    </row>
    <row r="1116" spans="7:7" x14ac:dyDescent="0.3">
      <c r="G1116"/>
    </row>
    <row r="1117" spans="7:7" x14ac:dyDescent="0.3">
      <c r="G1117"/>
    </row>
    <row r="1118" spans="7:7" x14ac:dyDescent="0.3">
      <c r="G1118"/>
    </row>
    <row r="1119" spans="7:7" x14ac:dyDescent="0.3">
      <c r="G1119"/>
    </row>
    <row r="1120" spans="7:7" x14ac:dyDescent="0.3">
      <c r="G1120"/>
    </row>
    <row r="1121" spans="7:7" x14ac:dyDescent="0.3">
      <c r="G1121"/>
    </row>
    <row r="1122" spans="7:7" x14ac:dyDescent="0.3">
      <c r="G1122"/>
    </row>
    <row r="1123" spans="7:7" x14ac:dyDescent="0.3">
      <c r="G1123"/>
    </row>
    <row r="1124" spans="7:7" x14ac:dyDescent="0.3">
      <c r="G1124"/>
    </row>
    <row r="1125" spans="7:7" x14ac:dyDescent="0.3">
      <c r="G1125"/>
    </row>
    <row r="1126" spans="7:7" x14ac:dyDescent="0.3">
      <c r="G1126"/>
    </row>
    <row r="1127" spans="7:7" x14ac:dyDescent="0.3">
      <c r="G1127"/>
    </row>
    <row r="1128" spans="7:7" x14ac:dyDescent="0.3">
      <c r="G1128"/>
    </row>
    <row r="1129" spans="7:7" x14ac:dyDescent="0.3">
      <c r="G1129"/>
    </row>
    <row r="1130" spans="7:7" x14ac:dyDescent="0.3">
      <c r="G1130"/>
    </row>
    <row r="1131" spans="7:7" x14ac:dyDescent="0.3">
      <c r="G1131"/>
    </row>
    <row r="1132" spans="7:7" x14ac:dyDescent="0.3">
      <c r="G1132"/>
    </row>
    <row r="1133" spans="7:7" x14ac:dyDescent="0.3">
      <c r="G1133"/>
    </row>
    <row r="1134" spans="7:7" x14ac:dyDescent="0.3">
      <c r="G1134"/>
    </row>
    <row r="1135" spans="7:7" x14ac:dyDescent="0.3">
      <c r="G1135"/>
    </row>
    <row r="1136" spans="7:7" x14ac:dyDescent="0.3">
      <c r="G1136"/>
    </row>
    <row r="1137" spans="7:7" x14ac:dyDescent="0.3">
      <c r="G1137"/>
    </row>
    <row r="1138" spans="7:7" x14ac:dyDescent="0.3">
      <c r="G1138"/>
    </row>
    <row r="1139" spans="7:7" x14ac:dyDescent="0.3">
      <c r="G1139"/>
    </row>
    <row r="1140" spans="7:7" x14ac:dyDescent="0.3">
      <c r="G1140"/>
    </row>
    <row r="1141" spans="7:7" x14ac:dyDescent="0.3">
      <c r="G1141"/>
    </row>
    <row r="1142" spans="7:7" x14ac:dyDescent="0.3">
      <c r="G1142"/>
    </row>
    <row r="1143" spans="7:7" x14ac:dyDescent="0.3">
      <c r="G1143"/>
    </row>
    <row r="1144" spans="7:7" x14ac:dyDescent="0.3">
      <c r="G1144"/>
    </row>
    <row r="1145" spans="7:7" x14ac:dyDescent="0.3">
      <c r="G1145"/>
    </row>
    <row r="1146" spans="7:7" x14ac:dyDescent="0.3">
      <c r="G1146"/>
    </row>
    <row r="1147" spans="7:7" x14ac:dyDescent="0.3">
      <c r="G1147"/>
    </row>
    <row r="1148" spans="7:7" x14ac:dyDescent="0.3">
      <c r="G1148"/>
    </row>
    <row r="1149" spans="7:7" x14ac:dyDescent="0.3">
      <c r="G1149"/>
    </row>
    <row r="1150" spans="7:7" x14ac:dyDescent="0.3">
      <c r="G1150"/>
    </row>
    <row r="1151" spans="7:7" x14ac:dyDescent="0.3">
      <c r="G1151"/>
    </row>
    <row r="1152" spans="7:7" x14ac:dyDescent="0.3">
      <c r="G1152"/>
    </row>
    <row r="1153" spans="7:7" x14ac:dyDescent="0.3">
      <c r="G1153"/>
    </row>
    <row r="1154" spans="7:7" x14ac:dyDescent="0.3">
      <c r="G1154"/>
    </row>
    <row r="1155" spans="7:7" x14ac:dyDescent="0.3">
      <c r="G1155"/>
    </row>
    <row r="1156" spans="7:7" x14ac:dyDescent="0.3">
      <c r="G1156"/>
    </row>
    <row r="1157" spans="7:7" x14ac:dyDescent="0.3">
      <c r="G1157"/>
    </row>
    <row r="1158" spans="7:7" x14ac:dyDescent="0.3">
      <c r="G1158"/>
    </row>
    <row r="1159" spans="7:7" x14ac:dyDescent="0.3">
      <c r="G1159"/>
    </row>
    <row r="1160" spans="7:7" x14ac:dyDescent="0.3">
      <c r="G1160"/>
    </row>
    <row r="1161" spans="7:7" x14ac:dyDescent="0.3">
      <c r="G1161"/>
    </row>
    <row r="1162" spans="7:7" x14ac:dyDescent="0.3">
      <c r="G1162"/>
    </row>
    <row r="1163" spans="7:7" x14ac:dyDescent="0.3">
      <c r="G1163"/>
    </row>
    <row r="1164" spans="7:7" x14ac:dyDescent="0.3">
      <c r="G1164"/>
    </row>
    <row r="1165" spans="7:7" x14ac:dyDescent="0.3">
      <c r="G1165"/>
    </row>
    <row r="1166" spans="7:7" x14ac:dyDescent="0.3">
      <c r="G1166"/>
    </row>
    <row r="1167" spans="7:7" x14ac:dyDescent="0.3">
      <c r="G1167"/>
    </row>
    <row r="1168" spans="7:7" x14ac:dyDescent="0.3">
      <c r="G1168"/>
    </row>
    <row r="1169" spans="7:7" x14ac:dyDescent="0.3">
      <c r="G1169"/>
    </row>
    <row r="1170" spans="7:7" x14ac:dyDescent="0.3">
      <c r="G1170"/>
    </row>
    <row r="1171" spans="7:7" x14ac:dyDescent="0.3">
      <c r="G1171"/>
    </row>
    <row r="1172" spans="7:7" x14ac:dyDescent="0.3">
      <c r="G1172"/>
    </row>
    <row r="1173" spans="7:7" x14ac:dyDescent="0.3">
      <c r="G1173"/>
    </row>
    <row r="1174" spans="7:7" x14ac:dyDescent="0.3">
      <c r="G1174"/>
    </row>
    <row r="1175" spans="7:7" x14ac:dyDescent="0.3">
      <c r="G1175"/>
    </row>
    <row r="1176" spans="7:7" x14ac:dyDescent="0.3">
      <c r="G1176"/>
    </row>
    <row r="1177" spans="7:7" x14ac:dyDescent="0.3">
      <c r="G1177"/>
    </row>
    <row r="1178" spans="7:7" x14ac:dyDescent="0.3">
      <c r="G1178"/>
    </row>
    <row r="1179" spans="7:7" x14ac:dyDescent="0.3">
      <c r="G1179"/>
    </row>
    <row r="1180" spans="7:7" x14ac:dyDescent="0.3">
      <c r="G1180"/>
    </row>
    <row r="1181" spans="7:7" x14ac:dyDescent="0.3">
      <c r="G1181"/>
    </row>
    <row r="1182" spans="7:7" x14ac:dyDescent="0.3">
      <c r="G1182"/>
    </row>
    <row r="1183" spans="7:7" x14ac:dyDescent="0.3">
      <c r="G1183"/>
    </row>
    <row r="1184" spans="7:7" x14ac:dyDescent="0.3">
      <c r="G1184"/>
    </row>
    <row r="1185" spans="7:7" x14ac:dyDescent="0.3">
      <c r="G1185"/>
    </row>
    <row r="1186" spans="7:7" x14ac:dyDescent="0.3">
      <c r="G1186"/>
    </row>
    <row r="1187" spans="7:7" x14ac:dyDescent="0.3">
      <c r="G1187"/>
    </row>
    <row r="1188" spans="7:7" x14ac:dyDescent="0.3">
      <c r="G1188"/>
    </row>
    <row r="1189" spans="7:7" x14ac:dyDescent="0.3">
      <c r="G1189"/>
    </row>
    <row r="1190" spans="7:7" x14ac:dyDescent="0.3">
      <c r="G1190"/>
    </row>
    <row r="1191" spans="7:7" x14ac:dyDescent="0.3">
      <c r="G1191"/>
    </row>
    <row r="1192" spans="7:7" x14ac:dyDescent="0.3">
      <c r="G1192"/>
    </row>
    <row r="1193" spans="7:7" x14ac:dyDescent="0.3">
      <c r="G1193"/>
    </row>
    <row r="1194" spans="7:7" x14ac:dyDescent="0.3">
      <c r="G1194"/>
    </row>
    <row r="1195" spans="7:7" x14ac:dyDescent="0.3">
      <c r="G1195"/>
    </row>
    <row r="1196" spans="7:7" x14ac:dyDescent="0.3">
      <c r="G1196"/>
    </row>
    <row r="1197" spans="7:7" x14ac:dyDescent="0.3">
      <c r="G1197"/>
    </row>
    <row r="1198" spans="7:7" x14ac:dyDescent="0.3">
      <c r="G1198"/>
    </row>
    <row r="1199" spans="7:7" x14ac:dyDescent="0.3">
      <c r="G1199"/>
    </row>
    <row r="1200" spans="7:7" x14ac:dyDescent="0.3">
      <c r="G1200"/>
    </row>
    <row r="1201" spans="7:7" x14ac:dyDescent="0.3">
      <c r="G1201"/>
    </row>
    <row r="1202" spans="7:7" x14ac:dyDescent="0.3">
      <c r="G1202"/>
    </row>
    <row r="1203" spans="7:7" x14ac:dyDescent="0.3">
      <c r="G1203"/>
    </row>
    <row r="1204" spans="7:7" x14ac:dyDescent="0.3">
      <c r="G1204"/>
    </row>
    <row r="1205" spans="7:7" x14ac:dyDescent="0.3">
      <c r="G1205"/>
    </row>
    <row r="1206" spans="7:7" x14ac:dyDescent="0.3">
      <c r="G1206"/>
    </row>
    <row r="1207" spans="7:7" x14ac:dyDescent="0.3">
      <c r="G1207"/>
    </row>
    <row r="1208" spans="7:7" x14ac:dyDescent="0.3">
      <c r="G1208"/>
    </row>
    <row r="1209" spans="7:7" x14ac:dyDescent="0.3">
      <c r="G1209"/>
    </row>
    <row r="1210" spans="7:7" x14ac:dyDescent="0.3">
      <c r="G1210"/>
    </row>
    <row r="1211" spans="7:7" x14ac:dyDescent="0.3">
      <c r="G1211"/>
    </row>
    <row r="1212" spans="7:7" x14ac:dyDescent="0.3">
      <c r="G1212"/>
    </row>
    <row r="1213" spans="7:7" x14ac:dyDescent="0.3">
      <c r="G1213"/>
    </row>
    <row r="1214" spans="7:7" x14ac:dyDescent="0.3">
      <c r="G1214"/>
    </row>
    <row r="1215" spans="7:7" x14ac:dyDescent="0.3">
      <c r="G1215"/>
    </row>
    <row r="1216" spans="7:7" x14ac:dyDescent="0.3">
      <c r="G1216"/>
    </row>
    <row r="1217" spans="7:7" x14ac:dyDescent="0.3">
      <c r="G1217"/>
    </row>
    <row r="1218" spans="7:7" x14ac:dyDescent="0.3">
      <c r="G1218"/>
    </row>
    <row r="1219" spans="7:7" x14ac:dyDescent="0.3">
      <c r="G1219"/>
    </row>
    <row r="1220" spans="7:7" x14ac:dyDescent="0.3">
      <c r="G1220"/>
    </row>
    <row r="1221" spans="7:7" x14ac:dyDescent="0.3">
      <c r="G1221"/>
    </row>
    <row r="1222" spans="7:7" x14ac:dyDescent="0.3">
      <c r="G1222"/>
    </row>
    <row r="1223" spans="7:7" x14ac:dyDescent="0.3">
      <c r="G1223"/>
    </row>
    <row r="1224" spans="7:7" x14ac:dyDescent="0.3">
      <c r="G1224"/>
    </row>
    <row r="1225" spans="7:7" x14ac:dyDescent="0.3">
      <c r="G1225"/>
    </row>
    <row r="1226" spans="7:7" x14ac:dyDescent="0.3">
      <c r="G1226"/>
    </row>
    <row r="1227" spans="7:7" x14ac:dyDescent="0.3">
      <c r="G1227"/>
    </row>
    <row r="1228" spans="7:7" x14ac:dyDescent="0.3">
      <c r="G1228"/>
    </row>
    <row r="1229" spans="7:7" x14ac:dyDescent="0.3">
      <c r="G1229"/>
    </row>
    <row r="1230" spans="7:7" x14ac:dyDescent="0.3">
      <c r="G1230"/>
    </row>
    <row r="1231" spans="7:7" x14ac:dyDescent="0.3">
      <c r="G1231"/>
    </row>
    <row r="1232" spans="7:7" x14ac:dyDescent="0.3">
      <c r="G1232"/>
    </row>
    <row r="1233" spans="7:7" x14ac:dyDescent="0.3">
      <c r="G1233"/>
    </row>
    <row r="1234" spans="7:7" x14ac:dyDescent="0.3">
      <c r="G1234"/>
    </row>
    <row r="1235" spans="7:7" x14ac:dyDescent="0.3">
      <c r="G1235"/>
    </row>
    <row r="1236" spans="7:7" x14ac:dyDescent="0.3">
      <c r="G1236"/>
    </row>
    <row r="1237" spans="7:7" x14ac:dyDescent="0.3">
      <c r="G1237"/>
    </row>
    <row r="1238" spans="7:7" x14ac:dyDescent="0.3">
      <c r="G1238"/>
    </row>
    <row r="1239" spans="7:7" x14ac:dyDescent="0.3">
      <c r="G1239"/>
    </row>
    <row r="1240" spans="7:7" x14ac:dyDescent="0.3">
      <c r="G1240"/>
    </row>
    <row r="1241" spans="7:7" x14ac:dyDescent="0.3">
      <c r="G1241"/>
    </row>
    <row r="1242" spans="7:7" x14ac:dyDescent="0.3">
      <c r="G1242"/>
    </row>
    <row r="1243" spans="7:7" x14ac:dyDescent="0.3">
      <c r="G1243"/>
    </row>
    <row r="1244" spans="7:7" x14ac:dyDescent="0.3">
      <c r="G1244"/>
    </row>
    <row r="1245" spans="7:7" x14ac:dyDescent="0.3">
      <c r="G1245"/>
    </row>
    <row r="1246" spans="7:7" x14ac:dyDescent="0.3">
      <c r="G1246"/>
    </row>
    <row r="1247" spans="7:7" x14ac:dyDescent="0.3">
      <c r="G1247"/>
    </row>
    <row r="1248" spans="7:7" x14ac:dyDescent="0.3">
      <c r="G1248"/>
    </row>
    <row r="1249" spans="7:7" x14ac:dyDescent="0.3">
      <c r="G1249"/>
    </row>
    <row r="1250" spans="7:7" x14ac:dyDescent="0.3">
      <c r="G1250"/>
    </row>
    <row r="1251" spans="7:7" x14ac:dyDescent="0.3">
      <c r="G1251"/>
    </row>
    <row r="1252" spans="7:7" x14ac:dyDescent="0.3">
      <c r="G1252"/>
    </row>
    <row r="1253" spans="7:7" x14ac:dyDescent="0.3">
      <c r="G1253"/>
    </row>
    <row r="1254" spans="7:7" x14ac:dyDescent="0.3">
      <c r="G1254"/>
    </row>
    <row r="1255" spans="7:7" x14ac:dyDescent="0.3">
      <c r="G1255"/>
    </row>
    <row r="1256" spans="7:7" x14ac:dyDescent="0.3">
      <c r="G1256"/>
    </row>
    <row r="1257" spans="7:7" x14ac:dyDescent="0.3">
      <c r="G1257"/>
    </row>
    <row r="1258" spans="7:7" x14ac:dyDescent="0.3">
      <c r="G1258"/>
    </row>
    <row r="1259" spans="7:7" x14ac:dyDescent="0.3">
      <c r="G1259"/>
    </row>
    <row r="1260" spans="7:7" x14ac:dyDescent="0.3">
      <c r="G1260"/>
    </row>
    <row r="1261" spans="7:7" x14ac:dyDescent="0.3">
      <c r="G1261"/>
    </row>
    <row r="1262" spans="7:7" x14ac:dyDescent="0.3">
      <c r="G1262"/>
    </row>
    <row r="1263" spans="7:7" x14ac:dyDescent="0.3">
      <c r="G1263"/>
    </row>
    <row r="1264" spans="7:7" x14ac:dyDescent="0.3">
      <c r="G1264"/>
    </row>
    <row r="1265" spans="7:7" x14ac:dyDescent="0.3">
      <c r="G1265"/>
    </row>
    <row r="1266" spans="7:7" x14ac:dyDescent="0.3">
      <c r="G1266"/>
    </row>
    <row r="1267" spans="7:7" x14ac:dyDescent="0.3">
      <c r="G1267"/>
    </row>
    <row r="1268" spans="7:7" x14ac:dyDescent="0.3">
      <c r="G1268"/>
    </row>
    <row r="1269" spans="7:7" x14ac:dyDescent="0.3">
      <c r="G1269"/>
    </row>
    <row r="1270" spans="7:7" x14ac:dyDescent="0.3">
      <c r="G1270"/>
    </row>
    <row r="1271" spans="7:7" x14ac:dyDescent="0.3">
      <c r="G1271"/>
    </row>
    <row r="1272" spans="7:7" x14ac:dyDescent="0.3">
      <c r="G1272"/>
    </row>
    <row r="1273" spans="7:7" x14ac:dyDescent="0.3">
      <c r="G1273"/>
    </row>
    <row r="1274" spans="7:7" x14ac:dyDescent="0.3">
      <c r="G1274"/>
    </row>
    <row r="1275" spans="7:7" x14ac:dyDescent="0.3">
      <c r="G1275"/>
    </row>
    <row r="1276" spans="7:7" x14ac:dyDescent="0.3">
      <c r="G1276"/>
    </row>
    <row r="1277" spans="7:7" x14ac:dyDescent="0.3">
      <c r="G1277"/>
    </row>
    <row r="1278" spans="7:7" x14ac:dyDescent="0.3">
      <c r="G1278"/>
    </row>
    <row r="1279" spans="7:7" x14ac:dyDescent="0.3">
      <c r="G1279"/>
    </row>
    <row r="1280" spans="7:7" x14ac:dyDescent="0.3">
      <c r="G1280"/>
    </row>
    <row r="1281" spans="7:7" x14ac:dyDescent="0.3">
      <c r="G1281"/>
    </row>
    <row r="1282" spans="7:7" x14ac:dyDescent="0.3">
      <c r="G1282"/>
    </row>
    <row r="1283" spans="7:7" x14ac:dyDescent="0.3">
      <c r="G1283"/>
    </row>
    <row r="1284" spans="7:7" x14ac:dyDescent="0.3">
      <c r="G1284"/>
    </row>
    <row r="1285" spans="7:7" x14ac:dyDescent="0.3">
      <c r="G1285"/>
    </row>
    <row r="1286" spans="7:7" x14ac:dyDescent="0.3">
      <c r="G1286"/>
    </row>
    <row r="1287" spans="7:7" x14ac:dyDescent="0.3">
      <c r="G1287"/>
    </row>
    <row r="1288" spans="7:7" x14ac:dyDescent="0.3">
      <c r="G1288"/>
    </row>
    <row r="1289" spans="7:7" x14ac:dyDescent="0.3">
      <c r="G1289"/>
    </row>
    <row r="1290" spans="7:7" x14ac:dyDescent="0.3">
      <c r="G1290"/>
    </row>
    <row r="1291" spans="7:7" x14ac:dyDescent="0.3">
      <c r="G1291"/>
    </row>
    <row r="1292" spans="7:7" x14ac:dyDescent="0.3">
      <c r="G1292"/>
    </row>
    <row r="1293" spans="7:7" x14ac:dyDescent="0.3">
      <c r="G1293"/>
    </row>
    <row r="1294" spans="7:7" x14ac:dyDescent="0.3">
      <c r="G1294"/>
    </row>
    <row r="1295" spans="7:7" x14ac:dyDescent="0.3">
      <c r="G1295"/>
    </row>
    <row r="1296" spans="7:7" x14ac:dyDescent="0.3">
      <c r="G1296"/>
    </row>
    <row r="1297" spans="7:7" x14ac:dyDescent="0.3">
      <c r="G1297"/>
    </row>
    <row r="1298" spans="7:7" x14ac:dyDescent="0.3">
      <c r="G1298"/>
    </row>
    <row r="1299" spans="7:7" x14ac:dyDescent="0.3">
      <c r="G1299"/>
    </row>
    <row r="1300" spans="7:7" x14ac:dyDescent="0.3">
      <c r="G1300"/>
    </row>
    <row r="1301" spans="7:7" x14ac:dyDescent="0.3">
      <c r="G1301"/>
    </row>
    <row r="1302" spans="7:7" x14ac:dyDescent="0.3">
      <c r="G1302"/>
    </row>
    <row r="1303" spans="7:7" x14ac:dyDescent="0.3">
      <c r="G1303"/>
    </row>
    <row r="1304" spans="7:7" x14ac:dyDescent="0.3">
      <c r="G1304"/>
    </row>
    <row r="1305" spans="7:7" x14ac:dyDescent="0.3">
      <c r="G1305"/>
    </row>
    <row r="1306" spans="7:7" x14ac:dyDescent="0.3">
      <c r="G1306"/>
    </row>
    <row r="1307" spans="7:7" x14ac:dyDescent="0.3">
      <c r="G1307"/>
    </row>
    <row r="1308" spans="7:7" x14ac:dyDescent="0.3">
      <c r="G1308"/>
    </row>
    <row r="1309" spans="7:7" x14ac:dyDescent="0.3">
      <c r="G1309"/>
    </row>
    <row r="1310" spans="7:7" x14ac:dyDescent="0.3">
      <c r="G1310"/>
    </row>
    <row r="1311" spans="7:7" x14ac:dyDescent="0.3">
      <c r="G1311"/>
    </row>
    <row r="1312" spans="7:7" x14ac:dyDescent="0.3">
      <c r="G1312"/>
    </row>
    <row r="1313" spans="7:7" x14ac:dyDescent="0.3">
      <c r="G1313"/>
    </row>
    <row r="1314" spans="7:7" x14ac:dyDescent="0.3">
      <c r="G1314"/>
    </row>
    <row r="1315" spans="7:7" x14ac:dyDescent="0.3">
      <c r="G1315"/>
    </row>
    <row r="1316" spans="7:7" x14ac:dyDescent="0.3">
      <c r="G1316"/>
    </row>
    <row r="1317" spans="7:7" x14ac:dyDescent="0.3">
      <c r="G1317"/>
    </row>
    <row r="1318" spans="7:7" x14ac:dyDescent="0.3">
      <c r="G1318"/>
    </row>
    <row r="1319" spans="7:7" x14ac:dyDescent="0.3">
      <c r="G1319"/>
    </row>
    <row r="1320" spans="7:7" x14ac:dyDescent="0.3">
      <c r="G1320"/>
    </row>
    <row r="1321" spans="7:7" x14ac:dyDescent="0.3">
      <c r="G1321"/>
    </row>
    <row r="1322" spans="7:7" x14ac:dyDescent="0.3">
      <c r="G1322"/>
    </row>
    <row r="1323" spans="7:7" x14ac:dyDescent="0.3">
      <c r="G1323"/>
    </row>
    <row r="1324" spans="7:7" x14ac:dyDescent="0.3">
      <c r="G1324"/>
    </row>
    <row r="1325" spans="7:7" x14ac:dyDescent="0.3">
      <c r="G1325"/>
    </row>
    <row r="1326" spans="7:7" x14ac:dyDescent="0.3">
      <c r="G1326"/>
    </row>
    <row r="1327" spans="7:7" x14ac:dyDescent="0.3">
      <c r="G1327"/>
    </row>
    <row r="1328" spans="7:7" x14ac:dyDescent="0.3">
      <c r="G1328"/>
    </row>
    <row r="1329" spans="7:7" x14ac:dyDescent="0.3">
      <c r="G1329"/>
    </row>
    <row r="1330" spans="7:7" x14ac:dyDescent="0.3">
      <c r="G1330"/>
    </row>
    <row r="1331" spans="7:7" x14ac:dyDescent="0.3">
      <c r="G1331"/>
    </row>
    <row r="1332" spans="7:7" x14ac:dyDescent="0.3">
      <c r="G1332"/>
    </row>
    <row r="1333" spans="7:7" x14ac:dyDescent="0.3">
      <c r="G1333"/>
    </row>
    <row r="1334" spans="7:7" x14ac:dyDescent="0.3">
      <c r="G1334"/>
    </row>
    <row r="1335" spans="7:7" x14ac:dyDescent="0.3">
      <c r="G1335"/>
    </row>
    <row r="1336" spans="7:7" x14ac:dyDescent="0.3">
      <c r="G1336"/>
    </row>
    <row r="1337" spans="7:7" x14ac:dyDescent="0.3">
      <c r="G1337"/>
    </row>
    <row r="1338" spans="7:7" x14ac:dyDescent="0.3">
      <c r="G1338"/>
    </row>
    <row r="1339" spans="7:7" x14ac:dyDescent="0.3">
      <c r="G1339"/>
    </row>
    <row r="1340" spans="7:7" x14ac:dyDescent="0.3">
      <c r="G1340"/>
    </row>
    <row r="1341" spans="7:7" x14ac:dyDescent="0.3">
      <c r="G1341"/>
    </row>
    <row r="1342" spans="7:7" x14ac:dyDescent="0.3">
      <c r="G1342"/>
    </row>
    <row r="1343" spans="7:7" x14ac:dyDescent="0.3">
      <c r="G1343"/>
    </row>
    <row r="1344" spans="7:7" x14ac:dyDescent="0.3">
      <c r="G1344"/>
    </row>
    <row r="1345" spans="7:7" x14ac:dyDescent="0.3">
      <c r="G1345"/>
    </row>
    <row r="1346" spans="7:7" x14ac:dyDescent="0.3">
      <c r="G1346"/>
    </row>
    <row r="1347" spans="7:7" x14ac:dyDescent="0.3">
      <c r="G1347"/>
    </row>
    <row r="1348" spans="7:7" x14ac:dyDescent="0.3">
      <c r="G1348"/>
    </row>
    <row r="1349" spans="7:7" x14ac:dyDescent="0.3">
      <c r="G1349"/>
    </row>
    <row r="1350" spans="7:7" x14ac:dyDescent="0.3">
      <c r="G1350"/>
    </row>
    <row r="1351" spans="7:7" x14ac:dyDescent="0.3">
      <c r="G1351"/>
    </row>
    <row r="1352" spans="7:7" x14ac:dyDescent="0.3">
      <c r="G1352"/>
    </row>
    <row r="1353" spans="7:7" x14ac:dyDescent="0.3">
      <c r="G1353"/>
    </row>
    <row r="1354" spans="7:7" x14ac:dyDescent="0.3">
      <c r="G1354"/>
    </row>
    <row r="1355" spans="7:7" x14ac:dyDescent="0.3">
      <c r="G1355"/>
    </row>
    <row r="1356" spans="7:7" x14ac:dyDescent="0.3">
      <c r="G1356"/>
    </row>
    <row r="1357" spans="7:7" x14ac:dyDescent="0.3">
      <c r="G1357"/>
    </row>
    <row r="1358" spans="7:7" x14ac:dyDescent="0.3">
      <c r="G1358"/>
    </row>
    <row r="1359" spans="7:7" x14ac:dyDescent="0.3">
      <c r="G1359"/>
    </row>
    <row r="1360" spans="7:7" x14ac:dyDescent="0.3">
      <c r="G1360"/>
    </row>
    <row r="1361" spans="7:7" x14ac:dyDescent="0.3">
      <c r="G1361"/>
    </row>
    <row r="1362" spans="7:7" x14ac:dyDescent="0.3">
      <c r="G1362"/>
    </row>
    <row r="1363" spans="7:7" x14ac:dyDescent="0.3">
      <c r="G1363"/>
    </row>
    <row r="1364" spans="7:7" x14ac:dyDescent="0.3">
      <c r="G1364"/>
    </row>
    <row r="1365" spans="7:7" x14ac:dyDescent="0.3">
      <c r="G1365"/>
    </row>
    <row r="1366" spans="7:7" x14ac:dyDescent="0.3">
      <c r="G1366"/>
    </row>
    <row r="1367" spans="7:7" x14ac:dyDescent="0.3">
      <c r="G1367"/>
    </row>
    <row r="1368" spans="7:7" x14ac:dyDescent="0.3">
      <c r="G1368"/>
    </row>
    <row r="1369" spans="7:7" x14ac:dyDescent="0.3">
      <c r="G1369"/>
    </row>
    <row r="1370" spans="7:7" x14ac:dyDescent="0.3">
      <c r="G1370"/>
    </row>
    <row r="1371" spans="7:7" x14ac:dyDescent="0.3">
      <c r="G1371"/>
    </row>
    <row r="1372" spans="7:7" x14ac:dyDescent="0.3">
      <c r="G1372"/>
    </row>
    <row r="1373" spans="7:7" x14ac:dyDescent="0.3">
      <c r="G1373"/>
    </row>
    <row r="1374" spans="7:7" x14ac:dyDescent="0.3">
      <c r="G1374"/>
    </row>
    <row r="1375" spans="7:7" x14ac:dyDescent="0.3">
      <c r="G1375"/>
    </row>
    <row r="1376" spans="7:7" x14ac:dyDescent="0.3">
      <c r="G1376"/>
    </row>
    <row r="1377" spans="7:7" x14ac:dyDescent="0.3">
      <c r="G1377"/>
    </row>
    <row r="1378" spans="7:7" x14ac:dyDescent="0.3">
      <c r="G1378"/>
    </row>
    <row r="1379" spans="7:7" x14ac:dyDescent="0.3">
      <c r="G1379"/>
    </row>
    <row r="1380" spans="7:7" x14ac:dyDescent="0.3">
      <c r="G1380"/>
    </row>
    <row r="1381" spans="7:7" x14ac:dyDescent="0.3">
      <c r="G1381"/>
    </row>
    <row r="1382" spans="7:7" x14ac:dyDescent="0.3">
      <c r="G1382"/>
    </row>
    <row r="1383" spans="7:7" x14ac:dyDescent="0.3">
      <c r="G1383"/>
    </row>
    <row r="1384" spans="7:7" x14ac:dyDescent="0.3">
      <c r="G1384"/>
    </row>
    <row r="1385" spans="7:7" x14ac:dyDescent="0.3">
      <c r="G1385"/>
    </row>
    <row r="1386" spans="7:7" x14ac:dyDescent="0.3">
      <c r="G1386"/>
    </row>
    <row r="1387" spans="7:7" x14ac:dyDescent="0.3">
      <c r="G1387"/>
    </row>
    <row r="1388" spans="7:7" x14ac:dyDescent="0.3">
      <c r="G1388"/>
    </row>
    <row r="1389" spans="7:7" x14ac:dyDescent="0.3">
      <c r="G1389"/>
    </row>
    <row r="1390" spans="7:7" x14ac:dyDescent="0.3">
      <c r="G1390"/>
    </row>
    <row r="1391" spans="7:7" x14ac:dyDescent="0.3">
      <c r="G1391"/>
    </row>
    <row r="1392" spans="7:7" x14ac:dyDescent="0.3">
      <c r="G1392"/>
    </row>
    <row r="1393" spans="7:7" x14ac:dyDescent="0.3">
      <c r="G1393"/>
    </row>
    <row r="1394" spans="7:7" x14ac:dyDescent="0.3">
      <c r="G1394"/>
    </row>
    <row r="1395" spans="7:7" x14ac:dyDescent="0.3">
      <c r="G1395"/>
    </row>
    <row r="1396" spans="7:7" x14ac:dyDescent="0.3">
      <c r="G1396"/>
    </row>
    <row r="1397" spans="7:7" x14ac:dyDescent="0.3">
      <c r="G1397"/>
    </row>
    <row r="1398" spans="7:7" x14ac:dyDescent="0.3">
      <c r="G1398"/>
    </row>
    <row r="1399" spans="7:7" x14ac:dyDescent="0.3">
      <c r="G1399"/>
    </row>
    <row r="1400" spans="7:7" x14ac:dyDescent="0.3">
      <c r="G1400"/>
    </row>
    <row r="1401" spans="7:7" x14ac:dyDescent="0.3">
      <c r="G1401"/>
    </row>
    <row r="1402" spans="7:7" x14ac:dyDescent="0.3">
      <c r="G1402"/>
    </row>
    <row r="1403" spans="7:7" x14ac:dyDescent="0.3">
      <c r="G1403"/>
    </row>
    <row r="1404" spans="7:7" x14ac:dyDescent="0.3">
      <c r="G1404"/>
    </row>
    <row r="1405" spans="7:7" x14ac:dyDescent="0.3">
      <c r="G1405"/>
    </row>
    <row r="1406" spans="7:7" x14ac:dyDescent="0.3">
      <c r="G1406"/>
    </row>
    <row r="1407" spans="7:7" x14ac:dyDescent="0.3">
      <c r="G1407"/>
    </row>
    <row r="1408" spans="7:7" x14ac:dyDescent="0.3">
      <c r="G1408"/>
    </row>
    <row r="1409" spans="7:7" x14ac:dyDescent="0.3">
      <c r="G1409"/>
    </row>
    <row r="1410" spans="7:7" x14ac:dyDescent="0.3">
      <c r="G1410"/>
    </row>
    <row r="1411" spans="7:7" x14ac:dyDescent="0.3">
      <c r="G1411"/>
    </row>
    <row r="1412" spans="7:7" x14ac:dyDescent="0.3">
      <c r="G1412"/>
    </row>
    <row r="1413" spans="7:7" x14ac:dyDescent="0.3">
      <c r="G1413"/>
    </row>
    <row r="1414" spans="7:7" x14ac:dyDescent="0.3">
      <c r="G1414"/>
    </row>
    <row r="1415" spans="7:7" x14ac:dyDescent="0.3">
      <c r="G1415"/>
    </row>
    <row r="1416" spans="7:7" x14ac:dyDescent="0.3">
      <c r="G1416"/>
    </row>
    <row r="1417" spans="7:7" x14ac:dyDescent="0.3">
      <c r="G1417"/>
    </row>
    <row r="1418" spans="7:7" x14ac:dyDescent="0.3">
      <c r="G1418"/>
    </row>
    <row r="1419" spans="7:7" x14ac:dyDescent="0.3">
      <c r="G1419"/>
    </row>
    <row r="1420" spans="7:7" x14ac:dyDescent="0.3">
      <c r="G1420"/>
    </row>
    <row r="1421" spans="7:7" x14ac:dyDescent="0.3">
      <c r="G1421"/>
    </row>
    <row r="1422" spans="7:7" x14ac:dyDescent="0.3">
      <c r="G1422"/>
    </row>
    <row r="1423" spans="7:7" x14ac:dyDescent="0.3">
      <c r="G1423"/>
    </row>
    <row r="1424" spans="7:7" x14ac:dyDescent="0.3">
      <c r="G1424"/>
    </row>
    <row r="1425" spans="7:7" x14ac:dyDescent="0.3">
      <c r="G1425"/>
    </row>
    <row r="1426" spans="7:7" x14ac:dyDescent="0.3">
      <c r="G1426"/>
    </row>
    <row r="1427" spans="7:7" x14ac:dyDescent="0.3">
      <c r="G1427"/>
    </row>
    <row r="1428" spans="7:7" x14ac:dyDescent="0.3">
      <c r="G1428"/>
    </row>
    <row r="1429" spans="7:7" x14ac:dyDescent="0.3">
      <c r="G1429"/>
    </row>
    <row r="1430" spans="7:7" x14ac:dyDescent="0.3">
      <c r="G1430"/>
    </row>
    <row r="1431" spans="7:7" x14ac:dyDescent="0.3">
      <c r="G1431"/>
    </row>
    <row r="1432" spans="7:7" x14ac:dyDescent="0.3">
      <c r="G1432"/>
    </row>
    <row r="1433" spans="7:7" x14ac:dyDescent="0.3">
      <c r="G1433"/>
    </row>
    <row r="1434" spans="7:7" x14ac:dyDescent="0.3">
      <c r="G1434"/>
    </row>
    <row r="1435" spans="7:7" x14ac:dyDescent="0.3">
      <c r="G1435"/>
    </row>
    <row r="1436" spans="7:7" x14ac:dyDescent="0.3">
      <c r="G1436"/>
    </row>
    <row r="1437" spans="7:7" x14ac:dyDescent="0.3">
      <c r="G1437"/>
    </row>
    <row r="1438" spans="7:7" x14ac:dyDescent="0.3">
      <c r="G1438"/>
    </row>
    <row r="1439" spans="7:7" x14ac:dyDescent="0.3">
      <c r="G1439"/>
    </row>
    <row r="1440" spans="7:7" x14ac:dyDescent="0.3">
      <c r="G1440"/>
    </row>
    <row r="1441" spans="7:7" x14ac:dyDescent="0.3">
      <c r="G1441"/>
    </row>
    <row r="1442" spans="7:7" x14ac:dyDescent="0.3">
      <c r="G1442"/>
    </row>
    <row r="1443" spans="7:7" x14ac:dyDescent="0.3">
      <c r="G1443"/>
    </row>
    <row r="1444" spans="7:7" x14ac:dyDescent="0.3">
      <c r="G1444"/>
    </row>
    <row r="1445" spans="7:7" x14ac:dyDescent="0.3">
      <c r="G1445"/>
    </row>
    <row r="1446" spans="7:7" x14ac:dyDescent="0.3">
      <c r="G1446"/>
    </row>
    <row r="1447" spans="7:7" x14ac:dyDescent="0.3">
      <c r="G1447"/>
    </row>
    <row r="1448" spans="7:7" x14ac:dyDescent="0.3">
      <c r="G1448"/>
    </row>
    <row r="1449" spans="7:7" x14ac:dyDescent="0.3">
      <c r="G1449"/>
    </row>
    <row r="1450" spans="7:7" x14ac:dyDescent="0.3">
      <c r="G1450"/>
    </row>
    <row r="1451" spans="7:7" x14ac:dyDescent="0.3">
      <c r="G1451"/>
    </row>
    <row r="1452" spans="7:7" x14ac:dyDescent="0.3">
      <c r="G1452"/>
    </row>
    <row r="1453" spans="7:7" x14ac:dyDescent="0.3">
      <c r="G1453"/>
    </row>
    <row r="1454" spans="7:7" x14ac:dyDescent="0.3">
      <c r="G1454"/>
    </row>
    <row r="1455" spans="7:7" x14ac:dyDescent="0.3">
      <c r="G1455"/>
    </row>
    <row r="1456" spans="7:7" x14ac:dyDescent="0.3">
      <c r="G1456"/>
    </row>
    <row r="1457" spans="7:7" x14ac:dyDescent="0.3">
      <c r="G1457"/>
    </row>
    <row r="1458" spans="7:7" x14ac:dyDescent="0.3">
      <c r="G1458"/>
    </row>
    <row r="1459" spans="7:7" x14ac:dyDescent="0.3">
      <c r="G1459"/>
    </row>
    <row r="1460" spans="7:7" x14ac:dyDescent="0.3">
      <c r="G1460"/>
    </row>
    <row r="1461" spans="7:7" x14ac:dyDescent="0.3">
      <c r="G1461"/>
    </row>
    <row r="1462" spans="7:7" x14ac:dyDescent="0.3">
      <c r="G1462"/>
    </row>
    <row r="1463" spans="7:7" x14ac:dyDescent="0.3">
      <c r="G1463"/>
    </row>
    <row r="1464" spans="7:7" x14ac:dyDescent="0.3">
      <c r="G1464"/>
    </row>
    <row r="1465" spans="7:7" x14ac:dyDescent="0.3">
      <c r="G1465"/>
    </row>
    <row r="1466" spans="7:7" x14ac:dyDescent="0.3">
      <c r="G1466"/>
    </row>
    <row r="1467" spans="7:7" x14ac:dyDescent="0.3">
      <c r="G1467"/>
    </row>
    <row r="1468" spans="7:7" x14ac:dyDescent="0.3">
      <c r="G1468"/>
    </row>
    <row r="1469" spans="7:7" x14ac:dyDescent="0.3">
      <c r="G1469"/>
    </row>
    <row r="1470" spans="7:7" x14ac:dyDescent="0.3">
      <c r="G1470"/>
    </row>
    <row r="1471" spans="7:7" x14ac:dyDescent="0.3">
      <c r="G1471"/>
    </row>
    <row r="1472" spans="7:7" x14ac:dyDescent="0.3">
      <c r="G1472"/>
    </row>
    <row r="1473" spans="7:7" x14ac:dyDescent="0.3">
      <c r="G1473"/>
    </row>
    <row r="1474" spans="7:7" x14ac:dyDescent="0.3">
      <c r="G1474"/>
    </row>
    <row r="1475" spans="7:7" x14ac:dyDescent="0.3">
      <c r="G1475"/>
    </row>
    <row r="1476" spans="7:7" x14ac:dyDescent="0.3">
      <c r="G1476"/>
    </row>
    <row r="1477" spans="7:7" x14ac:dyDescent="0.3">
      <c r="G1477"/>
    </row>
    <row r="1478" spans="7:7" x14ac:dyDescent="0.3">
      <c r="G1478"/>
    </row>
    <row r="1479" spans="7:7" x14ac:dyDescent="0.3">
      <c r="G1479"/>
    </row>
    <row r="1480" spans="7:7" x14ac:dyDescent="0.3">
      <c r="G1480"/>
    </row>
    <row r="1481" spans="7:7" x14ac:dyDescent="0.3">
      <c r="G1481"/>
    </row>
    <row r="1482" spans="7:7" x14ac:dyDescent="0.3">
      <c r="G1482"/>
    </row>
    <row r="1483" spans="7:7" x14ac:dyDescent="0.3">
      <c r="G1483"/>
    </row>
    <row r="1484" spans="7:7" x14ac:dyDescent="0.3">
      <c r="G1484"/>
    </row>
    <row r="1485" spans="7:7" x14ac:dyDescent="0.3">
      <c r="G1485"/>
    </row>
    <row r="1486" spans="7:7" x14ac:dyDescent="0.3">
      <c r="G1486"/>
    </row>
    <row r="1487" spans="7:7" x14ac:dyDescent="0.3">
      <c r="G1487"/>
    </row>
    <row r="1488" spans="7:7" x14ac:dyDescent="0.3">
      <c r="G1488"/>
    </row>
    <row r="1489" spans="7:7" x14ac:dyDescent="0.3">
      <c r="G1489"/>
    </row>
    <row r="1490" spans="7:7" x14ac:dyDescent="0.3">
      <c r="G1490"/>
    </row>
    <row r="1491" spans="7:7" x14ac:dyDescent="0.3">
      <c r="G1491"/>
    </row>
    <row r="1492" spans="7:7" x14ac:dyDescent="0.3">
      <c r="G1492"/>
    </row>
    <row r="1493" spans="7:7" x14ac:dyDescent="0.3">
      <c r="G1493"/>
    </row>
    <row r="1494" spans="7:7" x14ac:dyDescent="0.3">
      <c r="G1494"/>
    </row>
    <row r="1495" spans="7:7" x14ac:dyDescent="0.3">
      <c r="G1495"/>
    </row>
    <row r="1496" spans="7:7" x14ac:dyDescent="0.3">
      <c r="G1496"/>
    </row>
    <row r="1497" spans="7:7" x14ac:dyDescent="0.3">
      <c r="G1497"/>
    </row>
    <row r="1498" spans="7:7" x14ac:dyDescent="0.3">
      <c r="G1498"/>
    </row>
    <row r="1499" spans="7:7" x14ac:dyDescent="0.3">
      <c r="G1499"/>
    </row>
    <row r="1500" spans="7:7" x14ac:dyDescent="0.3">
      <c r="G1500"/>
    </row>
    <row r="1501" spans="7:7" x14ac:dyDescent="0.3">
      <c r="G1501"/>
    </row>
    <row r="1502" spans="7:7" x14ac:dyDescent="0.3">
      <c r="G1502"/>
    </row>
    <row r="1503" spans="7:7" x14ac:dyDescent="0.3">
      <c r="G1503"/>
    </row>
    <row r="1504" spans="7:7" x14ac:dyDescent="0.3">
      <c r="G1504"/>
    </row>
    <row r="1505" spans="7:7" x14ac:dyDescent="0.3">
      <c r="G1505"/>
    </row>
    <row r="1506" spans="7:7" x14ac:dyDescent="0.3">
      <c r="G1506"/>
    </row>
    <row r="1507" spans="7:7" x14ac:dyDescent="0.3">
      <c r="G1507"/>
    </row>
    <row r="1508" spans="7:7" x14ac:dyDescent="0.3">
      <c r="G1508"/>
    </row>
    <row r="1509" spans="7:7" x14ac:dyDescent="0.3">
      <c r="G1509"/>
    </row>
    <row r="1510" spans="7:7" x14ac:dyDescent="0.3">
      <c r="G1510"/>
    </row>
    <row r="1511" spans="7:7" x14ac:dyDescent="0.3">
      <c r="G1511"/>
    </row>
    <row r="1512" spans="7:7" x14ac:dyDescent="0.3">
      <c r="G1512"/>
    </row>
    <row r="1513" spans="7:7" x14ac:dyDescent="0.3">
      <c r="G1513"/>
    </row>
    <row r="1514" spans="7:7" x14ac:dyDescent="0.3">
      <c r="G1514"/>
    </row>
    <row r="1515" spans="7:7" x14ac:dyDescent="0.3">
      <c r="G1515"/>
    </row>
    <row r="1516" spans="7:7" x14ac:dyDescent="0.3">
      <c r="G1516"/>
    </row>
    <row r="1517" spans="7:7" x14ac:dyDescent="0.3">
      <c r="G1517"/>
    </row>
    <row r="1518" spans="7:7" x14ac:dyDescent="0.3">
      <c r="G1518"/>
    </row>
    <row r="1519" spans="7:7" x14ac:dyDescent="0.3">
      <c r="G1519"/>
    </row>
    <row r="1520" spans="7:7" x14ac:dyDescent="0.3">
      <c r="G1520"/>
    </row>
    <row r="1521" spans="7:7" x14ac:dyDescent="0.3">
      <c r="G1521"/>
    </row>
    <row r="1522" spans="7:7" x14ac:dyDescent="0.3">
      <c r="G1522"/>
    </row>
    <row r="1523" spans="7:7" x14ac:dyDescent="0.3">
      <c r="G1523"/>
    </row>
    <row r="1524" spans="7:7" x14ac:dyDescent="0.3">
      <c r="G1524"/>
    </row>
    <row r="1525" spans="7:7" x14ac:dyDescent="0.3">
      <c r="G1525"/>
    </row>
    <row r="1526" spans="7:7" x14ac:dyDescent="0.3">
      <c r="G1526"/>
    </row>
    <row r="1527" spans="7:7" x14ac:dyDescent="0.3">
      <c r="G1527"/>
    </row>
    <row r="1528" spans="7:7" x14ac:dyDescent="0.3">
      <c r="G1528"/>
    </row>
    <row r="1529" spans="7:7" x14ac:dyDescent="0.3">
      <c r="G1529"/>
    </row>
    <row r="1530" spans="7:7" x14ac:dyDescent="0.3">
      <c r="G1530"/>
    </row>
    <row r="1531" spans="7:7" x14ac:dyDescent="0.3">
      <c r="G1531"/>
    </row>
    <row r="1532" spans="7:7" x14ac:dyDescent="0.3">
      <c r="G1532"/>
    </row>
    <row r="1533" spans="7:7" x14ac:dyDescent="0.3">
      <c r="G1533"/>
    </row>
    <row r="1534" spans="7:7" x14ac:dyDescent="0.3">
      <c r="G1534"/>
    </row>
    <row r="1535" spans="7:7" x14ac:dyDescent="0.3">
      <c r="G1535"/>
    </row>
    <row r="1536" spans="7:7" x14ac:dyDescent="0.3">
      <c r="G1536"/>
    </row>
    <row r="1537" spans="7:7" x14ac:dyDescent="0.3">
      <c r="G1537"/>
    </row>
    <row r="1538" spans="7:7" x14ac:dyDescent="0.3">
      <c r="G1538"/>
    </row>
    <row r="1539" spans="7:7" x14ac:dyDescent="0.3">
      <c r="G1539"/>
    </row>
    <row r="1540" spans="7:7" x14ac:dyDescent="0.3">
      <c r="G1540"/>
    </row>
    <row r="1541" spans="7:7" x14ac:dyDescent="0.3">
      <c r="G1541"/>
    </row>
    <row r="1542" spans="7:7" x14ac:dyDescent="0.3">
      <c r="G1542"/>
    </row>
    <row r="1543" spans="7:7" x14ac:dyDescent="0.3">
      <c r="G1543"/>
    </row>
    <row r="1544" spans="7:7" x14ac:dyDescent="0.3">
      <c r="G1544"/>
    </row>
    <row r="1545" spans="7:7" x14ac:dyDescent="0.3">
      <c r="G1545"/>
    </row>
    <row r="1546" spans="7:7" x14ac:dyDescent="0.3">
      <c r="G1546"/>
    </row>
    <row r="1547" spans="7:7" x14ac:dyDescent="0.3">
      <c r="G1547"/>
    </row>
    <row r="1548" spans="7:7" x14ac:dyDescent="0.3">
      <c r="G1548"/>
    </row>
    <row r="1549" spans="7:7" x14ac:dyDescent="0.3">
      <c r="G1549"/>
    </row>
    <row r="1550" spans="7:7" x14ac:dyDescent="0.3">
      <c r="G1550"/>
    </row>
    <row r="1551" spans="7:7" x14ac:dyDescent="0.3">
      <c r="G1551"/>
    </row>
    <row r="1552" spans="7:7" x14ac:dyDescent="0.3">
      <c r="G1552"/>
    </row>
    <row r="1553" spans="7:7" x14ac:dyDescent="0.3">
      <c r="G1553"/>
    </row>
    <row r="1554" spans="7:7" x14ac:dyDescent="0.3">
      <c r="G1554"/>
    </row>
    <row r="1555" spans="7:7" x14ac:dyDescent="0.3">
      <c r="G1555"/>
    </row>
    <row r="1556" spans="7:7" x14ac:dyDescent="0.3">
      <c r="G1556"/>
    </row>
    <row r="1557" spans="7:7" x14ac:dyDescent="0.3">
      <c r="G1557"/>
    </row>
    <row r="1558" spans="7:7" x14ac:dyDescent="0.3">
      <c r="G1558"/>
    </row>
    <row r="1559" spans="7:7" x14ac:dyDescent="0.3">
      <c r="G1559"/>
    </row>
    <row r="1560" spans="7:7" x14ac:dyDescent="0.3">
      <c r="G1560"/>
    </row>
    <row r="1561" spans="7:7" x14ac:dyDescent="0.3">
      <c r="G1561"/>
    </row>
    <row r="1562" spans="7:7" x14ac:dyDescent="0.3">
      <c r="G1562"/>
    </row>
    <row r="1563" spans="7:7" x14ac:dyDescent="0.3">
      <c r="G1563"/>
    </row>
    <row r="1564" spans="7:7" x14ac:dyDescent="0.3">
      <c r="G1564"/>
    </row>
    <row r="1565" spans="7:7" x14ac:dyDescent="0.3">
      <c r="G1565"/>
    </row>
    <row r="1566" spans="7:7" x14ac:dyDescent="0.3">
      <c r="G1566"/>
    </row>
    <row r="1567" spans="7:7" x14ac:dyDescent="0.3">
      <c r="G1567"/>
    </row>
    <row r="1568" spans="7:7" x14ac:dyDescent="0.3">
      <c r="G1568"/>
    </row>
    <row r="1569" spans="7:7" x14ac:dyDescent="0.3">
      <c r="G1569"/>
    </row>
    <row r="1570" spans="7:7" x14ac:dyDescent="0.3">
      <c r="G1570"/>
    </row>
    <row r="1571" spans="7:7" x14ac:dyDescent="0.3">
      <c r="G1571"/>
    </row>
    <row r="1572" spans="7:7" x14ac:dyDescent="0.3">
      <c r="G1572"/>
    </row>
    <row r="1573" spans="7:7" x14ac:dyDescent="0.3">
      <c r="G1573"/>
    </row>
    <row r="1574" spans="7:7" x14ac:dyDescent="0.3">
      <c r="G1574"/>
    </row>
    <row r="1575" spans="7:7" x14ac:dyDescent="0.3">
      <c r="G1575"/>
    </row>
    <row r="1576" spans="7:7" x14ac:dyDescent="0.3">
      <c r="G1576"/>
    </row>
    <row r="1577" spans="7:7" x14ac:dyDescent="0.3">
      <c r="G1577"/>
    </row>
    <row r="1578" spans="7:7" x14ac:dyDescent="0.3">
      <c r="G1578"/>
    </row>
    <row r="1579" spans="7:7" x14ac:dyDescent="0.3">
      <c r="G1579"/>
    </row>
    <row r="1580" spans="7:7" x14ac:dyDescent="0.3">
      <c r="G1580"/>
    </row>
    <row r="1581" spans="7:7" x14ac:dyDescent="0.3">
      <c r="G1581"/>
    </row>
    <row r="1582" spans="7:7" x14ac:dyDescent="0.3">
      <c r="G1582"/>
    </row>
    <row r="1583" spans="7:7" x14ac:dyDescent="0.3">
      <c r="G1583"/>
    </row>
    <row r="1584" spans="7:7" x14ac:dyDescent="0.3">
      <c r="G1584"/>
    </row>
    <row r="1585" spans="7:7" x14ac:dyDescent="0.3">
      <c r="G1585"/>
    </row>
    <row r="1586" spans="7:7" x14ac:dyDescent="0.3">
      <c r="G1586"/>
    </row>
    <row r="1587" spans="7:7" x14ac:dyDescent="0.3">
      <c r="G1587"/>
    </row>
    <row r="1588" spans="7:7" x14ac:dyDescent="0.3">
      <c r="G1588"/>
    </row>
    <row r="1589" spans="7:7" x14ac:dyDescent="0.3">
      <c r="G1589"/>
    </row>
    <row r="1590" spans="7:7" x14ac:dyDescent="0.3">
      <c r="G1590"/>
    </row>
    <row r="1591" spans="7:7" x14ac:dyDescent="0.3">
      <c r="G1591"/>
    </row>
    <row r="1592" spans="7:7" x14ac:dyDescent="0.3">
      <c r="G1592"/>
    </row>
    <row r="1593" spans="7:7" x14ac:dyDescent="0.3">
      <c r="G1593"/>
    </row>
    <row r="1594" spans="7:7" x14ac:dyDescent="0.3">
      <c r="G1594"/>
    </row>
    <row r="1595" spans="7:7" x14ac:dyDescent="0.3">
      <c r="G1595"/>
    </row>
    <row r="1596" spans="7:7" x14ac:dyDescent="0.3">
      <c r="G1596"/>
    </row>
    <row r="1597" spans="7:7" x14ac:dyDescent="0.3">
      <c r="G1597"/>
    </row>
    <row r="1598" spans="7:7" x14ac:dyDescent="0.3">
      <c r="G1598"/>
    </row>
    <row r="1599" spans="7:7" x14ac:dyDescent="0.3">
      <c r="G1599"/>
    </row>
    <row r="1600" spans="7:7" x14ac:dyDescent="0.3">
      <c r="G1600"/>
    </row>
    <row r="1601" spans="7:7" x14ac:dyDescent="0.3">
      <c r="G1601"/>
    </row>
    <row r="1602" spans="7:7" x14ac:dyDescent="0.3">
      <c r="G1602"/>
    </row>
    <row r="1603" spans="7:7" x14ac:dyDescent="0.3">
      <c r="G1603"/>
    </row>
    <row r="1604" spans="7:7" x14ac:dyDescent="0.3">
      <c r="G1604"/>
    </row>
    <row r="1605" spans="7:7" x14ac:dyDescent="0.3">
      <c r="G1605"/>
    </row>
    <row r="1606" spans="7:7" x14ac:dyDescent="0.3">
      <c r="G1606"/>
    </row>
    <row r="1607" spans="7:7" x14ac:dyDescent="0.3">
      <c r="G1607"/>
    </row>
    <row r="1608" spans="7:7" x14ac:dyDescent="0.3">
      <c r="G1608"/>
    </row>
    <row r="1609" spans="7:7" x14ac:dyDescent="0.3">
      <c r="G1609"/>
    </row>
    <row r="1610" spans="7:7" x14ac:dyDescent="0.3">
      <c r="G1610"/>
    </row>
    <row r="1611" spans="7:7" x14ac:dyDescent="0.3">
      <c r="G1611"/>
    </row>
    <row r="1612" spans="7:7" x14ac:dyDescent="0.3">
      <c r="G1612"/>
    </row>
    <row r="1613" spans="7:7" x14ac:dyDescent="0.3">
      <c r="G1613"/>
    </row>
    <row r="1614" spans="7:7" x14ac:dyDescent="0.3">
      <c r="G1614"/>
    </row>
    <row r="1615" spans="7:7" x14ac:dyDescent="0.3">
      <c r="G1615"/>
    </row>
    <row r="1616" spans="7:7" x14ac:dyDescent="0.3">
      <c r="G1616"/>
    </row>
    <row r="1617" spans="7:7" x14ac:dyDescent="0.3">
      <c r="G1617"/>
    </row>
    <row r="1618" spans="7:7" x14ac:dyDescent="0.3">
      <c r="G1618"/>
    </row>
    <row r="1619" spans="7:7" x14ac:dyDescent="0.3">
      <c r="G1619"/>
    </row>
    <row r="1620" spans="7:7" x14ac:dyDescent="0.3">
      <c r="G1620"/>
    </row>
    <row r="1621" spans="7:7" x14ac:dyDescent="0.3">
      <c r="G1621"/>
    </row>
    <row r="1622" spans="7:7" x14ac:dyDescent="0.3">
      <c r="G1622"/>
    </row>
    <row r="1623" spans="7:7" x14ac:dyDescent="0.3">
      <c r="G1623"/>
    </row>
    <row r="1624" spans="7:7" x14ac:dyDescent="0.3">
      <c r="G1624"/>
    </row>
    <row r="1625" spans="7:7" x14ac:dyDescent="0.3">
      <c r="G1625"/>
    </row>
    <row r="1626" spans="7:7" x14ac:dyDescent="0.3">
      <c r="G1626"/>
    </row>
    <row r="1627" spans="7:7" x14ac:dyDescent="0.3">
      <c r="G1627"/>
    </row>
    <row r="1628" spans="7:7" x14ac:dyDescent="0.3">
      <c r="G1628"/>
    </row>
    <row r="1629" spans="7:7" x14ac:dyDescent="0.3">
      <c r="G1629"/>
    </row>
    <row r="1630" spans="7:7" x14ac:dyDescent="0.3">
      <c r="G1630"/>
    </row>
    <row r="1631" spans="7:7" x14ac:dyDescent="0.3">
      <c r="G1631"/>
    </row>
    <row r="1632" spans="7:7" x14ac:dyDescent="0.3">
      <c r="G1632"/>
    </row>
    <row r="1633" spans="7:7" x14ac:dyDescent="0.3">
      <c r="G1633"/>
    </row>
    <row r="1634" spans="7:7" x14ac:dyDescent="0.3">
      <c r="G1634"/>
    </row>
    <row r="1635" spans="7:7" x14ac:dyDescent="0.3">
      <c r="G1635"/>
    </row>
    <row r="1636" spans="7:7" x14ac:dyDescent="0.3">
      <c r="G1636"/>
    </row>
    <row r="1637" spans="7:7" x14ac:dyDescent="0.3">
      <c r="G1637"/>
    </row>
    <row r="1638" spans="7:7" x14ac:dyDescent="0.3">
      <c r="G1638"/>
    </row>
    <row r="1639" spans="7:7" x14ac:dyDescent="0.3">
      <c r="G1639"/>
    </row>
    <row r="1640" spans="7:7" x14ac:dyDescent="0.3">
      <c r="G1640"/>
    </row>
    <row r="1641" spans="7:7" x14ac:dyDescent="0.3">
      <c r="G1641"/>
    </row>
    <row r="1642" spans="7:7" x14ac:dyDescent="0.3">
      <c r="G1642"/>
    </row>
    <row r="1643" spans="7:7" x14ac:dyDescent="0.3">
      <c r="G1643"/>
    </row>
    <row r="1644" spans="7:7" x14ac:dyDescent="0.3">
      <c r="G1644"/>
    </row>
    <row r="1645" spans="7:7" x14ac:dyDescent="0.3">
      <c r="G1645"/>
    </row>
    <row r="1646" spans="7:7" x14ac:dyDescent="0.3">
      <c r="G1646"/>
    </row>
    <row r="1647" spans="7:7" x14ac:dyDescent="0.3">
      <c r="G1647"/>
    </row>
    <row r="1648" spans="7:7" x14ac:dyDescent="0.3">
      <c r="G1648"/>
    </row>
    <row r="1649" spans="7:7" x14ac:dyDescent="0.3">
      <c r="G1649"/>
    </row>
    <row r="1650" spans="7:7" x14ac:dyDescent="0.3">
      <c r="G1650"/>
    </row>
    <row r="1651" spans="7:7" x14ac:dyDescent="0.3">
      <c r="G1651"/>
    </row>
    <row r="1652" spans="7:7" x14ac:dyDescent="0.3">
      <c r="G1652"/>
    </row>
    <row r="1653" spans="7:7" x14ac:dyDescent="0.3">
      <c r="G1653"/>
    </row>
    <row r="1654" spans="7:7" x14ac:dyDescent="0.3">
      <c r="G1654"/>
    </row>
    <row r="1655" spans="7:7" x14ac:dyDescent="0.3">
      <c r="G1655"/>
    </row>
    <row r="1656" spans="7:7" x14ac:dyDescent="0.3">
      <c r="G1656"/>
    </row>
    <row r="1657" spans="7:7" x14ac:dyDescent="0.3">
      <c r="G1657"/>
    </row>
    <row r="1658" spans="7:7" x14ac:dyDescent="0.3">
      <c r="G1658"/>
    </row>
    <row r="1659" spans="7:7" x14ac:dyDescent="0.3">
      <c r="G1659"/>
    </row>
    <row r="1660" spans="7:7" x14ac:dyDescent="0.3">
      <c r="G1660"/>
    </row>
    <row r="1661" spans="7:7" x14ac:dyDescent="0.3">
      <c r="G1661"/>
    </row>
    <row r="1662" spans="7:7" x14ac:dyDescent="0.3">
      <c r="G1662"/>
    </row>
    <row r="1663" spans="7:7" x14ac:dyDescent="0.3">
      <c r="G1663"/>
    </row>
    <row r="1664" spans="7:7" x14ac:dyDescent="0.3">
      <c r="G1664"/>
    </row>
    <row r="1665" spans="7:7" x14ac:dyDescent="0.3">
      <c r="G1665"/>
    </row>
    <row r="1666" spans="7:7" x14ac:dyDescent="0.3">
      <c r="G1666"/>
    </row>
    <row r="1667" spans="7:7" x14ac:dyDescent="0.3">
      <c r="G1667"/>
    </row>
    <row r="1668" spans="7:7" x14ac:dyDescent="0.3">
      <c r="G1668"/>
    </row>
    <row r="1669" spans="7:7" x14ac:dyDescent="0.3">
      <c r="G1669"/>
    </row>
    <row r="1670" spans="7:7" x14ac:dyDescent="0.3">
      <c r="G1670"/>
    </row>
    <row r="1671" spans="7:7" x14ac:dyDescent="0.3">
      <c r="G1671"/>
    </row>
    <row r="1672" spans="7:7" x14ac:dyDescent="0.3">
      <c r="G1672"/>
    </row>
    <row r="1673" spans="7:7" x14ac:dyDescent="0.3">
      <c r="G1673"/>
    </row>
    <row r="1674" spans="7:7" x14ac:dyDescent="0.3">
      <c r="G1674"/>
    </row>
    <row r="1675" spans="7:7" x14ac:dyDescent="0.3">
      <c r="G1675"/>
    </row>
    <row r="1676" spans="7:7" x14ac:dyDescent="0.3">
      <c r="G1676"/>
    </row>
    <row r="1677" spans="7:7" x14ac:dyDescent="0.3">
      <c r="G1677"/>
    </row>
    <row r="1678" spans="7:7" x14ac:dyDescent="0.3">
      <c r="G1678"/>
    </row>
    <row r="1679" spans="7:7" x14ac:dyDescent="0.3">
      <c r="G1679"/>
    </row>
    <row r="1680" spans="7:7" x14ac:dyDescent="0.3">
      <c r="G1680"/>
    </row>
    <row r="1681" spans="7:7" x14ac:dyDescent="0.3">
      <c r="G1681"/>
    </row>
    <row r="1682" spans="7:7" x14ac:dyDescent="0.3">
      <c r="G1682"/>
    </row>
    <row r="1683" spans="7:7" x14ac:dyDescent="0.3">
      <c r="G1683"/>
    </row>
    <row r="1684" spans="7:7" x14ac:dyDescent="0.3">
      <c r="G1684"/>
    </row>
    <row r="1685" spans="7:7" x14ac:dyDescent="0.3">
      <c r="G1685"/>
    </row>
    <row r="1686" spans="7:7" x14ac:dyDescent="0.3">
      <c r="G1686"/>
    </row>
    <row r="1687" spans="7:7" x14ac:dyDescent="0.3">
      <c r="G1687"/>
    </row>
    <row r="1688" spans="7:7" x14ac:dyDescent="0.3">
      <c r="G1688"/>
    </row>
    <row r="1689" spans="7:7" x14ac:dyDescent="0.3">
      <c r="G1689"/>
    </row>
    <row r="1690" spans="7:7" x14ac:dyDescent="0.3">
      <c r="G1690"/>
    </row>
    <row r="1691" spans="7:7" x14ac:dyDescent="0.3">
      <c r="G1691"/>
    </row>
    <row r="1692" spans="7:7" x14ac:dyDescent="0.3">
      <c r="G1692"/>
    </row>
    <row r="1693" spans="7:7" x14ac:dyDescent="0.3">
      <c r="G1693"/>
    </row>
    <row r="1694" spans="7:7" x14ac:dyDescent="0.3">
      <c r="G1694"/>
    </row>
    <row r="1695" spans="7:7" x14ac:dyDescent="0.3">
      <c r="G1695"/>
    </row>
    <row r="1696" spans="7:7" x14ac:dyDescent="0.3">
      <c r="G1696"/>
    </row>
    <row r="1697" spans="7:7" x14ac:dyDescent="0.3">
      <c r="G1697"/>
    </row>
    <row r="1698" spans="7:7" x14ac:dyDescent="0.3">
      <c r="G1698"/>
    </row>
    <row r="1699" spans="7:7" x14ac:dyDescent="0.3">
      <c r="G1699"/>
    </row>
    <row r="1700" spans="7:7" x14ac:dyDescent="0.3">
      <c r="G1700"/>
    </row>
    <row r="1701" spans="7:7" x14ac:dyDescent="0.3">
      <c r="G1701"/>
    </row>
    <row r="1702" spans="7:7" x14ac:dyDescent="0.3">
      <c r="G1702"/>
    </row>
    <row r="1703" spans="7:7" x14ac:dyDescent="0.3">
      <c r="G1703"/>
    </row>
    <row r="1704" spans="7:7" x14ac:dyDescent="0.3">
      <c r="G1704"/>
    </row>
    <row r="1705" spans="7:7" x14ac:dyDescent="0.3">
      <c r="G1705"/>
    </row>
    <row r="1706" spans="7:7" x14ac:dyDescent="0.3">
      <c r="G1706"/>
    </row>
    <row r="1707" spans="7:7" x14ac:dyDescent="0.3">
      <c r="G1707"/>
    </row>
    <row r="1708" spans="7:7" x14ac:dyDescent="0.3">
      <c r="G1708"/>
    </row>
    <row r="1709" spans="7:7" x14ac:dyDescent="0.3">
      <c r="G1709"/>
    </row>
    <row r="1710" spans="7:7" x14ac:dyDescent="0.3">
      <c r="G1710"/>
    </row>
    <row r="1711" spans="7:7" x14ac:dyDescent="0.3">
      <c r="G1711"/>
    </row>
    <row r="1712" spans="7:7" x14ac:dyDescent="0.3">
      <c r="G1712"/>
    </row>
    <row r="1713" spans="7:7" x14ac:dyDescent="0.3">
      <c r="G1713"/>
    </row>
    <row r="1714" spans="7:7" x14ac:dyDescent="0.3">
      <c r="G1714"/>
    </row>
    <row r="1715" spans="7:7" x14ac:dyDescent="0.3">
      <c r="G1715"/>
    </row>
    <row r="1716" spans="7:7" x14ac:dyDescent="0.3">
      <c r="G1716"/>
    </row>
    <row r="1717" spans="7:7" x14ac:dyDescent="0.3">
      <c r="G1717"/>
    </row>
    <row r="1718" spans="7:7" x14ac:dyDescent="0.3">
      <c r="G1718"/>
    </row>
    <row r="1719" spans="7:7" x14ac:dyDescent="0.3">
      <c r="G1719"/>
    </row>
    <row r="1720" spans="7:7" x14ac:dyDescent="0.3">
      <c r="G1720"/>
    </row>
    <row r="1721" spans="7:7" x14ac:dyDescent="0.3">
      <c r="G1721"/>
    </row>
    <row r="1722" spans="7:7" x14ac:dyDescent="0.3">
      <c r="G1722"/>
    </row>
    <row r="1723" spans="7:7" x14ac:dyDescent="0.3">
      <c r="G1723"/>
    </row>
    <row r="1724" spans="7:7" x14ac:dyDescent="0.3">
      <c r="G1724"/>
    </row>
    <row r="1725" spans="7:7" x14ac:dyDescent="0.3">
      <c r="G1725"/>
    </row>
    <row r="1726" spans="7:7" x14ac:dyDescent="0.3">
      <c r="G1726"/>
    </row>
    <row r="1727" spans="7:7" x14ac:dyDescent="0.3">
      <c r="G1727"/>
    </row>
    <row r="1728" spans="7:7" x14ac:dyDescent="0.3">
      <c r="G1728"/>
    </row>
    <row r="1729" spans="7:7" x14ac:dyDescent="0.3">
      <c r="G1729"/>
    </row>
    <row r="1730" spans="7:7" x14ac:dyDescent="0.3">
      <c r="G1730"/>
    </row>
    <row r="1731" spans="7:7" x14ac:dyDescent="0.3">
      <c r="G1731"/>
    </row>
    <row r="1732" spans="7:7" x14ac:dyDescent="0.3">
      <c r="G1732"/>
    </row>
    <row r="1733" spans="7:7" x14ac:dyDescent="0.3">
      <c r="G1733"/>
    </row>
    <row r="1734" spans="7:7" x14ac:dyDescent="0.3">
      <c r="G1734"/>
    </row>
    <row r="1735" spans="7:7" x14ac:dyDescent="0.3">
      <c r="G1735"/>
    </row>
    <row r="1736" spans="7:7" x14ac:dyDescent="0.3">
      <c r="G1736"/>
    </row>
    <row r="1737" spans="7:7" x14ac:dyDescent="0.3">
      <c r="G1737"/>
    </row>
    <row r="1738" spans="7:7" x14ac:dyDescent="0.3">
      <c r="G1738"/>
    </row>
    <row r="1739" spans="7:7" x14ac:dyDescent="0.3">
      <c r="G1739"/>
    </row>
    <row r="1740" spans="7:7" x14ac:dyDescent="0.3">
      <c r="G1740"/>
    </row>
    <row r="1741" spans="7:7" x14ac:dyDescent="0.3">
      <c r="G1741"/>
    </row>
    <row r="1742" spans="7:7" x14ac:dyDescent="0.3">
      <c r="G1742"/>
    </row>
    <row r="1743" spans="7:7" x14ac:dyDescent="0.3">
      <c r="G1743"/>
    </row>
    <row r="1744" spans="7:7" x14ac:dyDescent="0.3">
      <c r="G1744"/>
    </row>
    <row r="1745" spans="7:7" x14ac:dyDescent="0.3">
      <c r="G1745"/>
    </row>
    <row r="1746" spans="7:7" x14ac:dyDescent="0.3">
      <c r="G1746"/>
    </row>
    <row r="1747" spans="7:7" x14ac:dyDescent="0.3">
      <c r="G1747"/>
    </row>
    <row r="1748" spans="7:7" x14ac:dyDescent="0.3">
      <c r="G1748"/>
    </row>
    <row r="1749" spans="7:7" x14ac:dyDescent="0.3">
      <c r="G1749"/>
    </row>
    <row r="1750" spans="7:7" x14ac:dyDescent="0.3">
      <c r="G1750"/>
    </row>
    <row r="1751" spans="7:7" x14ac:dyDescent="0.3">
      <c r="G1751"/>
    </row>
    <row r="1752" spans="7:7" x14ac:dyDescent="0.3">
      <c r="G1752"/>
    </row>
    <row r="1753" spans="7:7" x14ac:dyDescent="0.3">
      <c r="G1753"/>
    </row>
    <row r="1754" spans="7:7" x14ac:dyDescent="0.3">
      <c r="G1754"/>
    </row>
    <row r="1755" spans="7:7" x14ac:dyDescent="0.3">
      <c r="G1755"/>
    </row>
    <row r="1756" spans="7:7" x14ac:dyDescent="0.3">
      <c r="G1756"/>
    </row>
    <row r="1757" spans="7:7" x14ac:dyDescent="0.3">
      <c r="G1757"/>
    </row>
    <row r="1758" spans="7:7" x14ac:dyDescent="0.3">
      <c r="G1758"/>
    </row>
    <row r="1759" spans="7:7" x14ac:dyDescent="0.3">
      <c r="G1759"/>
    </row>
    <row r="1760" spans="7:7" x14ac:dyDescent="0.3">
      <c r="G1760"/>
    </row>
    <row r="1761" spans="7:7" x14ac:dyDescent="0.3">
      <c r="G1761"/>
    </row>
    <row r="1762" spans="7:7" x14ac:dyDescent="0.3">
      <c r="G1762"/>
    </row>
    <row r="1763" spans="7:7" x14ac:dyDescent="0.3">
      <c r="G1763"/>
    </row>
    <row r="1764" spans="7:7" x14ac:dyDescent="0.3">
      <c r="G1764"/>
    </row>
    <row r="1765" spans="7:7" x14ac:dyDescent="0.3">
      <c r="G1765"/>
    </row>
    <row r="1766" spans="7:7" x14ac:dyDescent="0.3">
      <c r="G1766"/>
    </row>
    <row r="1767" spans="7:7" x14ac:dyDescent="0.3">
      <c r="G1767"/>
    </row>
    <row r="1768" spans="7:7" x14ac:dyDescent="0.3">
      <c r="G1768"/>
    </row>
    <row r="1769" spans="7:7" x14ac:dyDescent="0.3">
      <c r="G1769"/>
    </row>
    <row r="1770" spans="7:7" x14ac:dyDescent="0.3">
      <c r="G1770"/>
    </row>
    <row r="1771" spans="7:7" x14ac:dyDescent="0.3">
      <c r="G1771"/>
    </row>
    <row r="1772" spans="7:7" x14ac:dyDescent="0.3">
      <c r="G1772"/>
    </row>
    <row r="1773" spans="7:7" x14ac:dyDescent="0.3">
      <c r="G1773"/>
    </row>
    <row r="1774" spans="7:7" x14ac:dyDescent="0.3">
      <c r="G1774"/>
    </row>
    <row r="1775" spans="7:7" x14ac:dyDescent="0.3">
      <c r="G1775"/>
    </row>
    <row r="1776" spans="7:7" x14ac:dyDescent="0.3">
      <c r="G1776"/>
    </row>
    <row r="1777" spans="7:7" x14ac:dyDescent="0.3">
      <c r="G1777"/>
    </row>
    <row r="1778" spans="7:7" x14ac:dyDescent="0.3">
      <c r="G1778"/>
    </row>
    <row r="1779" spans="7:7" x14ac:dyDescent="0.3">
      <c r="G1779"/>
    </row>
    <row r="1780" spans="7:7" x14ac:dyDescent="0.3">
      <c r="G1780"/>
    </row>
    <row r="1781" spans="7:7" x14ac:dyDescent="0.3">
      <c r="G1781"/>
    </row>
    <row r="1782" spans="7:7" x14ac:dyDescent="0.3">
      <c r="G1782"/>
    </row>
    <row r="1783" spans="7:7" x14ac:dyDescent="0.3">
      <c r="G1783"/>
    </row>
    <row r="1784" spans="7:7" x14ac:dyDescent="0.3">
      <c r="G1784"/>
    </row>
    <row r="1785" spans="7:7" x14ac:dyDescent="0.3">
      <c r="G1785"/>
    </row>
    <row r="1786" spans="7:7" x14ac:dyDescent="0.3">
      <c r="G1786"/>
    </row>
    <row r="1787" spans="7:7" x14ac:dyDescent="0.3">
      <c r="G1787"/>
    </row>
    <row r="1788" spans="7:7" x14ac:dyDescent="0.3">
      <c r="G1788"/>
    </row>
    <row r="1789" spans="7:7" x14ac:dyDescent="0.3">
      <c r="G1789"/>
    </row>
    <row r="1790" spans="7:7" x14ac:dyDescent="0.3">
      <c r="G1790"/>
    </row>
    <row r="1791" spans="7:7" x14ac:dyDescent="0.3">
      <c r="G1791"/>
    </row>
    <row r="1792" spans="7:7" x14ac:dyDescent="0.3">
      <c r="G1792"/>
    </row>
    <row r="1793" spans="7:7" x14ac:dyDescent="0.3">
      <c r="G1793"/>
    </row>
    <row r="1794" spans="7:7" x14ac:dyDescent="0.3">
      <c r="G1794"/>
    </row>
    <row r="1795" spans="7:7" x14ac:dyDescent="0.3">
      <c r="G1795"/>
    </row>
    <row r="1796" spans="7:7" x14ac:dyDescent="0.3">
      <c r="G1796"/>
    </row>
    <row r="1797" spans="7:7" x14ac:dyDescent="0.3">
      <c r="G1797"/>
    </row>
    <row r="1798" spans="7:7" x14ac:dyDescent="0.3">
      <c r="G1798"/>
    </row>
    <row r="1799" spans="7:7" x14ac:dyDescent="0.3">
      <c r="G1799"/>
    </row>
    <row r="1800" spans="7:7" x14ac:dyDescent="0.3">
      <c r="G1800"/>
    </row>
    <row r="1801" spans="7:7" x14ac:dyDescent="0.3">
      <c r="G1801"/>
    </row>
    <row r="1802" spans="7:7" x14ac:dyDescent="0.3">
      <c r="G1802"/>
    </row>
    <row r="1803" spans="7:7" x14ac:dyDescent="0.3">
      <c r="G1803"/>
    </row>
    <row r="1804" spans="7:7" x14ac:dyDescent="0.3">
      <c r="G1804"/>
    </row>
    <row r="1805" spans="7:7" x14ac:dyDescent="0.3">
      <c r="G1805"/>
    </row>
    <row r="1806" spans="7:7" x14ac:dyDescent="0.3">
      <c r="G1806"/>
    </row>
    <row r="1807" spans="7:7" x14ac:dyDescent="0.3">
      <c r="G1807"/>
    </row>
    <row r="1808" spans="7:7" x14ac:dyDescent="0.3">
      <c r="G1808"/>
    </row>
    <row r="1809" spans="7:7" x14ac:dyDescent="0.3">
      <c r="G1809"/>
    </row>
    <row r="1810" spans="7:7" x14ac:dyDescent="0.3">
      <c r="G1810"/>
    </row>
    <row r="1811" spans="7:7" x14ac:dyDescent="0.3">
      <c r="G1811"/>
    </row>
    <row r="1812" spans="7:7" x14ac:dyDescent="0.3">
      <c r="G1812"/>
    </row>
    <row r="1813" spans="7:7" x14ac:dyDescent="0.3">
      <c r="G1813"/>
    </row>
    <row r="1814" spans="7:7" x14ac:dyDescent="0.3">
      <c r="G1814"/>
    </row>
    <row r="1815" spans="7:7" x14ac:dyDescent="0.3">
      <c r="G1815"/>
    </row>
    <row r="1816" spans="7:7" x14ac:dyDescent="0.3">
      <c r="G1816"/>
    </row>
    <row r="1817" spans="7:7" x14ac:dyDescent="0.3">
      <c r="G1817"/>
    </row>
    <row r="1818" spans="7:7" x14ac:dyDescent="0.3">
      <c r="G1818"/>
    </row>
    <row r="1819" spans="7:7" x14ac:dyDescent="0.3">
      <c r="G1819"/>
    </row>
    <row r="1820" spans="7:7" x14ac:dyDescent="0.3">
      <c r="G1820"/>
    </row>
    <row r="1821" spans="7:7" x14ac:dyDescent="0.3">
      <c r="G1821"/>
    </row>
    <row r="1822" spans="7:7" x14ac:dyDescent="0.3">
      <c r="G1822"/>
    </row>
    <row r="1823" spans="7:7" x14ac:dyDescent="0.3">
      <c r="G1823"/>
    </row>
    <row r="1824" spans="7:7" x14ac:dyDescent="0.3">
      <c r="G1824"/>
    </row>
    <row r="1825" spans="7:7" x14ac:dyDescent="0.3">
      <c r="G1825"/>
    </row>
    <row r="1826" spans="7:7" x14ac:dyDescent="0.3">
      <c r="G1826"/>
    </row>
    <row r="1827" spans="7:7" x14ac:dyDescent="0.3">
      <c r="G1827"/>
    </row>
    <row r="1828" spans="7:7" x14ac:dyDescent="0.3">
      <c r="G1828"/>
    </row>
    <row r="1829" spans="7:7" x14ac:dyDescent="0.3">
      <c r="G1829"/>
    </row>
    <row r="1830" spans="7:7" x14ac:dyDescent="0.3">
      <c r="G1830"/>
    </row>
    <row r="1831" spans="7:7" x14ac:dyDescent="0.3">
      <c r="G1831"/>
    </row>
    <row r="1832" spans="7:7" x14ac:dyDescent="0.3">
      <c r="G1832"/>
    </row>
    <row r="1833" spans="7:7" x14ac:dyDescent="0.3">
      <c r="G1833"/>
    </row>
    <row r="1834" spans="7:7" x14ac:dyDescent="0.3">
      <c r="G1834"/>
    </row>
    <row r="1835" spans="7:7" x14ac:dyDescent="0.3">
      <c r="G1835"/>
    </row>
    <row r="1836" spans="7:7" x14ac:dyDescent="0.3">
      <c r="G1836"/>
    </row>
    <row r="1837" spans="7:7" x14ac:dyDescent="0.3">
      <c r="G1837"/>
    </row>
    <row r="1838" spans="7:7" x14ac:dyDescent="0.3">
      <c r="G1838"/>
    </row>
    <row r="1839" spans="7:7" x14ac:dyDescent="0.3">
      <c r="G1839"/>
    </row>
    <row r="1840" spans="7:7" x14ac:dyDescent="0.3">
      <c r="G1840"/>
    </row>
    <row r="1841" spans="7:7" x14ac:dyDescent="0.3">
      <c r="G1841"/>
    </row>
    <row r="1842" spans="7:7" x14ac:dyDescent="0.3">
      <c r="G1842"/>
    </row>
    <row r="1843" spans="7:7" x14ac:dyDescent="0.3">
      <c r="G1843"/>
    </row>
    <row r="1844" spans="7:7" x14ac:dyDescent="0.3">
      <c r="G1844"/>
    </row>
    <row r="1845" spans="7:7" x14ac:dyDescent="0.3">
      <c r="G1845"/>
    </row>
    <row r="1846" spans="7:7" x14ac:dyDescent="0.3">
      <c r="G1846"/>
    </row>
    <row r="1847" spans="7:7" x14ac:dyDescent="0.3">
      <c r="G1847"/>
    </row>
    <row r="1848" spans="7:7" x14ac:dyDescent="0.3">
      <c r="G1848"/>
    </row>
    <row r="1849" spans="7:7" x14ac:dyDescent="0.3">
      <c r="G1849"/>
    </row>
    <row r="1850" spans="7:7" x14ac:dyDescent="0.3">
      <c r="G1850"/>
    </row>
    <row r="1851" spans="7:7" x14ac:dyDescent="0.3">
      <c r="G1851"/>
    </row>
    <row r="1852" spans="7:7" x14ac:dyDescent="0.3">
      <c r="G1852"/>
    </row>
    <row r="1853" spans="7:7" x14ac:dyDescent="0.3">
      <c r="G1853"/>
    </row>
    <row r="1854" spans="7:7" x14ac:dyDescent="0.3">
      <c r="G1854"/>
    </row>
    <row r="1855" spans="7:7" x14ac:dyDescent="0.3">
      <c r="G1855"/>
    </row>
    <row r="1856" spans="7:7" x14ac:dyDescent="0.3">
      <c r="G1856"/>
    </row>
    <row r="1857" spans="7:7" x14ac:dyDescent="0.3">
      <c r="G1857"/>
    </row>
    <row r="1858" spans="7:7" x14ac:dyDescent="0.3">
      <c r="G1858"/>
    </row>
    <row r="1859" spans="7:7" x14ac:dyDescent="0.3">
      <c r="G1859"/>
    </row>
    <row r="1860" spans="7:7" x14ac:dyDescent="0.3">
      <c r="G1860"/>
    </row>
    <row r="1861" spans="7:7" x14ac:dyDescent="0.3">
      <c r="G1861"/>
    </row>
    <row r="1862" spans="7:7" x14ac:dyDescent="0.3">
      <c r="G1862"/>
    </row>
    <row r="1863" spans="7:7" x14ac:dyDescent="0.3">
      <c r="G1863"/>
    </row>
    <row r="1864" spans="7:7" x14ac:dyDescent="0.3">
      <c r="G1864"/>
    </row>
    <row r="1865" spans="7:7" x14ac:dyDescent="0.3">
      <c r="G1865"/>
    </row>
    <row r="1866" spans="7:7" x14ac:dyDescent="0.3">
      <c r="G1866"/>
    </row>
    <row r="1867" spans="7:7" x14ac:dyDescent="0.3">
      <c r="G1867"/>
    </row>
    <row r="1868" spans="7:7" x14ac:dyDescent="0.3">
      <c r="G1868"/>
    </row>
    <row r="1869" spans="7:7" x14ac:dyDescent="0.3">
      <c r="G1869"/>
    </row>
    <row r="1870" spans="7:7" x14ac:dyDescent="0.3">
      <c r="G1870"/>
    </row>
    <row r="1871" spans="7:7" x14ac:dyDescent="0.3">
      <c r="G1871"/>
    </row>
    <row r="1872" spans="7:7" x14ac:dyDescent="0.3">
      <c r="G1872"/>
    </row>
    <row r="1873" spans="7:7" x14ac:dyDescent="0.3">
      <c r="G1873"/>
    </row>
    <row r="1874" spans="7:7" x14ac:dyDescent="0.3">
      <c r="G1874"/>
    </row>
    <row r="1875" spans="7:7" x14ac:dyDescent="0.3">
      <c r="G1875"/>
    </row>
    <row r="1876" spans="7:7" x14ac:dyDescent="0.3">
      <c r="G1876"/>
    </row>
    <row r="1877" spans="7:7" x14ac:dyDescent="0.3">
      <c r="G1877"/>
    </row>
    <row r="1878" spans="7:7" x14ac:dyDescent="0.3">
      <c r="G1878"/>
    </row>
    <row r="1879" spans="7:7" x14ac:dyDescent="0.3">
      <c r="G1879"/>
    </row>
    <row r="1880" spans="7:7" x14ac:dyDescent="0.3">
      <c r="G1880"/>
    </row>
    <row r="1881" spans="7:7" x14ac:dyDescent="0.3">
      <c r="G1881"/>
    </row>
    <row r="1882" spans="7:7" x14ac:dyDescent="0.3">
      <c r="G1882"/>
    </row>
    <row r="1883" spans="7:7" x14ac:dyDescent="0.3">
      <c r="G1883"/>
    </row>
    <row r="1884" spans="7:7" x14ac:dyDescent="0.3">
      <c r="G1884"/>
    </row>
    <row r="1885" spans="7:7" x14ac:dyDescent="0.3">
      <c r="G1885"/>
    </row>
    <row r="1886" spans="7:7" x14ac:dyDescent="0.3">
      <c r="G1886"/>
    </row>
    <row r="1887" spans="7:7" x14ac:dyDescent="0.3">
      <c r="G1887"/>
    </row>
    <row r="1888" spans="7:7" x14ac:dyDescent="0.3">
      <c r="G1888"/>
    </row>
    <row r="1889" spans="7:7" x14ac:dyDescent="0.3">
      <c r="G1889"/>
    </row>
    <row r="1890" spans="7:7" x14ac:dyDescent="0.3">
      <c r="G1890"/>
    </row>
    <row r="1891" spans="7:7" x14ac:dyDescent="0.3">
      <c r="G1891"/>
    </row>
    <row r="1892" spans="7:7" x14ac:dyDescent="0.3">
      <c r="G1892"/>
    </row>
    <row r="1893" spans="7:7" x14ac:dyDescent="0.3">
      <c r="G1893"/>
    </row>
    <row r="1894" spans="7:7" x14ac:dyDescent="0.3">
      <c r="G1894"/>
    </row>
    <row r="1895" spans="7:7" x14ac:dyDescent="0.3">
      <c r="G1895"/>
    </row>
    <row r="1896" spans="7:7" x14ac:dyDescent="0.3">
      <c r="G1896"/>
    </row>
    <row r="1897" spans="7:7" x14ac:dyDescent="0.3">
      <c r="G1897"/>
    </row>
    <row r="1898" spans="7:7" x14ac:dyDescent="0.3">
      <c r="G1898"/>
    </row>
    <row r="1899" spans="7:7" x14ac:dyDescent="0.3">
      <c r="G1899"/>
    </row>
    <row r="1900" spans="7:7" x14ac:dyDescent="0.3">
      <c r="G1900"/>
    </row>
    <row r="1901" spans="7:7" x14ac:dyDescent="0.3">
      <c r="G1901"/>
    </row>
    <row r="1902" spans="7:7" x14ac:dyDescent="0.3">
      <c r="G1902"/>
    </row>
    <row r="1903" spans="7:7" x14ac:dyDescent="0.3">
      <c r="G1903"/>
    </row>
    <row r="1904" spans="7:7" x14ac:dyDescent="0.3">
      <c r="G1904"/>
    </row>
    <row r="1905" spans="7:7" x14ac:dyDescent="0.3">
      <c r="G1905"/>
    </row>
    <row r="1906" spans="7:7" x14ac:dyDescent="0.3">
      <c r="G1906"/>
    </row>
    <row r="1907" spans="7:7" x14ac:dyDescent="0.3">
      <c r="G1907"/>
    </row>
    <row r="1908" spans="7:7" x14ac:dyDescent="0.3">
      <c r="G1908"/>
    </row>
    <row r="1909" spans="7:7" x14ac:dyDescent="0.3">
      <c r="G1909"/>
    </row>
    <row r="1910" spans="7:7" x14ac:dyDescent="0.3">
      <c r="G1910"/>
    </row>
    <row r="1911" spans="7:7" x14ac:dyDescent="0.3">
      <c r="G1911"/>
    </row>
    <row r="1912" spans="7:7" x14ac:dyDescent="0.3">
      <c r="G1912"/>
    </row>
    <row r="1913" spans="7:7" x14ac:dyDescent="0.3">
      <c r="G1913"/>
    </row>
    <row r="1914" spans="7:7" x14ac:dyDescent="0.3">
      <c r="G1914"/>
    </row>
    <row r="1915" spans="7:7" x14ac:dyDescent="0.3">
      <c r="G1915"/>
    </row>
    <row r="1916" spans="7:7" x14ac:dyDescent="0.3">
      <c r="G1916"/>
    </row>
    <row r="1917" spans="7:7" x14ac:dyDescent="0.3">
      <c r="G1917"/>
    </row>
    <row r="1918" spans="7:7" x14ac:dyDescent="0.3">
      <c r="G1918"/>
    </row>
    <row r="1919" spans="7:7" x14ac:dyDescent="0.3">
      <c r="G1919"/>
    </row>
    <row r="1920" spans="7:7" x14ac:dyDescent="0.3">
      <c r="G1920"/>
    </row>
    <row r="1921" spans="7:7" x14ac:dyDescent="0.3">
      <c r="G1921"/>
    </row>
    <row r="1922" spans="7:7" x14ac:dyDescent="0.3">
      <c r="G1922"/>
    </row>
    <row r="1923" spans="7:7" x14ac:dyDescent="0.3">
      <c r="G1923"/>
    </row>
    <row r="1924" spans="7:7" x14ac:dyDescent="0.3">
      <c r="G1924"/>
    </row>
    <row r="1925" spans="7:7" x14ac:dyDescent="0.3">
      <c r="G1925"/>
    </row>
    <row r="1926" spans="7:7" x14ac:dyDescent="0.3">
      <c r="G1926"/>
    </row>
    <row r="1927" spans="7:7" x14ac:dyDescent="0.3">
      <c r="G1927"/>
    </row>
    <row r="1928" spans="7:7" x14ac:dyDescent="0.3">
      <c r="G1928"/>
    </row>
    <row r="1929" spans="7:7" x14ac:dyDescent="0.3">
      <c r="G1929"/>
    </row>
    <row r="1930" spans="7:7" x14ac:dyDescent="0.3">
      <c r="G1930"/>
    </row>
    <row r="1931" spans="7:7" x14ac:dyDescent="0.3">
      <c r="G1931"/>
    </row>
    <row r="1932" spans="7:7" x14ac:dyDescent="0.3">
      <c r="G1932"/>
    </row>
    <row r="1933" spans="7:7" x14ac:dyDescent="0.3">
      <c r="G1933"/>
    </row>
    <row r="1934" spans="7:7" x14ac:dyDescent="0.3">
      <c r="G1934"/>
    </row>
    <row r="1935" spans="7:7" x14ac:dyDescent="0.3">
      <c r="G1935"/>
    </row>
    <row r="1936" spans="7:7" x14ac:dyDescent="0.3">
      <c r="G1936"/>
    </row>
    <row r="1937" spans="7:7" x14ac:dyDescent="0.3">
      <c r="G1937"/>
    </row>
    <row r="1938" spans="7:7" x14ac:dyDescent="0.3">
      <c r="G1938"/>
    </row>
    <row r="1939" spans="7:7" x14ac:dyDescent="0.3">
      <c r="G1939"/>
    </row>
    <row r="1940" spans="7:7" x14ac:dyDescent="0.3">
      <c r="G1940"/>
    </row>
    <row r="1941" spans="7:7" x14ac:dyDescent="0.3">
      <c r="G1941"/>
    </row>
    <row r="1942" spans="7:7" x14ac:dyDescent="0.3">
      <c r="G1942"/>
    </row>
    <row r="1943" spans="7:7" x14ac:dyDescent="0.3">
      <c r="G1943"/>
    </row>
    <row r="1944" spans="7:7" x14ac:dyDescent="0.3">
      <c r="G1944"/>
    </row>
    <row r="1945" spans="7:7" x14ac:dyDescent="0.3">
      <c r="G1945"/>
    </row>
    <row r="1946" spans="7:7" x14ac:dyDescent="0.3">
      <c r="G1946"/>
    </row>
    <row r="1947" spans="7:7" x14ac:dyDescent="0.3">
      <c r="G1947"/>
    </row>
    <row r="1948" spans="7:7" x14ac:dyDescent="0.3">
      <c r="G1948"/>
    </row>
    <row r="1949" spans="7:7" x14ac:dyDescent="0.3">
      <c r="G1949"/>
    </row>
    <row r="1950" spans="7:7" x14ac:dyDescent="0.3">
      <c r="G1950"/>
    </row>
    <row r="1951" spans="7:7" x14ac:dyDescent="0.3">
      <c r="G1951"/>
    </row>
    <row r="1952" spans="7:7" x14ac:dyDescent="0.3">
      <c r="G1952"/>
    </row>
    <row r="1953" spans="7:7" x14ac:dyDescent="0.3">
      <c r="G1953"/>
    </row>
    <row r="1954" spans="7:7" x14ac:dyDescent="0.3">
      <c r="G1954"/>
    </row>
    <row r="1955" spans="7:7" x14ac:dyDescent="0.3">
      <c r="G1955"/>
    </row>
    <row r="1956" spans="7:7" x14ac:dyDescent="0.3">
      <c r="G1956"/>
    </row>
    <row r="1957" spans="7:7" x14ac:dyDescent="0.3">
      <c r="G1957"/>
    </row>
    <row r="1958" spans="7:7" x14ac:dyDescent="0.3">
      <c r="G1958"/>
    </row>
    <row r="1959" spans="7:7" x14ac:dyDescent="0.3">
      <c r="G1959"/>
    </row>
    <row r="1960" spans="7:7" x14ac:dyDescent="0.3">
      <c r="G1960"/>
    </row>
    <row r="1961" spans="7:7" x14ac:dyDescent="0.3">
      <c r="G1961"/>
    </row>
    <row r="1962" spans="7:7" x14ac:dyDescent="0.3">
      <c r="G1962"/>
    </row>
    <row r="1963" spans="7:7" x14ac:dyDescent="0.3">
      <c r="G1963"/>
    </row>
    <row r="1964" spans="7:7" x14ac:dyDescent="0.3">
      <c r="G1964"/>
    </row>
    <row r="1965" spans="7:7" x14ac:dyDescent="0.3">
      <c r="G1965"/>
    </row>
    <row r="1966" spans="7:7" x14ac:dyDescent="0.3">
      <c r="G1966"/>
    </row>
    <row r="1967" spans="7:7" x14ac:dyDescent="0.3">
      <c r="G1967"/>
    </row>
    <row r="1968" spans="7:7" x14ac:dyDescent="0.3">
      <c r="G1968"/>
    </row>
    <row r="1969" spans="7:7" x14ac:dyDescent="0.3">
      <c r="G1969"/>
    </row>
    <row r="1970" spans="7:7" x14ac:dyDescent="0.3">
      <c r="G1970"/>
    </row>
    <row r="1971" spans="7:7" x14ac:dyDescent="0.3">
      <c r="G1971"/>
    </row>
    <row r="1972" spans="7:7" x14ac:dyDescent="0.3">
      <c r="G1972"/>
    </row>
    <row r="1973" spans="7:7" x14ac:dyDescent="0.3">
      <c r="G1973"/>
    </row>
    <row r="1974" spans="7:7" x14ac:dyDescent="0.3">
      <c r="G1974"/>
    </row>
    <row r="1975" spans="7:7" x14ac:dyDescent="0.3">
      <c r="G1975"/>
    </row>
    <row r="1976" spans="7:7" x14ac:dyDescent="0.3">
      <c r="G1976"/>
    </row>
    <row r="1977" spans="7:7" x14ac:dyDescent="0.3">
      <c r="G1977"/>
    </row>
    <row r="1978" spans="7:7" x14ac:dyDescent="0.3">
      <c r="G1978"/>
    </row>
    <row r="1979" spans="7:7" x14ac:dyDescent="0.3">
      <c r="G1979"/>
    </row>
    <row r="1980" spans="7:7" x14ac:dyDescent="0.3">
      <c r="G1980"/>
    </row>
    <row r="1981" spans="7:7" x14ac:dyDescent="0.3">
      <c r="G1981"/>
    </row>
    <row r="1982" spans="7:7" x14ac:dyDescent="0.3">
      <c r="G1982"/>
    </row>
    <row r="1983" spans="7:7" x14ac:dyDescent="0.3">
      <c r="G1983"/>
    </row>
    <row r="1984" spans="7:7" x14ac:dyDescent="0.3">
      <c r="G1984"/>
    </row>
    <row r="1985" spans="7:7" x14ac:dyDescent="0.3">
      <c r="G1985"/>
    </row>
    <row r="1986" spans="7:7" x14ac:dyDescent="0.3">
      <c r="G1986"/>
    </row>
    <row r="1987" spans="7:7" x14ac:dyDescent="0.3">
      <c r="G1987"/>
    </row>
    <row r="1988" spans="7:7" x14ac:dyDescent="0.3">
      <c r="G1988"/>
    </row>
    <row r="1989" spans="7:7" x14ac:dyDescent="0.3">
      <c r="G1989"/>
    </row>
    <row r="1990" spans="7:7" x14ac:dyDescent="0.3">
      <c r="G1990"/>
    </row>
    <row r="1991" spans="7:7" x14ac:dyDescent="0.3">
      <c r="G1991"/>
    </row>
    <row r="1992" spans="7:7" x14ac:dyDescent="0.3">
      <c r="G1992"/>
    </row>
    <row r="1993" spans="7:7" x14ac:dyDescent="0.3">
      <c r="G1993"/>
    </row>
    <row r="1994" spans="7:7" x14ac:dyDescent="0.3">
      <c r="G1994"/>
    </row>
    <row r="1995" spans="7:7" x14ac:dyDescent="0.3">
      <c r="G1995"/>
    </row>
    <row r="1996" spans="7:7" x14ac:dyDescent="0.3">
      <c r="G1996"/>
    </row>
    <row r="1997" spans="7:7" x14ac:dyDescent="0.3">
      <c r="G1997"/>
    </row>
    <row r="1998" spans="7:7" x14ac:dyDescent="0.3">
      <c r="G1998"/>
    </row>
    <row r="1999" spans="7:7" x14ac:dyDescent="0.3">
      <c r="G1999"/>
    </row>
    <row r="2000" spans="7:7" x14ac:dyDescent="0.3">
      <c r="G2000"/>
    </row>
    <row r="2001" spans="7:7" x14ac:dyDescent="0.3">
      <c r="G2001"/>
    </row>
    <row r="2002" spans="7:7" x14ac:dyDescent="0.3">
      <c r="G2002"/>
    </row>
    <row r="2003" spans="7:7" x14ac:dyDescent="0.3">
      <c r="G2003"/>
    </row>
    <row r="2004" spans="7:7" x14ac:dyDescent="0.3">
      <c r="G2004"/>
    </row>
    <row r="2005" spans="7:7" x14ac:dyDescent="0.3">
      <c r="G2005"/>
    </row>
    <row r="2006" spans="7:7" x14ac:dyDescent="0.3">
      <c r="G2006"/>
    </row>
    <row r="2007" spans="7:7" x14ac:dyDescent="0.3">
      <c r="G2007"/>
    </row>
    <row r="2008" spans="7:7" x14ac:dyDescent="0.3">
      <c r="G2008"/>
    </row>
    <row r="2009" spans="7:7" x14ac:dyDescent="0.3">
      <c r="G2009"/>
    </row>
    <row r="2010" spans="7:7" x14ac:dyDescent="0.3">
      <c r="G2010"/>
    </row>
    <row r="2011" spans="7:7" x14ac:dyDescent="0.3">
      <c r="G2011"/>
    </row>
    <row r="2012" spans="7:7" x14ac:dyDescent="0.3">
      <c r="G2012"/>
    </row>
    <row r="2013" spans="7:7" x14ac:dyDescent="0.3">
      <c r="G2013"/>
    </row>
    <row r="2014" spans="7:7" x14ac:dyDescent="0.3">
      <c r="G2014"/>
    </row>
    <row r="2015" spans="7:7" x14ac:dyDescent="0.3">
      <c r="G2015"/>
    </row>
    <row r="2016" spans="7:7" x14ac:dyDescent="0.3">
      <c r="G2016"/>
    </row>
    <row r="2017" spans="7:7" x14ac:dyDescent="0.3">
      <c r="G2017"/>
    </row>
    <row r="2018" spans="7:7" x14ac:dyDescent="0.3">
      <c r="G2018"/>
    </row>
    <row r="2019" spans="7:7" x14ac:dyDescent="0.3">
      <c r="G2019"/>
    </row>
    <row r="2020" spans="7:7" x14ac:dyDescent="0.3">
      <c r="G2020"/>
    </row>
    <row r="2021" spans="7:7" x14ac:dyDescent="0.3">
      <c r="G2021"/>
    </row>
    <row r="2022" spans="7:7" x14ac:dyDescent="0.3">
      <c r="G2022"/>
    </row>
    <row r="2023" spans="7:7" x14ac:dyDescent="0.3">
      <c r="G2023"/>
    </row>
    <row r="2024" spans="7:7" x14ac:dyDescent="0.3">
      <c r="G2024"/>
    </row>
    <row r="2025" spans="7:7" x14ac:dyDescent="0.3">
      <c r="G2025"/>
    </row>
    <row r="2026" spans="7:7" x14ac:dyDescent="0.3">
      <c r="G2026"/>
    </row>
    <row r="2027" spans="7:7" x14ac:dyDescent="0.3">
      <c r="G2027"/>
    </row>
    <row r="2028" spans="7:7" x14ac:dyDescent="0.3">
      <c r="G2028"/>
    </row>
    <row r="2029" spans="7:7" x14ac:dyDescent="0.3">
      <c r="G2029"/>
    </row>
    <row r="2030" spans="7:7" x14ac:dyDescent="0.3">
      <c r="G2030"/>
    </row>
    <row r="2031" spans="7:7" x14ac:dyDescent="0.3">
      <c r="G2031"/>
    </row>
    <row r="2032" spans="7:7" x14ac:dyDescent="0.3">
      <c r="G2032"/>
    </row>
    <row r="2033" spans="7:7" x14ac:dyDescent="0.3">
      <c r="G2033"/>
    </row>
    <row r="2034" spans="7:7" x14ac:dyDescent="0.3">
      <c r="G2034"/>
    </row>
    <row r="2035" spans="7:7" x14ac:dyDescent="0.3">
      <c r="G2035"/>
    </row>
    <row r="2036" spans="7:7" x14ac:dyDescent="0.3">
      <c r="G2036"/>
    </row>
    <row r="2037" spans="7:7" x14ac:dyDescent="0.3">
      <c r="G2037"/>
    </row>
    <row r="2038" spans="7:7" x14ac:dyDescent="0.3">
      <c r="G2038"/>
    </row>
    <row r="2039" spans="7:7" x14ac:dyDescent="0.3">
      <c r="G2039"/>
    </row>
    <row r="2040" spans="7:7" x14ac:dyDescent="0.3">
      <c r="G2040"/>
    </row>
    <row r="2041" spans="7:7" x14ac:dyDescent="0.3">
      <c r="G2041"/>
    </row>
    <row r="2042" spans="7:7" x14ac:dyDescent="0.3">
      <c r="G2042"/>
    </row>
    <row r="2043" spans="7:7" x14ac:dyDescent="0.3">
      <c r="G2043"/>
    </row>
    <row r="2044" spans="7:7" x14ac:dyDescent="0.3">
      <c r="G2044"/>
    </row>
    <row r="2045" spans="7:7" x14ac:dyDescent="0.3">
      <c r="G2045"/>
    </row>
    <row r="2046" spans="7:7" x14ac:dyDescent="0.3">
      <c r="G2046"/>
    </row>
    <row r="2047" spans="7:7" x14ac:dyDescent="0.3">
      <c r="G2047"/>
    </row>
    <row r="2048" spans="7:7" x14ac:dyDescent="0.3">
      <c r="G2048"/>
    </row>
    <row r="2049" spans="7:7" x14ac:dyDescent="0.3">
      <c r="G2049"/>
    </row>
    <row r="2050" spans="7:7" x14ac:dyDescent="0.3">
      <c r="G2050"/>
    </row>
    <row r="2051" spans="7:7" x14ac:dyDescent="0.3">
      <c r="G2051"/>
    </row>
    <row r="2052" spans="7:7" x14ac:dyDescent="0.3">
      <c r="G2052"/>
    </row>
    <row r="2053" spans="7:7" x14ac:dyDescent="0.3">
      <c r="G2053"/>
    </row>
    <row r="2054" spans="7:7" x14ac:dyDescent="0.3">
      <c r="G2054"/>
    </row>
    <row r="2055" spans="7:7" x14ac:dyDescent="0.3">
      <c r="G2055"/>
    </row>
    <row r="2056" spans="7:7" x14ac:dyDescent="0.3">
      <c r="G2056"/>
    </row>
    <row r="2057" spans="7:7" x14ac:dyDescent="0.3">
      <c r="G2057"/>
    </row>
    <row r="2058" spans="7:7" x14ac:dyDescent="0.3">
      <c r="G2058"/>
    </row>
    <row r="2059" spans="7:7" x14ac:dyDescent="0.3">
      <c r="G2059"/>
    </row>
    <row r="2060" spans="7:7" x14ac:dyDescent="0.3">
      <c r="G2060"/>
    </row>
    <row r="2061" spans="7:7" x14ac:dyDescent="0.3">
      <c r="G2061"/>
    </row>
    <row r="2062" spans="7:7" x14ac:dyDescent="0.3">
      <c r="G2062"/>
    </row>
    <row r="2063" spans="7:7" x14ac:dyDescent="0.3">
      <c r="G2063"/>
    </row>
    <row r="2064" spans="7:7" x14ac:dyDescent="0.3">
      <c r="G2064"/>
    </row>
    <row r="2065" spans="7:7" x14ac:dyDescent="0.3">
      <c r="G2065"/>
    </row>
    <row r="2066" spans="7:7" x14ac:dyDescent="0.3">
      <c r="G2066"/>
    </row>
    <row r="2067" spans="7:7" x14ac:dyDescent="0.3">
      <c r="G2067"/>
    </row>
    <row r="2068" spans="7:7" x14ac:dyDescent="0.3">
      <c r="G2068"/>
    </row>
    <row r="2069" spans="7:7" x14ac:dyDescent="0.3">
      <c r="G2069"/>
    </row>
    <row r="2070" spans="7:7" x14ac:dyDescent="0.3">
      <c r="G2070"/>
    </row>
    <row r="2071" spans="7:7" x14ac:dyDescent="0.3">
      <c r="G2071"/>
    </row>
    <row r="2072" spans="7:7" x14ac:dyDescent="0.3">
      <c r="G2072"/>
    </row>
    <row r="2073" spans="7:7" x14ac:dyDescent="0.3">
      <c r="G2073"/>
    </row>
    <row r="2074" spans="7:7" x14ac:dyDescent="0.3">
      <c r="G2074"/>
    </row>
    <row r="2075" spans="7:7" x14ac:dyDescent="0.3">
      <c r="G2075"/>
    </row>
    <row r="2076" spans="7:7" x14ac:dyDescent="0.3">
      <c r="G2076"/>
    </row>
    <row r="2077" spans="7:7" x14ac:dyDescent="0.3">
      <c r="G2077"/>
    </row>
    <row r="2078" spans="7:7" x14ac:dyDescent="0.3">
      <c r="G2078"/>
    </row>
    <row r="2079" spans="7:7" x14ac:dyDescent="0.3">
      <c r="G2079"/>
    </row>
    <row r="2080" spans="7:7" x14ac:dyDescent="0.3">
      <c r="G2080"/>
    </row>
    <row r="2081" spans="7:7" x14ac:dyDescent="0.3">
      <c r="G2081"/>
    </row>
    <row r="2082" spans="7:7" x14ac:dyDescent="0.3">
      <c r="G2082"/>
    </row>
    <row r="2083" spans="7:7" x14ac:dyDescent="0.3">
      <c r="G2083"/>
    </row>
    <row r="2084" spans="7:7" x14ac:dyDescent="0.3">
      <c r="G2084"/>
    </row>
    <row r="2085" spans="7:7" x14ac:dyDescent="0.3">
      <c r="G2085"/>
    </row>
    <row r="2086" spans="7:7" x14ac:dyDescent="0.3">
      <c r="G2086"/>
    </row>
    <row r="2087" spans="7:7" x14ac:dyDescent="0.3">
      <c r="G2087"/>
    </row>
    <row r="2088" spans="7:7" x14ac:dyDescent="0.3">
      <c r="G2088"/>
    </row>
    <row r="2089" spans="7:7" x14ac:dyDescent="0.3">
      <c r="G2089"/>
    </row>
    <row r="2090" spans="7:7" x14ac:dyDescent="0.3">
      <c r="G2090"/>
    </row>
    <row r="2091" spans="7:7" x14ac:dyDescent="0.3">
      <c r="G2091"/>
    </row>
    <row r="2092" spans="7:7" x14ac:dyDescent="0.3">
      <c r="G2092"/>
    </row>
    <row r="2093" spans="7:7" x14ac:dyDescent="0.3">
      <c r="G2093"/>
    </row>
    <row r="2094" spans="7:7" x14ac:dyDescent="0.3">
      <c r="G2094"/>
    </row>
    <row r="2095" spans="7:7" x14ac:dyDescent="0.3">
      <c r="G2095"/>
    </row>
    <row r="2096" spans="7:7" x14ac:dyDescent="0.3">
      <c r="G2096"/>
    </row>
    <row r="2097" spans="7:7" x14ac:dyDescent="0.3">
      <c r="G2097"/>
    </row>
    <row r="2098" spans="7:7" x14ac:dyDescent="0.3">
      <c r="G2098"/>
    </row>
    <row r="2099" spans="7:7" x14ac:dyDescent="0.3">
      <c r="G2099"/>
    </row>
    <row r="2100" spans="7:7" x14ac:dyDescent="0.3">
      <c r="G2100"/>
    </row>
    <row r="2101" spans="7:7" x14ac:dyDescent="0.3">
      <c r="G2101"/>
    </row>
    <row r="2102" spans="7:7" x14ac:dyDescent="0.3">
      <c r="G2102"/>
    </row>
    <row r="2103" spans="7:7" x14ac:dyDescent="0.3">
      <c r="G2103"/>
    </row>
    <row r="2104" spans="7:7" x14ac:dyDescent="0.3">
      <c r="G2104"/>
    </row>
    <row r="2105" spans="7:7" x14ac:dyDescent="0.3">
      <c r="G2105"/>
    </row>
    <row r="2106" spans="7:7" x14ac:dyDescent="0.3">
      <c r="G2106"/>
    </row>
    <row r="2107" spans="7:7" x14ac:dyDescent="0.3">
      <c r="G2107"/>
    </row>
    <row r="2108" spans="7:7" x14ac:dyDescent="0.3">
      <c r="G2108"/>
    </row>
    <row r="2109" spans="7:7" x14ac:dyDescent="0.3">
      <c r="G2109"/>
    </row>
    <row r="2110" spans="7:7" x14ac:dyDescent="0.3">
      <c r="G2110"/>
    </row>
    <row r="2111" spans="7:7" x14ac:dyDescent="0.3">
      <c r="G2111"/>
    </row>
    <row r="2112" spans="7:7" x14ac:dyDescent="0.3">
      <c r="G2112"/>
    </row>
    <row r="2113" spans="7:7" x14ac:dyDescent="0.3">
      <c r="G2113"/>
    </row>
    <row r="2114" spans="7:7" x14ac:dyDescent="0.3">
      <c r="G2114"/>
    </row>
    <row r="2115" spans="7:7" x14ac:dyDescent="0.3">
      <c r="G2115"/>
    </row>
    <row r="2116" spans="7:7" x14ac:dyDescent="0.3">
      <c r="G2116"/>
    </row>
    <row r="2117" spans="7:7" x14ac:dyDescent="0.3">
      <c r="G2117"/>
    </row>
    <row r="2118" spans="7:7" x14ac:dyDescent="0.3">
      <c r="G2118"/>
    </row>
    <row r="2119" spans="7:7" x14ac:dyDescent="0.3">
      <c r="G2119"/>
    </row>
    <row r="2120" spans="7:7" x14ac:dyDescent="0.3">
      <c r="G2120"/>
    </row>
    <row r="2121" spans="7:7" x14ac:dyDescent="0.3">
      <c r="G2121"/>
    </row>
    <row r="2122" spans="7:7" x14ac:dyDescent="0.3">
      <c r="G2122"/>
    </row>
    <row r="2123" spans="7:7" x14ac:dyDescent="0.3">
      <c r="G2123"/>
    </row>
    <row r="2124" spans="7:7" x14ac:dyDescent="0.3">
      <c r="G2124"/>
    </row>
    <row r="2125" spans="7:7" x14ac:dyDescent="0.3">
      <c r="G2125"/>
    </row>
    <row r="2126" spans="7:7" x14ac:dyDescent="0.3">
      <c r="G2126"/>
    </row>
    <row r="2127" spans="7:7" x14ac:dyDescent="0.3">
      <c r="G2127"/>
    </row>
    <row r="2128" spans="7:7" x14ac:dyDescent="0.3">
      <c r="G2128"/>
    </row>
    <row r="2129" spans="7:7" x14ac:dyDescent="0.3">
      <c r="G2129"/>
    </row>
    <row r="2130" spans="7:7" x14ac:dyDescent="0.3">
      <c r="G2130"/>
    </row>
    <row r="2131" spans="7:7" x14ac:dyDescent="0.3">
      <c r="G2131"/>
    </row>
    <row r="2132" spans="7:7" x14ac:dyDescent="0.3">
      <c r="G2132"/>
    </row>
    <row r="2133" spans="7:7" x14ac:dyDescent="0.3">
      <c r="G2133"/>
    </row>
    <row r="2134" spans="7:7" x14ac:dyDescent="0.3">
      <c r="G2134"/>
    </row>
    <row r="2135" spans="7:7" x14ac:dyDescent="0.3">
      <c r="G2135"/>
    </row>
    <row r="2136" spans="7:7" x14ac:dyDescent="0.3">
      <c r="G2136"/>
    </row>
    <row r="2137" spans="7:7" x14ac:dyDescent="0.3">
      <c r="G2137"/>
    </row>
    <row r="2138" spans="7:7" x14ac:dyDescent="0.3">
      <c r="G2138"/>
    </row>
    <row r="2139" spans="7:7" x14ac:dyDescent="0.3">
      <c r="G2139"/>
    </row>
    <row r="2140" spans="7:7" x14ac:dyDescent="0.3">
      <c r="G2140"/>
    </row>
    <row r="2141" spans="7:7" x14ac:dyDescent="0.3">
      <c r="G2141"/>
    </row>
    <row r="2142" spans="7:7" x14ac:dyDescent="0.3">
      <c r="G2142"/>
    </row>
    <row r="2143" spans="7:7" x14ac:dyDescent="0.3">
      <c r="G2143"/>
    </row>
    <row r="2144" spans="7:7" x14ac:dyDescent="0.3">
      <c r="G2144"/>
    </row>
    <row r="2145" spans="7:7" x14ac:dyDescent="0.3">
      <c r="G2145"/>
    </row>
    <row r="2146" spans="7:7" x14ac:dyDescent="0.3">
      <c r="G2146"/>
    </row>
    <row r="2147" spans="7:7" x14ac:dyDescent="0.3">
      <c r="G2147"/>
    </row>
    <row r="2148" spans="7:7" x14ac:dyDescent="0.3">
      <c r="G2148"/>
    </row>
    <row r="2149" spans="7:7" x14ac:dyDescent="0.3">
      <c r="G2149"/>
    </row>
    <row r="2150" spans="7:7" x14ac:dyDescent="0.3">
      <c r="G2150"/>
    </row>
    <row r="2151" spans="7:7" x14ac:dyDescent="0.3">
      <c r="G2151"/>
    </row>
    <row r="2152" spans="7:7" x14ac:dyDescent="0.3">
      <c r="G2152"/>
    </row>
    <row r="2153" spans="7:7" x14ac:dyDescent="0.3">
      <c r="G2153"/>
    </row>
    <row r="2154" spans="7:7" x14ac:dyDescent="0.3">
      <c r="G2154"/>
    </row>
    <row r="2155" spans="7:7" x14ac:dyDescent="0.3">
      <c r="G2155"/>
    </row>
    <row r="2156" spans="7:7" x14ac:dyDescent="0.3">
      <c r="G2156"/>
    </row>
    <row r="2157" spans="7:7" x14ac:dyDescent="0.3">
      <c r="G2157"/>
    </row>
    <row r="2158" spans="7:7" x14ac:dyDescent="0.3">
      <c r="G2158"/>
    </row>
    <row r="2159" spans="7:7" x14ac:dyDescent="0.3">
      <c r="G2159"/>
    </row>
    <row r="2160" spans="7:7" x14ac:dyDescent="0.3">
      <c r="G2160"/>
    </row>
    <row r="2161" spans="7:7" x14ac:dyDescent="0.3">
      <c r="G2161"/>
    </row>
    <row r="2162" spans="7:7" x14ac:dyDescent="0.3">
      <c r="G2162"/>
    </row>
    <row r="2163" spans="7:7" x14ac:dyDescent="0.3">
      <c r="G2163"/>
    </row>
    <row r="2164" spans="7:7" x14ac:dyDescent="0.3">
      <c r="G2164"/>
    </row>
    <row r="2165" spans="7:7" x14ac:dyDescent="0.3">
      <c r="G2165"/>
    </row>
    <row r="2166" spans="7:7" x14ac:dyDescent="0.3">
      <c r="G2166"/>
    </row>
    <row r="2167" spans="7:7" x14ac:dyDescent="0.3">
      <c r="G2167"/>
    </row>
    <row r="2168" spans="7:7" x14ac:dyDescent="0.3">
      <c r="G2168"/>
    </row>
    <row r="2169" spans="7:7" x14ac:dyDescent="0.3">
      <c r="G2169"/>
    </row>
    <row r="2170" spans="7:7" x14ac:dyDescent="0.3">
      <c r="G2170"/>
    </row>
    <row r="2171" spans="7:7" x14ac:dyDescent="0.3">
      <c r="G2171"/>
    </row>
    <row r="2172" spans="7:7" x14ac:dyDescent="0.3">
      <c r="G2172"/>
    </row>
    <row r="2173" spans="7:7" x14ac:dyDescent="0.3">
      <c r="G2173"/>
    </row>
    <row r="2174" spans="7:7" x14ac:dyDescent="0.3">
      <c r="G2174"/>
    </row>
    <row r="2175" spans="7:7" x14ac:dyDescent="0.3">
      <c r="G2175"/>
    </row>
    <row r="2176" spans="7:7" x14ac:dyDescent="0.3">
      <c r="G2176"/>
    </row>
    <row r="2177" spans="7:7" x14ac:dyDescent="0.3">
      <c r="G2177"/>
    </row>
    <row r="2178" spans="7:7" x14ac:dyDescent="0.3">
      <c r="G2178"/>
    </row>
    <row r="2179" spans="7:7" x14ac:dyDescent="0.3">
      <c r="G2179"/>
    </row>
    <row r="2180" spans="7:7" x14ac:dyDescent="0.3">
      <c r="G2180"/>
    </row>
    <row r="2181" spans="7:7" x14ac:dyDescent="0.3">
      <c r="G2181"/>
    </row>
    <row r="2182" spans="7:7" x14ac:dyDescent="0.3">
      <c r="G2182"/>
    </row>
    <row r="2183" spans="7:7" x14ac:dyDescent="0.3">
      <c r="G2183"/>
    </row>
    <row r="2184" spans="7:7" x14ac:dyDescent="0.3">
      <c r="G2184"/>
    </row>
    <row r="2185" spans="7:7" x14ac:dyDescent="0.3">
      <c r="G2185"/>
    </row>
    <row r="2186" spans="7:7" x14ac:dyDescent="0.3">
      <c r="G2186"/>
    </row>
    <row r="2187" spans="7:7" x14ac:dyDescent="0.3">
      <c r="G2187"/>
    </row>
    <row r="2188" spans="7:7" x14ac:dyDescent="0.3">
      <c r="G2188"/>
    </row>
    <row r="2189" spans="7:7" x14ac:dyDescent="0.3">
      <c r="G2189"/>
    </row>
    <row r="2190" spans="7:7" x14ac:dyDescent="0.3">
      <c r="G2190"/>
    </row>
    <row r="2191" spans="7:7" x14ac:dyDescent="0.3">
      <c r="G2191"/>
    </row>
    <row r="2192" spans="7:7" x14ac:dyDescent="0.3">
      <c r="G2192"/>
    </row>
    <row r="2193" spans="7:7" x14ac:dyDescent="0.3">
      <c r="G2193"/>
    </row>
    <row r="2194" spans="7:7" x14ac:dyDescent="0.3">
      <c r="G2194"/>
    </row>
    <row r="2195" spans="7:7" x14ac:dyDescent="0.3">
      <c r="G2195"/>
    </row>
    <row r="2196" spans="7:7" x14ac:dyDescent="0.3">
      <c r="G2196"/>
    </row>
    <row r="2197" spans="7:7" x14ac:dyDescent="0.3">
      <c r="G2197"/>
    </row>
    <row r="2198" spans="7:7" x14ac:dyDescent="0.3">
      <c r="G2198"/>
    </row>
    <row r="2199" spans="7:7" x14ac:dyDescent="0.3">
      <c r="G2199"/>
    </row>
    <row r="2200" spans="7:7" x14ac:dyDescent="0.3">
      <c r="G2200"/>
    </row>
    <row r="2201" spans="7:7" x14ac:dyDescent="0.3">
      <c r="G2201"/>
    </row>
    <row r="2202" spans="7:7" x14ac:dyDescent="0.3">
      <c r="G2202"/>
    </row>
    <row r="2203" spans="7:7" x14ac:dyDescent="0.3">
      <c r="G2203"/>
    </row>
    <row r="2204" spans="7:7" x14ac:dyDescent="0.3">
      <c r="G2204"/>
    </row>
    <row r="2205" spans="7:7" x14ac:dyDescent="0.3">
      <c r="G2205"/>
    </row>
    <row r="2206" spans="7:7" x14ac:dyDescent="0.3">
      <c r="G2206"/>
    </row>
    <row r="2207" spans="7:7" x14ac:dyDescent="0.3">
      <c r="G2207"/>
    </row>
    <row r="2208" spans="7:7" x14ac:dyDescent="0.3">
      <c r="G2208"/>
    </row>
    <row r="2209" spans="7:7" x14ac:dyDescent="0.3">
      <c r="G2209"/>
    </row>
    <row r="2210" spans="7:7" x14ac:dyDescent="0.3">
      <c r="G2210"/>
    </row>
    <row r="2211" spans="7:7" x14ac:dyDescent="0.3">
      <c r="G2211"/>
    </row>
    <row r="2212" spans="7:7" x14ac:dyDescent="0.3">
      <c r="G2212"/>
    </row>
    <row r="2213" spans="7:7" x14ac:dyDescent="0.3">
      <c r="G2213"/>
    </row>
    <row r="2214" spans="7:7" x14ac:dyDescent="0.3">
      <c r="G2214"/>
    </row>
    <row r="2215" spans="7:7" x14ac:dyDescent="0.3">
      <c r="G2215"/>
    </row>
    <row r="2216" spans="7:7" x14ac:dyDescent="0.3">
      <c r="G2216"/>
    </row>
    <row r="2217" spans="7:7" x14ac:dyDescent="0.3">
      <c r="G2217"/>
    </row>
    <row r="2218" spans="7:7" x14ac:dyDescent="0.3">
      <c r="G2218"/>
    </row>
    <row r="2219" spans="7:7" x14ac:dyDescent="0.3">
      <c r="G2219"/>
    </row>
    <row r="2220" spans="7:7" x14ac:dyDescent="0.3">
      <c r="G2220"/>
    </row>
    <row r="2221" spans="7:7" x14ac:dyDescent="0.3">
      <c r="G2221"/>
    </row>
    <row r="2222" spans="7:7" x14ac:dyDescent="0.3">
      <c r="G2222"/>
    </row>
    <row r="2223" spans="7:7" x14ac:dyDescent="0.3">
      <c r="G2223"/>
    </row>
    <row r="2224" spans="7:7" x14ac:dyDescent="0.3">
      <c r="G2224"/>
    </row>
    <row r="2225" spans="7:7" x14ac:dyDescent="0.3">
      <c r="G2225"/>
    </row>
    <row r="2226" spans="7:7" x14ac:dyDescent="0.3">
      <c r="G2226"/>
    </row>
    <row r="2227" spans="7:7" x14ac:dyDescent="0.3">
      <c r="G2227"/>
    </row>
    <row r="2228" spans="7:7" x14ac:dyDescent="0.3">
      <c r="G2228"/>
    </row>
    <row r="2229" spans="7:7" x14ac:dyDescent="0.3">
      <c r="G2229"/>
    </row>
    <row r="2230" spans="7:7" x14ac:dyDescent="0.3">
      <c r="G2230"/>
    </row>
    <row r="2231" spans="7:7" x14ac:dyDescent="0.3">
      <c r="G2231"/>
    </row>
    <row r="2232" spans="7:7" x14ac:dyDescent="0.3">
      <c r="G2232"/>
    </row>
    <row r="2233" spans="7:7" x14ac:dyDescent="0.3">
      <c r="G2233"/>
    </row>
    <row r="2234" spans="7:7" x14ac:dyDescent="0.3">
      <c r="G2234"/>
    </row>
    <row r="2235" spans="7:7" x14ac:dyDescent="0.3">
      <c r="G2235"/>
    </row>
    <row r="2236" spans="7:7" x14ac:dyDescent="0.3">
      <c r="G2236"/>
    </row>
    <row r="2237" spans="7:7" x14ac:dyDescent="0.3">
      <c r="G2237"/>
    </row>
    <row r="2238" spans="7:7" x14ac:dyDescent="0.3">
      <c r="G2238"/>
    </row>
    <row r="2239" spans="7:7" x14ac:dyDescent="0.3">
      <c r="G2239"/>
    </row>
    <row r="2240" spans="7:7" x14ac:dyDescent="0.3">
      <c r="G2240"/>
    </row>
    <row r="2241" spans="7:7" x14ac:dyDescent="0.3">
      <c r="G2241"/>
    </row>
    <row r="2242" spans="7:7" x14ac:dyDescent="0.3">
      <c r="G2242"/>
    </row>
    <row r="2243" spans="7:7" x14ac:dyDescent="0.3">
      <c r="G2243"/>
    </row>
    <row r="2244" spans="7:7" x14ac:dyDescent="0.3">
      <c r="G2244"/>
    </row>
    <row r="2245" spans="7:7" x14ac:dyDescent="0.3">
      <c r="G2245"/>
    </row>
    <row r="2246" spans="7:7" x14ac:dyDescent="0.3">
      <c r="G2246"/>
    </row>
    <row r="2247" spans="7:7" x14ac:dyDescent="0.3">
      <c r="G2247"/>
    </row>
    <row r="2248" spans="7:7" x14ac:dyDescent="0.3">
      <c r="G2248"/>
    </row>
    <row r="2249" spans="7:7" x14ac:dyDescent="0.3">
      <c r="G2249"/>
    </row>
    <row r="2250" spans="7:7" x14ac:dyDescent="0.3">
      <c r="G2250"/>
    </row>
    <row r="2251" spans="7:7" x14ac:dyDescent="0.3">
      <c r="G2251"/>
    </row>
    <row r="2252" spans="7:7" x14ac:dyDescent="0.3">
      <c r="G2252"/>
    </row>
    <row r="2253" spans="7:7" x14ac:dyDescent="0.3">
      <c r="G2253"/>
    </row>
    <row r="2254" spans="7:7" x14ac:dyDescent="0.3">
      <c r="G2254"/>
    </row>
    <row r="2255" spans="7:7" x14ac:dyDescent="0.3">
      <c r="G2255"/>
    </row>
    <row r="2256" spans="7:7" x14ac:dyDescent="0.3">
      <c r="G2256"/>
    </row>
    <row r="2257" spans="7:7" x14ac:dyDescent="0.3">
      <c r="G2257"/>
    </row>
    <row r="2258" spans="7:7" x14ac:dyDescent="0.3">
      <c r="G2258"/>
    </row>
    <row r="2259" spans="7:7" x14ac:dyDescent="0.3">
      <c r="G2259"/>
    </row>
    <row r="2260" spans="7:7" x14ac:dyDescent="0.3">
      <c r="G2260"/>
    </row>
    <row r="2261" spans="7:7" x14ac:dyDescent="0.3">
      <c r="G2261"/>
    </row>
    <row r="2262" spans="7:7" x14ac:dyDescent="0.3">
      <c r="G2262"/>
    </row>
    <row r="2263" spans="7:7" x14ac:dyDescent="0.3">
      <c r="G2263"/>
    </row>
    <row r="2264" spans="7:7" x14ac:dyDescent="0.3">
      <c r="G2264"/>
    </row>
    <row r="2265" spans="7:7" x14ac:dyDescent="0.3">
      <c r="G2265"/>
    </row>
    <row r="2266" spans="7:7" x14ac:dyDescent="0.3">
      <c r="G2266"/>
    </row>
    <row r="2267" spans="7:7" x14ac:dyDescent="0.3">
      <c r="G2267"/>
    </row>
    <row r="2268" spans="7:7" x14ac:dyDescent="0.3">
      <c r="G2268"/>
    </row>
    <row r="2269" spans="7:7" x14ac:dyDescent="0.3">
      <c r="G2269"/>
    </row>
    <row r="2270" spans="7:7" x14ac:dyDescent="0.3">
      <c r="G2270"/>
    </row>
    <row r="2271" spans="7:7" x14ac:dyDescent="0.3">
      <c r="G2271"/>
    </row>
    <row r="2272" spans="7:7" x14ac:dyDescent="0.3">
      <c r="G2272"/>
    </row>
    <row r="2273" spans="7:7" x14ac:dyDescent="0.3">
      <c r="G2273"/>
    </row>
    <row r="2274" spans="7:7" x14ac:dyDescent="0.3">
      <c r="G2274"/>
    </row>
    <row r="2275" spans="7:7" x14ac:dyDescent="0.3">
      <c r="G2275"/>
    </row>
    <row r="2276" spans="7:7" x14ac:dyDescent="0.3">
      <c r="G2276"/>
    </row>
    <row r="2277" spans="7:7" x14ac:dyDescent="0.3">
      <c r="G2277"/>
    </row>
    <row r="2278" spans="7:7" x14ac:dyDescent="0.3">
      <c r="G2278"/>
    </row>
    <row r="2279" spans="7:7" x14ac:dyDescent="0.3">
      <c r="G2279"/>
    </row>
    <row r="2280" spans="7:7" x14ac:dyDescent="0.3">
      <c r="G2280"/>
    </row>
    <row r="2281" spans="7:7" x14ac:dyDescent="0.3">
      <c r="G2281"/>
    </row>
    <row r="2282" spans="7:7" x14ac:dyDescent="0.3">
      <c r="G2282"/>
    </row>
    <row r="2283" spans="7:7" x14ac:dyDescent="0.3">
      <c r="G2283"/>
    </row>
    <row r="2284" spans="7:7" x14ac:dyDescent="0.3">
      <c r="G2284"/>
    </row>
    <row r="2285" spans="7:7" x14ac:dyDescent="0.3">
      <c r="G2285"/>
    </row>
    <row r="2286" spans="7:7" x14ac:dyDescent="0.3">
      <c r="G2286"/>
    </row>
    <row r="2287" spans="7:7" x14ac:dyDescent="0.3">
      <c r="G2287"/>
    </row>
    <row r="2288" spans="7:7" x14ac:dyDescent="0.3">
      <c r="G2288"/>
    </row>
    <row r="2289" spans="7:7" x14ac:dyDescent="0.3">
      <c r="G2289"/>
    </row>
    <row r="2290" spans="7:7" x14ac:dyDescent="0.3">
      <c r="G2290"/>
    </row>
    <row r="2291" spans="7:7" x14ac:dyDescent="0.3">
      <c r="G2291"/>
    </row>
    <row r="2292" spans="7:7" x14ac:dyDescent="0.3">
      <c r="G2292"/>
    </row>
    <row r="2293" spans="7:7" x14ac:dyDescent="0.3">
      <c r="G2293"/>
    </row>
    <row r="2294" spans="7:7" x14ac:dyDescent="0.3">
      <c r="G2294"/>
    </row>
    <row r="2295" spans="7:7" x14ac:dyDescent="0.3">
      <c r="G2295"/>
    </row>
    <row r="2296" spans="7:7" x14ac:dyDescent="0.3">
      <c r="G2296"/>
    </row>
    <row r="2297" spans="7:7" x14ac:dyDescent="0.3">
      <c r="G2297"/>
    </row>
    <row r="2298" spans="7:7" x14ac:dyDescent="0.3">
      <c r="G2298"/>
    </row>
    <row r="2299" spans="7:7" x14ac:dyDescent="0.3">
      <c r="G2299"/>
    </row>
    <row r="2300" spans="7:7" x14ac:dyDescent="0.3">
      <c r="G2300"/>
    </row>
    <row r="2301" spans="7:7" x14ac:dyDescent="0.3">
      <c r="G2301"/>
    </row>
    <row r="2302" spans="7:7" x14ac:dyDescent="0.3">
      <c r="G2302"/>
    </row>
    <row r="2303" spans="7:7" x14ac:dyDescent="0.3">
      <c r="G2303"/>
    </row>
    <row r="2304" spans="7:7" x14ac:dyDescent="0.3">
      <c r="G2304"/>
    </row>
    <row r="2305" spans="7:7" x14ac:dyDescent="0.3">
      <c r="G2305"/>
    </row>
    <row r="2306" spans="7:7" x14ac:dyDescent="0.3">
      <c r="G2306"/>
    </row>
    <row r="2307" spans="7:7" x14ac:dyDescent="0.3">
      <c r="G2307"/>
    </row>
    <row r="2308" spans="7:7" x14ac:dyDescent="0.3">
      <c r="G2308"/>
    </row>
    <row r="2309" spans="7:7" x14ac:dyDescent="0.3">
      <c r="G2309"/>
    </row>
    <row r="2310" spans="7:7" x14ac:dyDescent="0.3">
      <c r="G2310"/>
    </row>
    <row r="2311" spans="7:7" x14ac:dyDescent="0.3">
      <c r="G2311"/>
    </row>
    <row r="2312" spans="7:7" x14ac:dyDescent="0.3">
      <c r="G2312"/>
    </row>
    <row r="2313" spans="7:7" x14ac:dyDescent="0.3">
      <c r="G2313"/>
    </row>
    <row r="2314" spans="7:7" x14ac:dyDescent="0.3">
      <c r="G2314"/>
    </row>
    <row r="2315" spans="7:7" x14ac:dyDescent="0.3">
      <c r="G2315"/>
    </row>
    <row r="2316" spans="7:7" x14ac:dyDescent="0.3">
      <c r="G2316"/>
    </row>
    <row r="2317" spans="7:7" x14ac:dyDescent="0.3">
      <c r="G2317"/>
    </row>
    <row r="2318" spans="7:7" x14ac:dyDescent="0.3">
      <c r="G2318"/>
    </row>
    <row r="2319" spans="7:7" x14ac:dyDescent="0.3">
      <c r="G2319"/>
    </row>
    <row r="2320" spans="7:7" x14ac:dyDescent="0.3">
      <c r="G2320"/>
    </row>
    <row r="2321" spans="7:7" x14ac:dyDescent="0.3">
      <c r="G2321"/>
    </row>
    <row r="2322" spans="7:7" x14ac:dyDescent="0.3">
      <c r="G2322"/>
    </row>
    <row r="2323" spans="7:7" x14ac:dyDescent="0.3">
      <c r="G2323"/>
    </row>
    <row r="2324" spans="7:7" x14ac:dyDescent="0.3">
      <c r="G2324"/>
    </row>
    <row r="2325" spans="7:7" x14ac:dyDescent="0.3">
      <c r="G2325"/>
    </row>
    <row r="2326" spans="7:7" x14ac:dyDescent="0.3">
      <c r="G2326"/>
    </row>
    <row r="2327" spans="7:7" x14ac:dyDescent="0.3">
      <c r="G2327"/>
    </row>
    <row r="2328" spans="7:7" x14ac:dyDescent="0.3">
      <c r="G2328"/>
    </row>
    <row r="2329" spans="7:7" x14ac:dyDescent="0.3">
      <c r="G2329"/>
    </row>
    <row r="2330" spans="7:7" x14ac:dyDescent="0.3">
      <c r="G2330"/>
    </row>
    <row r="2331" spans="7:7" x14ac:dyDescent="0.3">
      <c r="G2331"/>
    </row>
    <row r="2332" spans="7:7" x14ac:dyDescent="0.3">
      <c r="G2332"/>
    </row>
    <row r="2333" spans="7:7" x14ac:dyDescent="0.3">
      <c r="G2333"/>
    </row>
    <row r="2334" spans="7:7" x14ac:dyDescent="0.3">
      <c r="G2334"/>
    </row>
    <row r="2335" spans="7:7" x14ac:dyDescent="0.3">
      <c r="G2335"/>
    </row>
    <row r="2336" spans="7:7" x14ac:dyDescent="0.3">
      <c r="G2336"/>
    </row>
    <row r="2337" spans="7:7" x14ac:dyDescent="0.3">
      <c r="G2337"/>
    </row>
    <row r="2338" spans="7:7" x14ac:dyDescent="0.3">
      <c r="G2338"/>
    </row>
    <row r="2339" spans="7:7" x14ac:dyDescent="0.3">
      <c r="G2339"/>
    </row>
    <row r="2340" spans="7:7" x14ac:dyDescent="0.3">
      <c r="G2340"/>
    </row>
    <row r="2341" spans="7:7" x14ac:dyDescent="0.3">
      <c r="G2341"/>
    </row>
    <row r="2342" spans="7:7" x14ac:dyDescent="0.3">
      <c r="G2342"/>
    </row>
    <row r="2343" spans="7:7" x14ac:dyDescent="0.3">
      <c r="G2343"/>
    </row>
    <row r="2344" spans="7:7" x14ac:dyDescent="0.3">
      <c r="G2344"/>
    </row>
    <row r="2345" spans="7:7" x14ac:dyDescent="0.3">
      <c r="G2345"/>
    </row>
    <row r="2346" spans="7:7" x14ac:dyDescent="0.3">
      <c r="G2346"/>
    </row>
    <row r="2347" spans="7:7" x14ac:dyDescent="0.3">
      <c r="G2347"/>
    </row>
    <row r="2348" spans="7:7" x14ac:dyDescent="0.3">
      <c r="G2348"/>
    </row>
    <row r="2349" spans="7:7" x14ac:dyDescent="0.3">
      <c r="G2349"/>
    </row>
    <row r="2350" spans="7:7" x14ac:dyDescent="0.3">
      <c r="G2350"/>
    </row>
    <row r="2351" spans="7:7" x14ac:dyDescent="0.3">
      <c r="G2351"/>
    </row>
    <row r="2352" spans="7:7" x14ac:dyDescent="0.3">
      <c r="G2352"/>
    </row>
    <row r="2353" spans="7:7" x14ac:dyDescent="0.3">
      <c r="G2353"/>
    </row>
    <row r="2354" spans="7:7" x14ac:dyDescent="0.3">
      <c r="G2354"/>
    </row>
    <row r="2355" spans="7:7" x14ac:dyDescent="0.3">
      <c r="G2355"/>
    </row>
    <row r="2356" spans="7:7" x14ac:dyDescent="0.3">
      <c r="G2356"/>
    </row>
    <row r="2357" spans="7:7" x14ac:dyDescent="0.3">
      <c r="G2357"/>
    </row>
    <row r="2358" spans="7:7" x14ac:dyDescent="0.3">
      <c r="G2358"/>
    </row>
    <row r="2359" spans="7:7" x14ac:dyDescent="0.3">
      <c r="G2359"/>
    </row>
    <row r="2360" spans="7:7" x14ac:dyDescent="0.3">
      <c r="G2360"/>
    </row>
    <row r="2361" spans="7:7" x14ac:dyDescent="0.3">
      <c r="G2361"/>
    </row>
    <row r="2362" spans="7:7" x14ac:dyDescent="0.3">
      <c r="G2362"/>
    </row>
    <row r="2363" spans="7:7" x14ac:dyDescent="0.3">
      <c r="G2363"/>
    </row>
    <row r="2364" spans="7:7" x14ac:dyDescent="0.3">
      <c r="G2364"/>
    </row>
    <row r="2365" spans="7:7" x14ac:dyDescent="0.3">
      <c r="G2365"/>
    </row>
    <row r="2366" spans="7:7" x14ac:dyDescent="0.3">
      <c r="G2366"/>
    </row>
    <row r="2367" spans="7:7" x14ac:dyDescent="0.3">
      <c r="G2367"/>
    </row>
    <row r="2368" spans="7:7" x14ac:dyDescent="0.3">
      <c r="G2368"/>
    </row>
    <row r="2369" spans="7:7" x14ac:dyDescent="0.3">
      <c r="G2369"/>
    </row>
    <row r="2370" spans="7:7" x14ac:dyDescent="0.3">
      <c r="G2370"/>
    </row>
    <row r="2371" spans="7:7" x14ac:dyDescent="0.3">
      <c r="G2371"/>
    </row>
    <row r="2372" spans="7:7" x14ac:dyDescent="0.3">
      <c r="G2372"/>
    </row>
    <row r="2373" spans="7:7" x14ac:dyDescent="0.3">
      <c r="G2373"/>
    </row>
    <row r="2374" spans="7:7" x14ac:dyDescent="0.3">
      <c r="G2374"/>
    </row>
    <row r="2375" spans="7:7" x14ac:dyDescent="0.3">
      <c r="G2375"/>
    </row>
    <row r="2376" spans="7:7" x14ac:dyDescent="0.3">
      <c r="G2376"/>
    </row>
    <row r="2377" spans="7:7" x14ac:dyDescent="0.3">
      <c r="G2377"/>
    </row>
    <row r="2378" spans="7:7" x14ac:dyDescent="0.3">
      <c r="G2378"/>
    </row>
    <row r="2379" spans="7:7" x14ac:dyDescent="0.3">
      <c r="G2379"/>
    </row>
    <row r="2380" spans="7:7" x14ac:dyDescent="0.3">
      <c r="G2380"/>
    </row>
    <row r="2381" spans="7:7" x14ac:dyDescent="0.3">
      <c r="G2381"/>
    </row>
    <row r="2382" spans="7:7" x14ac:dyDescent="0.3">
      <c r="G2382"/>
    </row>
    <row r="2383" spans="7:7" x14ac:dyDescent="0.3">
      <c r="G2383"/>
    </row>
    <row r="2384" spans="7:7" x14ac:dyDescent="0.3">
      <c r="G2384"/>
    </row>
    <row r="2385" spans="7:7" x14ac:dyDescent="0.3">
      <c r="G2385"/>
    </row>
    <row r="2386" spans="7:7" x14ac:dyDescent="0.3">
      <c r="G2386"/>
    </row>
    <row r="2387" spans="7:7" x14ac:dyDescent="0.3">
      <c r="G2387"/>
    </row>
    <row r="2388" spans="7:7" x14ac:dyDescent="0.3">
      <c r="G2388"/>
    </row>
    <row r="2389" spans="7:7" x14ac:dyDescent="0.3">
      <c r="G2389"/>
    </row>
    <row r="2390" spans="7:7" x14ac:dyDescent="0.3">
      <c r="G2390"/>
    </row>
    <row r="2391" spans="7:7" x14ac:dyDescent="0.3">
      <c r="G2391"/>
    </row>
    <row r="2392" spans="7:7" x14ac:dyDescent="0.3">
      <c r="G2392"/>
    </row>
    <row r="2393" spans="7:7" x14ac:dyDescent="0.3">
      <c r="G2393"/>
    </row>
    <row r="2394" spans="7:7" x14ac:dyDescent="0.3">
      <c r="G2394"/>
    </row>
    <row r="2395" spans="7:7" x14ac:dyDescent="0.3">
      <c r="G2395"/>
    </row>
    <row r="2396" spans="7:7" x14ac:dyDescent="0.3">
      <c r="G2396"/>
    </row>
    <row r="2397" spans="7:7" x14ac:dyDescent="0.3">
      <c r="G2397"/>
    </row>
    <row r="2398" spans="7:7" x14ac:dyDescent="0.3">
      <c r="G2398"/>
    </row>
    <row r="2399" spans="7:7" x14ac:dyDescent="0.3">
      <c r="G2399"/>
    </row>
    <row r="2400" spans="7:7" x14ac:dyDescent="0.3">
      <c r="G2400"/>
    </row>
    <row r="2401" spans="7:7" x14ac:dyDescent="0.3">
      <c r="G2401"/>
    </row>
    <row r="2402" spans="7:7" x14ac:dyDescent="0.3">
      <c r="G2402"/>
    </row>
    <row r="2403" spans="7:7" x14ac:dyDescent="0.3">
      <c r="G2403"/>
    </row>
    <row r="2404" spans="7:7" x14ac:dyDescent="0.3">
      <c r="G2404"/>
    </row>
    <row r="2405" spans="7:7" x14ac:dyDescent="0.3">
      <c r="G2405"/>
    </row>
    <row r="2406" spans="7:7" x14ac:dyDescent="0.3">
      <c r="G2406"/>
    </row>
    <row r="2407" spans="7:7" x14ac:dyDescent="0.3">
      <c r="G2407"/>
    </row>
    <row r="2408" spans="7:7" x14ac:dyDescent="0.3">
      <c r="G2408"/>
    </row>
    <row r="2409" spans="7:7" x14ac:dyDescent="0.3">
      <c r="G2409"/>
    </row>
    <row r="2410" spans="7:7" x14ac:dyDescent="0.3">
      <c r="G2410"/>
    </row>
    <row r="2411" spans="7:7" x14ac:dyDescent="0.3">
      <c r="G2411"/>
    </row>
    <row r="2412" spans="7:7" x14ac:dyDescent="0.3">
      <c r="G2412"/>
    </row>
    <row r="2413" spans="7:7" x14ac:dyDescent="0.3">
      <c r="G2413"/>
    </row>
    <row r="2414" spans="7:7" x14ac:dyDescent="0.3">
      <c r="G2414"/>
    </row>
    <row r="2415" spans="7:7" x14ac:dyDescent="0.3">
      <c r="G2415"/>
    </row>
    <row r="2416" spans="7:7" x14ac:dyDescent="0.3">
      <c r="G2416"/>
    </row>
    <row r="2417" spans="7:7" x14ac:dyDescent="0.3">
      <c r="G2417"/>
    </row>
    <row r="2418" spans="7:7" x14ac:dyDescent="0.3">
      <c r="G2418"/>
    </row>
    <row r="2419" spans="7:7" x14ac:dyDescent="0.3">
      <c r="G2419"/>
    </row>
    <row r="2420" spans="7:7" x14ac:dyDescent="0.3">
      <c r="G2420"/>
    </row>
    <row r="2421" spans="7:7" x14ac:dyDescent="0.3">
      <c r="G2421"/>
    </row>
    <row r="2422" spans="7:7" x14ac:dyDescent="0.3">
      <c r="G2422"/>
    </row>
    <row r="2423" spans="7:7" x14ac:dyDescent="0.3">
      <c r="G2423"/>
    </row>
    <row r="2424" spans="7:7" x14ac:dyDescent="0.3">
      <c r="G2424"/>
    </row>
    <row r="2425" spans="7:7" x14ac:dyDescent="0.3">
      <c r="G2425"/>
    </row>
    <row r="2426" spans="7:7" x14ac:dyDescent="0.3">
      <c r="G2426"/>
    </row>
    <row r="2427" spans="7:7" x14ac:dyDescent="0.3">
      <c r="G2427"/>
    </row>
    <row r="2428" spans="7:7" x14ac:dyDescent="0.3">
      <c r="G2428"/>
    </row>
    <row r="2429" spans="7:7" x14ac:dyDescent="0.3">
      <c r="G2429"/>
    </row>
    <row r="2430" spans="7:7" x14ac:dyDescent="0.3">
      <c r="G2430"/>
    </row>
    <row r="2431" spans="7:7" x14ac:dyDescent="0.3">
      <c r="G2431"/>
    </row>
    <row r="2432" spans="7:7" x14ac:dyDescent="0.3">
      <c r="G2432"/>
    </row>
    <row r="2433" spans="7:7" x14ac:dyDescent="0.3">
      <c r="G2433"/>
    </row>
    <row r="2434" spans="7:7" x14ac:dyDescent="0.3">
      <c r="G2434"/>
    </row>
    <row r="2435" spans="7:7" x14ac:dyDescent="0.3">
      <c r="G2435"/>
    </row>
    <row r="2436" spans="7:7" x14ac:dyDescent="0.3">
      <c r="G2436"/>
    </row>
    <row r="2437" spans="7:7" x14ac:dyDescent="0.3">
      <c r="G2437"/>
    </row>
    <row r="2438" spans="7:7" x14ac:dyDescent="0.3">
      <c r="G2438"/>
    </row>
    <row r="2439" spans="7:7" x14ac:dyDescent="0.3">
      <c r="G2439"/>
    </row>
    <row r="2440" spans="7:7" x14ac:dyDescent="0.3">
      <c r="G2440"/>
    </row>
    <row r="2441" spans="7:7" x14ac:dyDescent="0.3">
      <c r="G2441"/>
    </row>
    <row r="2442" spans="7:7" x14ac:dyDescent="0.3">
      <c r="G2442"/>
    </row>
    <row r="2443" spans="7:7" x14ac:dyDescent="0.3">
      <c r="G2443"/>
    </row>
    <row r="2444" spans="7:7" x14ac:dyDescent="0.3">
      <c r="G2444"/>
    </row>
    <row r="2445" spans="7:7" x14ac:dyDescent="0.3">
      <c r="G2445"/>
    </row>
    <row r="2446" spans="7:7" x14ac:dyDescent="0.3">
      <c r="G2446"/>
    </row>
    <row r="2447" spans="7:7" x14ac:dyDescent="0.3">
      <c r="G2447"/>
    </row>
    <row r="2448" spans="7:7" x14ac:dyDescent="0.3">
      <c r="G2448"/>
    </row>
    <row r="2449" spans="7:7" x14ac:dyDescent="0.3">
      <c r="G2449"/>
    </row>
    <row r="2450" spans="7:7" x14ac:dyDescent="0.3">
      <c r="G2450"/>
    </row>
    <row r="2451" spans="7:7" x14ac:dyDescent="0.3">
      <c r="G2451"/>
    </row>
    <row r="2452" spans="7:7" x14ac:dyDescent="0.3">
      <c r="G2452"/>
    </row>
    <row r="2453" spans="7:7" x14ac:dyDescent="0.3">
      <c r="G2453"/>
    </row>
    <row r="2454" spans="7:7" x14ac:dyDescent="0.3">
      <c r="G2454"/>
    </row>
    <row r="2455" spans="7:7" x14ac:dyDescent="0.3">
      <c r="G2455"/>
    </row>
    <row r="2456" spans="7:7" x14ac:dyDescent="0.3">
      <c r="G2456"/>
    </row>
    <row r="2457" spans="7:7" x14ac:dyDescent="0.3">
      <c r="G2457"/>
    </row>
    <row r="2458" spans="7:7" x14ac:dyDescent="0.3">
      <c r="G2458"/>
    </row>
    <row r="2459" spans="7:7" x14ac:dyDescent="0.3">
      <c r="G2459"/>
    </row>
    <row r="2460" spans="7:7" x14ac:dyDescent="0.3">
      <c r="G2460"/>
    </row>
    <row r="2461" spans="7:7" x14ac:dyDescent="0.3">
      <c r="G2461"/>
    </row>
    <row r="2462" spans="7:7" x14ac:dyDescent="0.3">
      <c r="G2462"/>
    </row>
    <row r="2463" spans="7:7" x14ac:dyDescent="0.3">
      <c r="G2463"/>
    </row>
    <row r="2464" spans="7:7" x14ac:dyDescent="0.3">
      <c r="G2464"/>
    </row>
    <row r="2465" spans="7:7" x14ac:dyDescent="0.3">
      <c r="G2465"/>
    </row>
    <row r="2466" spans="7:7" x14ac:dyDescent="0.3">
      <c r="G2466"/>
    </row>
    <row r="2467" spans="7:7" x14ac:dyDescent="0.3">
      <c r="G2467"/>
    </row>
    <row r="2468" spans="7:7" x14ac:dyDescent="0.3">
      <c r="G2468"/>
    </row>
    <row r="2469" spans="7:7" x14ac:dyDescent="0.3">
      <c r="G2469"/>
    </row>
    <row r="2470" spans="7:7" x14ac:dyDescent="0.3">
      <c r="G2470"/>
    </row>
    <row r="2471" spans="7:7" x14ac:dyDescent="0.3">
      <c r="G2471"/>
    </row>
    <row r="2472" spans="7:7" x14ac:dyDescent="0.3">
      <c r="G2472"/>
    </row>
    <row r="2473" spans="7:7" x14ac:dyDescent="0.3">
      <c r="G2473"/>
    </row>
    <row r="2474" spans="7:7" x14ac:dyDescent="0.3">
      <c r="G2474"/>
    </row>
    <row r="2475" spans="7:7" x14ac:dyDescent="0.3">
      <c r="G2475"/>
    </row>
    <row r="2476" spans="7:7" x14ac:dyDescent="0.3">
      <c r="G2476"/>
    </row>
    <row r="2477" spans="7:7" x14ac:dyDescent="0.3">
      <c r="G2477"/>
    </row>
    <row r="2478" spans="7:7" x14ac:dyDescent="0.3">
      <c r="G2478"/>
    </row>
    <row r="2479" spans="7:7" x14ac:dyDescent="0.3">
      <c r="G2479"/>
    </row>
    <row r="2480" spans="7:7" x14ac:dyDescent="0.3">
      <c r="G2480"/>
    </row>
    <row r="2481" spans="7:7" x14ac:dyDescent="0.3">
      <c r="G2481"/>
    </row>
    <row r="2482" spans="7:7" x14ac:dyDescent="0.3">
      <c r="G2482"/>
    </row>
    <row r="2483" spans="7:7" x14ac:dyDescent="0.3">
      <c r="G2483"/>
    </row>
    <row r="2484" spans="7:7" x14ac:dyDescent="0.3">
      <c r="G2484"/>
    </row>
    <row r="2485" spans="7:7" x14ac:dyDescent="0.3">
      <c r="G2485"/>
    </row>
    <row r="2486" spans="7:7" x14ac:dyDescent="0.3">
      <c r="G2486"/>
    </row>
    <row r="2487" spans="7:7" x14ac:dyDescent="0.3">
      <c r="G2487"/>
    </row>
    <row r="2488" spans="7:7" x14ac:dyDescent="0.3">
      <c r="G2488"/>
    </row>
    <row r="2489" spans="7:7" x14ac:dyDescent="0.3">
      <c r="G2489"/>
    </row>
    <row r="2490" spans="7:7" x14ac:dyDescent="0.3">
      <c r="G2490"/>
    </row>
    <row r="2491" spans="7:7" x14ac:dyDescent="0.3">
      <c r="G2491"/>
    </row>
    <row r="2492" spans="7:7" x14ac:dyDescent="0.3">
      <c r="G2492"/>
    </row>
    <row r="2493" spans="7:7" x14ac:dyDescent="0.3">
      <c r="G2493"/>
    </row>
    <row r="2494" spans="7:7" x14ac:dyDescent="0.3">
      <c r="G2494"/>
    </row>
    <row r="2495" spans="7:7" x14ac:dyDescent="0.3">
      <c r="G2495"/>
    </row>
    <row r="2496" spans="7:7" x14ac:dyDescent="0.3">
      <c r="G2496"/>
    </row>
    <row r="2497" spans="7:7" x14ac:dyDescent="0.3">
      <c r="G2497"/>
    </row>
    <row r="2498" spans="7:7" x14ac:dyDescent="0.3">
      <c r="G2498"/>
    </row>
    <row r="2499" spans="7:7" x14ac:dyDescent="0.3">
      <c r="G2499"/>
    </row>
    <row r="2500" spans="7:7" x14ac:dyDescent="0.3">
      <c r="G2500"/>
    </row>
    <row r="2501" spans="7:7" x14ac:dyDescent="0.3">
      <c r="G2501"/>
    </row>
    <row r="2502" spans="7:7" x14ac:dyDescent="0.3">
      <c r="G2502"/>
    </row>
    <row r="2503" spans="7:7" x14ac:dyDescent="0.3">
      <c r="G2503"/>
    </row>
    <row r="2504" spans="7:7" x14ac:dyDescent="0.3">
      <c r="G2504"/>
    </row>
    <row r="2505" spans="7:7" x14ac:dyDescent="0.3">
      <c r="G2505"/>
    </row>
    <row r="2506" spans="7:7" x14ac:dyDescent="0.3">
      <c r="G2506"/>
    </row>
    <row r="2507" spans="7:7" x14ac:dyDescent="0.3">
      <c r="G2507"/>
    </row>
    <row r="2508" spans="7:7" x14ac:dyDescent="0.3">
      <c r="G2508"/>
    </row>
    <row r="2509" spans="7:7" x14ac:dyDescent="0.3">
      <c r="G2509"/>
    </row>
    <row r="2510" spans="7:7" x14ac:dyDescent="0.3">
      <c r="G2510"/>
    </row>
    <row r="2511" spans="7:7" x14ac:dyDescent="0.3">
      <c r="G2511"/>
    </row>
    <row r="2512" spans="7:7" x14ac:dyDescent="0.3">
      <c r="G2512"/>
    </row>
    <row r="2513" spans="7:7" x14ac:dyDescent="0.3">
      <c r="G2513"/>
    </row>
    <row r="2514" spans="7:7" x14ac:dyDescent="0.3">
      <c r="G2514"/>
    </row>
    <row r="2515" spans="7:7" x14ac:dyDescent="0.3">
      <c r="G2515"/>
    </row>
    <row r="2516" spans="7:7" x14ac:dyDescent="0.3">
      <c r="G2516"/>
    </row>
    <row r="2517" spans="7:7" x14ac:dyDescent="0.3">
      <c r="G2517"/>
    </row>
    <row r="2518" spans="7:7" x14ac:dyDescent="0.3">
      <c r="G2518"/>
    </row>
    <row r="2519" spans="7:7" x14ac:dyDescent="0.3">
      <c r="G2519"/>
    </row>
    <row r="2520" spans="7:7" x14ac:dyDescent="0.3">
      <c r="G2520"/>
    </row>
    <row r="2521" spans="7:7" x14ac:dyDescent="0.3">
      <c r="G2521"/>
    </row>
    <row r="2522" spans="7:7" x14ac:dyDescent="0.3">
      <c r="G2522"/>
    </row>
    <row r="2523" spans="7:7" x14ac:dyDescent="0.3">
      <c r="G2523"/>
    </row>
    <row r="2524" spans="7:7" x14ac:dyDescent="0.3">
      <c r="G2524"/>
    </row>
    <row r="2525" spans="7:7" x14ac:dyDescent="0.3">
      <c r="G2525"/>
    </row>
    <row r="2526" spans="7:7" x14ac:dyDescent="0.3">
      <c r="G2526"/>
    </row>
    <row r="2527" spans="7:7" x14ac:dyDescent="0.3">
      <c r="G2527"/>
    </row>
    <row r="2528" spans="7:7" x14ac:dyDescent="0.3">
      <c r="G2528"/>
    </row>
    <row r="2529" spans="7:7" x14ac:dyDescent="0.3">
      <c r="G2529"/>
    </row>
    <row r="2530" spans="7:7" x14ac:dyDescent="0.3">
      <c r="G2530"/>
    </row>
    <row r="2531" spans="7:7" x14ac:dyDescent="0.3">
      <c r="G2531"/>
    </row>
    <row r="2532" spans="7:7" x14ac:dyDescent="0.3">
      <c r="G2532"/>
    </row>
    <row r="2533" spans="7:7" x14ac:dyDescent="0.3">
      <c r="G2533"/>
    </row>
    <row r="2534" spans="7:7" x14ac:dyDescent="0.3">
      <c r="G2534"/>
    </row>
    <row r="2535" spans="7:7" x14ac:dyDescent="0.3">
      <c r="G2535"/>
    </row>
    <row r="2536" spans="7:7" x14ac:dyDescent="0.3">
      <c r="G2536"/>
    </row>
    <row r="2537" spans="7:7" x14ac:dyDescent="0.3">
      <c r="G2537"/>
    </row>
    <row r="2538" spans="7:7" x14ac:dyDescent="0.3">
      <c r="G2538"/>
    </row>
    <row r="2539" spans="7:7" x14ac:dyDescent="0.3">
      <c r="G2539"/>
    </row>
    <row r="2540" spans="7:7" x14ac:dyDescent="0.3">
      <c r="G2540"/>
    </row>
    <row r="2541" spans="7:7" x14ac:dyDescent="0.3">
      <c r="G2541"/>
    </row>
    <row r="2542" spans="7:7" x14ac:dyDescent="0.3">
      <c r="G2542"/>
    </row>
    <row r="2543" spans="7:7" x14ac:dyDescent="0.3">
      <c r="G2543"/>
    </row>
    <row r="2544" spans="7:7" x14ac:dyDescent="0.3">
      <c r="G2544"/>
    </row>
    <row r="2545" spans="7:7" x14ac:dyDescent="0.3">
      <c r="G2545"/>
    </row>
    <row r="2546" spans="7:7" x14ac:dyDescent="0.3">
      <c r="G2546"/>
    </row>
    <row r="2547" spans="7:7" x14ac:dyDescent="0.3">
      <c r="G2547"/>
    </row>
    <row r="2548" spans="7:7" x14ac:dyDescent="0.3">
      <c r="G2548"/>
    </row>
    <row r="2549" spans="7:7" x14ac:dyDescent="0.3">
      <c r="G2549"/>
    </row>
    <row r="2550" spans="7:7" x14ac:dyDescent="0.3">
      <c r="G2550"/>
    </row>
    <row r="2551" spans="7:7" x14ac:dyDescent="0.3">
      <c r="G2551"/>
    </row>
    <row r="2552" spans="7:7" x14ac:dyDescent="0.3">
      <c r="G2552"/>
    </row>
    <row r="2553" spans="7:7" x14ac:dyDescent="0.3">
      <c r="G2553"/>
    </row>
    <row r="2554" spans="7:7" x14ac:dyDescent="0.3">
      <c r="G2554"/>
    </row>
    <row r="2555" spans="7:7" x14ac:dyDescent="0.3">
      <c r="G2555"/>
    </row>
    <row r="2556" spans="7:7" x14ac:dyDescent="0.3">
      <c r="G2556"/>
    </row>
    <row r="2557" spans="7:7" x14ac:dyDescent="0.3">
      <c r="G2557"/>
    </row>
    <row r="2558" spans="7:7" x14ac:dyDescent="0.3">
      <c r="G2558"/>
    </row>
    <row r="2559" spans="7:7" x14ac:dyDescent="0.3">
      <c r="G2559"/>
    </row>
    <row r="2560" spans="7:7" x14ac:dyDescent="0.3">
      <c r="G2560"/>
    </row>
    <row r="2561" spans="7:7" x14ac:dyDescent="0.3">
      <c r="G2561"/>
    </row>
    <row r="2562" spans="7:7" x14ac:dyDescent="0.3">
      <c r="G2562"/>
    </row>
    <row r="2563" spans="7:7" x14ac:dyDescent="0.3">
      <c r="G2563"/>
    </row>
    <row r="2564" spans="7:7" x14ac:dyDescent="0.3">
      <c r="G2564"/>
    </row>
    <row r="2565" spans="7:7" x14ac:dyDescent="0.3">
      <c r="G2565"/>
    </row>
    <row r="2566" spans="7:7" x14ac:dyDescent="0.3">
      <c r="G2566"/>
    </row>
    <row r="2567" spans="7:7" x14ac:dyDescent="0.3">
      <c r="G2567"/>
    </row>
    <row r="2568" spans="7:7" x14ac:dyDescent="0.3">
      <c r="G2568"/>
    </row>
    <row r="2569" spans="7:7" x14ac:dyDescent="0.3">
      <c r="G2569"/>
    </row>
    <row r="2570" spans="7:7" x14ac:dyDescent="0.3">
      <c r="G2570"/>
    </row>
    <row r="2571" spans="7:7" x14ac:dyDescent="0.3">
      <c r="G2571"/>
    </row>
    <row r="2572" spans="7:7" x14ac:dyDescent="0.3">
      <c r="G2572"/>
    </row>
    <row r="2573" spans="7:7" x14ac:dyDescent="0.3">
      <c r="G2573"/>
    </row>
    <row r="2574" spans="7:7" x14ac:dyDescent="0.3">
      <c r="G2574"/>
    </row>
    <row r="2575" spans="7:7" x14ac:dyDescent="0.3">
      <c r="G2575"/>
    </row>
    <row r="2576" spans="7:7" x14ac:dyDescent="0.3">
      <c r="G2576"/>
    </row>
    <row r="2577" spans="7:7" x14ac:dyDescent="0.3">
      <c r="G2577"/>
    </row>
    <row r="2578" spans="7:7" x14ac:dyDescent="0.3">
      <c r="G2578"/>
    </row>
    <row r="2579" spans="7:7" x14ac:dyDescent="0.3">
      <c r="G2579"/>
    </row>
    <row r="2580" spans="7:7" x14ac:dyDescent="0.3">
      <c r="G2580"/>
    </row>
    <row r="2581" spans="7:7" x14ac:dyDescent="0.3">
      <c r="G2581"/>
    </row>
    <row r="2582" spans="7:7" x14ac:dyDescent="0.3">
      <c r="G2582"/>
    </row>
    <row r="2583" spans="7:7" x14ac:dyDescent="0.3">
      <c r="G2583"/>
    </row>
    <row r="2584" spans="7:7" x14ac:dyDescent="0.3">
      <c r="G2584"/>
    </row>
    <row r="2585" spans="7:7" x14ac:dyDescent="0.3">
      <c r="G2585"/>
    </row>
    <row r="2586" spans="7:7" x14ac:dyDescent="0.3">
      <c r="G2586"/>
    </row>
    <row r="2587" spans="7:7" x14ac:dyDescent="0.3">
      <c r="G2587"/>
    </row>
    <row r="2588" spans="7:7" x14ac:dyDescent="0.3">
      <c r="G2588"/>
    </row>
    <row r="2589" spans="7:7" x14ac:dyDescent="0.3">
      <c r="G2589"/>
    </row>
    <row r="2590" spans="7:7" x14ac:dyDescent="0.3">
      <c r="G2590"/>
    </row>
    <row r="2591" spans="7:7" x14ac:dyDescent="0.3">
      <c r="G2591"/>
    </row>
    <row r="2592" spans="7:7" x14ac:dyDescent="0.3">
      <c r="G2592"/>
    </row>
    <row r="2593" spans="7:7" x14ac:dyDescent="0.3">
      <c r="G2593"/>
    </row>
    <row r="2594" spans="7:7" x14ac:dyDescent="0.3">
      <c r="G2594"/>
    </row>
    <row r="2595" spans="7:7" x14ac:dyDescent="0.3">
      <c r="G2595"/>
    </row>
    <row r="2596" spans="7:7" x14ac:dyDescent="0.3">
      <c r="G2596"/>
    </row>
    <row r="2597" spans="7:7" x14ac:dyDescent="0.3">
      <c r="G2597"/>
    </row>
    <row r="2598" spans="7:7" x14ac:dyDescent="0.3">
      <c r="G2598"/>
    </row>
    <row r="2599" spans="7:7" x14ac:dyDescent="0.3">
      <c r="G2599"/>
    </row>
    <row r="2600" spans="7:7" x14ac:dyDescent="0.3">
      <c r="G2600"/>
    </row>
    <row r="2601" spans="7:7" x14ac:dyDescent="0.3">
      <c r="G2601"/>
    </row>
    <row r="2602" spans="7:7" x14ac:dyDescent="0.3">
      <c r="G2602"/>
    </row>
    <row r="2603" spans="7:7" x14ac:dyDescent="0.3">
      <c r="G2603"/>
    </row>
    <row r="2604" spans="7:7" x14ac:dyDescent="0.3">
      <c r="G2604"/>
    </row>
    <row r="2605" spans="7:7" x14ac:dyDescent="0.3">
      <c r="G2605"/>
    </row>
    <row r="2606" spans="7:7" x14ac:dyDescent="0.3">
      <c r="G2606"/>
    </row>
    <row r="2607" spans="7:7" x14ac:dyDescent="0.3">
      <c r="G2607"/>
    </row>
    <row r="2608" spans="7:7" x14ac:dyDescent="0.3">
      <c r="G2608"/>
    </row>
    <row r="2609" spans="7:7" x14ac:dyDescent="0.3">
      <c r="G2609"/>
    </row>
    <row r="2610" spans="7:7" x14ac:dyDescent="0.3">
      <c r="G2610"/>
    </row>
    <row r="2611" spans="7:7" x14ac:dyDescent="0.3">
      <c r="G2611"/>
    </row>
    <row r="2612" spans="7:7" x14ac:dyDescent="0.3">
      <c r="G2612"/>
    </row>
    <row r="2613" spans="7:7" x14ac:dyDescent="0.3">
      <c r="G2613"/>
    </row>
    <row r="2614" spans="7:7" x14ac:dyDescent="0.3">
      <c r="G2614"/>
    </row>
    <row r="2615" spans="7:7" x14ac:dyDescent="0.3">
      <c r="G2615"/>
    </row>
    <row r="2616" spans="7:7" x14ac:dyDescent="0.3">
      <c r="G2616"/>
    </row>
    <row r="2617" spans="7:7" x14ac:dyDescent="0.3">
      <c r="G2617"/>
    </row>
    <row r="2618" spans="7:7" x14ac:dyDescent="0.3">
      <c r="G2618"/>
    </row>
    <row r="2619" spans="7:7" x14ac:dyDescent="0.3">
      <c r="G2619"/>
    </row>
    <row r="2620" spans="7:7" x14ac:dyDescent="0.3">
      <c r="G2620"/>
    </row>
    <row r="2621" spans="7:7" x14ac:dyDescent="0.3">
      <c r="G2621"/>
    </row>
    <row r="2622" spans="7:7" x14ac:dyDescent="0.3">
      <c r="G2622"/>
    </row>
    <row r="2623" spans="7:7" x14ac:dyDescent="0.3">
      <c r="G2623"/>
    </row>
    <row r="2624" spans="7:7" x14ac:dyDescent="0.3">
      <c r="G2624"/>
    </row>
    <row r="2625" spans="7:7" x14ac:dyDescent="0.3">
      <c r="G2625"/>
    </row>
    <row r="2626" spans="7:7" x14ac:dyDescent="0.3">
      <c r="G2626"/>
    </row>
    <row r="2627" spans="7:7" x14ac:dyDescent="0.3">
      <c r="G2627"/>
    </row>
    <row r="2628" spans="7:7" x14ac:dyDescent="0.3">
      <c r="G2628"/>
    </row>
    <row r="2629" spans="7:7" x14ac:dyDescent="0.3">
      <c r="G2629"/>
    </row>
    <row r="2630" spans="7:7" x14ac:dyDescent="0.3">
      <c r="G2630"/>
    </row>
    <row r="2631" spans="7:7" x14ac:dyDescent="0.3">
      <c r="G2631"/>
    </row>
    <row r="2632" spans="7:7" x14ac:dyDescent="0.3">
      <c r="G2632"/>
    </row>
    <row r="2633" spans="7:7" x14ac:dyDescent="0.3">
      <c r="G2633"/>
    </row>
    <row r="2634" spans="7:7" x14ac:dyDescent="0.3">
      <c r="G2634"/>
    </row>
    <row r="2635" spans="7:7" x14ac:dyDescent="0.3">
      <c r="G2635"/>
    </row>
    <row r="2636" spans="7:7" x14ac:dyDescent="0.3">
      <c r="G2636"/>
    </row>
    <row r="2637" spans="7:7" x14ac:dyDescent="0.3">
      <c r="G2637"/>
    </row>
    <row r="2638" spans="7:7" x14ac:dyDescent="0.3">
      <c r="G2638"/>
    </row>
    <row r="2639" spans="7:7" x14ac:dyDescent="0.3">
      <c r="G2639"/>
    </row>
    <row r="2640" spans="7:7" x14ac:dyDescent="0.3">
      <c r="G2640"/>
    </row>
    <row r="2641" spans="7:7" x14ac:dyDescent="0.3">
      <c r="G2641"/>
    </row>
    <row r="2642" spans="7:7" x14ac:dyDescent="0.3">
      <c r="G2642"/>
    </row>
    <row r="2643" spans="7:7" x14ac:dyDescent="0.3">
      <c r="G2643"/>
    </row>
    <row r="2644" spans="7:7" x14ac:dyDescent="0.3">
      <c r="G2644"/>
    </row>
    <row r="2645" spans="7:7" x14ac:dyDescent="0.3">
      <c r="G2645"/>
    </row>
    <row r="2646" spans="7:7" x14ac:dyDescent="0.3">
      <c r="G2646"/>
    </row>
    <row r="2647" spans="7:7" x14ac:dyDescent="0.3">
      <c r="G2647"/>
    </row>
    <row r="2648" spans="7:7" x14ac:dyDescent="0.3">
      <c r="G2648"/>
    </row>
    <row r="2649" spans="7:7" x14ac:dyDescent="0.3">
      <c r="G2649"/>
    </row>
    <row r="2650" spans="7:7" x14ac:dyDescent="0.3">
      <c r="G2650"/>
    </row>
    <row r="2651" spans="7:7" x14ac:dyDescent="0.3">
      <c r="G2651"/>
    </row>
    <row r="2652" spans="7:7" x14ac:dyDescent="0.3">
      <c r="G2652"/>
    </row>
    <row r="2653" spans="7:7" x14ac:dyDescent="0.3">
      <c r="G2653"/>
    </row>
    <row r="2654" spans="7:7" x14ac:dyDescent="0.3">
      <c r="G2654"/>
    </row>
    <row r="2655" spans="7:7" x14ac:dyDescent="0.3">
      <c r="G2655"/>
    </row>
    <row r="2656" spans="7:7" x14ac:dyDescent="0.3">
      <c r="G2656"/>
    </row>
    <row r="2657" spans="7:7" x14ac:dyDescent="0.3">
      <c r="G2657"/>
    </row>
    <row r="2658" spans="7:7" x14ac:dyDescent="0.3">
      <c r="G2658"/>
    </row>
    <row r="2659" spans="7:7" x14ac:dyDescent="0.3">
      <c r="G2659"/>
    </row>
    <row r="2660" spans="7:7" x14ac:dyDescent="0.3">
      <c r="G2660"/>
    </row>
    <row r="2661" spans="7:7" x14ac:dyDescent="0.3">
      <c r="G2661"/>
    </row>
    <row r="2662" spans="7:7" x14ac:dyDescent="0.3">
      <c r="G2662"/>
    </row>
    <row r="2663" spans="7:7" x14ac:dyDescent="0.3">
      <c r="G2663"/>
    </row>
    <row r="2664" spans="7:7" x14ac:dyDescent="0.3">
      <c r="G2664"/>
    </row>
    <row r="2665" spans="7:7" x14ac:dyDescent="0.3">
      <c r="G2665"/>
    </row>
    <row r="2666" spans="7:7" x14ac:dyDescent="0.3">
      <c r="G2666"/>
    </row>
    <row r="2667" spans="7:7" x14ac:dyDescent="0.3">
      <c r="G2667"/>
    </row>
    <row r="2668" spans="7:7" x14ac:dyDescent="0.3">
      <c r="G2668"/>
    </row>
    <row r="2669" spans="7:7" x14ac:dyDescent="0.3">
      <c r="G2669"/>
    </row>
    <row r="2670" spans="7:7" x14ac:dyDescent="0.3">
      <c r="G2670"/>
    </row>
    <row r="2671" spans="7:7" x14ac:dyDescent="0.3">
      <c r="G2671"/>
    </row>
    <row r="2672" spans="7:7" x14ac:dyDescent="0.3">
      <c r="G2672"/>
    </row>
    <row r="2673" spans="7:7" x14ac:dyDescent="0.3">
      <c r="G2673"/>
    </row>
    <row r="2674" spans="7:7" x14ac:dyDescent="0.3">
      <c r="G2674"/>
    </row>
    <row r="2675" spans="7:7" x14ac:dyDescent="0.3">
      <c r="G2675"/>
    </row>
    <row r="2676" spans="7:7" x14ac:dyDescent="0.3">
      <c r="G2676"/>
    </row>
    <row r="2677" spans="7:7" x14ac:dyDescent="0.3">
      <c r="G2677"/>
    </row>
    <row r="2678" spans="7:7" x14ac:dyDescent="0.3">
      <c r="G2678"/>
    </row>
    <row r="2679" spans="7:7" x14ac:dyDescent="0.3">
      <c r="G2679"/>
    </row>
    <row r="2680" spans="7:7" x14ac:dyDescent="0.3">
      <c r="G2680"/>
    </row>
    <row r="2681" spans="7:7" x14ac:dyDescent="0.3">
      <c r="G2681"/>
    </row>
    <row r="2682" spans="7:7" x14ac:dyDescent="0.3">
      <c r="G2682"/>
    </row>
    <row r="2683" spans="7:7" x14ac:dyDescent="0.3">
      <c r="G2683"/>
    </row>
    <row r="2684" spans="7:7" x14ac:dyDescent="0.3">
      <c r="G2684"/>
    </row>
    <row r="2685" spans="7:7" x14ac:dyDescent="0.3">
      <c r="G2685"/>
    </row>
    <row r="2686" spans="7:7" x14ac:dyDescent="0.3">
      <c r="G2686"/>
    </row>
    <row r="2687" spans="7:7" x14ac:dyDescent="0.3">
      <c r="G2687"/>
    </row>
    <row r="2688" spans="7:7" x14ac:dyDescent="0.3">
      <c r="G2688"/>
    </row>
    <row r="2689" spans="7:7" x14ac:dyDescent="0.3">
      <c r="G2689"/>
    </row>
    <row r="2690" spans="7:7" x14ac:dyDescent="0.3">
      <c r="G2690"/>
    </row>
    <row r="2691" spans="7:7" x14ac:dyDescent="0.3">
      <c r="G2691"/>
    </row>
    <row r="2692" spans="7:7" x14ac:dyDescent="0.3">
      <c r="G2692"/>
    </row>
    <row r="2693" spans="7:7" x14ac:dyDescent="0.3">
      <c r="G2693"/>
    </row>
    <row r="2694" spans="7:7" x14ac:dyDescent="0.3">
      <c r="G2694"/>
    </row>
    <row r="2695" spans="7:7" x14ac:dyDescent="0.3">
      <c r="G2695"/>
    </row>
    <row r="2696" spans="7:7" x14ac:dyDescent="0.3">
      <c r="G2696"/>
    </row>
    <row r="2697" spans="7:7" x14ac:dyDescent="0.3">
      <c r="G2697"/>
    </row>
    <row r="2698" spans="7:7" x14ac:dyDescent="0.3">
      <c r="G2698"/>
    </row>
    <row r="2699" spans="7:7" x14ac:dyDescent="0.3">
      <c r="G2699"/>
    </row>
    <row r="2700" spans="7:7" x14ac:dyDescent="0.3">
      <c r="G2700"/>
    </row>
    <row r="2701" spans="7:7" x14ac:dyDescent="0.3">
      <c r="G2701"/>
    </row>
    <row r="2702" spans="7:7" x14ac:dyDescent="0.3">
      <c r="G2702"/>
    </row>
    <row r="2703" spans="7:7" x14ac:dyDescent="0.3">
      <c r="G2703"/>
    </row>
    <row r="2704" spans="7:7" x14ac:dyDescent="0.3">
      <c r="G2704"/>
    </row>
    <row r="2705" spans="7:7" x14ac:dyDescent="0.3">
      <c r="G2705"/>
    </row>
    <row r="2706" spans="7:7" x14ac:dyDescent="0.3">
      <c r="G2706"/>
    </row>
    <row r="2707" spans="7:7" x14ac:dyDescent="0.3">
      <c r="G2707"/>
    </row>
    <row r="2708" spans="7:7" x14ac:dyDescent="0.3">
      <c r="G2708"/>
    </row>
    <row r="2709" spans="7:7" x14ac:dyDescent="0.3">
      <c r="G2709"/>
    </row>
    <row r="2710" spans="7:7" x14ac:dyDescent="0.3">
      <c r="G2710"/>
    </row>
    <row r="2711" spans="7:7" x14ac:dyDescent="0.3">
      <c r="G2711"/>
    </row>
    <row r="2712" spans="7:7" x14ac:dyDescent="0.3">
      <c r="G2712"/>
    </row>
    <row r="2713" spans="7:7" x14ac:dyDescent="0.3">
      <c r="G2713"/>
    </row>
    <row r="2714" spans="7:7" x14ac:dyDescent="0.3">
      <c r="G2714"/>
    </row>
    <row r="2715" spans="7:7" x14ac:dyDescent="0.3">
      <c r="G2715"/>
    </row>
    <row r="2716" spans="7:7" x14ac:dyDescent="0.3">
      <c r="G2716"/>
    </row>
    <row r="2717" spans="7:7" x14ac:dyDescent="0.3">
      <c r="G2717"/>
    </row>
    <row r="2718" spans="7:7" x14ac:dyDescent="0.3">
      <c r="G2718"/>
    </row>
    <row r="2719" spans="7:7" x14ac:dyDescent="0.3">
      <c r="G2719"/>
    </row>
    <row r="2720" spans="7:7" x14ac:dyDescent="0.3">
      <c r="G2720"/>
    </row>
    <row r="2721" spans="7:7" x14ac:dyDescent="0.3">
      <c r="G2721"/>
    </row>
    <row r="2722" spans="7:7" x14ac:dyDescent="0.3">
      <c r="G2722"/>
    </row>
    <row r="2723" spans="7:7" x14ac:dyDescent="0.3">
      <c r="G2723"/>
    </row>
    <row r="2724" spans="7:7" x14ac:dyDescent="0.3">
      <c r="G2724"/>
    </row>
    <row r="2725" spans="7:7" x14ac:dyDescent="0.3">
      <c r="G2725"/>
    </row>
    <row r="2726" spans="7:7" x14ac:dyDescent="0.3">
      <c r="G2726"/>
    </row>
    <row r="2727" spans="7:7" x14ac:dyDescent="0.3">
      <c r="G2727"/>
    </row>
    <row r="2728" spans="7:7" x14ac:dyDescent="0.3">
      <c r="G2728"/>
    </row>
    <row r="2729" spans="7:7" x14ac:dyDescent="0.3">
      <c r="G2729"/>
    </row>
    <row r="2730" spans="7:7" x14ac:dyDescent="0.3">
      <c r="G2730"/>
    </row>
    <row r="2731" spans="7:7" x14ac:dyDescent="0.3">
      <c r="G2731"/>
    </row>
    <row r="2732" spans="7:7" x14ac:dyDescent="0.3">
      <c r="G2732"/>
    </row>
    <row r="2733" spans="7:7" x14ac:dyDescent="0.3">
      <c r="G2733"/>
    </row>
    <row r="2734" spans="7:7" x14ac:dyDescent="0.3">
      <c r="G2734"/>
    </row>
    <row r="2735" spans="7:7" x14ac:dyDescent="0.3">
      <c r="G2735"/>
    </row>
    <row r="2736" spans="7:7" x14ac:dyDescent="0.3">
      <c r="G2736"/>
    </row>
    <row r="2737" spans="7:7" x14ac:dyDescent="0.3">
      <c r="G2737"/>
    </row>
    <row r="2738" spans="7:7" x14ac:dyDescent="0.3">
      <c r="G2738"/>
    </row>
    <row r="2739" spans="7:7" x14ac:dyDescent="0.3">
      <c r="G2739"/>
    </row>
    <row r="2740" spans="7:7" x14ac:dyDescent="0.3">
      <c r="G2740"/>
    </row>
    <row r="2741" spans="7:7" x14ac:dyDescent="0.3">
      <c r="G2741"/>
    </row>
    <row r="2742" spans="7:7" x14ac:dyDescent="0.3">
      <c r="G2742"/>
    </row>
    <row r="2743" spans="7:7" x14ac:dyDescent="0.3">
      <c r="G2743"/>
    </row>
    <row r="2744" spans="7:7" x14ac:dyDescent="0.3">
      <c r="G2744"/>
    </row>
    <row r="2745" spans="7:7" x14ac:dyDescent="0.3">
      <c r="G2745"/>
    </row>
    <row r="2746" spans="7:7" x14ac:dyDescent="0.3">
      <c r="G2746"/>
    </row>
    <row r="2747" spans="7:7" x14ac:dyDescent="0.3">
      <c r="G2747"/>
    </row>
    <row r="2748" spans="7:7" x14ac:dyDescent="0.3">
      <c r="G2748"/>
    </row>
    <row r="2749" spans="7:7" x14ac:dyDescent="0.3">
      <c r="G2749"/>
    </row>
    <row r="2750" spans="7:7" x14ac:dyDescent="0.3">
      <c r="G2750"/>
    </row>
    <row r="2751" spans="7:7" x14ac:dyDescent="0.3">
      <c r="G2751"/>
    </row>
    <row r="2752" spans="7:7" x14ac:dyDescent="0.3">
      <c r="G2752"/>
    </row>
    <row r="2753" spans="7:7" x14ac:dyDescent="0.3">
      <c r="G2753"/>
    </row>
    <row r="2754" spans="7:7" x14ac:dyDescent="0.3">
      <c r="G2754"/>
    </row>
    <row r="2755" spans="7:7" x14ac:dyDescent="0.3">
      <c r="G2755"/>
    </row>
    <row r="2756" spans="7:7" x14ac:dyDescent="0.3">
      <c r="G2756"/>
    </row>
    <row r="2757" spans="7:7" x14ac:dyDescent="0.3">
      <c r="G2757"/>
    </row>
    <row r="2758" spans="7:7" x14ac:dyDescent="0.3">
      <c r="G2758"/>
    </row>
    <row r="2759" spans="7:7" x14ac:dyDescent="0.3">
      <c r="G2759"/>
    </row>
    <row r="2760" spans="7:7" x14ac:dyDescent="0.3">
      <c r="G2760"/>
    </row>
    <row r="2761" spans="7:7" x14ac:dyDescent="0.3">
      <c r="G2761"/>
    </row>
    <row r="2762" spans="7:7" x14ac:dyDescent="0.3">
      <c r="G2762"/>
    </row>
    <row r="2763" spans="7:7" x14ac:dyDescent="0.3">
      <c r="G2763"/>
    </row>
    <row r="2764" spans="7:7" x14ac:dyDescent="0.3">
      <c r="G2764"/>
    </row>
    <row r="2765" spans="7:7" x14ac:dyDescent="0.3">
      <c r="G2765"/>
    </row>
    <row r="2766" spans="7:7" x14ac:dyDescent="0.3">
      <c r="G2766"/>
    </row>
    <row r="2767" spans="7:7" x14ac:dyDescent="0.3">
      <c r="G2767"/>
    </row>
    <row r="2768" spans="7:7" x14ac:dyDescent="0.3">
      <c r="G2768"/>
    </row>
    <row r="2769" spans="7:7" x14ac:dyDescent="0.3">
      <c r="G2769"/>
    </row>
    <row r="2770" spans="7:7" x14ac:dyDescent="0.3">
      <c r="G2770"/>
    </row>
    <row r="2771" spans="7:7" x14ac:dyDescent="0.3">
      <c r="G2771"/>
    </row>
    <row r="2772" spans="7:7" x14ac:dyDescent="0.3">
      <c r="G2772"/>
    </row>
    <row r="2773" spans="7:7" x14ac:dyDescent="0.3">
      <c r="G2773"/>
    </row>
    <row r="2774" spans="7:7" x14ac:dyDescent="0.3">
      <c r="G2774"/>
    </row>
    <row r="2775" spans="7:7" x14ac:dyDescent="0.3">
      <c r="G2775"/>
    </row>
    <row r="2776" spans="7:7" x14ac:dyDescent="0.3">
      <c r="G2776"/>
    </row>
    <row r="2777" spans="7:7" x14ac:dyDescent="0.3">
      <c r="G2777"/>
    </row>
    <row r="2778" spans="7:7" x14ac:dyDescent="0.3">
      <c r="G2778"/>
    </row>
    <row r="2779" spans="7:7" x14ac:dyDescent="0.3">
      <c r="G2779"/>
    </row>
    <row r="2780" spans="7:7" x14ac:dyDescent="0.3">
      <c r="G2780"/>
    </row>
    <row r="2781" spans="7:7" x14ac:dyDescent="0.3">
      <c r="G2781"/>
    </row>
    <row r="2782" spans="7:7" x14ac:dyDescent="0.3">
      <c r="G2782"/>
    </row>
    <row r="2783" spans="7:7" x14ac:dyDescent="0.3">
      <c r="G2783"/>
    </row>
    <row r="2784" spans="7:7" x14ac:dyDescent="0.3">
      <c r="G2784"/>
    </row>
    <row r="2785" spans="7:7" x14ac:dyDescent="0.3">
      <c r="G2785"/>
    </row>
    <row r="2786" spans="7:7" x14ac:dyDescent="0.3">
      <c r="G2786"/>
    </row>
    <row r="2787" spans="7:7" x14ac:dyDescent="0.3">
      <c r="G2787"/>
    </row>
    <row r="2788" spans="7:7" x14ac:dyDescent="0.3">
      <c r="G2788"/>
    </row>
    <row r="2789" spans="7:7" x14ac:dyDescent="0.3">
      <c r="G2789"/>
    </row>
    <row r="2790" spans="7:7" x14ac:dyDescent="0.3">
      <c r="G2790"/>
    </row>
    <row r="2791" spans="7:7" x14ac:dyDescent="0.3">
      <c r="G2791"/>
    </row>
    <row r="2792" spans="7:7" x14ac:dyDescent="0.3">
      <c r="G2792"/>
    </row>
    <row r="2793" spans="7:7" x14ac:dyDescent="0.3">
      <c r="G2793"/>
    </row>
    <row r="2794" spans="7:7" x14ac:dyDescent="0.3">
      <c r="G2794"/>
    </row>
    <row r="2795" spans="7:7" x14ac:dyDescent="0.3">
      <c r="G2795"/>
    </row>
    <row r="2796" spans="7:7" x14ac:dyDescent="0.3">
      <c r="G2796"/>
    </row>
    <row r="2797" spans="7:7" x14ac:dyDescent="0.3">
      <c r="G2797"/>
    </row>
    <row r="2798" spans="7:7" x14ac:dyDescent="0.3">
      <c r="G2798"/>
    </row>
    <row r="2799" spans="7:7" x14ac:dyDescent="0.3">
      <c r="G2799"/>
    </row>
    <row r="2800" spans="7:7" x14ac:dyDescent="0.3">
      <c r="G2800"/>
    </row>
    <row r="2801" spans="7:7" x14ac:dyDescent="0.3">
      <c r="G2801"/>
    </row>
    <row r="2802" spans="7:7" x14ac:dyDescent="0.3">
      <c r="G2802"/>
    </row>
    <row r="2803" spans="7:7" x14ac:dyDescent="0.3">
      <c r="G2803"/>
    </row>
    <row r="2804" spans="7:7" x14ac:dyDescent="0.3">
      <c r="G2804"/>
    </row>
    <row r="2805" spans="7:7" x14ac:dyDescent="0.3">
      <c r="G2805"/>
    </row>
    <row r="2806" spans="7:7" x14ac:dyDescent="0.3">
      <c r="G2806"/>
    </row>
    <row r="2807" spans="7:7" x14ac:dyDescent="0.3">
      <c r="G2807"/>
    </row>
    <row r="2808" spans="7:7" x14ac:dyDescent="0.3">
      <c r="G2808"/>
    </row>
    <row r="2809" spans="7:7" x14ac:dyDescent="0.3">
      <c r="G2809"/>
    </row>
    <row r="2810" spans="7:7" x14ac:dyDescent="0.3">
      <c r="G2810"/>
    </row>
    <row r="2811" spans="7:7" x14ac:dyDescent="0.3">
      <c r="G2811"/>
    </row>
    <row r="2812" spans="7:7" x14ac:dyDescent="0.3">
      <c r="G2812"/>
    </row>
    <row r="2813" spans="7:7" x14ac:dyDescent="0.3">
      <c r="G2813"/>
    </row>
    <row r="2814" spans="7:7" x14ac:dyDescent="0.3">
      <c r="G2814"/>
    </row>
    <row r="2815" spans="7:7" x14ac:dyDescent="0.3">
      <c r="G2815"/>
    </row>
    <row r="2816" spans="7:7" x14ac:dyDescent="0.3">
      <c r="G2816"/>
    </row>
    <row r="2817" spans="7:7" x14ac:dyDescent="0.3">
      <c r="G2817"/>
    </row>
    <row r="2818" spans="7:7" x14ac:dyDescent="0.3">
      <c r="G2818"/>
    </row>
    <row r="2819" spans="7:7" x14ac:dyDescent="0.3">
      <c r="G2819"/>
    </row>
    <row r="2820" spans="7:7" x14ac:dyDescent="0.3">
      <c r="G2820"/>
    </row>
    <row r="2821" spans="7:7" x14ac:dyDescent="0.3">
      <c r="G2821"/>
    </row>
    <row r="2822" spans="7:7" x14ac:dyDescent="0.3">
      <c r="G2822"/>
    </row>
    <row r="2823" spans="7:7" x14ac:dyDescent="0.3">
      <c r="G2823"/>
    </row>
    <row r="2824" spans="7:7" x14ac:dyDescent="0.3">
      <c r="G2824"/>
    </row>
    <row r="2825" spans="7:7" x14ac:dyDescent="0.3">
      <c r="G2825"/>
    </row>
    <row r="2826" spans="7:7" x14ac:dyDescent="0.3">
      <c r="G2826"/>
    </row>
    <row r="2827" spans="7:7" x14ac:dyDescent="0.3">
      <c r="G2827"/>
    </row>
    <row r="2828" spans="7:7" x14ac:dyDescent="0.3">
      <c r="G2828"/>
    </row>
    <row r="2829" spans="7:7" x14ac:dyDescent="0.3">
      <c r="G2829"/>
    </row>
    <row r="2830" spans="7:7" x14ac:dyDescent="0.3">
      <c r="G2830"/>
    </row>
    <row r="2831" spans="7:7" x14ac:dyDescent="0.3">
      <c r="G2831"/>
    </row>
    <row r="2832" spans="7:7" x14ac:dyDescent="0.3">
      <c r="G2832"/>
    </row>
    <row r="2833" spans="7:7" x14ac:dyDescent="0.3">
      <c r="G2833"/>
    </row>
    <row r="2834" spans="7:7" x14ac:dyDescent="0.3">
      <c r="G2834"/>
    </row>
    <row r="2835" spans="7:7" x14ac:dyDescent="0.3">
      <c r="G2835"/>
    </row>
    <row r="2836" spans="7:7" x14ac:dyDescent="0.3">
      <c r="G2836"/>
    </row>
    <row r="2837" spans="7:7" x14ac:dyDescent="0.3">
      <c r="G2837"/>
    </row>
    <row r="2838" spans="7:7" x14ac:dyDescent="0.3">
      <c r="G2838"/>
    </row>
    <row r="2839" spans="7:7" x14ac:dyDescent="0.3">
      <c r="G2839"/>
    </row>
    <row r="2840" spans="7:7" x14ac:dyDescent="0.3">
      <c r="G2840"/>
    </row>
    <row r="2841" spans="7:7" x14ac:dyDescent="0.3">
      <c r="G2841"/>
    </row>
    <row r="2842" spans="7:7" x14ac:dyDescent="0.3">
      <c r="G2842"/>
    </row>
    <row r="2843" spans="7:7" x14ac:dyDescent="0.3">
      <c r="G2843"/>
    </row>
    <row r="2844" spans="7:7" x14ac:dyDescent="0.3">
      <c r="G2844"/>
    </row>
    <row r="2845" spans="7:7" x14ac:dyDescent="0.3">
      <c r="G2845"/>
    </row>
    <row r="2846" spans="7:7" x14ac:dyDescent="0.3">
      <c r="G2846"/>
    </row>
    <row r="2847" spans="7:7" x14ac:dyDescent="0.3">
      <c r="G2847"/>
    </row>
    <row r="2848" spans="7:7" x14ac:dyDescent="0.3">
      <c r="G2848"/>
    </row>
    <row r="2849" spans="7:7" x14ac:dyDescent="0.3">
      <c r="G2849"/>
    </row>
    <row r="2850" spans="7:7" x14ac:dyDescent="0.3">
      <c r="G2850"/>
    </row>
    <row r="2851" spans="7:7" x14ac:dyDescent="0.3">
      <c r="G2851"/>
    </row>
    <row r="2852" spans="7:7" x14ac:dyDescent="0.3">
      <c r="G2852"/>
    </row>
    <row r="2853" spans="7:7" x14ac:dyDescent="0.3">
      <c r="G2853"/>
    </row>
    <row r="2854" spans="7:7" x14ac:dyDescent="0.3">
      <c r="G2854"/>
    </row>
    <row r="2855" spans="7:7" x14ac:dyDescent="0.3">
      <c r="G2855"/>
    </row>
    <row r="2856" spans="7:7" x14ac:dyDescent="0.3">
      <c r="G2856"/>
    </row>
    <row r="2857" spans="7:7" x14ac:dyDescent="0.3">
      <c r="G2857"/>
    </row>
    <row r="2858" spans="7:7" x14ac:dyDescent="0.3">
      <c r="G2858"/>
    </row>
    <row r="2859" spans="7:7" x14ac:dyDescent="0.3">
      <c r="G2859"/>
    </row>
    <row r="2860" spans="7:7" x14ac:dyDescent="0.3">
      <c r="G2860"/>
    </row>
    <row r="2861" spans="7:7" x14ac:dyDescent="0.3">
      <c r="G2861"/>
    </row>
    <row r="2862" spans="7:7" x14ac:dyDescent="0.3">
      <c r="G2862"/>
    </row>
    <row r="2863" spans="7:7" x14ac:dyDescent="0.3">
      <c r="G2863"/>
    </row>
    <row r="2864" spans="7:7" x14ac:dyDescent="0.3">
      <c r="G2864"/>
    </row>
    <row r="2865" spans="7:7" x14ac:dyDescent="0.3">
      <c r="G2865"/>
    </row>
    <row r="2866" spans="7:7" x14ac:dyDescent="0.3">
      <c r="G2866"/>
    </row>
    <row r="2867" spans="7:7" x14ac:dyDescent="0.3">
      <c r="G2867"/>
    </row>
    <row r="2868" spans="7:7" x14ac:dyDescent="0.3">
      <c r="G2868"/>
    </row>
    <row r="2869" spans="7:7" x14ac:dyDescent="0.3">
      <c r="G2869"/>
    </row>
    <row r="2870" spans="7:7" x14ac:dyDescent="0.3">
      <c r="G2870"/>
    </row>
    <row r="2871" spans="7:7" x14ac:dyDescent="0.3">
      <c r="G2871"/>
    </row>
    <row r="2872" spans="7:7" x14ac:dyDescent="0.3">
      <c r="G2872"/>
    </row>
    <row r="2873" spans="7:7" x14ac:dyDescent="0.3">
      <c r="G2873"/>
    </row>
    <row r="2874" spans="7:7" x14ac:dyDescent="0.3">
      <c r="G2874"/>
    </row>
    <row r="2875" spans="7:7" x14ac:dyDescent="0.3">
      <c r="G2875"/>
    </row>
    <row r="2876" spans="7:7" x14ac:dyDescent="0.3">
      <c r="G2876"/>
    </row>
    <row r="2877" spans="7:7" x14ac:dyDescent="0.3">
      <c r="G2877"/>
    </row>
    <row r="2878" spans="7:7" x14ac:dyDescent="0.3">
      <c r="G2878"/>
    </row>
    <row r="2879" spans="7:7" x14ac:dyDescent="0.3">
      <c r="G2879"/>
    </row>
    <row r="2880" spans="7:7" x14ac:dyDescent="0.3">
      <c r="G2880"/>
    </row>
    <row r="2881" spans="7:7" x14ac:dyDescent="0.3">
      <c r="G2881"/>
    </row>
    <row r="2882" spans="7:7" x14ac:dyDescent="0.3">
      <c r="G2882"/>
    </row>
    <row r="2883" spans="7:7" x14ac:dyDescent="0.3">
      <c r="G2883"/>
    </row>
    <row r="2884" spans="7:7" x14ac:dyDescent="0.3">
      <c r="G2884"/>
    </row>
    <row r="2885" spans="7:7" x14ac:dyDescent="0.3">
      <c r="G2885"/>
    </row>
    <row r="2886" spans="7:7" x14ac:dyDescent="0.3">
      <c r="G2886"/>
    </row>
    <row r="2887" spans="7:7" x14ac:dyDescent="0.3">
      <c r="G2887"/>
    </row>
    <row r="2888" spans="7:7" x14ac:dyDescent="0.3">
      <c r="G2888"/>
    </row>
    <row r="2889" spans="7:7" x14ac:dyDescent="0.3">
      <c r="G2889"/>
    </row>
    <row r="2890" spans="7:7" x14ac:dyDescent="0.3">
      <c r="G2890"/>
    </row>
    <row r="2891" spans="7:7" x14ac:dyDescent="0.3">
      <c r="G2891"/>
    </row>
    <row r="2892" spans="7:7" x14ac:dyDescent="0.3">
      <c r="G2892"/>
    </row>
    <row r="2893" spans="7:7" x14ac:dyDescent="0.3">
      <c r="G2893"/>
    </row>
    <row r="2894" spans="7:7" x14ac:dyDescent="0.3">
      <c r="G2894"/>
    </row>
    <row r="2895" spans="7:7" x14ac:dyDescent="0.3">
      <c r="G2895"/>
    </row>
    <row r="2896" spans="7:7" x14ac:dyDescent="0.3">
      <c r="G2896"/>
    </row>
    <row r="2897" spans="7:7" x14ac:dyDescent="0.3">
      <c r="G2897"/>
    </row>
    <row r="2898" spans="7:7" x14ac:dyDescent="0.3">
      <c r="G2898"/>
    </row>
    <row r="2899" spans="7:7" x14ac:dyDescent="0.3">
      <c r="G2899"/>
    </row>
    <row r="2900" spans="7:7" x14ac:dyDescent="0.3">
      <c r="G2900"/>
    </row>
    <row r="2901" spans="7:7" x14ac:dyDescent="0.3">
      <c r="G2901"/>
    </row>
    <row r="2902" spans="7:7" x14ac:dyDescent="0.3">
      <c r="G2902"/>
    </row>
    <row r="2903" spans="7:7" x14ac:dyDescent="0.3">
      <c r="G2903"/>
    </row>
    <row r="2904" spans="7:7" x14ac:dyDescent="0.3">
      <c r="G2904"/>
    </row>
    <row r="2905" spans="7:7" x14ac:dyDescent="0.3">
      <c r="G2905"/>
    </row>
    <row r="2906" spans="7:7" x14ac:dyDescent="0.3">
      <c r="G2906"/>
    </row>
    <row r="2907" spans="7:7" x14ac:dyDescent="0.3">
      <c r="G2907"/>
    </row>
    <row r="2908" spans="7:7" x14ac:dyDescent="0.3">
      <c r="G2908"/>
    </row>
    <row r="2909" spans="7:7" x14ac:dyDescent="0.3">
      <c r="G2909"/>
    </row>
    <row r="2910" spans="7:7" x14ac:dyDescent="0.3">
      <c r="G2910"/>
    </row>
    <row r="2911" spans="7:7" x14ac:dyDescent="0.3">
      <c r="G2911"/>
    </row>
    <row r="2912" spans="7:7" x14ac:dyDescent="0.3">
      <c r="G2912"/>
    </row>
    <row r="2913" spans="7:7" x14ac:dyDescent="0.3">
      <c r="G2913"/>
    </row>
    <row r="2914" spans="7:7" x14ac:dyDescent="0.3">
      <c r="G2914"/>
    </row>
    <row r="2915" spans="7:7" x14ac:dyDescent="0.3">
      <c r="G2915"/>
    </row>
    <row r="2916" spans="7:7" x14ac:dyDescent="0.3">
      <c r="G2916"/>
    </row>
    <row r="2917" spans="7:7" x14ac:dyDescent="0.3">
      <c r="G2917"/>
    </row>
    <row r="2918" spans="7:7" x14ac:dyDescent="0.3">
      <c r="G2918"/>
    </row>
    <row r="2919" spans="7:7" x14ac:dyDescent="0.3">
      <c r="G2919"/>
    </row>
    <row r="2920" spans="7:7" x14ac:dyDescent="0.3">
      <c r="G2920"/>
    </row>
    <row r="2921" spans="7:7" x14ac:dyDescent="0.3">
      <c r="G2921"/>
    </row>
    <row r="2922" spans="7:7" x14ac:dyDescent="0.3">
      <c r="G2922"/>
    </row>
    <row r="2923" spans="7:7" x14ac:dyDescent="0.3">
      <c r="G2923"/>
    </row>
    <row r="2924" spans="7:7" x14ac:dyDescent="0.3">
      <c r="G2924"/>
    </row>
    <row r="2925" spans="7:7" x14ac:dyDescent="0.3">
      <c r="G2925"/>
    </row>
    <row r="2926" spans="7:7" x14ac:dyDescent="0.3">
      <c r="G2926"/>
    </row>
    <row r="2927" spans="7:7" x14ac:dyDescent="0.3">
      <c r="G2927"/>
    </row>
    <row r="2928" spans="7:7" x14ac:dyDescent="0.3">
      <c r="G2928"/>
    </row>
    <row r="2929" spans="7:7" x14ac:dyDescent="0.3">
      <c r="G2929"/>
    </row>
    <row r="2930" spans="7:7" x14ac:dyDescent="0.3">
      <c r="G2930"/>
    </row>
    <row r="2931" spans="7:7" x14ac:dyDescent="0.3">
      <c r="G2931"/>
    </row>
    <row r="2932" spans="7:7" x14ac:dyDescent="0.3">
      <c r="G2932"/>
    </row>
    <row r="2933" spans="7:7" x14ac:dyDescent="0.3">
      <c r="G2933"/>
    </row>
    <row r="2934" spans="7:7" x14ac:dyDescent="0.3">
      <c r="G2934"/>
    </row>
    <row r="2935" spans="7:7" x14ac:dyDescent="0.3">
      <c r="G2935"/>
    </row>
    <row r="2936" spans="7:7" x14ac:dyDescent="0.3">
      <c r="G2936"/>
    </row>
    <row r="2937" spans="7:7" x14ac:dyDescent="0.3">
      <c r="G2937"/>
    </row>
    <row r="2938" spans="7:7" x14ac:dyDescent="0.3">
      <c r="G2938"/>
    </row>
    <row r="2939" spans="7:7" x14ac:dyDescent="0.3">
      <c r="G2939"/>
    </row>
    <row r="2940" spans="7:7" x14ac:dyDescent="0.3">
      <c r="G2940"/>
    </row>
    <row r="2941" spans="7:7" x14ac:dyDescent="0.3">
      <c r="G2941"/>
    </row>
    <row r="2942" spans="7:7" x14ac:dyDescent="0.3">
      <c r="G2942"/>
    </row>
    <row r="2943" spans="7:7" x14ac:dyDescent="0.3">
      <c r="G2943"/>
    </row>
    <row r="2944" spans="7:7" x14ac:dyDescent="0.3">
      <c r="G2944"/>
    </row>
    <row r="2945" spans="7:7" x14ac:dyDescent="0.3">
      <c r="G2945"/>
    </row>
    <row r="2946" spans="7:7" x14ac:dyDescent="0.3">
      <c r="G2946"/>
    </row>
    <row r="2947" spans="7:7" x14ac:dyDescent="0.3">
      <c r="G2947"/>
    </row>
    <row r="2948" spans="7:7" x14ac:dyDescent="0.3">
      <c r="G2948"/>
    </row>
    <row r="2949" spans="7:7" x14ac:dyDescent="0.3">
      <c r="G2949"/>
    </row>
    <row r="2950" spans="7:7" x14ac:dyDescent="0.3">
      <c r="G2950"/>
    </row>
    <row r="2951" spans="7:7" x14ac:dyDescent="0.3">
      <c r="G2951"/>
    </row>
    <row r="2952" spans="7:7" x14ac:dyDescent="0.3">
      <c r="G2952"/>
    </row>
    <row r="2953" spans="7:7" x14ac:dyDescent="0.3">
      <c r="G2953"/>
    </row>
    <row r="2954" spans="7:7" x14ac:dyDescent="0.3">
      <c r="G2954"/>
    </row>
    <row r="2955" spans="7:7" x14ac:dyDescent="0.3">
      <c r="G2955"/>
    </row>
    <row r="2956" spans="7:7" x14ac:dyDescent="0.3">
      <c r="G2956"/>
    </row>
    <row r="2957" spans="7:7" x14ac:dyDescent="0.3">
      <c r="G2957"/>
    </row>
    <row r="2958" spans="7:7" x14ac:dyDescent="0.3">
      <c r="G2958"/>
    </row>
    <row r="2959" spans="7:7" x14ac:dyDescent="0.3">
      <c r="G2959"/>
    </row>
    <row r="2960" spans="7:7" x14ac:dyDescent="0.3">
      <c r="G2960"/>
    </row>
    <row r="2961" spans="7:7" x14ac:dyDescent="0.3">
      <c r="G2961"/>
    </row>
    <row r="2962" spans="7:7" x14ac:dyDescent="0.3">
      <c r="G2962"/>
    </row>
    <row r="2963" spans="7:7" x14ac:dyDescent="0.3">
      <c r="G2963"/>
    </row>
    <row r="2964" spans="7:7" x14ac:dyDescent="0.3">
      <c r="G2964"/>
    </row>
    <row r="2965" spans="7:7" x14ac:dyDescent="0.3">
      <c r="G2965"/>
    </row>
    <row r="2966" spans="7:7" x14ac:dyDescent="0.3">
      <c r="G2966"/>
    </row>
    <row r="2967" spans="7:7" x14ac:dyDescent="0.3">
      <c r="G2967"/>
    </row>
    <row r="2968" spans="7:7" x14ac:dyDescent="0.3">
      <c r="G2968"/>
    </row>
    <row r="2969" spans="7:7" x14ac:dyDescent="0.3">
      <c r="G2969"/>
    </row>
    <row r="2970" spans="7:7" x14ac:dyDescent="0.3">
      <c r="G2970"/>
    </row>
    <row r="2971" spans="7:7" x14ac:dyDescent="0.3">
      <c r="G2971"/>
    </row>
    <row r="2972" spans="7:7" x14ac:dyDescent="0.3">
      <c r="G2972"/>
    </row>
    <row r="2973" spans="7:7" x14ac:dyDescent="0.3">
      <c r="G2973"/>
    </row>
    <row r="2974" spans="7:7" x14ac:dyDescent="0.3">
      <c r="G2974"/>
    </row>
    <row r="2975" spans="7:7" x14ac:dyDescent="0.3">
      <c r="G2975"/>
    </row>
    <row r="2976" spans="7:7" x14ac:dyDescent="0.3">
      <c r="G2976"/>
    </row>
    <row r="2977" spans="7:7" x14ac:dyDescent="0.3">
      <c r="G2977"/>
    </row>
    <row r="2978" spans="7:7" x14ac:dyDescent="0.3">
      <c r="G2978"/>
    </row>
    <row r="2979" spans="7:7" x14ac:dyDescent="0.3">
      <c r="G2979"/>
    </row>
    <row r="2980" spans="7:7" x14ac:dyDescent="0.3">
      <c r="G2980"/>
    </row>
    <row r="2981" spans="7:7" x14ac:dyDescent="0.3">
      <c r="G2981"/>
    </row>
    <row r="2982" spans="7:7" x14ac:dyDescent="0.3">
      <c r="G2982"/>
    </row>
    <row r="2983" spans="7:7" x14ac:dyDescent="0.3">
      <c r="G2983"/>
    </row>
    <row r="2984" spans="7:7" x14ac:dyDescent="0.3">
      <c r="G2984"/>
    </row>
    <row r="2985" spans="7:7" x14ac:dyDescent="0.3">
      <c r="G2985"/>
    </row>
    <row r="2986" spans="7:7" x14ac:dyDescent="0.3">
      <c r="G2986"/>
    </row>
    <row r="2987" spans="7:7" x14ac:dyDescent="0.3">
      <c r="G2987"/>
    </row>
    <row r="2988" spans="7:7" x14ac:dyDescent="0.3">
      <c r="G2988"/>
    </row>
    <row r="2989" spans="7:7" x14ac:dyDescent="0.3">
      <c r="G2989"/>
    </row>
    <row r="2990" spans="7:7" x14ac:dyDescent="0.3">
      <c r="G2990"/>
    </row>
    <row r="2991" spans="7:7" x14ac:dyDescent="0.3">
      <c r="G2991"/>
    </row>
    <row r="2992" spans="7:7" x14ac:dyDescent="0.3">
      <c r="G2992"/>
    </row>
    <row r="2993" spans="7:7" x14ac:dyDescent="0.3">
      <c r="G2993"/>
    </row>
    <row r="2994" spans="7:7" x14ac:dyDescent="0.3">
      <c r="G2994"/>
    </row>
    <row r="2995" spans="7:7" x14ac:dyDescent="0.3">
      <c r="G2995"/>
    </row>
    <row r="2996" spans="7:7" x14ac:dyDescent="0.3">
      <c r="G2996"/>
    </row>
    <row r="2997" spans="7:7" x14ac:dyDescent="0.3">
      <c r="G2997"/>
    </row>
    <row r="2998" spans="7:7" x14ac:dyDescent="0.3">
      <c r="G2998"/>
    </row>
    <row r="2999" spans="7:7" x14ac:dyDescent="0.3">
      <c r="G2999"/>
    </row>
    <row r="3000" spans="7:7" x14ac:dyDescent="0.3">
      <c r="G3000"/>
    </row>
    <row r="3001" spans="7:7" x14ac:dyDescent="0.3">
      <c r="G3001"/>
    </row>
    <row r="3002" spans="7:7" x14ac:dyDescent="0.3">
      <c r="G3002"/>
    </row>
    <row r="3003" spans="7:7" x14ac:dyDescent="0.3">
      <c r="G3003"/>
    </row>
    <row r="3004" spans="7:7" x14ac:dyDescent="0.3">
      <c r="G3004"/>
    </row>
    <row r="3005" spans="7:7" x14ac:dyDescent="0.3">
      <c r="G3005"/>
    </row>
    <row r="3006" spans="7:7" x14ac:dyDescent="0.3">
      <c r="G3006"/>
    </row>
    <row r="3007" spans="7:7" x14ac:dyDescent="0.3">
      <c r="G3007"/>
    </row>
    <row r="3008" spans="7:7" x14ac:dyDescent="0.3">
      <c r="G3008"/>
    </row>
    <row r="3009" spans="7:7" x14ac:dyDescent="0.3">
      <c r="G3009"/>
    </row>
    <row r="3010" spans="7:7" x14ac:dyDescent="0.3">
      <c r="G3010"/>
    </row>
    <row r="3011" spans="7:7" x14ac:dyDescent="0.3">
      <c r="G3011"/>
    </row>
    <row r="3012" spans="7:7" x14ac:dyDescent="0.3">
      <c r="G3012"/>
    </row>
    <row r="3013" spans="7:7" x14ac:dyDescent="0.3">
      <c r="G3013"/>
    </row>
    <row r="3014" spans="7:7" x14ac:dyDescent="0.3">
      <c r="G3014"/>
    </row>
    <row r="3015" spans="7:7" x14ac:dyDescent="0.3">
      <c r="G3015"/>
    </row>
    <row r="3016" spans="7:7" x14ac:dyDescent="0.3">
      <c r="G3016"/>
    </row>
    <row r="3017" spans="7:7" x14ac:dyDescent="0.3">
      <c r="G3017"/>
    </row>
    <row r="3018" spans="7:7" x14ac:dyDescent="0.3">
      <c r="G3018"/>
    </row>
    <row r="3019" spans="7:7" x14ac:dyDescent="0.3">
      <c r="G3019"/>
    </row>
    <row r="3020" spans="7:7" x14ac:dyDescent="0.3">
      <c r="G3020"/>
    </row>
    <row r="3021" spans="7:7" x14ac:dyDescent="0.3">
      <c r="G3021"/>
    </row>
    <row r="3022" spans="7:7" x14ac:dyDescent="0.3">
      <c r="G3022"/>
    </row>
    <row r="3023" spans="7:7" x14ac:dyDescent="0.3">
      <c r="G3023"/>
    </row>
    <row r="3024" spans="7:7" x14ac:dyDescent="0.3">
      <c r="G3024"/>
    </row>
    <row r="3025" spans="7:7" x14ac:dyDescent="0.3">
      <c r="G3025"/>
    </row>
    <row r="3026" spans="7:7" x14ac:dyDescent="0.3">
      <c r="G3026"/>
    </row>
    <row r="3027" spans="7:7" x14ac:dyDescent="0.3">
      <c r="G3027"/>
    </row>
    <row r="3028" spans="7:7" x14ac:dyDescent="0.3">
      <c r="G3028"/>
    </row>
    <row r="3029" spans="7:7" x14ac:dyDescent="0.3">
      <c r="G3029"/>
    </row>
    <row r="3030" spans="7:7" x14ac:dyDescent="0.3">
      <c r="G3030"/>
    </row>
    <row r="3031" spans="7:7" x14ac:dyDescent="0.3">
      <c r="G3031"/>
    </row>
    <row r="3032" spans="7:7" x14ac:dyDescent="0.3">
      <c r="G3032"/>
    </row>
    <row r="3033" spans="7:7" x14ac:dyDescent="0.3">
      <c r="G3033"/>
    </row>
    <row r="3034" spans="7:7" x14ac:dyDescent="0.3">
      <c r="G3034"/>
    </row>
    <row r="3035" spans="7:7" x14ac:dyDescent="0.3">
      <c r="G3035"/>
    </row>
    <row r="3036" spans="7:7" x14ac:dyDescent="0.3">
      <c r="G3036"/>
    </row>
    <row r="3037" spans="7:7" x14ac:dyDescent="0.3">
      <c r="G3037"/>
    </row>
    <row r="3038" spans="7:7" x14ac:dyDescent="0.3">
      <c r="G3038"/>
    </row>
    <row r="3039" spans="7:7" x14ac:dyDescent="0.3">
      <c r="G3039"/>
    </row>
    <row r="3040" spans="7:7" x14ac:dyDescent="0.3">
      <c r="G3040"/>
    </row>
    <row r="3041" spans="7:7" x14ac:dyDescent="0.3">
      <c r="G3041"/>
    </row>
    <row r="3042" spans="7:7" x14ac:dyDescent="0.3">
      <c r="G3042"/>
    </row>
    <row r="3043" spans="7:7" x14ac:dyDescent="0.3">
      <c r="G3043"/>
    </row>
    <row r="3044" spans="7:7" x14ac:dyDescent="0.3">
      <c r="G3044"/>
    </row>
    <row r="3045" spans="7:7" x14ac:dyDescent="0.3">
      <c r="G3045"/>
    </row>
    <row r="3046" spans="7:7" x14ac:dyDescent="0.3">
      <c r="G3046"/>
    </row>
    <row r="3047" spans="7:7" x14ac:dyDescent="0.3">
      <c r="G3047"/>
    </row>
    <row r="3048" spans="7:7" x14ac:dyDescent="0.3">
      <c r="G3048"/>
    </row>
    <row r="3049" spans="7:7" x14ac:dyDescent="0.3">
      <c r="G3049"/>
    </row>
    <row r="3050" spans="7:7" x14ac:dyDescent="0.3">
      <c r="G3050"/>
    </row>
    <row r="3051" spans="7:7" x14ac:dyDescent="0.3">
      <c r="G3051"/>
    </row>
    <row r="3052" spans="7:7" x14ac:dyDescent="0.3">
      <c r="G3052"/>
    </row>
    <row r="3053" spans="7:7" x14ac:dyDescent="0.3">
      <c r="G3053"/>
    </row>
    <row r="3054" spans="7:7" x14ac:dyDescent="0.3">
      <c r="G3054"/>
    </row>
    <row r="3055" spans="7:7" x14ac:dyDescent="0.3">
      <c r="G3055"/>
    </row>
    <row r="3056" spans="7:7" x14ac:dyDescent="0.3">
      <c r="G3056"/>
    </row>
    <row r="3057" spans="7:7" x14ac:dyDescent="0.3">
      <c r="G3057"/>
    </row>
    <row r="3058" spans="7:7" x14ac:dyDescent="0.3">
      <c r="G3058"/>
    </row>
    <row r="3059" spans="7:7" x14ac:dyDescent="0.3">
      <c r="G3059"/>
    </row>
    <row r="3060" spans="7:7" x14ac:dyDescent="0.3">
      <c r="G3060"/>
    </row>
    <row r="3061" spans="7:7" x14ac:dyDescent="0.3">
      <c r="G3061"/>
    </row>
    <row r="3062" spans="7:7" x14ac:dyDescent="0.3">
      <c r="G3062"/>
    </row>
    <row r="3063" spans="7:7" x14ac:dyDescent="0.3">
      <c r="G3063"/>
    </row>
    <row r="3064" spans="7:7" x14ac:dyDescent="0.3">
      <c r="G3064"/>
    </row>
    <row r="3065" spans="7:7" x14ac:dyDescent="0.3">
      <c r="G3065"/>
    </row>
    <row r="3066" spans="7:7" x14ac:dyDescent="0.3">
      <c r="G3066"/>
    </row>
    <row r="3067" spans="7:7" x14ac:dyDescent="0.3">
      <c r="G3067"/>
    </row>
    <row r="3068" spans="7:7" x14ac:dyDescent="0.3">
      <c r="G3068"/>
    </row>
    <row r="3069" spans="7:7" x14ac:dyDescent="0.3">
      <c r="G3069"/>
    </row>
    <row r="3070" spans="7:7" x14ac:dyDescent="0.3">
      <c r="G3070"/>
    </row>
    <row r="3071" spans="7:7" x14ac:dyDescent="0.3">
      <c r="G3071"/>
    </row>
    <row r="3072" spans="7:7" x14ac:dyDescent="0.3">
      <c r="G3072"/>
    </row>
    <row r="3073" spans="7:7" x14ac:dyDescent="0.3">
      <c r="G3073"/>
    </row>
    <row r="3074" spans="7:7" x14ac:dyDescent="0.3">
      <c r="G3074"/>
    </row>
    <row r="3075" spans="7:7" x14ac:dyDescent="0.3">
      <c r="G3075"/>
    </row>
    <row r="3076" spans="7:7" x14ac:dyDescent="0.3">
      <c r="G3076"/>
    </row>
    <row r="3077" spans="7:7" x14ac:dyDescent="0.3">
      <c r="G3077"/>
    </row>
    <row r="3078" spans="7:7" x14ac:dyDescent="0.3">
      <c r="G3078"/>
    </row>
    <row r="3079" spans="7:7" x14ac:dyDescent="0.3">
      <c r="G3079"/>
    </row>
    <row r="3080" spans="7:7" x14ac:dyDescent="0.3">
      <c r="G3080"/>
    </row>
    <row r="3081" spans="7:7" x14ac:dyDescent="0.3">
      <c r="G3081"/>
    </row>
    <row r="3082" spans="7:7" x14ac:dyDescent="0.3">
      <c r="G3082"/>
    </row>
    <row r="3083" spans="7:7" x14ac:dyDescent="0.3">
      <c r="G3083"/>
    </row>
    <row r="3084" spans="7:7" x14ac:dyDescent="0.3">
      <c r="G3084"/>
    </row>
    <row r="3085" spans="7:7" x14ac:dyDescent="0.3">
      <c r="G3085"/>
    </row>
    <row r="3086" spans="7:7" x14ac:dyDescent="0.3">
      <c r="G3086"/>
    </row>
    <row r="3087" spans="7:7" x14ac:dyDescent="0.3">
      <c r="G3087"/>
    </row>
    <row r="3088" spans="7:7" x14ac:dyDescent="0.3">
      <c r="G3088"/>
    </row>
    <row r="3089" spans="7:7" x14ac:dyDescent="0.3">
      <c r="G3089"/>
    </row>
    <row r="3090" spans="7:7" x14ac:dyDescent="0.3">
      <c r="G3090"/>
    </row>
    <row r="3091" spans="7:7" x14ac:dyDescent="0.3">
      <c r="G3091"/>
    </row>
    <row r="3092" spans="7:7" x14ac:dyDescent="0.3">
      <c r="G3092"/>
    </row>
    <row r="3093" spans="7:7" x14ac:dyDescent="0.3">
      <c r="G3093"/>
    </row>
    <row r="3094" spans="7:7" x14ac:dyDescent="0.3">
      <c r="G3094"/>
    </row>
    <row r="3095" spans="7:7" x14ac:dyDescent="0.3">
      <c r="G3095"/>
    </row>
    <row r="3096" spans="7:7" x14ac:dyDescent="0.3">
      <c r="G3096"/>
    </row>
    <row r="3097" spans="7:7" x14ac:dyDescent="0.3">
      <c r="G3097"/>
    </row>
    <row r="3098" spans="7:7" x14ac:dyDescent="0.3">
      <c r="G3098"/>
    </row>
    <row r="3099" spans="7:7" x14ac:dyDescent="0.3">
      <c r="G3099"/>
    </row>
    <row r="3100" spans="7:7" x14ac:dyDescent="0.3">
      <c r="G3100"/>
    </row>
    <row r="3101" spans="7:7" x14ac:dyDescent="0.3">
      <c r="G3101"/>
    </row>
    <row r="3102" spans="7:7" x14ac:dyDescent="0.3">
      <c r="G3102"/>
    </row>
    <row r="3103" spans="7:7" x14ac:dyDescent="0.3">
      <c r="G3103"/>
    </row>
    <row r="3104" spans="7:7" x14ac:dyDescent="0.3">
      <c r="G3104"/>
    </row>
    <row r="3105" spans="7:7" x14ac:dyDescent="0.3">
      <c r="G3105"/>
    </row>
    <row r="3106" spans="7:7" x14ac:dyDescent="0.3">
      <c r="G3106"/>
    </row>
    <row r="3107" spans="7:7" x14ac:dyDescent="0.3">
      <c r="G3107"/>
    </row>
    <row r="3108" spans="7:7" x14ac:dyDescent="0.3">
      <c r="G3108"/>
    </row>
    <row r="3109" spans="7:7" x14ac:dyDescent="0.3">
      <c r="G3109"/>
    </row>
    <row r="3110" spans="7:7" x14ac:dyDescent="0.3">
      <c r="G3110"/>
    </row>
    <row r="3111" spans="7:7" x14ac:dyDescent="0.3">
      <c r="G3111"/>
    </row>
    <row r="3112" spans="7:7" x14ac:dyDescent="0.3">
      <c r="G3112"/>
    </row>
    <row r="3113" spans="7:7" x14ac:dyDescent="0.3">
      <c r="G3113"/>
    </row>
    <row r="3114" spans="7:7" x14ac:dyDescent="0.3">
      <c r="G3114"/>
    </row>
    <row r="3115" spans="7:7" x14ac:dyDescent="0.3">
      <c r="G3115"/>
    </row>
    <row r="3116" spans="7:7" x14ac:dyDescent="0.3">
      <c r="G3116"/>
    </row>
    <row r="3117" spans="7:7" x14ac:dyDescent="0.3">
      <c r="G3117"/>
    </row>
    <row r="3118" spans="7:7" x14ac:dyDescent="0.3">
      <c r="G3118"/>
    </row>
    <row r="3119" spans="7:7" x14ac:dyDescent="0.3">
      <c r="G3119"/>
    </row>
    <row r="3120" spans="7:7" x14ac:dyDescent="0.3">
      <c r="G3120"/>
    </row>
    <row r="3121" spans="7:7" x14ac:dyDescent="0.3">
      <c r="G3121"/>
    </row>
    <row r="3122" spans="7:7" x14ac:dyDescent="0.3">
      <c r="G3122"/>
    </row>
    <row r="3123" spans="7:7" x14ac:dyDescent="0.3">
      <c r="G3123"/>
    </row>
    <row r="3124" spans="7:7" x14ac:dyDescent="0.3">
      <c r="G3124"/>
    </row>
    <row r="3125" spans="7:7" x14ac:dyDescent="0.3">
      <c r="G3125"/>
    </row>
    <row r="3126" spans="7:7" x14ac:dyDescent="0.3">
      <c r="G3126"/>
    </row>
    <row r="3127" spans="7:7" x14ac:dyDescent="0.3">
      <c r="G3127"/>
    </row>
    <row r="3128" spans="7:7" x14ac:dyDescent="0.3">
      <c r="G3128"/>
    </row>
    <row r="3129" spans="7:7" x14ac:dyDescent="0.3">
      <c r="G3129"/>
    </row>
    <row r="3130" spans="7:7" x14ac:dyDescent="0.3">
      <c r="G3130"/>
    </row>
    <row r="3131" spans="7:7" x14ac:dyDescent="0.3">
      <c r="G3131"/>
    </row>
    <row r="3132" spans="7:7" x14ac:dyDescent="0.3">
      <c r="G3132"/>
    </row>
    <row r="3133" spans="7:7" x14ac:dyDescent="0.3">
      <c r="G3133"/>
    </row>
    <row r="3134" spans="7:7" x14ac:dyDescent="0.3">
      <c r="G3134"/>
    </row>
    <row r="3135" spans="7:7" x14ac:dyDescent="0.3">
      <c r="G3135"/>
    </row>
    <row r="3136" spans="7:7" x14ac:dyDescent="0.3">
      <c r="G3136"/>
    </row>
    <row r="3137" spans="7:7" x14ac:dyDescent="0.3">
      <c r="G3137"/>
    </row>
    <row r="3138" spans="7:7" x14ac:dyDescent="0.3">
      <c r="G3138"/>
    </row>
    <row r="3139" spans="7:7" x14ac:dyDescent="0.3">
      <c r="G3139"/>
    </row>
    <row r="3140" spans="7:7" x14ac:dyDescent="0.3">
      <c r="G3140"/>
    </row>
    <row r="3141" spans="7:7" x14ac:dyDescent="0.3">
      <c r="G3141"/>
    </row>
    <row r="3142" spans="7:7" x14ac:dyDescent="0.3">
      <c r="G3142"/>
    </row>
    <row r="3143" spans="7:7" x14ac:dyDescent="0.3">
      <c r="G3143"/>
    </row>
    <row r="3144" spans="7:7" x14ac:dyDescent="0.3">
      <c r="G3144"/>
    </row>
    <row r="3145" spans="7:7" x14ac:dyDescent="0.3">
      <c r="G3145"/>
    </row>
    <row r="3146" spans="7:7" x14ac:dyDescent="0.3">
      <c r="G3146"/>
    </row>
    <row r="3147" spans="7:7" x14ac:dyDescent="0.3">
      <c r="G3147"/>
    </row>
    <row r="3148" spans="7:7" x14ac:dyDescent="0.3">
      <c r="G3148"/>
    </row>
    <row r="3149" spans="7:7" x14ac:dyDescent="0.3">
      <c r="G3149"/>
    </row>
    <row r="3150" spans="7:7" x14ac:dyDescent="0.3">
      <c r="G3150"/>
    </row>
    <row r="3151" spans="7:7" x14ac:dyDescent="0.3">
      <c r="G3151"/>
    </row>
    <row r="3152" spans="7:7" x14ac:dyDescent="0.3">
      <c r="G3152"/>
    </row>
    <row r="3153" spans="7:7" x14ac:dyDescent="0.3">
      <c r="G3153"/>
    </row>
    <row r="3154" spans="7:7" x14ac:dyDescent="0.3">
      <c r="G3154"/>
    </row>
    <row r="3155" spans="7:7" x14ac:dyDescent="0.3">
      <c r="G3155"/>
    </row>
    <row r="3156" spans="7:7" x14ac:dyDescent="0.3">
      <c r="G3156"/>
    </row>
    <row r="3157" spans="7:7" x14ac:dyDescent="0.3">
      <c r="G3157"/>
    </row>
    <row r="3158" spans="7:7" x14ac:dyDescent="0.3">
      <c r="G3158"/>
    </row>
    <row r="3159" spans="7:7" x14ac:dyDescent="0.3">
      <c r="G3159"/>
    </row>
    <row r="3160" spans="7:7" x14ac:dyDescent="0.3">
      <c r="G3160"/>
    </row>
    <row r="3161" spans="7:7" x14ac:dyDescent="0.3">
      <c r="G3161"/>
    </row>
    <row r="3162" spans="7:7" x14ac:dyDescent="0.3">
      <c r="G3162"/>
    </row>
    <row r="3163" spans="7:7" x14ac:dyDescent="0.3">
      <c r="G3163"/>
    </row>
    <row r="3164" spans="7:7" x14ac:dyDescent="0.3">
      <c r="G3164"/>
    </row>
    <row r="3165" spans="7:7" x14ac:dyDescent="0.3">
      <c r="G3165"/>
    </row>
    <row r="3166" spans="7:7" x14ac:dyDescent="0.3">
      <c r="G3166"/>
    </row>
    <row r="3167" spans="7:7" x14ac:dyDescent="0.3">
      <c r="G3167"/>
    </row>
    <row r="3168" spans="7:7" x14ac:dyDescent="0.3">
      <c r="G3168"/>
    </row>
    <row r="3169" spans="7:7" x14ac:dyDescent="0.3">
      <c r="G3169"/>
    </row>
    <row r="3170" spans="7:7" x14ac:dyDescent="0.3">
      <c r="G3170"/>
    </row>
    <row r="3171" spans="7:7" x14ac:dyDescent="0.3">
      <c r="G3171"/>
    </row>
    <row r="3172" spans="7:7" x14ac:dyDescent="0.3">
      <c r="G3172"/>
    </row>
    <row r="3173" spans="7:7" x14ac:dyDescent="0.3">
      <c r="G3173"/>
    </row>
    <row r="3174" spans="7:7" x14ac:dyDescent="0.3">
      <c r="G3174"/>
    </row>
    <row r="3175" spans="7:7" x14ac:dyDescent="0.3">
      <c r="G3175"/>
    </row>
    <row r="3176" spans="7:7" x14ac:dyDescent="0.3">
      <c r="G3176"/>
    </row>
    <row r="3177" spans="7:7" x14ac:dyDescent="0.3">
      <c r="G3177"/>
    </row>
    <row r="3178" spans="7:7" x14ac:dyDescent="0.3">
      <c r="G3178"/>
    </row>
    <row r="3179" spans="7:7" x14ac:dyDescent="0.3">
      <c r="G3179"/>
    </row>
    <row r="3180" spans="7:7" x14ac:dyDescent="0.3">
      <c r="G3180"/>
    </row>
    <row r="3181" spans="7:7" x14ac:dyDescent="0.3">
      <c r="G3181"/>
    </row>
    <row r="3182" spans="7:7" x14ac:dyDescent="0.3">
      <c r="G3182"/>
    </row>
    <row r="3183" spans="7:7" x14ac:dyDescent="0.3">
      <c r="G3183"/>
    </row>
    <row r="3184" spans="7:7" x14ac:dyDescent="0.3">
      <c r="G3184"/>
    </row>
    <row r="3185" spans="7:7" x14ac:dyDescent="0.3">
      <c r="G3185"/>
    </row>
    <row r="3186" spans="7:7" x14ac:dyDescent="0.3">
      <c r="G3186"/>
    </row>
    <row r="3187" spans="7:7" x14ac:dyDescent="0.3">
      <c r="G3187"/>
    </row>
    <row r="3188" spans="7:7" x14ac:dyDescent="0.3">
      <c r="G3188"/>
    </row>
    <row r="3189" spans="7:7" x14ac:dyDescent="0.3">
      <c r="G3189"/>
    </row>
    <row r="3190" spans="7:7" x14ac:dyDescent="0.3">
      <c r="G3190"/>
    </row>
    <row r="3191" spans="7:7" x14ac:dyDescent="0.3">
      <c r="G3191"/>
    </row>
    <row r="3192" spans="7:7" x14ac:dyDescent="0.3">
      <c r="G3192"/>
    </row>
    <row r="3193" spans="7:7" x14ac:dyDescent="0.3">
      <c r="G3193"/>
    </row>
    <row r="3194" spans="7:7" x14ac:dyDescent="0.3">
      <c r="G3194"/>
    </row>
    <row r="3195" spans="7:7" x14ac:dyDescent="0.3">
      <c r="G3195"/>
    </row>
    <row r="3196" spans="7:7" x14ac:dyDescent="0.3">
      <c r="G3196"/>
    </row>
    <row r="3197" spans="7:7" x14ac:dyDescent="0.3">
      <c r="G3197"/>
    </row>
    <row r="3198" spans="7:7" x14ac:dyDescent="0.3">
      <c r="G3198"/>
    </row>
    <row r="3199" spans="7:7" x14ac:dyDescent="0.3">
      <c r="G3199"/>
    </row>
    <row r="3200" spans="7:7" x14ac:dyDescent="0.3">
      <c r="G3200"/>
    </row>
    <row r="3201" spans="7:7" x14ac:dyDescent="0.3">
      <c r="G3201"/>
    </row>
    <row r="3202" spans="7:7" x14ac:dyDescent="0.3">
      <c r="G3202"/>
    </row>
    <row r="3203" spans="7:7" x14ac:dyDescent="0.3">
      <c r="G3203"/>
    </row>
    <row r="3204" spans="7:7" x14ac:dyDescent="0.3">
      <c r="G3204"/>
    </row>
    <row r="3205" spans="7:7" x14ac:dyDescent="0.3">
      <c r="G3205"/>
    </row>
    <row r="3206" spans="7:7" x14ac:dyDescent="0.3">
      <c r="G3206"/>
    </row>
    <row r="3207" spans="7:7" x14ac:dyDescent="0.3">
      <c r="G3207"/>
    </row>
    <row r="3208" spans="7:7" x14ac:dyDescent="0.3">
      <c r="G3208"/>
    </row>
    <row r="3209" spans="7:7" x14ac:dyDescent="0.3">
      <c r="G3209"/>
    </row>
    <row r="3210" spans="7:7" x14ac:dyDescent="0.3">
      <c r="G3210"/>
    </row>
    <row r="3211" spans="7:7" x14ac:dyDescent="0.3">
      <c r="G3211"/>
    </row>
    <row r="3212" spans="7:7" x14ac:dyDescent="0.3">
      <c r="G3212"/>
    </row>
    <row r="3213" spans="7:7" x14ac:dyDescent="0.3">
      <c r="G3213"/>
    </row>
    <row r="3214" spans="7:7" x14ac:dyDescent="0.3">
      <c r="G3214"/>
    </row>
    <row r="3215" spans="7:7" x14ac:dyDescent="0.3">
      <c r="G3215"/>
    </row>
    <row r="3216" spans="7:7" x14ac:dyDescent="0.3">
      <c r="G3216"/>
    </row>
    <row r="3217" spans="7:7" x14ac:dyDescent="0.3">
      <c r="G3217"/>
    </row>
    <row r="3218" spans="7:7" x14ac:dyDescent="0.3">
      <c r="G3218"/>
    </row>
    <row r="3219" spans="7:7" x14ac:dyDescent="0.3">
      <c r="G3219"/>
    </row>
    <row r="3220" spans="7:7" x14ac:dyDescent="0.3">
      <c r="G3220"/>
    </row>
    <row r="3221" spans="7:7" x14ac:dyDescent="0.3">
      <c r="G3221"/>
    </row>
    <row r="3222" spans="7:7" x14ac:dyDescent="0.3">
      <c r="G3222"/>
    </row>
    <row r="3223" spans="7:7" x14ac:dyDescent="0.3">
      <c r="G3223"/>
    </row>
    <row r="3224" spans="7:7" x14ac:dyDescent="0.3">
      <c r="G3224"/>
    </row>
    <row r="3225" spans="7:7" x14ac:dyDescent="0.3">
      <c r="G3225"/>
    </row>
    <row r="3226" spans="7:7" x14ac:dyDescent="0.3">
      <c r="G3226"/>
    </row>
    <row r="3227" spans="7:7" x14ac:dyDescent="0.3">
      <c r="G3227"/>
    </row>
    <row r="3228" spans="7:7" x14ac:dyDescent="0.3">
      <c r="G3228"/>
    </row>
    <row r="3229" spans="7:7" x14ac:dyDescent="0.3">
      <c r="G3229"/>
    </row>
    <row r="3230" spans="7:7" x14ac:dyDescent="0.3">
      <c r="G3230"/>
    </row>
    <row r="3231" spans="7:7" x14ac:dyDescent="0.3">
      <c r="G3231"/>
    </row>
    <row r="3232" spans="7:7" x14ac:dyDescent="0.3">
      <c r="G3232"/>
    </row>
    <row r="3233" spans="7:7" x14ac:dyDescent="0.3">
      <c r="G3233"/>
    </row>
    <row r="3234" spans="7:7" x14ac:dyDescent="0.3">
      <c r="G3234"/>
    </row>
    <row r="3235" spans="7:7" x14ac:dyDescent="0.3">
      <c r="G3235"/>
    </row>
    <row r="3236" spans="7:7" x14ac:dyDescent="0.3">
      <c r="G3236"/>
    </row>
    <row r="3237" spans="7:7" x14ac:dyDescent="0.3">
      <c r="G3237"/>
    </row>
    <row r="3238" spans="7:7" x14ac:dyDescent="0.3">
      <c r="G3238"/>
    </row>
    <row r="3239" spans="7:7" x14ac:dyDescent="0.3">
      <c r="G3239"/>
    </row>
    <row r="3240" spans="7:7" x14ac:dyDescent="0.3">
      <c r="G3240"/>
    </row>
    <row r="3241" spans="7:7" x14ac:dyDescent="0.3">
      <c r="G3241"/>
    </row>
    <row r="3242" spans="7:7" x14ac:dyDescent="0.3">
      <c r="G3242"/>
    </row>
    <row r="3243" spans="7:7" x14ac:dyDescent="0.3">
      <c r="G3243"/>
    </row>
    <row r="3244" spans="7:7" x14ac:dyDescent="0.3">
      <c r="G3244"/>
    </row>
    <row r="3245" spans="7:7" x14ac:dyDescent="0.3">
      <c r="G3245"/>
    </row>
    <row r="3246" spans="7:7" x14ac:dyDescent="0.3">
      <c r="G3246"/>
    </row>
    <row r="3247" spans="7:7" x14ac:dyDescent="0.3">
      <c r="G3247"/>
    </row>
    <row r="3248" spans="7:7" x14ac:dyDescent="0.3">
      <c r="G3248"/>
    </row>
    <row r="3249" spans="7:7" x14ac:dyDescent="0.3">
      <c r="G3249"/>
    </row>
    <row r="3250" spans="7:7" x14ac:dyDescent="0.3">
      <c r="G3250"/>
    </row>
    <row r="3251" spans="7:7" x14ac:dyDescent="0.3">
      <c r="G3251"/>
    </row>
    <row r="3252" spans="7:7" x14ac:dyDescent="0.3">
      <c r="G3252"/>
    </row>
    <row r="3253" spans="7:7" x14ac:dyDescent="0.3">
      <c r="G3253"/>
    </row>
    <row r="3254" spans="7:7" x14ac:dyDescent="0.3">
      <c r="G3254"/>
    </row>
    <row r="3255" spans="7:7" x14ac:dyDescent="0.3">
      <c r="G3255"/>
    </row>
    <row r="3256" spans="7:7" x14ac:dyDescent="0.3">
      <c r="G3256"/>
    </row>
    <row r="3257" spans="7:7" x14ac:dyDescent="0.3">
      <c r="G3257"/>
    </row>
    <row r="3258" spans="7:7" x14ac:dyDescent="0.3">
      <c r="G3258"/>
    </row>
    <row r="3259" spans="7:7" x14ac:dyDescent="0.3">
      <c r="G3259"/>
    </row>
    <row r="3260" spans="7:7" x14ac:dyDescent="0.3">
      <c r="G3260"/>
    </row>
    <row r="3261" spans="7:7" x14ac:dyDescent="0.3">
      <c r="G3261"/>
    </row>
    <row r="3262" spans="7:7" x14ac:dyDescent="0.3">
      <c r="G3262"/>
    </row>
    <row r="3263" spans="7:7" x14ac:dyDescent="0.3">
      <c r="G3263"/>
    </row>
    <row r="3264" spans="7:7" x14ac:dyDescent="0.3">
      <c r="G3264"/>
    </row>
    <row r="3265" spans="7:7" x14ac:dyDescent="0.3">
      <c r="G3265"/>
    </row>
    <row r="3266" spans="7:7" x14ac:dyDescent="0.3">
      <c r="G3266"/>
    </row>
    <row r="3267" spans="7:7" x14ac:dyDescent="0.3">
      <c r="G3267"/>
    </row>
    <row r="3268" spans="7:7" x14ac:dyDescent="0.3">
      <c r="G3268"/>
    </row>
    <row r="3269" spans="7:7" x14ac:dyDescent="0.3">
      <c r="G3269"/>
    </row>
    <row r="3270" spans="7:7" x14ac:dyDescent="0.3">
      <c r="G3270"/>
    </row>
    <row r="3271" spans="7:7" x14ac:dyDescent="0.3">
      <c r="G3271"/>
    </row>
    <row r="3272" spans="7:7" x14ac:dyDescent="0.3">
      <c r="G3272"/>
    </row>
    <row r="3273" spans="7:7" x14ac:dyDescent="0.3">
      <c r="G3273"/>
    </row>
    <row r="3274" spans="7:7" x14ac:dyDescent="0.3">
      <c r="G3274"/>
    </row>
    <row r="3275" spans="7:7" x14ac:dyDescent="0.3">
      <c r="G3275"/>
    </row>
    <row r="3276" spans="7:7" x14ac:dyDescent="0.3">
      <c r="G3276"/>
    </row>
    <row r="3277" spans="7:7" x14ac:dyDescent="0.3">
      <c r="G3277"/>
    </row>
    <row r="3278" spans="7:7" x14ac:dyDescent="0.3">
      <c r="G3278"/>
    </row>
    <row r="3279" spans="7:7" x14ac:dyDescent="0.3">
      <c r="G3279"/>
    </row>
    <row r="3280" spans="7:7" x14ac:dyDescent="0.3">
      <c r="G3280"/>
    </row>
    <row r="3281" spans="7:7" x14ac:dyDescent="0.3">
      <c r="G3281"/>
    </row>
    <row r="3282" spans="7:7" x14ac:dyDescent="0.3">
      <c r="G3282"/>
    </row>
    <row r="3283" spans="7:7" x14ac:dyDescent="0.3">
      <c r="G3283"/>
    </row>
    <row r="3284" spans="7:7" x14ac:dyDescent="0.3">
      <c r="G3284"/>
    </row>
    <row r="3285" spans="7:7" x14ac:dyDescent="0.3">
      <c r="G3285"/>
    </row>
    <row r="3286" spans="7:7" x14ac:dyDescent="0.3">
      <c r="G3286"/>
    </row>
    <row r="3287" spans="7:7" x14ac:dyDescent="0.3">
      <c r="G3287"/>
    </row>
    <row r="3288" spans="7:7" x14ac:dyDescent="0.3">
      <c r="G3288"/>
    </row>
    <row r="3289" spans="7:7" x14ac:dyDescent="0.3">
      <c r="G3289"/>
    </row>
    <row r="3290" spans="7:7" x14ac:dyDescent="0.3">
      <c r="G3290"/>
    </row>
    <row r="3291" spans="7:7" x14ac:dyDescent="0.3">
      <c r="G3291"/>
    </row>
    <row r="3292" spans="7:7" x14ac:dyDescent="0.3">
      <c r="G3292"/>
    </row>
    <row r="3293" spans="7:7" x14ac:dyDescent="0.3">
      <c r="G3293"/>
    </row>
    <row r="3294" spans="7:7" x14ac:dyDescent="0.3">
      <c r="G3294"/>
    </row>
    <row r="3295" spans="7:7" x14ac:dyDescent="0.3">
      <c r="G3295"/>
    </row>
    <row r="3296" spans="7:7" x14ac:dyDescent="0.3">
      <c r="G3296"/>
    </row>
    <row r="3297" spans="7:7" x14ac:dyDescent="0.3">
      <c r="G3297"/>
    </row>
    <row r="3298" spans="7:7" x14ac:dyDescent="0.3">
      <c r="G3298"/>
    </row>
    <row r="3299" spans="7:7" x14ac:dyDescent="0.3">
      <c r="G3299"/>
    </row>
    <row r="3300" spans="7:7" x14ac:dyDescent="0.3">
      <c r="G3300"/>
    </row>
    <row r="3301" spans="7:7" x14ac:dyDescent="0.3">
      <c r="G3301"/>
    </row>
    <row r="3302" spans="7:7" x14ac:dyDescent="0.3">
      <c r="G3302"/>
    </row>
    <row r="3303" spans="7:7" x14ac:dyDescent="0.3">
      <c r="G3303"/>
    </row>
    <row r="3304" spans="7:7" x14ac:dyDescent="0.3">
      <c r="G3304"/>
    </row>
    <row r="3305" spans="7:7" x14ac:dyDescent="0.3">
      <c r="G3305"/>
    </row>
    <row r="3306" spans="7:7" x14ac:dyDescent="0.3">
      <c r="G3306"/>
    </row>
    <row r="3307" spans="7:7" x14ac:dyDescent="0.3">
      <c r="G3307"/>
    </row>
    <row r="3308" spans="7:7" x14ac:dyDescent="0.3">
      <c r="G3308"/>
    </row>
    <row r="3309" spans="7:7" x14ac:dyDescent="0.3">
      <c r="G3309"/>
    </row>
    <row r="3310" spans="7:7" x14ac:dyDescent="0.3">
      <c r="G3310"/>
    </row>
    <row r="3311" spans="7:7" x14ac:dyDescent="0.3">
      <c r="G3311"/>
    </row>
    <row r="3312" spans="7:7" x14ac:dyDescent="0.3">
      <c r="G3312"/>
    </row>
    <row r="3313" spans="7:7" x14ac:dyDescent="0.3">
      <c r="G3313"/>
    </row>
    <row r="3314" spans="7:7" x14ac:dyDescent="0.3">
      <c r="G3314"/>
    </row>
    <row r="3315" spans="7:7" x14ac:dyDescent="0.3">
      <c r="G3315"/>
    </row>
    <row r="3316" spans="7:7" x14ac:dyDescent="0.3">
      <c r="G3316"/>
    </row>
    <row r="3317" spans="7:7" x14ac:dyDescent="0.3">
      <c r="G3317"/>
    </row>
    <row r="3318" spans="7:7" x14ac:dyDescent="0.3">
      <c r="G3318"/>
    </row>
    <row r="3319" spans="7:7" x14ac:dyDescent="0.3">
      <c r="G3319"/>
    </row>
    <row r="3320" spans="7:7" x14ac:dyDescent="0.3">
      <c r="G3320"/>
    </row>
    <row r="3321" spans="7:7" x14ac:dyDescent="0.3">
      <c r="G3321"/>
    </row>
    <row r="3322" spans="7:7" x14ac:dyDescent="0.3">
      <c r="G3322"/>
    </row>
    <row r="3323" spans="7:7" x14ac:dyDescent="0.3">
      <c r="G3323"/>
    </row>
    <row r="3324" spans="7:7" x14ac:dyDescent="0.3">
      <c r="G3324"/>
    </row>
    <row r="3325" spans="7:7" x14ac:dyDescent="0.3">
      <c r="G3325"/>
    </row>
    <row r="3326" spans="7:7" x14ac:dyDescent="0.3">
      <c r="G3326"/>
    </row>
    <row r="3327" spans="7:7" x14ac:dyDescent="0.3">
      <c r="G3327"/>
    </row>
    <row r="3328" spans="7:7" x14ac:dyDescent="0.3">
      <c r="G3328"/>
    </row>
    <row r="3329" spans="7:7" x14ac:dyDescent="0.3">
      <c r="G3329"/>
    </row>
    <row r="3330" spans="7:7" x14ac:dyDescent="0.3">
      <c r="G3330"/>
    </row>
    <row r="3331" spans="7:7" x14ac:dyDescent="0.3">
      <c r="G3331"/>
    </row>
    <row r="3332" spans="7:7" x14ac:dyDescent="0.3">
      <c r="G3332"/>
    </row>
    <row r="3333" spans="7:7" x14ac:dyDescent="0.3">
      <c r="G3333"/>
    </row>
    <row r="3334" spans="7:7" x14ac:dyDescent="0.3">
      <c r="G3334"/>
    </row>
    <row r="3335" spans="7:7" x14ac:dyDescent="0.3">
      <c r="G3335"/>
    </row>
    <row r="3336" spans="7:7" x14ac:dyDescent="0.3">
      <c r="G3336"/>
    </row>
    <row r="3337" spans="7:7" x14ac:dyDescent="0.3">
      <c r="G3337"/>
    </row>
    <row r="3338" spans="7:7" x14ac:dyDescent="0.3">
      <c r="G3338"/>
    </row>
    <row r="3339" spans="7:7" x14ac:dyDescent="0.3">
      <c r="G3339"/>
    </row>
    <row r="3340" spans="7:7" x14ac:dyDescent="0.3">
      <c r="G3340"/>
    </row>
    <row r="3341" spans="7:7" x14ac:dyDescent="0.3">
      <c r="G3341"/>
    </row>
    <row r="3342" spans="7:7" x14ac:dyDescent="0.3">
      <c r="G3342"/>
    </row>
    <row r="3343" spans="7:7" x14ac:dyDescent="0.3">
      <c r="G3343"/>
    </row>
    <row r="3344" spans="7:7" x14ac:dyDescent="0.3">
      <c r="G3344"/>
    </row>
    <row r="3345" spans="7:7" x14ac:dyDescent="0.3">
      <c r="G3345"/>
    </row>
    <row r="3346" spans="7:7" x14ac:dyDescent="0.3">
      <c r="G3346"/>
    </row>
    <row r="3347" spans="7:7" x14ac:dyDescent="0.3">
      <c r="G3347"/>
    </row>
    <row r="3348" spans="7:7" x14ac:dyDescent="0.3">
      <c r="G3348"/>
    </row>
    <row r="3349" spans="7:7" x14ac:dyDescent="0.3">
      <c r="G3349"/>
    </row>
    <row r="3350" spans="7:7" x14ac:dyDescent="0.3">
      <c r="G3350"/>
    </row>
    <row r="3351" spans="7:7" x14ac:dyDescent="0.3">
      <c r="G3351"/>
    </row>
    <row r="3352" spans="7:7" x14ac:dyDescent="0.3">
      <c r="G3352"/>
    </row>
    <row r="3353" spans="7:7" x14ac:dyDescent="0.3">
      <c r="G3353"/>
    </row>
    <row r="3354" spans="7:7" x14ac:dyDescent="0.3">
      <c r="G3354"/>
    </row>
    <row r="3355" spans="7:7" x14ac:dyDescent="0.3">
      <c r="G3355"/>
    </row>
    <row r="3356" spans="7:7" x14ac:dyDescent="0.3">
      <c r="G3356"/>
    </row>
    <row r="3357" spans="7:7" x14ac:dyDescent="0.3">
      <c r="G3357"/>
    </row>
    <row r="3358" spans="7:7" x14ac:dyDescent="0.3">
      <c r="G3358"/>
    </row>
    <row r="3359" spans="7:7" x14ac:dyDescent="0.3">
      <c r="G3359"/>
    </row>
    <row r="3360" spans="7:7" x14ac:dyDescent="0.3">
      <c r="G3360"/>
    </row>
    <row r="3361" spans="7:7" x14ac:dyDescent="0.3">
      <c r="G3361"/>
    </row>
    <row r="3362" spans="7:7" x14ac:dyDescent="0.3">
      <c r="G3362"/>
    </row>
    <row r="3363" spans="7:7" x14ac:dyDescent="0.3">
      <c r="G3363"/>
    </row>
    <row r="3364" spans="7:7" x14ac:dyDescent="0.3">
      <c r="G3364"/>
    </row>
    <row r="3365" spans="7:7" x14ac:dyDescent="0.3">
      <c r="G3365"/>
    </row>
    <row r="3366" spans="7:7" x14ac:dyDescent="0.3">
      <c r="G3366"/>
    </row>
    <row r="3367" spans="7:7" x14ac:dyDescent="0.3">
      <c r="G3367"/>
    </row>
    <row r="3368" spans="7:7" x14ac:dyDescent="0.3">
      <c r="G3368"/>
    </row>
    <row r="3369" spans="7:7" x14ac:dyDescent="0.3">
      <c r="G3369"/>
    </row>
    <row r="3370" spans="7:7" x14ac:dyDescent="0.3">
      <c r="G3370"/>
    </row>
    <row r="3371" spans="7:7" x14ac:dyDescent="0.3">
      <c r="G3371"/>
    </row>
    <row r="3372" spans="7:7" x14ac:dyDescent="0.3">
      <c r="G3372"/>
    </row>
    <row r="3373" spans="7:7" x14ac:dyDescent="0.3">
      <c r="G3373"/>
    </row>
    <row r="3374" spans="7:7" x14ac:dyDescent="0.3">
      <c r="G3374"/>
    </row>
    <row r="3375" spans="7:7" x14ac:dyDescent="0.3">
      <c r="G3375"/>
    </row>
    <row r="3376" spans="7:7" x14ac:dyDescent="0.3">
      <c r="G3376"/>
    </row>
    <row r="3377" spans="7:7" x14ac:dyDescent="0.3">
      <c r="G3377"/>
    </row>
    <row r="3378" spans="7:7" x14ac:dyDescent="0.3">
      <c r="G3378"/>
    </row>
    <row r="3379" spans="7:7" x14ac:dyDescent="0.3">
      <c r="G3379"/>
    </row>
    <row r="3380" spans="7:7" x14ac:dyDescent="0.3">
      <c r="G3380"/>
    </row>
    <row r="3381" spans="7:7" x14ac:dyDescent="0.3">
      <c r="G3381"/>
    </row>
    <row r="3382" spans="7:7" x14ac:dyDescent="0.3">
      <c r="G3382"/>
    </row>
    <row r="3383" spans="7:7" x14ac:dyDescent="0.3">
      <c r="G3383"/>
    </row>
    <row r="3384" spans="7:7" x14ac:dyDescent="0.3">
      <c r="G3384"/>
    </row>
    <row r="3385" spans="7:7" x14ac:dyDescent="0.3">
      <c r="G3385"/>
    </row>
    <row r="3386" spans="7:7" x14ac:dyDescent="0.3">
      <c r="G3386"/>
    </row>
    <row r="3387" spans="7:7" x14ac:dyDescent="0.3">
      <c r="G3387"/>
    </row>
    <row r="3388" spans="7:7" x14ac:dyDescent="0.3">
      <c r="G3388"/>
    </row>
    <row r="3389" spans="7:7" x14ac:dyDescent="0.3">
      <c r="G3389"/>
    </row>
    <row r="3390" spans="7:7" x14ac:dyDescent="0.3">
      <c r="G3390"/>
    </row>
    <row r="3391" spans="7:7" x14ac:dyDescent="0.3">
      <c r="G3391"/>
    </row>
    <row r="3392" spans="7:7" x14ac:dyDescent="0.3">
      <c r="G3392"/>
    </row>
    <row r="3393" spans="7:7" x14ac:dyDescent="0.3">
      <c r="G3393"/>
    </row>
    <row r="3394" spans="7:7" x14ac:dyDescent="0.3">
      <c r="G3394"/>
    </row>
    <row r="3395" spans="7:7" x14ac:dyDescent="0.3">
      <c r="G3395"/>
    </row>
    <row r="3396" spans="7:7" x14ac:dyDescent="0.3">
      <c r="G3396"/>
    </row>
    <row r="3397" spans="7:7" x14ac:dyDescent="0.3">
      <c r="G3397"/>
    </row>
    <row r="3398" spans="7:7" x14ac:dyDescent="0.3">
      <c r="G3398"/>
    </row>
    <row r="3399" spans="7:7" x14ac:dyDescent="0.3">
      <c r="G3399"/>
    </row>
    <row r="3400" spans="7:7" x14ac:dyDescent="0.3">
      <c r="G3400"/>
    </row>
    <row r="3401" spans="7:7" x14ac:dyDescent="0.3">
      <c r="G3401"/>
    </row>
    <row r="3402" spans="7:7" x14ac:dyDescent="0.3">
      <c r="G3402"/>
    </row>
    <row r="3403" spans="7:7" x14ac:dyDescent="0.3">
      <c r="G3403"/>
    </row>
    <row r="3404" spans="7:7" x14ac:dyDescent="0.3">
      <c r="G3404"/>
    </row>
    <row r="3405" spans="7:7" x14ac:dyDescent="0.3">
      <c r="G3405"/>
    </row>
    <row r="3406" spans="7:7" x14ac:dyDescent="0.3">
      <c r="G3406"/>
    </row>
    <row r="3407" spans="7:7" x14ac:dyDescent="0.3">
      <c r="G3407"/>
    </row>
    <row r="3408" spans="7:7" x14ac:dyDescent="0.3">
      <c r="G3408"/>
    </row>
    <row r="3409" spans="7:7" x14ac:dyDescent="0.3">
      <c r="G3409"/>
    </row>
    <row r="3410" spans="7:7" x14ac:dyDescent="0.3">
      <c r="G3410"/>
    </row>
    <row r="3411" spans="7:7" x14ac:dyDescent="0.3">
      <c r="G3411"/>
    </row>
    <row r="3412" spans="7:7" x14ac:dyDescent="0.3">
      <c r="G3412"/>
    </row>
    <row r="3413" spans="7:7" x14ac:dyDescent="0.3">
      <c r="G3413"/>
    </row>
    <row r="3414" spans="7:7" x14ac:dyDescent="0.3">
      <c r="G3414"/>
    </row>
    <row r="3415" spans="7:7" x14ac:dyDescent="0.3">
      <c r="G3415"/>
    </row>
    <row r="3416" spans="7:7" x14ac:dyDescent="0.3">
      <c r="G3416"/>
    </row>
    <row r="3417" spans="7:7" x14ac:dyDescent="0.3">
      <c r="G3417"/>
    </row>
    <row r="3418" spans="7:7" x14ac:dyDescent="0.3">
      <c r="G3418"/>
    </row>
    <row r="3419" spans="7:7" x14ac:dyDescent="0.3">
      <c r="G3419"/>
    </row>
    <row r="3420" spans="7:7" x14ac:dyDescent="0.3">
      <c r="G3420"/>
    </row>
    <row r="3421" spans="7:7" x14ac:dyDescent="0.3">
      <c r="G3421"/>
    </row>
    <row r="3422" spans="7:7" x14ac:dyDescent="0.3">
      <c r="G3422"/>
    </row>
    <row r="3423" spans="7:7" x14ac:dyDescent="0.3">
      <c r="G3423"/>
    </row>
    <row r="3424" spans="7:7" x14ac:dyDescent="0.3">
      <c r="G3424"/>
    </row>
    <row r="3425" spans="7:7" x14ac:dyDescent="0.3">
      <c r="G3425"/>
    </row>
    <row r="3426" spans="7:7" x14ac:dyDescent="0.3">
      <c r="G3426"/>
    </row>
    <row r="3427" spans="7:7" x14ac:dyDescent="0.3">
      <c r="G3427"/>
    </row>
    <row r="3428" spans="7:7" x14ac:dyDescent="0.3">
      <c r="G3428"/>
    </row>
    <row r="3429" spans="7:7" x14ac:dyDescent="0.3">
      <c r="G3429"/>
    </row>
    <row r="3430" spans="7:7" x14ac:dyDescent="0.3">
      <c r="G3430"/>
    </row>
    <row r="3431" spans="7:7" x14ac:dyDescent="0.3">
      <c r="G3431"/>
    </row>
    <row r="3432" spans="7:7" x14ac:dyDescent="0.3">
      <c r="G3432"/>
    </row>
    <row r="3433" spans="7:7" x14ac:dyDescent="0.3">
      <c r="G3433"/>
    </row>
    <row r="3434" spans="7:7" x14ac:dyDescent="0.3">
      <c r="G3434"/>
    </row>
    <row r="3435" spans="7:7" x14ac:dyDescent="0.3">
      <c r="G3435"/>
    </row>
    <row r="3436" spans="7:7" x14ac:dyDescent="0.3">
      <c r="G3436"/>
    </row>
    <row r="3437" spans="7:7" x14ac:dyDescent="0.3">
      <c r="G3437"/>
    </row>
    <row r="3438" spans="7:7" x14ac:dyDescent="0.3">
      <c r="G3438"/>
    </row>
    <row r="3439" spans="7:7" x14ac:dyDescent="0.3">
      <c r="G3439"/>
    </row>
    <row r="3440" spans="7:7" x14ac:dyDescent="0.3">
      <c r="G3440"/>
    </row>
    <row r="3441" spans="7:7" x14ac:dyDescent="0.3">
      <c r="G3441"/>
    </row>
    <row r="3442" spans="7:7" x14ac:dyDescent="0.3">
      <c r="G3442"/>
    </row>
    <row r="3443" spans="7:7" x14ac:dyDescent="0.3">
      <c r="G3443"/>
    </row>
    <row r="3444" spans="7:7" x14ac:dyDescent="0.3">
      <c r="G3444"/>
    </row>
    <row r="3445" spans="7:7" x14ac:dyDescent="0.3">
      <c r="G3445"/>
    </row>
    <row r="3446" spans="7:7" x14ac:dyDescent="0.3">
      <c r="G3446"/>
    </row>
    <row r="3447" spans="7:7" x14ac:dyDescent="0.3">
      <c r="G3447"/>
    </row>
    <row r="3448" spans="7:7" x14ac:dyDescent="0.3">
      <c r="G3448"/>
    </row>
    <row r="3449" spans="7:7" x14ac:dyDescent="0.3">
      <c r="G3449"/>
    </row>
    <row r="3450" spans="7:7" x14ac:dyDescent="0.3">
      <c r="G3450"/>
    </row>
    <row r="3451" spans="7:7" x14ac:dyDescent="0.3">
      <c r="G3451"/>
    </row>
    <row r="3452" spans="7:7" x14ac:dyDescent="0.3">
      <c r="G3452"/>
    </row>
    <row r="3453" spans="7:7" x14ac:dyDescent="0.3">
      <c r="G3453"/>
    </row>
    <row r="3454" spans="7:7" x14ac:dyDescent="0.3">
      <c r="G3454"/>
    </row>
    <row r="3455" spans="7:7" x14ac:dyDescent="0.3">
      <c r="G3455"/>
    </row>
    <row r="3456" spans="7:7" x14ac:dyDescent="0.3">
      <c r="G3456"/>
    </row>
    <row r="3457" spans="7:7" x14ac:dyDescent="0.3">
      <c r="G3457"/>
    </row>
    <row r="3458" spans="7:7" x14ac:dyDescent="0.3">
      <c r="G3458"/>
    </row>
    <row r="3459" spans="7:7" x14ac:dyDescent="0.3">
      <c r="G3459"/>
    </row>
    <row r="3460" spans="7:7" x14ac:dyDescent="0.3">
      <c r="G3460"/>
    </row>
    <row r="3461" spans="7:7" x14ac:dyDescent="0.3">
      <c r="G3461"/>
    </row>
    <row r="3462" spans="7:7" x14ac:dyDescent="0.3">
      <c r="G3462"/>
    </row>
    <row r="3463" spans="7:7" x14ac:dyDescent="0.3">
      <c r="G3463"/>
    </row>
    <row r="3464" spans="7:7" x14ac:dyDescent="0.3">
      <c r="G3464"/>
    </row>
    <row r="3465" spans="7:7" x14ac:dyDescent="0.3">
      <c r="G3465"/>
    </row>
    <row r="3466" spans="7:7" x14ac:dyDescent="0.3">
      <c r="G3466"/>
    </row>
    <row r="3467" spans="7:7" x14ac:dyDescent="0.3">
      <c r="G3467"/>
    </row>
    <row r="3468" spans="7:7" x14ac:dyDescent="0.3">
      <c r="G3468"/>
    </row>
    <row r="3469" spans="7:7" x14ac:dyDescent="0.3">
      <c r="G3469"/>
    </row>
    <row r="3470" spans="7:7" x14ac:dyDescent="0.3">
      <c r="G3470"/>
    </row>
    <row r="3471" spans="7:7" x14ac:dyDescent="0.3">
      <c r="G3471"/>
    </row>
    <row r="3472" spans="7:7" x14ac:dyDescent="0.3">
      <c r="G3472"/>
    </row>
    <row r="3473" spans="7:7" x14ac:dyDescent="0.3">
      <c r="G3473"/>
    </row>
    <row r="3474" spans="7:7" x14ac:dyDescent="0.3">
      <c r="G3474"/>
    </row>
    <row r="3475" spans="7:7" x14ac:dyDescent="0.3">
      <c r="G3475"/>
    </row>
    <row r="3476" spans="7:7" x14ac:dyDescent="0.3">
      <c r="G3476"/>
    </row>
    <row r="3477" spans="7:7" x14ac:dyDescent="0.3">
      <c r="G3477"/>
    </row>
    <row r="3478" spans="7:7" x14ac:dyDescent="0.3">
      <c r="G3478"/>
    </row>
    <row r="3479" spans="7:7" x14ac:dyDescent="0.3">
      <c r="G3479"/>
    </row>
    <row r="3480" spans="7:7" x14ac:dyDescent="0.3">
      <c r="G3480"/>
    </row>
    <row r="3481" spans="7:7" x14ac:dyDescent="0.3">
      <c r="G3481"/>
    </row>
    <row r="3482" spans="7:7" x14ac:dyDescent="0.3">
      <c r="G3482"/>
    </row>
    <row r="3483" spans="7:7" x14ac:dyDescent="0.3">
      <c r="G3483"/>
    </row>
    <row r="3484" spans="7:7" x14ac:dyDescent="0.3">
      <c r="G3484"/>
    </row>
    <row r="3485" spans="7:7" x14ac:dyDescent="0.3">
      <c r="G3485"/>
    </row>
    <row r="3486" spans="7:7" x14ac:dyDescent="0.3">
      <c r="G3486"/>
    </row>
    <row r="3487" spans="7:7" x14ac:dyDescent="0.3">
      <c r="G3487"/>
    </row>
    <row r="3488" spans="7:7" x14ac:dyDescent="0.3">
      <c r="G3488"/>
    </row>
    <row r="3489" spans="7:7" x14ac:dyDescent="0.3">
      <c r="G3489"/>
    </row>
    <row r="3490" spans="7:7" x14ac:dyDescent="0.3">
      <c r="G3490"/>
    </row>
    <row r="3491" spans="7:7" x14ac:dyDescent="0.3">
      <c r="G3491"/>
    </row>
    <row r="3492" spans="7:7" x14ac:dyDescent="0.3">
      <c r="G3492"/>
    </row>
    <row r="3493" spans="7:7" x14ac:dyDescent="0.3">
      <c r="G3493"/>
    </row>
    <row r="3494" spans="7:7" x14ac:dyDescent="0.3">
      <c r="G3494"/>
    </row>
    <row r="3495" spans="7:7" x14ac:dyDescent="0.3">
      <c r="G3495"/>
    </row>
    <row r="3496" spans="7:7" x14ac:dyDescent="0.3">
      <c r="G3496"/>
    </row>
    <row r="3497" spans="7:7" x14ac:dyDescent="0.3">
      <c r="G3497"/>
    </row>
    <row r="3498" spans="7:7" x14ac:dyDescent="0.3">
      <c r="G3498"/>
    </row>
    <row r="3499" spans="7:7" x14ac:dyDescent="0.3">
      <c r="G3499"/>
    </row>
    <row r="3500" spans="7:7" x14ac:dyDescent="0.3">
      <c r="G3500"/>
    </row>
    <row r="3501" spans="7:7" x14ac:dyDescent="0.3">
      <c r="G3501"/>
    </row>
    <row r="3502" spans="7:7" x14ac:dyDescent="0.3">
      <c r="G3502"/>
    </row>
    <row r="3503" spans="7:7" x14ac:dyDescent="0.3">
      <c r="G3503"/>
    </row>
    <row r="3504" spans="7:7" x14ac:dyDescent="0.3">
      <c r="G3504"/>
    </row>
    <row r="3505" spans="7:7" x14ac:dyDescent="0.3">
      <c r="G3505"/>
    </row>
    <row r="3506" spans="7:7" x14ac:dyDescent="0.3">
      <c r="G3506"/>
    </row>
    <row r="3507" spans="7:7" x14ac:dyDescent="0.3">
      <c r="G3507"/>
    </row>
    <row r="3508" spans="7:7" x14ac:dyDescent="0.3">
      <c r="G3508"/>
    </row>
    <row r="3509" spans="7:7" x14ac:dyDescent="0.3">
      <c r="G3509"/>
    </row>
    <row r="3510" spans="7:7" x14ac:dyDescent="0.3">
      <c r="G3510"/>
    </row>
    <row r="3511" spans="7:7" x14ac:dyDescent="0.3">
      <c r="G3511"/>
    </row>
    <row r="3512" spans="7:7" x14ac:dyDescent="0.3">
      <c r="G3512"/>
    </row>
    <row r="3513" spans="7:7" x14ac:dyDescent="0.3">
      <c r="G3513"/>
    </row>
    <row r="3514" spans="7:7" x14ac:dyDescent="0.3">
      <c r="G3514"/>
    </row>
    <row r="3515" spans="7:7" x14ac:dyDescent="0.3">
      <c r="G3515"/>
    </row>
    <row r="3516" spans="7:7" x14ac:dyDescent="0.3">
      <c r="G3516"/>
    </row>
    <row r="3517" spans="7:7" x14ac:dyDescent="0.3">
      <c r="G3517"/>
    </row>
    <row r="3518" spans="7:7" x14ac:dyDescent="0.3">
      <c r="G3518"/>
    </row>
    <row r="3519" spans="7:7" x14ac:dyDescent="0.3">
      <c r="G3519"/>
    </row>
    <row r="3520" spans="7:7" x14ac:dyDescent="0.3">
      <c r="G3520"/>
    </row>
    <row r="3521" spans="7:7" x14ac:dyDescent="0.3">
      <c r="G3521"/>
    </row>
    <row r="3522" spans="7:7" x14ac:dyDescent="0.3">
      <c r="G3522"/>
    </row>
    <row r="3523" spans="7:7" x14ac:dyDescent="0.3">
      <c r="G3523"/>
    </row>
    <row r="3524" spans="7:7" x14ac:dyDescent="0.3">
      <c r="G3524"/>
    </row>
    <row r="3525" spans="7:7" x14ac:dyDescent="0.3">
      <c r="G3525"/>
    </row>
    <row r="3526" spans="7:7" x14ac:dyDescent="0.3">
      <c r="G3526"/>
    </row>
    <row r="3527" spans="7:7" x14ac:dyDescent="0.3">
      <c r="G3527"/>
    </row>
    <row r="3528" spans="7:7" x14ac:dyDescent="0.3">
      <c r="G3528"/>
    </row>
    <row r="3529" spans="7:7" x14ac:dyDescent="0.3">
      <c r="G3529"/>
    </row>
    <row r="3530" spans="7:7" x14ac:dyDescent="0.3">
      <c r="G3530"/>
    </row>
    <row r="3531" spans="7:7" x14ac:dyDescent="0.3">
      <c r="G3531"/>
    </row>
    <row r="3532" spans="7:7" x14ac:dyDescent="0.3">
      <c r="G3532"/>
    </row>
    <row r="3533" spans="7:7" x14ac:dyDescent="0.3">
      <c r="G3533"/>
    </row>
    <row r="3534" spans="7:7" x14ac:dyDescent="0.3">
      <c r="G3534"/>
    </row>
    <row r="3535" spans="7:7" x14ac:dyDescent="0.3">
      <c r="G3535"/>
    </row>
    <row r="3536" spans="7:7" x14ac:dyDescent="0.3">
      <c r="G3536"/>
    </row>
    <row r="3537" spans="7:7" x14ac:dyDescent="0.3">
      <c r="G3537"/>
    </row>
    <row r="3538" spans="7:7" x14ac:dyDescent="0.3">
      <c r="G3538"/>
    </row>
    <row r="3539" spans="7:7" x14ac:dyDescent="0.3">
      <c r="G3539"/>
    </row>
    <row r="3540" spans="7:7" x14ac:dyDescent="0.3">
      <c r="G3540"/>
    </row>
    <row r="3541" spans="7:7" x14ac:dyDescent="0.3">
      <c r="G3541"/>
    </row>
    <row r="3542" spans="7:7" x14ac:dyDescent="0.3">
      <c r="G3542"/>
    </row>
    <row r="3543" spans="7:7" x14ac:dyDescent="0.3">
      <c r="G3543"/>
    </row>
    <row r="3544" spans="7:7" x14ac:dyDescent="0.3">
      <c r="G3544"/>
    </row>
    <row r="3545" spans="7:7" x14ac:dyDescent="0.3">
      <c r="G3545"/>
    </row>
    <row r="3546" spans="7:7" x14ac:dyDescent="0.3">
      <c r="G3546"/>
    </row>
    <row r="3547" spans="7:7" x14ac:dyDescent="0.3">
      <c r="G3547"/>
    </row>
    <row r="3548" spans="7:7" x14ac:dyDescent="0.3">
      <c r="G3548"/>
    </row>
    <row r="3549" spans="7:7" x14ac:dyDescent="0.3">
      <c r="G3549"/>
    </row>
    <row r="3550" spans="7:7" x14ac:dyDescent="0.3">
      <c r="G3550"/>
    </row>
    <row r="3551" spans="7:7" x14ac:dyDescent="0.3">
      <c r="G3551"/>
    </row>
    <row r="3552" spans="7:7" x14ac:dyDescent="0.3">
      <c r="G3552"/>
    </row>
    <row r="3553" spans="7:7" x14ac:dyDescent="0.3">
      <c r="G3553"/>
    </row>
    <row r="3554" spans="7:7" x14ac:dyDescent="0.3">
      <c r="G3554"/>
    </row>
    <row r="3555" spans="7:7" x14ac:dyDescent="0.3">
      <c r="G3555"/>
    </row>
    <row r="3556" spans="7:7" x14ac:dyDescent="0.3">
      <c r="G3556"/>
    </row>
    <row r="3557" spans="7:7" x14ac:dyDescent="0.3">
      <c r="G3557"/>
    </row>
    <row r="3558" spans="7:7" x14ac:dyDescent="0.3">
      <c r="G3558"/>
    </row>
    <row r="3559" spans="7:7" x14ac:dyDescent="0.3">
      <c r="G3559"/>
    </row>
    <row r="3560" spans="7:7" x14ac:dyDescent="0.3">
      <c r="G3560"/>
    </row>
    <row r="3561" spans="7:7" x14ac:dyDescent="0.3">
      <c r="G3561"/>
    </row>
    <row r="3562" spans="7:7" x14ac:dyDescent="0.3">
      <c r="G3562"/>
    </row>
    <row r="3563" spans="7:7" x14ac:dyDescent="0.3">
      <c r="G3563"/>
    </row>
    <row r="3564" spans="7:7" x14ac:dyDescent="0.3">
      <c r="G3564"/>
    </row>
    <row r="3565" spans="7:7" x14ac:dyDescent="0.3">
      <c r="G3565"/>
    </row>
    <row r="3566" spans="7:7" x14ac:dyDescent="0.3">
      <c r="G3566"/>
    </row>
    <row r="3567" spans="7:7" x14ac:dyDescent="0.3">
      <c r="G3567"/>
    </row>
    <row r="3568" spans="7:7" x14ac:dyDescent="0.3">
      <c r="G3568"/>
    </row>
    <row r="3569" spans="7:7" x14ac:dyDescent="0.3">
      <c r="G3569"/>
    </row>
    <row r="3570" spans="7:7" x14ac:dyDescent="0.3">
      <c r="G3570"/>
    </row>
    <row r="3571" spans="7:7" x14ac:dyDescent="0.3">
      <c r="G3571"/>
    </row>
    <row r="3572" spans="7:7" x14ac:dyDescent="0.3">
      <c r="G3572"/>
    </row>
    <row r="3573" spans="7:7" x14ac:dyDescent="0.3">
      <c r="G3573"/>
    </row>
    <row r="3574" spans="7:7" x14ac:dyDescent="0.3">
      <c r="G3574"/>
    </row>
    <row r="3575" spans="7:7" x14ac:dyDescent="0.3">
      <c r="G3575"/>
    </row>
    <row r="3576" spans="7:7" x14ac:dyDescent="0.3">
      <c r="G3576"/>
    </row>
    <row r="3577" spans="7:7" x14ac:dyDescent="0.3">
      <c r="G3577"/>
    </row>
    <row r="3578" spans="7:7" x14ac:dyDescent="0.3">
      <c r="G3578"/>
    </row>
    <row r="3579" spans="7:7" x14ac:dyDescent="0.3">
      <c r="G3579"/>
    </row>
    <row r="3580" spans="7:7" x14ac:dyDescent="0.3">
      <c r="G3580"/>
    </row>
    <row r="3581" spans="7:7" x14ac:dyDescent="0.3">
      <c r="G3581"/>
    </row>
    <row r="3582" spans="7:7" x14ac:dyDescent="0.3">
      <c r="G3582"/>
    </row>
    <row r="3583" spans="7:7" x14ac:dyDescent="0.3">
      <c r="G3583"/>
    </row>
    <row r="3584" spans="7:7" x14ac:dyDescent="0.3">
      <c r="G3584"/>
    </row>
    <row r="3585" spans="7:7" x14ac:dyDescent="0.3">
      <c r="G3585"/>
    </row>
    <row r="3586" spans="7:7" x14ac:dyDescent="0.3">
      <c r="G3586"/>
    </row>
    <row r="3587" spans="7:7" x14ac:dyDescent="0.3">
      <c r="G3587"/>
    </row>
    <row r="3588" spans="7:7" x14ac:dyDescent="0.3">
      <c r="G3588"/>
    </row>
    <row r="3589" spans="7:7" x14ac:dyDescent="0.3">
      <c r="G3589"/>
    </row>
    <row r="3590" spans="7:7" x14ac:dyDescent="0.3">
      <c r="G3590"/>
    </row>
    <row r="3591" spans="7:7" x14ac:dyDescent="0.3">
      <c r="G3591"/>
    </row>
    <row r="3592" spans="7:7" x14ac:dyDescent="0.3">
      <c r="G3592"/>
    </row>
    <row r="3593" spans="7:7" x14ac:dyDescent="0.3">
      <c r="G3593"/>
    </row>
    <row r="3594" spans="7:7" x14ac:dyDescent="0.3">
      <c r="G3594"/>
    </row>
    <row r="3595" spans="7:7" x14ac:dyDescent="0.3">
      <c r="G3595"/>
    </row>
    <row r="3596" spans="7:7" x14ac:dyDescent="0.3">
      <c r="G3596"/>
    </row>
    <row r="3597" spans="7:7" x14ac:dyDescent="0.3">
      <c r="G3597"/>
    </row>
    <row r="3598" spans="7:7" x14ac:dyDescent="0.3">
      <c r="G3598"/>
    </row>
    <row r="3599" spans="7:7" x14ac:dyDescent="0.3">
      <c r="G3599"/>
    </row>
    <row r="3600" spans="7:7" x14ac:dyDescent="0.3">
      <c r="G3600"/>
    </row>
    <row r="3601" spans="7:7" x14ac:dyDescent="0.3">
      <c r="G3601"/>
    </row>
    <row r="3602" spans="7:7" x14ac:dyDescent="0.3">
      <c r="G3602"/>
    </row>
    <row r="3603" spans="7:7" x14ac:dyDescent="0.3">
      <c r="G3603"/>
    </row>
    <row r="3604" spans="7:7" x14ac:dyDescent="0.3">
      <c r="G3604"/>
    </row>
    <row r="3605" spans="7:7" x14ac:dyDescent="0.3">
      <c r="G3605"/>
    </row>
    <row r="3606" spans="7:7" x14ac:dyDescent="0.3">
      <c r="G3606"/>
    </row>
    <row r="3607" spans="7:7" x14ac:dyDescent="0.3">
      <c r="G3607"/>
    </row>
    <row r="3608" spans="7:7" x14ac:dyDescent="0.3">
      <c r="G3608"/>
    </row>
    <row r="3609" spans="7:7" x14ac:dyDescent="0.3">
      <c r="G3609"/>
    </row>
    <row r="3610" spans="7:7" x14ac:dyDescent="0.3">
      <c r="G3610"/>
    </row>
    <row r="3611" spans="7:7" x14ac:dyDescent="0.3">
      <c r="G3611"/>
    </row>
    <row r="3612" spans="7:7" x14ac:dyDescent="0.3">
      <c r="G3612"/>
    </row>
    <row r="3613" spans="7:7" x14ac:dyDescent="0.3">
      <c r="G3613"/>
    </row>
    <row r="3614" spans="7:7" x14ac:dyDescent="0.3">
      <c r="G3614"/>
    </row>
    <row r="3615" spans="7:7" x14ac:dyDescent="0.3">
      <c r="G3615"/>
    </row>
    <row r="3616" spans="7:7" x14ac:dyDescent="0.3">
      <c r="G3616"/>
    </row>
    <row r="3617" spans="7:7" x14ac:dyDescent="0.3">
      <c r="G3617"/>
    </row>
    <row r="3618" spans="7:7" x14ac:dyDescent="0.3">
      <c r="G3618"/>
    </row>
    <row r="3619" spans="7:7" x14ac:dyDescent="0.3">
      <c r="G3619"/>
    </row>
    <row r="3620" spans="7:7" x14ac:dyDescent="0.3">
      <c r="G3620"/>
    </row>
    <row r="3621" spans="7:7" x14ac:dyDescent="0.3">
      <c r="G3621"/>
    </row>
    <row r="3622" spans="7:7" x14ac:dyDescent="0.3">
      <c r="G3622"/>
    </row>
    <row r="3623" spans="7:7" x14ac:dyDescent="0.3">
      <c r="G3623"/>
    </row>
    <row r="3624" spans="7:7" x14ac:dyDescent="0.3">
      <c r="G3624"/>
    </row>
    <row r="3625" spans="7:7" x14ac:dyDescent="0.3">
      <c r="G3625"/>
    </row>
    <row r="3626" spans="7:7" x14ac:dyDescent="0.3">
      <c r="G3626"/>
    </row>
    <row r="3627" spans="7:7" x14ac:dyDescent="0.3">
      <c r="G3627"/>
    </row>
    <row r="3628" spans="7:7" x14ac:dyDescent="0.3">
      <c r="G3628"/>
    </row>
    <row r="3629" spans="7:7" x14ac:dyDescent="0.3">
      <c r="G3629"/>
    </row>
    <row r="3630" spans="7:7" x14ac:dyDescent="0.3">
      <c r="G3630"/>
    </row>
    <row r="3631" spans="7:7" x14ac:dyDescent="0.3">
      <c r="G3631"/>
    </row>
    <row r="3632" spans="7:7" x14ac:dyDescent="0.3">
      <c r="G3632"/>
    </row>
    <row r="3633" spans="7:7" x14ac:dyDescent="0.3">
      <c r="G3633"/>
    </row>
    <row r="3634" spans="7:7" x14ac:dyDescent="0.3">
      <c r="G3634"/>
    </row>
    <row r="3635" spans="7:7" x14ac:dyDescent="0.3">
      <c r="G3635"/>
    </row>
    <row r="3636" spans="7:7" x14ac:dyDescent="0.3">
      <c r="G3636"/>
    </row>
    <row r="3637" spans="7:7" x14ac:dyDescent="0.3">
      <c r="G3637"/>
    </row>
    <row r="3638" spans="7:7" x14ac:dyDescent="0.3">
      <c r="G3638"/>
    </row>
    <row r="3639" spans="7:7" x14ac:dyDescent="0.3">
      <c r="G3639"/>
    </row>
    <row r="3640" spans="7:7" x14ac:dyDescent="0.3">
      <c r="G3640"/>
    </row>
    <row r="3641" spans="7:7" x14ac:dyDescent="0.3">
      <c r="G3641"/>
    </row>
    <row r="3642" spans="7:7" x14ac:dyDescent="0.3">
      <c r="G3642"/>
    </row>
    <row r="3643" spans="7:7" x14ac:dyDescent="0.3">
      <c r="G3643"/>
    </row>
    <row r="3644" spans="7:7" x14ac:dyDescent="0.3">
      <c r="G3644"/>
    </row>
    <row r="3645" spans="7:7" x14ac:dyDescent="0.3">
      <c r="G3645"/>
    </row>
    <row r="3646" spans="7:7" x14ac:dyDescent="0.3">
      <c r="G3646"/>
    </row>
    <row r="3647" spans="7:7" x14ac:dyDescent="0.3">
      <c r="G3647"/>
    </row>
    <row r="3648" spans="7:7" x14ac:dyDescent="0.3">
      <c r="G3648"/>
    </row>
    <row r="3649" spans="7:7" x14ac:dyDescent="0.3">
      <c r="G3649"/>
    </row>
    <row r="3650" spans="7:7" x14ac:dyDescent="0.3">
      <c r="G3650"/>
    </row>
    <row r="3651" spans="7:7" x14ac:dyDescent="0.3">
      <c r="G3651"/>
    </row>
    <row r="3652" spans="7:7" x14ac:dyDescent="0.3">
      <c r="G3652"/>
    </row>
    <row r="3653" spans="7:7" x14ac:dyDescent="0.3">
      <c r="G3653"/>
    </row>
    <row r="3654" spans="7:7" x14ac:dyDescent="0.3">
      <c r="G3654"/>
    </row>
    <row r="3655" spans="7:7" x14ac:dyDescent="0.3">
      <c r="G3655"/>
    </row>
    <row r="3656" spans="7:7" x14ac:dyDescent="0.3">
      <c r="G3656"/>
    </row>
    <row r="3657" spans="7:7" x14ac:dyDescent="0.3">
      <c r="G3657"/>
    </row>
    <row r="3658" spans="7:7" x14ac:dyDescent="0.3">
      <c r="G3658"/>
    </row>
    <row r="3659" spans="7:7" x14ac:dyDescent="0.3">
      <c r="G3659"/>
    </row>
    <row r="3660" spans="7:7" x14ac:dyDescent="0.3">
      <c r="G3660"/>
    </row>
    <row r="3661" spans="7:7" x14ac:dyDescent="0.3">
      <c r="G3661"/>
    </row>
    <row r="3662" spans="7:7" x14ac:dyDescent="0.3">
      <c r="G3662"/>
    </row>
    <row r="3663" spans="7:7" x14ac:dyDescent="0.3">
      <c r="G3663"/>
    </row>
    <row r="3664" spans="7:7" x14ac:dyDescent="0.3">
      <c r="G3664"/>
    </row>
    <row r="3665" spans="7:7" x14ac:dyDescent="0.3">
      <c r="G3665"/>
    </row>
    <row r="3666" spans="7:7" x14ac:dyDescent="0.3">
      <c r="G3666"/>
    </row>
    <row r="3667" spans="7:7" x14ac:dyDescent="0.3">
      <c r="G3667"/>
    </row>
    <row r="3668" spans="7:7" x14ac:dyDescent="0.3">
      <c r="G3668"/>
    </row>
    <row r="3669" spans="7:7" x14ac:dyDescent="0.3">
      <c r="G3669"/>
    </row>
    <row r="3670" spans="7:7" x14ac:dyDescent="0.3">
      <c r="G3670"/>
    </row>
    <row r="3671" spans="7:7" x14ac:dyDescent="0.3">
      <c r="G3671"/>
    </row>
    <row r="3672" spans="7:7" x14ac:dyDescent="0.3">
      <c r="G3672"/>
    </row>
    <row r="3673" spans="7:7" x14ac:dyDescent="0.3">
      <c r="G3673"/>
    </row>
    <row r="3674" spans="7:7" x14ac:dyDescent="0.3">
      <c r="G3674"/>
    </row>
    <row r="3675" spans="7:7" x14ac:dyDescent="0.3">
      <c r="G3675"/>
    </row>
    <row r="3676" spans="7:7" x14ac:dyDescent="0.3">
      <c r="G3676"/>
    </row>
    <row r="3677" spans="7:7" x14ac:dyDescent="0.3">
      <c r="G3677"/>
    </row>
    <row r="3678" spans="7:7" x14ac:dyDescent="0.3">
      <c r="G3678"/>
    </row>
    <row r="3679" spans="7:7" x14ac:dyDescent="0.3">
      <c r="G3679"/>
    </row>
    <row r="3680" spans="7:7" x14ac:dyDescent="0.3">
      <c r="G3680"/>
    </row>
    <row r="3681" spans="7:7" x14ac:dyDescent="0.3">
      <c r="G3681"/>
    </row>
    <row r="3682" spans="7:7" x14ac:dyDescent="0.3">
      <c r="G3682"/>
    </row>
    <row r="3683" spans="7:7" x14ac:dyDescent="0.3">
      <c r="G3683"/>
    </row>
    <row r="3684" spans="7:7" x14ac:dyDescent="0.3">
      <c r="G3684"/>
    </row>
    <row r="3685" spans="7:7" x14ac:dyDescent="0.3">
      <c r="G3685"/>
    </row>
    <row r="3686" spans="7:7" x14ac:dyDescent="0.3">
      <c r="G3686"/>
    </row>
    <row r="3687" spans="7:7" x14ac:dyDescent="0.3">
      <c r="G3687"/>
    </row>
    <row r="3688" spans="7:7" x14ac:dyDescent="0.3">
      <c r="G3688"/>
    </row>
    <row r="3689" spans="7:7" x14ac:dyDescent="0.3">
      <c r="G3689"/>
    </row>
    <row r="3690" spans="7:7" x14ac:dyDescent="0.3">
      <c r="G3690"/>
    </row>
    <row r="3691" spans="7:7" x14ac:dyDescent="0.3">
      <c r="G3691"/>
    </row>
    <row r="3692" spans="7:7" x14ac:dyDescent="0.3">
      <c r="G3692"/>
    </row>
    <row r="3693" spans="7:7" x14ac:dyDescent="0.3">
      <c r="G3693"/>
    </row>
    <row r="3694" spans="7:7" x14ac:dyDescent="0.3">
      <c r="G3694"/>
    </row>
    <row r="3695" spans="7:7" x14ac:dyDescent="0.3">
      <c r="G3695"/>
    </row>
    <row r="3696" spans="7:7" x14ac:dyDescent="0.3">
      <c r="G3696"/>
    </row>
    <row r="3697" spans="7:7" x14ac:dyDescent="0.3">
      <c r="G3697"/>
    </row>
    <row r="3698" spans="7:7" x14ac:dyDescent="0.3">
      <c r="G3698"/>
    </row>
    <row r="3699" spans="7:7" x14ac:dyDescent="0.3">
      <c r="G3699"/>
    </row>
    <row r="3700" spans="7:7" x14ac:dyDescent="0.3">
      <c r="G3700"/>
    </row>
    <row r="3701" spans="7:7" x14ac:dyDescent="0.3">
      <c r="G3701"/>
    </row>
    <row r="3702" spans="7:7" x14ac:dyDescent="0.3">
      <c r="G3702"/>
    </row>
    <row r="3703" spans="7:7" x14ac:dyDescent="0.3">
      <c r="G3703"/>
    </row>
    <row r="3704" spans="7:7" x14ac:dyDescent="0.3">
      <c r="G3704"/>
    </row>
    <row r="3705" spans="7:7" x14ac:dyDescent="0.3">
      <c r="G3705"/>
    </row>
    <row r="3706" spans="7:7" x14ac:dyDescent="0.3">
      <c r="G3706"/>
    </row>
    <row r="3707" spans="7:7" x14ac:dyDescent="0.3">
      <c r="G3707"/>
    </row>
    <row r="3708" spans="7:7" x14ac:dyDescent="0.3">
      <c r="G3708"/>
    </row>
    <row r="3709" spans="7:7" x14ac:dyDescent="0.3">
      <c r="G3709"/>
    </row>
    <row r="3710" spans="7:7" x14ac:dyDescent="0.3">
      <c r="G3710"/>
    </row>
    <row r="3711" spans="7:7" x14ac:dyDescent="0.3">
      <c r="G3711"/>
    </row>
    <row r="3712" spans="7:7" x14ac:dyDescent="0.3">
      <c r="G3712"/>
    </row>
    <row r="3713" spans="7:7" x14ac:dyDescent="0.3">
      <c r="G3713"/>
    </row>
    <row r="3714" spans="7:7" x14ac:dyDescent="0.3">
      <c r="G3714"/>
    </row>
    <row r="3715" spans="7:7" x14ac:dyDescent="0.3">
      <c r="G3715"/>
    </row>
    <row r="3716" spans="7:7" x14ac:dyDescent="0.3">
      <c r="G3716"/>
    </row>
    <row r="3717" spans="7:7" x14ac:dyDescent="0.3">
      <c r="G3717"/>
    </row>
    <row r="3718" spans="7:7" x14ac:dyDescent="0.3">
      <c r="G3718"/>
    </row>
    <row r="3719" spans="7:7" x14ac:dyDescent="0.3">
      <c r="G3719"/>
    </row>
    <row r="3720" spans="7:7" x14ac:dyDescent="0.3">
      <c r="G3720"/>
    </row>
    <row r="3721" spans="7:7" x14ac:dyDescent="0.3">
      <c r="G3721"/>
    </row>
    <row r="3722" spans="7:7" x14ac:dyDescent="0.3">
      <c r="G3722"/>
    </row>
    <row r="3723" spans="7:7" x14ac:dyDescent="0.3">
      <c r="G3723"/>
    </row>
    <row r="3724" spans="7:7" x14ac:dyDescent="0.3">
      <c r="G3724"/>
    </row>
    <row r="3725" spans="7:7" x14ac:dyDescent="0.3">
      <c r="G3725"/>
    </row>
    <row r="3726" spans="7:7" x14ac:dyDescent="0.3">
      <c r="G3726"/>
    </row>
    <row r="3727" spans="7:7" x14ac:dyDescent="0.3">
      <c r="G3727"/>
    </row>
    <row r="3728" spans="7:7" x14ac:dyDescent="0.3">
      <c r="G3728"/>
    </row>
    <row r="3729" spans="7:7" x14ac:dyDescent="0.3">
      <c r="G3729"/>
    </row>
    <row r="3730" spans="7:7" x14ac:dyDescent="0.3">
      <c r="G3730"/>
    </row>
    <row r="3731" spans="7:7" x14ac:dyDescent="0.3">
      <c r="G3731"/>
    </row>
    <row r="3732" spans="7:7" x14ac:dyDescent="0.3">
      <c r="G3732"/>
    </row>
    <row r="3733" spans="7:7" x14ac:dyDescent="0.3">
      <c r="G3733"/>
    </row>
    <row r="3734" spans="7:7" x14ac:dyDescent="0.3">
      <c r="G3734"/>
    </row>
    <row r="3735" spans="7:7" x14ac:dyDescent="0.3">
      <c r="G3735"/>
    </row>
    <row r="3736" spans="7:7" x14ac:dyDescent="0.3">
      <c r="G3736"/>
    </row>
    <row r="3737" spans="7:7" x14ac:dyDescent="0.3">
      <c r="G3737"/>
    </row>
    <row r="3738" spans="7:7" x14ac:dyDescent="0.3">
      <c r="G3738"/>
    </row>
    <row r="3739" spans="7:7" x14ac:dyDescent="0.3">
      <c r="G3739"/>
    </row>
    <row r="3740" spans="7:7" x14ac:dyDescent="0.3">
      <c r="G3740"/>
    </row>
    <row r="3741" spans="7:7" x14ac:dyDescent="0.3">
      <c r="G3741"/>
    </row>
    <row r="3742" spans="7:7" x14ac:dyDescent="0.3">
      <c r="G3742"/>
    </row>
    <row r="3743" spans="7:7" x14ac:dyDescent="0.3">
      <c r="G3743"/>
    </row>
    <row r="3744" spans="7:7" x14ac:dyDescent="0.3">
      <c r="G3744"/>
    </row>
    <row r="3745" spans="7:7" x14ac:dyDescent="0.3">
      <c r="G3745"/>
    </row>
    <row r="3746" spans="7:7" x14ac:dyDescent="0.3">
      <c r="G3746"/>
    </row>
    <row r="3747" spans="7:7" x14ac:dyDescent="0.3">
      <c r="G3747"/>
    </row>
    <row r="3748" spans="7:7" x14ac:dyDescent="0.3">
      <c r="G3748"/>
    </row>
    <row r="3749" spans="7:7" x14ac:dyDescent="0.3">
      <c r="G3749"/>
    </row>
    <row r="3750" spans="7:7" x14ac:dyDescent="0.3">
      <c r="G3750"/>
    </row>
    <row r="3751" spans="7:7" x14ac:dyDescent="0.3">
      <c r="G3751"/>
    </row>
    <row r="3752" spans="7:7" x14ac:dyDescent="0.3">
      <c r="G3752"/>
    </row>
    <row r="3753" spans="7:7" x14ac:dyDescent="0.3">
      <c r="G3753"/>
    </row>
    <row r="3754" spans="7:7" x14ac:dyDescent="0.3">
      <c r="G3754"/>
    </row>
    <row r="3755" spans="7:7" x14ac:dyDescent="0.3">
      <c r="G3755"/>
    </row>
    <row r="3756" spans="7:7" x14ac:dyDescent="0.3">
      <c r="G3756"/>
    </row>
    <row r="3757" spans="7:7" x14ac:dyDescent="0.3">
      <c r="G3757"/>
    </row>
    <row r="3758" spans="7:7" x14ac:dyDescent="0.3">
      <c r="G3758"/>
    </row>
    <row r="3759" spans="7:7" x14ac:dyDescent="0.3">
      <c r="G3759"/>
    </row>
    <row r="3760" spans="7:7" x14ac:dyDescent="0.3">
      <c r="G3760"/>
    </row>
    <row r="3761" spans="7:7" x14ac:dyDescent="0.3">
      <c r="G3761"/>
    </row>
    <row r="3762" spans="7:7" x14ac:dyDescent="0.3">
      <c r="G3762"/>
    </row>
    <row r="3763" spans="7:7" x14ac:dyDescent="0.3">
      <c r="G3763"/>
    </row>
    <row r="3764" spans="7:7" x14ac:dyDescent="0.3">
      <c r="G3764"/>
    </row>
    <row r="3765" spans="7:7" x14ac:dyDescent="0.3">
      <c r="G3765"/>
    </row>
    <row r="3766" spans="7:7" x14ac:dyDescent="0.3">
      <c r="G3766"/>
    </row>
    <row r="3767" spans="7:7" x14ac:dyDescent="0.3">
      <c r="G3767"/>
    </row>
    <row r="3768" spans="7:7" x14ac:dyDescent="0.3">
      <c r="G3768"/>
    </row>
    <row r="3769" spans="7:7" x14ac:dyDescent="0.3">
      <c r="G3769"/>
    </row>
    <row r="3770" spans="7:7" x14ac:dyDescent="0.3">
      <c r="G3770"/>
    </row>
    <row r="3771" spans="7:7" x14ac:dyDescent="0.3">
      <c r="G3771"/>
    </row>
    <row r="3772" spans="7:7" x14ac:dyDescent="0.3">
      <c r="G3772"/>
    </row>
    <row r="3773" spans="7:7" x14ac:dyDescent="0.3">
      <c r="G3773"/>
    </row>
    <row r="3774" spans="7:7" x14ac:dyDescent="0.3">
      <c r="G3774"/>
    </row>
    <row r="3775" spans="7:7" x14ac:dyDescent="0.3">
      <c r="G3775"/>
    </row>
    <row r="3776" spans="7:7" x14ac:dyDescent="0.3">
      <c r="G3776"/>
    </row>
    <row r="3777" spans="7:7" x14ac:dyDescent="0.3">
      <c r="G3777"/>
    </row>
    <row r="3778" spans="7:7" x14ac:dyDescent="0.3">
      <c r="G3778"/>
    </row>
    <row r="3779" spans="7:7" x14ac:dyDescent="0.3">
      <c r="G3779"/>
    </row>
    <row r="3780" spans="7:7" x14ac:dyDescent="0.3">
      <c r="G3780"/>
    </row>
    <row r="3781" spans="7:7" x14ac:dyDescent="0.3">
      <c r="G3781"/>
    </row>
    <row r="3782" spans="7:7" x14ac:dyDescent="0.3">
      <c r="G3782"/>
    </row>
    <row r="3783" spans="7:7" x14ac:dyDescent="0.3">
      <c r="G3783"/>
    </row>
    <row r="3784" spans="7:7" x14ac:dyDescent="0.3">
      <c r="G3784"/>
    </row>
    <row r="3785" spans="7:7" x14ac:dyDescent="0.3">
      <c r="G3785"/>
    </row>
    <row r="3786" spans="7:7" x14ac:dyDescent="0.3">
      <c r="G3786"/>
    </row>
    <row r="3787" spans="7:7" x14ac:dyDescent="0.3">
      <c r="G3787"/>
    </row>
    <row r="3788" spans="7:7" x14ac:dyDescent="0.3">
      <c r="G3788"/>
    </row>
    <row r="3789" spans="7:7" x14ac:dyDescent="0.3">
      <c r="G3789"/>
    </row>
    <row r="3790" spans="7:7" x14ac:dyDescent="0.3">
      <c r="G3790"/>
    </row>
    <row r="3791" spans="7:7" x14ac:dyDescent="0.3">
      <c r="G3791"/>
    </row>
    <row r="3792" spans="7:7" x14ac:dyDescent="0.3">
      <c r="G3792"/>
    </row>
    <row r="3793" spans="7:7" x14ac:dyDescent="0.3">
      <c r="G3793"/>
    </row>
    <row r="3794" spans="7:7" x14ac:dyDescent="0.3">
      <c r="G3794"/>
    </row>
    <row r="3795" spans="7:7" x14ac:dyDescent="0.3">
      <c r="G3795"/>
    </row>
    <row r="3796" spans="7:7" x14ac:dyDescent="0.3">
      <c r="G3796"/>
    </row>
    <row r="3797" spans="7:7" x14ac:dyDescent="0.3">
      <c r="G3797"/>
    </row>
    <row r="3798" spans="7:7" x14ac:dyDescent="0.3">
      <c r="G3798"/>
    </row>
    <row r="3799" spans="7:7" x14ac:dyDescent="0.3">
      <c r="G3799"/>
    </row>
    <row r="3800" spans="7:7" x14ac:dyDescent="0.3">
      <c r="G3800"/>
    </row>
    <row r="3801" spans="7:7" x14ac:dyDescent="0.3">
      <c r="G3801"/>
    </row>
    <row r="3802" spans="7:7" x14ac:dyDescent="0.3">
      <c r="G3802"/>
    </row>
    <row r="3803" spans="7:7" x14ac:dyDescent="0.3">
      <c r="G3803"/>
    </row>
    <row r="3804" spans="7:7" x14ac:dyDescent="0.3">
      <c r="G3804"/>
    </row>
    <row r="3805" spans="7:7" x14ac:dyDescent="0.3">
      <c r="G3805"/>
    </row>
    <row r="3806" spans="7:7" x14ac:dyDescent="0.3">
      <c r="G3806"/>
    </row>
    <row r="3807" spans="7:7" x14ac:dyDescent="0.3">
      <c r="G3807"/>
    </row>
    <row r="3808" spans="7:7" x14ac:dyDescent="0.3">
      <c r="G3808"/>
    </row>
    <row r="3809" spans="7:7" x14ac:dyDescent="0.3">
      <c r="G3809"/>
    </row>
    <row r="3810" spans="7:7" x14ac:dyDescent="0.3">
      <c r="G3810"/>
    </row>
    <row r="3811" spans="7:7" x14ac:dyDescent="0.3">
      <c r="G3811"/>
    </row>
    <row r="3812" spans="7:7" x14ac:dyDescent="0.3">
      <c r="G3812"/>
    </row>
    <row r="3813" spans="7:7" x14ac:dyDescent="0.3">
      <c r="G3813"/>
    </row>
    <row r="3814" spans="7:7" x14ac:dyDescent="0.3">
      <c r="G3814"/>
    </row>
    <row r="3815" spans="7:7" x14ac:dyDescent="0.3">
      <c r="G3815"/>
    </row>
    <row r="3816" spans="7:7" x14ac:dyDescent="0.3">
      <c r="G3816"/>
    </row>
    <row r="3817" spans="7:7" x14ac:dyDescent="0.3">
      <c r="G3817"/>
    </row>
    <row r="3818" spans="7:7" x14ac:dyDescent="0.3">
      <c r="G3818"/>
    </row>
    <row r="3819" spans="7:7" x14ac:dyDescent="0.3">
      <c r="G3819"/>
    </row>
    <row r="3820" spans="7:7" x14ac:dyDescent="0.3">
      <c r="G3820"/>
    </row>
    <row r="3821" spans="7:7" x14ac:dyDescent="0.3">
      <c r="G3821"/>
    </row>
    <row r="3822" spans="7:7" x14ac:dyDescent="0.3">
      <c r="G3822"/>
    </row>
    <row r="3823" spans="7:7" x14ac:dyDescent="0.3">
      <c r="G3823"/>
    </row>
    <row r="3824" spans="7:7" x14ac:dyDescent="0.3">
      <c r="G3824"/>
    </row>
    <row r="3825" spans="7:7" x14ac:dyDescent="0.3">
      <c r="G3825"/>
    </row>
    <row r="3826" spans="7:7" x14ac:dyDescent="0.3">
      <c r="G3826"/>
    </row>
    <row r="3827" spans="7:7" x14ac:dyDescent="0.3">
      <c r="G3827"/>
    </row>
    <row r="3828" spans="7:7" x14ac:dyDescent="0.3">
      <c r="G3828"/>
    </row>
    <row r="3829" spans="7:7" x14ac:dyDescent="0.3">
      <c r="G3829"/>
    </row>
    <row r="3830" spans="7:7" x14ac:dyDescent="0.3">
      <c r="G3830"/>
    </row>
    <row r="3831" spans="7:7" x14ac:dyDescent="0.3">
      <c r="G3831"/>
    </row>
    <row r="3832" spans="7:7" x14ac:dyDescent="0.3">
      <c r="G3832"/>
    </row>
    <row r="3833" spans="7:7" x14ac:dyDescent="0.3">
      <c r="G3833"/>
    </row>
    <row r="3834" spans="7:7" x14ac:dyDescent="0.3">
      <c r="G3834"/>
    </row>
    <row r="3835" spans="7:7" x14ac:dyDescent="0.3">
      <c r="G3835"/>
    </row>
    <row r="3836" spans="7:7" x14ac:dyDescent="0.3">
      <c r="G3836"/>
    </row>
    <row r="3837" spans="7:7" x14ac:dyDescent="0.3">
      <c r="G3837"/>
    </row>
    <row r="3838" spans="7:7" x14ac:dyDescent="0.3">
      <c r="G3838"/>
    </row>
    <row r="3839" spans="7:7" x14ac:dyDescent="0.3">
      <c r="G3839"/>
    </row>
    <row r="3840" spans="7:7" x14ac:dyDescent="0.3">
      <c r="G3840"/>
    </row>
    <row r="3841" spans="7:7" x14ac:dyDescent="0.3">
      <c r="G3841"/>
    </row>
    <row r="3842" spans="7:7" x14ac:dyDescent="0.3">
      <c r="G3842"/>
    </row>
    <row r="3843" spans="7:7" x14ac:dyDescent="0.3">
      <c r="G3843"/>
    </row>
    <row r="3844" spans="7:7" x14ac:dyDescent="0.3">
      <c r="G3844"/>
    </row>
    <row r="3845" spans="7:7" x14ac:dyDescent="0.3">
      <c r="G3845"/>
    </row>
    <row r="3846" spans="7:7" x14ac:dyDescent="0.3">
      <c r="G3846"/>
    </row>
    <row r="3847" spans="7:7" x14ac:dyDescent="0.3">
      <c r="G3847"/>
    </row>
    <row r="3848" spans="7:7" x14ac:dyDescent="0.3">
      <c r="G3848"/>
    </row>
    <row r="3849" spans="7:7" x14ac:dyDescent="0.3">
      <c r="G3849"/>
    </row>
    <row r="3850" spans="7:7" x14ac:dyDescent="0.3">
      <c r="G3850"/>
    </row>
    <row r="3851" spans="7:7" x14ac:dyDescent="0.3">
      <c r="G3851"/>
    </row>
    <row r="3852" spans="7:7" x14ac:dyDescent="0.3">
      <c r="G3852"/>
    </row>
    <row r="3853" spans="7:7" x14ac:dyDescent="0.3">
      <c r="G3853"/>
    </row>
    <row r="3854" spans="7:7" x14ac:dyDescent="0.3">
      <c r="G3854"/>
    </row>
    <row r="3855" spans="7:7" x14ac:dyDescent="0.3">
      <c r="G3855"/>
    </row>
    <row r="3856" spans="7:7" x14ac:dyDescent="0.3">
      <c r="G3856"/>
    </row>
    <row r="3857" spans="7:7" x14ac:dyDescent="0.3">
      <c r="G3857"/>
    </row>
    <row r="3858" spans="7:7" x14ac:dyDescent="0.3">
      <c r="G3858"/>
    </row>
    <row r="3859" spans="7:7" x14ac:dyDescent="0.3">
      <c r="G3859"/>
    </row>
    <row r="3860" spans="7:7" x14ac:dyDescent="0.3">
      <c r="G3860"/>
    </row>
    <row r="3861" spans="7:7" x14ac:dyDescent="0.3">
      <c r="G3861"/>
    </row>
    <row r="3862" spans="7:7" x14ac:dyDescent="0.3">
      <c r="G3862"/>
    </row>
    <row r="3863" spans="7:7" x14ac:dyDescent="0.3">
      <c r="G3863"/>
    </row>
    <row r="3864" spans="7:7" x14ac:dyDescent="0.3">
      <c r="G3864"/>
    </row>
    <row r="3865" spans="7:7" x14ac:dyDescent="0.3">
      <c r="G3865"/>
    </row>
    <row r="3866" spans="7:7" x14ac:dyDescent="0.3">
      <c r="G3866"/>
    </row>
    <row r="3867" spans="7:7" x14ac:dyDescent="0.3">
      <c r="G3867"/>
    </row>
    <row r="3868" spans="7:7" x14ac:dyDescent="0.3">
      <c r="G3868"/>
    </row>
    <row r="3869" spans="7:7" x14ac:dyDescent="0.3">
      <c r="G3869"/>
    </row>
    <row r="3870" spans="7:7" x14ac:dyDescent="0.3">
      <c r="G3870"/>
    </row>
    <row r="3871" spans="7:7" x14ac:dyDescent="0.3">
      <c r="G3871"/>
    </row>
    <row r="3872" spans="7:7" x14ac:dyDescent="0.3">
      <c r="G3872"/>
    </row>
    <row r="3873" spans="7:7" x14ac:dyDescent="0.3">
      <c r="G3873"/>
    </row>
    <row r="3874" spans="7:7" x14ac:dyDescent="0.3">
      <c r="G3874"/>
    </row>
    <row r="3875" spans="7:7" x14ac:dyDescent="0.3">
      <c r="G3875"/>
    </row>
    <row r="3876" spans="7:7" x14ac:dyDescent="0.3">
      <c r="G3876"/>
    </row>
    <row r="3877" spans="7:7" x14ac:dyDescent="0.3">
      <c r="G3877"/>
    </row>
    <row r="3878" spans="7:7" x14ac:dyDescent="0.3">
      <c r="G3878"/>
    </row>
    <row r="3879" spans="7:7" x14ac:dyDescent="0.3">
      <c r="G3879"/>
    </row>
    <row r="3880" spans="7:7" x14ac:dyDescent="0.3">
      <c r="G3880"/>
    </row>
    <row r="3881" spans="7:7" x14ac:dyDescent="0.3">
      <c r="G3881"/>
    </row>
    <row r="3882" spans="7:7" x14ac:dyDescent="0.3">
      <c r="G3882"/>
    </row>
    <row r="3883" spans="7:7" x14ac:dyDescent="0.3">
      <c r="G3883"/>
    </row>
    <row r="3884" spans="7:7" x14ac:dyDescent="0.3">
      <c r="G3884"/>
    </row>
    <row r="3885" spans="7:7" x14ac:dyDescent="0.3">
      <c r="G3885"/>
    </row>
    <row r="3886" spans="7:7" x14ac:dyDescent="0.3">
      <c r="G3886"/>
    </row>
    <row r="3887" spans="7:7" x14ac:dyDescent="0.3">
      <c r="G3887"/>
    </row>
    <row r="3888" spans="7:7" x14ac:dyDescent="0.3">
      <c r="G3888"/>
    </row>
    <row r="3889" spans="7:7" x14ac:dyDescent="0.3">
      <c r="G3889"/>
    </row>
    <row r="3890" spans="7:7" x14ac:dyDescent="0.3">
      <c r="G3890"/>
    </row>
    <row r="3891" spans="7:7" x14ac:dyDescent="0.3">
      <c r="G3891"/>
    </row>
    <row r="3892" spans="7:7" x14ac:dyDescent="0.3">
      <c r="G3892"/>
    </row>
    <row r="3893" spans="7:7" x14ac:dyDescent="0.3">
      <c r="G3893"/>
    </row>
    <row r="3894" spans="7:7" x14ac:dyDescent="0.3">
      <c r="G3894"/>
    </row>
    <row r="3895" spans="7:7" x14ac:dyDescent="0.3">
      <c r="G3895"/>
    </row>
    <row r="3896" spans="7:7" x14ac:dyDescent="0.3">
      <c r="G3896"/>
    </row>
    <row r="3897" spans="7:7" x14ac:dyDescent="0.3">
      <c r="G3897"/>
    </row>
    <row r="3898" spans="7:7" x14ac:dyDescent="0.3">
      <c r="G3898"/>
    </row>
    <row r="3899" spans="7:7" x14ac:dyDescent="0.3">
      <c r="G3899"/>
    </row>
    <row r="3900" spans="7:7" x14ac:dyDescent="0.3">
      <c r="G3900"/>
    </row>
    <row r="3901" spans="7:7" x14ac:dyDescent="0.3">
      <c r="G3901"/>
    </row>
    <row r="3902" spans="7:7" x14ac:dyDescent="0.3">
      <c r="G3902"/>
    </row>
    <row r="3903" spans="7:7" x14ac:dyDescent="0.3">
      <c r="G3903"/>
    </row>
    <row r="3904" spans="7:7" x14ac:dyDescent="0.3">
      <c r="G3904"/>
    </row>
    <row r="3905" spans="7:7" x14ac:dyDescent="0.3">
      <c r="G3905"/>
    </row>
    <row r="3906" spans="7:7" x14ac:dyDescent="0.3">
      <c r="G3906"/>
    </row>
    <row r="3907" spans="7:7" x14ac:dyDescent="0.3">
      <c r="G3907"/>
    </row>
    <row r="3908" spans="7:7" x14ac:dyDescent="0.3">
      <c r="G3908"/>
    </row>
    <row r="3909" spans="7:7" x14ac:dyDescent="0.3">
      <c r="G3909"/>
    </row>
    <row r="3910" spans="7:7" x14ac:dyDescent="0.3">
      <c r="G3910"/>
    </row>
    <row r="3911" spans="7:7" x14ac:dyDescent="0.3">
      <c r="G3911"/>
    </row>
    <row r="3912" spans="7:7" x14ac:dyDescent="0.3">
      <c r="G3912"/>
    </row>
    <row r="3913" spans="7:7" x14ac:dyDescent="0.3">
      <c r="G3913"/>
    </row>
    <row r="3914" spans="7:7" x14ac:dyDescent="0.3">
      <c r="G3914"/>
    </row>
    <row r="3915" spans="7:7" x14ac:dyDescent="0.3">
      <c r="G3915"/>
    </row>
    <row r="3916" spans="7:7" x14ac:dyDescent="0.3">
      <c r="G3916"/>
    </row>
    <row r="3917" spans="7:7" x14ac:dyDescent="0.3">
      <c r="G3917"/>
    </row>
    <row r="3918" spans="7:7" x14ac:dyDescent="0.3">
      <c r="G3918"/>
    </row>
    <row r="3919" spans="7:7" x14ac:dyDescent="0.3">
      <c r="G3919"/>
    </row>
    <row r="3920" spans="7:7" x14ac:dyDescent="0.3">
      <c r="G3920"/>
    </row>
    <row r="3921" spans="7:7" x14ac:dyDescent="0.3">
      <c r="G3921"/>
    </row>
    <row r="3922" spans="7:7" x14ac:dyDescent="0.3">
      <c r="G3922"/>
    </row>
    <row r="3923" spans="7:7" x14ac:dyDescent="0.3">
      <c r="G3923"/>
    </row>
    <row r="3924" spans="7:7" x14ac:dyDescent="0.3">
      <c r="G3924"/>
    </row>
    <row r="3925" spans="7:7" x14ac:dyDescent="0.3">
      <c r="G3925"/>
    </row>
    <row r="3926" spans="7:7" x14ac:dyDescent="0.3">
      <c r="G3926"/>
    </row>
    <row r="3927" spans="7:7" x14ac:dyDescent="0.3">
      <c r="G3927"/>
    </row>
    <row r="3928" spans="7:7" x14ac:dyDescent="0.3">
      <c r="G3928"/>
    </row>
    <row r="3929" spans="7:7" x14ac:dyDescent="0.3">
      <c r="G3929"/>
    </row>
    <row r="3930" spans="7:7" x14ac:dyDescent="0.3">
      <c r="G3930"/>
    </row>
    <row r="3931" spans="7:7" x14ac:dyDescent="0.3">
      <c r="G3931"/>
    </row>
    <row r="3932" spans="7:7" x14ac:dyDescent="0.3">
      <c r="G3932"/>
    </row>
    <row r="3933" spans="7:7" x14ac:dyDescent="0.3">
      <c r="G3933"/>
    </row>
    <row r="3934" spans="7:7" x14ac:dyDescent="0.3">
      <c r="G3934"/>
    </row>
    <row r="3935" spans="7:7" x14ac:dyDescent="0.3">
      <c r="G3935"/>
    </row>
    <row r="3936" spans="7:7" x14ac:dyDescent="0.3">
      <c r="G3936"/>
    </row>
    <row r="3937" spans="7:7" x14ac:dyDescent="0.3">
      <c r="G3937"/>
    </row>
    <row r="3938" spans="7:7" x14ac:dyDescent="0.3">
      <c r="G3938"/>
    </row>
    <row r="3939" spans="7:7" x14ac:dyDescent="0.3">
      <c r="G3939"/>
    </row>
    <row r="3940" spans="7:7" x14ac:dyDescent="0.3">
      <c r="G3940"/>
    </row>
    <row r="3941" spans="7:7" x14ac:dyDescent="0.3">
      <c r="G3941"/>
    </row>
    <row r="3942" spans="7:7" x14ac:dyDescent="0.3">
      <c r="G3942"/>
    </row>
    <row r="3943" spans="7:7" x14ac:dyDescent="0.3">
      <c r="G3943"/>
    </row>
    <row r="3944" spans="7:7" x14ac:dyDescent="0.3">
      <c r="G3944"/>
    </row>
    <row r="3945" spans="7:7" x14ac:dyDescent="0.3">
      <c r="G3945"/>
    </row>
    <row r="3946" spans="7:7" x14ac:dyDescent="0.3">
      <c r="G3946"/>
    </row>
    <row r="3947" spans="7:7" x14ac:dyDescent="0.3">
      <c r="G3947"/>
    </row>
    <row r="3948" spans="7:7" x14ac:dyDescent="0.3">
      <c r="G3948"/>
    </row>
    <row r="3949" spans="7:7" x14ac:dyDescent="0.3">
      <c r="G3949"/>
    </row>
    <row r="3950" spans="7:7" x14ac:dyDescent="0.3">
      <c r="G3950"/>
    </row>
    <row r="3951" spans="7:7" x14ac:dyDescent="0.3">
      <c r="G3951"/>
    </row>
    <row r="3952" spans="7:7" x14ac:dyDescent="0.3">
      <c r="G3952"/>
    </row>
    <row r="3953" spans="7:7" x14ac:dyDescent="0.3">
      <c r="G3953"/>
    </row>
    <row r="3954" spans="7:7" x14ac:dyDescent="0.3">
      <c r="G3954"/>
    </row>
    <row r="3955" spans="7:7" x14ac:dyDescent="0.3">
      <c r="G3955"/>
    </row>
    <row r="3956" spans="7:7" x14ac:dyDescent="0.3">
      <c r="G3956"/>
    </row>
    <row r="3957" spans="7:7" x14ac:dyDescent="0.3">
      <c r="G3957"/>
    </row>
    <row r="3958" spans="7:7" x14ac:dyDescent="0.3">
      <c r="G3958"/>
    </row>
    <row r="3959" spans="7:7" x14ac:dyDescent="0.3">
      <c r="G3959"/>
    </row>
    <row r="3960" spans="7:7" x14ac:dyDescent="0.3">
      <c r="G3960"/>
    </row>
    <row r="3961" spans="7:7" x14ac:dyDescent="0.3">
      <c r="G3961"/>
    </row>
    <row r="3962" spans="7:7" x14ac:dyDescent="0.3">
      <c r="G3962"/>
    </row>
    <row r="3963" spans="7:7" x14ac:dyDescent="0.3">
      <c r="G3963"/>
    </row>
    <row r="3964" spans="7:7" x14ac:dyDescent="0.3">
      <c r="G3964"/>
    </row>
    <row r="3965" spans="7:7" x14ac:dyDescent="0.3">
      <c r="G3965"/>
    </row>
    <row r="3966" spans="7:7" x14ac:dyDescent="0.3">
      <c r="G3966"/>
    </row>
    <row r="3967" spans="7:7" x14ac:dyDescent="0.3">
      <c r="G3967"/>
    </row>
    <row r="3968" spans="7:7" x14ac:dyDescent="0.3">
      <c r="G3968"/>
    </row>
    <row r="3969" spans="7:7" x14ac:dyDescent="0.3">
      <c r="G3969"/>
    </row>
    <row r="3970" spans="7:7" x14ac:dyDescent="0.3">
      <c r="G3970"/>
    </row>
    <row r="3971" spans="7:7" x14ac:dyDescent="0.3">
      <c r="G3971"/>
    </row>
    <row r="3972" spans="7:7" x14ac:dyDescent="0.3">
      <c r="G3972"/>
    </row>
    <row r="3973" spans="7:7" x14ac:dyDescent="0.3">
      <c r="G3973"/>
    </row>
    <row r="3974" spans="7:7" x14ac:dyDescent="0.3">
      <c r="G3974"/>
    </row>
    <row r="3975" spans="7:7" x14ac:dyDescent="0.3">
      <c r="G3975"/>
    </row>
    <row r="3976" spans="7:7" x14ac:dyDescent="0.3">
      <c r="G3976"/>
    </row>
    <row r="3977" spans="7:7" x14ac:dyDescent="0.3">
      <c r="G3977"/>
    </row>
    <row r="3978" spans="7:7" x14ac:dyDescent="0.3">
      <c r="G3978"/>
    </row>
    <row r="3979" spans="7:7" x14ac:dyDescent="0.3">
      <c r="G3979"/>
    </row>
    <row r="3980" spans="7:7" x14ac:dyDescent="0.3">
      <c r="G3980"/>
    </row>
    <row r="3981" spans="7:7" x14ac:dyDescent="0.3">
      <c r="G3981"/>
    </row>
    <row r="3982" spans="7:7" x14ac:dyDescent="0.3">
      <c r="G3982"/>
    </row>
    <row r="3983" spans="7:7" x14ac:dyDescent="0.3">
      <c r="G3983"/>
    </row>
    <row r="3984" spans="7:7" x14ac:dyDescent="0.3">
      <c r="G3984"/>
    </row>
    <row r="3985" spans="7:7" x14ac:dyDescent="0.3">
      <c r="G3985"/>
    </row>
    <row r="3986" spans="7:7" x14ac:dyDescent="0.3">
      <c r="G3986"/>
    </row>
    <row r="3987" spans="7:7" x14ac:dyDescent="0.3">
      <c r="G3987"/>
    </row>
    <row r="3988" spans="7:7" x14ac:dyDescent="0.3">
      <c r="G3988"/>
    </row>
    <row r="3989" spans="7:7" x14ac:dyDescent="0.3">
      <c r="G3989"/>
    </row>
    <row r="3990" spans="7:7" x14ac:dyDescent="0.3">
      <c r="G3990"/>
    </row>
    <row r="3991" spans="7:7" x14ac:dyDescent="0.3">
      <c r="G3991"/>
    </row>
    <row r="3992" spans="7:7" x14ac:dyDescent="0.3">
      <c r="G3992"/>
    </row>
    <row r="3993" spans="7:7" x14ac:dyDescent="0.3">
      <c r="G3993"/>
    </row>
    <row r="3994" spans="7:7" x14ac:dyDescent="0.3">
      <c r="G3994"/>
    </row>
    <row r="3995" spans="7:7" x14ac:dyDescent="0.3">
      <c r="G3995"/>
    </row>
    <row r="3996" spans="7:7" x14ac:dyDescent="0.3">
      <c r="G3996"/>
    </row>
    <row r="3997" spans="7:7" x14ac:dyDescent="0.3">
      <c r="G3997"/>
    </row>
    <row r="3998" spans="7:7" x14ac:dyDescent="0.3">
      <c r="G3998"/>
    </row>
    <row r="3999" spans="7:7" x14ac:dyDescent="0.3">
      <c r="G3999"/>
    </row>
    <row r="4000" spans="7:7" x14ac:dyDescent="0.3">
      <c r="G4000"/>
    </row>
    <row r="4001" spans="7:7" x14ac:dyDescent="0.3">
      <c r="G4001"/>
    </row>
    <row r="4002" spans="7:7" x14ac:dyDescent="0.3">
      <c r="G4002"/>
    </row>
    <row r="4003" spans="7:7" x14ac:dyDescent="0.3">
      <c r="G4003"/>
    </row>
    <row r="4004" spans="7:7" x14ac:dyDescent="0.3">
      <c r="G4004"/>
    </row>
    <row r="4005" spans="7:7" x14ac:dyDescent="0.3">
      <c r="G4005"/>
    </row>
    <row r="4006" spans="7:7" x14ac:dyDescent="0.3">
      <c r="G4006"/>
    </row>
    <row r="4007" spans="7:7" x14ac:dyDescent="0.3">
      <c r="G4007"/>
    </row>
    <row r="4008" spans="7:7" x14ac:dyDescent="0.3">
      <c r="G4008"/>
    </row>
    <row r="4009" spans="7:7" x14ac:dyDescent="0.3">
      <c r="G4009"/>
    </row>
    <row r="4010" spans="7:7" x14ac:dyDescent="0.3">
      <c r="G4010"/>
    </row>
    <row r="4011" spans="7:7" x14ac:dyDescent="0.3">
      <c r="G4011"/>
    </row>
    <row r="4012" spans="7:7" x14ac:dyDescent="0.3">
      <c r="G4012"/>
    </row>
    <row r="4013" spans="7:7" x14ac:dyDescent="0.3">
      <c r="G4013"/>
    </row>
    <row r="4014" spans="7:7" x14ac:dyDescent="0.3">
      <c r="G4014"/>
    </row>
    <row r="4015" spans="7:7" x14ac:dyDescent="0.3">
      <c r="G4015"/>
    </row>
    <row r="4016" spans="7:7" x14ac:dyDescent="0.3">
      <c r="G4016"/>
    </row>
    <row r="4017" spans="7:7" x14ac:dyDescent="0.3">
      <c r="G4017"/>
    </row>
    <row r="4018" spans="7:7" x14ac:dyDescent="0.3">
      <c r="G4018"/>
    </row>
    <row r="4019" spans="7:7" x14ac:dyDescent="0.3">
      <c r="G4019"/>
    </row>
    <row r="4020" spans="7:7" x14ac:dyDescent="0.3">
      <c r="G4020"/>
    </row>
    <row r="4021" spans="7:7" x14ac:dyDescent="0.3">
      <c r="G4021"/>
    </row>
    <row r="4022" spans="7:7" x14ac:dyDescent="0.3">
      <c r="G4022"/>
    </row>
    <row r="4023" spans="7:7" x14ac:dyDescent="0.3">
      <c r="G4023"/>
    </row>
    <row r="4024" spans="7:7" x14ac:dyDescent="0.3">
      <c r="G4024"/>
    </row>
    <row r="4025" spans="7:7" x14ac:dyDescent="0.3">
      <c r="G4025"/>
    </row>
    <row r="4026" spans="7:7" x14ac:dyDescent="0.3">
      <c r="G4026"/>
    </row>
    <row r="4027" spans="7:7" x14ac:dyDescent="0.3">
      <c r="G4027"/>
    </row>
    <row r="4028" spans="7:7" x14ac:dyDescent="0.3">
      <c r="G4028"/>
    </row>
    <row r="4029" spans="7:7" x14ac:dyDescent="0.3">
      <c r="G4029"/>
    </row>
    <row r="4030" spans="7:7" x14ac:dyDescent="0.3">
      <c r="G4030"/>
    </row>
    <row r="4031" spans="7:7" x14ac:dyDescent="0.3">
      <c r="G4031"/>
    </row>
    <row r="4032" spans="7:7" x14ac:dyDescent="0.3">
      <c r="G4032"/>
    </row>
    <row r="4033" spans="7:7" x14ac:dyDescent="0.3">
      <c r="G4033"/>
    </row>
    <row r="4034" spans="7:7" x14ac:dyDescent="0.3">
      <c r="G4034"/>
    </row>
    <row r="4035" spans="7:7" x14ac:dyDescent="0.3">
      <c r="G4035"/>
    </row>
    <row r="4036" spans="7:7" x14ac:dyDescent="0.3">
      <c r="G4036"/>
    </row>
    <row r="4037" spans="7:7" x14ac:dyDescent="0.3">
      <c r="G4037"/>
    </row>
    <row r="4038" spans="7:7" x14ac:dyDescent="0.3">
      <c r="G4038"/>
    </row>
    <row r="4039" spans="7:7" x14ac:dyDescent="0.3">
      <c r="G4039"/>
    </row>
    <row r="4040" spans="7:7" x14ac:dyDescent="0.3">
      <c r="G4040"/>
    </row>
    <row r="4041" spans="7:7" x14ac:dyDescent="0.3">
      <c r="G4041"/>
    </row>
    <row r="4042" spans="7:7" x14ac:dyDescent="0.3">
      <c r="G4042"/>
    </row>
    <row r="4043" spans="7:7" x14ac:dyDescent="0.3">
      <c r="G4043"/>
    </row>
    <row r="4044" spans="7:7" x14ac:dyDescent="0.3">
      <c r="G4044"/>
    </row>
    <row r="4045" spans="7:7" x14ac:dyDescent="0.3">
      <c r="G4045"/>
    </row>
    <row r="4046" spans="7:7" x14ac:dyDescent="0.3">
      <c r="G4046"/>
    </row>
    <row r="4047" spans="7:7" x14ac:dyDescent="0.3">
      <c r="G4047"/>
    </row>
    <row r="4048" spans="7:7" x14ac:dyDescent="0.3">
      <c r="G4048"/>
    </row>
    <row r="4049" spans="7:7" x14ac:dyDescent="0.3">
      <c r="G4049"/>
    </row>
    <row r="4050" spans="7:7" x14ac:dyDescent="0.3">
      <c r="G4050"/>
    </row>
    <row r="4051" spans="7:7" x14ac:dyDescent="0.3">
      <c r="G4051"/>
    </row>
    <row r="4052" spans="7:7" x14ac:dyDescent="0.3">
      <c r="G4052"/>
    </row>
    <row r="4053" spans="7:7" x14ac:dyDescent="0.3">
      <c r="G4053"/>
    </row>
    <row r="4054" spans="7:7" x14ac:dyDescent="0.3">
      <c r="G4054"/>
    </row>
    <row r="4055" spans="7:7" x14ac:dyDescent="0.3">
      <c r="G4055"/>
    </row>
    <row r="4056" spans="7:7" x14ac:dyDescent="0.3">
      <c r="G4056"/>
    </row>
    <row r="4057" spans="7:7" x14ac:dyDescent="0.3">
      <c r="G4057"/>
    </row>
    <row r="4058" spans="7:7" x14ac:dyDescent="0.3">
      <c r="G4058"/>
    </row>
    <row r="4059" spans="7:7" x14ac:dyDescent="0.3">
      <c r="G4059"/>
    </row>
    <row r="4060" spans="7:7" x14ac:dyDescent="0.3">
      <c r="G4060"/>
    </row>
    <row r="4061" spans="7:7" x14ac:dyDescent="0.3">
      <c r="G4061"/>
    </row>
    <row r="4062" spans="7:7" x14ac:dyDescent="0.3">
      <c r="G4062"/>
    </row>
    <row r="4063" spans="7:7" x14ac:dyDescent="0.3">
      <c r="G4063"/>
    </row>
    <row r="4064" spans="7:7" x14ac:dyDescent="0.3">
      <c r="G4064"/>
    </row>
    <row r="4065" spans="7:7" x14ac:dyDescent="0.3">
      <c r="G4065"/>
    </row>
    <row r="4066" spans="7:7" x14ac:dyDescent="0.3">
      <c r="G4066"/>
    </row>
    <row r="4067" spans="7:7" x14ac:dyDescent="0.3">
      <c r="G4067"/>
    </row>
    <row r="4068" spans="7:7" x14ac:dyDescent="0.3">
      <c r="G4068"/>
    </row>
    <row r="4069" spans="7:7" x14ac:dyDescent="0.3">
      <c r="G4069"/>
    </row>
    <row r="4070" spans="7:7" x14ac:dyDescent="0.3">
      <c r="G4070"/>
    </row>
    <row r="4071" spans="7:7" x14ac:dyDescent="0.3">
      <c r="G4071"/>
    </row>
    <row r="4072" spans="7:7" x14ac:dyDescent="0.3">
      <c r="G4072"/>
    </row>
    <row r="4073" spans="7:7" x14ac:dyDescent="0.3">
      <c r="G4073"/>
    </row>
    <row r="4074" spans="7:7" x14ac:dyDescent="0.3">
      <c r="G4074"/>
    </row>
    <row r="4075" spans="7:7" x14ac:dyDescent="0.3">
      <c r="G4075"/>
    </row>
    <row r="4076" spans="7:7" x14ac:dyDescent="0.3">
      <c r="G4076"/>
    </row>
    <row r="4077" spans="7:7" x14ac:dyDescent="0.3">
      <c r="G4077"/>
    </row>
    <row r="4078" spans="7:7" x14ac:dyDescent="0.3">
      <c r="G4078"/>
    </row>
    <row r="4079" spans="7:7" x14ac:dyDescent="0.3">
      <c r="G4079"/>
    </row>
    <row r="4080" spans="7:7" x14ac:dyDescent="0.3">
      <c r="G4080"/>
    </row>
    <row r="4081" spans="7:7" x14ac:dyDescent="0.3">
      <c r="G4081"/>
    </row>
    <row r="4082" spans="7:7" x14ac:dyDescent="0.3">
      <c r="G4082"/>
    </row>
    <row r="4083" spans="7:7" x14ac:dyDescent="0.3">
      <c r="G4083"/>
    </row>
    <row r="4084" spans="7:7" x14ac:dyDescent="0.3">
      <c r="G4084"/>
    </row>
    <row r="4085" spans="7:7" x14ac:dyDescent="0.3">
      <c r="G4085"/>
    </row>
    <row r="4086" spans="7:7" x14ac:dyDescent="0.3">
      <c r="G4086"/>
    </row>
    <row r="4087" spans="7:7" x14ac:dyDescent="0.3">
      <c r="G4087"/>
    </row>
    <row r="4088" spans="7:7" x14ac:dyDescent="0.3">
      <c r="G4088"/>
    </row>
    <row r="4089" spans="7:7" x14ac:dyDescent="0.3">
      <c r="G4089"/>
    </row>
    <row r="4090" spans="7:7" x14ac:dyDescent="0.3">
      <c r="G4090"/>
    </row>
    <row r="4091" spans="7:7" x14ac:dyDescent="0.3">
      <c r="G4091"/>
    </row>
    <row r="4092" spans="7:7" x14ac:dyDescent="0.3">
      <c r="G4092"/>
    </row>
    <row r="4093" spans="7:7" x14ac:dyDescent="0.3">
      <c r="G4093"/>
    </row>
    <row r="4094" spans="7:7" x14ac:dyDescent="0.3">
      <c r="G4094"/>
    </row>
    <row r="4095" spans="7:7" x14ac:dyDescent="0.3">
      <c r="G4095"/>
    </row>
    <row r="4096" spans="7:7" x14ac:dyDescent="0.3">
      <c r="G4096"/>
    </row>
    <row r="4097" spans="7:7" x14ac:dyDescent="0.3">
      <c r="G4097"/>
    </row>
    <row r="4098" spans="7:7" x14ac:dyDescent="0.3">
      <c r="G4098"/>
    </row>
    <row r="4099" spans="7:7" x14ac:dyDescent="0.3">
      <c r="G4099"/>
    </row>
    <row r="4100" spans="7:7" x14ac:dyDescent="0.3">
      <c r="G4100"/>
    </row>
    <row r="4101" spans="7:7" x14ac:dyDescent="0.3">
      <c r="G4101"/>
    </row>
    <row r="4102" spans="7:7" x14ac:dyDescent="0.3">
      <c r="G4102"/>
    </row>
    <row r="4103" spans="7:7" x14ac:dyDescent="0.3">
      <c r="G4103"/>
    </row>
    <row r="4104" spans="7:7" x14ac:dyDescent="0.3">
      <c r="G4104"/>
    </row>
    <row r="4105" spans="7:7" x14ac:dyDescent="0.3">
      <c r="G4105"/>
    </row>
    <row r="4106" spans="7:7" x14ac:dyDescent="0.3">
      <c r="G4106"/>
    </row>
    <row r="4107" spans="7:7" x14ac:dyDescent="0.3">
      <c r="G4107"/>
    </row>
    <row r="4108" spans="7:7" x14ac:dyDescent="0.3">
      <c r="G4108"/>
    </row>
    <row r="4109" spans="7:7" x14ac:dyDescent="0.3">
      <c r="G4109"/>
    </row>
    <row r="4110" spans="7:7" x14ac:dyDescent="0.3">
      <c r="G4110"/>
    </row>
    <row r="4111" spans="7:7" x14ac:dyDescent="0.3">
      <c r="G4111"/>
    </row>
    <row r="4112" spans="7:7" x14ac:dyDescent="0.3">
      <c r="G4112"/>
    </row>
    <row r="4113" spans="7:7" x14ac:dyDescent="0.3">
      <c r="G4113"/>
    </row>
    <row r="4114" spans="7:7" x14ac:dyDescent="0.3">
      <c r="G4114"/>
    </row>
    <row r="4115" spans="7:7" x14ac:dyDescent="0.3">
      <c r="G4115"/>
    </row>
    <row r="4116" spans="7:7" x14ac:dyDescent="0.3">
      <c r="G4116"/>
    </row>
    <row r="4117" spans="7:7" x14ac:dyDescent="0.3">
      <c r="G4117"/>
    </row>
    <row r="4118" spans="7:7" x14ac:dyDescent="0.3">
      <c r="G4118"/>
    </row>
    <row r="4119" spans="7:7" x14ac:dyDescent="0.3">
      <c r="G4119"/>
    </row>
    <row r="4120" spans="7:7" x14ac:dyDescent="0.3">
      <c r="G4120"/>
    </row>
    <row r="4121" spans="7:7" x14ac:dyDescent="0.3">
      <c r="G4121"/>
    </row>
    <row r="4122" spans="7:7" x14ac:dyDescent="0.3">
      <c r="G4122"/>
    </row>
    <row r="4123" spans="7:7" x14ac:dyDescent="0.3">
      <c r="G4123"/>
    </row>
    <row r="4124" spans="7:7" x14ac:dyDescent="0.3">
      <c r="G4124"/>
    </row>
    <row r="4125" spans="7:7" x14ac:dyDescent="0.3">
      <c r="G4125"/>
    </row>
    <row r="4126" spans="7:7" x14ac:dyDescent="0.3">
      <c r="G4126"/>
    </row>
    <row r="4127" spans="7:7" x14ac:dyDescent="0.3">
      <c r="G4127"/>
    </row>
    <row r="4128" spans="7:7" x14ac:dyDescent="0.3">
      <c r="G4128"/>
    </row>
    <row r="4129" spans="7:7" x14ac:dyDescent="0.3">
      <c r="G4129"/>
    </row>
    <row r="4130" spans="7:7" x14ac:dyDescent="0.3">
      <c r="G4130"/>
    </row>
    <row r="4131" spans="7:7" x14ac:dyDescent="0.3">
      <c r="G4131"/>
    </row>
    <row r="4132" spans="7:7" x14ac:dyDescent="0.3">
      <c r="G4132"/>
    </row>
    <row r="4133" spans="7:7" x14ac:dyDescent="0.3">
      <c r="G4133"/>
    </row>
    <row r="4134" spans="7:7" x14ac:dyDescent="0.3">
      <c r="G4134"/>
    </row>
    <row r="4135" spans="7:7" x14ac:dyDescent="0.3">
      <c r="G4135"/>
    </row>
    <row r="4136" spans="7:7" x14ac:dyDescent="0.3">
      <c r="G4136"/>
    </row>
    <row r="4137" spans="7:7" x14ac:dyDescent="0.3">
      <c r="G4137"/>
    </row>
    <row r="4138" spans="7:7" x14ac:dyDescent="0.3">
      <c r="G4138"/>
    </row>
    <row r="4139" spans="7:7" x14ac:dyDescent="0.3">
      <c r="G4139"/>
    </row>
    <row r="4140" spans="7:7" x14ac:dyDescent="0.3">
      <c r="G4140"/>
    </row>
    <row r="4141" spans="7:7" x14ac:dyDescent="0.3">
      <c r="G4141"/>
    </row>
    <row r="4142" spans="7:7" x14ac:dyDescent="0.3">
      <c r="G4142"/>
    </row>
    <row r="4143" spans="7:7" x14ac:dyDescent="0.3">
      <c r="G4143"/>
    </row>
    <row r="4144" spans="7:7" x14ac:dyDescent="0.3">
      <c r="G4144"/>
    </row>
    <row r="4145" spans="7:7" x14ac:dyDescent="0.3">
      <c r="G4145"/>
    </row>
    <row r="4146" spans="7:7" x14ac:dyDescent="0.3">
      <c r="G4146"/>
    </row>
    <row r="4147" spans="7:7" x14ac:dyDescent="0.3">
      <c r="G4147"/>
    </row>
    <row r="4148" spans="7:7" x14ac:dyDescent="0.3">
      <c r="G4148"/>
    </row>
    <row r="4149" spans="7:7" x14ac:dyDescent="0.3">
      <c r="G4149"/>
    </row>
    <row r="4150" spans="7:7" x14ac:dyDescent="0.3">
      <c r="G4150"/>
    </row>
    <row r="4151" spans="7:7" x14ac:dyDescent="0.3">
      <c r="G4151"/>
    </row>
    <row r="4152" spans="7:7" x14ac:dyDescent="0.3">
      <c r="G4152"/>
    </row>
    <row r="4153" spans="7:7" x14ac:dyDescent="0.3">
      <c r="G4153"/>
    </row>
    <row r="4154" spans="7:7" x14ac:dyDescent="0.3">
      <c r="G4154"/>
    </row>
    <row r="4155" spans="7:7" x14ac:dyDescent="0.3">
      <c r="G4155"/>
    </row>
    <row r="4156" spans="7:7" x14ac:dyDescent="0.3">
      <c r="G4156"/>
    </row>
    <row r="4157" spans="7:7" x14ac:dyDescent="0.3">
      <c r="G4157"/>
    </row>
    <row r="4158" spans="7:7" x14ac:dyDescent="0.3">
      <c r="G4158"/>
    </row>
    <row r="4159" spans="7:7" x14ac:dyDescent="0.3">
      <c r="G4159"/>
    </row>
    <row r="4160" spans="7:7" x14ac:dyDescent="0.3">
      <c r="G4160"/>
    </row>
    <row r="4161" spans="7:7" x14ac:dyDescent="0.3">
      <c r="G4161"/>
    </row>
    <row r="4162" spans="7:7" x14ac:dyDescent="0.3">
      <c r="G4162"/>
    </row>
    <row r="4163" spans="7:7" x14ac:dyDescent="0.3">
      <c r="G4163"/>
    </row>
    <row r="4164" spans="7:7" x14ac:dyDescent="0.3">
      <c r="G4164"/>
    </row>
    <row r="4165" spans="7:7" x14ac:dyDescent="0.3">
      <c r="G4165"/>
    </row>
    <row r="4166" spans="7:7" x14ac:dyDescent="0.3">
      <c r="G4166"/>
    </row>
    <row r="4167" spans="7:7" x14ac:dyDescent="0.3">
      <c r="G4167"/>
    </row>
    <row r="4168" spans="7:7" x14ac:dyDescent="0.3">
      <c r="G4168"/>
    </row>
    <row r="4169" spans="7:7" x14ac:dyDescent="0.3">
      <c r="G4169"/>
    </row>
    <row r="4170" spans="7:7" x14ac:dyDescent="0.3">
      <c r="G4170"/>
    </row>
    <row r="4171" spans="7:7" x14ac:dyDescent="0.3">
      <c r="G4171"/>
    </row>
    <row r="4172" spans="7:7" x14ac:dyDescent="0.3">
      <c r="G4172"/>
    </row>
    <row r="4173" spans="7:7" x14ac:dyDescent="0.3">
      <c r="G4173"/>
    </row>
    <row r="4174" spans="7:7" x14ac:dyDescent="0.3">
      <c r="G4174"/>
    </row>
    <row r="4175" spans="7:7" x14ac:dyDescent="0.3">
      <c r="G4175"/>
    </row>
    <row r="4176" spans="7:7" x14ac:dyDescent="0.3">
      <c r="G4176"/>
    </row>
    <row r="4177" spans="7:7" x14ac:dyDescent="0.3">
      <c r="G4177"/>
    </row>
    <row r="4178" spans="7:7" x14ac:dyDescent="0.3">
      <c r="G4178"/>
    </row>
    <row r="4179" spans="7:7" x14ac:dyDescent="0.3">
      <c r="G4179"/>
    </row>
    <row r="4180" spans="7:7" x14ac:dyDescent="0.3">
      <c r="G4180"/>
    </row>
    <row r="4181" spans="7:7" x14ac:dyDescent="0.3">
      <c r="G4181"/>
    </row>
    <row r="4182" spans="7:7" x14ac:dyDescent="0.3">
      <c r="G4182"/>
    </row>
    <row r="4183" spans="7:7" x14ac:dyDescent="0.3">
      <c r="G4183"/>
    </row>
    <row r="4184" spans="7:7" x14ac:dyDescent="0.3">
      <c r="G4184"/>
    </row>
    <row r="4185" spans="7:7" x14ac:dyDescent="0.3">
      <c r="G4185"/>
    </row>
    <row r="4186" spans="7:7" x14ac:dyDescent="0.3">
      <c r="G4186"/>
    </row>
    <row r="4187" spans="7:7" x14ac:dyDescent="0.3">
      <c r="G4187"/>
    </row>
    <row r="4188" spans="7:7" x14ac:dyDescent="0.3">
      <c r="G4188"/>
    </row>
    <row r="4189" spans="7:7" x14ac:dyDescent="0.3">
      <c r="G4189"/>
    </row>
    <row r="4190" spans="7:7" x14ac:dyDescent="0.3">
      <c r="G4190"/>
    </row>
    <row r="4191" spans="7:7" x14ac:dyDescent="0.3">
      <c r="G4191"/>
    </row>
    <row r="4192" spans="7:7" x14ac:dyDescent="0.3">
      <c r="G4192"/>
    </row>
    <row r="4193" spans="7:7" x14ac:dyDescent="0.3">
      <c r="G4193"/>
    </row>
    <row r="4194" spans="7:7" x14ac:dyDescent="0.3">
      <c r="G4194"/>
    </row>
    <row r="4195" spans="7:7" x14ac:dyDescent="0.3">
      <c r="G4195"/>
    </row>
    <row r="4196" spans="7:7" x14ac:dyDescent="0.3">
      <c r="G4196"/>
    </row>
    <row r="4197" spans="7:7" x14ac:dyDescent="0.3">
      <c r="G4197"/>
    </row>
    <row r="4198" spans="7:7" x14ac:dyDescent="0.3">
      <c r="G4198"/>
    </row>
    <row r="4199" spans="7:7" x14ac:dyDescent="0.3">
      <c r="G4199"/>
    </row>
    <row r="4200" spans="7:7" x14ac:dyDescent="0.3">
      <c r="G4200"/>
    </row>
    <row r="4201" spans="7:7" x14ac:dyDescent="0.3">
      <c r="G4201"/>
    </row>
    <row r="4202" spans="7:7" x14ac:dyDescent="0.3">
      <c r="G4202"/>
    </row>
    <row r="4203" spans="7:7" x14ac:dyDescent="0.3">
      <c r="G4203"/>
    </row>
    <row r="4204" spans="7:7" x14ac:dyDescent="0.3">
      <c r="G4204"/>
    </row>
    <row r="4205" spans="7:7" x14ac:dyDescent="0.3">
      <c r="G4205"/>
    </row>
    <row r="4206" spans="7:7" x14ac:dyDescent="0.3">
      <c r="G4206"/>
    </row>
    <row r="4207" spans="7:7" x14ac:dyDescent="0.3">
      <c r="G4207"/>
    </row>
    <row r="4208" spans="7:7" x14ac:dyDescent="0.3">
      <c r="G4208"/>
    </row>
    <row r="4209" spans="7:7" x14ac:dyDescent="0.3">
      <c r="G4209"/>
    </row>
    <row r="4210" spans="7:7" x14ac:dyDescent="0.3">
      <c r="G4210"/>
    </row>
    <row r="4211" spans="7:7" x14ac:dyDescent="0.3">
      <c r="G4211"/>
    </row>
    <row r="4212" spans="7:7" x14ac:dyDescent="0.3">
      <c r="G4212"/>
    </row>
    <row r="4213" spans="7:7" x14ac:dyDescent="0.3">
      <c r="G4213"/>
    </row>
    <row r="4214" spans="7:7" x14ac:dyDescent="0.3">
      <c r="G4214"/>
    </row>
    <row r="4215" spans="7:7" x14ac:dyDescent="0.3">
      <c r="G4215"/>
    </row>
    <row r="4216" spans="7:7" x14ac:dyDescent="0.3">
      <c r="G4216"/>
    </row>
    <row r="4217" spans="7:7" x14ac:dyDescent="0.3">
      <c r="G4217"/>
    </row>
    <row r="4218" spans="7:7" x14ac:dyDescent="0.3">
      <c r="G4218"/>
    </row>
    <row r="4219" spans="7:7" x14ac:dyDescent="0.3">
      <c r="G4219"/>
    </row>
    <row r="4220" spans="7:7" x14ac:dyDescent="0.3">
      <c r="G4220"/>
    </row>
    <row r="4221" spans="7:7" x14ac:dyDescent="0.3">
      <c r="G4221"/>
    </row>
    <row r="4222" spans="7:7" x14ac:dyDescent="0.3">
      <c r="G4222"/>
    </row>
    <row r="4223" spans="7:7" x14ac:dyDescent="0.3">
      <c r="G4223"/>
    </row>
    <row r="4224" spans="7:7" x14ac:dyDescent="0.3">
      <c r="G4224"/>
    </row>
    <row r="4225" spans="7:7" x14ac:dyDescent="0.3">
      <c r="G4225"/>
    </row>
    <row r="4226" spans="7:7" x14ac:dyDescent="0.3">
      <c r="G4226"/>
    </row>
    <row r="4227" spans="7:7" x14ac:dyDescent="0.3">
      <c r="G4227"/>
    </row>
    <row r="4228" spans="7:7" x14ac:dyDescent="0.3">
      <c r="G4228"/>
    </row>
    <row r="4229" spans="7:7" x14ac:dyDescent="0.3">
      <c r="G4229"/>
    </row>
    <row r="4230" spans="7:7" x14ac:dyDescent="0.3">
      <c r="G4230"/>
    </row>
    <row r="4231" spans="7:7" x14ac:dyDescent="0.3">
      <c r="G4231"/>
    </row>
    <row r="4232" spans="7:7" x14ac:dyDescent="0.3">
      <c r="G4232"/>
    </row>
    <row r="4233" spans="7:7" x14ac:dyDescent="0.3">
      <c r="G4233"/>
    </row>
    <row r="4234" spans="7:7" x14ac:dyDescent="0.3">
      <c r="G4234"/>
    </row>
    <row r="4235" spans="7:7" x14ac:dyDescent="0.3">
      <c r="G4235"/>
    </row>
    <row r="4236" spans="7:7" x14ac:dyDescent="0.3">
      <c r="G4236"/>
    </row>
    <row r="4237" spans="7:7" x14ac:dyDescent="0.3">
      <c r="G4237"/>
    </row>
    <row r="4238" spans="7:7" x14ac:dyDescent="0.3">
      <c r="G4238"/>
    </row>
    <row r="4239" spans="7:7" x14ac:dyDescent="0.3">
      <c r="G4239"/>
    </row>
    <row r="4240" spans="7:7" x14ac:dyDescent="0.3">
      <c r="G4240"/>
    </row>
    <row r="4241" spans="7:7" x14ac:dyDescent="0.3">
      <c r="G4241"/>
    </row>
    <row r="4242" spans="7:7" x14ac:dyDescent="0.3">
      <c r="G4242"/>
    </row>
    <row r="4243" spans="7:7" x14ac:dyDescent="0.3">
      <c r="G4243"/>
    </row>
    <row r="4244" spans="7:7" x14ac:dyDescent="0.3">
      <c r="G4244"/>
    </row>
    <row r="4245" spans="7:7" x14ac:dyDescent="0.3">
      <c r="G4245"/>
    </row>
    <row r="4246" spans="7:7" x14ac:dyDescent="0.3">
      <c r="G4246"/>
    </row>
    <row r="4247" spans="7:7" x14ac:dyDescent="0.3">
      <c r="G4247"/>
    </row>
    <row r="4248" spans="7:7" x14ac:dyDescent="0.3">
      <c r="G4248"/>
    </row>
    <row r="4249" spans="7:7" x14ac:dyDescent="0.3">
      <c r="G4249"/>
    </row>
    <row r="4250" spans="7:7" x14ac:dyDescent="0.3">
      <c r="G4250"/>
    </row>
    <row r="4251" spans="7:7" x14ac:dyDescent="0.3">
      <c r="G4251"/>
    </row>
    <row r="4252" spans="7:7" x14ac:dyDescent="0.3">
      <c r="G4252"/>
    </row>
    <row r="4253" spans="7:7" x14ac:dyDescent="0.3">
      <c r="G4253"/>
    </row>
    <row r="4254" spans="7:7" x14ac:dyDescent="0.3">
      <c r="G4254"/>
    </row>
    <row r="4255" spans="7:7" x14ac:dyDescent="0.3">
      <c r="G4255"/>
    </row>
    <row r="4256" spans="7:7" x14ac:dyDescent="0.3">
      <c r="G4256"/>
    </row>
    <row r="4257" spans="7:7" x14ac:dyDescent="0.3">
      <c r="G4257"/>
    </row>
    <row r="4258" spans="7:7" x14ac:dyDescent="0.3">
      <c r="G4258"/>
    </row>
    <row r="4259" spans="7:7" x14ac:dyDescent="0.3">
      <c r="G4259"/>
    </row>
    <row r="4260" spans="7:7" x14ac:dyDescent="0.3">
      <c r="G4260"/>
    </row>
    <row r="4261" spans="7:7" x14ac:dyDescent="0.3">
      <c r="G4261"/>
    </row>
    <row r="4262" spans="7:7" x14ac:dyDescent="0.3">
      <c r="G4262"/>
    </row>
    <row r="4263" spans="7:7" x14ac:dyDescent="0.3">
      <c r="G4263"/>
    </row>
    <row r="4264" spans="7:7" x14ac:dyDescent="0.3">
      <c r="G4264"/>
    </row>
    <row r="4265" spans="7:7" x14ac:dyDescent="0.3">
      <c r="G4265"/>
    </row>
    <row r="4266" spans="7:7" x14ac:dyDescent="0.3">
      <c r="G4266"/>
    </row>
    <row r="4267" spans="7:7" x14ac:dyDescent="0.3">
      <c r="G4267"/>
    </row>
    <row r="4268" spans="7:7" x14ac:dyDescent="0.3">
      <c r="G4268"/>
    </row>
    <row r="4269" spans="7:7" x14ac:dyDescent="0.3">
      <c r="G4269"/>
    </row>
    <row r="4270" spans="7:7" x14ac:dyDescent="0.3">
      <c r="G4270"/>
    </row>
    <row r="4271" spans="7:7" x14ac:dyDescent="0.3">
      <c r="G4271"/>
    </row>
    <row r="4272" spans="7:7" x14ac:dyDescent="0.3">
      <c r="G4272"/>
    </row>
    <row r="4273" spans="7:7" x14ac:dyDescent="0.3">
      <c r="G4273"/>
    </row>
    <row r="4274" spans="7:7" x14ac:dyDescent="0.3">
      <c r="G4274"/>
    </row>
    <row r="4275" spans="7:7" x14ac:dyDescent="0.3">
      <c r="G4275"/>
    </row>
    <row r="4276" spans="7:7" x14ac:dyDescent="0.3">
      <c r="G4276"/>
    </row>
    <row r="4277" spans="7:7" x14ac:dyDescent="0.3">
      <c r="G4277"/>
    </row>
    <row r="4278" spans="7:7" x14ac:dyDescent="0.3">
      <c r="G4278"/>
    </row>
    <row r="4279" spans="7:7" x14ac:dyDescent="0.3">
      <c r="G4279"/>
    </row>
    <row r="4280" spans="7:7" x14ac:dyDescent="0.3">
      <c r="G4280"/>
    </row>
    <row r="4281" spans="7:7" x14ac:dyDescent="0.3">
      <c r="G4281"/>
    </row>
    <row r="4282" spans="7:7" x14ac:dyDescent="0.3">
      <c r="G4282"/>
    </row>
    <row r="4283" spans="7:7" x14ac:dyDescent="0.3">
      <c r="G4283"/>
    </row>
    <row r="4284" spans="7:7" x14ac:dyDescent="0.3">
      <c r="G4284"/>
    </row>
    <row r="4285" spans="7:7" x14ac:dyDescent="0.3">
      <c r="G4285"/>
    </row>
    <row r="4286" spans="7:7" x14ac:dyDescent="0.3">
      <c r="G4286"/>
    </row>
    <row r="4287" spans="7:7" x14ac:dyDescent="0.3">
      <c r="G4287"/>
    </row>
    <row r="4288" spans="7:7" x14ac:dyDescent="0.3">
      <c r="G4288"/>
    </row>
    <row r="4289" spans="7:7" x14ac:dyDescent="0.3">
      <c r="G4289"/>
    </row>
    <row r="4290" spans="7:7" x14ac:dyDescent="0.3">
      <c r="G4290"/>
    </row>
    <row r="4291" spans="7:7" x14ac:dyDescent="0.3">
      <c r="G4291"/>
    </row>
    <row r="4292" spans="7:7" x14ac:dyDescent="0.3">
      <c r="G4292"/>
    </row>
    <row r="4293" spans="7:7" x14ac:dyDescent="0.3">
      <c r="G4293"/>
    </row>
    <row r="4294" spans="7:7" x14ac:dyDescent="0.3">
      <c r="G4294"/>
    </row>
    <row r="4295" spans="7:7" x14ac:dyDescent="0.3">
      <c r="G4295"/>
    </row>
    <row r="4296" spans="7:7" x14ac:dyDescent="0.3">
      <c r="G4296"/>
    </row>
    <row r="4297" spans="7:7" x14ac:dyDescent="0.3">
      <c r="G4297"/>
    </row>
    <row r="4298" spans="7:7" x14ac:dyDescent="0.3">
      <c r="G4298"/>
    </row>
    <row r="4299" spans="7:7" x14ac:dyDescent="0.3">
      <c r="G4299"/>
    </row>
    <row r="4300" spans="7:7" x14ac:dyDescent="0.3">
      <c r="G4300"/>
    </row>
    <row r="4301" spans="7:7" x14ac:dyDescent="0.3">
      <c r="G4301"/>
    </row>
    <row r="4302" spans="7:7" x14ac:dyDescent="0.3">
      <c r="G4302"/>
    </row>
    <row r="4303" spans="7:7" x14ac:dyDescent="0.3">
      <c r="G4303"/>
    </row>
    <row r="4304" spans="7:7" x14ac:dyDescent="0.3">
      <c r="G4304"/>
    </row>
    <row r="4305" spans="7:7" x14ac:dyDescent="0.3">
      <c r="G4305"/>
    </row>
    <row r="4306" spans="7:7" x14ac:dyDescent="0.3">
      <c r="G4306"/>
    </row>
    <row r="4307" spans="7:7" x14ac:dyDescent="0.3">
      <c r="G4307"/>
    </row>
    <row r="4308" spans="7:7" x14ac:dyDescent="0.3">
      <c r="G4308"/>
    </row>
    <row r="4309" spans="7:7" x14ac:dyDescent="0.3">
      <c r="G4309"/>
    </row>
    <row r="4310" spans="7:7" x14ac:dyDescent="0.3">
      <c r="G4310"/>
    </row>
    <row r="4311" spans="7:7" x14ac:dyDescent="0.3">
      <c r="G4311"/>
    </row>
    <row r="4312" spans="7:7" x14ac:dyDescent="0.3">
      <c r="G4312"/>
    </row>
    <row r="4313" spans="7:7" x14ac:dyDescent="0.3">
      <c r="G4313"/>
    </row>
    <row r="4314" spans="7:7" x14ac:dyDescent="0.3">
      <c r="G4314"/>
    </row>
    <row r="4315" spans="7:7" x14ac:dyDescent="0.3">
      <c r="G4315"/>
    </row>
    <row r="4316" spans="7:7" x14ac:dyDescent="0.3">
      <c r="G4316"/>
    </row>
    <row r="4317" spans="7:7" x14ac:dyDescent="0.3">
      <c r="G4317"/>
    </row>
    <row r="4318" spans="7:7" x14ac:dyDescent="0.3">
      <c r="G4318"/>
    </row>
    <row r="4319" spans="7:7" x14ac:dyDescent="0.3">
      <c r="G4319"/>
    </row>
    <row r="4320" spans="7:7" x14ac:dyDescent="0.3">
      <c r="G4320"/>
    </row>
    <row r="4321" spans="7:7" x14ac:dyDescent="0.3">
      <c r="G4321"/>
    </row>
    <row r="4322" spans="7:7" x14ac:dyDescent="0.3">
      <c r="G4322"/>
    </row>
    <row r="4323" spans="7:7" x14ac:dyDescent="0.3">
      <c r="G4323"/>
    </row>
    <row r="4324" spans="7:7" x14ac:dyDescent="0.3">
      <c r="G4324"/>
    </row>
    <row r="4325" spans="7:7" x14ac:dyDescent="0.3">
      <c r="G4325"/>
    </row>
    <row r="4326" spans="7:7" x14ac:dyDescent="0.3">
      <c r="G4326"/>
    </row>
    <row r="4327" spans="7:7" x14ac:dyDescent="0.3">
      <c r="G4327"/>
    </row>
    <row r="4328" spans="7:7" x14ac:dyDescent="0.3">
      <c r="G4328"/>
    </row>
    <row r="4329" spans="7:7" x14ac:dyDescent="0.3">
      <c r="G4329"/>
    </row>
    <row r="4330" spans="7:7" x14ac:dyDescent="0.3">
      <c r="G4330"/>
    </row>
    <row r="4331" spans="7:7" x14ac:dyDescent="0.3">
      <c r="G4331"/>
    </row>
    <row r="4332" spans="7:7" x14ac:dyDescent="0.3">
      <c r="G4332"/>
    </row>
    <row r="4333" spans="7:7" x14ac:dyDescent="0.3">
      <c r="G4333"/>
    </row>
    <row r="4334" spans="7:7" x14ac:dyDescent="0.3">
      <c r="G4334"/>
    </row>
    <row r="4335" spans="7:7" x14ac:dyDescent="0.3">
      <c r="G4335"/>
    </row>
    <row r="4336" spans="7:7" x14ac:dyDescent="0.3">
      <c r="G4336"/>
    </row>
    <row r="4337" spans="7:7" x14ac:dyDescent="0.3">
      <c r="G4337"/>
    </row>
    <row r="4338" spans="7:7" x14ac:dyDescent="0.3">
      <c r="G4338"/>
    </row>
    <row r="4339" spans="7:7" x14ac:dyDescent="0.3">
      <c r="G4339"/>
    </row>
    <row r="4340" spans="7:7" x14ac:dyDescent="0.3">
      <c r="G4340"/>
    </row>
    <row r="4341" spans="7:7" x14ac:dyDescent="0.3">
      <c r="G4341"/>
    </row>
    <row r="4342" spans="7:7" x14ac:dyDescent="0.3">
      <c r="G4342"/>
    </row>
    <row r="4343" spans="7:7" x14ac:dyDescent="0.3">
      <c r="G4343"/>
    </row>
    <row r="4344" spans="7:7" x14ac:dyDescent="0.3">
      <c r="G4344"/>
    </row>
    <row r="4345" spans="7:7" x14ac:dyDescent="0.3">
      <c r="G4345"/>
    </row>
    <row r="4346" spans="7:7" x14ac:dyDescent="0.3">
      <c r="G4346"/>
    </row>
    <row r="4347" spans="7:7" x14ac:dyDescent="0.3">
      <c r="G4347"/>
    </row>
    <row r="4348" spans="7:7" x14ac:dyDescent="0.3">
      <c r="G4348"/>
    </row>
    <row r="4349" spans="7:7" x14ac:dyDescent="0.3">
      <c r="G4349"/>
    </row>
    <row r="4350" spans="7:7" x14ac:dyDescent="0.3">
      <c r="G4350"/>
    </row>
    <row r="4351" spans="7:7" x14ac:dyDescent="0.3">
      <c r="G4351"/>
    </row>
    <row r="4352" spans="7:7" x14ac:dyDescent="0.3">
      <c r="G4352"/>
    </row>
    <row r="4353" spans="7:7" x14ac:dyDescent="0.3">
      <c r="G4353"/>
    </row>
    <row r="4354" spans="7:7" x14ac:dyDescent="0.3">
      <c r="G4354"/>
    </row>
    <row r="4355" spans="7:7" x14ac:dyDescent="0.3">
      <c r="G4355"/>
    </row>
    <row r="4356" spans="7:7" x14ac:dyDescent="0.3">
      <c r="G4356"/>
    </row>
    <row r="4357" spans="7:7" x14ac:dyDescent="0.3">
      <c r="G4357"/>
    </row>
    <row r="4358" spans="7:7" x14ac:dyDescent="0.3">
      <c r="G4358"/>
    </row>
    <row r="4359" spans="7:7" x14ac:dyDescent="0.3">
      <c r="G4359"/>
    </row>
    <row r="4360" spans="7:7" x14ac:dyDescent="0.3">
      <c r="G4360"/>
    </row>
    <row r="4361" spans="7:7" x14ac:dyDescent="0.3">
      <c r="G4361"/>
    </row>
    <row r="4362" spans="7:7" x14ac:dyDescent="0.3">
      <c r="G4362"/>
    </row>
    <row r="4363" spans="7:7" x14ac:dyDescent="0.3">
      <c r="G4363"/>
    </row>
    <row r="4364" spans="7:7" x14ac:dyDescent="0.3">
      <c r="G4364"/>
    </row>
    <row r="4365" spans="7:7" x14ac:dyDescent="0.3">
      <c r="G4365"/>
    </row>
    <row r="4366" spans="7:7" x14ac:dyDescent="0.3">
      <c r="G4366"/>
    </row>
    <row r="4367" spans="7:7" x14ac:dyDescent="0.3">
      <c r="G4367"/>
    </row>
    <row r="4368" spans="7:7" x14ac:dyDescent="0.3">
      <c r="G4368"/>
    </row>
    <row r="4369" spans="7:7" x14ac:dyDescent="0.3">
      <c r="G4369"/>
    </row>
    <row r="4370" spans="7:7" x14ac:dyDescent="0.3">
      <c r="G4370"/>
    </row>
    <row r="4371" spans="7:7" x14ac:dyDescent="0.3">
      <c r="G4371"/>
    </row>
    <row r="4372" spans="7:7" x14ac:dyDescent="0.3">
      <c r="G4372"/>
    </row>
    <row r="4373" spans="7:7" x14ac:dyDescent="0.3">
      <c r="G4373"/>
    </row>
    <row r="4374" spans="7:7" x14ac:dyDescent="0.3">
      <c r="G4374"/>
    </row>
    <row r="4375" spans="7:7" x14ac:dyDescent="0.3">
      <c r="G4375"/>
    </row>
    <row r="4376" spans="7:7" x14ac:dyDescent="0.3">
      <c r="G4376"/>
    </row>
    <row r="4377" spans="7:7" x14ac:dyDescent="0.3">
      <c r="G4377"/>
    </row>
    <row r="4378" spans="7:7" x14ac:dyDescent="0.3">
      <c r="G4378"/>
    </row>
    <row r="4379" spans="7:7" x14ac:dyDescent="0.3">
      <c r="G4379"/>
    </row>
    <row r="4380" spans="7:7" x14ac:dyDescent="0.3">
      <c r="G4380"/>
    </row>
    <row r="4381" spans="7:7" x14ac:dyDescent="0.3">
      <c r="G4381"/>
    </row>
    <row r="4382" spans="7:7" x14ac:dyDescent="0.3">
      <c r="G4382"/>
    </row>
    <row r="4383" spans="7:7" x14ac:dyDescent="0.3">
      <c r="G4383"/>
    </row>
    <row r="4384" spans="7:7" x14ac:dyDescent="0.3">
      <c r="G4384"/>
    </row>
    <row r="4385" spans="7:7" x14ac:dyDescent="0.3">
      <c r="G4385"/>
    </row>
    <row r="4386" spans="7:7" x14ac:dyDescent="0.3">
      <c r="G4386"/>
    </row>
    <row r="4387" spans="7:7" x14ac:dyDescent="0.3">
      <c r="G4387"/>
    </row>
    <row r="4388" spans="7:7" x14ac:dyDescent="0.3">
      <c r="G4388"/>
    </row>
    <row r="4389" spans="7:7" x14ac:dyDescent="0.3">
      <c r="G4389"/>
    </row>
    <row r="4390" spans="7:7" x14ac:dyDescent="0.3">
      <c r="G4390"/>
    </row>
    <row r="4391" spans="7:7" x14ac:dyDescent="0.3">
      <c r="G4391"/>
    </row>
    <row r="4392" spans="7:7" x14ac:dyDescent="0.3">
      <c r="G4392"/>
    </row>
    <row r="4393" spans="7:7" x14ac:dyDescent="0.3">
      <c r="G4393"/>
    </row>
    <row r="4394" spans="7:7" x14ac:dyDescent="0.3">
      <c r="G4394"/>
    </row>
    <row r="4395" spans="7:7" x14ac:dyDescent="0.3">
      <c r="G4395"/>
    </row>
    <row r="4396" spans="7:7" x14ac:dyDescent="0.3">
      <c r="G4396"/>
    </row>
    <row r="4397" spans="7:7" x14ac:dyDescent="0.3">
      <c r="G4397"/>
    </row>
    <row r="4398" spans="7:7" x14ac:dyDescent="0.3">
      <c r="G4398"/>
    </row>
    <row r="4399" spans="7:7" x14ac:dyDescent="0.3">
      <c r="G4399"/>
    </row>
    <row r="4400" spans="7:7" x14ac:dyDescent="0.3">
      <c r="G4400"/>
    </row>
    <row r="4401" spans="7:7" x14ac:dyDescent="0.3">
      <c r="G4401"/>
    </row>
    <row r="4402" spans="7:7" x14ac:dyDescent="0.3">
      <c r="G4402"/>
    </row>
    <row r="4403" spans="7:7" x14ac:dyDescent="0.3">
      <c r="G4403"/>
    </row>
    <row r="4404" spans="7:7" x14ac:dyDescent="0.3">
      <c r="G4404"/>
    </row>
    <row r="4405" spans="7:7" x14ac:dyDescent="0.3">
      <c r="G4405"/>
    </row>
    <row r="4406" spans="7:7" x14ac:dyDescent="0.3">
      <c r="G4406"/>
    </row>
    <row r="4407" spans="7:7" x14ac:dyDescent="0.3">
      <c r="G4407"/>
    </row>
    <row r="4408" spans="7:7" x14ac:dyDescent="0.3">
      <c r="G4408"/>
    </row>
    <row r="4409" spans="7:7" x14ac:dyDescent="0.3">
      <c r="G4409"/>
    </row>
    <row r="4410" spans="7:7" x14ac:dyDescent="0.3">
      <c r="G4410"/>
    </row>
    <row r="4411" spans="7:7" x14ac:dyDescent="0.3">
      <c r="G4411"/>
    </row>
    <row r="4412" spans="7:7" x14ac:dyDescent="0.3">
      <c r="G4412"/>
    </row>
    <row r="4413" spans="7:7" x14ac:dyDescent="0.3">
      <c r="G4413"/>
    </row>
    <row r="4414" spans="7:7" x14ac:dyDescent="0.3">
      <c r="G4414"/>
    </row>
    <row r="4415" spans="7:7" x14ac:dyDescent="0.3">
      <c r="G4415"/>
    </row>
    <row r="4416" spans="7:7" x14ac:dyDescent="0.3">
      <c r="G4416"/>
    </row>
    <row r="4417" spans="7:7" x14ac:dyDescent="0.3">
      <c r="G4417"/>
    </row>
    <row r="4418" spans="7:7" x14ac:dyDescent="0.3">
      <c r="G4418"/>
    </row>
    <row r="4419" spans="7:7" x14ac:dyDescent="0.3">
      <c r="G4419"/>
    </row>
    <row r="4420" spans="7:7" x14ac:dyDescent="0.3">
      <c r="G4420"/>
    </row>
    <row r="4421" spans="7:7" x14ac:dyDescent="0.3">
      <c r="G4421"/>
    </row>
    <row r="4422" spans="7:7" x14ac:dyDescent="0.3">
      <c r="G4422"/>
    </row>
    <row r="4423" spans="7:7" x14ac:dyDescent="0.3">
      <c r="G4423"/>
    </row>
    <row r="4424" spans="7:7" x14ac:dyDescent="0.3">
      <c r="G4424"/>
    </row>
    <row r="4425" spans="7:7" x14ac:dyDescent="0.3">
      <c r="G4425"/>
    </row>
    <row r="4426" spans="7:7" x14ac:dyDescent="0.3">
      <c r="G4426"/>
    </row>
    <row r="4427" spans="7:7" x14ac:dyDescent="0.3">
      <c r="G4427"/>
    </row>
    <row r="4428" spans="7:7" x14ac:dyDescent="0.3">
      <c r="G4428"/>
    </row>
    <row r="4429" spans="7:7" x14ac:dyDescent="0.3">
      <c r="G4429"/>
    </row>
    <row r="4430" spans="7:7" x14ac:dyDescent="0.3">
      <c r="G4430"/>
    </row>
    <row r="4431" spans="7:7" x14ac:dyDescent="0.3">
      <c r="G4431"/>
    </row>
    <row r="4432" spans="7:7" x14ac:dyDescent="0.3">
      <c r="G4432"/>
    </row>
    <row r="4433" spans="7:7" x14ac:dyDescent="0.3">
      <c r="G4433"/>
    </row>
    <row r="4434" spans="7:7" x14ac:dyDescent="0.3">
      <c r="G4434"/>
    </row>
    <row r="4435" spans="7:7" x14ac:dyDescent="0.3">
      <c r="G4435"/>
    </row>
    <row r="4436" spans="7:7" x14ac:dyDescent="0.3">
      <c r="G4436"/>
    </row>
    <row r="4437" spans="7:7" x14ac:dyDescent="0.3">
      <c r="G4437"/>
    </row>
    <row r="4438" spans="7:7" x14ac:dyDescent="0.3">
      <c r="G4438"/>
    </row>
    <row r="4439" spans="7:7" x14ac:dyDescent="0.3">
      <c r="G4439"/>
    </row>
    <row r="4440" spans="7:7" x14ac:dyDescent="0.3">
      <c r="G4440"/>
    </row>
    <row r="4441" spans="7:7" x14ac:dyDescent="0.3">
      <c r="G4441"/>
    </row>
    <row r="4442" spans="7:7" x14ac:dyDescent="0.3">
      <c r="G4442"/>
    </row>
    <row r="4443" spans="7:7" x14ac:dyDescent="0.3">
      <c r="G4443"/>
    </row>
    <row r="4444" spans="7:7" x14ac:dyDescent="0.3">
      <c r="G4444"/>
    </row>
    <row r="4445" spans="7:7" x14ac:dyDescent="0.3">
      <c r="G4445"/>
    </row>
    <row r="4446" spans="7:7" x14ac:dyDescent="0.3">
      <c r="G4446"/>
    </row>
    <row r="4447" spans="7:7" x14ac:dyDescent="0.3">
      <c r="G4447"/>
    </row>
    <row r="4448" spans="7:7" x14ac:dyDescent="0.3">
      <c r="G4448"/>
    </row>
    <row r="4449" spans="7:7" x14ac:dyDescent="0.3">
      <c r="G4449"/>
    </row>
    <row r="4450" spans="7:7" x14ac:dyDescent="0.3">
      <c r="G4450"/>
    </row>
    <row r="4451" spans="7:7" x14ac:dyDescent="0.3">
      <c r="G4451"/>
    </row>
    <row r="4452" spans="7:7" x14ac:dyDescent="0.3">
      <c r="G4452"/>
    </row>
    <row r="4453" spans="7:7" x14ac:dyDescent="0.3">
      <c r="G4453"/>
    </row>
    <row r="4454" spans="7:7" x14ac:dyDescent="0.3">
      <c r="G4454"/>
    </row>
    <row r="4455" spans="7:7" x14ac:dyDescent="0.3">
      <c r="G4455"/>
    </row>
    <row r="4456" spans="7:7" x14ac:dyDescent="0.3">
      <c r="G4456"/>
    </row>
    <row r="4457" spans="7:7" x14ac:dyDescent="0.3">
      <c r="G4457"/>
    </row>
    <row r="4458" spans="7:7" x14ac:dyDescent="0.3">
      <c r="G4458"/>
    </row>
    <row r="4459" spans="7:7" x14ac:dyDescent="0.3">
      <c r="G4459"/>
    </row>
    <row r="4460" spans="7:7" x14ac:dyDescent="0.3">
      <c r="G4460"/>
    </row>
    <row r="4461" spans="7:7" x14ac:dyDescent="0.3">
      <c r="G4461"/>
    </row>
    <row r="4462" spans="7:7" x14ac:dyDescent="0.3">
      <c r="G4462"/>
    </row>
    <row r="4463" spans="7:7" x14ac:dyDescent="0.3">
      <c r="G4463"/>
    </row>
    <row r="4464" spans="7:7" x14ac:dyDescent="0.3">
      <c r="G4464"/>
    </row>
    <row r="4465" spans="7:7" x14ac:dyDescent="0.3">
      <c r="G4465"/>
    </row>
    <row r="4466" spans="7:7" x14ac:dyDescent="0.3">
      <c r="G4466"/>
    </row>
    <row r="4467" spans="7:7" x14ac:dyDescent="0.3">
      <c r="G4467"/>
    </row>
    <row r="4468" spans="7:7" x14ac:dyDescent="0.3">
      <c r="G4468"/>
    </row>
    <row r="4469" spans="7:7" x14ac:dyDescent="0.3">
      <c r="G4469"/>
    </row>
    <row r="4470" spans="7:7" x14ac:dyDescent="0.3">
      <c r="G4470"/>
    </row>
    <row r="4471" spans="7:7" x14ac:dyDescent="0.3">
      <c r="G4471"/>
    </row>
    <row r="4472" spans="7:7" x14ac:dyDescent="0.3">
      <c r="G4472"/>
    </row>
    <row r="4473" spans="7:7" x14ac:dyDescent="0.3">
      <c r="G4473"/>
    </row>
    <row r="4474" spans="7:7" x14ac:dyDescent="0.3">
      <c r="G4474"/>
    </row>
    <row r="4475" spans="7:7" x14ac:dyDescent="0.3">
      <c r="G4475"/>
    </row>
    <row r="4476" spans="7:7" x14ac:dyDescent="0.3">
      <c r="G4476"/>
    </row>
    <row r="4477" spans="7:7" x14ac:dyDescent="0.3">
      <c r="G4477"/>
    </row>
    <row r="4478" spans="7:7" x14ac:dyDescent="0.3">
      <c r="G4478"/>
    </row>
    <row r="4479" spans="7:7" x14ac:dyDescent="0.3">
      <c r="G4479"/>
    </row>
    <row r="4480" spans="7:7" x14ac:dyDescent="0.3">
      <c r="G4480"/>
    </row>
    <row r="4481" spans="7:7" x14ac:dyDescent="0.3">
      <c r="G4481"/>
    </row>
    <row r="4482" spans="7:7" x14ac:dyDescent="0.3">
      <c r="G4482"/>
    </row>
    <row r="4483" spans="7:7" x14ac:dyDescent="0.3">
      <c r="G4483"/>
    </row>
    <row r="4484" spans="7:7" x14ac:dyDescent="0.3">
      <c r="G4484"/>
    </row>
    <row r="4485" spans="7:7" x14ac:dyDescent="0.3">
      <c r="G4485"/>
    </row>
    <row r="4486" spans="7:7" x14ac:dyDescent="0.3">
      <c r="G4486"/>
    </row>
    <row r="4487" spans="7:7" x14ac:dyDescent="0.3">
      <c r="G4487"/>
    </row>
    <row r="4488" spans="7:7" x14ac:dyDescent="0.3">
      <c r="G4488"/>
    </row>
    <row r="4489" spans="7:7" x14ac:dyDescent="0.3">
      <c r="G4489"/>
    </row>
    <row r="4490" spans="7:7" x14ac:dyDescent="0.3">
      <c r="G4490"/>
    </row>
    <row r="4491" spans="7:7" x14ac:dyDescent="0.3">
      <c r="G4491"/>
    </row>
    <row r="4492" spans="7:7" x14ac:dyDescent="0.3">
      <c r="G4492"/>
    </row>
    <row r="4493" spans="7:7" x14ac:dyDescent="0.3">
      <c r="G4493"/>
    </row>
    <row r="4494" spans="7:7" x14ac:dyDescent="0.3">
      <c r="G4494"/>
    </row>
    <row r="4495" spans="7:7" x14ac:dyDescent="0.3">
      <c r="G4495"/>
    </row>
    <row r="4496" spans="7:7" x14ac:dyDescent="0.3">
      <c r="G4496"/>
    </row>
    <row r="4497" spans="7:7" x14ac:dyDescent="0.3">
      <c r="G4497"/>
    </row>
    <row r="4498" spans="7:7" x14ac:dyDescent="0.3">
      <c r="G4498"/>
    </row>
    <row r="4499" spans="7:7" x14ac:dyDescent="0.3">
      <c r="G4499"/>
    </row>
    <row r="4500" spans="7:7" x14ac:dyDescent="0.3">
      <c r="G4500"/>
    </row>
    <row r="4501" spans="7:7" x14ac:dyDescent="0.3">
      <c r="G4501"/>
    </row>
    <row r="4502" spans="7:7" x14ac:dyDescent="0.3">
      <c r="G4502"/>
    </row>
    <row r="4503" spans="7:7" x14ac:dyDescent="0.3">
      <c r="G4503"/>
    </row>
    <row r="4504" spans="7:7" x14ac:dyDescent="0.3">
      <c r="G4504"/>
    </row>
    <row r="4505" spans="7:7" x14ac:dyDescent="0.3">
      <c r="G4505"/>
    </row>
    <row r="4506" spans="7:7" x14ac:dyDescent="0.3">
      <c r="G4506"/>
    </row>
    <row r="4507" spans="7:7" x14ac:dyDescent="0.3">
      <c r="G4507"/>
    </row>
    <row r="4508" spans="7:7" x14ac:dyDescent="0.3">
      <c r="G4508"/>
    </row>
    <row r="4509" spans="7:7" x14ac:dyDescent="0.3">
      <c r="G4509"/>
    </row>
    <row r="4510" spans="7:7" x14ac:dyDescent="0.3">
      <c r="G4510"/>
    </row>
    <row r="4511" spans="7:7" x14ac:dyDescent="0.3">
      <c r="G4511"/>
    </row>
    <row r="4512" spans="7:7" x14ac:dyDescent="0.3">
      <c r="G4512"/>
    </row>
    <row r="4513" spans="7:7" x14ac:dyDescent="0.3">
      <c r="G4513"/>
    </row>
    <row r="4514" spans="7:7" x14ac:dyDescent="0.3">
      <c r="G4514"/>
    </row>
    <row r="4515" spans="7:7" x14ac:dyDescent="0.3">
      <c r="G4515"/>
    </row>
    <row r="4516" spans="7:7" x14ac:dyDescent="0.3">
      <c r="G4516"/>
    </row>
    <row r="4517" spans="7:7" x14ac:dyDescent="0.3">
      <c r="G4517"/>
    </row>
    <row r="4518" spans="7:7" x14ac:dyDescent="0.3">
      <c r="G4518"/>
    </row>
    <row r="4519" spans="7:7" x14ac:dyDescent="0.3">
      <c r="G4519"/>
    </row>
    <row r="4520" spans="7:7" x14ac:dyDescent="0.3">
      <c r="G4520"/>
    </row>
    <row r="4521" spans="7:7" x14ac:dyDescent="0.3">
      <c r="G4521"/>
    </row>
    <row r="4522" spans="7:7" x14ac:dyDescent="0.3">
      <c r="G4522"/>
    </row>
    <row r="4523" spans="7:7" x14ac:dyDescent="0.3">
      <c r="G4523"/>
    </row>
    <row r="4524" spans="7:7" x14ac:dyDescent="0.3">
      <c r="G4524"/>
    </row>
    <row r="4525" spans="7:7" x14ac:dyDescent="0.3">
      <c r="G4525"/>
    </row>
    <row r="4526" spans="7:7" x14ac:dyDescent="0.3">
      <c r="G4526"/>
    </row>
    <row r="4527" spans="7:7" x14ac:dyDescent="0.3">
      <c r="G4527"/>
    </row>
    <row r="4528" spans="7:7" x14ac:dyDescent="0.3">
      <c r="G4528"/>
    </row>
    <row r="4529" spans="7:7" x14ac:dyDescent="0.3">
      <c r="G4529"/>
    </row>
    <row r="4530" spans="7:7" x14ac:dyDescent="0.3">
      <c r="G4530"/>
    </row>
    <row r="4531" spans="7:7" x14ac:dyDescent="0.3">
      <c r="G4531"/>
    </row>
    <row r="4532" spans="7:7" x14ac:dyDescent="0.3">
      <c r="G4532"/>
    </row>
    <row r="4533" spans="7:7" x14ac:dyDescent="0.3">
      <c r="G4533"/>
    </row>
    <row r="4534" spans="7:7" x14ac:dyDescent="0.3">
      <c r="G4534"/>
    </row>
    <row r="4535" spans="7:7" x14ac:dyDescent="0.3">
      <c r="G4535"/>
    </row>
    <row r="4536" spans="7:7" x14ac:dyDescent="0.3">
      <c r="G4536"/>
    </row>
    <row r="4537" spans="7:7" x14ac:dyDescent="0.3">
      <c r="G4537"/>
    </row>
    <row r="4538" spans="7:7" x14ac:dyDescent="0.3">
      <c r="G4538"/>
    </row>
    <row r="4539" spans="7:7" x14ac:dyDescent="0.3">
      <c r="G4539"/>
    </row>
    <row r="4540" spans="7:7" x14ac:dyDescent="0.3">
      <c r="G4540"/>
    </row>
    <row r="4541" spans="7:7" x14ac:dyDescent="0.3">
      <c r="G4541"/>
    </row>
    <row r="4542" spans="7:7" x14ac:dyDescent="0.3">
      <c r="G4542"/>
    </row>
    <row r="4543" spans="7:7" x14ac:dyDescent="0.3">
      <c r="G4543"/>
    </row>
    <row r="4544" spans="7:7" x14ac:dyDescent="0.3">
      <c r="G4544"/>
    </row>
    <row r="4545" spans="7:7" x14ac:dyDescent="0.3">
      <c r="G4545"/>
    </row>
    <row r="4546" spans="7:7" x14ac:dyDescent="0.3">
      <c r="G4546"/>
    </row>
    <row r="4547" spans="7:7" x14ac:dyDescent="0.3">
      <c r="G4547"/>
    </row>
    <row r="4548" spans="7:7" x14ac:dyDescent="0.3">
      <c r="G4548"/>
    </row>
    <row r="4549" spans="7:7" x14ac:dyDescent="0.3">
      <c r="G4549"/>
    </row>
    <row r="4550" spans="7:7" x14ac:dyDescent="0.3">
      <c r="G4550"/>
    </row>
    <row r="4551" spans="7:7" x14ac:dyDescent="0.3">
      <c r="G4551"/>
    </row>
    <row r="4552" spans="7:7" x14ac:dyDescent="0.3">
      <c r="G4552"/>
    </row>
    <row r="4553" spans="7:7" x14ac:dyDescent="0.3">
      <c r="G4553"/>
    </row>
    <row r="4554" spans="7:7" x14ac:dyDescent="0.3">
      <c r="G4554"/>
    </row>
    <row r="4555" spans="7:7" x14ac:dyDescent="0.3">
      <c r="G4555"/>
    </row>
    <row r="4556" spans="7:7" x14ac:dyDescent="0.3">
      <c r="G4556"/>
    </row>
    <row r="4557" spans="7:7" x14ac:dyDescent="0.3">
      <c r="G4557"/>
    </row>
    <row r="4558" spans="7:7" x14ac:dyDescent="0.3">
      <c r="G4558"/>
    </row>
    <row r="4559" spans="7:7" x14ac:dyDescent="0.3">
      <c r="G4559"/>
    </row>
    <row r="4560" spans="7:7" x14ac:dyDescent="0.3">
      <c r="G4560"/>
    </row>
    <row r="4561" spans="7:7" x14ac:dyDescent="0.3">
      <c r="G4561"/>
    </row>
    <row r="4562" spans="7:7" x14ac:dyDescent="0.3">
      <c r="G4562"/>
    </row>
    <row r="4563" spans="7:7" x14ac:dyDescent="0.3">
      <c r="G4563"/>
    </row>
    <row r="4564" spans="7:7" x14ac:dyDescent="0.3">
      <c r="G4564"/>
    </row>
    <row r="4565" spans="7:7" x14ac:dyDescent="0.3">
      <c r="G4565"/>
    </row>
    <row r="4566" spans="7:7" x14ac:dyDescent="0.3">
      <c r="G4566"/>
    </row>
    <row r="4567" spans="7:7" x14ac:dyDescent="0.3">
      <c r="G4567"/>
    </row>
    <row r="4568" spans="7:7" x14ac:dyDescent="0.3">
      <c r="G4568"/>
    </row>
    <row r="4569" spans="7:7" x14ac:dyDescent="0.3">
      <c r="G4569"/>
    </row>
    <row r="4570" spans="7:7" x14ac:dyDescent="0.3">
      <c r="G4570"/>
    </row>
    <row r="4571" spans="7:7" x14ac:dyDescent="0.3">
      <c r="G4571"/>
    </row>
    <row r="4572" spans="7:7" x14ac:dyDescent="0.3">
      <c r="G4572"/>
    </row>
    <row r="4573" spans="7:7" x14ac:dyDescent="0.3">
      <c r="G4573"/>
    </row>
    <row r="4574" spans="7:7" x14ac:dyDescent="0.3">
      <c r="G4574"/>
    </row>
    <row r="4575" spans="7:7" x14ac:dyDescent="0.3">
      <c r="G4575"/>
    </row>
    <row r="4576" spans="7:7" x14ac:dyDescent="0.3">
      <c r="G4576"/>
    </row>
    <row r="4577" spans="7:7" x14ac:dyDescent="0.3">
      <c r="G4577"/>
    </row>
    <row r="4578" spans="7:7" x14ac:dyDescent="0.3">
      <c r="G4578"/>
    </row>
    <row r="4579" spans="7:7" x14ac:dyDescent="0.3">
      <c r="G4579"/>
    </row>
    <row r="4580" spans="7:7" x14ac:dyDescent="0.3">
      <c r="G4580"/>
    </row>
    <row r="4581" spans="7:7" x14ac:dyDescent="0.3">
      <c r="G4581"/>
    </row>
    <row r="4582" spans="7:7" x14ac:dyDescent="0.3">
      <c r="G4582"/>
    </row>
    <row r="4583" spans="7:7" x14ac:dyDescent="0.3">
      <c r="G4583"/>
    </row>
    <row r="4584" spans="7:7" x14ac:dyDescent="0.3">
      <c r="G4584"/>
    </row>
    <row r="4585" spans="7:7" x14ac:dyDescent="0.3">
      <c r="G4585"/>
    </row>
    <row r="4586" spans="7:7" x14ac:dyDescent="0.3">
      <c r="G4586"/>
    </row>
    <row r="4587" spans="7:7" x14ac:dyDescent="0.3">
      <c r="G4587"/>
    </row>
    <row r="4588" spans="7:7" x14ac:dyDescent="0.3">
      <c r="G4588"/>
    </row>
    <row r="4589" spans="7:7" x14ac:dyDescent="0.3">
      <c r="G4589"/>
    </row>
    <row r="4590" spans="7:7" x14ac:dyDescent="0.3">
      <c r="G4590"/>
    </row>
    <row r="4591" spans="7:7" x14ac:dyDescent="0.3">
      <c r="G4591"/>
    </row>
    <row r="4592" spans="7:7" x14ac:dyDescent="0.3">
      <c r="G4592"/>
    </row>
    <row r="4593" spans="7:7" x14ac:dyDescent="0.3">
      <c r="G4593"/>
    </row>
    <row r="4594" spans="7:7" x14ac:dyDescent="0.3">
      <c r="G4594"/>
    </row>
    <row r="4595" spans="7:7" x14ac:dyDescent="0.3">
      <c r="G4595"/>
    </row>
    <row r="4596" spans="7:7" x14ac:dyDescent="0.3">
      <c r="G4596"/>
    </row>
    <row r="4597" spans="7:7" x14ac:dyDescent="0.3">
      <c r="G4597"/>
    </row>
    <row r="4598" spans="7:7" x14ac:dyDescent="0.3">
      <c r="G4598"/>
    </row>
    <row r="4599" spans="7:7" x14ac:dyDescent="0.3">
      <c r="G4599"/>
    </row>
    <row r="4600" spans="7:7" x14ac:dyDescent="0.3">
      <c r="G4600"/>
    </row>
    <row r="4601" spans="7:7" x14ac:dyDescent="0.3">
      <c r="G4601"/>
    </row>
    <row r="4602" spans="7:7" x14ac:dyDescent="0.3">
      <c r="G4602"/>
    </row>
    <row r="4603" spans="7:7" x14ac:dyDescent="0.3">
      <c r="G4603"/>
    </row>
    <row r="4604" spans="7:7" x14ac:dyDescent="0.3">
      <c r="G4604"/>
    </row>
    <row r="4605" spans="7:7" x14ac:dyDescent="0.3">
      <c r="G4605"/>
    </row>
    <row r="4606" spans="7:7" x14ac:dyDescent="0.3">
      <c r="G4606"/>
    </row>
    <row r="4607" spans="7:7" x14ac:dyDescent="0.3">
      <c r="G4607"/>
    </row>
    <row r="4608" spans="7:7" x14ac:dyDescent="0.3">
      <c r="G4608"/>
    </row>
    <row r="4609" spans="7:7" x14ac:dyDescent="0.3">
      <c r="G4609"/>
    </row>
    <row r="4610" spans="7:7" x14ac:dyDescent="0.3">
      <c r="G4610"/>
    </row>
    <row r="4611" spans="7:7" x14ac:dyDescent="0.3">
      <c r="G4611"/>
    </row>
    <row r="4612" spans="7:7" x14ac:dyDescent="0.3">
      <c r="G4612"/>
    </row>
    <row r="4613" spans="7:7" x14ac:dyDescent="0.3">
      <c r="G4613"/>
    </row>
    <row r="4614" spans="7:7" x14ac:dyDescent="0.3">
      <c r="G4614"/>
    </row>
    <row r="4615" spans="7:7" x14ac:dyDescent="0.3">
      <c r="G4615"/>
    </row>
    <row r="4616" spans="7:7" x14ac:dyDescent="0.3">
      <c r="G4616"/>
    </row>
    <row r="4617" spans="7:7" x14ac:dyDescent="0.3">
      <c r="G4617"/>
    </row>
    <row r="4618" spans="7:7" x14ac:dyDescent="0.3">
      <c r="G4618"/>
    </row>
    <row r="4619" spans="7:7" x14ac:dyDescent="0.3">
      <c r="G4619"/>
    </row>
    <row r="4620" spans="7:7" x14ac:dyDescent="0.3">
      <c r="G4620"/>
    </row>
    <row r="4621" spans="7:7" x14ac:dyDescent="0.3">
      <c r="G4621"/>
    </row>
    <row r="4622" spans="7:7" x14ac:dyDescent="0.3">
      <c r="G4622"/>
    </row>
    <row r="4623" spans="7:7" x14ac:dyDescent="0.3">
      <c r="G4623"/>
    </row>
    <row r="4624" spans="7:7" x14ac:dyDescent="0.3">
      <c r="G4624"/>
    </row>
    <row r="4625" spans="7:7" x14ac:dyDescent="0.3">
      <c r="G4625"/>
    </row>
    <row r="4626" spans="7:7" x14ac:dyDescent="0.3">
      <c r="G4626"/>
    </row>
    <row r="4627" spans="7:7" x14ac:dyDescent="0.3">
      <c r="G4627"/>
    </row>
    <row r="4628" spans="7:7" x14ac:dyDescent="0.3">
      <c r="G4628"/>
    </row>
    <row r="4629" spans="7:7" x14ac:dyDescent="0.3">
      <c r="G4629"/>
    </row>
    <row r="4630" spans="7:7" x14ac:dyDescent="0.3">
      <c r="G4630"/>
    </row>
    <row r="4631" spans="7:7" x14ac:dyDescent="0.3">
      <c r="G4631"/>
    </row>
    <row r="4632" spans="7:7" x14ac:dyDescent="0.3">
      <c r="G4632"/>
    </row>
    <row r="4633" spans="7:7" x14ac:dyDescent="0.3">
      <c r="G4633"/>
    </row>
    <row r="4634" spans="7:7" x14ac:dyDescent="0.3">
      <c r="G4634"/>
    </row>
    <row r="4635" spans="7:7" x14ac:dyDescent="0.3">
      <c r="G4635"/>
    </row>
    <row r="4636" spans="7:7" x14ac:dyDescent="0.3">
      <c r="G4636"/>
    </row>
    <row r="4637" spans="7:7" x14ac:dyDescent="0.3">
      <c r="G4637"/>
    </row>
    <row r="4638" spans="7:7" x14ac:dyDescent="0.3">
      <c r="G4638"/>
    </row>
    <row r="4639" spans="7:7" x14ac:dyDescent="0.3">
      <c r="G4639"/>
    </row>
    <row r="4640" spans="7:7" x14ac:dyDescent="0.3">
      <c r="G4640"/>
    </row>
    <row r="4641" spans="7:7" x14ac:dyDescent="0.3">
      <c r="G4641"/>
    </row>
    <row r="4642" spans="7:7" x14ac:dyDescent="0.3">
      <c r="G4642"/>
    </row>
    <row r="4643" spans="7:7" x14ac:dyDescent="0.3">
      <c r="G4643"/>
    </row>
    <row r="4644" spans="7:7" x14ac:dyDescent="0.3">
      <c r="G4644"/>
    </row>
    <row r="4645" spans="7:7" x14ac:dyDescent="0.3">
      <c r="G4645"/>
    </row>
    <row r="4646" spans="7:7" x14ac:dyDescent="0.3">
      <c r="G4646"/>
    </row>
    <row r="4647" spans="7:7" x14ac:dyDescent="0.3">
      <c r="G4647"/>
    </row>
    <row r="4648" spans="7:7" x14ac:dyDescent="0.3">
      <c r="G4648"/>
    </row>
    <row r="4649" spans="7:7" x14ac:dyDescent="0.3">
      <c r="G4649"/>
    </row>
    <row r="4650" spans="7:7" x14ac:dyDescent="0.3">
      <c r="G4650"/>
    </row>
    <row r="4651" spans="7:7" x14ac:dyDescent="0.3">
      <c r="G4651"/>
    </row>
    <row r="4652" spans="7:7" x14ac:dyDescent="0.3">
      <c r="G4652"/>
    </row>
    <row r="4653" spans="7:7" x14ac:dyDescent="0.3">
      <c r="G4653"/>
    </row>
    <row r="4654" spans="7:7" x14ac:dyDescent="0.3">
      <c r="G4654"/>
    </row>
    <row r="4655" spans="7:7" x14ac:dyDescent="0.3">
      <c r="G4655"/>
    </row>
    <row r="4656" spans="7:7" x14ac:dyDescent="0.3">
      <c r="G4656"/>
    </row>
    <row r="4657" spans="7:7" x14ac:dyDescent="0.3">
      <c r="G4657"/>
    </row>
    <row r="4658" spans="7:7" x14ac:dyDescent="0.3">
      <c r="G4658"/>
    </row>
    <row r="4659" spans="7:7" x14ac:dyDescent="0.3">
      <c r="G4659"/>
    </row>
    <row r="4660" spans="7:7" x14ac:dyDescent="0.3">
      <c r="G4660"/>
    </row>
    <row r="4661" spans="7:7" x14ac:dyDescent="0.3">
      <c r="G4661"/>
    </row>
    <row r="4662" spans="7:7" x14ac:dyDescent="0.3">
      <c r="G4662"/>
    </row>
    <row r="4663" spans="7:7" x14ac:dyDescent="0.3">
      <c r="G4663"/>
    </row>
    <row r="4664" spans="7:7" x14ac:dyDescent="0.3">
      <c r="G4664"/>
    </row>
    <row r="4665" spans="7:7" x14ac:dyDescent="0.3">
      <c r="G4665"/>
    </row>
    <row r="4666" spans="7:7" x14ac:dyDescent="0.3">
      <c r="G4666"/>
    </row>
    <row r="4667" spans="7:7" x14ac:dyDescent="0.3">
      <c r="G4667"/>
    </row>
    <row r="4668" spans="7:7" x14ac:dyDescent="0.3">
      <c r="G4668"/>
    </row>
    <row r="4669" spans="7:7" x14ac:dyDescent="0.3">
      <c r="G4669"/>
    </row>
    <row r="4670" spans="7:7" x14ac:dyDescent="0.3">
      <c r="G4670"/>
    </row>
    <row r="4671" spans="7:7" x14ac:dyDescent="0.3">
      <c r="G4671"/>
    </row>
    <row r="4672" spans="7:7" x14ac:dyDescent="0.3">
      <c r="G4672"/>
    </row>
    <row r="4673" spans="7:7" x14ac:dyDescent="0.3">
      <c r="G4673"/>
    </row>
    <row r="4674" spans="7:7" x14ac:dyDescent="0.3">
      <c r="G4674"/>
    </row>
    <row r="4675" spans="7:7" x14ac:dyDescent="0.3">
      <c r="G4675"/>
    </row>
    <row r="4676" spans="7:7" x14ac:dyDescent="0.3">
      <c r="G4676"/>
    </row>
    <row r="4677" spans="7:7" x14ac:dyDescent="0.3">
      <c r="G4677"/>
    </row>
    <row r="4678" spans="7:7" x14ac:dyDescent="0.3">
      <c r="G4678"/>
    </row>
    <row r="4679" spans="7:7" x14ac:dyDescent="0.3">
      <c r="G4679"/>
    </row>
    <row r="4680" spans="7:7" x14ac:dyDescent="0.3">
      <c r="G4680"/>
    </row>
    <row r="4681" spans="7:7" x14ac:dyDescent="0.3">
      <c r="G4681"/>
    </row>
    <row r="4682" spans="7:7" x14ac:dyDescent="0.3">
      <c r="G4682"/>
    </row>
    <row r="4683" spans="7:7" x14ac:dyDescent="0.3">
      <c r="G4683"/>
    </row>
    <row r="4684" spans="7:7" x14ac:dyDescent="0.3">
      <c r="G4684"/>
    </row>
    <row r="4685" spans="7:7" x14ac:dyDescent="0.3">
      <c r="G4685"/>
    </row>
    <row r="4686" spans="7:7" x14ac:dyDescent="0.3">
      <c r="G4686"/>
    </row>
    <row r="4687" spans="7:7" x14ac:dyDescent="0.3">
      <c r="G4687"/>
    </row>
    <row r="4688" spans="7:7" x14ac:dyDescent="0.3">
      <c r="G4688"/>
    </row>
    <row r="4689" spans="7:7" x14ac:dyDescent="0.3">
      <c r="G4689"/>
    </row>
    <row r="4690" spans="7:7" x14ac:dyDescent="0.3">
      <c r="G4690"/>
    </row>
    <row r="4691" spans="7:7" x14ac:dyDescent="0.3">
      <c r="G4691"/>
    </row>
    <row r="4692" spans="7:7" x14ac:dyDescent="0.3">
      <c r="G4692"/>
    </row>
    <row r="4693" spans="7:7" x14ac:dyDescent="0.3">
      <c r="G4693"/>
    </row>
    <row r="4694" spans="7:7" x14ac:dyDescent="0.3">
      <c r="G4694"/>
    </row>
    <row r="4695" spans="7:7" x14ac:dyDescent="0.3">
      <c r="G4695"/>
    </row>
    <row r="4696" spans="7:7" x14ac:dyDescent="0.3">
      <c r="G4696"/>
    </row>
    <row r="4697" spans="7:7" x14ac:dyDescent="0.3">
      <c r="G4697"/>
    </row>
    <row r="4698" spans="7:7" x14ac:dyDescent="0.3">
      <c r="G4698"/>
    </row>
    <row r="4699" spans="7:7" x14ac:dyDescent="0.3">
      <c r="G4699"/>
    </row>
    <row r="4700" spans="7:7" x14ac:dyDescent="0.3">
      <c r="G4700"/>
    </row>
    <row r="4701" spans="7:7" x14ac:dyDescent="0.3">
      <c r="G4701"/>
    </row>
    <row r="4702" spans="7:7" x14ac:dyDescent="0.3">
      <c r="G4702"/>
    </row>
    <row r="4703" spans="7:7" x14ac:dyDescent="0.3">
      <c r="G4703"/>
    </row>
    <row r="4704" spans="7:7" x14ac:dyDescent="0.3">
      <c r="G4704"/>
    </row>
    <row r="4705" spans="7:7" x14ac:dyDescent="0.3">
      <c r="G4705"/>
    </row>
    <row r="4706" spans="7:7" x14ac:dyDescent="0.3">
      <c r="G4706"/>
    </row>
    <row r="4707" spans="7:7" x14ac:dyDescent="0.3">
      <c r="G4707"/>
    </row>
    <row r="4708" spans="7:7" x14ac:dyDescent="0.3">
      <c r="G4708"/>
    </row>
    <row r="4709" spans="7:7" x14ac:dyDescent="0.3">
      <c r="G4709"/>
    </row>
    <row r="4710" spans="7:7" x14ac:dyDescent="0.3">
      <c r="G4710"/>
    </row>
    <row r="4711" spans="7:7" x14ac:dyDescent="0.3">
      <c r="G4711"/>
    </row>
    <row r="4712" spans="7:7" x14ac:dyDescent="0.3">
      <c r="G4712"/>
    </row>
    <row r="4713" spans="7:7" x14ac:dyDescent="0.3">
      <c r="G4713"/>
    </row>
    <row r="4714" spans="7:7" x14ac:dyDescent="0.3">
      <c r="G4714"/>
    </row>
    <row r="4715" spans="7:7" x14ac:dyDescent="0.3">
      <c r="G4715"/>
    </row>
    <row r="4716" spans="7:7" x14ac:dyDescent="0.3">
      <c r="G4716"/>
    </row>
    <row r="4717" spans="7:7" x14ac:dyDescent="0.3">
      <c r="G4717"/>
    </row>
    <row r="4718" spans="7:7" x14ac:dyDescent="0.3">
      <c r="G4718"/>
    </row>
    <row r="4719" spans="7:7" x14ac:dyDescent="0.3">
      <c r="G4719"/>
    </row>
    <row r="4720" spans="7:7" x14ac:dyDescent="0.3">
      <c r="G4720"/>
    </row>
    <row r="4721" spans="7:7" x14ac:dyDescent="0.3">
      <c r="G4721"/>
    </row>
    <row r="4722" spans="7:7" x14ac:dyDescent="0.3">
      <c r="G4722"/>
    </row>
    <row r="4723" spans="7:7" x14ac:dyDescent="0.3">
      <c r="G4723"/>
    </row>
    <row r="4724" spans="7:7" x14ac:dyDescent="0.3">
      <c r="G4724"/>
    </row>
    <row r="4725" spans="7:7" x14ac:dyDescent="0.3">
      <c r="G4725"/>
    </row>
    <row r="4726" spans="7:7" x14ac:dyDescent="0.3">
      <c r="G4726"/>
    </row>
    <row r="4727" spans="7:7" x14ac:dyDescent="0.3">
      <c r="G4727"/>
    </row>
    <row r="4728" spans="7:7" x14ac:dyDescent="0.3">
      <c r="G4728"/>
    </row>
    <row r="4729" spans="7:7" x14ac:dyDescent="0.3">
      <c r="G4729"/>
    </row>
    <row r="4730" spans="7:7" x14ac:dyDescent="0.3">
      <c r="G4730"/>
    </row>
    <row r="4731" spans="7:7" x14ac:dyDescent="0.3">
      <c r="G4731"/>
    </row>
    <row r="4732" spans="7:7" x14ac:dyDescent="0.3">
      <c r="G4732"/>
    </row>
    <row r="4733" spans="7:7" x14ac:dyDescent="0.3">
      <c r="G4733"/>
    </row>
    <row r="4734" spans="7:7" x14ac:dyDescent="0.3">
      <c r="G4734"/>
    </row>
    <row r="4735" spans="7:7" x14ac:dyDescent="0.3">
      <c r="G4735"/>
    </row>
    <row r="4736" spans="7:7" x14ac:dyDescent="0.3">
      <c r="G4736"/>
    </row>
    <row r="4737" spans="7:7" x14ac:dyDescent="0.3">
      <c r="G4737"/>
    </row>
    <row r="4738" spans="7:7" x14ac:dyDescent="0.3">
      <c r="G4738"/>
    </row>
    <row r="4739" spans="7:7" x14ac:dyDescent="0.3">
      <c r="G4739"/>
    </row>
    <row r="4740" spans="7:7" x14ac:dyDescent="0.3">
      <c r="G4740"/>
    </row>
    <row r="4741" spans="7:7" x14ac:dyDescent="0.3">
      <c r="G4741"/>
    </row>
    <row r="4742" spans="7:7" x14ac:dyDescent="0.3">
      <c r="G4742"/>
    </row>
    <row r="4743" spans="7:7" x14ac:dyDescent="0.3">
      <c r="G4743"/>
    </row>
    <row r="4744" spans="7:7" x14ac:dyDescent="0.3">
      <c r="G4744"/>
    </row>
    <row r="4745" spans="7:7" x14ac:dyDescent="0.3">
      <c r="G4745"/>
    </row>
    <row r="4746" spans="7:7" x14ac:dyDescent="0.3">
      <c r="G4746"/>
    </row>
    <row r="4747" spans="7:7" x14ac:dyDescent="0.3">
      <c r="G4747"/>
    </row>
    <row r="4748" spans="7:7" x14ac:dyDescent="0.3">
      <c r="G4748"/>
    </row>
    <row r="4749" spans="7:7" x14ac:dyDescent="0.3">
      <c r="G4749"/>
    </row>
    <row r="4750" spans="7:7" x14ac:dyDescent="0.3">
      <c r="G4750"/>
    </row>
    <row r="4751" spans="7:7" x14ac:dyDescent="0.3">
      <c r="G4751"/>
    </row>
    <row r="4752" spans="7:7" x14ac:dyDescent="0.3">
      <c r="G4752"/>
    </row>
    <row r="4753" spans="7:7" x14ac:dyDescent="0.3">
      <c r="G4753"/>
    </row>
    <row r="4754" spans="7:7" x14ac:dyDescent="0.3">
      <c r="G4754"/>
    </row>
    <row r="4755" spans="7:7" x14ac:dyDescent="0.3">
      <c r="G4755"/>
    </row>
    <row r="4756" spans="7:7" x14ac:dyDescent="0.3">
      <c r="G4756"/>
    </row>
    <row r="4757" spans="7:7" x14ac:dyDescent="0.3">
      <c r="G4757"/>
    </row>
    <row r="4758" spans="7:7" x14ac:dyDescent="0.3">
      <c r="G4758"/>
    </row>
    <row r="4759" spans="7:7" x14ac:dyDescent="0.3">
      <c r="G4759"/>
    </row>
    <row r="4760" spans="7:7" x14ac:dyDescent="0.3">
      <c r="G4760"/>
    </row>
    <row r="4761" spans="7:7" x14ac:dyDescent="0.3">
      <c r="G4761"/>
    </row>
    <row r="4762" spans="7:7" x14ac:dyDescent="0.3">
      <c r="G4762"/>
    </row>
    <row r="4763" spans="7:7" x14ac:dyDescent="0.3">
      <c r="G4763"/>
    </row>
    <row r="4764" spans="7:7" x14ac:dyDescent="0.3">
      <c r="G4764"/>
    </row>
    <row r="4765" spans="7:7" x14ac:dyDescent="0.3">
      <c r="G4765"/>
    </row>
    <row r="4766" spans="7:7" x14ac:dyDescent="0.3">
      <c r="G4766"/>
    </row>
    <row r="4767" spans="7:7" x14ac:dyDescent="0.3">
      <c r="G4767"/>
    </row>
    <row r="4768" spans="7:7" x14ac:dyDescent="0.3">
      <c r="G4768"/>
    </row>
    <row r="4769" spans="7:7" x14ac:dyDescent="0.3">
      <c r="G4769"/>
    </row>
    <row r="4770" spans="7:7" x14ac:dyDescent="0.3">
      <c r="G4770"/>
    </row>
    <row r="4771" spans="7:7" x14ac:dyDescent="0.3">
      <c r="G4771"/>
    </row>
    <row r="4772" spans="7:7" x14ac:dyDescent="0.3">
      <c r="G4772"/>
    </row>
    <row r="4773" spans="7:7" x14ac:dyDescent="0.3">
      <c r="G4773"/>
    </row>
    <row r="4774" spans="7:7" x14ac:dyDescent="0.3">
      <c r="G4774"/>
    </row>
    <row r="4775" spans="7:7" x14ac:dyDescent="0.3">
      <c r="G4775"/>
    </row>
    <row r="4776" spans="7:7" x14ac:dyDescent="0.3">
      <c r="G4776"/>
    </row>
    <row r="4777" spans="7:7" x14ac:dyDescent="0.3">
      <c r="G4777"/>
    </row>
    <row r="4778" spans="7:7" x14ac:dyDescent="0.3">
      <c r="G4778"/>
    </row>
    <row r="4779" spans="7:7" x14ac:dyDescent="0.3">
      <c r="G4779"/>
    </row>
    <row r="4780" spans="7:7" x14ac:dyDescent="0.3">
      <c r="G4780"/>
    </row>
    <row r="4781" spans="7:7" x14ac:dyDescent="0.3">
      <c r="G4781"/>
    </row>
    <row r="4782" spans="7:7" x14ac:dyDescent="0.3">
      <c r="G4782"/>
    </row>
    <row r="4783" spans="7:7" x14ac:dyDescent="0.3">
      <c r="G4783"/>
    </row>
    <row r="4784" spans="7:7" x14ac:dyDescent="0.3">
      <c r="G4784"/>
    </row>
    <row r="4785" spans="7:7" x14ac:dyDescent="0.3">
      <c r="G4785"/>
    </row>
    <row r="4786" spans="7:7" x14ac:dyDescent="0.3">
      <c r="G4786"/>
    </row>
    <row r="4787" spans="7:7" x14ac:dyDescent="0.3">
      <c r="G4787"/>
    </row>
    <row r="4788" spans="7:7" x14ac:dyDescent="0.3">
      <c r="G4788"/>
    </row>
    <row r="4789" spans="7:7" x14ac:dyDescent="0.3">
      <c r="G4789"/>
    </row>
    <row r="4790" spans="7:7" x14ac:dyDescent="0.3">
      <c r="G4790"/>
    </row>
    <row r="4791" spans="7:7" x14ac:dyDescent="0.3">
      <c r="G4791"/>
    </row>
    <row r="4792" spans="7:7" x14ac:dyDescent="0.3">
      <c r="G4792"/>
    </row>
    <row r="4793" spans="7:7" x14ac:dyDescent="0.3">
      <c r="G4793"/>
    </row>
    <row r="4794" spans="7:7" x14ac:dyDescent="0.3">
      <c r="G4794"/>
    </row>
    <row r="4795" spans="7:7" x14ac:dyDescent="0.3">
      <c r="G4795"/>
    </row>
    <row r="4796" spans="7:7" x14ac:dyDescent="0.3">
      <c r="G4796"/>
    </row>
    <row r="4797" spans="7:7" x14ac:dyDescent="0.3">
      <c r="G4797"/>
    </row>
    <row r="4798" spans="7:7" x14ac:dyDescent="0.3">
      <c r="G4798"/>
    </row>
    <row r="4799" spans="7:7" x14ac:dyDescent="0.3">
      <c r="G4799"/>
    </row>
    <row r="4800" spans="7:7" x14ac:dyDescent="0.3">
      <c r="G4800"/>
    </row>
    <row r="4801" spans="7:7" x14ac:dyDescent="0.3">
      <c r="G4801"/>
    </row>
    <row r="4802" spans="7:7" x14ac:dyDescent="0.3">
      <c r="G4802"/>
    </row>
    <row r="4803" spans="7:7" x14ac:dyDescent="0.3">
      <c r="G4803"/>
    </row>
    <row r="4804" spans="7:7" x14ac:dyDescent="0.3">
      <c r="G4804"/>
    </row>
    <row r="4805" spans="7:7" x14ac:dyDescent="0.3">
      <c r="G4805"/>
    </row>
    <row r="4806" spans="7:7" x14ac:dyDescent="0.3">
      <c r="G4806"/>
    </row>
    <row r="4807" spans="7:7" x14ac:dyDescent="0.3">
      <c r="G4807"/>
    </row>
    <row r="4808" spans="7:7" x14ac:dyDescent="0.3">
      <c r="G4808"/>
    </row>
    <row r="4809" spans="7:7" x14ac:dyDescent="0.3">
      <c r="G4809"/>
    </row>
    <row r="4810" spans="7:7" x14ac:dyDescent="0.3">
      <c r="G4810"/>
    </row>
    <row r="4811" spans="7:7" x14ac:dyDescent="0.3">
      <c r="G4811"/>
    </row>
    <row r="4812" spans="7:7" x14ac:dyDescent="0.3">
      <c r="G4812"/>
    </row>
    <row r="4813" spans="7:7" x14ac:dyDescent="0.3">
      <c r="G4813"/>
    </row>
    <row r="4814" spans="7:7" x14ac:dyDescent="0.3">
      <c r="G4814"/>
    </row>
    <row r="4815" spans="7:7" x14ac:dyDescent="0.3">
      <c r="G4815"/>
    </row>
    <row r="4816" spans="7:7" x14ac:dyDescent="0.3">
      <c r="G4816"/>
    </row>
    <row r="4817" spans="7:7" x14ac:dyDescent="0.3">
      <c r="G4817"/>
    </row>
    <row r="4818" spans="7:7" x14ac:dyDescent="0.3">
      <c r="G4818"/>
    </row>
    <row r="4819" spans="7:7" x14ac:dyDescent="0.3">
      <c r="G4819"/>
    </row>
    <row r="4820" spans="7:7" x14ac:dyDescent="0.3">
      <c r="G4820"/>
    </row>
    <row r="4821" spans="7:7" x14ac:dyDescent="0.3">
      <c r="G4821"/>
    </row>
    <row r="4822" spans="7:7" x14ac:dyDescent="0.3">
      <c r="G4822"/>
    </row>
    <row r="4823" spans="7:7" x14ac:dyDescent="0.3">
      <c r="G4823"/>
    </row>
    <row r="4824" spans="7:7" x14ac:dyDescent="0.3">
      <c r="G4824"/>
    </row>
    <row r="4825" spans="7:7" x14ac:dyDescent="0.3">
      <c r="G4825"/>
    </row>
    <row r="4826" spans="7:7" x14ac:dyDescent="0.3">
      <c r="G4826"/>
    </row>
    <row r="4827" spans="7:7" x14ac:dyDescent="0.3">
      <c r="G4827"/>
    </row>
    <row r="4828" spans="7:7" x14ac:dyDescent="0.3">
      <c r="G4828"/>
    </row>
    <row r="4829" spans="7:7" x14ac:dyDescent="0.3">
      <c r="G4829"/>
    </row>
    <row r="4830" spans="7:7" x14ac:dyDescent="0.3">
      <c r="G4830"/>
    </row>
    <row r="4831" spans="7:7" x14ac:dyDescent="0.3">
      <c r="G4831"/>
    </row>
    <row r="4832" spans="7:7" x14ac:dyDescent="0.3">
      <c r="G4832"/>
    </row>
    <row r="4833" spans="7:7" x14ac:dyDescent="0.3">
      <c r="G4833"/>
    </row>
    <row r="4834" spans="7:7" x14ac:dyDescent="0.3">
      <c r="G4834"/>
    </row>
    <row r="4835" spans="7:7" x14ac:dyDescent="0.3">
      <c r="G4835"/>
    </row>
    <row r="4836" spans="7:7" x14ac:dyDescent="0.3">
      <c r="G4836"/>
    </row>
    <row r="4837" spans="7:7" x14ac:dyDescent="0.3">
      <c r="G4837"/>
    </row>
    <row r="4838" spans="7:7" x14ac:dyDescent="0.3">
      <c r="G4838"/>
    </row>
    <row r="4839" spans="7:7" x14ac:dyDescent="0.3">
      <c r="G4839"/>
    </row>
    <row r="4840" spans="7:7" x14ac:dyDescent="0.3">
      <c r="G4840"/>
    </row>
    <row r="4841" spans="7:7" x14ac:dyDescent="0.3">
      <c r="G4841"/>
    </row>
    <row r="4842" spans="7:7" x14ac:dyDescent="0.3">
      <c r="G4842"/>
    </row>
    <row r="4843" spans="7:7" x14ac:dyDescent="0.3">
      <c r="G4843"/>
    </row>
    <row r="4844" spans="7:7" x14ac:dyDescent="0.3">
      <c r="G4844"/>
    </row>
    <row r="4845" spans="7:7" x14ac:dyDescent="0.3">
      <c r="G4845"/>
    </row>
    <row r="4846" spans="7:7" x14ac:dyDescent="0.3">
      <c r="G4846"/>
    </row>
    <row r="4847" spans="7:7" x14ac:dyDescent="0.3">
      <c r="G4847"/>
    </row>
    <row r="4848" spans="7:7" x14ac:dyDescent="0.3">
      <c r="G4848"/>
    </row>
    <row r="4849" spans="7:7" x14ac:dyDescent="0.3">
      <c r="G4849"/>
    </row>
    <row r="4850" spans="7:7" x14ac:dyDescent="0.3">
      <c r="G4850"/>
    </row>
    <row r="4851" spans="7:7" x14ac:dyDescent="0.3">
      <c r="G4851"/>
    </row>
    <row r="4852" spans="7:7" x14ac:dyDescent="0.3">
      <c r="G4852"/>
    </row>
    <row r="4853" spans="7:7" x14ac:dyDescent="0.3">
      <c r="G4853"/>
    </row>
    <row r="4854" spans="7:7" x14ac:dyDescent="0.3">
      <c r="G4854"/>
    </row>
    <row r="4855" spans="7:7" x14ac:dyDescent="0.3">
      <c r="G4855"/>
    </row>
    <row r="4856" spans="7:7" x14ac:dyDescent="0.3">
      <c r="G4856"/>
    </row>
    <row r="4857" spans="7:7" x14ac:dyDescent="0.3">
      <c r="G4857"/>
    </row>
    <row r="4858" spans="7:7" x14ac:dyDescent="0.3">
      <c r="G4858"/>
    </row>
    <row r="4859" spans="7:7" x14ac:dyDescent="0.3">
      <c r="G4859"/>
    </row>
    <row r="4860" spans="7:7" x14ac:dyDescent="0.3">
      <c r="G4860"/>
    </row>
    <row r="4861" spans="7:7" x14ac:dyDescent="0.3">
      <c r="G4861"/>
    </row>
    <row r="4862" spans="7:7" x14ac:dyDescent="0.3">
      <c r="G4862"/>
    </row>
    <row r="4863" spans="7:7" x14ac:dyDescent="0.3">
      <c r="G4863"/>
    </row>
    <row r="4864" spans="7:7" x14ac:dyDescent="0.3">
      <c r="G4864"/>
    </row>
    <row r="4865" spans="7:7" x14ac:dyDescent="0.3">
      <c r="G4865"/>
    </row>
    <row r="4866" spans="7:7" x14ac:dyDescent="0.3">
      <c r="G4866"/>
    </row>
    <row r="4867" spans="7:7" x14ac:dyDescent="0.3">
      <c r="G4867"/>
    </row>
    <row r="4868" spans="7:7" x14ac:dyDescent="0.3">
      <c r="G4868"/>
    </row>
    <row r="4869" spans="7:7" x14ac:dyDescent="0.3">
      <c r="G4869"/>
    </row>
    <row r="4870" spans="7:7" x14ac:dyDescent="0.3">
      <c r="G4870"/>
    </row>
    <row r="4871" spans="7:7" x14ac:dyDescent="0.3">
      <c r="G4871"/>
    </row>
    <row r="4872" spans="7:7" x14ac:dyDescent="0.3">
      <c r="G4872"/>
    </row>
    <row r="4873" spans="7:7" x14ac:dyDescent="0.3">
      <c r="G4873"/>
    </row>
    <row r="4874" spans="7:7" x14ac:dyDescent="0.3">
      <c r="G4874"/>
    </row>
    <row r="4875" spans="7:7" x14ac:dyDescent="0.3">
      <c r="G4875"/>
    </row>
    <row r="4876" spans="7:7" x14ac:dyDescent="0.3">
      <c r="G4876"/>
    </row>
    <row r="4877" spans="7:7" x14ac:dyDescent="0.3">
      <c r="G4877"/>
    </row>
    <row r="4878" spans="7:7" x14ac:dyDescent="0.3">
      <c r="G4878"/>
    </row>
    <row r="4879" spans="7:7" x14ac:dyDescent="0.3">
      <c r="G4879"/>
    </row>
    <row r="4880" spans="7:7" x14ac:dyDescent="0.3">
      <c r="G4880"/>
    </row>
    <row r="4881" spans="7:7" x14ac:dyDescent="0.3">
      <c r="G4881"/>
    </row>
    <row r="4882" spans="7:7" x14ac:dyDescent="0.3">
      <c r="G4882"/>
    </row>
    <row r="4883" spans="7:7" x14ac:dyDescent="0.3">
      <c r="G4883"/>
    </row>
    <row r="4884" spans="7:7" x14ac:dyDescent="0.3">
      <c r="G4884"/>
    </row>
    <row r="4885" spans="7:7" x14ac:dyDescent="0.3">
      <c r="G4885"/>
    </row>
    <row r="4886" spans="7:7" x14ac:dyDescent="0.3">
      <c r="G4886"/>
    </row>
    <row r="4887" spans="7:7" x14ac:dyDescent="0.3">
      <c r="G4887"/>
    </row>
    <row r="4888" spans="7:7" x14ac:dyDescent="0.3">
      <c r="G4888"/>
    </row>
    <row r="4889" spans="7:7" x14ac:dyDescent="0.3">
      <c r="G4889"/>
    </row>
    <row r="4890" spans="7:7" x14ac:dyDescent="0.3">
      <c r="G4890"/>
    </row>
    <row r="4891" spans="7:7" x14ac:dyDescent="0.3">
      <c r="G4891"/>
    </row>
    <row r="4892" spans="7:7" x14ac:dyDescent="0.3">
      <c r="G4892"/>
    </row>
    <row r="4893" spans="7:7" x14ac:dyDescent="0.3">
      <c r="G4893"/>
    </row>
    <row r="4894" spans="7:7" x14ac:dyDescent="0.3">
      <c r="G4894"/>
    </row>
    <row r="4895" spans="7:7" x14ac:dyDescent="0.3">
      <c r="G4895"/>
    </row>
    <row r="4896" spans="7:7" x14ac:dyDescent="0.3">
      <c r="G4896"/>
    </row>
    <row r="4897" spans="7:7" x14ac:dyDescent="0.3">
      <c r="G4897"/>
    </row>
    <row r="4898" spans="7:7" x14ac:dyDescent="0.3">
      <c r="G4898"/>
    </row>
    <row r="4899" spans="7:7" x14ac:dyDescent="0.3">
      <c r="G4899"/>
    </row>
    <row r="4900" spans="7:7" x14ac:dyDescent="0.3">
      <c r="G4900"/>
    </row>
    <row r="4901" spans="7:7" x14ac:dyDescent="0.3">
      <c r="G4901"/>
    </row>
    <row r="4902" spans="7:7" x14ac:dyDescent="0.3">
      <c r="G4902"/>
    </row>
    <row r="4903" spans="7:7" x14ac:dyDescent="0.3">
      <c r="G4903"/>
    </row>
    <row r="4904" spans="7:7" x14ac:dyDescent="0.3">
      <c r="G4904"/>
    </row>
    <row r="4905" spans="7:7" x14ac:dyDescent="0.3">
      <c r="G4905"/>
    </row>
    <row r="4906" spans="7:7" x14ac:dyDescent="0.3">
      <c r="G4906"/>
    </row>
    <row r="4907" spans="7:7" x14ac:dyDescent="0.3">
      <c r="G4907"/>
    </row>
    <row r="4908" spans="7:7" x14ac:dyDescent="0.3">
      <c r="G4908"/>
    </row>
    <row r="4909" spans="7:7" x14ac:dyDescent="0.3">
      <c r="G4909"/>
    </row>
    <row r="4910" spans="7:7" x14ac:dyDescent="0.3">
      <c r="G4910"/>
    </row>
    <row r="4911" spans="7:7" x14ac:dyDescent="0.3">
      <c r="G4911"/>
    </row>
    <row r="4912" spans="7:7" x14ac:dyDescent="0.3">
      <c r="G4912"/>
    </row>
    <row r="4913" spans="7:7" x14ac:dyDescent="0.3">
      <c r="G4913"/>
    </row>
    <row r="4914" spans="7:7" x14ac:dyDescent="0.3">
      <c r="G4914"/>
    </row>
    <row r="4915" spans="7:7" x14ac:dyDescent="0.3">
      <c r="G4915"/>
    </row>
    <row r="4916" spans="7:7" x14ac:dyDescent="0.3">
      <c r="G4916"/>
    </row>
    <row r="4917" spans="7:7" x14ac:dyDescent="0.3">
      <c r="G4917"/>
    </row>
    <row r="4918" spans="7:7" x14ac:dyDescent="0.3">
      <c r="G4918"/>
    </row>
    <row r="4919" spans="7:7" x14ac:dyDescent="0.3">
      <c r="G4919"/>
    </row>
    <row r="4920" spans="7:7" x14ac:dyDescent="0.3">
      <c r="G4920"/>
    </row>
    <row r="4921" spans="7:7" x14ac:dyDescent="0.3">
      <c r="G4921"/>
    </row>
    <row r="4922" spans="7:7" x14ac:dyDescent="0.3">
      <c r="G4922"/>
    </row>
    <row r="4923" spans="7:7" x14ac:dyDescent="0.3">
      <c r="G4923"/>
    </row>
    <row r="4924" spans="7:7" x14ac:dyDescent="0.3">
      <c r="G4924"/>
    </row>
    <row r="4925" spans="7:7" x14ac:dyDescent="0.3">
      <c r="G4925"/>
    </row>
    <row r="4926" spans="7:7" x14ac:dyDescent="0.3">
      <c r="G4926"/>
    </row>
    <row r="4927" spans="7:7" x14ac:dyDescent="0.3">
      <c r="G4927"/>
    </row>
    <row r="4928" spans="7:7" x14ac:dyDescent="0.3">
      <c r="G4928"/>
    </row>
    <row r="4929" spans="7:7" x14ac:dyDescent="0.3">
      <c r="G4929"/>
    </row>
    <row r="4930" spans="7:7" x14ac:dyDescent="0.3">
      <c r="G4930"/>
    </row>
    <row r="4931" spans="7:7" x14ac:dyDescent="0.3">
      <c r="G4931"/>
    </row>
    <row r="4932" spans="7:7" x14ac:dyDescent="0.3">
      <c r="G4932"/>
    </row>
    <row r="4933" spans="7:7" x14ac:dyDescent="0.3">
      <c r="G4933"/>
    </row>
    <row r="4934" spans="7:7" x14ac:dyDescent="0.3">
      <c r="G4934"/>
    </row>
    <row r="4935" spans="7:7" x14ac:dyDescent="0.3">
      <c r="G4935"/>
    </row>
    <row r="4936" spans="7:7" x14ac:dyDescent="0.3">
      <c r="G4936"/>
    </row>
    <row r="4937" spans="7:7" x14ac:dyDescent="0.3">
      <c r="G4937"/>
    </row>
    <row r="4938" spans="7:7" x14ac:dyDescent="0.3">
      <c r="G4938"/>
    </row>
    <row r="4939" spans="7:7" x14ac:dyDescent="0.3">
      <c r="G4939"/>
    </row>
    <row r="4940" spans="7:7" x14ac:dyDescent="0.3">
      <c r="G4940"/>
    </row>
    <row r="4941" spans="7:7" x14ac:dyDescent="0.3">
      <c r="G4941"/>
    </row>
    <row r="4942" spans="7:7" x14ac:dyDescent="0.3">
      <c r="G4942"/>
    </row>
    <row r="4943" spans="7:7" x14ac:dyDescent="0.3">
      <c r="G4943"/>
    </row>
    <row r="4944" spans="7:7" x14ac:dyDescent="0.3">
      <c r="G4944"/>
    </row>
    <row r="4945" spans="7:7" x14ac:dyDescent="0.3">
      <c r="G4945"/>
    </row>
    <row r="4946" spans="7:7" x14ac:dyDescent="0.3">
      <c r="G4946"/>
    </row>
    <row r="4947" spans="7:7" x14ac:dyDescent="0.3">
      <c r="G4947"/>
    </row>
    <row r="4948" spans="7:7" x14ac:dyDescent="0.3">
      <c r="G4948"/>
    </row>
    <row r="4949" spans="7:7" x14ac:dyDescent="0.3">
      <c r="G4949"/>
    </row>
    <row r="4950" spans="7:7" x14ac:dyDescent="0.3">
      <c r="G4950"/>
    </row>
    <row r="4951" spans="7:7" x14ac:dyDescent="0.3">
      <c r="G4951"/>
    </row>
    <row r="4952" spans="7:7" x14ac:dyDescent="0.3">
      <c r="G4952"/>
    </row>
    <row r="4953" spans="7:7" x14ac:dyDescent="0.3">
      <c r="G4953"/>
    </row>
    <row r="4954" spans="7:7" x14ac:dyDescent="0.3">
      <c r="G4954"/>
    </row>
    <row r="4955" spans="7:7" x14ac:dyDescent="0.3">
      <c r="G4955"/>
    </row>
    <row r="4956" spans="7:7" x14ac:dyDescent="0.3">
      <c r="G4956"/>
    </row>
    <row r="4957" spans="7:7" x14ac:dyDescent="0.3">
      <c r="G4957"/>
    </row>
    <row r="4958" spans="7:7" x14ac:dyDescent="0.3">
      <c r="G4958"/>
    </row>
    <row r="4959" spans="7:7" x14ac:dyDescent="0.3">
      <c r="G4959"/>
    </row>
    <row r="4960" spans="7:7" x14ac:dyDescent="0.3">
      <c r="G4960"/>
    </row>
    <row r="4961" spans="7:7" x14ac:dyDescent="0.3">
      <c r="G4961"/>
    </row>
    <row r="4962" spans="7:7" x14ac:dyDescent="0.3">
      <c r="G4962"/>
    </row>
    <row r="4963" spans="7:7" x14ac:dyDescent="0.3">
      <c r="G4963"/>
    </row>
    <row r="4964" spans="7:7" x14ac:dyDescent="0.3">
      <c r="G4964"/>
    </row>
    <row r="4965" spans="7:7" x14ac:dyDescent="0.3">
      <c r="G4965"/>
    </row>
    <row r="4966" spans="7:7" x14ac:dyDescent="0.3">
      <c r="G4966"/>
    </row>
    <row r="4967" spans="7:7" x14ac:dyDescent="0.3">
      <c r="G4967"/>
    </row>
    <row r="4968" spans="7:7" x14ac:dyDescent="0.3">
      <c r="G4968"/>
    </row>
    <row r="4969" spans="7:7" x14ac:dyDescent="0.3">
      <c r="G4969"/>
    </row>
    <row r="4970" spans="7:7" x14ac:dyDescent="0.3">
      <c r="G4970"/>
    </row>
    <row r="4971" spans="7:7" x14ac:dyDescent="0.3">
      <c r="G4971"/>
    </row>
    <row r="4972" spans="7:7" x14ac:dyDescent="0.3">
      <c r="G4972"/>
    </row>
    <row r="4973" spans="7:7" x14ac:dyDescent="0.3">
      <c r="G4973"/>
    </row>
    <row r="4974" spans="7:7" x14ac:dyDescent="0.3">
      <c r="G4974"/>
    </row>
    <row r="4975" spans="7:7" x14ac:dyDescent="0.3">
      <c r="G4975"/>
    </row>
    <row r="4976" spans="7:7" x14ac:dyDescent="0.3">
      <c r="G4976"/>
    </row>
    <row r="4977" spans="7:7" x14ac:dyDescent="0.3">
      <c r="G4977"/>
    </row>
    <row r="4978" spans="7:7" x14ac:dyDescent="0.3">
      <c r="G4978"/>
    </row>
    <row r="4979" spans="7:7" x14ac:dyDescent="0.3">
      <c r="G4979"/>
    </row>
    <row r="4980" spans="7:7" x14ac:dyDescent="0.3">
      <c r="G4980"/>
    </row>
    <row r="4981" spans="7:7" x14ac:dyDescent="0.3">
      <c r="G4981"/>
    </row>
    <row r="4982" spans="7:7" x14ac:dyDescent="0.3">
      <c r="G4982"/>
    </row>
    <row r="4983" spans="7:7" x14ac:dyDescent="0.3">
      <c r="G4983"/>
    </row>
    <row r="4984" spans="7:7" x14ac:dyDescent="0.3">
      <c r="G4984"/>
    </row>
    <row r="4985" spans="7:7" x14ac:dyDescent="0.3">
      <c r="G4985"/>
    </row>
    <row r="4986" spans="7:7" x14ac:dyDescent="0.3">
      <c r="G4986"/>
    </row>
    <row r="4987" spans="7:7" x14ac:dyDescent="0.3">
      <c r="G4987"/>
    </row>
    <row r="4988" spans="7:7" x14ac:dyDescent="0.3">
      <c r="G4988"/>
    </row>
    <row r="4989" spans="7:7" x14ac:dyDescent="0.3">
      <c r="G4989"/>
    </row>
    <row r="4990" spans="7:7" x14ac:dyDescent="0.3">
      <c r="G4990"/>
    </row>
    <row r="4991" spans="7:7" x14ac:dyDescent="0.3">
      <c r="G4991"/>
    </row>
    <row r="4992" spans="7:7" x14ac:dyDescent="0.3">
      <c r="G4992"/>
    </row>
    <row r="4993" spans="7:7" x14ac:dyDescent="0.3">
      <c r="G4993"/>
    </row>
    <row r="4994" spans="7:7" x14ac:dyDescent="0.3">
      <c r="G4994"/>
    </row>
    <row r="4995" spans="7:7" x14ac:dyDescent="0.3">
      <c r="G4995"/>
    </row>
    <row r="4996" spans="7:7" x14ac:dyDescent="0.3">
      <c r="G4996"/>
    </row>
    <row r="4997" spans="7:7" x14ac:dyDescent="0.3">
      <c r="G4997"/>
    </row>
    <row r="4998" spans="7:7" x14ac:dyDescent="0.3">
      <c r="G4998"/>
    </row>
    <row r="4999" spans="7:7" x14ac:dyDescent="0.3">
      <c r="G4999"/>
    </row>
    <row r="5000" spans="7:7" x14ac:dyDescent="0.3">
      <c r="G5000"/>
    </row>
    <row r="5001" spans="7:7" x14ac:dyDescent="0.3">
      <c r="G5001"/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797A1-49FE-46D1-9B40-6058716D497C}">
  <sheetPr codeName="Planilha5"/>
  <dimension ref="A1:Q5001"/>
  <sheetViews>
    <sheetView workbookViewId="0">
      <selection activeCell="D9" sqref="D9"/>
    </sheetView>
  </sheetViews>
  <sheetFormatPr defaultRowHeight="14.4" x14ac:dyDescent="0.3"/>
  <cols>
    <col min="3" max="3" width="12.44140625" bestFit="1" customWidth="1"/>
    <col min="4" max="4" width="11" customWidth="1"/>
    <col min="5" max="5" width="12.33203125" customWidth="1"/>
    <col min="6" max="6" width="35.77734375" customWidth="1"/>
    <col min="7" max="7" width="8.88671875" style="4" customWidth="1"/>
    <col min="8" max="8" width="10.33203125" style="1" customWidth="1"/>
    <col min="9" max="9" width="14.6640625" style="1" bestFit="1" customWidth="1"/>
    <col min="10" max="10" width="10.5546875" style="2" bestFit="1" customWidth="1"/>
    <col min="13" max="13" width="11.5546875" bestFit="1" customWidth="1"/>
    <col min="14" max="14" width="11.6640625" bestFit="1" customWidth="1"/>
    <col min="16" max="16" width="12.33203125" bestFit="1" customWidth="1"/>
    <col min="17" max="17" width="12.77734375" bestFit="1" customWidth="1"/>
    <col min="18" max="18" width="11.88671875" bestFit="1" customWidth="1"/>
  </cols>
  <sheetData>
    <row r="1" spans="1:17" x14ac:dyDescent="0.3">
      <c r="A1" t="s">
        <v>44</v>
      </c>
      <c r="B1" t="s">
        <v>0</v>
      </c>
      <c r="C1" t="s">
        <v>45</v>
      </c>
      <c r="D1" t="s">
        <v>0</v>
      </c>
      <c r="E1" t="s">
        <v>38</v>
      </c>
      <c r="F1" t="s">
        <v>1</v>
      </c>
      <c r="G1" t="s">
        <v>3</v>
      </c>
      <c r="H1" t="s">
        <v>2</v>
      </c>
      <c r="I1" t="s">
        <v>5</v>
      </c>
      <c r="J1" t="s">
        <v>4</v>
      </c>
      <c r="K1" t="s">
        <v>6</v>
      </c>
      <c r="M1" t="s">
        <v>10</v>
      </c>
      <c r="N1">
        <f>SUM(TempMovEntrada!G2:G1048576)</f>
        <v>0</v>
      </c>
      <c r="P1" t="s">
        <v>9</v>
      </c>
      <c r="Q1" s="5">
        <f>SUM(TempMovEntrada!I2:I1048576)</f>
        <v>0</v>
      </c>
    </row>
    <row r="2" spans="1:17" x14ac:dyDescent="0.3">
      <c r="G2"/>
    </row>
    <row r="3" spans="1:17" x14ac:dyDescent="0.3">
      <c r="G3"/>
    </row>
    <row r="4" spans="1:17" x14ac:dyDescent="0.3">
      <c r="G4"/>
    </row>
    <row r="5" spans="1:17" x14ac:dyDescent="0.3">
      <c r="G5"/>
    </row>
    <row r="6" spans="1:17" x14ac:dyDescent="0.3">
      <c r="G6"/>
    </row>
    <row r="7" spans="1:17" x14ac:dyDescent="0.3">
      <c r="G7"/>
    </row>
    <row r="8" spans="1:17" x14ac:dyDescent="0.3">
      <c r="G8"/>
    </row>
    <row r="9" spans="1:17" x14ac:dyDescent="0.3">
      <c r="G9"/>
    </row>
    <row r="10" spans="1:17" x14ac:dyDescent="0.3">
      <c r="G10"/>
    </row>
    <row r="11" spans="1:17" x14ac:dyDescent="0.3">
      <c r="G11"/>
    </row>
    <row r="12" spans="1:17" x14ac:dyDescent="0.3">
      <c r="G12"/>
    </row>
    <row r="13" spans="1:17" x14ac:dyDescent="0.3">
      <c r="G13"/>
    </row>
    <row r="14" spans="1:17" x14ac:dyDescent="0.3">
      <c r="G14"/>
    </row>
    <row r="15" spans="1:17" x14ac:dyDescent="0.3">
      <c r="G15"/>
    </row>
    <row r="16" spans="1:17" x14ac:dyDescent="0.3">
      <c r="G16"/>
    </row>
    <row r="17" spans="7:7" x14ac:dyDescent="0.3">
      <c r="G17"/>
    </row>
    <row r="18" spans="7:7" x14ac:dyDescent="0.3">
      <c r="G18"/>
    </row>
    <row r="19" spans="7:7" x14ac:dyDescent="0.3">
      <c r="G19"/>
    </row>
    <row r="20" spans="7:7" x14ac:dyDescent="0.3">
      <c r="G20"/>
    </row>
    <row r="21" spans="7:7" x14ac:dyDescent="0.3">
      <c r="G21"/>
    </row>
    <row r="22" spans="7:7" x14ac:dyDescent="0.3">
      <c r="G22"/>
    </row>
    <row r="23" spans="7:7" x14ac:dyDescent="0.3">
      <c r="G23"/>
    </row>
    <row r="24" spans="7:7" x14ac:dyDescent="0.3">
      <c r="G24"/>
    </row>
    <row r="25" spans="7:7" x14ac:dyDescent="0.3">
      <c r="G25"/>
    </row>
    <row r="26" spans="7:7" x14ac:dyDescent="0.3">
      <c r="G26"/>
    </row>
    <row r="27" spans="7:7" x14ac:dyDescent="0.3">
      <c r="G27"/>
    </row>
    <row r="28" spans="7:7" x14ac:dyDescent="0.3">
      <c r="G28"/>
    </row>
    <row r="29" spans="7:7" x14ac:dyDescent="0.3">
      <c r="G29"/>
    </row>
    <row r="30" spans="7:7" x14ac:dyDescent="0.3">
      <c r="G30"/>
    </row>
    <row r="31" spans="7:7" x14ac:dyDescent="0.3">
      <c r="G31"/>
    </row>
    <row r="32" spans="7:7" x14ac:dyDescent="0.3">
      <c r="G32"/>
    </row>
    <row r="33" spans="7:7" x14ac:dyDescent="0.3">
      <c r="G33"/>
    </row>
    <row r="34" spans="7:7" x14ac:dyDescent="0.3">
      <c r="G34"/>
    </row>
    <row r="35" spans="7:7" x14ac:dyDescent="0.3">
      <c r="G35"/>
    </row>
    <row r="36" spans="7:7" x14ac:dyDescent="0.3">
      <c r="G36"/>
    </row>
    <row r="37" spans="7:7" x14ac:dyDescent="0.3">
      <c r="G37"/>
    </row>
    <row r="38" spans="7:7" x14ac:dyDescent="0.3">
      <c r="G38"/>
    </row>
    <row r="39" spans="7:7" x14ac:dyDescent="0.3">
      <c r="G39"/>
    </row>
    <row r="40" spans="7:7" x14ac:dyDescent="0.3">
      <c r="G40"/>
    </row>
    <row r="41" spans="7:7" x14ac:dyDescent="0.3">
      <c r="G41"/>
    </row>
    <row r="42" spans="7:7" x14ac:dyDescent="0.3">
      <c r="G42"/>
    </row>
    <row r="43" spans="7:7" x14ac:dyDescent="0.3">
      <c r="G43"/>
    </row>
    <row r="44" spans="7:7" x14ac:dyDescent="0.3">
      <c r="G44"/>
    </row>
    <row r="45" spans="7:7" x14ac:dyDescent="0.3">
      <c r="G45"/>
    </row>
    <row r="46" spans="7:7" x14ac:dyDescent="0.3">
      <c r="G46"/>
    </row>
    <row r="47" spans="7:7" x14ac:dyDescent="0.3">
      <c r="G47"/>
    </row>
    <row r="48" spans="7:7" x14ac:dyDescent="0.3">
      <c r="G48"/>
    </row>
    <row r="49" spans="7:7" x14ac:dyDescent="0.3">
      <c r="G49"/>
    </row>
    <row r="50" spans="7:7" x14ac:dyDescent="0.3">
      <c r="G50"/>
    </row>
    <row r="51" spans="7:7" x14ac:dyDescent="0.3">
      <c r="G51"/>
    </row>
    <row r="52" spans="7:7" x14ac:dyDescent="0.3">
      <c r="G52"/>
    </row>
    <row r="53" spans="7:7" x14ac:dyDescent="0.3">
      <c r="G53"/>
    </row>
    <row r="54" spans="7:7" x14ac:dyDescent="0.3">
      <c r="G54"/>
    </row>
    <row r="55" spans="7:7" x14ac:dyDescent="0.3">
      <c r="G55"/>
    </row>
    <row r="56" spans="7:7" x14ac:dyDescent="0.3">
      <c r="G56"/>
    </row>
    <row r="57" spans="7:7" x14ac:dyDescent="0.3">
      <c r="G57"/>
    </row>
    <row r="58" spans="7:7" x14ac:dyDescent="0.3">
      <c r="G58"/>
    </row>
    <row r="59" spans="7:7" x14ac:dyDescent="0.3">
      <c r="G59"/>
    </row>
    <row r="60" spans="7:7" x14ac:dyDescent="0.3">
      <c r="G60"/>
    </row>
    <row r="61" spans="7:7" x14ac:dyDescent="0.3">
      <c r="G61"/>
    </row>
    <row r="62" spans="7:7" x14ac:dyDescent="0.3">
      <c r="G62"/>
    </row>
    <row r="63" spans="7:7" x14ac:dyDescent="0.3">
      <c r="G63"/>
    </row>
    <row r="64" spans="7:7" x14ac:dyDescent="0.3">
      <c r="G64"/>
    </row>
    <row r="65" spans="7:7" x14ac:dyDescent="0.3">
      <c r="G65"/>
    </row>
    <row r="66" spans="7:7" x14ac:dyDescent="0.3">
      <c r="G66"/>
    </row>
    <row r="67" spans="7:7" x14ac:dyDescent="0.3">
      <c r="G67"/>
    </row>
    <row r="68" spans="7:7" x14ac:dyDescent="0.3">
      <c r="G68"/>
    </row>
    <row r="69" spans="7:7" x14ac:dyDescent="0.3">
      <c r="G69"/>
    </row>
    <row r="70" spans="7:7" x14ac:dyDescent="0.3">
      <c r="G70"/>
    </row>
    <row r="71" spans="7:7" x14ac:dyDescent="0.3">
      <c r="G71"/>
    </row>
    <row r="72" spans="7:7" x14ac:dyDescent="0.3">
      <c r="G72"/>
    </row>
    <row r="73" spans="7:7" x14ac:dyDescent="0.3">
      <c r="G73"/>
    </row>
    <row r="74" spans="7:7" x14ac:dyDescent="0.3">
      <c r="G74"/>
    </row>
    <row r="75" spans="7:7" x14ac:dyDescent="0.3">
      <c r="G75"/>
    </row>
    <row r="76" spans="7:7" x14ac:dyDescent="0.3">
      <c r="G76"/>
    </row>
    <row r="77" spans="7:7" x14ac:dyDescent="0.3">
      <c r="G77"/>
    </row>
    <row r="78" spans="7:7" x14ac:dyDescent="0.3">
      <c r="G78"/>
    </row>
    <row r="79" spans="7:7" x14ac:dyDescent="0.3">
      <c r="G79"/>
    </row>
    <row r="80" spans="7:7" x14ac:dyDescent="0.3">
      <c r="G80"/>
    </row>
    <row r="81" spans="7:7" x14ac:dyDescent="0.3">
      <c r="G81"/>
    </row>
    <row r="82" spans="7:7" x14ac:dyDescent="0.3">
      <c r="G82"/>
    </row>
    <row r="83" spans="7:7" x14ac:dyDescent="0.3">
      <c r="G83"/>
    </row>
    <row r="84" spans="7:7" x14ac:dyDescent="0.3">
      <c r="G84"/>
    </row>
    <row r="85" spans="7:7" x14ac:dyDescent="0.3">
      <c r="G85"/>
    </row>
    <row r="86" spans="7:7" x14ac:dyDescent="0.3">
      <c r="G86"/>
    </row>
    <row r="87" spans="7:7" x14ac:dyDescent="0.3">
      <c r="G87"/>
    </row>
    <row r="88" spans="7:7" x14ac:dyDescent="0.3">
      <c r="G88"/>
    </row>
    <row r="89" spans="7:7" x14ac:dyDescent="0.3">
      <c r="G89"/>
    </row>
    <row r="90" spans="7:7" x14ac:dyDescent="0.3">
      <c r="G90"/>
    </row>
    <row r="91" spans="7:7" x14ac:dyDescent="0.3">
      <c r="G91"/>
    </row>
    <row r="92" spans="7:7" x14ac:dyDescent="0.3">
      <c r="G92"/>
    </row>
    <row r="93" spans="7:7" x14ac:dyDescent="0.3">
      <c r="G93"/>
    </row>
    <row r="94" spans="7:7" x14ac:dyDescent="0.3">
      <c r="G94"/>
    </row>
    <row r="95" spans="7:7" x14ac:dyDescent="0.3">
      <c r="G95"/>
    </row>
    <row r="96" spans="7:7" x14ac:dyDescent="0.3">
      <c r="G96"/>
    </row>
    <row r="97" spans="7:7" x14ac:dyDescent="0.3">
      <c r="G97"/>
    </row>
    <row r="98" spans="7:7" x14ac:dyDescent="0.3">
      <c r="G98"/>
    </row>
    <row r="99" spans="7:7" x14ac:dyDescent="0.3">
      <c r="G99"/>
    </row>
    <row r="100" spans="7:7" x14ac:dyDescent="0.3">
      <c r="G100"/>
    </row>
    <row r="101" spans="7:7" x14ac:dyDescent="0.3">
      <c r="G101"/>
    </row>
    <row r="102" spans="7:7" x14ac:dyDescent="0.3">
      <c r="G102"/>
    </row>
    <row r="103" spans="7:7" x14ac:dyDescent="0.3">
      <c r="G103"/>
    </row>
    <row r="104" spans="7:7" x14ac:dyDescent="0.3">
      <c r="G104"/>
    </row>
    <row r="105" spans="7:7" x14ac:dyDescent="0.3">
      <c r="G105"/>
    </row>
    <row r="106" spans="7:7" x14ac:dyDescent="0.3">
      <c r="G106"/>
    </row>
    <row r="107" spans="7:7" x14ac:dyDescent="0.3">
      <c r="G107"/>
    </row>
    <row r="108" spans="7:7" x14ac:dyDescent="0.3">
      <c r="G108"/>
    </row>
    <row r="109" spans="7:7" x14ac:dyDescent="0.3">
      <c r="G109"/>
    </row>
    <row r="110" spans="7:7" x14ac:dyDescent="0.3">
      <c r="G110"/>
    </row>
    <row r="111" spans="7:7" x14ac:dyDescent="0.3">
      <c r="G111"/>
    </row>
    <row r="112" spans="7:7" x14ac:dyDescent="0.3">
      <c r="G112"/>
    </row>
    <row r="113" spans="7:7" x14ac:dyDescent="0.3">
      <c r="G113"/>
    </row>
    <row r="114" spans="7:7" x14ac:dyDescent="0.3">
      <c r="G114"/>
    </row>
    <row r="115" spans="7:7" x14ac:dyDescent="0.3">
      <c r="G115"/>
    </row>
    <row r="116" spans="7:7" x14ac:dyDescent="0.3">
      <c r="G116"/>
    </row>
    <row r="117" spans="7:7" x14ac:dyDescent="0.3">
      <c r="G117"/>
    </row>
    <row r="118" spans="7:7" x14ac:dyDescent="0.3">
      <c r="G118"/>
    </row>
    <row r="119" spans="7:7" x14ac:dyDescent="0.3">
      <c r="G119"/>
    </row>
    <row r="120" spans="7:7" x14ac:dyDescent="0.3">
      <c r="G120"/>
    </row>
    <row r="121" spans="7:7" x14ac:dyDescent="0.3">
      <c r="G121"/>
    </row>
    <row r="122" spans="7:7" x14ac:dyDescent="0.3">
      <c r="G122"/>
    </row>
    <row r="123" spans="7:7" x14ac:dyDescent="0.3">
      <c r="G123"/>
    </row>
    <row r="124" spans="7:7" x14ac:dyDescent="0.3">
      <c r="G124"/>
    </row>
    <row r="125" spans="7:7" x14ac:dyDescent="0.3">
      <c r="G125"/>
    </row>
    <row r="126" spans="7:7" x14ac:dyDescent="0.3">
      <c r="G126"/>
    </row>
    <row r="127" spans="7:7" x14ac:dyDescent="0.3">
      <c r="G127"/>
    </row>
    <row r="128" spans="7:7" x14ac:dyDescent="0.3">
      <c r="G128"/>
    </row>
    <row r="129" spans="7:7" x14ac:dyDescent="0.3">
      <c r="G129"/>
    </row>
    <row r="130" spans="7:7" x14ac:dyDescent="0.3">
      <c r="G130"/>
    </row>
    <row r="131" spans="7:7" x14ac:dyDescent="0.3">
      <c r="G131"/>
    </row>
    <row r="132" spans="7:7" x14ac:dyDescent="0.3">
      <c r="G132"/>
    </row>
    <row r="133" spans="7:7" x14ac:dyDescent="0.3">
      <c r="G133"/>
    </row>
    <row r="134" spans="7:7" x14ac:dyDescent="0.3">
      <c r="G134"/>
    </row>
    <row r="135" spans="7:7" x14ac:dyDescent="0.3">
      <c r="G135"/>
    </row>
    <row r="136" spans="7:7" x14ac:dyDescent="0.3">
      <c r="G136"/>
    </row>
    <row r="137" spans="7:7" x14ac:dyDescent="0.3">
      <c r="G137"/>
    </row>
    <row r="138" spans="7:7" x14ac:dyDescent="0.3">
      <c r="G138"/>
    </row>
    <row r="139" spans="7:7" x14ac:dyDescent="0.3">
      <c r="G139"/>
    </row>
    <row r="140" spans="7:7" x14ac:dyDescent="0.3">
      <c r="G140"/>
    </row>
    <row r="141" spans="7:7" x14ac:dyDescent="0.3">
      <c r="G141"/>
    </row>
    <row r="142" spans="7:7" x14ac:dyDescent="0.3">
      <c r="G142"/>
    </row>
    <row r="143" spans="7:7" x14ac:dyDescent="0.3">
      <c r="G143"/>
    </row>
    <row r="144" spans="7:7" x14ac:dyDescent="0.3">
      <c r="G144"/>
    </row>
    <row r="145" spans="7:7" x14ac:dyDescent="0.3">
      <c r="G145"/>
    </row>
    <row r="146" spans="7:7" x14ac:dyDescent="0.3">
      <c r="G146"/>
    </row>
    <row r="147" spans="7:7" x14ac:dyDescent="0.3">
      <c r="G147"/>
    </row>
    <row r="148" spans="7:7" x14ac:dyDescent="0.3">
      <c r="G148"/>
    </row>
    <row r="149" spans="7:7" x14ac:dyDescent="0.3">
      <c r="G149"/>
    </row>
    <row r="150" spans="7:7" x14ac:dyDescent="0.3">
      <c r="G150"/>
    </row>
    <row r="151" spans="7:7" x14ac:dyDescent="0.3">
      <c r="G151"/>
    </row>
    <row r="152" spans="7:7" x14ac:dyDescent="0.3">
      <c r="G152"/>
    </row>
    <row r="153" spans="7:7" x14ac:dyDescent="0.3">
      <c r="G153"/>
    </row>
    <row r="154" spans="7:7" x14ac:dyDescent="0.3">
      <c r="G154"/>
    </row>
    <row r="155" spans="7:7" x14ac:dyDescent="0.3">
      <c r="G155"/>
    </row>
    <row r="156" spans="7:7" x14ac:dyDescent="0.3">
      <c r="G156"/>
    </row>
    <row r="157" spans="7:7" x14ac:dyDescent="0.3">
      <c r="G157"/>
    </row>
    <row r="158" spans="7:7" x14ac:dyDescent="0.3">
      <c r="G158"/>
    </row>
    <row r="159" spans="7:7" x14ac:dyDescent="0.3">
      <c r="G159"/>
    </row>
    <row r="160" spans="7:7" x14ac:dyDescent="0.3">
      <c r="G160"/>
    </row>
    <row r="161" spans="7:7" x14ac:dyDescent="0.3">
      <c r="G161"/>
    </row>
    <row r="162" spans="7:7" x14ac:dyDescent="0.3">
      <c r="G162"/>
    </row>
    <row r="163" spans="7:7" x14ac:dyDescent="0.3">
      <c r="G163"/>
    </row>
    <row r="164" spans="7:7" x14ac:dyDescent="0.3">
      <c r="G164"/>
    </row>
    <row r="165" spans="7:7" x14ac:dyDescent="0.3">
      <c r="G165"/>
    </row>
    <row r="166" spans="7:7" x14ac:dyDescent="0.3">
      <c r="G166"/>
    </row>
    <row r="167" spans="7:7" x14ac:dyDescent="0.3">
      <c r="G167"/>
    </row>
    <row r="168" spans="7:7" x14ac:dyDescent="0.3">
      <c r="G168"/>
    </row>
    <row r="169" spans="7:7" x14ac:dyDescent="0.3">
      <c r="G169"/>
    </row>
    <row r="170" spans="7:7" x14ac:dyDescent="0.3">
      <c r="G170"/>
    </row>
    <row r="171" spans="7:7" x14ac:dyDescent="0.3">
      <c r="G171"/>
    </row>
    <row r="172" spans="7:7" x14ac:dyDescent="0.3">
      <c r="G172"/>
    </row>
    <row r="173" spans="7:7" x14ac:dyDescent="0.3">
      <c r="G173"/>
    </row>
    <row r="174" spans="7:7" x14ac:dyDescent="0.3">
      <c r="G174"/>
    </row>
    <row r="175" spans="7:7" x14ac:dyDescent="0.3">
      <c r="G175"/>
    </row>
    <row r="176" spans="7:7" x14ac:dyDescent="0.3">
      <c r="G176"/>
    </row>
    <row r="177" spans="7:7" x14ac:dyDescent="0.3">
      <c r="G177"/>
    </row>
    <row r="178" spans="7:7" x14ac:dyDescent="0.3">
      <c r="G178"/>
    </row>
    <row r="179" spans="7:7" x14ac:dyDescent="0.3">
      <c r="G179"/>
    </row>
    <row r="180" spans="7:7" x14ac:dyDescent="0.3">
      <c r="G180"/>
    </row>
    <row r="181" spans="7:7" x14ac:dyDescent="0.3">
      <c r="G181"/>
    </row>
    <row r="182" spans="7:7" x14ac:dyDescent="0.3">
      <c r="G182"/>
    </row>
    <row r="183" spans="7:7" x14ac:dyDescent="0.3">
      <c r="G183"/>
    </row>
    <row r="184" spans="7:7" x14ac:dyDescent="0.3">
      <c r="G184"/>
    </row>
    <row r="185" spans="7:7" x14ac:dyDescent="0.3">
      <c r="G185"/>
    </row>
    <row r="186" spans="7:7" x14ac:dyDescent="0.3">
      <c r="G186"/>
    </row>
    <row r="187" spans="7:7" x14ac:dyDescent="0.3">
      <c r="G187"/>
    </row>
    <row r="188" spans="7:7" x14ac:dyDescent="0.3">
      <c r="G188"/>
    </row>
    <row r="189" spans="7:7" x14ac:dyDescent="0.3">
      <c r="G189"/>
    </row>
    <row r="190" spans="7:7" x14ac:dyDescent="0.3">
      <c r="G190"/>
    </row>
    <row r="191" spans="7:7" x14ac:dyDescent="0.3">
      <c r="G191"/>
    </row>
    <row r="192" spans="7:7" x14ac:dyDescent="0.3">
      <c r="G192"/>
    </row>
    <row r="193" spans="7:7" x14ac:dyDescent="0.3">
      <c r="G193"/>
    </row>
    <row r="194" spans="7:7" x14ac:dyDescent="0.3">
      <c r="G194"/>
    </row>
    <row r="195" spans="7:7" x14ac:dyDescent="0.3">
      <c r="G195"/>
    </row>
    <row r="196" spans="7:7" x14ac:dyDescent="0.3">
      <c r="G196"/>
    </row>
    <row r="197" spans="7:7" x14ac:dyDescent="0.3">
      <c r="G197"/>
    </row>
    <row r="198" spans="7:7" x14ac:dyDescent="0.3">
      <c r="G198"/>
    </row>
    <row r="199" spans="7:7" x14ac:dyDescent="0.3">
      <c r="G199"/>
    </row>
    <row r="200" spans="7:7" x14ac:dyDescent="0.3">
      <c r="G200"/>
    </row>
    <row r="201" spans="7:7" x14ac:dyDescent="0.3">
      <c r="G201"/>
    </row>
    <row r="202" spans="7:7" x14ac:dyDescent="0.3">
      <c r="G202"/>
    </row>
    <row r="203" spans="7:7" x14ac:dyDescent="0.3">
      <c r="G203"/>
    </row>
    <row r="204" spans="7:7" x14ac:dyDescent="0.3">
      <c r="G204"/>
    </row>
    <row r="205" spans="7:7" x14ac:dyDescent="0.3">
      <c r="G205"/>
    </row>
    <row r="206" spans="7:7" x14ac:dyDescent="0.3">
      <c r="G206"/>
    </row>
    <row r="207" spans="7:7" x14ac:dyDescent="0.3">
      <c r="G207"/>
    </row>
    <row r="208" spans="7:7" x14ac:dyDescent="0.3">
      <c r="G208"/>
    </row>
    <row r="209" spans="7:7" x14ac:dyDescent="0.3">
      <c r="G209"/>
    </row>
    <row r="210" spans="7:7" x14ac:dyDescent="0.3">
      <c r="G210"/>
    </row>
    <row r="211" spans="7:7" x14ac:dyDescent="0.3">
      <c r="G211"/>
    </row>
    <row r="212" spans="7:7" x14ac:dyDescent="0.3">
      <c r="G212"/>
    </row>
    <row r="213" spans="7:7" x14ac:dyDescent="0.3">
      <c r="G213"/>
    </row>
    <row r="214" spans="7:7" x14ac:dyDescent="0.3">
      <c r="G214"/>
    </row>
    <row r="215" spans="7:7" x14ac:dyDescent="0.3">
      <c r="G215"/>
    </row>
    <row r="216" spans="7:7" x14ac:dyDescent="0.3">
      <c r="G216"/>
    </row>
    <row r="217" spans="7:7" x14ac:dyDescent="0.3">
      <c r="G217"/>
    </row>
    <row r="218" spans="7:7" x14ac:dyDescent="0.3">
      <c r="G218"/>
    </row>
    <row r="219" spans="7:7" x14ac:dyDescent="0.3">
      <c r="G219"/>
    </row>
    <row r="220" spans="7:7" x14ac:dyDescent="0.3">
      <c r="G220"/>
    </row>
    <row r="221" spans="7:7" x14ac:dyDescent="0.3">
      <c r="G221"/>
    </row>
    <row r="222" spans="7:7" x14ac:dyDescent="0.3">
      <c r="G222"/>
    </row>
    <row r="223" spans="7:7" x14ac:dyDescent="0.3">
      <c r="G223"/>
    </row>
    <row r="224" spans="7:7" x14ac:dyDescent="0.3">
      <c r="G224"/>
    </row>
    <row r="225" spans="7:7" x14ac:dyDescent="0.3">
      <c r="G225"/>
    </row>
    <row r="226" spans="7:7" x14ac:dyDescent="0.3">
      <c r="G226"/>
    </row>
    <row r="227" spans="7:7" x14ac:dyDescent="0.3">
      <c r="G227"/>
    </row>
    <row r="228" spans="7:7" x14ac:dyDescent="0.3">
      <c r="G228"/>
    </row>
    <row r="229" spans="7:7" x14ac:dyDescent="0.3">
      <c r="G229"/>
    </row>
    <row r="230" spans="7:7" x14ac:dyDescent="0.3">
      <c r="G230"/>
    </row>
    <row r="231" spans="7:7" x14ac:dyDescent="0.3">
      <c r="G231"/>
    </row>
    <row r="232" spans="7:7" x14ac:dyDescent="0.3">
      <c r="G232"/>
    </row>
    <row r="233" spans="7:7" x14ac:dyDescent="0.3">
      <c r="G233"/>
    </row>
    <row r="234" spans="7:7" x14ac:dyDescent="0.3">
      <c r="G234"/>
    </row>
    <row r="235" spans="7:7" x14ac:dyDescent="0.3">
      <c r="G235"/>
    </row>
    <row r="236" spans="7:7" x14ac:dyDescent="0.3">
      <c r="G236"/>
    </row>
    <row r="237" spans="7:7" x14ac:dyDescent="0.3">
      <c r="G237"/>
    </row>
    <row r="238" spans="7:7" x14ac:dyDescent="0.3">
      <c r="G238"/>
    </row>
    <row r="239" spans="7:7" x14ac:dyDescent="0.3">
      <c r="G239"/>
    </row>
    <row r="240" spans="7:7" x14ac:dyDescent="0.3">
      <c r="G240"/>
    </row>
    <row r="241" spans="7:7" x14ac:dyDescent="0.3">
      <c r="G241"/>
    </row>
    <row r="242" spans="7:7" x14ac:dyDescent="0.3">
      <c r="G242"/>
    </row>
    <row r="243" spans="7:7" x14ac:dyDescent="0.3">
      <c r="G243"/>
    </row>
    <row r="244" spans="7:7" x14ac:dyDescent="0.3">
      <c r="G244"/>
    </row>
    <row r="245" spans="7:7" x14ac:dyDescent="0.3">
      <c r="G245"/>
    </row>
    <row r="246" spans="7:7" x14ac:dyDescent="0.3">
      <c r="G246"/>
    </row>
    <row r="247" spans="7:7" x14ac:dyDescent="0.3">
      <c r="G247"/>
    </row>
    <row r="248" spans="7:7" x14ac:dyDescent="0.3">
      <c r="G248"/>
    </row>
    <row r="249" spans="7:7" x14ac:dyDescent="0.3">
      <c r="G249"/>
    </row>
    <row r="250" spans="7:7" x14ac:dyDescent="0.3">
      <c r="G250"/>
    </row>
    <row r="251" spans="7:7" x14ac:dyDescent="0.3">
      <c r="G251"/>
    </row>
    <row r="252" spans="7:7" x14ac:dyDescent="0.3">
      <c r="G252"/>
    </row>
    <row r="253" spans="7:7" x14ac:dyDescent="0.3">
      <c r="G253"/>
    </row>
    <row r="254" spans="7:7" x14ac:dyDescent="0.3">
      <c r="G254"/>
    </row>
    <row r="255" spans="7:7" x14ac:dyDescent="0.3">
      <c r="G255"/>
    </row>
    <row r="256" spans="7:7" x14ac:dyDescent="0.3">
      <c r="G256"/>
    </row>
    <row r="257" spans="7:7" x14ac:dyDescent="0.3">
      <c r="G257"/>
    </row>
    <row r="258" spans="7:7" x14ac:dyDescent="0.3">
      <c r="G258"/>
    </row>
    <row r="259" spans="7:7" x14ac:dyDescent="0.3">
      <c r="G259"/>
    </row>
    <row r="260" spans="7:7" x14ac:dyDescent="0.3">
      <c r="G260"/>
    </row>
    <row r="261" spans="7:7" x14ac:dyDescent="0.3">
      <c r="G261"/>
    </row>
    <row r="262" spans="7:7" x14ac:dyDescent="0.3">
      <c r="G262"/>
    </row>
    <row r="263" spans="7:7" x14ac:dyDescent="0.3">
      <c r="G263"/>
    </row>
    <row r="264" spans="7:7" x14ac:dyDescent="0.3">
      <c r="G264"/>
    </row>
    <row r="265" spans="7:7" x14ac:dyDescent="0.3">
      <c r="G265"/>
    </row>
    <row r="266" spans="7:7" x14ac:dyDescent="0.3">
      <c r="G266"/>
    </row>
    <row r="267" spans="7:7" x14ac:dyDescent="0.3">
      <c r="G267"/>
    </row>
    <row r="268" spans="7:7" x14ac:dyDescent="0.3">
      <c r="G268"/>
    </row>
    <row r="269" spans="7:7" x14ac:dyDescent="0.3">
      <c r="G269"/>
    </row>
    <row r="270" spans="7:7" x14ac:dyDescent="0.3">
      <c r="G270"/>
    </row>
    <row r="271" spans="7:7" x14ac:dyDescent="0.3">
      <c r="G271"/>
    </row>
    <row r="272" spans="7:7" x14ac:dyDescent="0.3">
      <c r="G272"/>
    </row>
    <row r="273" spans="7:7" x14ac:dyDescent="0.3">
      <c r="G273"/>
    </row>
    <row r="274" spans="7:7" x14ac:dyDescent="0.3">
      <c r="G274"/>
    </row>
    <row r="275" spans="7:7" x14ac:dyDescent="0.3">
      <c r="G275"/>
    </row>
    <row r="276" spans="7:7" x14ac:dyDescent="0.3">
      <c r="G276"/>
    </row>
    <row r="277" spans="7:7" x14ac:dyDescent="0.3">
      <c r="G277"/>
    </row>
    <row r="278" spans="7:7" x14ac:dyDescent="0.3">
      <c r="G278"/>
    </row>
    <row r="279" spans="7:7" x14ac:dyDescent="0.3">
      <c r="G279"/>
    </row>
    <row r="280" spans="7:7" x14ac:dyDescent="0.3">
      <c r="G280"/>
    </row>
    <row r="281" spans="7:7" x14ac:dyDescent="0.3">
      <c r="G281"/>
    </row>
    <row r="282" spans="7:7" x14ac:dyDescent="0.3">
      <c r="G282"/>
    </row>
    <row r="283" spans="7:7" x14ac:dyDescent="0.3">
      <c r="G283"/>
    </row>
    <row r="284" spans="7:7" x14ac:dyDescent="0.3">
      <c r="G284"/>
    </row>
    <row r="285" spans="7:7" x14ac:dyDescent="0.3">
      <c r="G285"/>
    </row>
    <row r="286" spans="7:7" x14ac:dyDescent="0.3">
      <c r="G286"/>
    </row>
    <row r="287" spans="7:7" x14ac:dyDescent="0.3">
      <c r="G287"/>
    </row>
    <row r="288" spans="7:7" x14ac:dyDescent="0.3">
      <c r="G288"/>
    </row>
    <row r="289" spans="7:7" x14ac:dyDescent="0.3">
      <c r="G289"/>
    </row>
    <row r="290" spans="7:7" x14ac:dyDescent="0.3">
      <c r="G290"/>
    </row>
    <row r="291" spans="7:7" x14ac:dyDescent="0.3">
      <c r="G291"/>
    </row>
    <row r="292" spans="7:7" x14ac:dyDescent="0.3">
      <c r="G292"/>
    </row>
    <row r="293" spans="7:7" x14ac:dyDescent="0.3">
      <c r="G293"/>
    </row>
    <row r="294" spans="7:7" x14ac:dyDescent="0.3">
      <c r="G294"/>
    </row>
    <row r="295" spans="7:7" x14ac:dyDescent="0.3">
      <c r="G295"/>
    </row>
    <row r="296" spans="7:7" x14ac:dyDescent="0.3">
      <c r="G296"/>
    </row>
    <row r="297" spans="7:7" x14ac:dyDescent="0.3">
      <c r="G297"/>
    </row>
    <row r="298" spans="7:7" x14ac:dyDescent="0.3">
      <c r="G298"/>
    </row>
    <row r="299" spans="7:7" x14ac:dyDescent="0.3">
      <c r="G299"/>
    </row>
    <row r="300" spans="7:7" x14ac:dyDescent="0.3">
      <c r="G300"/>
    </row>
    <row r="301" spans="7:7" x14ac:dyDescent="0.3">
      <c r="G301"/>
    </row>
    <row r="302" spans="7:7" x14ac:dyDescent="0.3">
      <c r="G302"/>
    </row>
    <row r="303" spans="7:7" x14ac:dyDescent="0.3">
      <c r="G303"/>
    </row>
    <row r="304" spans="7:7" x14ac:dyDescent="0.3">
      <c r="G304"/>
    </row>
    <row r="305" spans="7:7" x14ac:dyDescent="0.3">
      <c r="G305"/>
    </row>
    <row r="306" spans="7:7" x14ac:dyDescent="0.3">
      <c r="G306"/>
    </row>
    <row r="307" spans="7:7" x14ac:dyDescent="0.3">
      <c r="G307"/>
    </row>
    <row r="308" spans="7:7" x14ac:dyDescent="0.3">
      <c r="G308"/>
    </row>
    <row r="309" spans="7:7" x14ac:dyDescent="0.3">
      <c r="G309"/>
    </row>
    <row r="310" spans="7:7" x14ac:dyDescent="0.3">
      <c r="G310"/>
    </row>
    <row r="311" spans="7:7" x14ac:dyDescent="0.3">
      <c r="G311"/>
    </row>
    <row r="312" spans="7:7" x14ac:dyDescent="0.3">
      <c r="G312"/>
    </row>
    <row r="313" spans="7:7" x14ac:dyDescent="0.3">
      <c r="G313"/>
    </row>
    <row r="314" spans="7:7" x14ac:dyDescent="0.3">
      <c r="G314"/>
    </row>
    <row r="315" spans="7:7" x14ac:dyDescent="0.3">
      <c r="G315"/>
    </row>
    <row r="316" spans="7:7" x14ac:dyDescent="0.3">
      <c r="G316"/>
    </row>
    <row r="317" spans="7:7" x14ac:dyDescent="0.3">
      <c r="G317"/>
    </row>
    <row r="318" spans="7:7" x14ac:dyDescent="0.3">
      <c r="G318"/>
    </row>
    <row r="319" spans="7:7" x14ac:dyDescent="0.3">
      <c r="G319"/>
    </row>
    <row r="320" spans="7:7" x14ac:dyDescent="0.3">
      <c r="G320"/>
    </row>
    <row r="321" spans="7:7" x14ac:dyDescent="0.3">
      <c r="G321"/>
    </row>
    <row r="322" spans="7:7" x14ac:dyDescent="0.3">
      <c r="G322"/>
    </row>
    <row r="323" spans="7:7" x14ac:dyDescent="0.3">
      <c r="G323"/>
    </row>
    <row r="324" spans="7:7" x14ac:dyDescent="0.3">
      <c r="G324"/>
    </row>
    <row r="325" spans="7:7" x14ac:dyDescent="0.3">
      <c r="G325"/>
    </row>
    <row r="326" spans="7:7" x14ac:dyDescent="0.3">
      <c r="G326"/>
    </row>
    <row r="327" spans="7:7" x14ac:dyDescent="0.3">
      <c r="G327"/>
    </row>
    <row r="328" spans="7:7" x14ac:dyDescent="0.3">
      <c r="G328"/>
    </row>
    <row r="329" spans="7:7" x14ac:dyDescent="0.3">
      <c r="G329"/>
    </row>
    <row r="330" spans="7:7" x14ac:dyDescent="0.3">
      <c r="G330"/>
    </row>
    <row r="331" spans="7:7" x14ac:dyDescent="0.3">
      <c r="G331"/>
    </row>
    <row r="332" spans="7:7" x14ac:dyDescent="0.3">
      <c r="G332"/>
    </row>
    <row r="333" spans="7:7" x14ac:dyDescent="0.3">
      <c r="G333"/>
    </row>
    <row r="334" spans="7:7" x14ac:dyDescent="0.3">
      <c r="G334"/>
    </row>
    <row r="335" spans="7:7" x14ac:dyDescent="0.3">
      <c r="G335"/>
    </row>
    <row r="336" spans="7:7" x14ac:dyDescent="0.3">
      <c r="G336"/>
    </row>
    <row r="337" spans="7:7" x14ac:dyDescent="0.3">
      <c r="G337"/>
    </row>
    <row r="338" spans="7:7" x14ac:dyDescent="0.3">
      <c r="G338"/>
    </row>
    <row r="339" spans="7:7" x14ac:dyDescent="0.3">
      <c r="G339"/>
    </row>
    <row r="340" spans="7:7" x14ac:dyDescent="0.3">
      <c r="G340"/>
    </row>
    <row r="341" spans="7:7" x14ac:dyDescent="0.3">
      <c r="G341"/>
    </row>
    <row r="342" spans="7:7" x14ac:dyDescent="0.3">
      <c r="G342"/>
    </row>
    <row r="343" spans="7:7" x14ac:dyDescent="0.3">
      <c r="G343"/>
    </row>
    <row r="344" spans="7:7" x14ac:dyDescent="0.3">
      <c r="G344"/>
    </row>
    <row r="345" spans="7:7" x14ac:dyDescent="0.3">
      <c r="G345"/>
    </row>
    <row r="346" spans="7:7" x14ac:dyDescent="0.3">
      <c r="G346"/>
    </row>
    <row r="347" spans="7:7" x14ac:dyDescent="0.3">
      <c r="G347"/>
    </row>
    <row r="348" spans="7:7" x14ac:dyDescent="0.3">
      <c r="G348"/>
    </row>
    <row r="349" spans="7:7" x14ac:dyDescent="0.3">
      <c r="G349"/>
    </row>
    <row r="350" spans="7:7" x14ac:dyDescent="0.3">
      <c r="G350"/>
    </row>
    <row r="351" spans="7:7" x14ac:dyDescent="0.3">
      <c r="G351"/>
    </row>
    <row r="352" spans="7:7" x14ac:dyDescent="0.3">
      <c r="G352"/>
    </row>
    <row r="353" spans="7:7" x14ac:dyDescent="0.3">
      <c r="G353"/>
    </row>
    <row r="354" spans="7:7" x14ac:dyDescent="0.3">
      <c r="G354"/>
    </row>
    <row r="355" spans="7:7" x14ac:dyDescent="0.3">
      <c r="G355"/>
    </row>
    <row r="356" spans="7:7" x14ac:dyDescent="0.3">
      <c r="G356"/>
    </row>
    <row r="357" spans="7:7" x14ac:dyDescent="0.3">
      <c r="G357"/>
    </row>
    <row r="358" spans="7:7" x14ac:dyDescent="0.3">
      <c r="G358"/>
    </row>
    <row r="359" spans="7:7" x14ac:dyDescent="0.3">
      <c r="G359"/>
    </row>
    <row r="360" spans="7:7" x14ac:dyDescent="0.3">
      <c r="G360"/>
    </row>
    <row r="361" spans="7:7" x14ac:dyDescent="0.3">
      <c r="G361"/>
    </row>
    <row r="362" spans="7:7" x14ac:dyDescent="0.3">
      <c r="G362"/>
    </row>
    <row r="363" spans="7:7" x14ac:dyDescent="0.3">
      <c r="G363"/>
    </row>
    <row r="364" spans="7:7" x14ac:dyDescent="0.3">
      <c r="G364"/>
    </row>
    <row r="365" spans="7:7" x14ac:dyDescent="0.3">
      <c r="G365"/>
    </row>
    <row r="366" spans="7:7" x14ac:dyDescent="0.3">
      <c r="G366"/>
    </row>
    <row r="367" spans="7:7" x14ac:dyDescent="0.3">
      <c r="G367"/>
    </row>
    <row r="368" spans="7:7" x14ac:dyDescent="0.3">
      <c r="G368"/>
    </row>
    <row r="369" spans="7:7" x14ac:dyDescent="0.3">
      <c r="G369"/>
    </row>
    <row r="370" spans="7:7" x14ac:dyDescent="0.3">
      <c r="G370"/>
    </row>
    <row r="371" spans="7:7" x14ac:dyDescent="0.3">
      <c r="G371"/>
    </row>
    <row r="372" spans="7:7" x14ac:dyDescent="0.3">
      <c r="G372"/>
    </row>
    <row r="373" spans="7:7" x14ac:dyDescent="0.3">
      <c r="G373"/>
    </row>
    <row r="374" spans="7:7" x14ac:dyDescent="0.3">
      <c r="G374"/>
    </row>
    <row r="375" spans="7:7" x14ac:dyDescent="0.3">
      <c r="G375"/>
    </row>
    <row r="376" spans="7:7" x14ac:dyDescent="0.3">
      <c r="G376"/>
    </row>
    <row r="377" spans="7:7" x14ac:dyDescent="0.3">
      <c r="G377"/>
    </row>
    <row r="378" spans="7:7" x14ac:dyDescent="0.3">
      <c r="G378"/>
    </row>
    <row r="379" spans="7:7" x14ac:dyDescent="0.3">
      <c r="G379"/>
    </row>
    <row r="380" spans="7:7" x14ac:dyDescent="0.3">
      <c r="G380"/>
    </row>
    <row r="381" spans="7:7" x14ac:dyDescent="0.3">
      <c r="G381"/>
    </row>
    <row r="382" spans="7:7" x14ac:dyDescent="0.3">
      <c r="G382"/>
    </row>
    <row r="383" spans="7:7" x14ac:dyDescent="0.3">
      <c r="G383"/>
    </row>
    <row r="384" spans="7:7" x14ac:dyDescent="0.3">
      <c r="G384"/>
    </row>
    <row r="385" spans="7:7" x14ac:dyDescent="0.3">
      <c r="G385"/>
    </row>
    <row r="386" spans="7:7" x14ac:dyDescent="0.3">
      <c r="G386"/>
    </row>
    <row r="387" spans="7:7" x14ac:dyDescent="0.3">
      <c r="G387"/>
    </row>
    <row r="388" spans="7:7" x14ac:dyDescent="0.3">
      <c r="G388"/>
    </row>
    <row r="389" spans="7:7" x14ac:dyDescent="0.3">
      <c r="G389"/>
    </row>
    <row r="390" spans="7:7" x14ac:dyDescent="0.3">
      <c r="G390"/>
    </row>
    <row r="391" spans="7:7" x14ac:dyDescent="0.3">
      <c r="G391"/>
    </row>
    <row r="392" spans="7:7" x14ac:dyDescent="0.3">
      <c r="G392"/>
    </row>
    <row r="393" spans="7:7" x14ac:dyDescent="0.3">
      <c r="G393"/>
    </row>
    <row r="394" spans="7:7" x14ac:dyDescent="0.3">
      <c r="G394"/>
    </row>
    <row r="395" spans="7:7" x14ac:dyDescent="0.3">
      <c r="G395"/>
    </row>
    <row r="396" spans="7:7" x14ac:dyDescent="0.3">
      <c r="G396"/>
    </row>
    <row r="397" spans="7:7" x14ac:dyDescent="0.3">
      <c r="G397"/>
    </row>
    <row r="398" spans="7:7" x14ac:dyDescent="0.3">
      <c r="G398"/>
    </row>
    <row r="399" spans="7:7" x14ac:dyDescent="0.3">
      <c r="G399"/>
    </row>
    <row r="400" spans="7:7" x14ac:dyDescent="0.3">
      <c r="G400"/>
    </row>
    <row r="401" spans="7:7" x14ac:dyDescent="0.3">
      <c r="G401"/>
    </row>
    <row r="402" spans="7:7" x14ac:dyDescent="0.3">
      <c r="G402"/>
    </row>
    <row r="403" spans="7:7" x14ac:dyDescent="0.3">
      <c r="G403"/>
    </row>
    <row r="404" spans="7:7" x14ac:dyDescent="0.3">
      <c r="G404"/>
    </row>
    <row r="405" spans="7:7" x14ac:dyDescent="0.3">
      <c r="G405"/>
    </row>
    <row r="406" spans="7:7" x14ac:dyDescent="0.3">
      <c r="G406"/>
    </row>
    <row r="407" spans="7:7" x14ac:dyDescent="0.3">
      <c r="G407"/>
    </row>
    <row r="408" spans="7:7" x14ac:dyDescent="0.3">
      <c r="G408"/>
    </row>
    <row r="409" spans="7:7" x14ac:dyDescent="0.3">
      <c r="G409"/>
    </row>
    <row r="410" spans="7:7" x14ac:dyDescent="0.3">
      <c r="G410"/>
    </row>
    <row r="411" spans="7:7" x14ac:dyDescent="0.3">
      <c r="G411"/>
    </row>
    <row r="412" spans="7:7" x14ac:dyDescent="0.3">
      <c r="G412"/>
    </row>
    <row r="413" spans="7:7" x14ac:dyDescent="0.3">
      <c r="G413"/>
    </row>
    <row r="414" spans="7:7" x14ac:dyDescent="0.3">
      <c r="G414"/>
    </row>
    <row r="415" spans="7:7" x14ac:dyDescent="0.3">
      <c r="G415"/>
    </row>
    <row r="416" spans="7:7" x14ac:dyDescent="0.3">
      <c r="G416"/>
    </row>
    <row r="417" spans="7:7" x14ac:dyDescent="0.3">
      <c r="G417"/>
    </row>
    <row r="418" spans="7:7" x14ac:dyDescent="0.3">
      <c r="G418"/>
    </row>
    <row r="419" spans="7:7" x14ac:dyDescent="0.3">
      <c r="G419"/>
    </row>
    <row r="420" spans="7:7" x14ac:dyDescent="0.3">
      <c r="G420"/>
    </row>
    <row r="421" spans="7:7" x14ac:dyDescent="0.3">
      <c r="G421"/>
    </row>
    <row r="422" spans="7:7" x14ac:dyDescent="0.3">
      <c r="G422"/>
    </row>
    <row r="423" spans="7:7" x14ac:dyDescent="0.3">
      <c r="G423"/>
    </row>
    <row r="424" spans="7:7" x14ac:dyDescent="0.3">
      <c r="G424"/>
    </row>
    <row r="425" spans="7:7" x14ac:dyDescent="0.3">
      <c r="G425"/>
    </row>
    <row r="426" spans="7:7" x14ac:dyDescent="0.3">
      <c r="G426"/>
    </row>
    <row r="427" spans="7:7" x14ac:dyDescent="0.3">
      <c r="G427"/>
    </row>
    <row r="428" spans="7:7" x14ac:dyDescent="0.3">
      <c r="G428"/>
    </row>
    <row r="429" spans="7:7" x14ac:dyDescent="0.3">
      <c r="G429"/>
    </row>
    <row r="430" spans="7:7" x14ac:dyDescent="0.3">
      <c r="G430"/>
    </row>
    <row r="431" spans="7:7" x14ac:dyDescent="0.3">
      <c r="G431"/>
    </row>
    <row r="432" spans="7:7" x14ac:dyDescent="0.3">
      <c r="G432"/>
    </row>
    <row r="433" spans="7:7" x14ac:dyDescent="0.3">
      <c r="G433"/>
    </row>
    <row r="434" spans="7:7" x14ac:dyDescent="0.3">
      <c r="G434"/>
    </row>
    <row r="435" spans="7:7" x14ac:dyDescent="0.3">
      <c r="G435"/>
    </row>
    <row r="436" spans="7:7" x14ac:dyDescent="0.3">
      <c r="G436"/>
    </row>
    <row r="437" spans="7:7" x14ac:dyDescent="0.3">
      <c r="G437"/>
    </row>
    <row r="438" spans="7:7" x14ac:dyDescent="0.3">
      <c r="G438"/>
    </row>
    <row r="439" spans="7:7" x14ac:dyDescent="0.3">
      <c r="G439"/>
    </row>
    <row r="440" spans="7:7" x14ac:dyDescent="0.3">
      <c r="G440"/>
    </row>
    <row r="441" spans="7:7" x14ac:dyDescent="0.3">
      <c r="G441"/>
    </row>
    <row r="442" spans="7:7" x14ac:dyDescent="0.3">
      <c r="G442"/>
    </row>
    <row r="443" spans="7:7" x14ac:dyDescent="0.3">
      <c r="G443"/>
    </row>
    <row r="444" spans="7:7" x14ac:dyDescent="0.3">
      <c r="G444"/>
    </row>
    <row r="445" spans="7:7" x14ac:dyDescent="0.3">
      <c r="G445"/>
    </row>
    <row r="446" spans="7:7" x14ac:dyDescent="0.3">
      <c r="G446"/>
    </row>
    <row r="447" spans="7:7" x14ac:dyDescent="0.3">
      <c r="G447"/>
    </row>
    <row r="448" spans="7:7" x14ac:dyDescent="0.3">
      <c r="G448"/>
    </row>
    <row r="449" spans="7:7" x14ac:dyDescent="0.3">
      <c r="G449"/>
    </row>
    <row r="450" spans="7:7" x14ac:dyDescent="0.3">
      <c r="G450"/>
    </row>
    <row r="451" spans="7:7" x14ac:dyDescent="0.3">
      <c r="G451"/>
    </row>
    <row r="452" spans="7:7" x14ac:dyDescent="0.3">
      <c r="G452"/>
    </row>
    <row r="453" spans="7:7" x14ac:dyDescent="0.3">
      <c r="G453"/>
    </row>
    <row r="454" spans="7:7" x14ac:dyDescent="0.3">
      <c r="G454"/>
    </row>
    <row r="455" spans="7:7" x14ac:dyDescent="0.3">
      <c r="G455"/>
    </row>
    <row r="456" spans="7:7" x14ac:dyDescent="0.3">
      <c r="G456"/>
    </row>
    <row r="457" spans="7:7" x14ac:dyDescent="0.3">
      <c r="G457"/>
    </row>
    <row r="458" spans="7:7" x14ac:dyDescent="0.3">
      <c r="G458"/>
    </row>
    <row r="459" spans="7:7" x14ac:dyDescent="0.3">
      <c r="G459"/>
    </row>
    <row r="460" spans="7:7" x14ac:dyDescent="0.3">
      <c r="G460"/>
    </row>
    <row r="461" spans="7:7" x14ac:dyDescent="0.3">
      <c r="G461"/>
    </row>
    <row r="462" spans="7:7" x14ac:dyDescent="0.3">
      <c r="G462"/>
    </row>
    <row r="463" spans="7:7" x14ac:dyDescent="0.3">
      <c r="G463"/>
    </row>
    <row r="464" spans="7:7" x14ac:dyDescent="0.3">
      <c r="G464"/>
    </row>
    <row r="465" spans="7:7" x14ac:dyDescent="0.3">
      <c r="G465"/>
    </row>
    <row r="466" spans="7:7" x14ac:dyDescent="0.3">
      <c r="G466"/>
    </row>
    <row r="467" spans="7:7" x14ac:dyDescent="0.3">
      <c r="G467"/>
    </row>
    <row r="468" spans="7:7" x14ac:dyDescent="0.3">
      <c r="G468"/>
    </row>
    <row r="469" spans="7:7" x14ac:dyDescent="0.3">
      <c r="G469"/>
    </row>
    <row r="470" spans="7:7" x14ac:dyDescent="0.3">
      <c r="G470"/>
    </row>
    <row r="471" spans="7:7" x14ac:dyDescent="0.3">
      <c r="G471"/>
    </row>
    <row r="472" spans="7:7" x14ac:dyDescent="0.3">
      <c r="G472"/>
    </row>
    <row r="473" spans="7:7" x14ac:dyDescent="0.3">
      <c r="G473"/>
    </row>
    <row r="474" spans="7:7" x14ac:dyDescent="0.3">
      <c r="G474"/>
    </row>
    <row r="475" spans="7:7" x14ac:dyDescent="0.3">
      <c r="G475"/>
    </row>
    <row r="476" spans="7:7" x14ac:dyDescent="0.3">
      <c r="G476"/>
    </row>
    <row r="477" spans="7:7" x14ac:dyDescent="0.3">
      <c r="G477"/>
    </row>
    <row r="478" spans="7:7" x14ac:dyDescent="0.3">
      <c r="G478"/>
    </row>
    <row r="479" spans="7:7" x14ac:dyDescent="0.3">
      <c r="G479"/>
    </row>
    <row r="480" spans="7:7" x14ac:dyDescent="0.3">
      <c r="G480"/>
    </row>
    <row r="481" spans="7:7" x14ac:dyDescent="0.3">
      <c r="G481"/>
    </row>
    <row r="482" spans="7:7" x14ac:dyDescent="0.3">
      <c r="G482"/>
    </row>
    <row r="483" spans="7:7" x14ac:dyDescent="0.3">
      <c r="G483"/>
    </row>
    <row r="484" spans="7:7" x14ac:dyDescent="0.3">
      <c r="G484"/>
    </row>
    <row r="485" spans="7:7" x14ac:dyDescent="0.3">
      <c r="G485"/>
    </row>
    <row r="486" spans="7:7" x14ac:dyDescent="0.3">
      <c r="G486"/>
    </row>
    <row r="487" spans="7:7" x14ac:dyDescent="0.3">
      <c r="G487"/>
    </row>
    <row r="488" spans="7:7" x14ac:dyDescent="0.3">
      <c r="G488"/>
    </row>
    <row r="489" spans="7:7" x14ac:dyDescent="0.3">
      <c r="G489"/>
    </row>
    <row r="490" spans="7:7" x14ac:dyDescent="0.3">
      <c r="G490"/>
    </row>
    <row r="491" spans="7:7" x14ac:dyDescent="0.3">
      <c r="G491"/>
    </row>
    <row r="492" spans="7:7" x14ac:dyDescent="0.3">
      <c r="G492"/>
    </row>
    <row r="493" spans="7:7" x14ac:dyDescent="0.3">
      <c r="G493"/>
    </row>
    <row r="494" spans="7:7" x14ac:dyDescent="0.3">
      <c r="G494"/>
    </row>
    <row r="495" spans="7:7" x14ac:dyDescent="0.3">
      <c r="G495"/>
    </row>
    <row r="496" spans="7:7" x14ac:dyDescent="0.3">
      <c r="G496"/>
    </row>
    <row r="497" spans="7:7" x14ac:dyDescent="0.3">
      <c r="G497"/>
    </row>
    <row r="498" spans="7:7" x14ac:dyDescent="0.3">
      <c r="G498"/>
    </row>
    <row r="499" spans="7:7" x14ac:dyDescent="0.3">
      <c r="G499"/>
    </row>
    <row r="500" spans="7:7" x14ac:dyDescent="0.3">
      <c r="G500"/>
    </row>
    <row r="501" spans="7:7" x14ac:dyDescent="0.3">
      <c r="G501"/>
    </row>
    <row r="502" spans="7:7" x14ac:dyDescent="0.3">
      <c r="G502"/>
    </row>
    <row r="503" spans="7:7" x14ac:dyDescent="0.3">
      <c r="G503"/>
    </row>
    <row r="504" spans="7:7" x14ac:dyDescent="0.3">
      <c r="G504"/>
    </row>
    <row r="505" spans="7:7" x14ac:dyDescent="0.3">
      <c r="G505"/>
    </row>
    <row r="506" spans="7:7" x14ac:dyDescent="0.3">
      <c r="G506"/>
    </row>
    <row r="507" spans="7:7" x14ac:dyDescent="0.3">
      <c r="G507"/>
    </row>
    <row r="508" spans="7:7" x14ac:dyDescent="0.3">
      <c r="G508"/>
    </row>
    <row r="509" spans="7:7" x14ac:dyDescent="0.3">
      <c r="G509"/>
    </row>
    <row r="510" spans="7:7" x14ac:dyDescent="0.3">
      <c r="G510"/>
    </row>
    <row r="511" spans="7:7" x14ac:dyDescent="0.3">
      <c r="G511"/>
    </row>
    <row r="512" spans="7:7" x14ac:dyDescent="0.3">
      <c r="G512"/>
    </row>
    <row r="513" spans="7:7" x14ac:dyDescent="0.3">
      <c r="G513"/>
    </row>
    <row r="514" spans="7:7" x14ac:dyDescent="0.3">
      <c r="G514"/>
    </row>
    <row r="515" spans="7:7" x14ac:dyDescent="0.3">
      <c r="G515"/>
    </row>
    <row r="516" spans="7:7" x14ac:dyDescent="0.3">
      <c r="G516"/>
    </row>
    <row r="517" spans="7:7" x14ac:dyDescent="0.3">
      <c r="G517"/>
    </row>
    <row r="518" spans="7:7" x14ac:dyDescent="0.3">
      <c r="G518"/>
    </row>
    <row r="519" spans="7:7" x14ac:dyDescent="0.3">
      <c r="G519"/>
    </row>
    <row r="520" spans="7:7" x14ac:dyDescent="0.3">
      <c r="G520"/>
    </row>
    <row r="521" spans="7:7" x14ac:dyDescent="0.3">
      <c r="G521"/>
    </row>
    <row r="522" spans="7:7" x14ac:dyDescent="0.3">
      <c r="G522"/>
    </row>
    <row r="523" spans="7:7" x14ac:dyDescent="0.3">
      <c r="G523"/>
    </row>
    <row r="524" spans="7:7" x14ac:dyDescent="0.3">
      <c r="G524"/>
    </row>
    <row r="525" spans="7:7" x14ac:dyDescent="0.3">
      <c r="G525"/>
    </row>
    <row r="526" spans="7:7" x14ac:dyDescent="0.3">
      <c r="G526"/>
    </row>
    <row r="527" spans="7:7" x14ac:dyDescent="0.3">
      <c r="G527"/>
    </row>
    <row r="528" spans="7:7" x14ac:dyDescent="0.3">
      <c r="G528"/>
    </row>
    <row r="529" spans="7:7" x14ac:dyDescent="0.3">
      <c r="G529"/>
    </row>
    <row r="530" spans="7:7" x14ac:dyDescent="0.3">
      <c r="G530"/>
    </row>
    <row r="531" spans="7:7" x14ac:dyDescent="0.3">
      <c r="G531"/>
    </row>
    <row r="532" spans="7:7" x14ac:dyDescent="0.3">
      <c r="G532"/>
    </row>
    <row r="533" spans="7:7" x14ac:dyDescent="0.3">
      <c r="G533"/>
    </row>
    <row r="534" spans="7:7" x14ac:dyDescent="0.3">
      <c r="G534"/>
    </row>
    <row r="535" spans="7:7" x14ac:dyDescent="0.3">
      <c r="G535"/>
    </row>
    <row r="536" spans="7:7" x14ac:dyDescent="0.3">
      <c r="G536"/>
    </row>
    <row r="537" spans="7:7" x14ac:dyDescent="0.3">
      <c r="G537"/>
    </row>
    <row r="538" spans="7:7" x14ac:dyDescent="0.3">
      <c r="G538"/>
    </row>
    <row r="539" spans="7:7" x14ac:dyDescent="0.3">
      <c r="G539"/>
    </row>
    <row r="540" spans="7:7" x14ac:dyDescent="0.3">
      <c r="G540"/>
    </row>
    <row r="541" spans="7:7" x14ac:dyDescent="0.3">
      <c r="G541"/>
    </row>
    <row r="542" spans="7:7" x14ac:dyDescent="0.3">
      <c r="G542"/>
    </row>
    <row r="543" spans="7:7" x14ac:dyDescent="0.3">
      <c r="G543"/>
    </row>
    <row r="544" spans="7:7" x14ac:dyDescent="0.3">
      <c r="G544"/>
    </row>
    <row r="545" spans="7:7" x14ac:dyDescent="0.3">
      <c r="G545"/>
    </row>
    <row r="546" spans="7:7" x14ac:dyDescent="0.3">
      <c r="G546"/>
    </row>
    <row r="547" spans="7:7" x14ac:dyDescent="0.3">
      <c r="G547"/>
    </row>
    <row r="548" spans="7:7" x14ac:dyDescent="0.3">
      <c r="G548"/>
    </row>
    <row r="549" spans="7:7" x14ac:dyDescent="0.3">
      <c r="G549"/>
    </row>
    <row r="550" spans="7:7" x14ac:dyDescent="0.3">
      <c r="G550"/>
    </row>
    <row r="551" spans="7:7" x14ac:dyDescent="0.3">
      <c r="G551"/>
    </row>
    <row r="552" spans="7:7" x14ac:dyDescent="0.3">
      <c r="G552"/>
    </row>
    <row r="553" spans="7:7" x14ac:dyDescent="0.3">
      <c r="G553"/>
    </row>
    <row r="554" spans="7:7" x14ac:dyDescent="0.3">
      <c r="G554"/>
    </row>
    <row r="555" spans="7:7" x14ac:dyDescent="0.3">
      <c r="G555"/>
    </row>
    <row r="556" spans="7:7" x14ac:dyDescent="0.3">
      <c r="G556"/>
    </row>
    <row r="557" spans="7:7" x14ac:dyDescent="0.3">
      <c r="G557"/>
    </row>
    <row r="558" spans="7:7" x14ac:dyDescent="0.3">
      <c r="G558"/>
    </row>
    <row r="559" spans="7:7" x14ac:dyDescent="0.3">
      <c r="G559"/>
    </row>
    <row r="560" spans="7:7" x14ac:dyDescent="0.3">
      <c r="G560"/>
    </row>
    <row r="561" spans="7:7" x14ac:dyDescent="0.3">
      <c r="G561"/>
    </row>
    <row r="562" spans="7:7" x14ac:dyDescent="0.3">
      <c r="G562"/>
    </row>
    <row r="563" spans="7:7" x14ac:dyDescent="0.3">
      <c r="G563"/>
    </row>
    <row r="564" spans="7:7" x14ac:dyDescent="0.3">
      <c r="G564"/>
    </row>
    <row r="565" spans="7:7" x14ac:dyDescent="0.3">
      <c r="G565"/>
    </row>
    <row r="566" spans="7:7" x14ac:dyDescent="0.3">
      <c r="G566"/>
    </row>
    <row r="567" spans="7:7" x14ac:dyDescent="0.3">
      <c r="G567"/>
    </row>
    <row r="568" spans="7:7" x14ac:dyDescent="0.3">
      <c r="G568"/>
    </row>
    <row r="569" spans="7:7" x14ac:dyDescent="0.3">
      <c r="G569"/>
    </row>
    <row r="570" spans="7:7" x14ac:dyDescent="0.3">
      <c r="G570"/>
    </row>
    <row r="571" spans="7:7" x14ac:dyDescent="0.3">
      <c r="G571"/>
    </row>
    <row r="572" spans="7:7" x14ac:dyDescent="0.3">
      <c r="G572"/>
    </row>
    <row r="573" spans="7:7" x14ac:dyDescent="0.3">
      <c r="G573"/>
    </row>
    <row r="574" spans="7:7" x14ac:dyDescent="0.3">
      <c r="G574"/>
    </row>
    <row r="575" spans="7:7" x14ac:dyDescent="0.3">
      <c r="G575"/>
    </row>
    <row r="576" spans="7:7" x14ac:dyDescent="0.3">
      <c r="G576"/>
    </row>
    <row r="577" spans="7:7" x14ac:dyDescent="0.3">
      <c r="G577"/>
    </row>
    <row r="578" spans="7:7" x14ac:dyDescent="0.3">
      <c r="G578"/>
    </row>
    <row r="579" spans="7:7" x14ac:dyDescent="0.3">
      <c r="G579"/>
    </row>
    <row r="580" spans="7:7" x14ac:dyDescent="0.3">
      <c r="G580"/>
    </row>
    <row r="581" spans="7:7" x14ac:dyDescent="0.3">
      <c r="G581"/>
    </row>
    <row r="582" spans="7:7" x14ac:dyDescent="0.3">
      <c r="G582"/>
    </row>
    <row r="583" spans="7:7" x14ac:dyDescent="0.3">
      <c r="G583"/>
    </row>
    <row r="584" spans="7:7" x14ac:dyDescent="0.3">
      <c r="G584"/>
    </row>
    <row r="585" spans="7:7" x14ac:dyDescent="0.3">
      <c r="G585"/>
    </row>
    <row r="586" spans="7:7" x14ac:dyDescent="0.3">
      <c r="G586"/>
    </row>
    <row r="587" spans="7:7" x14ac:dyDescent="0.3">
      <c r="G587"/>
    </row>
    <row r="588" spans="7:7" x14ac:dyDescent="0.3">
      <c r="G588"/>
    </row>
    <row r="589" spans="7:7" x14ac:dyDescent="0.3">
      <c r="G589"/>
    </row>
    <row r="590" spans="7:7" x14ac:dyDescent="0.3">
      <c r="G590"/>
    </row>
    <row r="591" spans="7:7" x14ac:dyDescent="0.3">
      <c r="G591"/>
    </row>
    <row r="592" spans="7:7" x14ac:dyDescent="0.3">
      <c r="G592"/>
    </row>
    <row r="593" spans="7:7" x14ac:dyDescent="0.3">
      <c r="G593"/>
    </row>
    <row r="594" spans="7:7" x14ac:dyDescent="0.3">
      <c r="G594"/>
    </row>
    <row r="595" spans="7:7" x14ac:dyDescent="0.3">
      <c r="G595"/>
    </row>
    <row r="596" spans="7:7" x14ac:dyDescent="0.3">
      <c r="G596"/>
    </row>
    <row r="597" spans="7:7" x14ac:dyDescent="0.3">
      <c r="G597"/>
    </row>
    <row r="598" spans="7:7" x14ac:dyDescent="0.3">
      <c r="G598"/>
    </row>
    <row r="599" spans="7:7" x14ac:dyDescent="0.3">
      <c r="G599"/>
    </row>
    <row r="600" spans="7:7" x14ac:dyDescent="0.3">
      <c r="G600"/>
    </row>
    <row r="601" spans="7:7" x14ac:dyDescent="0.3">
      <c r="G601"/>
    </row>
    <row r="602" spans="7:7" x14ac:dyDescent="0.3">
      <c r="G602"/>
    </row>
    <row r="603" spans="7:7" x14ac:dyDescent="0.3">
      <c r="G603"/>
    </row>
    <row r="604" spans="7:7" x14ac:dyDescent="0.3">
      <c r="G604"/>
    </row>
    <row r="605" spans="7:7" x14ac:dyDescent="0.3">
      <c r="G605"/>
    </row>
    <row r="606" spans="7:7" x14ac:dyDescent="0.3">
      <c r="G606"/>
    </row>
    <row r="607" spans="7:7" x14ac:dyDescent="0.3">
      <c r="G607"/>
    </row>
    <row r="608" spans="7:7" x14ac:dyDescent="0.3">
      <c r="G608"/>
    </row>
    <row r="609" spans="7:7" x14ac:dyDescent="0.3">
      <c r="G609"/>
    </row>
    <row r="610" spans="7:7" x14ac:dyDescent="0.3">
      <c r="G610"/>
    </row>
    <row r="611" spans="7:7" x14ac:dyDescent="0.3">
      <c r="G611"/>
    </row>
    <row r="612" spans="7:7" x14ac:dyDescent="0.3">
      <c r="G612"/>
    </row>
    <row r="613" spans="7:7" x14ac:dyDescent="0.3">
      <c r="G613"/>
    </row>
    <row r="614" spans="7:7" x14ac:dyDescent="0.3">
      <c r="G614"/>
    </row>
    <row r="615" spans="7:7" x14ac:dyDescent="0.3">
      <c r="G615"/>
    </row>
    <row r="616" spans="7:7" x14ac:dyDescent="0.3">
      <c r="G616"/>
    </row>
    <row r="617" spans="7:7" x14ac:dyDescent="0.3">
      <c r="G617"/>
    </row>
    <row r="618" spans="7:7" x14ac:dyDescent="0.3">
      <c r="G618"/>
    </row>
    <row r="619" spans="7:7" x14ac:dyDescent="0.3">
      <c r="G619"/>
    </row>
    <row r="620" spans="7:7" x14ac:dyDescent="0.3">
      <c r="G620"/>
    </row>
    <row r="621" spans="7:7" x14ac:dyDescent="0.3">
      <c r="G621"/>
    </row>
    <row r="622" spans="7:7" x14ac:dyDescent="0.3">
      <c r="G622"/>
    </row>
    <row r="623" spans="7:7" x14ac:dyDescent="0.3">
      <c r="G623"/>
    </row>
    <row r="624" spans="7:7" x14ac:dyDescent="0.3">
      <c r="G624"/>
    </row>
    <row r="625" spans="7:7" x14ac:dyDescent="0.3">
      <c r="G625"/>
    </row>
    <row r="626" spans="7:7" x14ac:dyDescent="0.3">
      <c r="G626"/>
    </row>
    <row r="627" spans="7:7" x14ac:dyDescent="0.3">
      <c r="G627"/>
    </row>
    <row r="628" spans="7:7" x14ac:dyDescent="0.3">
      <c r="G628"/>
    </row>
    <row r="629" spans="7:7" x14ac:dyDescent="0.3">
      <c r="G629"/>
    </row>
    <row r="630" spans="7:7" x14ac:dyDescent="0.3">
      <c r="G630"/>
    </row>
    <row r="631" spans="7:7" x14ac:dyDescent="0.3">
      <c r="G631"/>
    </row>
    <row r="632" spans="7:7" x14ac:dyDescent="0.3">
      <c r="G632"/>
    </row>
    <row r="633" spans="7:7" x14ac:dyDescent="0.3">
      <c r="G633"/>
    </row>
    <row r="634" spans="7:7" x14ac:dyDescent="0.3">
      <c r="G634"/>
    </row>
    <row r="635" spans="7:7" x14ac:dyDescent="0.3">
      <c r="G635"/>
    </row>
    <row r="636" spans="7:7" x14ac:dyDescent="0.3">
      <c r="G636"/>
    </row>
    <row r="637" spans="7:7" x14ac:dyDescent="0.3">
      <c r="G637"/>
    </row>
    <row r="638" spans="7:7" x14ac:dyDescent="0.3">
      <c r="G638"/>
    </row>
    <row r="639" spans="7:7" x14ac:dyDescent="0.3">
      <c r="G639"/>
    </row>
    <row r="640" spans="7:7" x14ac:dyDescent="0.3">
      <c r="G640"/>
    </row>
    <row r="641" spans="7:7" x14ac:dyDescent="0.3">
      <c r="G641"/>
    </row>
    <row r="642" spans="7:7" x14ac:dyDescent="0.3">
      <c r="G642"/>
    </row>
    <row r="643" spans="7:7" x14ac:dyDescent="0.3">
      <c r="G643"/>
    </row>
    <row r="644" spans="7:7" x14ac:dyDescent="0.3">
      <c r="G644"/>
    </row>
    <row r="645" spans="7:7" x14ac:dyDescent="0.3">
      <c r="G645"/>
    </row>
    <row r="646" spans="7:7" x14ac:dyDescent="0.3">
      <c r="G646"/>
    </row>
    <row r="647" spans="7:7" x14ac:dyDescent="0.3">
      <c r="G647"/>
    </row>
    <row r="648" spans="7:7" x14ac:dyDescent="0.3">
      <c r="G648"/>
    </row>
    <row r="649" spans="7:7" x14ac:dyDescent="0.3">
      <c r="G649"/>
    </row>
    <row r="650" spans="7:7" x14ac:dyDescent="0.3">
      <c r="G650"/>
    </row>
    <row r="651" spans="7:7" x14ac:dyDescent="0.3">
      <c r="G651"/>
    </row>
    <row r="652" spans="7:7" x14ac:dyDescent="0.3">
      <c r="G652"/>
    </row>
    <row r="653" spans="7:7" x14ac:dyDescent="0.3">
      <c r="G653"/>
    </row>
    <row r="654" spans="7:7" x14ac:dyDescent="0.3">
      <c r="G654"/>
    </row>
    <row r="655" spans="7:7" x14ac:dyDescent="0.3">
      <c r="G655"/>
    </row>
    <row r="656" spans="7:7" x14ac:dyDescent="0.3">
      <c r="G656"/>
    </row>
    <row r="657" spans="7:7" x14ac:dyDescent="0.3">
      <c r="G657"/>
    </row>
    <row r="658" spans="7:7" x14ac:dyDescent="0.3">
      <c r="G658"/>
    </row>
    <row r="659" spans="7:7" x14ac:dyDescent="0.3">
      <c r="G659"/>
    </row>
    <row r="660" spans="7:7" x14ac:dyDescent="0.3">
      <c r="G660"/>
    </row>
    <row r="661" spans="7:7" x14ac:dyDescent="0.3">
      <c r="G661"/>
    </row>
    <row r="662" spans="7:7" x14ac:dyDescent="0.3">
      <c r="G662"/>
    </row>
    <row r="663" spans="7:7" x14ac:dyDescent="0.3">
      <c r="G663"/>
    </row>
    <row r="664" spans="7:7" x14ac:dyDescent="0.3">
      <c r="G664"/>
    </row>
    <row r="665" spans="7:7" x14ac:dyDescent="0.3">
      <c r="G665"/>
    </row>
    <row r="666" spans="7:7" x14ac:dyDescent="0.3">
      <c r="G666"/>
    </row>
    <row r="667" spans="7:7" x14ac:dyDescent="0.3">
      <c r="G667"/>
    </row>
    <row r="668" spans="7:7" x14ac:dyDescent="0.3">
      <c r="G668"/>
    </row>
    <row r="669" spans="7:7" x14ac:dyDescent="0.3">
      <c r="G669"/>
    </row>
    <row r="670" spans="7:7" x14ac:dyDescent="0.3">
      <c r="G670"/>
    </row>
    <row r="671" spans="7:7" x14ac:dyDescent="0.3">
      <c r="G671"/>
    </row>
    <row r="672" spans="7:7" x14ac:dyDescent="0.3">
      <c r="G672"/>
    </row>
    <row r="673" spans="7:7" x14ac:dyDescent="0.3">
      <c r="G673"/>
    </row>
    <row r="674" spans="7:7" x14ac:dyDescent="0.3">
      <c r="G674"/>
    </row>
    <row r="675" spans="7:7" x14ac:dyDescent="0.3">
      <c r="G675"/>
    </row>
    <row r="676" spans="7:7" x14ac:dyDescent="0.3">
      <c r="G676"/>
    </row>
    <row r="677" spans="7:7" x14ac:dyDescent="0.3">
      <c r="G677"/>
    </row>
    <row r="678" spans="7:7" x14ac:dyDescent="0.3">
      <c r="G678"/>
    </row>
    <row r="679" spans="7:7" x14ac:dyDescent="0.3">
      <c r="G679"/>
    </row>
    <row r="680" spans="7:7" x14ac:dyDescent="0.3">
      <c r="G680"/>
    </row>
    <row r="681" spans="7:7" x14ac:dyDescent="0.3">
      <c r="G681"/>
    </row>
    <row r="682" spans="7:7" x14ac:dyDescent="0.3">
      <c r="G682"/>
    </row>
    <row r="683" spans="7:7" x14ac:dyDescent="0.3">
      <c r="G683"/>
    </row>
    <row r="684" spans="7:7" x14ac:dyDescent="0.3">
      <c r="G684"/>
    </row>
    <row r="685" spans="7:7" x14ac:dyDescent="0.3">
      <c r="G685"/>
    </row>
    <row r="686" spans="7:7" x14ac:dyDescent="0.3">
      <c r="G686"/>
    </row>
    <row r="687" spans="7:7" x14ac:dyDescent="0.3">
      <c r="G687"/>
    </row>
    <row r="688" spans="7:7" x14ac:dyDescent="0.3">
      <c r="G688"/>
    </row>
    <row r="689" spans="7:7" x14ac:dyDescent="0.3">
      <c r="G689"/>
    </row>
    <row r="690" spans="7:7" x14ac:dyDescent="0.3">
      <c r="G690"/>
    </row>
    <row r="691" spans="7:7" x14ac:dyDescent="0.3">
      <c r="G691"/>
    </row>
    <row r="692" spans="7:7" x14ac:dyDescent="0.3">
      <c r="G692"/>
    </row>
    <row r="693" spans="7:7" x14ac:dyDescent="0.3">
      <c r="G693"/>
    </row>
    <row r="694" spans="7:7" x14ac:dyDescent="0.3">
      <c r="G694"/>
    </row>
    <row r="695" spans="7:7" x14ac:dyDescent="0.3">
      <c r="G695"/>
    </row>
    <row r="696" spans="7:7" x14ac:dyDescent="0.3">
      <c r="G696"/>
    </row>
    <row r="697" spans="7:7" x14ac:dyDescent="0.3">
      <c r="G697"/>
    </row>
    <row r="698" spans="7:7" x14ac:dyDescent="0.3">
      <c r="G698"/>
    </row>
    <row r="699" spans="7:7" x14ac:dyDescent="0.3">
      <c r="G699"/>
    </row>
    <row r="700" spans="7:7" x14ac:dyDescent="0.3">
      <c r="G700"/>
    </row>
    <row r="701" spans="7:7" x14ac:dyDescent="0.3">
      <c r="G701"/>
    </row>
    <row r="702" spans="7:7" x14ac:dyDescent="0.3">
      <c r="G702"/>
    </row>
    <row r="703" spans="7:7" x14ac:dyDescent="0.3">
      <c r="G703"/>
    </row>
    <row r="704" spans="7:7" x14ac:dyDescent="0.3">
      <c r="G704"/>
    </row>
    <row r="705" spans="7:7" x14ac:dyDescent="0.3">
      <c r="G705"/>
    </row>
    <row r="706" spans="7:7" x14ac:dyDescent="0.3">
      <c r="G706"/>
    </row>
    <row r="707" spans="7:7" x14ac:dyDescent="0.3">
      <c r="G707"/>
    </row>
    <row r="708" spans="7:7" x14ac:dyDescent="0.3">
      <c r="G708"/>
    </row>
    <row r="709" spans="7:7" x14ac:dyDescent="0.3">
      <c r="G709"/>
    </row>
    <row r="710" spans="7:7" x14ac:dyDescent="0.3">
      <c r="G710"/>
    </row>
    <row r="711" spans="7:7" x14ac:dyDescent="0.3">
      <c r="G711"/>
    </row>
    <row r="712" spans="7:7" x14ac:dyDescent="0.3">
      <c r="G712"/>
    </row>
    <row r="713" spans="7:7" x14ac:dyDescent="0.3">
      <c r="G713"/>
    </row>
    <row r="714" spans="7:7" x14ac:dyDescent="0.3">
      <c r="G714"/>
    </row>
    <row r="715" spans="7:7" x14ac:dyDescent="0.3">
      <c r="G715"/>
    </row>
    <row r="716" spans="7:7" x14ac:dyDescent="0.3">
      <c r="G716"/>
    </row>
    <row r="717" spans="7:7" x14ac:dyDescent="0.3">
      <c r="G717"/>
    </row>
    <row r="718" spans="7:7" x14ac:dyDescent="0.3">
      <c r="G718"/>
    </row>
    <row r="719" spans="7:7" x14ac:dyDescent="0.3">
      <c r="G719"/>
    </row>
    <row r="720" spans="7:7" x14ac:dyDescent="0.3">
      <c r="G720"/>
    </row>
    <row r="721" spans="7:7" x14ac:dyDescent="0.3">
      <c r="G721"/>
    </row>
    <row r="722" spans="7:7" x14ac:dyDescent="0.3">
      <c r="G722"/>
    </row>
    <row r="723" spans="7:7" x14ac:dyDescent="0.3">
      <c r="G723"/>
    </row>
    <row r="724" spans="7:7" x14ac:dyDescent="0.3">
      <c r="G724"/>
    </row>
    <row r="725" spans="7:7" x14ac:dyDescent="0.3">
      <c r="G725"/>
    </row>
    <row r="726" spans="7:7" x14ac:dyDescent="0.3">
      <c r="G726"/>
    </row>
    <row r="727" spans="7:7" x14ac:dyDescent="0.3">
      <c r="G727"/>
    </row>
    <row r="728" spans="7:7" x14ac:dyDescent="0.3">
      <c r="G728"/>
    </row>
    <row r="729" spans="7:7" x14ac:dyDescent="0.3">
      <c r="G729"/>
    </row>
    <row r="730" spans="7:7" x14ac:dyDescent="0.3">
      <c r="G730"/>
    </row>
    <row r="731" spans="7:7" x14ac:dyDescent="0.3">
      <c r="G731"/>
    </row>
    <row r="732" spans="7:7" x14ac:dyDescent="0.3">
      <c r="G732"/>
    </row>
    <row r="733" spans="7:7" x14ac:dyDescent="0.3">
      <c r="G733"/>
    </row>
    <row r="734" spans="7:7" x14ac:dyDescent="0.3">
      <c r="G734"/>
    </row>
    <row r="735" spans="7:7" x14ac:dyDescent="0.3">
      <c r="G735"/>
    </row>
    <row r="736" spans="7:7" x14ac:dyDescent="0.3">
      <c r="G736"/>
    </row>
    <row r="737" spans="7:7" x14ac:dyDescent="0.3">
      <c r="G737"/>
    </row>
    <row r="738" spans="7:7" x14ac:dyDescent="0.3">
      <c r="G738"/>
    </row>
    <row r="739" spans="7:7" x14ac:dyDescent="0.3">
      <c r="G739"/>
    </row>
    <row r="740" spans="7:7" x14ac:dyDescent="0.3">
      <c r="G740"/>
    </row>
    <row r="741" spans="7:7" x14ac:dyDescent="0.3">
      <c r="G741"/>
    </row>
    <row r="742" spans="7:7" x14ac:dyDescent="0.3">
      <c r="G742"/>
    </row>
    <row r="743" spans="7:7" x14ac:dyDescent="0.3">
      <c r="G743"/>
    </row>
    <row r="744" spans="7:7" x14ac:dyDescent="0.3">
      <c r="G744"/>
    </row>
    <row r="745" spans="7:7" x14ac:dyDescent="0.3">
      <c r="G745"/>
    </row>
    <row r="746" spans="7:7" x14ac:dyDescent="0.3">
      <c r="G746"/>
    </row>
    <row r="747" spans="7:7" x14ac:dyDescent="0.3">
      <c r="G747"/>
    </row>
    <row r="748" spans="7:7" x14ac:dyDescent="0.3">
      <c r="G748"/>
    </row>
    <row r="749" spans="7:7" x14ac:dyDescent="0.3">
      <c r="G749"/>
    </row>
    <row r="750" spans="7:7" x14ac:dyDescent="0.3">
      <c r="G750"/>
    </row>
    <row r="751" spans="7:7" x14ac:dyDescent="0.3">
      <c r="G751"/>
    </row>
    <row r="752" spans="7:7" x14ac:dyDescent="0.3">
      <c r="G752"/>
    </row>
    <row r="753" spans="7:7" x14ac:dyDescent="0.3">
      <c r="G753"/>
    </row>
    <row r="754" spans="7:7" x14ac:dyDescent="0.3">
      <c r="G754"/>
    </row>
    <row r="755" spans="7:7" x14ac:dyDescent="0.3">
      <c r="G755"/>
    </row>
    <row r="756" spans="7:7" x14ac:dyDescent="0.3">
      <c r="G756"/>
    </row>
    <row r="757" spans="7:7" x14ac:dyDescent="0.3">
      <c r="G757"/>
    </row>
    <row r="758" spans="7:7" x14ac:dyDescent="0.3">
      <c r="G758"/>
    </row>
    <row r="759" spans="7:7" x14ac:dyDescent="0.3">
      <c r="G759"/>
    </row>
    <row r="760" spans="7:7" x14ac:dyDescent="0.3">
      <c r="G760"/>
    </row>
    <row r="761" spans="7:7" x14ac:dyDescent="0.3">
      <c r="G761"/>
    </row>
    <row r="762" spans="7:7" x14ac:dyDescent="0.3">
      <c r="G762"/>
    </row>
    <row r="763" spans="7:7" x14ac:dyDescent="0.3">
      <c r="G763"/>
    </row>
    <row r="764" spans="7:7" x14ac:dyDescent="0.3">
      <c r="G764"/>
    </row>
    <row r="765" spans="7:7" x14ac:dyDescent="0.3">
      <c r="G765"/>
    </row>
    <row r="766" spans="7:7" x14ac:dyDescent="0.3">
      <c r="G766"/>
    </row>
    <row r="767" spans="7:7" x14ac:dyDescent="0.3">
      <c r="G767"/>
    </row>
    <row r="768" spans="7:7" x14ac:dyDescent="0.3">
      <c r="G768"/>
    </row>
    <row r="769" spans="7:7" x14ac:dyDescent="0.3">
      <c r="G769"/>
    </row>
    <row r="770" spans="7:7" x14ac:dyDescent="0.3">
      <c r="G770"/>
    </row>
    <row r="771" spans="7:7" x14ac:dyDescent="0.3">
      <c r="G771"/>
    </row>
    <row r="772" spans="7:7" x14ac:dyDescent="0.3">
      <c r="G772"/>
    </row>
    <row r="773" spans="7:7" x14ac:dyDescent="0.3">
      <c r="G773"/>
    </row>
    <row r="774" spans="7:7" x14ac:dyDescent="0.3">
      <c r="G774"/>
    </row>
    <row r="775" spans="7:7" x14ac:dyDescent="0.3">
      <c r="G775"/>
    </row>
    <row r="776" spans="7:7" x14ac:dyDescent="0.3">
      <c r="G776"/>
    </row>
    <row r="777" spans="7:7" x14ac:dyDescent="0.3">
      <c r="G777"/>
    </row>
    <row r="778" spans="7:7" x14ac:dyDescent="0.3">
      <c r="G778"/>
    </row>
    <row r="779" spans="7:7" x14ac:dyDescent="0.3">
      <c r="G779"/>
    </row>
    <row r="780" spans="7:7" x14ac:dyDescent="0.3">
      <c r="G780"/>
    </row>
    <row r="781" spans="7:7" x14ac:dyDescent="0.3">
      <c r="G781"/>
    </row>
    <row r="782" spans="7:7" x14ac:dyDescent="0.3">
      <c r="G782"/>
    </row>
    <row r="783" spans="7:7" x14ac:dyDescent="0.3">
      <c r="G783"/>
    </row>
    <row r="784" spans="7:7" x14ac:dyDescent="0.3">
      <c r="G784"/>
    </row>
    <row r="785" spans="7:7" x14ac:dyDescent="0.3">
      <c r="G785"/>
    </row>
    <row r="786" spans="7:7" x14ac:dyDescent="0.3">
      <c r="G786"/>
    </row>
    <row r="787" spans="7:7" x14ac:dyDescent="0.3">
      <c r="G787"/>
    </row>
    <row r="788" spans="7:7" x14ac:dyDescent="0.3">
      <c r="G788"/>
    </row>
    <row r="789" spans="7:7" x14ac:dyDescent="0.3">
      <c r="G789"/>
    </row>
    <row r="790" spans="7:7" x14ac:dyDescent="0.3">
      <c r="G790"/>
    </row>
    <row r="791" spans="7:7" x14ac:dyDescent="0.3">
      <c r="G791"/>
    </row>
    <row r="792" spans="7:7" x14ac:dyDescent="0.3">
      <c r="G792"/>
    </row>
    <row r="793" spans="7:7" x14ac:dyDescent="0.3">
      <c r="G793"/>
    </row>
    <row r="794" spans="7:7" x14ac:dyDescent="0.3">
      <c r="G794"/>
    </row>
    <row r="795" spans="7:7" x14ac:dyDescent="0.3">
      <c r="G795"/>
    </row>
    <row r="796" spans="7:7" x14ac:dyDescent="0.3">
      <c r="G796"/>
    </row>
    <row r="797" spans="7:7" x14ac:dyDescent="0.3">
      <c r="G797"/>
    </row>
    <row r="798" spans="7:7" x14ac:dyDescent="0.3">
      <c r="G798"/>
    </row>
    <row r="799" spans="7:7" x14ac:dyDescent="0.3">
      <c r="G799"/>
    </row>
    <row r="800" spans="7:7" x14ac:dyDescent="0.3">
      <c r="G800"/>
    </row>
    <row r="801" spans="7:7" x14ac:dyDescent="0.3">
      <c r="G801"/>
    </row>
    <row r="802" spans="7:7" x14ac:dyDescent="0.3">
      <c r="G802"/>
    </row>
    <row r="803" spans="7:7" x14ac:dyDescent="0.3">
      <c r="G803"/>
    </row>
    <row r="804" spans="7:7" x14ac:dyDescent="0.3">
      <c r="G804"/>
    </row>
    <row r="805" spans="7:7" x14ac:dyDescent="0.3">
      <c r="G805"/>
    </row>
    <row r="806" spans="7:7" x14ac:dyDescent="0.3">
      <c r="G806"/>
    </row>
    <row r="807" spans="7:7" x14ac:dyDescent="0.3">
      <c r="G807"/>
    </row>
    <row r="808" spans="7:7" x14ac:dyDescent="0.3">
      <c r="G808"/>
    </row>
    <row r="809" spans="7:7" x14ac:dyDescent="0.3">
      <c r="G809"/>
    </row>
    <row r="810" spans="7:7" x14ac:dyDescent="0.3">
      <c r="G810"/>
    </row>
    <row r="811" spans="7:7" x14ac:dyDescent="0.3">
      <c r="G811"/>
    </row>
    <row r="812" spans="7:7" x14ac:dyDescent="0.3">
      <c r="G812"/>
    </row>
    <row r="813" spans="7:7" x14ac:dyDescent="0.3">
      <c r="G813"/>
    </row>
    <row r="814" spans="7:7" x14ac:dyDescent="0.3">
      <c r="G814"/>
    </row>
    <row r="815" spans="7:7" x14ac:dyDescent="0.3">
      <c r="G815"/>
    </row>
    <row r="816" spans="7:7" x14ac:dyDescent="0.3">
      <c r="G816"/>
    </row>
    <row r="817" spans="7:7" x14ac:dyDescent="0.3">
      <c r="G817"/>
    </row>
    <row r="818" spans="7:7" x14ac:dyDescent="0.3">
      <c r="G818"/>
    </row>
    <row r="819" spans="7:7" x14ac:dyDescent="0.3">
      <c r="G819"/>
    </row>
    <row r="820" spans="7:7" x14ac:dyDescent="0.3">
      <c r="G820"/>
    </row>
    <row r="821" spans="7:7" x14ac:dyDescent="0.3">
      <c r="G821"/>
    </row>
    <row r="822" spans="7:7" x14ac:dyDescent="0.3">
      <c r="G822"/>
    </row>
    <row r="823" spans="7:7" x14ac:dyDescent="0.3">
      <c r="G823"/>
    </row>
    <row r="824" spans="7:7" x14ac:dyDescent="0.3">
      <c r="G824"/>
    </row>
    <row r="825" spans="7:7" x14ac:dyDescent="0.3">
      <c r="G825"/>
    </row>
    <row r="826" spans="7:7" x14ac:dyDescent="0.3">
      <c r="G826"/>
    </row>
    <row r="827" spans="7:7" x14ac:dyDescent="0.3">
      <c r="G827"/>
    </row>
    <row r="828" spans="7:7" x14ac:dyDescent="0.3">
      <c r="G828"/>
    </row>
    <row r="829" spans="7:7" x14ac:dyDescent="0.3">
      <c r="G829"/>
    </row>
    <row r="830" spans="7:7" x14ac:dyDescent="0.3">
      <c r="G830"/>
    </row>
    <row r="831" spans="7:7" x14ac:dyDescent="0.3">
      <c r="G831"/>
    </row>
    <row r="832" spans="7:7" x14ac:dyDescent="0.3">
      <c r="G832"/>
    </row>
    <row r="833" spans="7:7" x14ac:dyDescent="0.3">
      <c r="G833"/>
    </row>
    <row r="834" spans="7:7" x14ac:dyDescent="0.3">
      <c r="G834"/>
    </row>
    <row r="835" spans="7:7" x14ac:dyDescent="0.3">
      <c r="G835"/>
    </row>
    <row r="836" spans="7:7" x14ac:dyDescent="0.3">
      <c r="G836"/>
    </row>
    <row r="837" spans="7:7" x14ac:dyDescent="0.3">
      <c r="G837"/>
    </row>
    <row r="838" spans="7:7" x14ac:dyDescent="0.3">
      <c r="G838"/>
    </row>
    <row r="839" spans="7:7" x14ac:dyDescent="0.3">
      <c r="G839"/>
    </row>
    <row r="840" spans="7:7" x14ac:dyDescent="0.3">
      <c r="G840"/>
    </row>
    <row r="841" spans="7:7" x14ac:dyDescent="0.3">
      <c r="G841"/>
    </row>
    <row r="842" spans="7:7" x14ac:dyDescent="0.3">
      <c r="G842"/>
    </row>
    <row r="843" spans="7:7" x14ac:dyDescent="0.3">
      <c r="G843"/>
    </row>
    <row r="844" spans="7:7" x14ac:dyDescent="0.3">
      <c r="G844"/>
    </row>
    <row r="845" spans="7:7" x14ac:dyDescent="0.3">
      <c r="G845"/>
    </row>
    <row r="846" spans="7:7" x14ac:dyDescent="0.3">
      <c r="G846"/>
    </row>
    <row r="847" spans="7:7" x14ac:dyDescent="0.3">
      <c r="G847"/>
    </row>
    <row r="848" spans="7:7" x14ac:dyDescent="0.3">
      <c r="G848"/>
    </row>
    <row r="849" spans="7:7" x14ac:dyDescent="0.3">
      <c r="G849"/>
    </row>
    <row r="850" spans="7:7" x14ac:dyDescent="0.3">
      <c r="G850"/>
    </row>
    <row r="851" spans="7:7" x14ac:dyDescent="0.3">
      <c r="G851"/>
    </row>
    <row r="852" spans="7:7" x14ac:dyDescent="0.3">
      <c r="G852"/>
    </row>
    <row r="853" spans="7:7" x14ac:dyDescent="0.3">
      <c r="G853"/>
    </row>
    <row r="854" spans="7:7" x14ac:dyDescent="0.3">
      <c r="G854"/>
    </row>
    <row r="855" spans="7:7" x14ac:dyDescent="0.3">
      <c r="G855"/>
    </row>
    <row r="856" spans="7:7" x14ac:dyDescent="0.3">
      <c r="G856"/>
    </row>
    <row r="857" spans="7:7" x14ac:dyDescent="0.3">
      <c r="G857"/>
    </row>
    <row r="858" spans="7:7" x14ac:dyDescent="0.3">
      <c r="G858"/>
    </row>
    <row r="859" spans="7:7" x14ac:dyDescent="0.3">
      <c r="G859"/>
    </row>
    <row r="860" spans="7:7" x14ac:dyDescent="0.3">
      <c r="G860"/>
    </row>
    <row r="861" spans="7:7" x14ac:dyDescent="0.3">
      <c r="G861"/>
    </row>
    <row r="862" spans="7:7" x14ac:dyDescent="0.3">
      <c r="G862"/>
    </row>
    <row r="863" spans="7:7" x14ac:dyDescent="0.3">
      <c r="G863"/>
    </row>
    <row r="864" spans="7:7" x14ac:dyDescent="0.3">
      <c r="G864"/>
    </row>
    <row r="865" spans="7:7" x14ac:dyDescent="0.3">
      <c r="G865"/>
    </row>
    <row r="866" spans="7:7" x14ac:dyDescent="0.3">
      <c r="G866"/>
    </row>
    <row r="867" spans="7:7" x14ac:dyDescent="0.3">
      <c r="G867"/>
    </row>
    <row r="868" spans="7:7" x14ac:dyDescent="0.3">
      <c r="G868"/>
    </row>
    <row r="869" spans="7:7" x14ac:dyDescent="0.3">
      <c r="G869"/>
    </row>
    <row r="870" spans="7:7" x14ac:dyDescent="0.3">
      <c r="G870"/>
    </row>
    <row r="871" spans="7:7" x14ac:dyDescent="0.3">
      <c r="G871"/>
    </row>
    <row r="872" spans="7:7" x14ac:dyDescent="0.3">
      <c r="G872"/>
    </row>
    <row r="873" spans="7:7" x14ac:dyDescent="0.3">
      <c r="G873"/>
    </row>
    <row r="874" spans="7:7" x14ac:dyDescent="0.3">
      <c r="G874"/>
    </row>
    <row r="875" spans="7:7" x14ac:dyDescent="0.3">
      <c r="G875"/>
    </row>
    <row r="876" spans="7:7" x14ac:dyDescent="0.3">
      <c r="G876"/>
    </row>
    <row r="877" spans="7:7" x14ac:dyDescent="0.3">
      <c r="G877"/>
    </row>
    <row r="878" spans="7:7" x14ac:dyDescent="0.3">
      <c r="G878"/>
    </row>
    <row r="879" spans="7:7" x14ac:dyDescent="0.3">
      <c r="G879"/>
    </row>
    <row r="880" spans="7:7" x14ac:dyDescent="0.3">
      <c r="G880"/>
    </row>
    <row r="881" spans="7:7" x14ac:dyDescent="0.3">
      <c r="G881"/>
    </row>
    <row r="882" spans="7:7" x14ac:dyDescent="0.3">
      <c r="G882"/>
    </row>
    <row r="883" spans="7:7" x14ac:dyDescent="0.3">
      <c r="G883"/>
    </row>
    <row r="884" spans="7:7" x14ac:dyDescent="0.3">
      <c r="G884"/>
    </row>
    <row r="885" spans="7:7" x14ac:dyDescent="0.3">
      <c r="G885"/>
    </row>
    <row r="886" spans="7:7" x14ac:dyDescent="0.3">
      <c r="G886"/>
    </row>
    <row r="887" spans="7:7" x14ac:dyDescent="0.3">
      <c r="G887"/>
    </row>
    <row r="888" spans="7:7" x14ac:dyDescent="0.3">
      <c r="G888"/>
    </row>
    <row r="889" spans="7:7" x14ac:dyDescent="0.3">
      <c r="G889"/>
    </row>
    <row r="890" spans="7:7" x14ac:dyDescent="0.3">
      <c r="G890"/>
    </row>
    <row r="891" spans="7:7" x14ac:dyDescent="0.3">
      <c r="G891"/>
    </row>
    <row r="892" spans="7:7" x14ac:dyDescent="0.3">
      <c r="G892"/>
    </row>
    <row r="893" spans="7:7" x14ac:dyDescent="0.3">
      <c r="G893"/>
    </row>
    <row r="894" spans="7:7" x14ac:dyDescent="0.3">
      <c r="G894"/>
    </row>
    <row r="895" spans="7:7" x14ac:dyDescent="0.3">
      <c r="G895"/>
    </row>
    <row r="896" spans="7:7" x14ac:dyDescent="0.3">
      <c r="G896"/>
    </row>
    <row r="897" spans="7:7" x14ac:dyDescent="0.3">
      <c r="G897"/>
    </row>
    <row r="898" spans="7:7" x14ac:dyDescent="0.3">
      <c r="G898"/>
    </row>
    <row r="899" spans="7:7" x14ac:dyDescent="0.3">
      <c r="G899"/>
    </row>
    <row r="900" spans="7:7" x14ac:dyDescent="0.3">
      <c r="G900"/>
    </row>
    <row r="901" spans="7:7" x14ac:dyDescent="0.3">
      <c r="G901"/>
    </row>
    <row r="902" spans="7:7" x14ac:dyDescent="0.3">
      <c r="G902"/>
    </row>
    <row r="903" spans="7:7" x14ac:dyDescent="0.3">
      <c r="G903"/>
    </row>
    <row r="904" spans="7:7" x14ac:dyDescent="0.3">
      <c r="G904"/>
    </row>
    <row r="905" spans="7:7" x14ac:dyDescent="0.3">
      <c r="G905"/>
    </row>
    <row r="906" spans="7:7" x14ac:dyDescent="0.3">
      <c r="G906"/>
    </row>
    <row r="907" spans="7:7" x14ac:dyDescent="0.3">
      <c r="G907"/>
    </row>
    <row r="908" spans="7:7" x14ac:dyDescent="0.3">
      <c r="G908"/>
    </row>
    <row r="909" spans="7:7" x14ac:dyDescent="0.3">
      <c r="G909"/>
    </row>
    <row r="910" spans="7:7" x14ac:dyDescent="0.3">
      <c r="G910"/>
    </row>
    <row r="911" spans="7:7" x14ac:dyDescent="0.3">
      <c r="G911"/>
    </row>
    <row r="912" spans="7:7" x14ac:dyDescent="0.3">
      <c r="G912"/>
    </row>
    <row r="913" spans="7:7" x14ac:dyDescent="0.3">
      <c r="G913"/>
    </row>
    <row r="914" spans="7:7" x14ac:dyDescent="0.3">
      <c r="G914"/>
    </row>
    <row r="915" spans="7:7" x14ac:dyDescent="0.3">
      <c r="G915"/>
    </row>
    <row r="916" spans="7:7" x14ac:dyDescent="0.3">
      <c r="G916"/>
    </row>
    <row r="917" spans="7:7" x14ac:dyDescent="0.3">
      <c r="G917"/>
    </row>
    <row r="918" spans="7:7" x14ac:dyDescent="0.3">
      <c r="G918"/>
    </row>
    <row r="919" spans="7:7" x14ac:dyDescent="0.3">
      <c r="G919"/>
    </row>
    <row r="920" spans="7:7" x14ac:dyDescent="0.3">
      <c r="G920"/>
    </row>
    <row r="921" spans="7:7" x14ac:dyDescent="0.3">
      <c r="G921"/>
    </row>
    <row r="922" spans="7:7" x14ac:dyDescent="0.3">
      <c r="G922"/>
    </row>
    <row r="923" spans="7:7" x14ac:dyDescent="0.3">
      <c r="G923"/>
    </row>
    <row r="924" spans="7:7" x14ac:dyDescent="0.3">
      <c r="G924"/>
    </row>
    <row r="925" spans="7:7" x14ac:dyDescent="0.3">
      <c r="G925"/>
    </row>
    <row r="926" spans="7:7" x14ac:dyDescent="0.3">
      <c r="G926"/>
    </row>
    <row r="927" spans="7:7" x14ac:dyDescent="0.3">
      <c r="G927"/>
    </row>
    <row r="928" spans="7:7" x14ac:dyDescent="0.3">
      <c r="G928"/>
    </row>
    <row r="929" spans="7:7" x14ac:dyDescent="0.3">
      <c r="G929"/>
    </row>
    <row r="930" spans="7:7" x14ac:dyDescent="0.3">
      <c r="G930"/>
    </row>
    <row r="931" spans="7:7" x14ac:dyDescent="0.3">
      <c r="G931"/>
    </row>
    <row r="932" spans="7:7" x14ac:dyDescent="0.3">
      <c r="G932"/>
    </row>
    <row r="933" spans="7:7" x14ac:dyDescent="0.3">
      <c r="G933"/>
    </row>
    <row r="934" spans="7:7" x14ac:dyDescent="0.3">
      <c r="G934"/>
    </row>
    <row r="935" spans="7:7" x14ac:dyDescent="0.3">
      <c r="G935"/>
    </row>
    <row r="936" spans="7:7" x14ac:dyDescent="0.3">
      <c r="G936"/>
    </row>
    <row r="937" spans="7:7" x14ac:dyDescent="0.3">
      <c r="G937"/>
    </row>
    <row r="938" spans="7:7" x14ac:dyDescent="0.3">
      <c r="G938"/>
    </row>
    <row r="939" spans="7:7" x14ac:dyDescent="0.3">
      <c r="G939"/>
    </row>
    <row r="940" spans="7:7" x14ac:dyDescent="0.3">
      <c r="G940"/>
    </row>
    <row r="941" spans="7:7" x14ac:dyDescent="0.3">
      <c r="G941"/>
    </row>
    <row r="942" spans="7:7" x14ac:dyDescent="0.3">
      <c r="G942"/>
    </row>
    <row r="943" spans="7:7" x14ac:dyDescent="0.3">
      <c r="G943"/>
    </row>
    <row r="944" spans="7:7" x14ac:dyDescent="0.3">
      <c r="G944"/>
    </row>
    <row r="945" spans="7:7" x14ac:dyDescent="0.3">
      <c r="G945"/>
    </row>
    <row r="946" spans="7:7" x14ac:dyDescent="0.3">
      <c r="G946"/>
    </row>
    <row r="947" spans="7:7" x14ac:dyDescent="0.3">
      <c r="G947"/>
    </row>
    <row r="948" spans="7:7" x14ac:dyDescent="0.3">
      <c r="G948"/>
    </row>
    <row r="949" spans="7:7" x14ac:dyDescent="0.3">
      <c r="G949"/>
    </row>
    <row r="950" spans="7:7" x14ac:dyDescent="0.3">
      <c r="G950"/>
    </row>
    <row r="951" spans="7:7" x14ac:dyDescent="0.3">
      <c r="G951"/>
    </row>
    <row r="952" spans="7:7" x14ac:dyDescent="0.3">
      <c r="G952"/>
    </row>
    <row r="953" spans="7:7" x14ac:dyDescent="0.3">
      <c r="G953"/>
    </row>
    <row r="954" spans="7:7" x14ac:dyDescent="0.3">
      <c r="G954"/>
    </row>
    <row r="955" spans="7:7" x14ac:dyDescent="0.3">
      <c r="G955"/>
    </row>
    <row r="956" spans="7:7" x14ac:dyDescent="0.3">
      <c r="G956"/>
    </row>
    <row r="957" spans="7:7" x14ac:dyDescent="0.3">
      <c r="G957"/>
    </row>
    <row r="958" spans="7:7" x14ac:dyDescent="0.3">
      <c r="G958"/>
    </row>
    <row r="959" spans="7:7" x14ac:dyDescent="0.3">
      <c r="G959"/>
    </row>
    <row r="960" spans="7:7" x14ac:dyDescent="0.3">
      <c r="G960"/>
    </row>
    <row r="961" spans="7:7" x14ac:dyDescent="0.3">
      <c r="G961"/>
    </row>
    <row r="962" spans="7:7" x14ac:dyDescent="0.3">
      <c r="G962"/>
    </row>
    <row r="963" spans="7:7" x14ac:dyDescent="0.3">
      <c r="G963"/>
    </row>
    <row r="964" spans="7:7" x14ac:dyDescent="0.3">
      <c r="G964"/>
    </row>
    <row r="965" spans="7:7" x14ac:dyDescent="0.3">
      <c r="G965"/>
    </row>
    <row r="966" spans="7:7" x14ac:dyDescent="0.3">
      <c r="G966"/>
    </row>
    <row r="967" spans="7:7" x14ac:dyDescent="0.3">
      <c r="G967"/>
    </row>
    <row r="968" spans="7:7" x14ac:dyDescent="0.3">
      <c r="G968"/>
    </row>
    <row r="969" spans="7:7" x14ac:dyDescent="0.3">
      <c r="G969"/>
    </row>
    <row r="970" spans="7:7" x14ac:dyDescent="0.3">
      <c r="G970"/>
    </row>
    <row r="971" spans="7:7" x14ac:dyDescent="0.3">
      <c r="G971"/>
    </row>
    <row r="972" spans="7:7" x14ac:dyDescent="0.3">
      <c r="G972"/>
    </row>
    <row r="973" spans="7:7" x14ac:dyDescent="0.3">
      <c r="G973"/>
    </row>
    <row r="974" spans="7:7" x14ac:dyDescent="0.3">
      <c r="G974"/>
    </row>
    <row r="975" spans="7:7" x14ac:dyDescent="0.3">
      <c r="G975"/>
    </row>
    <row r="976" spans="7:7" x14ac:dyDescent="0.3">
      <c r="G976"/>
    </row>
    <row r="977" spans="7:7" x14ac:dyDescent="0.3">
      <c r="G977"/>
    </row>
    <row r="978" spans="7:7" x14ac:dyDescent="0.3">
      <c r="G978"/>
    </row>
    <row r="979" spans="7:7" x14ac:dyDescent="0.3">
      <c r="G979"/>
    </row>
    <row r="980" spans="7:7" x14ac:dyDescent="0.3">
      <c r="G980"/>
    </row>
    <row r="981" spans="7:7" x14ac:dyDescent="0.3">
      <c r="G981"/>
    </row>
    <row r="982" spans="7:7" x14ac:dyDescent="0.3">
      <c r="G982"/>
    </row>
    <row r="983" spans="7:7" x14ac:dyDescent="0.3">
      <c r="G983"/>
    </row>
    <row r="984" spans="7:7" x14ac:dyDescent="0.3">
      <c r="G984"/>
    </row>
    <row r="985" spans="7:7" x14ac:dyDescent="0.3">
      <c r="G985"/>
    </row>
    <row r="986" spans="7:7" x14ac:dyDescent="0.3">
      <c r="G986"/>
    </row>
    <row r="987" spans="7:7" x14ac:dyDescent="0.3">
      <c r="G987"/>
    </row>
    <row r="988" spans="7:7" x14ac:dyDescent="0.3">
      <c r="G988"/>
    </row>
    <row r="989" spans="7:7" x14ac:dyDescent="0.3">
      <c r="G989"/>
    </row>
    <row r="990" spans="7:7" x14ac:dyDescent="0.3">
      <c r="G990"/>
    </row>
    <row r="991" spans="7:7" x14ac:dyDescent="0.3">
      <c r="G991"/>
    </row>
    <row r="992" spans="7:7" x14ac:dyDescent="0.3">
      <c r="G992"/>
    </row>
    <row r="993" spans="7:7" x14ac:dyDescent="0.3">
      <c r="G993"/>
    </row>
    <row r="994" spans="7:7" x14ac:dyDescent="0.3">
      <c r="G994"/>
    </row>
    <row r="995" spans="7:7" x14ac:dyDescent="0.3">
      <c r="G995"/>
    </row>
    <row r="996" spans="7:7" x14ac:dyDescent="0.3">
      <c r="G996"/>
    </row>
    <row r="997" spans="7:7" x14ac:dyDescent="0.3">
      <c r="G997"/>
    </row>
    <row r="998" spans="7:7" x14ac:dyDescent="0.3">
      <c r="G998"/>
    </row>
    <row r="999" spans="7:7" x14ac:dyDescent="0.3">
      <c r="G999"/>
    </row>
    <row r="1000" spans="7:7" x14ac:dyDescent="0.3">
      <c r="G1000"/>
    </row>
    <row r="1001" spans="7:7" x14ac:dyDescent="0.3">
      <c r="G1001"/>
    </row>
    <row r="1002" spans="7:7" x14ac:dyDescent="0.3">
      <c r="G1002"/>
    </row>
    <row r="1003" spans="7:7" x14ac:dyDescent="0.3">
      <c r="G1003"/>
    </row>
    <row r="1004" spans="7:7" x14ac:dyDescent="0.3">
      <c r="G1004"/>
    </row>
    <row r="1005" spans="7:7" x14ac:dyDescent="0.3">
      <c r="G1005"/>
    </row>
    <row r="1006" spans="7:7" x14ac:dyDescent="0.3">
      <c r="G1006"/>
    </row>
    <row r="1007" spans="7:7" x14ac:dyDescent="0.3">
      <c r="G1007"/>
    </row>
    <row r="1008" spans="7:7" x14ac:dyDescent="0.3">
      <c r="G1008"/>
    </row>
    <row r="1009" spans="7:7" x14ac:dyDescent="0.3">
      <c r="G1009"/>
    </row>
    <row r="1010" spans="7:7" x14ac:dyDescent="0.3">
      <c r="G1010"/>
    </row>
    <row r="1011" spans="7:7" x14ac:dyDescent="0.3">
      <c r="G1011"/>
    </row>
    <row r="1012" spans="7:7" x14ac:dyDescent="0.3">
      <c r="G1012"/>
    </row>
    <row r="1013" spans="7:7" x14ac:dyDescent="0.3">
      <c r="G1013"/>
    </row>
    <row r="1014" spans="7:7" x14ac:dyDescent="0.3">
      <c r="G1014"/>
    </row>
    <row r="1015" spans="7:7" x14ac:dyDescent="0.3">
      <c r="G1015"/>
    </row>
    <row r="1016" spans="7:7" x14ac:dyDescent="0.3">
      <c r="G1016"/>
    </row>
    <row r="1017" spans="7:7" x14ac:dyDescent="0.3">
      <c r="G1017"/>
    </row>
    <row r="1018" spans="7:7" x14ac:dyDescent="0.3">
      <c r="G1018"/>
    </row>
    <row r="1019" spans="7:7" x14ac:dyDescent="0.3">
      <c r="G1019"/>
    </row>
    <row r="1020" spans="7:7" x14ac:dyDescent="0.3">
      <c r="G1020"/>
    </row>
    <row r="1021" spans="7:7" x14ac:dyDescent="0.3">
      <c r="G1021"/>
    </row>
    <row r="1022" spans="7:7" x14ac:dyDescent="0.3">
      <c r="G1022"/>
    </row>
    <row r="1023" spans="7:7" x14ac:dyDescent="0.3">
      <c r="G1023"/>
    </row>
    <row r="1024" spans="7:7" x14ac:dyDescent="0.3">
      <c r="G1024"/>
    </row>
    <row r="1025" spans="7:7" x14ac:dyDescent="0.3">
      <c r="G1025"/>
    </row>
    <row r="1026" spans="7:7" x14ac:dyDescent="0.3">
      <c r="G1026"/>
    </row>
    <row r="1027" spans="7:7" x14ac:dyDescent="0.3">
      <c r="G1027"/>
    </row>
    <row r="1028" spans="7:7" x14ac:dyDescent="0.3">
      <c r="G1028"/>
    </row>
    <row r="1029" spans="7:7" x14ac:dyDescent="0.3">
      <c r="G1029"/>
    </row>
    <row r="1030" spans="7:7" x14ac:dyDescent="0.3">
      <c r="G1030"/>
    </row>
    <row r="1031" spans="7:7" x14ac:dyDescent="0.3">
      <c r="G1031"/>
    </row>
    <row r="1032" spans="7:7" x14ac:dyDescent="0.3">
      <c r="G1032"/>
    </row>
    <row r="1033" spans="7:7" x14ac:dyDescent="0.3">
      <c r="G1033"/>
    </row>
    <row r="1034" spans="7:7" x14ac:dyDescent="0.3">
      <c r="G1034"/>
    </row>
    <row r="1035" spans="7:7" x14ac:dyDescent="0.3">
      <c r="G1035"/>
    </row>
    <row r="1036" spans="7:7" x14ac:dyDescent="0.3">
      <c r="G1036"/>
    </row>
    <row r="1037" spans="7:7" x14ac:dyDescent="0.3">
      <c r="G1037"/>
    </row>
    <row r="1038" spans="7:7" x14ac:dyDescent="0.3">
      <c r="G1038"/>
    </row>
    <row r="1039" spans="7:7" x14ac:dyDescent="0.3">
      <c r="G1039"/>
    </row>
    <row r="1040" spans="7:7" x14ac:dyDescent="0.3">
      <c r="G1040"/>
    </row>
    <row r="1041" spans="7:7" x14ac:dyDescent="0.3">
      <c r="G1041"/>
    </row>
    <row r="1042" spans="7:7" x14ac:dyDescent="0.3">
      <c r="G1042"/>
    </row>
    <row r="1043" spans="7:7" x14ac:dyDescent="0.3">
      <c r="G1043"/>
    </row>
    <row r="1044" spans="7:7" x14ac:dyDescent="0.3">
      <c r="G1044"/>
    </row>
    <row r="1045" spans="7:7" x14ac:dyDescent="0.3">
      <c r="G1045"/>
    </row>
    <row r="1046" spans="7:7" x14ac:dyDescent="0.3">
      <c r="G1046"/>
    </row>
    <row r="1047" spans="7:7" x14ac:dyDescent="0.3">
      <c r="G1047"/>
    </row>
    <row r="1048" spans="7:7" x14ac:dyDescent="0.3">
      <c r="G1048"/>
    </row>
    <row r="1049" spans="7:7" x14ac:dyDescent="0.3">
      <c r="G1049"/>
    </row>
    <row r="1050" spans="7:7" x14ac:dyDescent="0.3">
      <c r="G1050"/>
    </row>
    <row r="1051" spans="7:7" x14ac:dyDescent="0.3">
      <c r="G1051"/>
    </row>
    <row r="1052" spans="7:7" x14ac:dyDescent="0.3">
      <c r="G1052"/>
    </row>
    <row r="1053" spans="7:7" x14ac:dyDescent="0.3">
      <c r="G1053"/>
    </row>
    <row r="1054" spans="7:7" x14ac:dyDescent="0.3">
      <c r="G1054"/>
    </row>
    <row r="1055" spans="7:7" x14ac:dyDescent="0.3">
      <c r="G1055"/>
    </row>
    <row r="1056" spans="7:7" x14ac:dyDescent="0.3">
      <c r="G1056"/>
    </row>
    <row r="1057" spans="7:7" x14ac:dyDescent="0.3">
      <c r="G1057"/>
    </row>
    <row r="1058" spans="7:7" x14ac:dyDescent="0.3">
      <c r="G1058"/>
    </row>
    <row r="1059" spans="7:7" x14ac:dyDescent="0.3">
      <c r="G1059"/>
    </row>
    <row r="1060" spans="7:7" x14ac:dyDescent="0.3">
      <c r="G1060"/>
    </row>
    <row r="1061" spans="7:7" x14ac:dyDescent="0.3">
      <c r="G1061"/>
    </row>
    <row r="1062" spans="7:7" x14ac:dyDescent="0.3">
      <c r="G1062"/>
    </row>
    <row r="1063" spans="7:7" x14ac:dyDescent="0.3">
      <c r="G1063"/>
    </row>
    <row r="1064" spans="7:7" x14ac:dyDescent="0.3">
      <c r="G1064"/>
    </row>
    <row r="1065" spans="7:7" x14ac:dyDescent="0.3">
      <c r="G1065"/>
    </row>
    <row r="1066" spans="7:7" x14ac:dyDescent="0.3">
      <c r="G1066"/>
    </row>
    <row r="1067" spans="7:7" x14ac:dyDescent="0.3">
      <c r="G1067"/>
    </row>
    <row r="1068" spans="7:7" x14ac:dyDescent="0.3">
      <c r="G1068"/>
    </row>
    <row r="1069" spans="7:7" x14ac:dyDescent="0.3">
      <c r="G1069"/>
    </row>
    <row r="1070" spans="7:7" x14ac:dyDescent="0.3">
      <c r="G1070"/>
    </row>
    <row r="1071" spans="7:7" x14ac:dyDescent="0.3">
      <c r="G1071"/>
    </row>
    <row r="1072" spans="7:7" x14ac:dyDescent="0.3">
      <c r="G1072"/>
    </row>
    <row r="1073" spans="7:7" x14ac:dyDescent="0.3">
      <c r="G1073"/>
    </row>
    <row r="1074" spans="7:7" x14ac:dyDescent="0.3">
      <c r="G1074"/>
    </row>
    <row r="1075" spans="7:7" x14ac:dyDescent="0.3">
      <c r="G1075"/>
    </row>
    <row r="1076" spans="7:7" x14ac:dyDescent="0.3">
      <c r="G1076"/>
    </row>
    <row r="1077" spans="7:7" x14ac:dyDescent="0.3">
      <c r="G1077"/>
    </row>
    <row r="1078" spans="7:7" x14ac:dyDescent="0.3">
      <c r="G1078"/>
    </row>
    <row r="1079" spans="7:7" x14ac:dyDescent="0.3">
      <c r="G1079"/>
    </row>
    <row r="1080" spans="7:7" x14ac:dyDescent="0.3">
      <c r="G1080"/>
    </row>
    <row r="1081" spans="7:7" x14ac:dyDescent="0.3">
      <c r="G1081"/>
    </row>
    <row r="1082" spans="7:7" x14ac:dyDescent="0.3">
      <c r="G1082"/>
    </row>
    <row r="1083" spans="7:7" x14ac:dyDescent="0.3">
      <c r="G1083"/>
    </row>
    <row r="1084" spans="7:7" x14ac:dyDescent="0.3">
      <c r="G1084"/>
    </row>
    <row r="1085" spans="7:7" x14ac:dyDescent="0.3">
      <c r="G1085"/>
    </row>
    <row r="1086" spans="7:7" x14ac:dyDescent="0.3">
      <c r="G1086"/>
    </row>
    <row r="1087" spans="7:7" x14ac:dyDescent="0.3">
      <c r="G1087"/>
    </row>
    <row r="1088" spans="7:7" x14ac:dyDescent="0.3">
      <c r="G1088"/>
    </row>
    <row r="1089" spans="7:7" x14ac:dyDescent="0.3">
      <c r="G1089"/>
    </row>
    <row r="1090" spans="7:7" x14ac:dyDescent="0.3">
      <c r="G1090"/>
    </row>
    <row r="1091" spans="7:7" x14ac:dyDescent="0.3">
      <c r="G1091"/>
    </row>
    <row r="1092" spans="7:7" x14ac:dyDescent="0.3">
      <c r="G1092"/>
    </row>
    <row r="1093" spans="7:7" x14ac:dyDescent="0.3">
      <c r="G1093"/>
    </row>
    <row r="1094" spans="7:7" x14ac:dyDescent="0.3">
      <c r="G1094"/>
    </row>
    <row r="1095" spans="7:7" x14ac:dyDescent="0.3">
      <c r="G1095"/>
    </row>
    <row r="1096" spans="7:7" x14ac:dyDescent="0.3">
      <c r="G1096"/>
    </row>
    <row r="1097" spans="7:7" x14ac:dyDescent="0.3">
      <c r="G1097"/>
    </row>
    <row r="1098" spans="7:7" x14ac:dyDescent="0.3">
      <c r="G1098"/>
    </row>
    <row r="1099" spans="7:7" x14ac:dyDescent="0.3">
      <c r="G1099"/>
    </row>
    <row r="1100" spans="7:7" x14ac:dyDescent="0.3">
      <c r="G1100"/>
    </row>
    <row r="1101" spans="7:7" x14ac:dyDescent="0.3">
      <c r="G1101"/>
    </row>
    <row r="1102" spans="7:7" x14ac:dyDescent="0.3">
      <c r="G1102"/>
    </row>
    <row r="1103" spans="7:7" x14ac:dyDescent="0.3">
      <c r="G1103"/>
    </row>
    <row r="1104" spans="7:7" x14ac:dyDescent="0.3">
      <c r="G1104"/>
    </row>
    <row r="1105" spans="7:7" x14ac:dyDescent="0.3">
      <c r="G1105"/>
    </row>
    <row r="1106" spans="7:7" x14ac:dyDescent="0.3">
      <c r="G1106"/>
    </row>
    <row r="1107" spans="7:7" x14ac:dyDescent="0.3">
      <c r="G1107"/>
    </row>
    <row r="1108" spans="7:7" x14ac:dyDescent="0.3">
      <c r="G1108"/>
    </row>
    <row r="1109" spans="7:7" x14ac:dyDescent="0.3">
      <c r="G1109"/>
    </row>
    <row r="1110" spans="7:7" x14ac:dyDescent="0.3">
      <c r="G1110"/>
    </row>
    <row r="1111" spans="7:7" x14ac:dyDescent="0.3">
      <c r="G1111"/>
    </row>
    <row r="1112" spans="7:7" x14ac:dyDescent="0.3">
      <c r="G1112"/>
    </row>
    <row r="1113" spans="7:7" x14ac:dyDescent="0.3">
      <c r="G1113"/>
    </row>
    <row r="1114" spans="7:7" x14ac:dyDescent="0.3">
      <c r="G1114"/>
    </row>
    <row r="1115" spans="7:7" x14ac:dyDescent="0.3">
      <c r="G1115"/>
    </row>
    <row r="1116" spans="7:7" x14ac:dyDescent="0.3">
      <c r="G1116"/>
    </row>
    <row r="1117" spans="7:7" x14ac:dyDescent="0.3">
      <c r="G1117"/>
    </row>
    <row r="1118" spans="7:7" x14ac:dyDescent="0.3">
      <c r="G1118"/>
    </row>
    <row r="1119" spans="7:7" x14ac:dyDescent="0.3">
      <c r="G1119"/>
    </row>
    <row r="1120" spans="7:7" x14ac:dyDescent="0.3">
      <c r="G1120"/>
    </row>
    <row r="1121" spans="7:7" x14ac:dyDescent="0.3">
      <c r="G1121"/>
    </row>
    <row r="1122" spans="7:7" x14ac:dyDescent="0.3">
      <c r="G1122"/>
    </row>
    <row r="1123" spans="7:7" x14ac:dyDescent="0.3">
      <c r="G1123"/>
    </row>
    <row r="1124" spans="7:7" x14ac:dyDescent="0.3">
      <c r="G1124"/>
    </row>
    <row r="1125" spans="7:7" x14ac:dyDescent="0.3">
      <c r="G1125"/>
    </row>
    <row r="1126" spans="7:7" x14ac:dyDescent="0.3">
      <c r="G1126"/>
    </row>
    <row r="1127" spans="7:7" x14ac:dyDescent="0.3">
      <c r="G1127"/>
    </row>
    <row r="1128" spans="7:7" x14ac:dyDescent="0.3">
      <c r="G1128"/>
    </row>
    <row r="1129" spans="7:7" x14ac:dyDescent="0.3">
      <c r="G1129"/>
    </row>
    <row r="1130" spans="7:7" x14ac:dyDescent="0.3">
      <c r="G1130"/>
    </row>
    <row r="1131" spans="7:7" x14ac:dyDescent="0.3">
      <c r="G1131"/>
    </row>
    <row r="1132" spans="7:7" x14ac:dyDescent="0.3">
      <c r="G1132"/>
    </row>
    <row r="1133" spans="7:7" x14ac:dyDescent="0.3">
      <c r="G1133"/>
    </row>
    <row r="1134" spans="7:7" x14ac:dyDescent="0.3">
      <c r="G1134"/>
    </row>
    <row r="1135" spans="7:7" x14ac:dyDescent="0.3">
      <c r="G1135"/>
    </row>
    <row r="1136" spans="7:7" x14ac:dyDescent="0.3">
      <c r="G1136"/>
    </row>
    <row r="1137" spans="7:7" x14ac:dyDescent="0.3">
      <c r="G1137"/>
    </row>
    <row r="1138" spans="7:7" x14ac:dyDescent="0.3">
      <c r="G1138"/>
    </row>
    <row r="1139" spans="7:7" x14ac:dyDescent="0.3">
      <c r="G1139"/>
    </row>
    <row r="1140" spans="7:7" x14ac:dyDescent="0.3">
      <c r="G1140"/>
    </row>
    <row r="1141" spans="7:7" x14ac:dyDescent="0.3">
      <c r="G1141"/>
    </row>
    <row r="1142" spans="7:7" x14ac:dyDescent="0.3">
      <c r="G1142"/>
    </row>
    <row r="1143" spans="7:7" x14ac:dyDescent="0.3">
      <c r="G1143"/>
    </row>
    <row r="1144" spans="7:7" x14ac:dyDescent="0.3">
      <c r="G1144"/>
    </row>
    <row r="1145" spans="7:7" x14ac:dyDescent="0.3">
      <c r="G1145"/>
    </row>
    <row r="1146" spans="7:7" x14ac:dyDescent="0.3">
      <c r="G1146"/>
    </row>
    <row r="1147" spans="7:7" x14ac:dyDescent="0.3">
      <c r="G1147"/>
    </row>
    <row r="1148" spans="7:7" x14ac:dyDescent="0.3">
      <c r="G1148"/>
    </row>
    <row r="1149" spans="7:7" x14ac:dyDescent="0.3">
      <c r="G1149"/>
    </row>
    <row r="1150" spans="7:7" x14ac:dyDescent="0.3">
      <c r="G1150"/>
    </row>
    <row r="1151" spans="7:7" x14ac:dyDescent="0.3">
      <c r="G1151"/>
    </row>
    <row r="1152" spans="7:7" x14ac:dyDescent="0.3">
      <c r="G1152"/>
    </row>
    <row r="1153" spans="7:7" x14ac:dyDescent="0.3">
      <c r="G1153"/>
    </row>
    <row r="1154" spans="7:7" x14ac:dyDescent="0.3">
      <c r="G1154"/>
    </row>
    <row r="1155" spans="7:7" x14ac:dyDescent="0.3">
      <c r="G1155"/>
    </row>
    <row r="1156" spans="7:7" x14ac:dyDescent="0.3">
      <c r="G1156"/>
    </row>
    <row r="1157" spans="7:7" x14ac:dyDescent="0.3">
      <c r="G1157"/>
    </row>
    <row r="1158" spans="7:7" x14ac:dyDescent="0.3">
      <c r="G1158"/>
    </row>
    <row r="1159" spans="7:7" x14ac:dyDescent="0.3">
      <c r="G1159"/>
    </row>
    <row r="1160" spans="7:7" x14ac:dyDescent="0.3">
      <c r="G1160"/>
    </row>
    <row r="1161" spans="7:7" x14ac:dyDescent="0.3">
      <c r="G1161"/>
    </row>
    <row r="1162" spans="7:7" x14ac:dyDescent="0.3">
      <c r="G1162"/>
    </row>
    <row r="1163" spans="7:7" x14ac:dyDescent="0.3">
      <c r="G1163"/>
    </row>
    <row r="1164" spans="7:7" x14ac:dyDescent="0.3">
      <c r="G1164"/>
    </row>
    <row r="1165" spans="7:7" x14ac:dyDescent="0.3">
      <c r="G1165"/>
    </row>
    <row r="1166" spans="7:7" x14ac:dyDescent="0.3">
      <c r="G1166"/>
    </row>
    <row r="1167" spans="7:7" x14ac:dyDescent="0.3">
      <c r="G1167"/>
    </row>
    <row r="1168" spans="7:7" x14ac:dyDescent="0.3">
      <c r="G1168"/>
    </row>
    <row r="1169" spans="7:7" x14ac:dyDescent="0.3">
      <c r="G1169"/>
    </row>
    <row r="1170" spans="7:7" x14ac:dyDescent="0.3">
      <c r="G1170"/>
    </row>
    <row r="1171" spans="7:7" x14ac:dyDescent="0.3">
      <c r="G1171"/>
    </row>
    <row r="1172" spans="7:7" x14ac:dyDescent="0.3">
      <c r="G1172"/>
    </row>
    <row r="1173" spans="7:7" x14ac:dyDescent="0.3">
      <c r="G1173"/>
    </row>
    <row r="1174" spans="7:7" x14ac:dyDescent="0.3">
      <c r="G1174"/>
    </row>
    <row r="1175" spans="7:7" x14ac:dyDescent="0.3">
      <c r="G1175"/>
    </row>
    <row r="1176" spans="7:7" x14ac:dyDescent="0.3">
      <c r="G1176"/>
    </row>
    <row r="1177" spans="7:7" x14ac:dyDescent="0.3">
      <c r="G1177"/>
    </row>
    <row r="1178" spans="7:7" x14ac:dyDescent="0.3">
      <c r="G1178"/>
    </row>
    <row r="1179" spans="7:7" x14ac:dyDescent="0.3">
      <c r="G1179"/>
    </row>
    <row r="1180" spans="7:7" x14ac:dyDescent="0.3">
      <c r="G1180"/>
    </row>
    <row r="1181" spans="7:7" x14ac:dyDescent="0.3">
      <c r="G1181"/>
    </row>
    <row r="1182" spans="7:7" x14ac:dyDescent="0.3">
      <c r="G1182"/>
    </row>
    <row r="1183" spans="7:7" x14ac:dyDescent="0.3">
      <c r="G1183"/>
    </row>
    <row r="1184" spans="7:7" x14ac:dyDescent="0.3">
      <c r="G1184"/>
    </row>
    <row r="1185" spans="7:7" x14ac:dyDescent="0.3">
      <c r="G1185"/>
    </row>
    <row r="1186" spans="7:7" x14ac:dyDescent="0.3">
      <c r="G1186"/>
    </row>
    <row r="1187" spans="7:7" x14ac:dyDescent="0.3">
      <c r="G1187"/>
    </row>
    <row r="1188" spans="7:7" x14ac:dyDescent="0.3">
      <c r="G1188"/>
    </row>
    <row r="1189" spans="7:7" x14ac:dyDescent="0.3">
      <c r="G1189"/>
    </row>
    <row r="1190" spans="7:7" x14ac:dyDescent="0.3">
      <c r="G1190"/>
    </row>
    <row r="1191" spans="7:7" x14ac:dyDescent="0.3">
      <c r="G1191"/>
    </row>
    <row r="1192" spans="7:7" x14ac:dyDescent="0.3">
      <c r="G1192"/>
    </row>
    <row r="1193" spans="7:7" x14ac:dyDescent="0.3">
      <c r="G1193"/>
    </row>
    <row r="1194" spans="7:7" x14ac:dyDescent="0.3">
      <c r="G1194"/>
    </row>
    <row r="1195" spans="7:7" x14ac:dyDescent="0.3">
      <c r="G1195"/>
    </row>
    <row r="1196" spans="7:7" x14ac:dyDescent="0.3">
      <c r="G1196"/>
    </row>
    <row r="1197" spans="7:7" x14ac:dyDescent="0.3">
      <c r="G1197"/>
    </row>
    <row r="1198" spans="7:7" x14ac:dyDescent="0.3">
      <c r="G1198"/>
    </row>
    <row r="1199" spans="7:7" x14ac:dyDescent="0.3">
      <c r="G1199"/>
    </row>
    <row r="1200" spans="7:7" x14ac:dyDescent="0.3">
      <c r="G1200"/>
    </row>
    <row r="1201" spans="7:7" x14ac:dyDescent="0.3">
      <c r="G1201"/>
    </row>
    <row r="1202" spans="7:7" x14ac:dyDescent="0.3">
      <c r="G1202"/>
    </row>
    <row r="1203" spans="7:7" x14ac:dyDescent="0.3">
      <c r="G1203"/>
    </row>
    <row r="1204" spans="7:7" x14ac:dyDescent="0.3">
      <c r="G1204"/>
    </row>
    <row r="1205" spans="7:7" x14ac:dyDescent="0.3">
      <c r="G1205"/>
    </row>
    <row r="1206" spans="7:7" x14ac:dyDescent="0.3">
      <c r="G1206"/>
    </row>
    <row r="1207" spans="7:7" x14ac:dyDescent="0.3">
      <c r="G1207"/>
    </row>
    <row r="1208" spans="7:7" x14ac:dyDescent="0.3">
      <c r="G1208"/>
    </row>
    <row r="1209" spans="7:7" x14ac:dyDescent="0.3">
      <c r="G1209"/>
    </row>
    <row r="1210" spans="7:7" x14ac:dyDescent="0.3">
      <c r="G1210"/>
    </row>
    <row r="1211" spans="7:7" x14ac:dyDescent="0.3">
      <c r="G1211"/>
    </row>
    <row r="1212" spans="7:7" x14ac:dyDescent="0.3">
      <c r="G1212"/>
    </row>
    <row r="1213" spans="7:7" x14ac:dyDescent="0.3">
      <c r="G1213"/>
    </row>
    <row r="1214" spans="7:7" x14ac:dyDescent="0.3">
      <c r="G1214"/>
    </row>
    <row r="1215" spans="7:7" x14ac:dyDescent="0.3">
      <c r="G1215"/>
    </row>
    <row r="1216" spans="7:7" x14ac:dyDescent="0.3">
      <c r="G1216"/>
    </row>
    <row r="1217" spans="7:7" x14ac:dyDescent="0.3">
      <c r="G1217"/>
    </row>
    <row r="1218" spans="7:7" x14ac:dyDescent="0.3">
      <c r="G1218"/>
    </row>
    <row r="1219" spans="7:7" x14ac:dyDescent="0.3">
      <c r="G1219"/>
    </row>
    <row r="1220" spans="7:7" x14ac:dyDescent="0.3">
      <c r="G1220"/>
    </row>
    <row r="1221" spans="7:7" x14ac:dyDescent="0.3">
      <c r="G1221"/>
    </row>
    <row r="1222" spans="7:7" x14ac:dyDescent="0.3">
      <c r="G1222"/>
    </row>
    <row r="1223" spans="7:7" x14ac:dyDescent="0.3">
      <c r="G1223"/>
    </row>
    <row r="1224" spans="7:7" x14ac:dyDescent="0.3">
      <c r="G1224"/>
    </row>
    <row r="1225" spans="7:7" x14ac:dyDescent="0.3">
      <c r="G1225"/>
    </row>
    <row r="1226" spans="7:7" x14ac:dyDescent="0.3">
      <c r="G1226"/>
    </row>
    <row r="1227" spans="7:7" x14ac:dyDescent="0.3">
      <c r="G1227"/>
    </row>
    <row r="1228" spans="7:7" x14ac:dyDescent="0.3">
      <c r="G1228"/>
    </row>
    <row r="1229" spans="7:7" x14ac:dyDescent="0.3">
      <c r="G1229"/>
    </row>
    <row r="1230" spans="7:7" x14ac:dyDescent="0.3">
      <c r="G1230"/>
    </row>
    <row r="1231" spans="7:7" x14ac:dyDescent="0.3">
      <c r="G1231"/>
    </row>
    <row r="1232" spans="7:7" x14ac:dyDescent="0.3">
      <c r="G1232"/>
    </row>
    <row r="1233" spans="7:7" x14ac:dyDescent="0.3">
      <c r="G1233"/>
    </row>
    <row r="1234" spans="7:7" x14ac:dyDescent="0.3">
      <c r="G1234"/>
    </row>
    <row r="1235" spans="7:7" x14ac:dyDescent="0.3">
      <c r="G1235"/>
    </row>
    <row r="1236" spans="7:7" x14ac:dyDescent="0.3">
      <c r="G1236"/>
    </row>
    <row r="1237" spans="7:7" x14ac:dyDescent="0.3">
      <c r="G1237"/>
    </row>
    <row r="1238" spans="7:7" x14ac:dyDescent="0.3">
      <c r="G1238"/>
    </row>
    <row r="1239" spans="7:7" x14ac:dyDescent="0.3">
      <c r="G1239"/>
    </row>
    <row r="1240" spans="7:7" x14ac:dyDescent="0.3">
      <c r="G1240"/>
    </row>
    <row r="1241" spans="7:7" x14ac:dyDescent="0.3">
      <c r="G1241"/>
    </row>
    <row r="1242" spans="7:7" x14ac:dyDescent="0.3">
      <c r="G1242"/>
    </row>
    <row r="1243" spans="7:7" x14ac:dyDescent="0.3">
      <c r="G1243"/>
    </row>
    <row r="1244" spans="7:7" x14ac:dyDescent="0.3">
      <c r="G1244"/>
    </row>
    <row r="1245" spans="7:7" x14ac:dyDescent="0.3">
      <c r="G1245"/>
    </row>
    <row r="1246" spans="7:7" x14ac:dyDescent="0.3">
      <c r="G1246"/>
    </row>
    <row r="1247" spans="7:7" x14ac:dyDescent="0.3">
      <c r="G1247"/>
    </row>
    <row r="1248" spans="7:7" x14ac:dyDescent="0.3">
      <c r="G1248"/>
    </row>
    <row r="1249" spans="7:7" x14ac:dyDescent="0.3">
      <c r="G1249"/>
    </row>
    <row r="1250" spans="7:7" x14ac:dyDescent="0.3">
      <c r="G1250"/>
    </row>
    <row r="1251" spans="7:7" x14ac:dyDescent="0.3">
      <c r="G1251"/>
    </row>
    <row r="1252" spans="7:7" x14ac:dyDescent="0.3">
      <c r="G1252"/>
    </row>
    <row r="1253" spans="7:7" x14ac:dyDescent="0.3">
      <c r="G1253"/>
    </row>
    <row r="1254" spans="7:7" x14ac:dyDescent="0.3">
      <c r="G1254"/>
    </row>
    <row r="1255" spans="7:7" x14ac:dyDescent="0.3">
      <c r="G1255"/>
    </row>
    <row r="1256" spans="7:7" x14ac:dyDescent="0.3">
      <c r="G1256"/>
    </row>
    <row r="1257" spans="7:7" x14ac:dyDescent="0.3">
      <c r="G1257"/>
    </row>
    <row r="1258" spans="7:7" x14ac:dyDescent="0.3">
      <c r="G1258"/>
    </row>
    <row r="1259" spans="7:7" x14ac:dyDescent="0.3">
      <c r="G1259"/>
    </row>
    <row r="1260" spans="7:7" x14ac:dyDescent="0.3">
      <c r="G1260"/>
    </row>
    <row r="1261" spans="7:7" x14ac:dyDescent="0.3">
      <c r="G1261"/>
    </row>
    <row r="1262" spans="7:7" x14ac:dyDescent="0.3">
      <c r="G1262"/>
    </row>
    <row r="1263" spans="7:7" x14ac:dyDescent="0.3">
      <c r="G1263"/>
    </row>
    <row r="1264" spans="7:7" x14ac:dyDescent="0.3">
      <c r="G1264"/>
    </row>
    <row r="1265" spans="7:7" x14ac:dyDescent="0.3">
      <c r="G1265"/>
    </row>
    <row r="1266" spans="7:7" x14ac:dyDescent="0.3">
      <c r="G1266"/>
    </row>
    <row r="1267" spans="7:7" x14ac:dyDescent="0.3">
      <c r="G1267"/>
    </row>
    <row r="1268" spans="7:7" x14ac:dyDescent="0.3">
      <c r="G1268"/>
    </row>
    <row r="1269" spans="7:7" x14ac:dyDescent="0.3">
      <c r="G1269"/>
    </row>
    <row r="1270" spans="7:7" x14ac:dyDescent="0.3">
      <c r="G1270"/>
    </row>
    <row r="1271" spans="7:7" x14ac:dyDescent="0.3">
      <c r="G1271"/>
    </row>
    <row r="1272" spans="7:7" x14ac:dyDescent="0.3">
      <c r="G1272"/>
    </row>
    <row r="1273" spans="7:7" x14ac:dyDescent="0.3">
      <c r="G1273"/>
    </row>
    <row r="1274" spans="7:7" x14ac:dyDescent="0.3">
      <c r="G1274"/>
    </row>
    <row r="1275" spans="7:7" x14ac:dyDescent="0.3">
      <c r="G1275"/>
    </row>
    <row r="1276" spans="7:7" x14ac:dyDescent="0.3">
      <c r="G1276"/>
    </row>
    <row r="1277" spans="7:7" x14ac:dyDescent="0.3">
      <c r="G1277"/>
    </row>
    <row r="1278" spans="7:7" x14ac:dyDescent="0.3">
      <c r="G1278"/>
    </row>
    <row r="1279" spans="7:7" x14ac:dyDescent="0.3">
      <c r="G1279"/>
    </row>
    <row r="1280" spans="7:7" x14ac:dyDescent="0.3">
      <c r="G1280"/>
    </row>
    <row r="1281" spans="7:7" x14ac:dyDescent="0.3">
      <c r="G1281"/>
    </row>
    <row r="1282" spans="7:7" x14ac:dyDescent="0.3">
      <c r="G1282"/>
    </row>
    <row r="1283" spans="7:7" x14ac:dyDescent="0.3">
      <c r="G1283"/>
    </row>
    <row r="1284" spans="7:7" x14ac:dyDescent="0.3">
      <c r="G1284"/>
    </row>
    <row r="1285" spans="7:7" x14ac:dyDescent="0.3">
      <c r="G1285"/>
    </row>
    <row r="1286" spans="7:7" x14ac:dyDescent="0.3">
      <c r="G1286"/>
    </row>
    <row r="1287" spans="7:7" x14ac:dyDescent="0.3">
      <c r="G1287"/>
    </row>
    <row r="1288" spans="7:7" x14ac:dyDescent="0.3">
      <c r="G1288"/>
    </row>
    <row r="1289" spans="7:7" x14ac:dyDescent="0.3">
      <c r="G1289"/>
    </row>
    <row r="1290" spans="7:7" x14ac:dyDescent="0.3">
      <c r="G1290"/>
    </row>
    <row r="1291" spans="7:7" x14ac:dyDescent="0.3">
      <c r="G1291"/>
    </row>
    <row r="1292" spans="7:7" x14ac:dyDescent="0.3">
      <c r="G1292"/>
    </row>
    <row r="1293" spans="7:7" x14ac:dyDescent="0.3">
      <c r="G1293"/>
    </row>
    <row r="1294" spans="7:7" x14ac:dyDescent="0.3">
      <c r="G1294"/>
    </row>
    <row r="1295" spans="7:7" x14ac:dyDescent="0.3">
      <c r="G1295"/>
    </row>
    <row r="1296" spans="7:7" x14ac:dyDescent="0.3">
      <c r="G1296"/>
    </row>
    <row r="1297" spans="7:7" x14ac:dyDescent="0.3">
      <c r="G1297"/>
    </row>
    <row r="1298" spans="7:7" x14ac:dyDescent="0.3">
      <c r="G1298"/>
    </row>
    <row r="1299" spans="7:7" x14ac:dyDescent="0.3">
      <c r="G1299"/>
    </row>
    <row r="1300" spans="7:7" x14ac:dyDescent="0.3">
      <c r="G1300"/>
    </row>
    <row r="1301" spans="7:7" x14ac:dyDescent="0.3">
      <c r="G1301"/>
    </row>
    <row r="1302" spans="7:7" x14ac:dyDescent="0.3">
      <c r="G1302"/>
    </row>
    <row r="1303" spans="7:7" x14ac:dyDescent="0.3">
      <c r="G1303"/>
    </row>
    <row r="1304" spans="7:7" x14ac:dyDescent="0.3">
      <c r="G1304"/>
    </row>
    <row r="1305" spans="7:7" x14ac:dyDescent="0.3">
      <c r="G1305"/>
    </row>
    <row r="1306" spans="7:7" x14ac:dyDescent="0.3">
      <c r="G1306"/>
    </row>
    <row r="1307" spans="7:7" x14ac:dyDescent="0.3">
      <c r="G1307"/>
    </row>
    <row r="1308" spans="7:7" x14ac:dyDescent="0.3">
      <c r="G1308"/>
    </row>
    <row r="1309" spans="7:7" x14ac:dyDescent="0.3">
      <c r="G1309"/>
    </row>
    <row r="1310" spans="7:7" x14ac:dyDescent="0.3">
      <c r="G1310"/>
    </row>
    <row r="1311" spans="7:7" x14ac:dyDescent="0.3">
      <c r="G1311"/>
    </row>
    <row r="1312" spans="7:7" x14ac:dyDescent="0.3">
      <c r="G1312"/>
    </row>
    <row r="1313" spans="7:7" x14ac:dyDescent="0.3">
      <c r="G1313"/>
    </row>
    <row r="1314" spans="7:7" x14ac:dyDescent="0.3">
      <c r="G1314"/>
    </row>
    <row r="1315" spans="7:7" x14ac:dyDescent="0.3">
      <c r="G1315"/>
    </row>
    <row r="1316" spans="7:7" x14ac:dyDescent="0.3">
      <c r="G1316"/>
    </row>
    <row r="1317" spans="7:7" x14ac:dyDescent="0.3">
      <c r="G1317"/>
    </row>
    <row r="1318" spans="7:7" x14ac:dyDescent="0.3">
      <c r="G1318"/>
    </row>
    <row r="1319" spans="7:7" x14ac:dyDescent="0.3">
      <c r="G1319"/>
    </row>
    <row r="1320" spans="7:7" x14ac:dyDescent="0.3">
      <c r="G1320"/>
    </row>
    <row r="1321" spans="7:7" x14ac:dyDescent="0.3">
      <c r="G1321"/>
    </row>
    <row r="1322" spans="7:7" x14ac:dyDescent="0.3">
      <c r="G1322"/>
    </row>
    <row r="1323" spans="7:7" x14ac:dyDescent="0.3">
      <c r="G1323"/>
    </row>
    <row r="1324" spans="7:7" x14ac:dyDescent="0.3">
      <c r="G1324"/>
    </row>
    <row r="1325" spans="7:7" x14ac:dyDescent="0.3">
      <c r="G1325"/>
    </row>
    <row r="1326" spans="7:7" x14ac:dyDescent="0.3">
      <c r="G1326"/>
    </row>
    <row r="1327" spans="7:7" x14ac:dyDescent="0.3">
      <c r="G1327"/>
    </row>
    <row r="1328" spans="7:7" x14ac:dyDescent="0.3">
      <c r="G1328"/>
    </row>
    <row r="1329" spans="7:7" x14ac:dyDescent="0.3">
      <c r="G1329"/>
    </row>
    <row r="1330" spans="7:7" x14ac:dyDescent="0.3">
      <c r="G1330"/>
    </row>
    <row r="1331" spans="7:7" x14ac:dyDescent="0.3">
      <c r="G1331"/>
    </row>
    <row r="1332" spans="7:7" x14ac:dyDescent="0.3">
      <c r="G1332"/>
    </row>
    <row r="1333" spans="7:7" x14ac:dyDescent="0.3">
      <c r="G1333"/>
    </row>
    <row r="1334" spans="7:7" x14ac:dyDescent="0.3">
      <c r="G1334"/>
    </row>
    <row r="1335" spans="7:7" x14ac:dyDescent="0.3">
      <c r="G1335"/>
    </row>
    <row r="1336" spans="7:7" x14ac:dyDescent="0.3">
      <c r="G1336"/>
    </row>
    <row r="1337" spans="7:7" x14ac:dyDescent="0.3">
      <c r="G1337"/>
    </row>
    <row r="1338" spans="7:7" x14ac:dyDescent="0.3">
      <c r="G1338"/>
    </row>
    <row r="1339" spans="7:7" x14ac:dyDescent="0.3">
      <c r="G1339"/>
    </row>
    <row r="1340" spans="7:7" x14ac:dyDescent="0.3">
      <c r="G1340"/>
    </row>
    <row r="1341" spans="7:7" x14ac:dyDescent="0.3">
      <c r="G1341"/>
    </row>
    <row r="1342" spans="7:7" x14ac:dyDescent="0.3">
      <c r="G1342"/>
    </row>
    <row r="1343" spans="7:7" x14ac:dyDescent="0.3">
      <c r="G1343"/>
    </row>
    <row r="1344" spans="7:7" x14ac:dyDescent="0.3">
      <c r="G1344"/>
    </row>
    <row r="1345" spans="7:7" x14ac:dyDescent="0.3">
      <c r="G1345"/>
    </row>
    <row r="1346" spans="7:7" x14ac:dyDescent="0.3">
      <c r="G1346"/>
    </row>
    <row r="1347" spans="7:7" x14ac:dyDescent="0.3">
      <c r="G1347"/>
    </row>
    <row r="1348" spans="7:7" x14ac:dyDescent="0.3">
      <c r="G1348"/>
    </row>
    <row r="1349" spans="7:7" x14ac:dyDescent="0.3">
      <c r="G1349"/>
    </row>
    <row r="1350" spans="7:7" x14ac:dyDescent="0.3">
      <c r="G1350"/>
    </row>
    <row r="1351" spans="7:7" x14ac:dyDescent="0.3">
      <c r="G1351"/>
    </row>
    <row r="1352" spans="7:7" x14ac:dyDescent="0.3">
      <c r="G1352"/>
    </row>
    <row r="1353" spans="7:7" x14ac:dyDescent="0.3">
      <c r="G1353"/>
    </row>
    <row r="1354" spans="7:7" x14ac:dyDescent="0.3">
      <c r="G1354"/>
    </row>
    <row r="1355" spans="7:7" x14ac:dyDescent="0.3">
      <c r="G1355"/>
    </row>
    <row r="1356" spans="7:7" x14ac:dyDescent="0.3">
      <c r="G1356"/>
    </row>
    <row r="1357" spans="7:7" x14ac:dyDescent="0.3">
      <c r="G1357"/>
    </row>
    <row r="1358" spans="7:7" x14ac:dyDescent="0.3">
      <c r="G1358"/>
    </row>
    <row r="1359" spans="7:7" x14ac:dyDescent="0.3">
      <c r="G1359"/>
    </row>
    <row r="1360" spans="7:7" x14ac:dyDescent="0.3">
      <c r="G1360"/>
    </row>
    <row r="1361" spans="7:7" x14ac:dyDescent="0.3">
      <c r="G1361"/>
    </row>
    <row r="1362" spans="7:7" x14ac:dyDescent="0.3">
      <c r="G1362"/>
    </row>
    <row r="1363" spans="7:7" x14ac:dyDescent="0.3">
      <c r="G1363"/>
    </row>
    <row r="1364" spans="7:7" x14ac:dyDescent="0.3">
      <c r="G1364"/>
    </row>
    <row r="1365" spans="7:7" x14ac:dyDescent="0.3">
      <c r="G1365"/>
    </row>
    <row r="1366" spans="7:7" x14ac:dyDescent="0.3">
      <c r="G1366"/>
    </row>
    <row r="1367" spans="7:7" x14ac:dyDescent="0.3">
      <c r="G1367"/>
    </row>
    <row r="1368" spans="7:7" x14ac:dyDescent="0.3">
      <c r="G1368"/>
    </row>
    <row r="1369" spans="7:7" x14ac:dyDescent="0.3">
      <c r="G1369"/>
    </row>
    <row r="1370" spans="7:7" x14ac:dyDescent="0.3">
      <c r="G1370"/>
    </row>
    <row r="1371" spans="7:7" x14ac:dyDescent="0.3">
      <c r="G1371"/>
    </row>
    <row r="1372" spans="7:7" x14ac:dyDescent="0.3">
      <c r="G1372"/>
    </row>
    <row r="1373" spans="7:7" x14ac:dyDescent="0.3">
      <c r="G1373"/>
    </row>
    <row r="1374" spans="7:7" x14ac:dyDescent="0.3">
      <c r="G1374"/>
    </row>
    <row r="1375" spans="7:7" x14ac:dyDescent="0.3">
      <c r="G1375"/>
    </row>
    <row r="1376" spans="7:7" x14ac:dyDescent="0.3">
      <c r="G1376"/>
    </row>
    <row r="1377" spans="7:7" x14ac:dyDescent="0.3">
      <c r="G1377"/>
    </row>
    <row r="1378" spans="7:7" x14ac:dyDescent="0.3">
      <c r="G1378"/>
    </row>
    <row r="1379" spans="7:7" x14ac:dyDescent="0.3">
      <c r="G1379"/>
    </row>
    <row r="1380" spans="7:7" x14ac:dyDescent="0.3">
      <c r="G1380"/>
    </row>
    <row r="1381" spans="7:7" x14ac:dyDescent="0.3">
      <c r="G1381"/>
    </row>
    <row r="1382" spans="7:7" x14ac:dyDescent="0.3">
      <c r="G1382"/>
    </row>
    <row r="1383" spans="7:7" x14ac:dyDescent="0.3">
      <c r="G1383"/>
    </row>
    <row r="1384" spans="7:7" x14ac:dyDescent="0.3">
      <c r="G1384"/>
    </row>
    <row r="1385" spans="7:7" x14ac:dyDescent="0.3">
      <c r="G1385"/>
    </row>
    <row r="1386" spans="7:7" x14ac:dyDescent="0.3">
      <c r="G1386"/>
    </row>
    <row r="1387" spans="7:7" x14ac:dyDescent="0.3">
      <c r="G1387"/>
    </row>
    <row r="1388" spans="7:7" x14ac:dyDescent="0.3">
      <c r="G1388"/>
    </row>
    <row r="1389" spans="7:7" x14ac:dyDescent="0.3">
      <c r="G1389"/>
    </row>
    <row r="1390" spans="7:7" x14ac:dyDescent="0.3">
      <c r="G1390"/>
    </row>
    <row r="1391" spans="7:7" x14ac:dyDescent="0.3">
      <c r="G1391"/>
    </row>
    <row r="1392" spans="7:7" x14ac:dyDescent="0.3">
      <c r="G1392"/>
    </row>
    <row r="1393" spans="7:7" x14ac:dyDescent="0.3">
      <c r="G1393"/>
    </row>
    <row r="1394" spans="7:7" x14ac:dyDescent="0.3">
      <c r="G1394"/>
    </row>
    <row r="1395" spans="7:7" x14ac:dyDescent="0.3">
      <c r="G1395"/>
    </row>
    <row r="1396" spans="7:7" x14ac:dyDescent="0.3">
      <c r="G1396"/>
    </row>
    <row r="1397" spans="7:7" x14ac:dyDescent="0.3">
      <c r="G1397"/>
    </row>
    <row r="1398" spans="7:7" x14ac:dyDescent="0.3">
      <c r="G1398"/>
    </row>
    <row r="1399" spans="7:7" x14ac:dyDescent="0.3">
      <c r="G1399"/>
    </row>
    <row r="1400" spans="7:7" x14ac:dyDescent="0.3">
      <c r="G1400"/>
    </row>
    <row r="1401" spans="7:7" x14ac:dyDescent="0.3">
      <c r="G1401"/>
    </row>
    <row r="1402" spans="7:7" x14ac:dyDescent="0.3">
      <c r="G1402"/>
    </row>
    <row r="1403" spans="7:7" x14ac:dyDescent="0.3">
      <c r="G1403"/>
    </row>
    <row r="1404" spans="7:7" x14ac:dyDescent="0.3">
      <c r="G1404"/>
    </row>
    <row r="1405" spans="7:7" x14ac:dyDescent="0.3">
      <c r="G1405"/>
    </row>
    <row r="1406" spans="7:7" x14ac:dyDescent="0.3">
      <c r="G1406"/>
    </row>
    <row r="1407" spans="7:7" x14ac:dyDescent="0.3">
      <c r="G1407"/>
    </row>
    <row r="1408" spans="7:7" x14ac:dyDescent="0.3">
      <c r="G1408"/>
    </row>
    <row r="1409" spans="7:7" x14ac:dyDescent="0.3">
      <c r="G1409"/>
    </row>
    <row r="1410" spans="7:7" x14ac:dyDescent="0.3">
      <c r="G1410"/>
    </row>
    <row r="1411" spans="7:7" x14ac:dyDescent="0.3">
      <c r="G1411"/>
    </row>
    <row r="1412" spans="7:7" x14ac:dyDescent="0.3">
      <c r="G1412"/>
    </row>
    <row r="1413" spans="7:7" x14ac:dyDescent="0.3">
      <c r="G1413"/>
    </row>
    <row r="1414" spans="7:7" x14ac:dyDescent="0.3">
      <c r="G1414"/>
    </row>
    <row r="1415" spans="7:7" x14ac:dyDescent="0.3">
      <c r="G1415"/>
    </row>
    <row r="1416" spans="7:7" x14ac:dyDescent="0.3">
      <c r="G1416"/>
    </row>
    <row r="1417" spans="7:7" x14ac:dyDescent="0.3">
      <c r="G1417"/>
    </row>
    <row r="1418" spans="7:7" x14ac:dyDescent="0.3">
      <c r="G1418"/>
    </row>
    <row r="1419" spans="7:7" x14ac:dyDescent="0.3">
      <c r="G1419"/>
    </row>
    <row r="1420" spans="7:7" x14ac:dyDescent="0.3">
      <c r="G1420"/>
    </row>
    <row r="1421" spans="7:7" x14ac:dyDescent="0.3">
      <c r="G1421"/>
    </row>
    <row r="1422" spans="7:7" x14ac:dyDescent="0.3">
      <c r="G1422"/>
    </row>
    <row r="1423" spans="7:7" x14ac:dyDescent="0.3">
      <c r="G1423"/>
    </row>
    <row r="1424" spans="7:7" x14ac:dyDescent="0.3">
      <c r="G1424"/>
    </row>
    <row r="1425" spans="7:7" x14ac:dyDescent="0.3">
      <c r="G1425"/>
    </row>
    <row r="1426" spans="7:7" x14ac:dyDescent="0.3">
      <c r="G1426"/>
    </row>
    <row r="1427" spans="7:7" x14ac:dyDescent="0.3">
      <c r="G1427"/>
    </row>
    <row r="1428" spans="7:7" x14ac:dyDescent="0.3">
      <c r="G1428"/>
    </row>
    <row r="1429" spans="7:7" x14ac:dyDescent="0.3">
      <c r="G1429"/>
    </row>
    <row r="1430" spans="7:7" x14ac:dyDescent="0.3">
      <c r="G1430"/>
    </row>
    <row r="1431" spans="7:7" x14ac:dyDescent="0.3">
      <c r="G1431"/>
    </row>
    <row r="1432" spans="7:7" x14ac:dyDescent="0.3">
      <c r="G1432"/>
    </row>
    <row r="1433" spans="7:7" x14ac:dyDescent="0.3">
      <c r="G1433"/>
    </row>
    <row r="1434" spans="7:7" x14ac:dyDescent="0.3">
      <c r="G1434"/>
    </row>
    <row r="1435" spans="7:7" x14ac:dyDescent="0.3">
      <c r="G1435"/>
    </row>
    <row r="1436" spans="7:7" x14ac:dyDescent="0.3">
      <c r="G1436"/>
    </row>
    <row r="1437" spans="7:7" x14ac:dyDescent="0.3">
      <c r="G1437"/>
    </row>
    <row r="1438" spans="7:7" x14ac:dyDescent="0.3">
      <c r="G1438"/>
    </row>
    <row r="1439" spans="7:7" x14ac:dyDescent="0.3">
      <c r="G1439"/>
    </row>
    <row r="1440" spans="7:7" x14ac:dyDescent="0.3">
      <c r="G1440"/>
    </row>
    <row r="1441" spans="7:7" x14ac:dyDescent="0.3">
      <c r="G1441"/>
    </row>
    <row r="1442" spans="7:7" x14ac:dyDescent="0.3">
      <c r="G1442"/>
    </row>
    <row r="1443" spans="7:7" x14ac:dyDescent="0.3">
      <c r="G1443"/>
    </row>
    <row r="1444" spans="7:7" x14ac:dyDescent="0.3">
      <c r="G1444"/>
    </row>
    <row r="1445" spans="7:7" x14ac:dyDescent="0.3">
      <c r="G1445"/>
    </row>
    <row r="1446" spans="7:7" x14ac:dyDescent="0.3">
      <c r="G1446"/>
    </row>
    <row r="1447" spans="7:7" x14ac:dyDescent="0.3">
      <c r="G1447"/>
    </row>
    <row r="1448" spans="7:7" x14ac:dyDescent="0.3">
      <c r="G1448"/>
    </row>
    <row r="1449" spans="7:7" x14ac:dyDescent="0.3">
      <c r="G1449"/>
    </row>
    <row r="1450" spans="7:7" x14ac:dyDescent="0.3">
      <c r="G1450"/>
    </row>
    <row r="1451" spans="7:7" x14ac:dyDescent="0.3">
      <c r="G1451"/>
    </row>
    <row r="1452" spans="7:7" x14ac:dyDescent="0.3">
      <c r="G1452"/>
    </row>
    <row r="1453" spans="7:7" x14ac:dyDescent="0.3">
      <c r="G1453"/>
    </row>
    <row r="1454" spans="7:7" x14ac:dyDescent="0.3">
      <c r="G1454"/>
    </row>
    <row r="1455" spans="7:7" x14ac:dyDescent="0.3">
      <c r="G1455"/>
    </row>
    <row r="1456" spans="7:7" x14ac:dyDescent="0.3">
      <c r="G1456"/>
    </row>
    <row r="1457" spans="7:7" x14ac:dyDescent="0.3">
      <c r="G1457"/>
    </row>
    <row r="1458" spans="7:7" x14ac:dyDescent="0.3">
      <c r="G1458"/>
    </row>
    <row r="1459" spans="7:7" x14ac:dyDescent="0.3">
      <c r="G1459"/>
    </row>
    <row r="1460" spans="7:7" x14ac:dyDescent="0.3">
      <c r="G1460"/>
    </row>
    <row r="1461" spans="7:7" x14ac:dyDescent="0.3">
      <c r="G1461"/>
    </row>
    <row r="1462" spans="7:7" x14ac:dyDescent="0.3">
      <c r="G1462"/>
    </row>
    <row r="1463" spans="7:7" x14ac:dyDescent="0.3">
      <c r="G1463"/>
    </row>
    <row r="1464" spans="7:7" x14ac:dyDescent="0.3">
      <c r="G1464"/>
    </row>
    <row r="1465" spans="7:7" x14ac:dyDescent="0.3">
      <c r="G1465"/>
    </row>
    <row r="1466" spans="7:7" x14ac:dyDescent="0.3">
      <c r="G1466"/>
    </row>
    <row r="1467" spans="7:7" x14ac:dyDescent="0.3">
      <c r="G1467"/>
    </row>
    <row r="1468" spans="7:7" x14ac:dyDescent="0.3">
      <c r="G1468"/>
    </row>
    <row r="1469" spans="7:7" x14ac:dyDescent="0.3">
      <c r="G1469"/>
    </row>
    <row r="1470" spans="7:7" x14ac:dyDescent="0.3">
      <c r="G1470"/>
    </row>
    <row r="1471" spans="7:7" x14ac:dyDescent="0.3">
      <c r="G1471"/>
    </row>
    <row r="1472" spans="7:7" x14ac:dyDescent="0.3">
      <c r="G1472"/>
    </row>
    <row r="1473" spans="7:7" x14ac:dyDescent="0.3">
      <c r="G1473"/>
    </row>
    <row r="1474" spans="7:7" x14ac:dyDescent="0.3">
      <c r="G1474"/>
    </row>
    <row r="1475" spans="7:7" x14ac:dyDescent="0.3">
      <c r="G1475"/>
    </row>
    <row r="1476" spans="7:7" x14ac:dyDescent="0.3">
      <c r="G1476"/>
    </row>
    <row r="1477" spans="7:7" x14ac:dyDescent="0.3">
      <c r="G1477"/>
    </row>
    <row r="1478" spans="7:7" x14ac:dyDescent="0.3">
      <c r="G1478"/>
    </row>
    <row r="1479" spans="7:7" x14ac:dyDescent="0.3">
      <c r="G1479"/>
    </row>
    <row r="1480" spans="7:7" x14ac:dyDescent="0.3">
      <c r="G1480"/>
    </row>
    <row r="1481" spans="7:7" x14ac:dyDescent="0.3">
      <c r="G1481"/>
    </row>
    <row r="1482" spans="7:7" x14ac:dyDescent="0.3">
      <c r="G1482"/>
    </row>
    <row r="1483" spans="7:7" x14ac:dyDescent="0.3">
      <c r="G1483"/>
    </row>
    <row r="1484" spans="7:7" x14ac:dyDescent="0.3">
      <c r="G1484"/>
    </row>
    <row r="1485" spans="7:7" x14ac:dyDescent="0.3">
      <c r="G1485"/>
    </row>
    <row r="1486" spans="7:7" x14ac:dyDescent="0.3">
      <c r="G1486"/>
    </row>
    <row r="1487" spans="7:7" x14ac:dyDescent="0.3">
      <c r="G1487"/>
    </row>
    <row r="1488" spans="7:7" x14ac:dyDescent="0.3">
      <c r="G1488"/>
    </row>
    <row r="1489" spans="7:7" x14ac:dyDescent="0.3">
      <c r="G1489"/>
    </row>
    <row r="1490" spans="7:7" x14ac:dyDescent="0.3">
      <c r="G1490"/>
    </row>
    <row r="1491" spans="7:7" x14ac:dyDescent="0.3">
      <c r="G1491"/>
    </row>
    <row r="1492" spans="7:7" x14ac:dyDescent="0.3">
      <c r="G1492"/>
    </row>
    <row r="1493" spans="7:7" x14ac:dyDescent="0.3">
      <c r="G1493"/>
    </row>
    <row r="1494" spans="7:7" x14ac:dyDescent="0.3">
      <c r="G1494"/>
    </row>
    <row r="1495" spans="7:7" x14ac:dyDescent="0.3">
      <c r="G1495"/>
    </row>
    <row r="1496" spans="7:7" x14ac:dyDescent="0.3">
      <c r="G1496"/>
    </row>
    <row r="1497" spans="7:7" x14ac:dyDescent="0.3">
      <c r="G1497"/>
    </row>
    <row r="1498" spans="7:7" x14ac:dyDescent="0.3">
      <c r="G1498"/>
    </row>
    <row r="1499" spans="7:7" x14ac:dyDescent="0.3">
      <c r="G1499"/>
    </row>
    <row r="1500" spans="7:7" x14ac:dyDescent="0.3">
      <c r="G1500"/>
    </row>
    <row r="1501" spans="7:7" x14ac:dyDescent="0.3">
      <c r="G1501"/>
    </row>
    <row r="1502" spans="7:7" x14ac:dyDescent="0.3">
      <c r="G1502"/>
    </row>
    <row r="1503" spans="7:7" x14ac:dyDescent="0.3">
      <c r="G1503"/>
    </row>
    <row r="1504" spans="7:7" x14ac:dyDescent="0.3">
      <c r="G1504"/>
    </row>
    <row r="1505" spans="7:7" x14ac:dyDescent="0.3">
      <c r="G1505"/>
    </row>
    <row r="1506" spans="7:7" x14ac:dyDescent="0.3">
      <c r="G1506"/>
    </row>
    <row r="1507" spans="7:7" x14ac:dyDescent="0.3">
      <c r="G1507"/>
    </row>
    <row r="1508" spans="7:7" x14ac:dyDescent="0.3">
      <c r="G1508"/>
    </row>
    <row r="1509" spans="7:7" x14ac:dyDescent="0.3">
      <c r="G1509"/>
    </row>
    <row r="1510" spans="7:7" x14ac:dyDescent="0.3">
      <c r="G1510"/>
    </row>
    <row r="1511" spans="7:7" x14ac:dyDescent="0.3">
      <c r="G1511"/>
    </row>
    <row r="1512" spans="7:7" x14ac:dyDescent="0.3">
      <c r="G1512"/>
    </row>
    <row r="1513" spans="7:7" x14ac:dyDescent="0.3">
      <c r="G1513"/>
    </row>
    <row r="1514" spans="7:7" x14ac:dyDescent="0.3">
      <c r="G1514"/>
    </row>
    <row r="1515" spans="7:7" x14ac:dyDescent="0.3">
      <c r="G1515"/>
    </row>
    <row r="1516" spans="7:7" x14ac:dyDescent="0.3">
      <c r="G1516"/>
    </row>
    <row r="1517" spans="7:7" x14ac:dyDescent="0.3">
      <c r="G1517"/>
    </row>
    <row r="1518" spans="7:7" x14ac:dyDescent="0.3">
      <c r="G1518"/>
    </row>
    <row r="1519" spans="7:7" x14ac:dyDescent="0.3">
      <c r="G1519"/>
    </row>
    <row r="1520" spans="7:7" x14ac:dyDescent="0.3">
      <c r="G1520"/>
    </row>
    <row r="1521" spans="7:7" x14ac:dyDescent="0.3">
      <c r="G1521"/>
    </row>
    <row r="1522" spans="7:7" x14ac:dyDescent="0.3">
      <c r="G1522"/>
    </row>
    <row r="1523" spans="7:7" x14ac:dyDescent="0.3">
      <c r="G1523"/>
    </row>
    <row r="1524" spans="7:7" x14ac:dyDescent="0.3">
      <c r="G1524"/>
    </row>
    <row r="1525" spans="7:7" x14ac:dyDescent="0.3">
      <c r="G1525"/>
    </row>
    <row r="1526" spans="7:7" x14ac:dyDescent="0.3">
      <c r="G1526"/>
    </row>
    <row r="1527" spans="7:7" x14ac:dyDescent="0.3">
      <c r="G1527"/>
    </row>
    <row r="1528" spans="7:7" x14ac:dyDescent="0.3">
      <c r="G1528"/>
    </row>
    <row r="1529" spans="7:7" x14ac:dyDescent="0.3">
      <c r="G1529"/>
    </row>
    <row r="1530" spans="7:7" x14ac:dyDescent="0.3">
      <c r="G1530"/>
    </row>
    <row r="1531" spans="7:7" x14ac:dyDescent="0.3">
      <c r="G1531"/>
    </row>
    <row r="1532" spans="7:7" x14ac:dyDescent="0.3">
      <c r="G1532"/>
    </row>
    <row r="1533" spans="7:7" x14ac:dyDescent="0.3">
      <c r="G1533"/>
    </row>
    <row r="1534" spans="7:7" x14ac:dyDescent="0.3">
      <c r="G1534"/>
    </row>
    <row r="1535" spans="7:7" x14ac:dyDescent="0.3">
      <c r="G1535"/>
    </row>
    <row r="1536" spans="7:7" x14ac:dyDescent="0.3">
      <c r="G1536"/>
    </row>
    <row r="1537" spans="7:7" x14ac:dyDescent="0.3">
      <c r="G1537"/>
    </row>
    <row r="1538" spans="7:7" x14ac:dyDescent="0.3">
      <c r="G1538"/>
    </row>
    <row r="1539" spans="7:7" x14ac:dyDescent="0.3">
      <c r="G1539"/>
    </row>
    <row r="1540" spans="7:7" x14ac:dyDescent="0.3">
      <c r="G1540"/>
    </row>
    <row r="1541" spans="7:7" x14ac:dyDescent="0.3">
      <c r="G1541"/>
    </row>
    <row r="1542" spans="7:7" x14ac:dyDescent="0.3">
      <c r="G1542"/>
    </row>
    <row r="1543" spans="7:7" x14ac:dyDescent="0.3">
      <c r="G1543"/>
    </row>
    <row r="1544" spans="7:7" x14ac:dyDescent="0.3">
      <c r="G1544"/>
    </row>
    <row r="1545" spans="7:7" x14ac:dyDescent="0.3">
      <c r="G1545"/>
    </row>
    <row r="1546" spans="7:7" x14ac:dyDescent="0.3">
      <c r="G1546"/>
    </row>
    <row r="1547" spans="7:7" x14ac:dyDescent="0.3">
      <c r="G1547"/>
    </row>
    <row r="1548" spans="7:7" x14ac:dyDescent="0.3">
      <c r="G1548"/>
    </row>
    <row r="1549" spans="7:7" x14ac:dyDescent="0.3">
      <c r="G1549"/>
    </row>
    <row r="1550" spans="7:7" x14ac:dyDescent="0.3">
      <c r="G1550"/>
    </row>
    <row r="1551" spans="7:7" x14ac:dyDescent="0.3">
      <c r="G1551"/>
    </row>
    <row r="1552" spans="7:7" x14ac:dyDescent="0.3">
      <c r="G1552"/>
    </row>
    <row r="1553" spans="7:7" x14ac:dyDescent="0.3">
      <c r="G1553"/>
    </row>
    <row r="1554" spans="7:7" x14ac:dyDescent="0.3">
      <c r="G1554"/>
    </row>
    <row r="1555" spans="7:7" x14ac:dyDescent="0.3">
      <c r="G1555"/>
    </row>
    <row r="1556" spans="7:7" x14ac:dyDescent="0.3">
      <c r="G1556"/>
    </row>
    <row r="1557" spans="7:7" x14ac:dyDescent="0.3">
      <c r="G1557"/>
    </row>
    <row r="1558" spans="7:7" x14ac:dyDescent="0.3">
      <c r="G1558"/>
    </row>
    <row r="1559" spans="7:7" x14ac:dyDescent="0.3">
      <c r="G1559"/>
    </row>
    <row r="1560" spans="7:7" x14ac:dyDescent="0.3">
      <c r="G1560"/>
    </row>
    <row r="1561" spans="7:7" x14ac:dyDescent="0.3">
      <c r="G1561"/>
    </row>
    <row r="1562" spans="7:7" x14ac:dyDescent="0.3">
      <c r="G1562"/>
    </row>
    <row r="1563" spans="7:7" x14ac:dyDescent="0.3">
      <c r="G1563"/>
    </row>
    <row r="1564" spans="7:7" x14ac:dyDescent="0.3">
      <c r="G1564"/>
    </row>
    <row r="1565" spans="7:7" x14ac:dyDescent="0.3">
      <c r="G1565"/>
    </row>
    <row r="1566" spans="7:7" x14ac:dyDescent="0.3">
      <c r="G1566"/>
    </row>
    <row r="1567" spans="7:7" x14ac:dyDescent="0.3">
      <c r="G1567"/>
    </row>
    <row r="1568" spans="7:7" x14ac:dyDescent="0.3">
      <c r="G1568"/>
    </row>
    <row r="1569" spans="7:7" x14ac:dyDescent="0.3">
      <c r="G1569"/>
    </row>
    <row r="1570" spans="7:7" x14ac:dyDescent="0.3">
      <c r="G1570"/>
    </row>
    <row r="1571" spans="7:7" x14ac:dyDescent="0.3">
      <c r="G1571"/>
    </row>
    <row r="1572" spans="7:7" x14ac:dyDescent="0.3">
      <c r="G1572"/>
    </row>
    <row r="1573" spans="7:7" x14ac:dyDescent="0.3">
      <c r="G1573"/>
    </row>
    <row r="1574" spans="7:7" x14ac:dyDescent="0.3">
      <c r="G1574"/>
    </row>
    <row r="1575" spans="7:7" x14ac:dyDescent="0.3">
      <c r="G1575"/>
    </row>
    <row r="1576" spans="7:7" x14ac:dyDescent="0.3">
      <c r="G1576"/>
    </row>
    <row r="1577" spans="7:7" x14ac:dyDescent="0.3">
      <c r="G1577"/>
    </row>
    <row r="1578" spans="7:7" x14ac:dyDescent="0.3">
      <c r="G1578"/>
    </row>
    <row r="1579" spans="7:7" x14ac:dyDescent="0.3">
      <c r="G1579"/>
    </row>
    <row r="1580" spans="7:7" x14ac:dyDescent="0.3">
      <c r="G1580"/>
    </row>
    <row r="1581" spans="7:7" x14ac:dyDescent="0.3">
      <c r="G1581"/>
    </row>
    <row r="1582" spans="7:7" x14ac:dyDescent="0.3">
      <c r="G1582"/>
    </row>
    <row r="1583" spans="7:7" x14ac:dyDescent="0.3">
      <c r="G1583"/>
    </row>
    <row r="1584" spans="7:7" x14ac:dyDescent="0.3">
      <c r="G1584"/>
    </row>
    <row r="1585" spans="7:7" x14ac:dyDescent="0.3">
      <c r="G1585"/>
    </row>
    <row r="1586" spans="7:7" x14ac:dyDescent="0.3">
      <c r="G1586"/>
    </row>
    <row r="1587" spans="7:7" x14ac:dyDescent="0.3">
      <c r="G1587"/>
    </row>
    <row r="1588" spans="7:7" x14ac:dyDescent="0.3">
      <c r="G1588"/>
    </row>
    <row r="1589" spans="7:7" x14ac:dyDescent="0.3">
      <c r="G1589"/>
    </row>
    <row r="1590" spans="7:7" x14ac:dyDescent="0.3">
      <c r="G1590"/>
    </row>
    <row r="1591" spans="7:7" x14ac:dyDescent="0.3">
      <c r="G1591"/>
    </row>
    <row r="1592" spans="7:7" x14ac:dyDescent="0.3">
      <c r="G1592"/>
    </row>
    <row r="1593" spans="7:7" x14ac:dyDescent="0.3">
      <c r="G1593"/>
    </row>
    <row r="1594" spans="7:7" x14ac:dyDescent="0.3">
      <c r="G1594"/>
    </row>
    <row r="1595" spans="7:7" x14ac:dyDescent="0.3">
      <c r="G1595"/>
    </row>
    <row r="1596" spans="7:7" x14ac:dyDescent="0.3">
      <c r="G1596"/>
    </row>
    <row r="1597" spans="7:7" x14ac:dyDescent="0.3">
      <c r="G1597"/>
    </row>
    <row r="1598" spans="7:7" x14ac:dyDescent="0.3">
      <c r="G1598"/>
    </row>
    <row r="1599" spans="7:7" x14ac:dyDescent="0.3">
      <c r="G1599"/>
    </row>
    <row r="1600" spans="7:7" x14ac:dyDescent="0.3">
      <c r="G1600"/>
    </row>
    <row r="1601" spans="7:7" x14ac:dyDescent="0.3">
      <c r="G1601"/>
    </row>
    <row r="1602" spans="7:7" x14ac:dyDescent="0.3">
      <c r="G1602"/>
    </row>
    <row r="1603" spans="7:7" x14ac:dyDescent="0.3">
      <c r="G1603"/>
    </row>
    <row r="1604" spans="7:7" x14ac:dyDescent="0.3">
      <c r="G1604"/>
    </row>
    <row r="1605" spans="7:7" x14ac:dyDescent="0.3">
      <c r="G1605"/>
    </row>
    <row r="1606" spans="7:7" x14ac:dyDescent="0.3">
      <c r="G1606"/>
    </row>
    <row r="1607" spans="7:7" x14ac:dyDescent="0.3">
      <c r="G1607"/>
    </row>
    <row r="1608" spans="7:7" x14ac:dyDescent="0.3">
      <c r="G1608"/>
    </row>
    <row r="1609" spans="7:7" x14ac:dyDescent="0.3">
      <c r="G1609"/>
    </row>
    <row r="1610" spans="7:7" x14ac:dyDescent="0.3">
      <c r="G1610"/>
    </row>
    <row r="1611" spans="7:7" x14ac:dyDescent="0.3">
      <c r="G1611"/>
    </row>
    <row r="1612" spans="7:7" x14ac:dyDescent="0.3">
      <c r="G1612"/>
    </row>
    <row r="1613" spans="7:7" x14ac:dyDescent="0.3">
      <c r="G1613"/>
    </row>
    <row r="1614" spans="7:7" x14ac:dyDescent="0.3">
      <c r="G1614"/>
    </row>
    <row r="1615" spans="7:7" x14ac:dyDescent="0.3">
      <c r="G1615"/>
    </row>
    <row r="1616" spans="7:7" x14ac:dyDescent="0.3">
      <c r="G1616"/>
    </row>
    <row r="1617" spans="7:7" x14ac:dyDescent="0.3">
      <c r="G1617"/>
    </row>
    <row r="1618" spans="7:7" x14ac:dyDescent="0.3">
      <c r="G1618"/>
    </row>
    <row r="1619" spans="7:7" x14ac:dyDescent="0.3">
      <c r="G1619"/>
    </row>
    <row r="1620" spans="7:7" x14ac:dyDescent="0.3">
      <c r="G1620"/>
    </row>
    <row r="1621" spans="7:7" x14ac:dyDescent="0.3">
      <c r="G1621"/>
    </row>
    <row r="1622" spans="7:7" x14ac:dyDescent="0.3">
      <c r="G1622"/>
    </row>
    <row r="1623" spans="7:7" x14ac:dyDescent="0.3">
      <c r="G1623"/>
    </row>
    <row r="1624" spans="7:7" x14ac:dyDescent="0.3">
      <c r="G1624"/>
    </row>
    <row r="1625" spans="7:7" x14ac:dyDescent="0.3">
      <c r="G1625"/>
    </row>
    <row r="1626" spans="7:7" x14ac:dyDescent="0.3">
      <c r="G1626"/>
    </row>
    <row r="1627" spans="7:7" x14ac:dyDescent="0.3">
      <c r="G1627"/>
    </row>
    <row r="1628" spans="7:7" x14ac:dyDescent="0.3">
      <c r="G1628"/>
    </row>
    <row r="1629" spans="7:7" x14ac:dyDescent="0.3">
      <c r="G1629"/>
    </row>
    <row r="1630" spans="7:7" x14ac:dyDescent="0.3">
      <c r="G1630"/>
    </row>
    <row r="1631" spans="7:7" x14ac:dyDescent="0.3">
      <c r="G1631"/>
    </row>
    <row r="1632" spans="7:7" x14ac:dyDescent="0.3">
      <c r="G1632"/>
    </row>
    <row r="1633" spans="7:7" x14ac:dyDescent="0.3">
      <c r="G1633"/>
    </row>
    <row r="1634" spans="7:7" x14ac:dyDescent="0.3">
      <c r="G1634"/>
    </row>
    <row r="1635" spans="7:7" x14ac:dyDescent="0.3">
      <c r="G1635"/>
    </row>
    <row r="1636" spans="7:7" x14ac:dyDescent="0.3">
      <c r="G1636"/>
    </row>
    <row r="1637" spans="7:7" x14ac:dyDescent="0.3">
      <c r="G1637"/>
    </row>
    <row r="1638" spans="7:7" x14ac:dyDescent="0.3">
      <c r="G1638"/>
    </row>
    <row r="1639" spans="7:7" x14ac:dyDescent="0.3">
      <c r="G1639"/>
    </row>
    <row r="1640" spans="7:7" x14ac:dyDescent="0.3">
      <c r="G1640"/>
    </row>
    <row r="1641" spans="7:7" x14ac:dyDescent="0.3">
      <c r="G1641"/>
    </row>
    <row r="1642" spans="7:7" x14ac:dyDescent="0.3">
      <c r="G1642"/>
    </row>
    <row r="1643" spans="7:7" x14ac:dyDescent="0.3">
      <c r="G1643"/>
    </row>
    <row r="1644" spans="7:7" x14ac:dyDescent="0.3">
      <c r="G1644"/>
    </row>
    <row r="1645" spans="7:7" x14ac:dyDescent="0.3">
      <c r="G1645"/>
    </row>
    <row r="1646" spans="7:7" x14ac:dyDescent="0.3">
      <c r="G1646"/>
    </row>
    <row r="1647" spans="7:7" x14ac:dyDescent="0.3">
      <c r="G1647"/>
    </row>
    <row r="1648" spans="7:7" x14ac:dyDescent="0.3">
      <c r="G1648"/>
    </row>
    <row r="1649" spans="7:7" x14ac:dyDescent="0.3">
      <c r="G1649"/>
    </row>
    <row r="1650" spans="7:7" x14ac:dyDescent="0.3">
      <c r="G1650"/>
    </row>
    <row r="1651" spans="7:7" x14ac:dyDescent="0.3">
      <c r="G1651"/>
    </row>
    <row r="1652" spans="7:7" x14ac:dyDescent="0.3">
      <c r="G1652"/>
    </row>
    <row r="1653" spans="7:7" x14ac:dyDescent="0.3">
      <c r="G1653"/>
    </row>
    <row r="1654" spans="7:7" x14ac:dyDescent="0.3">
      <c r="G1654"/>
    </row>
    <row r="1655" spans="7:7" x14ac:dyDescent="0.3">
      <c r="G1655"/>
    </row>
    <row r="1656" spans="7:7" x14ac:dyDescent="0.3">
      <c r="G1656"/>
    </row>
    <row r="1657" spans="7:7" x14ac:dyDescent="0.3">
      <c r="G1657"/>
    </row>
    <row r="1658" spans="7:7" x14ac:dyDescent="0.3">
      <c r="G1658"/>
    </row>
    <row r="1659" spans="7:7" x14ac:dyDescent="0.3">
      <c r="G1659"/>
    </row>
    <row r="1660" spans="7:7" x14ac:dyDescent="0.3">
      <c r="G1660"/>
    </row>
    <row r="1661" spans="7:7" x14ac:dyDescent="0.3">
      <c r="G1661"/>
    </row>
    <row r="1662" spans="7:7" x14ac:dyDescent="0.3">
      <c r="G1662"/>
    </row>
    <row r="1663" spans="7:7" x14ac:dyDescent="0.3">
      <c r="G1663"/>
    </row>
    <row r="1664" spans="7:7" x14ac:dyDescent="0.3">
      <c r="G1664"/>
    </row>
    <row r="1665" spans="7:7" x14ac:dyDescent="0.3">
      <c r="G1665"/>
    </row>
    <row r="1666" spans="7:7" x14ac:dyDescent="0.3">
      <c r="G1666"/>
    </row>
    <row r="1667" spans="7:7" x14ac:dyDescent="0.3">
      <c r="G1667"/>
    </row>
    <row r="1668" spans="7:7" x14ac:dyDescent="0.3">
      <c r="G1668"/>
    </row>
    <row r="1669" spans="7:7" x14ac:dyDescent="0.3">
      <c r="G1669"/>
    </row>
    <row r="1670" spans="7:7" x14ac:dyDescent="0.3">
      <c r="G1670"/>
    </row>
    <row r="1671" spans="7:7" x14ac:dyDescent="0.3">
      <c r="G1671"/>
    </row>
    <row r="1672" spans="7:7" x14ac:dyDescent="0.3">
      <c r="G1672"/>
    </row>
    <row r="1673" spans="7:7" x14ac:dyDescent="0.3">
      <c r="G1673"/>
    </row>
    <row r="1674" spans="7:7" x14ac:dyDescent="0.3">
      <c r="G1674"/>
    </row>
    <row r="1675" spans="7:7" x14ac:dyDescent="0.3">
      <c r="G1675"/>
    </row>
    <row r="1676" spans="7:7" x14ac:dyDescent="0.3">
      <c r="G1676"/>
    </row>
    <row r="1677" spans="7:7" x14ac:dyDescent="0.3">
      <c r="G1677"/>
    </row>
    <row r="1678" spans="7:7" x14ac:dyDescent="0.3">
      <c r="G1678"/>
    </row>
    <row r="1679" spans="7:7" x14ac:dyDescent="0.3">
      <c r="G1679"/>
    </row>
    <row r="1680" spans="7:7" x14ac:dyDescent="0.3">
      <c r="G1680"/>
    </row>
    <row r="1681" spans="7:7" x14ac:dyDescent="0.3">
      <c r="G1681"/>
    </row>
    <row r="1682" spans="7:7" x14ac:dyDescent="0.3">
      <c r="G1682"/>
    </row>
    <row r="1683" spans="7:7" x14ac:dyDescent="0.3">
      <c r="G1683"/>
    </row>
    <row r="1684" spans="7:7" x14ac:dyDescent="0.3">
      <c r="G1684"/>
    </row>
    <row r="1685" spans="7:7" x14ac:dyDescent="0.3">
      <c r="G1685"/>
    </row>
    <row r="1686" spans="7:7" x14ac:dyDescent="0.3">
      <c r="G1686"/>
    </row>
    <row r="1687" spans="7:7" x14ac:dyDescent="0.3">
      <c r="G1687"/>
    </row>
    <row r="1688" spans="7:7" x14ac:dyDescent="0.3">
      <c r="G1688"/>
    </row>
    <row r="1689" spans="7:7" x14ac:dyDescent="0.3">
      <c r="G1689"/>
    </row>
    <row r="1690" spans="7:7" x14ac:dyDescent="0.3">
      <c r="G1690"/>
    </row>
    <row r="1691" spans="7:7" x14ac:dyDescent="0.3">
      <c r="G1691"/>
    </row>
    <row r="1692" spans="7:7" x14ac:dyDescent="0.3">
      <c r="G1692"/>
    </row>
    <row r="1693" spans="7:7" x14ac:dyDescent="0.3">
      <c r="G1693"/>
    </row>
    <row r="1694" spans="7:7" x14ac:dyDescent="0.3">
      <c r="G1694"/>
    </row>
    <row r="1695" spans="7:7" x14ac:dyDescent="0.3">
      <c r="G1695"/>
    </row>
    <row r="1696" spans="7:7" x14ac:dyDescent="0.3">
      <c r="G1696"/>
    </row>
    <row r="1697" spans="7:7" x14ac:dyDescent="0.3">
      <c r="G1697"/>
    </row>
    <row r="1698" spans="7:7" x14ac:dyDescent="0.3">
      <c r="G1698"/>
    </row>
    <row r="1699" spans="7:7" x14ac:dyDescent="0.3">
      <c r="G1699"/>
    </row>
    <row r="1700" spans="7:7" x14ac:dyDescent="0.3">
      <c r="G1700"/>
    </row>
    <row r="1701" spans="7:7" x14ac:dyDescent="0.3">
      <c r="G1701"/>
    </row>
    <row r="1702" spans="7:7" x14ac:dyDescent="0.3">
      <c r="G1702"/>
    </row>
    <row r="1703" spans="7:7" x14ac:dyDescent="0.3">
      <c r="G1703"/>
    </row>
    <row r="1704" spans="7:7" x14ac:dyDescent="0.3">
      <c r="G1704"/>
    </row>
    <row r="1705" spans="7:7" x14ac:dyDescent="0.3">
      <c r="G1705"/>
    </row>
    <row r="1706" spans="7:7" x14ac:dyDescent="0.3">
      <c r="G1706"/>
    </row>
    <row r="1707" spans="7:7" x14ac:dyDescent="0.3">
      <c r="G1707"/>
    </row>
    <row r="1708" spans="7:7" x14ac:dyDescent="0.3">
      <c r="G1708"/>
    </row>
    <row r="1709" spans="7:7" x14ac:dyDescent="0.3">
      <c r="G1709"/>
    </row>
    <row r="1710" spans="7:7" x14ac:dyDescent="0.3">
      <c r="G1710"/>
    </row>
    <row r="1711" spans="7:7" x14ac:dyDescent="0.3">
      <c r="G1711"/>
    </row>
    <row r="1712" spans="7:7" x14ac:dyDescent="0.3">
      <c r="G1712"/>
    </row>
    <row r="1713" spans="7:7" x14ac:dyDescent="0.3">
      <c r="G1713"/>
    </row>
    <row r="1714" spans="7:7" x14ac:dyDescent="0.3">
      <c r="G1714"/>
    </row>
    <row r="1715" spans="7:7" x14ac:dyDescent="0.3">
      <c r="G1715"/>
    </row>
    <row r="1716" spans="7:7" x14ac:dyDescent="0.3">
      <c r="G1716"/>
    </row>
    <row r="1717" spans="7:7" x14ac:dyDescent="0.3">
      <c r="G1717"/>
    </row>
    <row r="1718" spans="7:7" x14ac:dyDescent="0.3">
      <c r="G1718"/>
    </row>
    <row r="1719" spans="7:7" x14ac:dyDescent="0.3">
      <c r="G1719"/>
    </row>
    <row r="1720" spans="7:7" x14ac:dyDescent="0.3">
      <c r="G1720"/>
    </row>
    <row r="1721" spans="7:7" x14ac:dyDescent="0.3">
      <c r="G1721"/>
    </row>
    <row r="1722" spans="7:7" x14ac:dyDescent="0.3">
      <c r="G1722"/>
    </row>
    <row r="1723" spans="7:7" x14ac:dyDescent="0.3">
      <c r="G1723"/>
    </row>
    <row r="1724" spans="7:7" x14ac:dyDescent="0.3">
      <c r="G1724"/>
    </row>
    <row r="1725" spans="7:7" x14ac:dyDescent="0.3">
      <c r="G1725"/>
    </row>
    <row r="1726" spans="7:7" x14ac:dyDescent="0.3">
      <c r="G1726"/>
    </row>
    <row r="1727" spans="7:7" x14ac:dyDescent="0.3">
      <c r="G1727"/>
    </row>
    <row r="1728" spans="7:7" x14ac:dyDescent="0.3">
      <c r="G1728"/>
    </row>
    <row r="1729" spans="7:7" x14ac:dyDescent="0.3">
      <c r="G1729"/>
    </row>
    <row r="1730" spans="7:7" x14ac:dyDescent="0.3">
      <c r="G1730"/>
    </row>
    <row r="1731" spans="7:7" x14ac:dyDescent="0.3">
      <c r="G1731"/>
    </row>
    <row r="1732" spans="7:7" x14ac:dyDescent="0.3">
      <c r="G1732"/>
    </row>
    <row r="1733" spans="7:7" x14ac:dyDescent="0.3">
      <c r="G1733"/>
    </row>
    <row r="1734" spans="7:7" x14ac:dyDescent="0.3">
      <c r="G1734"/>
    </row>
    <row r="1735" spans="7:7" x14ac:dyDescent="0.3">
      <c r="G1735"/>
    </row>
    <row r="1736" spans="7:7" x14ac:dyDescent="0.3">
      <c r="G1736"/>
    </row>
    <row r="1737" spans="7:7" x14ac:dyDescent="0.3">
      <c r="G1737"/>
    </row>
    <row r="1738" spans="7:7" x14ac:dyDescent="0.3">
      <c r="G1738"/>
    </row>
    <row r="1739" spans="7:7" x14ac:dyDescent="0.3">
      <c r="G1739"/>
    </row>
    <row r="1740" spans="7:7" x14ac:dyDescent="0.3">
      <c r="G1740"/>
    </row>
    <row r="1741" spans="7:7" x14ac:dyDescent="0.3">
      <c r="G1741"/>
    </row>
    <row r="1742" spans="7:7" x14ac:dyDescent="0.3">
      <c r="G1742"/>
    </row>
    <row r="1743" spans="7:7" x14ac:dyDescent="0.3">
      <c r="G1743"/>
    </row>
    <row r="1744" spans="7:7" x14ac:dyDescent="0.3">
      <c r="G1744"/>
    </row>
    <row r="1745" spans="7:7" x14ac:dyDescent="0.3">
      <c r="G1745"/>
    </row>
    <row r="1746" spans="7:7" x14ac:dyDescent="0.3">
      <c r="G1746"/>
    </row>
    <row r="1747" spans="7:7" x14ac:dyDescent="0.3">
      <c r="G1747"/>
    </row>
    <row r="1748" spans="7:7" x14ac:dyDescent="0.3">
      <c r="G1748"/>
    </row>
    <row r="1749" spans="7:7" x14ac:dyDescent="0.3">
      <c r="G1749"/>
    </row>
    <row r="1750" spans="7:7" x14ac:dyDescent="0.3">
      <c r="G1750"/>
    </row>
    <row r="1751" spans="7:7" x14ac:dyDescent="0.3">
      <c r="G1751"/>
    </row>
    <row r="1752" spans="7:7" x14ac:dyDescent="0.3">
      <c r="G1752"/>
    </row>
    <row r="1753" spans="7:7" x14ac:dyDescent="0.3">
      <c r="G1753"/>
    </row>
    <row r="1754" spans="7:7" x14ac:dyDescent="0.3">
      <c r="G1754"/>
    </row>
    <row r="1755" spans="7:7" x14ac:dyDescent="0.3">
      <c r="G1755"/>
    </row>
    <row r="1756" spans="7:7" x14ac:dyDescent="0.3">
      <c r="G1756"/>
    </row>
    <row r="1757" spans="7:7" x14ac:dyDescent="0.3">
      <c r="G1757"/>
    </row>
    <row r="1758" spans="7:7" x14ac:dyDescent="0.3">
      <c r="G1758"/>
    </row>
    <row r="1759" spans="7:7" x14ac:dyDescent="0.3">
      <c r="G1759"/>
    </row>
    <row r="1760" spans="7:7" x14ac:dyDescent="0.3">
      <c r="G1760"/>
    </row>
    <row r="1761" spans="7:7" x14ac:dyDescent="0.3">
      <c r="G1761"/>
    </row>
    <row r="1762" spans="7:7" x14ac:dyDescent="0.3">
      <c r="G1762"/>
    </row>
    <row r="1763" spans="7:7" x14ac:dyDescent="0.3">
      <c r="G1763"/>
    </row>
    <row r="1764" spans="7:7" x14ac:dyDescent="0.3">
      <c r="G1764"/>
    </row>
    <row r="1765" spans="7:7" x14ac:dyDescent="0.3">
      <c r="G1765"/>
    </row>
    <row r="1766" spans="7:7" x14ac:dyDescent="0.3">
      <c r="G1766"/>
    </row>
    <row r="1767" spans="7:7" x14ac:dyDescent="0.3">
      <c r="G1767"/>
    </row>
    <row r="1768" spans="7:7" x14ac:dyDescent="0.3">
      <c r="G1768"/>
    </row>
    <row r="1769" spans="7:7" x14ac:dyDescent="0.3">
      <c r="G1769"/>
    </row>
    <row r="1770" spans="7:7" x14ac:dyDescent="0.3">
      <c r="G1770"/>
    </row>
    <row r="1771" spans="7:7" x14ac:dyDescent="0.3">
      <c r="G1771"/>
    </row>
    <row r="1772" spans="7:7" x14ac:dyDescent="0.3">
      <c r="G1772"/>
    </row>
    <row r="1773" spans="7:7" x14ac:dyDescent="0.3">
      <c r="G1773"/>
    </row>
    <row r="1774" spans="7:7" x14ac:dyDescent="0.3">
      <c r="G1774"/>
    </row>
    <row r="1775" spans="7:7" x14ac:dyDescent="0.3">
      <c r="G1775"/>
    </row>
    <row r="1776" spans="7:7" x14ac:dyDescent="0.3">
      <c r="G1776"/>
    </row>
    <row r="1777" spans="7:7" x14ac:dyDescent="0.3">
      <c r="G1777"/>
    </row>
    <row r="1778" spans="7:7" x14ac:dyDescent="0.3">
      <c r="G1778"/>
    </row>
    <row r="1779" spans="7:7" x14ac:dyDescent="0.3">
      <c r="G1779"/>
    </row>
    <row r="1780" spans="7:7" x14ac:dyDescent="0.3">
      <c r="G1780"/>
    </row>
    <row r="1781" spans="7:7" x14ac:dyDescent="0.3">
      <c r="G1781"/>
    </row>
    <row r="1782" spans="7:7" x14ac:dyDescent="0.3">
      <c r="G1782"/>
    </row>
    <row r="1783" spans="7:7" x14ac:dyDescent="0.3">
      <c r="G1783"/>
    </row>
    <row r="1784" spans="7:7" x14ac:dyDescent="0.3">
      <c r="G1784"/>
    </row>
    <row r="1785" spans="7:7" x14ac:dyDescent="0.3">
      <c r="G1785"/>
    </row>
    <row r="1786" spans="7:7" x14ac:dyDescent="0.3">
      <c r="G1786"/>
    </row>
    <row r="1787" spans="7:7" x14ac:dyDescent="0.3">
      <c r="G1787"/>
    </row>
    <row r="1788" spans="7:7" x14ac:dyDescent="0.3">
      <c r="G1788"/>
    </row>
    <row r="1789" spans="7:7" x14ac:dyDescent="0.3">
      <c r="G1789"/>
    </row>
    <row r="1790" spans="7:7" x14ac:dyDescent="0.3">
      <c r="G1790"/>
    </row>
    <row r="1791" spans="7:7" x14ac:dyDescent="0.3">
      <c r="G1791"/>
    </row>
    <row r="1792" spans="7:7" x14ac:dyDescent="0.3">
      <c r="G1792"/>
    </row>
    <row r="1793" spans="7:7" x14ac:dyDescent="0.3">
      <c r="G1793"/>
    </row>
    <row r="1794" spans="7:7" x14ac:dyDescent="0.3">
      <c r="G1794"/>
    </row>
    <row r="1795" spans="7:7" x14ac:dyDescent="0.3">
      <c r="G1795"/>
    </row>
    <row r="1796" spans="7:7" x14ac:dyDescent="0.3">
      <c r="G1796"/>
    </row>
    <row r="1797" spans="7:7" x14ac:dyDescent="0.3">
      <c r="G1797"/>
    </row>
    <row r="1798" spans="7:7" x14ac:dyDescent="0.3">
      <c r="G1798"/>
    </row>
    <row r="1799" spans="7:7" x14ac:dyDescent="0.3">
      <c r="G1799"/>
    </row>
    <row r="1800" spans="7:7" x14ac:dyDescent="0.3">
      <c r="G1800"/>
    </row>
    <row r="1801" spans="7:7" x14ac:dyDescent="0.3">
      <c r="G1801"/>
    </row>
    <row r="1802" spans="7:7" x14ac:dyDescent="0.3">
      <c r="G1802"/>
    </row>
    <row r="1803" spans="7:7" x14ac:dyDescent="0.3">
      <c r="G1803"/>
    </row>
    <row r="1804" spans="7:7" x14ac:dyDescent="0.3">
      <c r="G1804"/>
    </row>
    <row r="1805" spans="7:7" x14ac:dyDescent="0.3">
      <c r="G1805"/>
    </row>
    <row r="1806" spans="7:7" x14ac:dyDescent="0.3">
      <c r="G1806"/>
    </row>
    <row r="1807" spans="7:7" x14ac:dyDescent="0.3">
      <c r="G1807"/>
    </row>
    <row r="1808" spans="7:7" x14ac:dyDescent="0.3">
      <c r="G1808"/>
    </row>
    <row r="1809" spans="7:7" x14ac:dyDescent="0.3">
      <c r="G1809"/>
    </row>
    <row r="1810" spans="7:7" x14ac:dyDescent="0.3">
      <c r="G1810"/>
    </row>
    <row r="1811" spans="7:7" x14ac:dyDescent="0.3">
      <c r="G1811"/>
    </row>
    <row r="1812" spans="7:7" x14ac:dyDescent="0.3">
      <c r="G1812"/>
    </row>
    <row r="1813" spans="7:7" x14ac:dyDescent="0.3">
      <c r="G1813"/>
    </row>
    <row r="1814" spans="7:7" x14ac:dyDescent="0.3">
      <c r="G1814"/>
    </row>
    <row r="1815" spans="7:7" x14ac:dyDescent="0.3">
      <c r="G1815"/>
    </row>
    <row r="1816" spans="7:7" x14ac:dyDescent="0.3">
      <c r="G1816"/>
    </row>
    <row r="1817" spans="7:7" x14ac:dyDescent="0.3">
      <c r="G1817"/>
    </row>
    <row r="1818" spans="7:7" x14ac:dyDescent="0.3">
      <c r="G1818"/>
    </row>
    <row r="1819" spans="7:7" x14ac:dyDescent="0.3">
      <c r="G1819"/>
    </row>
    <row r="1820" spans="7:7" x14ac:dyDescent="0.3">
      <c r="G1820"/>
    </row>
    <row r="1821" spans="7:7" x14ac:dyDescent="0.3">
      <c r="G1821"/>
    </row>
    <row r="1822" spans="7:7" x14ac:dyDescent="0.3">
      <c r="G1822"/>
    </row>
    <row r="1823" spans="7:7" x14ac:dyDescent="0.3">
      <c r="G1823"/>
    </row>
    <row r="1824" spans="7:7" x14ac:dyDescent="0.3">
      <c r="G1824"/>
    </row>
    <row r="1825" spans="7:7" x14ac:dyDescent="0.3">
      <c r="G1825"/>
    </row>
    <row r="1826" spans="7:7" x14ac:dyDescent="0.3">
      <c r="G1826"/>
    </row>
    <row r="1827" spans="7:7" x14ac:dyDescent="0.3">
      <c r="G1827"/>
    </row>
    <row r="1828" spans="7:7" x14ac:dyDescent="0.3">
      <c r="G1828"/>
    </row>
    <row r="1829" spans="7:7" x14ac:dyDescent="0.3">
      <c r="G1829"/>
    </row>
    <row r="1830" spans="7:7" x14ac:dyDescent="0.3">
      <c r="G1830"/>
    </row>
    <row r="1831" spans="7:7" x14ac:dyDescent="0.3">
      <c r="G1831"/>
    </row>
    <row r="1832" spans="7:7" x14ac:dyDescent="0.3">
      <c r="G1832"/>
    </row>
    <row r="1833" spans="7:7" x14ac:dyDescent="0.3">
      <c r="G1833"/>
    </row>
    <row r="1834" spans="7:7" x14ac:dyDescent="0.3">
      <c r="G1834"/>
    </row>
    <row r="1835" spans="7:7" x14ac:dyDescent="0.3">
      <c r="G1835"/>
    </row>
    <row r="1836" spans="7:7" x14ac:dyDescent="0.3">
      <c r="G1836"/>
    </row>
    <row r="1837" spans="7:7" x14ac:dyDescent="0.3">
      <c r="G1837"/>
    </row>
    <row r="1838" spans="7:7" x14ac:dyDescent="0.3">
      <c r="G1838"/>
    </row>
    <row r="1839" spans="7:7" x14ac:dyDescent="0.3">
      <c r="G1839"/>
    </row>
    <row r="1840" spans="7:7" x14ac:dyDescent="0.3">
      <c r="G1840"/>
    </row>
    <row r="1841" spans="7:7" x14ac:dyDescent="0.3">
      <c r="G1841"/>
    </row>
    <row r="1842" spans="7:7" x14ac:dyDescent="0.3">
      <c r="G1842"/>
    </row>
    <row r="1843" spans="7:7" x14ac:dyDescent="0.3">
      <c r="G1843"/>
    </row>
    <row r="1844" spans="7:7" x14ac:dyDescent="0.3">
      <c r="G1844"/>
    </row>
    <row r="1845" spans="7:7" x14ac:dyDescent="0.3">
      <c r="G1845"/>
    </row>
    <row r="1846" spans="7:7" x14ac:dyDescent="0.3">
      <c r="G1846"/>
    </row>
    <row r="1847" spans="7:7" x14ac:dyDescent="0.3">
      <c r="G1847"/>
    </row>
    <row r="1848" spans="7:7" x14ac:dyDescent="0.3">
      <c r="G1848"/>
    </row>
    <row r="1849" spans="7:7" x14ac:dyDescent="0.3">
      <c r="G1849"/>
    </row>
    <row r="1850" spans="7:7" x14ac:dyDescent="0.3">
      <c r="G1850"/>
    </row>
    <row r="1851" spans="7:7" x14ac:dyDescent="0.3">
      <c r="G1851"/>
    </row>
    <row r="1852" spans="7:7" x14ac:dyDescent="0.3">
      <c r="G1852"/>
    </row>
    <row r="1853" spans="7:7" x14ac:dyDescent="0.3">
      <c r="G1853"/>
    </row>
    <row r="1854" spans="7:7" x14ac:dyDescent="0.3">
      <c r="G1854"/>
    </row>
    <row r="1855" spans="7:7" x14ac:dyDescent="0.3">
      <c r="G1855"/>
    </row>
    <row r="1856" spans="7:7" x14ac:dyDescent="0.3">
      <c r="G1856"/>
    </row>
    <row r="1857" spans="7:7" x14ac:dyDescent="0.3">
      <c r="G1857"/>
    </row>
    <row r="1858" spans="7:7" x14ac:dyDescent="0.3">
      <c r="G1858"/>
    </row>
    <row r="1859" spans="7:7" x14ac:dyDescent="0.3">
      <c r="G1859"/>
    </row>
    <row r="1860" spans="7:7" x14ac:dyDescent="0.3">
      <c r="G1860"/>
    </row>
    <row r="1861" spans="7:7" x14ac:dyDescent="0.3">
      <c r="G1861"/>
    </row>
    <row r="1862" spans="7:7" x14ac:dyDescent="0.3">
      <c r="G1862"/>
    </row>
    <row r="1863" spans="7:7" x14ac:dyDescent="0.3">
      <c r="G1863"/>
    </row>
    <row r="1864" spans="7:7" x14ac:dyDescent="0.3">
      <c r="G1864"/>
    </row>
    <row r="1865" spans="7:7" x14ac:dyDescent="0.3">
      <c r="G1865"/>
    </row>
    <row r="1866" spans="7:7" x14ac:dyDescent="0.3">
      <c r="G1866"/>
    </row>
    <row r="1867" spans="7:7" x14ac:dyDescent="0.3">
      <c r="G1867"/>
    </row>
    <row r="1868" spans="7:7" x14ac:dyDescent="0.3">
      <c r="G1868"/>
    </row>
    <row r="1869" spans="7:7" x14ac:dyDescent="0.3">
      <c r="G1869"/>
    </row>
    <row r="1870" spans="7:7" x14ac:dyDescent="0.3">
      <c r="G1870"/>
    </row>
    <row r="1871" spans="7:7" x14ac:dyDescent="0.3">
      <c r="G1871"/>
    </row>
    <row r="1872" spans="7:7" x14ac:dyDescent="0.3">
      <c r="G1872"/>
    </row>
    <row r="1873" spans="7:7" x14ac:dyDescent="0.3">
      <c r="G1873"/>
    </row>
    <row r="1874" spans="7:7" x14ac:dyDescent="0.3">
      <c r="G1874"/>
    </row>
    <row r="1875" spans="7:7" x14ac:dyDescent="0.3">
      <c r="G1875"/>
    </row>
    <row r="1876" spans="7:7" x14ac:dyDescent="0.3">
      <c r="G1876"/>
    </row>
    <row r="1877" spans="7:7" x14ac:dyDescent="0.3">
      <c r="G1877"/>
    </row>
    <row r="1878" spans="7:7" x14ac:dyDescent="0.3">
      <c r="G1878"/>
    </row>
    <row r="1879" spans="7:7" x14ac:dyDescent="0.3">
      <c r="G1879"/>
    </row>
    <row r="1880" spans="7:7" x14ac:dyDescent="0.3">
      <c r="G1880"/>
    </row>
    <row r="1881" spans="7:7" x14ac:dyDescent="0.3">
      <c r="G1881"/>
    </row>
    <row r="1882" spans="7:7" x14ac:dyDescent="0.3">
      <c r="G1882"/>
    </row>
    <row r="1883" spans="7:7" x14ac:dyDescent="0.3">
      <c r="G1883"/>
    </row>
    <row r="1884" spans="7:7" x14ac:dyDescent="0.3">
      <c r="G1884"/>
    </row>
    <row r="1885" spans="7:7" x14ac:dyDescent="0.3">
      <c r="G1885"/>
    </row>
    <row r="1886" spans="7:7" x14ac:dyDescent="0.3">
      <c r="G1886"/>
    </row>
    <row r="1887" spans="7:7" x14ac:dyDescent="0.3">
      <c r="G1887"/>
    </row>
    <row r="1888" spans="7:7" x14ac:dyDescent="0.3">
      <c r="G1888"/>
    </row>
    <row r="1889" spans="7:7" x14ac:dyDescent="0.3">
      <c r="G1889"/>
    </row>
    <row r="1890" spans="7:7" x14ac:dyDescent="0.3">
      <c r="G1890"/>
    </row>
    <row r="1891" spans="7:7" x14ac:dyDescent="0.3">
      <c r="G1891"/>
    </row>
    <row r="1892" spans="7:7" x14ac:dyDescent="0.3">
      <c r="G1892"/>
    </row>
    <row r="1893" spans="7:7" x14ac:dyDescent="0.3">
      <c r="G1893"/>
    </row>
    <row r="1894" spans="7:7" x14ac:dyDescent="0.3">
      <c r="G1894"/>
    </row>
    <row r="1895" spans="7:7" x14ac:dyDescent="0.3">
      <c r="G1895"/>
    </row>
    <row r="1896" spans="7:7" x14ac:dyDescent="0.3">
      <c r="G1896"/>
    </row>
    <row r="1897" spans="7:7" x14ac:dyDescent="0.3">
      <c r="G1897"/>
    </row>
    <row r="1898" spans="7:7" x14ac:dyDescent="0.3">
      <c r="G1898"/>
    </row>
    <row r="1899" spans="7:7" x14ac:dyDescent="0.3">
      <c r="G1899"/>
    </row>
    <row r="1900" spans="7:7" x14ac:dyDescent="0.3">
      <c r="G1900"/>
    </row>
    <row r="1901" spans="7:7" x14ac:dyDescent="0.3">
      <c r="G1901"/>
    </row>
    <row r="1902" spans="7:7" x14ac:dyDescent="0.3">
      <c r="G1902"/>
    </row>
    <row r="1903" spans="7:7" x14ac:dyDescent="0.3">
      <c r="G1903"/>
    </row>
    <row r="1904" spans="7:7" x14ac:dyDescent="0.3">
      <c r="G1904"/>
    </row>
    <row r="1905" spans="7:7" x14ac:dyDescent="0.3">
      <c r="G1905"/>
    </row>
    <row r="1906" spans="7:7" x14ac:dyDescent="0.3">
      <c r="G1906"/>
    </row>
    <row r="1907" spans="7:7" x14ac:dyDescent="0.3">
      <c r="G1907"/>
    </row>
    <row r="1908" spans="7:7" x14ac:dyDescent="0.3">
      <c r="G1908"/>
    </row>
    <row r="1909" spans="7:7" x14ac:dyDescent="0.3">
      <c r="G1909"/>
    </row>
    <row r="1910" spans="7:7" x14ac:dyDescent="0.3">
      <c r="G1910"/>
    </row>
    <row r="1911" spans="7:7" x14ac:dyDescent="0.3">
      <c r="G1911"/>
    </row>
    <row r="1912" spans="7:7" x14ac:dyDescent="0.3">
      <c r="G1912"/>
    </row>
    <row r="1913" spans="7:7" x14ac:dyDescent="0.3">
      <c r="G1913"/>
    </row>
    <row r="1914" spans="7:7" x14ac:dyDescent="0.3">
      <c r="G1914"/>
    </row>
    <row r="1915" spans="7:7" x14ac:dyDescent="0.3">
      <c r="G1915"/>
    </row>
    <row r="1916" spans="7:7" x14ac:dyDescent="0.3">
      <c r="G1916"/>
    </row>
    <row r="1917" spans="7:7" x14ac:dyDescent="0.3">
      <c r="G1917"/>
    </row>
    <row r="1918" spans="7:7" x14ac:dyDescent="0.3">
      <c r="G1918"/>
    </row>
    <row r="1919" spans="7:7" x14ac:dyDescent="0.3">
      <c r="G1919"/>
    </row>
    <row r="1920" spans="7:7" x14ac:dyDescent="0.3">
      <c r="G1920"/>
    </row>
    <row r="1921" spans="7:7" x14ac:dyDescent="0.3">
      <c r="G1921"/>
    </row>
    <row r="1922" spans="7:7" x14ac:dyDescent="0.3">
      <c r="G1922"/>
    </row>
    <row r="1923" spans="7:7" x14ac:dyDescent="0.3">
      <c r="G1923"/>
    </row>
    <row r="1924" spans="7:7" x14ac:dyDescent="0.3">
      <c r="G1924"/>
    </row>
    <row r="1925" spans="7:7" x14ac:dyDescent="0.3">
      <c r="G1925"/>
    </row>
    <row r="1926" spans="7:7" x14ac:dyDescent="0.3">
      <c r="G1926"/>
    </row>
    <row r="1927" spans="7:7" x14ac:dyDescent="0.3">
      <c r="G1927"/>
    </row>
    <row r="1928" spans="7:7" x14ac:dyDescent="0.3">
      <c r="G1928"/>
    </row>
    <row r="1929" spans="7:7" x14ac:dyDescent="0.3">
      <c r="G1929"/>
    </row>
    <row r="1930" spans="7:7" x14ac:dyDescent="0.3">
      <c r="G1930"/>
    </row>
    <row r="1931" spans="7:7" x14ac:dyDescent="0.3">
      <c r="G1931"/>
    </row>
    <row r="1932" spans="7:7" x14ac:dyDescent="0.3">
      <c r="G1932"/>
    </row>
    <row r="1933" spans="7:7" x14ac:dyDescent="0.3">
      <c r="G1933"/>
    </row>
    <row r="1934" spans="7:7" x14ac:dyDescent="0.3">
      <c r="G1934"/>
    </row>
    <row r="1935" spans="7:7" x14ac:dyDescent="0.3">
      <c r="G1935"/>
    </row>
    <row r="1936" spans="7:7" x14ac:dyDescent="0.3">
      <c r="G1936"/>
    </row>
    <row r="1937" spans="7:7" x14ac:dyDescent="0.3">
      <c r="G1937"/>
    </row>
    <row r="1938" spans="7:7" x14ac:dyDescent="0.3">
      <c r="G1938"/>
    </row>
    <row r="1939" spans="7:7" x14ac:dyDescent="0.3">
      <c r="G1939"/>
    </row>
    <row r="1940" spans="7:7" x14ac:dyDescent="0.3">
      <c r="G1940"/>
    </row>
    <row r="1941" spans="7:7" x14ac:dyDescent="0.3">
      <c r="G1941"/>
    </row>
    <row r="1942" spans="7:7" x14ac:dyDescent="0.3">
      <c r="G1942"/>
    </row>
    <row r="1943" spans="7:7" x14ac:dyDescent="0.3">
      <c r="G1943"/>
    </row>
    <row r="1944" spans="7:7" x14ac:dyDescent="0.3">
      <c r="G1944"/>
    </row>
    <row r="1945" spans="7:7" x14ac:dyDescent="0.3">
      <c r="G1945"/>
    </row>
    <row r="1946" spans="7:7" x14ac:dyDescent="0.3">
      <c r="G1946"/>
    </row>
    <row r="1947" spans="7:7" x14ac:dyDescent="0.3">
      <c r="G1947"/>
    </row>
    <row r="1948" spans="7:7" x14ac:dyDescent="0.3">
      <c r="G1948"/>
    </row>
    <row r="1949" spans="7:7" x14ac:dyDescent="0.3">
      <c r="G1949"/>
    </row>
    <row r="1950" spans="7:7" x14ac:dyDescent="0.3">
      <c r="G1950"/>
    </row>
    <row r="1951" spans="7:7" x14ac:dyDescent="0.3">
      <c r="G1951"/>
    </row>
    <row r="1952" spans="7:7" x14ac:dyDescent="0.3">
      <c r="G1952"/>
    </row>
    <row r="1953" spans="7:7" x14ac:dyDescent="0.3">
      <c r="G1953"/>
    </row>
    <row r="1954" spans="7:7" x14ac:dyDescent="0.3">
      <c r="G1954"/>
    </row>
    <row r="1955" spans="7:7" x14ac:dyDescent="0.3">
      <c r="G1955"/>
    </row>
    <row r="1956" spans="7:7" x14ac:dyDescent="0.3">
      <c r="G1956"/>
    </row>
    <row r="1957" spans="7:7" x14ac:dyDescent="0.3">
      <c r="G1957"/>
    </row>
    <row r="1958" spans="7:7" x14ac:dyDescent="0.3">
      <c r="G1958"/>
    </row>
    <row r="1959" spans="7:7" x14ac:dyDescent="0.3">
      <c r="G1959"/>
    </row>
    <row r="1960" spans="7:7" x14ac:dyDescent="0.3">
      <c r="G1960"/>
    </row>
    <row r="1961" spans="7:7" x14ac:dyDescent="0.3">
      <c r="G1961"/>
    </row>
    <row r="1962" spans="7:7" x14ac:dyDescent="0.3">
      <c r="G1962"/>
    </row>
    <row r="1963" spans="7:7" x14ac:dyDescent="0.3">
      <c r="G1963"/>
    </row>
    <row r="1964" spans="7:7" x14ac:dyDescent="0.3">
      <c r="G1964"/>
    </row>
    <row r="1965" spans="7:7" x14ac:dyDescent="0.3">
      <c r="G1965"/>
    </row>
    <row r="1966" spans="7:7" x14ac:dyDescent="0.3">
      <c r="G1966"/>
    </row>
    <row r="1967" spans="7:7" x14ac:dyDescent="0.3">
      <c r="G1967"/>
    </row>
    <row r="1968" spans="7:7" x14ac:dyDescent="0.3">
      <c r="G1968"/>
    </row>
    <row r="1969" spans="7:7" x14ac:dyDescent="0.3">
      <c r="G1969"/>
    </row>
    <row r="1970" spans="7:7" x14ac:dyDescent="0.3">
      <c r="G1970"/>
    </row>
    <row r="1971" spans="7:7" x14ac:dyDescent="0.3">
      <c r="G1971"/>
    </row>
    <row r="1972" spans="7:7" x14ac:dyDescent="0.3">
      <c r="G1972"/>
    </row>
    <row r="1973" spans="7:7" x14ac:dyDescent="0.3">
      <c r="G1973"/>
    </row>
    <row r="1974" spans="7:7" x14ac:dyDescent="0.3">
      <c r="G1974"/>
    </row>
    <row r="1975" spans="7:7" x14ac:dyDescent="0.3">
      <c r="G1975"/>
    </row>
    <row r="1976" spans="7:7" x14ac:dyDescent="0.3">
      <c r="G1976"/>
    </row>
    <row r="1977" spans="7:7" x14ac:dyDescent="0.3">
      <c r="G1977"/>
    </row>
    <row r="1978" spans="7:7" x14ac:dyDescent="0.3">
      <c r="G1978"/>
    </row>
    <row r="1979" spans="7:7" x14ac:dyDescent="0.3">
      <c r="G1979"/>
    </row>
    <row r="1980" spans="7:7" x14ac:dyDescent="0.3">
      <c r="G1980"/>
    </row>
    <row r="1981" spans="7:7" x14ac:dyDescent="0.3">
      <c r="G1981"/>
    </row>
    <row r="1982" spans="7:7" x14ac:dyDescent="0.3">
      <c r="G1982"/>
    </row>
    <row r="1983" spans="7:7" x14ac:dyDescent="0.3">
      <c r="G1983"/>
    </row>
    <row r="1984" spans="7:7" x14ac:dyDescent="0.3">
      <c r="G1984"/>
    </row>
    <row r="1985" spans="7:7" x14ac:dyDescent="0.3">
      <c r="G1985"/>
    </row>
    <row r="1986" spans="7:7" x14ac:dyDescent="0.3">
      <c r="G1986"/>
    </row>
    <row r="1987" spans="7:7" x14ac:dyDescent="0.3">
      <c r="G1987"/>
    </row>
    <row r="1988" spans="7:7" x14ac:dyDescent="0.3">
      <c r="G1988"/>
    </row>
    <row r="1989" spans="7:7" x14ac:dyDescent="0.3">
      <c r="G1989"/>
    </row>
    <row r="1990" spans="7:7" x14ac:dyDescent="0.3">
      <c r="G1990"/>
    </row>
    <row r="1991" spans="7:7" x14ac:dyDescent="0.3">
      <c r="G1991"/>
    </row>
    <row r="1992" spans="7:7" x14ac:dyDescent="0.3">
      <c r="G1992"/>
    </row>
    <row r="1993" spans="7:7" x14ac:dyDescent="0.3">
      <c r="G1993"/>
    </row>
    <row r="1994" spans="7:7" x14ac:dyDescent="0.3">
      <c r="G1994"/>
    </row>
    <row r="1995" spans="7:7" x14ac:dyDescent="0.3">
      <c r="G1995"/>
    </row>
    <row r="1996" spans="7:7" x14ac:dyDescent="0.3">
      <c r="G1996"/>
    </row>
    <row r="1997" spans="7:7" x14ac:dyDescent="0.3">
      <c r="G1997"/>
    </row>
    <row r="1998" spans="7:7" x14ac:dyDescent="0.3">
      <c r="G1998"/>
    </row>
    <row r="1999" spans="7:7" x14ac:dyDescent="0.3">
      <c r="G1999"/>
    </row>
    <row r="2000" spans="7:7" x14ac:dyDescent="0.3">
      <c r="G2000"/>
    </row>
    <row r="2001" spans="7:7" x14ac:dyDescent="0.3">
      <c r="G2001"/>
    </row>
    <row r="2002" spans="7:7" x14ac:dyDescent="0.3">
      <c r="G2002"/>
    </row>
    <row r="2003" spans="7:7" x14ac:dyDescent="0.3">
      <c r="G2003"/>
    </row>
    <row r="2004" spans="7:7" x14ac:dyDescent="0.3">
      <c r="G2004"/>
    </row>
    <row r="2005" spans="7:7" x14ac:dyDescent="0.3">
      <c r="G2005"/>
    </row>
    <row r="2006" spans="7:7" x14ac:dyDescent="0.3">
      <c r="G2006"/>
    </row>
    <row r="2007" spans="7:7" x14ac:dyDescent="0.3">
      <c r="G2007"/>
    </row>
    <row r="2008" spans="7:7" x14ac:dyDescent="0.3">
      <c r="G2008"/>
    </row>
    <row r="2009" spans="7:7" x14ac:dyDescent="0.3">
      <c r="G2009"/>
    </row>
    <row r="2010" spans="7:7" x14ac:dyDescent="0.3">
      <c r="G2010"/>
    </row>
    <row r="2011" spans="7:7" x14ac:dyDescent="0.3">
      <c r="G2011"/>
    </row>
    <row r="2012" spans="7:7" x14ac:dyDescent="0.3">
      <c r="G2012"/>
    </row>
    <row r="2013" spans="7:7" x14ac:dyDescent="0.3">
      <c r="G2013"/>
    </row>
    <row r="2014" spans="7:7" x14ac:dyDescent="0.3">
      <c r="G2014"/>
    </row>
    <row r="2015" spans="7:7" x14ac:dyDescent="0.3">
      <c r="G2015"/>
    </row>
    <row r="2016" spans="7:7" x14ac:dyDescent="0.3">
      <c r="G2016"/>
    </row>
    <row r="2017" spans="7:7" x14ac:dyDescent="0.3">
      <c r="G2017"/>
    </row>
    <row r="2018" spans="7:7" x14ac:dyDescent="0.3">
      <c r="G2018"/>
    </row>
    <row r="2019" spans="7:7" x14ac:dyDescent="0.3">
      <c r="G2019"/>
    </row>
    <row r="2020" spans="7:7" x14ac:dyDescent="0.3">
      <c r="G2020"/>
    </row>
    <row r="2021" spans="7:7" x14ac:dyDescent="0.3">
      <c r="G2021"/>
    </row>
    <row r="2022" spans="7:7" x14ac:dyDescent="0.3">
      <c r="G2022"/>
    </row>
    <row r="2023" spans="7:7" x14ac:dyDescent="0.3">
      <c r="G2023"/>
    </row>
    <row r="2024" spans="7:7" x14ac:dyDescent="0.3">
      <c r="G2024"/>
    </row>
    <row r="2025" spans="7:7" x14ac:dyDescent="0.3">
      <c r="G2025"/>
    </row>
    <row r="2026" spans="7:7" x14ac:dyDescent="0.3">
      <c r="G2026"/>
    </row>
    <row r="2027" spans="7:7" x14ac:dyDescent="0.3">
      <c r="G2027"/>
    </row>
    <row r="2028" spans="7:7" x14ac:dyDescent="0.3">
      <c r="G2028"/>
    </row>
    <row r="2029" spans="7:7" x14ac:dyDescent="0.3">
      <c r="G2029"/>
    </row>
    <row r="2030" spans="7:7" x14ac:dyDescent="0.3">
      <c r="G2030"/>
    </row>
    <row r="2031" spans="7:7" x14ac:dyDescent="0.3">
      <c r="G2031"/>
    </row>
    <row r="2032" spans="7:7" x14ac:dyDescent="0.3">
      <c r="G2032"/>
    </row>
    <row r="2033" spans="7:7" x14ac:dyDescent="0.3">
      <c r="G2033"/>
    </row>
    <row r="2034" spans="7:7" x14ac:dyDescent="0.3">
      <c r="G2034"/>
    </row>
    <row r="2035" spans="7:7" x14ac:dyDescent="0.3">
      <c r="G2035"/>
    </row>
    <row r="2036" spans="7:7" x14ac:dyDescent="0.3">
      <c r="G2036"/>
    </row>
    <row r="2037" spans="7:7" x14ac:dyDescent="0.3">
      <c r="G2037"/>
    </row>
    <row r="2038" spans="7:7" x14ac:dyDescent="0.3">
      <c r="G2038"/>
    </row>
    <row r="2039" spans="7:7" x14ac:dyDescent="0.3">
      <c r="G2039"/>
    </row>
    <row r="2040" spans="7:7" x14ac:dyDescent="0.3">
      <c r="G2040"/>
    </row>
    <row r="2041" spans="7:7" x14ac:dyDescent="0.3">
      <c r="G2041"/>
    </row>
    <row r="2042" spans="7:7" x14ac:dyDescent="0.3">
      <c r="G2042"/>
    </row>
    <row r="2043" spans="7:7" x14ac:dyDescent="0.3">
      <c r="G2043"/>
    </row>
    <row r="2044" spans="7:7" x14ac:dyDescent="0.3">
      <c r="G2044"/>
    </row>
    <row r="2045" spans="7:7" x14ac:dyDescent="0.3">
      <c r="G2045"/>
    </row>
    <row r="2046" spans="7:7" x14ac:dyDescent="0.3">
      <c r="G2046"/>
    </row>
    <row r="2047" spans="7:7" x14ac:dyDescent="0.3">
      <c r="G2047"/>
    </row>
    <row r="2048" spans="7:7" x14ac:dyDescent="0.3">
      <c r="G2048"/>
    </row>
    <row r="2049" spans="7:7" x14ac:dyDescent="0.3">
      <c r="G2049"/>
    </row>
    <row r="2050" spans="7:7" x14ac:dyDescent="0.3">
      <c r="G2050"/>
    </row>
    <row r="2051" spans="7:7" x14ac:dyDescent="0.3">
      <c r="G2051"/>
    </row>
    <row r="2052" spans="7:7" x14ac:dyDescent="0.3">
      <c r="G2052"/>
    </row>
    <row r="2053" spans="7:7" x14ac:dyDescent="0.3">
      <c r="G2053"/>
    </row>
    <row r="2054" spans="7:7" x14ac:dyDescent="0.3">
      <c r="G2054"/>
    </row>
    <row r="2055" spans="7:7" x14ac:dyDescent="0.3">
      <c r="G2055"/>
    </row>
    <row r="2056" spans="7:7" x14ac:dyDescent="0.3">
      <c r="G2056"/>
    </row>
    <row r="2057" spans="7:7" x14ac:dyDescent="0.3">
      <c r="G2057"/>
    </row>
    <row r="2058" spans="7:7" x14ac:dyDescent="0.3">
      <c r="G2058"/>
    </row>
    <row r="2059" spans="7:7" x14ac:dyDescent="0.3">
      <c r="G2059"/>
    </row>
    <row r="2060" spans="7:7" x14ac:dyDescent="0.3">
      <c r="G2060"/>
    </row>
    <row r="2061" spans="7:7" x14ac:dyDescent="0.3">
      <c r="G2061"/>
    </row>
    <row r="2062" spans="7:7" x14ac:dyDescent="0.3">
      <c r="G2062"/>
    </row>
    <row r="2063" spans="7:7" x14ac:dyDescent="0.3">
      <c r="G2063"/>
    </row>
    <row r="2064" spans="7:7" x14ac:dyDescent="0.3">
      <c r="G2064"/>
    </row>
    <row r="2065" spans="7:7" x14ac:dyDescent="0.3">
      <c r="G2065"/>
    </row>
    <row r="2066" spans="7:7" x14ac:dyDescent="0.3">
      <c r="G2066"/>
    </row>
    <row r="2067" spans="7:7" x14ac:dyDescent="0.3">
      <c r="G2067"/>
    </row>
    <row r="2068" spans="7:7" x14ac:dyDescent="0.3">
      <c r="G2068"/>
    </row>
    <row r="2069" spans="7:7" x14ac:dyDescent="0.3">
      <c r="G2069"/>
    </row>
    <row r="2070" spans="7:7" x14ac:dyDescent="0.3">
      <c r="G2070"/>
    </row>
    <row r="2071" spans="7:7" x14ac:dyDescent="0.3">
      <c r="G2071"/>
    </row>
    <row r="2072" spans="7:7" x14ac:dyDescent="0.3">
      <c r="G2072"/>
    </row>
    <row r="2073" spans="7:7" x14ac:dyDescent="0.3">
      <c r="G2073"/>
    </row>
    <row r="2074" spans="7:7" x14ac:dyDescent="0.3">
      <c r="G2074"/>
    </row>
    <row r="2075" spans="7:7" x14ac:dyDescent="0.3">
      <c r="G2075"/>
    </row>
    <row r="2076" spans="7:7" x14ac:dyDescent="0.3">
      <c r="G2076"/>
    </row>
    <row r="2077" spans="7:7" x14ac:dyDescent="0.3">
      <c r="G2077"/>
    </row>
    <row r="2078" spans="7:7" x14ac:dyDescent="0.3">
      <c r="G2078"/>
    </row>
    <row r="2079" spans="7:7" x14ac:dyDescent="0.3">
      <c r="G2079"/>
    </row>
    <row r="2080" spans="7:7" x14ac:dyDescent="0.3">
      <c r="G2080"/>
    </row>
    <row r="2081" spans="7:7" x14ac:dyDescent="0.3">
      <c r="G2081"/>
    </row>
    <row r="2082" spans="7:7" x14ac:dyDescent="0.3">
      <c r="G2082"/>
    </row>
    <row r="2083" spans="7:7" x14ac:dyDescent="0.3">
      <c r="G2083"/>
    </row>
    <row r="2084" spans="7:7" x14ac:dyDescent="0.3">
      <c r="G2084"/>
    </row>
    <row r="2085" spans="7:7" x14ac:dyDescent="0.3">
      <c r="G2085"/>
    </row>
    <row r="2086" spans="7:7" x14ac:dyDescent="0.3">
      <c r="G2086"/>
    </row>
    <row r="2087" spans="7:7" x14ac:dyDescent="0.3">
      <c r="G2087"/>
    </row>
    <row r="2088" spans="7:7" x14ac:dyDescent="0.3">
      <c r="G2088"/>
    </row>
    <row r="2089" spans="7:7" x14ac:dyDescent="0.3">
      <c r="G2089"/>
    </row>
    <row r="2090" spans="7:7" x14ac:dyDescent="0.3">
      <c r="G2090"/>
    </row>
    <row r="2091" spans="7:7" x14ac:dyDescent="0.3">
      <c r="G2091"/>
    </row>
    <row r="2092" spans="7:7" x14ac:dyDescent="0.3">
      <c r="G2092"/>
    </row>
    <row r="2093" spans="7:7" x14ac:dyDescent="0.3">
      <c r="G2093"/>
    </row>
    <row r="2094" spans="7:7" x14ac:dyDescent="0.3">
      <c r="G2094"/>
    </row>
    <row r="2095" spans="7:7" x14ac:dyDescent="0.3">
      <c r="G2095"/>
    </row>
    <row r="2096" spans="7:7" x14ac:dyDescent="0.3">
      <c r="G2096"/>
    </row>
    <row r="2097" spans="7:7" x14ac:dyDescent="0.3">
      <c r="G2097"/>
    </row>
    <row r="2098" spans="7:7" x14ac:dyDescent="0.3">
      <c r="G2098"/>
    </row>
    <row r="2099" spans="7:7" x14ac:dyDescent="0.3">
      <c r="G2099"/>
    </row>
    <row r="2100" spans="7:7" x14ac:dyDescent="0.3">
      <c r="G2100"/>
    </row>
    <row r="2101" spans="7:7" x14ac:dyDescent="0.3">
      <c r="G2101"/>
    </row>
    <row r="2102" spans="7:7" x14ac:dyDescent="0.3">
      <c r="G2102"/>
    </row>
    <row r="2103" spans="7:7" x14ac:dyDescent="0.3">
      <c r="G2103"/>
    </row>
    <row r="2104" spans="7:7" x14ac:dyDescent="0.3">
      <c r="G2104"/>
    </row>
    <row r="2105" spans="7:7" x14ac:dyDescent="0.3">
      <c r="G2105"/>
    </row>
    <row r="2106" spans="7:7" x14ac:dyDescent="0.3">
      <c r="G2106"/>
    </row>
    <row r="2107" spans="7:7" x14ac:dyDescent="0.3">
      <c r="G2107"/>
    </row>
    <row r="2108" spans="7:7" x14ac:dyDescent="0.3">
      <c r="G2108"/>
    </row>
    <row r="2109" spans="7:7" x14ac:dyDescent="0.3">
      <c r="G2109"/>
    </row>
    <row r="2110" spans="7:7" x14ac:dyDescent="0.3">
      <c r="G2110"/>
    </row>
    <row r="2111" spans="7:7" x14ac:dyDescent="0.3">
      <c r="G2111"/>
    </row>
    <row r="2112" spans="7:7" x14ac:dyDescent="0.3">
      <c r="G2112"/>
    </row>
    <row r="2113" spans="7:7" x14ac:dyDescent="0.3">
      <c r="G2113"/>
    </row>
    <row r="2114" spans="7:7" x14ac:dyDescent="0.3">
      <c r="G2114"/>
    </row>
    <row r="2115" spans="7:7" x14ac:dyDescent="0.3">
      <c r="G2115"/>
    </row>
    <row r="2116" spans="7:7" x14ac:dyDescent="0.3">
      <c r="G2116"/>
    </row>
    <row r="2117" spans="7:7" x14ac:dyDescent="0.3">
      <c r="G2117"/>
    </row>
    <row r="2118" spans="7:7" x14ac:dyDescent="0.3">
      <c r="G2118"/>
    </row>
    <row r="2119" spans="7:7" x14ac:dyDescent="0.3">
      <c r="G2119"/>
    </row>
    <row r="2120" spans="7:7" x14ac:dyDescent="0.3">
      <c r="G2120"/>
    </row>
    <row r="2121" spans="7:7" x14ac:dyDescent="0.3">
      <c r="G2121"/>
    </row>
    <row r="2122" spans="7:7" x14ac:dyDescent="0.3">
      <c r="G2122"/>
    </row>
    <row r="2123" spans="7:7" x14ac:dyDescent="0.3">
      <c r="G2123"/>
    </row>
    <row r="2124" spans="7:7" x14ac:dyDescent="0.3">
      <c r="G2124"/>
    </row>
    <row r="2125" spans="7:7" x14ac:dyDescent="0.3">
      <c r="G2125"/>
    </row>
    <row r="2126" spans="7:7" x14ac:dyDescent="0.3">
      <c r="G2126"/>
    </row>
    <row r="2127" spans="7:7" x14ac:dyDescent="0.3">
      <c r="G2127"/>
    </row>
    <row r="2128" spans="7:7" x14ac:dyDescent="0.3">
      <c r="G2128"/>
    </row>
    <row r="2129" spans="7:7" x14ac:dyDescent="0.3">
      <c r="G2129"/>
    </row>
    <row r="2130" spans="7:7" x14ac:dyDescent="0.3">
      <c r="G2130"/>
    </row>
    <row r="2131" spans="7:7" x14ac:dyDescent="0.3">
      <c r="G2131"/>
    </row>
    <row r="2132" spans="7:7" x14ac:dyDescent="0.3">
      <c r="G2132"/>
    </row>
    <row r="2133" spans="7:7" x14ac:dyDescent="0.3">
      <c r="G2133"/>
    </row>
    <row r="2134" spans="7:7" x14ac:dyDescent="0.3">
      <c r="G2134"/>
    </row>
    <row r="2135" spans="7:7" x14ac:dyDescent="0.3">
      <c r="G2135"/>
    </row>
    <row r="2136" spans="7:7" x14ac:dyDescent="0.3">
      <c r="G2136"/>
    </row>
    <row r="2137" spans="7:7" x14ac:dyDescent="0.3">
      <c r="G2137"/>
    </row>
    <row r="2138" spans="7:7" x14ac:dyDescent="0.3">
      <c r="G2138"/>
    </row>
    <row r="2139" spans="7:7" x14ac:dyDescent="0.3">
      <c r="G2139"/>
    </row>
    <row r="2140" spans="7:7" x14ac:dyDescent="0.3">
      <c r="G2140"/>
    </row>
    <row r="2141" spans="7:7" x14ac:dyDescent="0.3">
      <c r="G2141"/>
    </row>
    <row r="2142" spans="7:7" x14ac:dyDescent="0.3">
      <c r="G2142"/>
    </row>
    <row r="2143" spans="7:7" x14ac:dyDescent="0.3">
      <c r="G2143"/>
    </row>
    <row r="2144" spans="7:7" x14ac:dyDescent="0.3">
      <c r="G2144"/>
    </row>
    <row r="2145" spans="7:7" x14ac:dyDescent="0.3">
      <c r="G2145"/>
    </row>
    <row r="2146" spans="7:7" x14ac:dyDescent="0.3">
      <c r="G2146"/>
    </row>
    <row r="2147" spans="7:7" x14ac:dyDescent="0.3">
      <c r="G2147"/>
    </row>
    <row r="2148" spans="7:7" x14ac:dyDescent="0.3">
      <c r="G2148"/>
    </row>
    <row r="2149" spans="7:7" x14ac:dyDescent="0.3">
      <c r="G2149"/>
    </row>
    <row r="2150" spans="7:7" x14ac:dyDescent="0.3">
      <c r="G2150"/>
    </row>
    <row r="2151" spans="7:7" x14ac:dyDescent="0.3">
      <c r="G2151"/>
    </row>
    <row r="2152" spans="7:7" x14ac:dyDescent="0.3">
      <c r="G2152"/>
    </row>
    <row r="2153" spans="7:7" x14ac:dyDescent="0.3">
      <c r="G2153"/>
    </row>
    <row r="2154" spans="7:7" x14ac:dyDescent="0.3">
      <c r="G2154"/>
    </row>
    <row r="2155" spans="7:7" x14ac:dyDescent="0.3">
      <c r="G2155"/>
    </row>
    <row r="2156" spans="7:7" x14ac:dyDescent="0.3">
      <c r="G2156"/>
    </row>
    <row r="2157" spans="7:7" x14ac:dyDescent="0.3">
      <c r="G2157"/>
    </row>
    <row r="2158" spans="7:7" x14ac:dyDescent="0.3">
      <c r="G2158"/>
    </row>
    <row r="2159" spans="7:7" x14ac:dyDescent="0.3">
      <c r="G2159"/>
    </row>
    <row r="2160" spans="7:7" x14ac:dyDescent="0.3">
      <c r="G2160"/>
    </row>
    <row r="2161" spans="7:7" x14ac:dyDescent="0.3">
      <c r="G2161"/>
    </row>
    <row r="2162" spans="7:7" x14ac:dyDescent="0.3">
      <c r="G2162"/>
    </row>
    <row r="2163" spans="7:7" x14ac:dyDescent="0.3">
      <c r="G2163"/>
    </row>
    <row r="2164" spans="7:7" x14ac:dyDescent="0.3">
      <c r="G2164"/>
    </row>
    <row r="2165" spans="7:7" x14ac:dyDescent="0.3">
      <c r="G2165"/>
    </row>
    <row r="2166" spans="7:7" x14ac:dyDescent="0.3">
      <c r="G2166"/>
    </row>
    <row r="2167" spans="7:7" x14ac:dyDescent="0.3">
      <c r="G2167"/>
    </row>
    <row r="2168" spans="7:7" x14ac:dyDescent="0.3">
      <c r="G2168"/>
    </row>
    <row r="2169" spans="7:7" x14ac:dyDescent="0.3">
      <c r="G2169"/>
    </row>
    <row r="2170" spans="7:7" x14ac:dyDescent="0.3">
      <c r="G2170"/>
    </row>
    <row r="2171" spans="7:7" x14ac:dyDescent="0.3">
      <c r="G2171"/>
    </row>
    <row r="2172" spans="7:7" x14ac:dyDescent="0.3">
      <c r="G2172"/>
    </row>
    <row r="2173" spans="7:7" x14ac:dyDescent="0.3">
      <c r="G2173"/>
    </row>
    <row r="2174" spans="7:7" x14ac:dyDescent="0.3">
      <c r="G2174"/>
    </row>
    <row r="2175" spans="7:7" x14ac:dyDescent="0.3">
      <c r="G2175"/>
    </row>
    <row r="2176" spans="7:7" x14ac:dyDescent="0.3">
      <c r="G2176"/>
    </row>
    <row r="2177" spans="7:7" x14ac:dyDescent="0.3">
      <c r="G2177"/>
    </row>
    <row r="2178" spans="7:7" x14ac:dyDescent="0.3">
      <c r="G2178"/>
    </row>
    <row r="2179" spans="7:7" x14ac:dyDescent="0.3">
      <c r="G2179"/>
    </row>
    <row r="2180" spans="7:7" x14ac:dyDescent="0.3">
      <c r="G2180"/>
    </row>
    <row r="2181" spans="7:7" x14ac:dyDescent="0.3">
      <c r="G2181"/>
    </row>
    <row r="2182" spans="7:7" x14ac:dyDescent="0.3">
      <c r="G2182"/>
    </row>
    <row r="2183" spans="7:7" x14ac:dyDescent="0.3">
      <c r="G2183"/>
    </row>
    <row r="2184" spans="7:7" x14ac:dyDescent="0.3">
      <c r="G2184"/>
    </row>
    <row r="2185" spans="7:7" x14ac:dyDescent="0.3">
      <c r="G2185"/>
    </row>
    <row r="2186" spans="7:7" x14ac:dyDescent="0.3">
      <c r="G2186"/>
    </row>
    <row r="2187" spans="7:7" x14ac:dyDescent="0.3">
      <c r="G2187"/>
    </row>
    <row r="2188" spans="7:7" x14ac:dyDescent="0.3">
      <c r="G2188"/>
    </row>
    <row r="2189" spans="7:7" x14ac:dyDescent="0.3">
      <c r="G2189"/>
    </row>
    <row r="2190" spans="7:7" x14ac:dyDescent="0.3">
      <c r="G2190"/>
    </row>
    <row r="2191" spans="7:7" x14ac:dyDescent="0.3">
      <c r="G2191"/>
    </row>
    <row r="2192" spans="7:7" x14ac:dyDescent="0.3">
      <c r="G2192"/>
    </row>
    <row r="2193" spans="7:7" x14ac:dyDescent="0.3">
      <c r="G2193"/>
    </row>
    <row r="2194" spans="7:7" x14ac:dyDescent="0.3">
      <c r="G2194"/>
    </row>
    <row r="2195" spans="7:7" x14ac:dyDescent="0.3">
      <c r="G2195"/>
    </row>
    <row r="2196" spans="7:7" x14ac:dyDescent="0.3">
      <c r="G2196"/>
    </row>
    <row r="2197" spans="7:7" x14ac:dyDescent="0.3">
      <c r="G2197"/>
    </row>
    <row r="2198" spans="7:7" x14ac:dyDescent="0.3">
      <c r="G2198"/>
    </row>
    <row r="2199" spans="7:7" x14ac:dyDescent="0.3">
      <c r="G2199"/>
    </row>
    <row r="2200" spans="7:7" x14ac:dyDescent="0.3">
      <c r="G2200"/>
    </row>
    <row r="2201" spans="7:7" x14ac:dyDescent="0.3">
      <c r="G2201"/>
    </row>
    <row r="2202" spans="7:7" x14ac:dyDescent="0.3">
      <c r="G2202"/>
    </row>
    <row r="2203" spans="7:7" x14ac:dyDescent="0.3">
      <c r="G2203"/>
    </row>
    <row r="2204" spans="7:7" x14ac:dyDescent="0.3">
      <c r="G2204"/>
    </row>
    <row r="2205" spans="7:7" x14ac:dyDescent="0.3">
      <c r="G2205"/>
    </row>
    <row r="2206" spans="7:7" x14ac:dyDescent="0.3">
      <c r="G2206"/>
    </row>
    <row r="2207" spans="7:7" x14ac:dyDescent="0.3">
      <c r="G2207"/>
    </row>
    <row r="2208" spans="7:7" x14ac:dyDescent="0.3">
      <c r="G2208"/>
    </row>
    <row r="2209" spans="7:7" x14ac:dyDescent="0.3">
      <c r="G2209"/>
    </row>
    <row r="2210" spans="7:7" x14ac:dyDescent="0.3">
      <c r="G2210"/>
    </row>
    <row r="2211" spans="7:7" x14ac:dyDescent="0.3">
      <c r="G2211"/>
    </row>
    <row r="2212" spans="7:7" x14ac:dyDescent="0.3">
      <c r="G2212"/>
    </row>
    <row r="2213" spans="7:7" x14ac:dyDescent="0.3">
      <c r="G2213"/>
    </row>
    <row r="2214" spans="7:7" x14ac:dyDescent="0.3">
      <c r="G2214"/>
    </row>
    <row r="2215" spans="7:7" x14ac:dyDescent="0.3">
      <c r="G2215"/>
    </row>
    <row r="2216" spans="7:7" x14ac:dyDescent="0.3">
      <c r="G2216"/>
    </row>
    <row r="2217" spans="7:7" x14ac:dyDescent="0.3">
      <c r="G2217"/>
    </row>
    <row r="2218" spans="7:7" x14ac:dyDescent="0.3">
      <c r="G2218"/>
    </row>
    <row r="2219" spans="7:7" x14ac:dyDescent="0.3">
      <c r="G2219"/>
    </row>
    <row r="2220" spans="7:7" x14ac:dyDescent="0.3">
      <c r="G2220"/>
    </row>
    <row r="2221" spans="7:7" x14ac:dyDescent="0.3">
      <c r="G2221"/>
    </row>
    <row r="2222" spans="7:7" x14ac:dyDescent="0.3">
      <c r="G2222"/>
    </row>
    <row r="2223" spans="7:7" x14ac:dyDescent="0.3">
      <c r="G2223"/>
    </row>
    <row r="2224" spans="7:7" x14ac:dyDescent="0.3">
      <c r="G2224"/>
    </row>
    <row r="2225" spans="7:7" x14ac:dyDescent="0.3">
      <c r="G2225"/>
    </row>
    <row r="2226" spans="7:7" x14ac:dyDescent="0.3">
      <c r="G2226"/>
    </row>
    <row r="2227" spans="7:7" x14ac:dyDescent="0.3">
      <c r="G2227"/>
    </row>
    <row r="2228" spans="7:7" x14ac:dyDescent="0.3">
      <c r="G2228"/>
    </row>
    <row r="2229" spans="7:7" x14ac:dyDescent="0.3">
      <c r="G2229"/>
    </row>
    <row r="2230" spans="7:7" x14ac:dyDescent="0.3">
      <c r="G2230"/>
    </row>
    <row r="2231" spans="7:7" x14ac:dyDescent="0.3">
      <c r="G2231"/>
    </row>
    <row r="2232" spans="7:7" x14ac:dyDescent="0.3">
      <c r="G2232"/>
    </row>
    <row r="2233" spans="7:7" x14ac:dyDescent="0.3">
      <c r="G2233"/>
    </row>
    <row r="2234" spans="7:7" x14ac:dyDescent="0.3">
      <c r="G2234"/>
    </row>
    <row r="2235" spans="7:7" x14ac:dyDescent="0.3">
      <c r="G2235"/>
    </row>
    <row r="2236" spans="7:7" x14ac:dyDescent="0.3">
      <c r="G2236"/>
    </row>
    <row r="2237" spans="7:7" x14ac:dyDescent="0.3">
      <c r="G2237"/>
    </row>
    <row r="2238" spans="7:7" x14ac:dyDescent="0.3">
      <c r="G2238"/>
    </row>
    <row r="2239" spans="7:7" x14ac:dyDescent="0.3">
      <c r="G2239"/>
    </row>
    <row r="2240" spans="7:7" x14ac:dyDescent="0.3">
      <c r="G2240"/>
    </row>
    <row r="2241" spans="7:7" x14ac:dyDescent="0.3">
      <c r="G2241"/>
    </row>
    <row r="2242" spans="7:7" x14ac:dyDescent="0.3">
      <c r="G2242"/>
    </row>
    <row r="2243" spans="7:7" x14ac:dyDescent="0.3">
      <c r="G2243"/>
    </row>
    <row r="2244" spans="7:7" x14ac:dyDescent="0.3">
      <c r="G2244"/>
    </row>
    <row r="2245" spans="7:7" x14ac:dyDescent="0.3">
      <c r="G2245"/>
    </row>
    <row r="2246" spans="7:7" x14ac:dyDescent="0.3">
      <c r="G2246"/>
    </row>
    <row r="2247" spans="7:7" x14ac:dyDescent="0.3">
      <c r="G2247"/>
    </row>
    <row r="2248" spans="7:7" x14ac:dyDescent="0.3">
      <c r="G2248"/>
    </row>
    <row r="2249" spans="7:7" x14ac:dyDescent="0.3">
      <c r="G2249"/>
    </row>
    <row r="2250" spans="7:7" x14ac:dyDescent="0.3">
      <c r="G2250"/>
    </row>
    <row r="2251" spans="7:7" x14ac:dyDescent="0.3">
      <c r="G2251"/>
    </row>
    <row r="2252" spans="7:7" x14ac:dyDescent="0.3">
      <c r="G2252"/>
    </row>
    <row r="2253" spans="7:7" x14ac:dyDescent="0.3">
      <c r="G2253"/>
    </row>
    <row r="2254" spans="7:7" x14ac:dyDescent="0.3">
      <c r="G2254"/>
    </row>
    <row r="2255" spans="7:7" x14ac:dyDescent="0.3">
      <c r="G2255"/>
    </row>
    <row r="2256" spans="7:7" x14ac:dyDescent="0.3">
      <c r="G2256"/>
    </row>
    <row r="2257" spans="7:7" x14ac:dyDescent="0.3">
      <c r="G2257"/>
    </row>
    <row r="2258" spans="7:7" x14ac:dyDescent="0.3">
      <c r="G2258"/>
    </row>
    <row r="2259" spans="7:7" x14ac:dyDescent="0.3">
      <c r="G2259"/>
    </row>
    <row r="2260" spans="7:7" x14ac:dyDescent="0.3">
      <c r="G2260"/>
    </row>
    <row r="2261" spans="7:7" x14ac:dyDescent="0.3">
      <c r="G2261"/>
    </row>
    <row r="2262" spans="7:7" x14ac:dyDescent="0.3">
      <c r="G2262"/>
    </row>
    <row r="2263" spans="7:7" x14ac:dyDescent="0.3">
      <c r="G2263"/>
    </row>
    <row r="2264" spans="7:7" x14ac:dyDescent="0.3">
      <c r="G2264"/>
    </row>
    <row r="2265" spans="7:7" x14ac:dyDescent="0.3">
      <c r="G2265"/>
    </row>
    <row r="2266" spans="7:7" x14ac:dyDescent="0.3">
      <c r="G2266"/>
    </row>
    <row r="2267" spans="7:7" x14ac:dyDescent="0.3">
      <c r="G2267"/>
    </row>
    <row r="2268" spans="7:7" x14ac:dyDescent="0.3">
      <c r="G2268"/>
    </row>
    <row r="2269" spans="7:7" x14ac:dyDescent="0.3">
      <c r="G2269"/>
    </row>
    <row r="2270" spans="7:7" x14ac:dyDescent="0.3">
      <c r="G2270"/>
    </row>
    <row r="2271" spans="7:7" x14ac:dyDescent="0.3">
      <c r="G2271"/>
    </row>
    <row r="2272" spans="7:7" x14ac:dyDescent="0.3">
      <c r="G2272"/>
    </row>
    <row r="2273" spans="7:7" x14ac:dyDescent="0.3">
      <c r="G2273"/>
    </row>
    <row r="2274" spans="7:7" x14ac:dyDescent="0.3">
      <c r="G2274"/>
    </row>
    <row r="2275" spans="7:7" x14ac:dyDescent="0.3">
      <c r="G2275"/>
    </row>
    <row r="2276" spans="7:7" x14ac:dyDescent="0.3">
      <c r="G2276"/>
    </row>
    <row r="2277" spans="7:7" x14ac:dyDescent="0.3">
      <c r="G2277"/>
    </row>
    <row r="2278" spans="7:7" x14ac:dyDescent="0.3">
      <c r="G2278"/>
    </row>
    <row r="2279" spans="7:7" x14ac:dyDescent="0.3">
      <c r="G2279"/>
    </row>
    <row r="2280" spans="7:7" x14ac:dyDescent="0.3">
      <c r="G2280"/>
    </row>
    <row r="2281" spans="7:7" x14ac:dyDescent="0.3">
      <c r="G2281"/>
    </row>
    <row r="2282" spans="7:7" x14ac:dyDescent="0.3">
      <c r="G2282"/>
    </row>
    <row r="2283" spans="7:7" x14ac:dyDescent="0.3">
      <c r="G2283"/>
    </row>
    <row r="2284" spans="7:7" x14ac:dyDescent="0.3">
      <c r="G2284"/>
    </row>
    <row r="2285" spans="7:7" x14ac:dyDescent="0.3">
      <c r="G2285"/>
    </row>
    <row r="2286" spans="7:7" x14ac:dyDescent="0.3">
      <c r="G2286"/>
    </row>
    <row r="2287" spans="7:7" x14ac:dyDescent="0.3">
      <c r="G2287"/>
    </row>
    <row r="2288" spans="7:7" x14ac:dyDescent="0.3">
      <c r="G2288"/>
    </row>
    <row r="2289" spans="7:7" x14ac:dyDescent="0.3">
      <c r="G2289"/>
    </row>
    <row r="2290" spans="7:7" x14ac:dyDescent="0.3">
      <c r="G2290"/>
    </row>
    <row r="2291" spans="7:7" x14ac:dyDescent="0.3">
      <c r="G2291"/>
    </row>
    <row r="2292" spans="7:7" x14ac:dyDescent="0.3">
      <c r="G2292"/>
    </row>
    <row r="2293" spans="7:7" x14ac:dyDescent="0.3">
      <c r="G2293"/>
    </row>
    <row r="2294" spans="7:7" x14ac:dyDescent="0.3">
      <c r="G2294"/>
    </row>
    <row r="2295" spans="7:7" x14ac:dyDescent="0.3">
      <c r="G2295"/>
    </row>
    <row r="2296" spans="7:7" x14ac:dyDescent="0.3">
      <c r="G2296"/>
    </row>
    <row r="2297" spans="7:7" x14ac:dyDescent="0.3">
      <c r="G2297"/>
    </row>
    <row r="2298" spans="7:7" x14ac:dyDescent="0.3">
      <c r="G2298"/>
    </row>
    <row r="2299" spans="7:7" x14ac:dyDescent="0.3">
      <c r="G2299"/>
    </row>
    <row r="2300" spans="7:7" x14ac:dyDescent="0.3">
      <c r="G2300"/>
    </row>
    <row r="2301" spans="7:7" x14ac:dyDescent="0.3">
      <c r="G2301"/>
    </row>
    <row r="2302" spans="7:7" x14ac:dyDescent="0.3">
      <c r="G2302"/>
    </row>
    <row r="2303" spans="7:7" x14ac:dyDescent="0.3">
      <c r="G2303"/>
    </row>
    <row r="2304" spans="7:7" x14ac:dyDescent="0.3">
      <c r="G2304"/>
    </row>
    <row r="2305" spans="7:7" x14ac:dyDescent="0.3">
      <c r="G2305"/>
    </row>
    <row r="2306" spans="7:7" x14ac:dyDescent="0.3">
      <c r="G2306"/>
    </row>
    <row r="2307" spans="7:7" x14ac:dyDescent="0.3">
      <c r="G2307"/>
    </row>
    <row r="2308" spans="7:7" x14ac:dyDescent="0.3">
      <c r="G2308"/>
    </row>
    <row r="2309" spans="7:7" x14ac:dyDescent="0.3">
      <c r="G2309"/>
    </row>
    <row r="2310" spans="7:7" x14ac:dyDescent="0.3">
      <c r="G2310"/>
    </row>
    <row r="2311" spans="7:7" x14ac:dyDescent="0.3">
      <c r="G2311"/>
    </row>
    <row r="2312" spans="7:7" x14ac:dyDescent="0.3">
      <c r="G2312"/>
    </row>
    <row r="2313" spans="7:7" x14ac:dyDescent="0.3">
      <c r="G2313"/>
    </row>
    <row r="2314" spans="7:7" x14ac:dyDescent="0.3">
      <c r="G2314"/>
    </row>
    <row r="2315" spans="7:7" x14ac:dyDescent="0.3">
      <c r="G2315"/>
    </row>
    <row r="2316" spans="7:7" x14ac:dyDescent="0.3">
      <c r="G2316"/>
    </row>
    <row r="2317" spans="7:7" x14ac:dyDescent="0.3">
      <c r="G2317"/>
    </row>
    <row r="2318" spans="7:7" x14ac:dyDescent="0.3">
      <c r="G2318"/>
    </row>
    <row r="2319" spans="7:7" x14ac:dyDescent="0.3">
      <c r="G2319"/>
    </row>
    <row r="2320" spans="7:7" x14ac:dyDescent="0.3">
      <c r="G2320"/>
    </row>
    <row r="2321" spans="7:7" x14ac:dyDescent="0.3">
      <c r="G2321"/>
    </row>
    <row r="2322" spans="7:7" x14ac:dyDescent="0.3">
      <c r="G2322"/>
    </row>
    <row r="2323" spans="7:7" x14ac:dyDescent="0.3">
      <c r="G2323"/>
    </row>
    <row r="2324" spans="7:7" x14ac:dyDescent="0.3">
      <c r="G2324"/>
    </row>
    <row r="2325" spans="7:7" x14ac:dyDescent="0.3">
      <c r="G2325"/>
    </row>
    <row r="2326" spans="7:7" x14ac:dyDescent="0.3">
      <c r="G2326"/>
    </row>
    <row r="2327" spans="7:7" x14ac:dyDescent="0.3">
      <c r="G2327"/>
    </row>
    <row r="2328" spans="7:7" x14ac:dyDescent="0.3">
      <c r="G2328"/>
    </row>
    <row r="2329" spans="7:7" x14ac:dyDescent="0.3">
      <c r="G2329"/>
    </row>
    <row r="2330" spans="7:7" x14ac:dyDescent="0.3">
      <c r="G2330"/>
    </row>
    <row r="2331" spans="7:7" x14ac:dyDescent="0.3">
      <c r="G2331"/>
    </row>
    <row r="2332" spans="7:7" x14ac:dyDescent="0.3">
      <c r="G2332"/>
    </row>
    <row r="2333" spans="7:7" x14ac:dyDescent="0.3">
      <c r="G2333"/>
    </row>
    <row r="2334" spans="7:7" x14ac:dyDescent="0.3">
      <c r="G2334"/>
    </row>
    <row r="2335" spans="7:7" x14ac:dyDescent="0.3">
      <c r="G2335"/>
    </row>
    <row r="2336" spans="7:7" x14ac:dyDescent="0.3">
      <c r="G2336"/>
    </row>
    <row r="2337" spans="7:7" x14ac:dyDescent="0.3">
      <c r="G2337"/>
    </row>
    <row r="2338" spans="7:7" x14ac:dyDescent="0.3">
      <c r="G2338"/>
    </row>
    <row r="2339" spans="7:7" x14ac:dyDescent="0.3">
      <c r="G2339"/>
    </row>
    <row r="2340" spans="7:7" x14ac:dyDescent="0.3">
      <c r="G2340"/>
    </row>
    <row r="2341" spans="7:7" x14ac:dyDescent="0.3">
      <c r="G2341"/>
    </row>
    <row r="2342" spans="7:7" x14ac:dyDescent="0.3">
      <c r="G2342"/>
    </row>
    <row r="2343" spans="7:7" x14ac:dyDescent="0.3">
      <c r="G2343"/>
    </row>
    <row r="2344" spans="7:7" x14ac:dyDescent="0.3">
      <c r="G2344"/>
    </row>
    <row r="2345" spans="7:7" x14ac:dyDescent="0.3">
      <c r="G2345"/>
    </row>
    <row r="2346" spans="7:7" x14ac:dyDescent="0.3">
      <c r="G2346"/>
    </row>
    <row r="2347" spans="7:7" x14ac:dyDescent="0.3">
      <c r="G2347"/>
    </row>
    <row r="2348" spans="7:7" x14ac:dyDescent="0.3">
      <c r="G2348"/>
    </row>
    <row r="2349" spans="7:7" x14ac:dyDescent="0.3">
      <c r="G2349"/>
    </row>
    <row r="2350" spans="7:7" x14ac:dyDescent="0.3">
      <c r="G2350"/>
    </row>
    <row r="2351" spans="7:7" x14ac:dyDescent="0.3">
      <c r="G2351"/>
    </row>
    <row r="2352" spans="7:7" x14ac:dyDescent="0.3">
      <c r="G2352"/>
    </row>
    <row r="2353" spans="7:7" x14ac:dyDescent="0.3">
      <c r="G2353"/>
    </row>
    <row r="2354" spans="7:7" x14ac:dyDescent="0.3">
      <c r="G2354"/>
    </row>
    <row r="2355" spans="7:7" x14ac:dyDescent="0.3">
      <c r="G2355"/>
    </row>
    <row r="2356" spans="7:7" x14ac:dyDescent="0.3">
      <c r="G2356"/>
    </row>
    <row r="2357" spans="7:7" x14ac:dyDescent="0.3">
      <c r="G2357"/>
    </row>
    <row r="2358" spans="7:7" x14ac:dyDescent="0.3">
      <c r="G2358"/>
    </row>
    <row r="2359" spans="7:7" x14ac:dyDescent="0.3">
      <c r="G2359"/>
    </row>
    <row r="2360" spans="7:7" x14ac:dyDescent="0.3">
      <c r="G2360"/>
    </row>
    <row r="2361" spans="7:7" x14ac:dyDescent="0.3">
      <c r="G2361"/>
    </row>
    <row r="2362" spans="7:7" x14ac:dyDescent="0.3">
      <c r="G2362"/>
    </row>
    <row r="2363" spans="7:7" x14ac:dyDescent="0.3">
      <c r="G2363"/>
    </row>
    <row r="2364" spans="7:7" x14ac:dyDescent="0.3">
      <c r="G2364"/>
    </row>
    <row r="2365" spans="7:7" x14ac:dyDescent="0.3">
      <c r="G2365"/>
    </row>
    <row r="2366" spans="7:7" x14ac:dyDescent="0.3">
      <c r="G2366"/>
    </row>
    <row r="2367" spans="7:7" x14ac:dyDescent="0.3">
      <c r="G2367"/>
    </row>
    <row r="2368" spans="7:7" x14ac:dyDescent="0.3">
      <c r="G2368"/>
    </row>
    <row r="2369" spans="7:7" x14ac:dyDescent="0.3">
      <c r="G2369"/>
    </row>
    <row r="2370" spans="7:7" x14ac:dyDescent="0.3">
      <c r="G2370"/>
    </row>
    <row r="2371" spans="7:7" x14ac:dyDescent="0.3">
      <c r="G2371"/>
    </row>
    <row r="2372" spans="7:7" x14ac:dyDescent="0.3">
      <c r="G2372"/>
    </row>
    <row r="2373" spans="7:7" x14ac:dyDescent="0.3">
      <c r="G2373"/>
    </row>
    <row r="2374" spans="7:7" x14ac:dyDescent="0.3">
      <c r="G2374"/>
    </row>
    <row r="2375" spans="7:7" x14ac:dyDescent="0.3">
      <c r="G2375"/>
    </row>
    <row r="2376" spans="7:7" x14ac:dyDescent="0.3">
      <c r="G2376"/>
    </row>
    <row r="2377" spans="7:7" x14ac:dyDescent="0.3">
      <c r="G2377"/>
    </row>
    <row r="2378" spans="7:7" x14ac:dyDescent="0.3">
      <c r="G2378"/>
    </row>
    <row r="2379" spans="7:7" x14ac:dyDescent="0.3">
      <c r="G2379"/>
    </row>
    <row r="2380" spans="7:7" x14ac:dyDescent="0.3">
      <c r="G2380"/>
    </row>
    <row r="2381" spans="7:7" x14ac:dyDescent="0.3">
      <c r="G2381"/>
    </row>
    <row r="2382" spans="7:7" x14ac:dyDescent="0.3">
      <c r="G2382"/>
    </row>
    <row r="2383" spans="7:7" x14ac:dyDescent="0.3">
      <c r="G2383"/>
    </row>
    <row r="2384" spans="7:7" x14ac:dyDescent="0.3">
      <c r="G2384"/>
    </row>
    <row r="2385" spans="7:7" x14ac:dyDescent="0.3">
      <c r="G2385"/>
    </row>
    <row r="2386" spans="7:7" x14ac:dyDescent="0.3">
      <c r="G2386"/>
    </row>
    <row r="2387" spans="7:7" x14ac:dyDescent="0.3">
      <c r="G2387"/>
    </row>
    <row r="2388" spans="7:7" x14ac:dyDescent="0.3">
      <c r="G2388"/>
    </row>
    <row r="2389" spans="7:7" x14ac:dyDescent="0.3">
      <c r="G2389"/>
    </row>
    <row r="2390" spans="7:7" x14ac:dyDescent="0.3">
      <c r="G2390"/>
    </row>
    <row r="2391" spans="7:7" x14ac:dyDescent="0.3">
      <c r="G2391"/>
    </row>
    <row r="2392" spans="7:7" x14ac:dyDescent="0.3">
      <c r="G2392"/>
    </row>
    <row r="2393" spans="7:7" x14ac:dyDescent="0.3">
      <c r="G2393"/>
    </row>
    <row r="2394" spans="7:7" x14ac:dyDescent="0.3">
      <c r="G2394"/>
    </row>
    <row r="2395" spans="7:7" x14ac:dyDescent="0.3">
      <c r="G2395"/>
    </row>
    <row r="2396" spans="7:7" x14ac:dyDescent="0.3">
      <c r="G2396"/>
    </row>
    <row r="2397" spans="7:7" x14ac:dyDescent="0.3">
      <c r="G2397"/>
    </row>
    <row r="2398" spans="7:7" x14ac:dyDescent="0.3">
      <c r="G2398"/>
    </row>
    <row r="2399" spans="7:7" x14ac:dyDescent="0.3">
      <c r="G2399"/>
    </row>
    <row r="2400" spans="7:7" x14ac:dyDescent="0.3">
      <c r="G2400"/>
    </row>
    <row r="2401" spans="7:7" x14ac:dyDescent="0.3">
      <c r="G2401"/>
    </row>
    <row r="2402" spans="7:7" x14ac:dyDescent="0.3">
      <c r="G2402"/>
    </row>
    <row r="2403" spans="7:7" x14ac:dyDescent="0.3">
      <c r="G2403"/>
    </row>
    <row r="2404" spans="7:7" x14ac:dyDescent="0.3">
      <c r="G2404"/>
    </row>
    <row r="2405" spans="7:7" x14ac:dyDescent="0.3">
      <c r="G2405"/>
    </row>
    <row r="2406" spans="7:7" x14ac:dyDescent="0.3">
      <c r="G2406"/>
    </row>
    <row r="2407" spans="7:7" x14ac:dyDescent="0.3">
      <c r="G2407"/>
    </row>
    <row r="2408" spans="7:7" x14ac:dyDescent="0.3">
      <c r="G2408"/>
    </row>
    <row r="2409" spans="7:7" x14ac:dyDescent="0.3">
      <c r="G2409"/>
    </row>
    <row r="2410" spans="7:7" x14ac:dyDescent="0.3">
      <c r="G2410"/>
    </row>
    <row r="2411" spans="7:7" x14ac:dyDescent="0.3">
      <c r="G2411"/>
    </row>
    <row r="2412" spans="7:7" x14ac:dyDescent="0.3">
      <c r="G2412"/>
    </row>
    <row r="2413" spans="7:7" x14ac:dyDescent="0.3">
      <c r="G2413"/>
    </row>
    <row r="2414" spans="7:7" x14ac:dyDescent="0.3">
      <c r="G2414"/>
    </row>
    <row r="2415" spans="7:7" x14ac:dyDescent="0.3">
      <c r="G2415"/>
    </row>
    <row r="2416" spans="7:7" x14ac:dyDescent="0.3">
      <c r="G2416"/>
    </row>
    <row r="2417" spans="7:7" x14ac:dyDescent="0.3">
      <c r="G2417"/>
    </row>
    <row r="2418" spans="7:7" x14ac:dyDescent="0.3">
      <c r="G2418"/>
    </row>
    <row r="2419" spans="7:7" x14ac:dyDescent="0.3">
      <c r="G2419"/>
    </row>
    <row r="2420" spans="7:7" x14ac:dyDescent="0.3">
      <c r="G2420"/>
    </row>
    <row r="2421" spans="7:7" x14ac:dyDescent="0.3">
      <c r="G2421"/>
    </row>
    <row r="2422" spans="7:7" x14ac:dyDescent="0.3">
      <c r="G2422"/>
    </row>
    <row r="2423" spans="7:7" x14ac:dyDescent="0.3">
      <c r="G2423"/>
    </row>
    <row r="2424" spans="7:7" x14ac:dyDescent="0.3">
      <c r="G2424"/>
    </row>
    <row r="2425" spans="7:7" x14ac:dyDescent="0.3">
      <c r="G2425"/>
    </row>
    <row r="2426" spans="7:7" x14ac:dyDescent="0.3">
      <c r="G2426"/>
    </row>
    <row r="2427" spans="7:7" x14ac:dyDescent="0.3">
      <c r="G2427"/>
    </row>
    <row r="2428" spans="7:7" x14ac:dyDescent="0.3">
      <c r="G2428"/>
    </row>
    <row r="2429" spans="7:7" x14ac:dyDescent="0.3">
      <c r="G2429"/>
    </row>
    <row r="2430" spans="7:7" x14ac:dyDescent="0.3">
      <c r="G2430"/>
    </row>
    <row r="2431" spans="7:7" x14ac:dyDescent="0.3">
      <c r="G2431"/>
    </row>
    <row r="2432" spans="7:7" x14ac:dyDescent="0.3">
      <c r="G2432"/>
    </row>
    <row r="2433" spans="7:7" x14ac:dyDescent="0.3">
      <c r="G2433"/>
    </row>
    <row r="2434" spans="7:7" x14ac:dyDescent="0.3">
      <c r="G2434"/>
    </row>
    <row r="2435" spans="7:7" x14ac:dyDescent="0.3">
      <c r="G2435"/>
    </row>
    <row r="2436" spans="7:7" x14ac:dyDescent="0.3">
      <c r="G2436"/>
    </row>
    <row r="2437" spans="7:7" x14ac:dyDescent="0.3">
      <c r="G2437"/>
    </row>
    <row r="2438" spans="7:7" x14ac:dyDescent="0.3">
      <c r="G2438"/>
    </row>
    <row r="2439" spans="7:7" x14ac:dyDescent="0.3">
      <c r="G2439"/>
    </row>
    <row r="2440" spans="7:7" x14ac:dyDescent="0.3">
      <c r="G2440"/>
    </row>
    <row r="2441" spans="7:7" x14ac:dyDescent="0.3">
      <c r="G2441"/>
    </row>
    <row r="2442" spans="7:7" x14ac:dyDescent="0.3">
      <c r="G2442"/>
    </row>
    <row r="2443" spans="7:7" x14ac:dyDescent="0.3">
      <c r="G2443"/>
    </row>
    <row r="2444" spans="7:7" x14ac:dyDescent="0.3">
      <c r="G2444"/>
    </row>
    <row r="2445" spans="7:7" x14ac:dyDescent="0.3">
      <c r="G2445"/>
    </row>
    <row r="2446" spans="7:7" x14ac:dyDescent="0.3">
      <c r="G2446"/>
    </row>
    <row r="2447" spans="7:7" x14ac:dyDescent="0.3">
      <c r="G2447"/>
    </row>
    <row r="2448" spans="7:7" x14ac:dyDescent="0.3">
      <c r="G2448"/>
    </row>
    <row r="2449" spans="7:7" x14ac:dyDescent="0.3">
      <c r="G2449"/>
    </row>
    <row r="2450" spans="7:7" x14ac:dyDescent="0.3">
      <c r="G2450"/>
    </row>
    <row r="2451" spans="7:7" x14ac:dyDescent="0.3">
      <c r="G2451"/>
    </row>
    <row r="2452" spans="7:7" x14ac:dyDescent="0.3">
      <c r="G2452"/>
    </row>
    <row r="2453" spans="7:7" x14ac:dyDescent="0.3">
      <c r="G2453"/>
    </row>
    <row r="2454" spans="7:7" x14ac:dyDescent="0.3">
      <c r="G2454"/>
    </row>
    <row r="2455" spans="7:7" x14ac:dyDescent="0.3">
      <c r="G2455"/>
    </row>
    <row r="2456" spans="7:7" x14ac:dyDescent="0.3">
      <c r="G2456"/>
    </row>
    <row r="2457" spans="7:7" x14ac:dyDescent="0.3">
      <c r="G2457"/>
    </row>
    <row r="2458" spans="7:7" x14ac:dyDescent="0.3">
      <c r="G2458"/>
    </row>
    <row r="2459" spans="7:7" x14ac:dyDescent="0.3">
      <c r="G2459"/>
    </row>
    <row r="2460" spans="7:7" x14ac:dyDescent="0.3">
      <c r="G2460"/>
    </row>
    <row r="2461" spans="7:7" x14ac:dyDescent="0.3">
      <c r="G2461"/>
    </row>
    <row r="2462" spans="7:7" x14ac:dyDescent="0.3">
      <c r="G2462"/>
    </row>
    <row r="2463" spans="7:7" x14ac:dyDescent="0.3">
      <c r="G2463"/>
    </row>
    <row r="2464" spans="7:7" x14ac:dyDescent="0.3">
      <c r="G2464"/>
    </row>
    <row r="2465" spans="7:7" x14ac:dyDescent="0.3">
      <c r="G2465"/>
    </row>
    <row r="2466" spans="7:7" x14ac:dyDescent="0.3">
      <c r="G2466"/>
    </row>
    <row r="2467" spans="7:7" x14ac:dyDescent="0.3">
      <c r="G2467"/>
    </row>
    <row r="2468" spans="7:7" x14ac:dyDescent="0.3">
      <c r="G2468"/>
    </row>
    <row r="2469" spans="7:7" x14ac:dyDescent="0.3">
      <c r="G2469"/>
    </row>
    <row r="2470" spans="7:7" x14ac:dyDescent="0.3">
      <c r="G2470"/>
    </row>
    <row r="2471" spans="7:7" x14ac:dyDescent="0.3">
      <c r="G2471"/>
    </row>
    <row r="2472" spans="7:7" x14ac:dyDescent="0.3">
      <c r="G2472"/>
    </row>
    <row r="2473" spans="7:7" x14ac:dyDescent="0.3">
      <c r="G2473"/>
    </row>
    <row r="2474" spans="7:7" x14ac:dyDescent="0.3">
      <c r="G2474"/>
    </row>
    <row r="2475" spans="7:7" x14ac:dyDescent="0.3">
      <c r="G2475"/>
    </row>
    <row r="2476" spans="7:7" x14ac:dyDescent="0.3">
      <c r="G2476"/>
    </row>
    <row r="2477" spans="7:7" x14ac:dyDescent="0.3">
      <c r="G2477"/>
    </row>
    <row r="2478" spans="7:7" x14ac:dyDescent="0.3">
      <c r="G2478"/>
    </row>
    <row r="2479" spans="7:7" x14ac:dyDescent="0.3">
      <c r="G2479"/>
    </row>
    <row r="2480" spans="7:7" x14ac:dyDescent="0.3">
      <c r="G2480"/>
    </row>
    <row r="2481" spans="7:7" x14ac:dyDescent="0.3">
      <c r="G2481"/>
    </row>
    <row r="2482" spans="7:7" x14ac:dyDescent="0.3">
      <c r="G2482"/>
    </row>
    <row r="2483" spans="7:7" x14ac:dyDescent="0.3">
      <c r="G2483"/>
    </row>
    <row r="2484" spans="7:7" x14ac:dyDescent="0.3">
      <c r="G2484"/>
    </row>
    <row r="2485" spans="7:7" x14ac:dyDescent="0.3">
      <c r="G2485"/>
    </row>
    <row r="2486" spans="7:7" x14ac:dyDescent="0.3">
      <c r="G2486"/>
    </row>
    <row r="2487" spans="7:7" x14ac:dyDescent="0.3">
      <c r="G2487"/>
    </row>
    <row r="2488" spans="7:7" x14ac:dyDescent="0.3">
      <c r="G2488"/>
    </row>
    <row r="2489" spans="7:7" x14ac:dyDescent="0.3">
      <c r="G2489"/>
    </row>
    <row r="2490" spans="7:7" x14ac:dyDescent="0.3">
      <c r="G2490"/>
    </row>
    <row r="2491" spans="7:7" x14ac:dyDescent="0.3">
      <c r="G2491"/>
    </row>
    <row r="2492" spans="7:7" x14ac:dyDescent="0.3">
      <c r="G2492"/>
    </row>
    <row r="2493" spans="7:7" x14ac:dyDescent="0.3">
      <c r="G2493"/>
    </row>
    <row r="2494" spans="7:7" x14ac:dyDescent="0.3">
      <c r="G2494"/>
    </row>
    <row r="2495" spans="7:7" x14ac:dyDescent="0.3">
      <c r="G2495"/>
    </row>
    <row r="2496" spans="7:7" x14ac:dyDescent="0.3">
      <c r="G2496"/>
    </row>
    <row r="2497" spans="7:7" x14ac:dyDescent="0.3">
      <c r="G2497"/>
    </row>
    <row r="2498" spans="7:7" x14ac:dyDescent="0.3">
      <c r="G2498"/>
    </row>
    <row r="2499" spans="7:7" x14ac:dyDescent="0.3">
      <c r="G2499"/>
    </row>
    <row r="2500" spans="7:7" x14ac:dyDescent="0.3">
      <c r="G2500"/>
    </row>
    <row r="2501" spans="7:7" x14ac:dyDescent="0.3">
      <c r="G2501"/>
    </row>
    <row r="2502" spans="7:7" x14ac:dyDescent="0.3">
      <c r="G2502"/>
    </row>
    <row r="2503" spans="7:7" x14ac:dyDescent="0.3">
      <c r="G2503"/>
    </row>
    <row r="2504" spans="7:7" x14ac:dyDescent="0.3">
      <c r="G2504"/>
    </row>
    <row r="2505" spans="7:7" x14ac:dyDescent="0.3">
      <c r="G2505"/>
    </row>
    <row r="2506" spans="7:7" x14ac:dyDescent="0.3">
      <c r="G2506"/>
    </row>
    <row r="2507" spans="7:7" x14ac:dyDescent="0.3">
      <c r="G2507"/>
    </row>
    <row r="2508" spans="7:7" x14ac:dyDescent="0.3">
      <c r="G2508"/>
    </row>
    <row r="2509" spans="7:7" x14ac:dyDescent="0.3">
      <c r="G2509"/>
    </row>
    <row r="2510" spans="7:7" x14ac:dyDescent="0.3">
      <c r="G2510"/>
    </row>
    <row r="2511" spans="7:7" x14ac:dyDescent="0.3">
      <c r="G2511"/>
    </row>
    <row r="2512" spans="7:7" x14ac:dyDescent="0.3">
      <c r="G2512"/>
    </row>
    <row r="2513" spans="7:7" x14ac:dyDescent="0.3">
      <c r="G2513"/>
    </row>
    <row r="2514" spans="7:7" x14ac:dyDescent="0.3">
      <c r="G2514"/>
    </row>
    <row r="2515" spans="7:7" x14ac:dyDescent="0.3">
      <c r="G2515"/>
    </row>
    <row r="2516" spans="7:7" x14ac:dyDescent="0.3">
      <c r="G2516"/>
    </row>
    <row r="2517" spans="7:7" x14ac:dyDescent="0.3">
      <c r="G2517"/>
    </row>
    <row r="2518" spans="7:7" x14ac:dyDescent="0.3">
      <c r="G2518"/>
    </row>
    <row r="2519" spans="7:7" x14ac:dyDescent="0.3">
      <c r="G2519"/>
    </row>
    <row r="2520" spans="7:7" x14ac:dyDescent="0.3">
      <c r="G2520"/>
    </row>
    <row r="2521" spans="7:7" x14ac:dyDescent="0.3">
      <c r="G2521"/>
    </row>
    <row r="2522" spans="7:7" x14ac:dyDescent="0.3">
      <c r="G2522"/>
    </row>
    <row r="2523" spans="7:7" x14ac:dyDescent="0.3">
      <c r="G2523"/>
    </row>
    <row r="2524" spans="7:7" x14ac:dyDescent="0.3">
      <c r="G2524"/>
    </row>
    <row r="2525" spans="7:7" x14ac:dyDescent="0.3">
      <c r="G2525"/>
    </row>
    <row r="2526" spans="7:7" x14ac:dyDescent="0.3">
      <c r="G2526"/>
    </row>
    <row r="2527" spans="7:7" x14ac:dyDescent="0.3">
      <c r="G2527"/>
    </row>
    <row r="2528" spans="7:7" x14ac:dyDescent="0.3">
      <c r="G2528"/>
    </row>
    <row r="2529" spans="7:7" x14ac:dyDescent="0.3">
      <c r="G2529"/>
    </row>
    <row r="2530" spans="7:7" x14ac:dyDescent="0.3">
      <c r="G2530"/>
    </row>
    <row r="2531" spans="7:7" x14ac:dyDescent="0.3">
      <c r="G2531"/>
    </row>
    <row r="2532" spans="7:7" x14ac:dyDescent="0.3">
      <c r="G2532"/>
    </row>
    <row r="2533" spans="7:7" x14ac:dyDescent="0.3">
      <c r="G2533"/>
    </row>
    <row r="2534" spans="7:7" x14ac:dyDescent="0.3">
      <c r="G2534"/>
    </row>
    <row r="2535" spans="7:7" x14ac:dyDescent="0.3">
      <c r="G2535"/>
    </row>
    <row r="2536" spans="7:7" x14ac:dyDescent="0.3">
      <c r="G2536"/>
    </row>
    <row r="2537" spans="7:7" x14ac:dyDescent="0.3">
      <c r="G2537"/>
    </row>
    <row r="2538" spans="7:7" x14ac:dyDescent="0.3">
      <c r="G2538"/>
    </row>
    <row r="2539" spans="7:7" x14ac:dyDescent="0.3">
      <c r="G2539"/>
    </row>
    <row r="2540" spans="7:7" x14ac:dyDescent="0.3">
      <c r="G2540"/>
    </row>
    <row r="2541" spans="7:7" x14ac:dyDescent="0.3">
      <c r="G2541"/>
    </row>
    <row r="2542" spans="7:7" x14ac:dyDescent="0.3">
      <c r="G2542"/>
    </row>
    <row r="2543" spans="7:7" x14ac:dyDescent="0.3">
      <c r="G2543"/>
    </row>
    <row r="2544" spans="7:7" x14ac:dyDescent="0.3">
      <c r="G2544"/>
    </row>
    <row r="2545" spans="7:7" x14ac:dyDescent="0.3">
      <c r="G2545"/>
    </row>
    <row r="2546" spans="7:7" x14ac:dyDescent="0.3">
      <c r="G2546"/>
    </row>
    <row r="2547" spans="7:7" x14ac:dyDescent="0.3">
      <c r="G2547"/>
    </row>
    <row r="2548" spans="7:7" x14ac:dyDescent="0.3">
      <c r="G2548"/>
    </row>
    <row r="2549" spans="7:7" x14ac:dyDescent="0.3">
      <c r="G2549"/>
    </row>
    <row r="2550" spans="7:7" x14ac:dyDescent="0.3">
      <c r="G2550"/>
    </row>
    <row r="2551" spans="7:7" x14ac:dyDescent="0.3">
      <c r="G2551"/>
    </row>
    <row r="2552" spans="7:7" x14ac:dyDescent="0.3">
      <c r="G2552"/>
    </row>
    <row r="2553" spans="7:7" x14ac:dyDescent="0.3">
      <c r="G2553"/>
    </row>
    <row r="2554" spans="7:7" x14ac:dyDescent="0.3">
      <c r="G2554"/>
    </row>
    <row r="2555" spans="7:7" x14ac:dyDescent="0.3">
      <c r="G2555"/>
    </row>
    <row r="2556" spans="7:7" x14ac:dyDescent="0.3">
      <c r="G2556"/>
    </row>
    <row r="2557" spans="7:7" x14ac:dyDescent="0.3">
      <c r="G2557"/>
    </row>
    <row r="2558" spans="7:7" x14ac:dyDescent="0.3">
      <c r="G2558"/>
    </row>
    <row r="2559" spans="7:7" x14ac:dyDescent="0.3">
      <c r="G2559"/>
    </row>
    <row r="2560" spans="7:7" x14ac:dyDescent="0.3">
      <c r="G2560"/>
    </row>
    <row r="2561" spans="7:7" x14ac:dyDescent="0.3">
      <c r="G2561"/>
    </row>
    <row r="2562" spans="7:7" x14ac:dyDescent="0.3">
      <c r="G2562"/>
    </row>
    <row r="2563" spans="7:7" x14ac:dyDescent="0.3">
      <c r="G2563"/>
    </row>
    <row r="2564" spans="7:7" x14ac:dyDescent="0.3">
      <c r="G2564"/>
    </row>
    <row r="2565" spans="7:7" x14ac:dyDescent="0.3">
      <c r="G2565"/>
    </row>
    <row r="2566" spans="7:7" x14ac:dyDescent="0.3">
      <c r="G2566"/>
    </row>
    <row r="2567" spans="7:7" x14ac:dyDescent="0.3">
      <c r="G2567"/>
    </row>
    <row r="2568" spans="7:7" x14ac:dyDescent="0.3">
      <c r="G2568"/>
    </row>
    <row r="2569" spans="7:7" x14ac:dyDescent="0.3">
      <c r="G2569"/>
    </row>
    <row r="2570" spans="7:7" x14ac:dyDescent="0.3">
      <c r="G2570"/>
    </row>
    <row r="2571" spans="7:7" x14ac:dyDescent="0.3">
      <c r="G2571"/>
    </row>
    <row r="2572" spans="7:7" x14ac:dyDescent="0.3">
      <c r="G2572"/>
    </row>
    <row r="2573" spans="7:7" x14ac:dyDescent="0.3">
      <c r="G2573"/>
    </row>
    <row r="2574" spans="7:7" x14ac:dyDescent="0.3">
      <c r="G2574"/>
    </row>
    <row r="2575" spans="7:7" x14ac:dyDescent="0.3">
      <c r="G2575"/>
    </row>
    <row r="2576" spans="7:7" x14ac:dyDescent="0.3">
      <c r="G2576"/>
    </row>
    <row r="2577" spans="7:7" x14ac:dyDescent="0.3">
      <c r="G2577"/>
    </row>
    <row r="2578" spans="7:7" x14ac:dyDescent="0.3">
      <c r="G2578"/>
    </row>
    <row r="2579" spans="7:7" x14ac:dyDescent="0.3">
      <c r="G2579"/>
    </row>
    <row r="2580" spans="7:7" x14ac:dyDescent="0.3">
      <c r="G2580"/>
    </row>
    <row r="2581" spans="7:7" x14ac:dyDescent="0.3">
      <c r="G2581"/>
    </row>
    <row r="2582" spans="7:7" x14ac:dyDescent="0.3">
      <c r="G2582"/>
    </row>
    <row r="2583" spans="7:7" x14ac:dyDescent="0.3">
      <c r="G2583"/>
    </row>
    <row r="2584" spans="7:7" x14ac:dyDescent="0.3">
      <c r="G2584"/>
    </row>
    <row r="2585" spans="7:7" x14ac:dyDescent="0.3">
      <c r="G2585"/>
    </row>
    <row r="2586" spans="7:7" x14ac:dyDescent="0.3">
      <c r="G2586"/>
    </row>
    <row r="2587" spans="7:7" x14ac:dyDescent="0.3">
      <c r="G2587"/>
    </row>
    <row r="2588" spans="7:7" x14ac:dyDescent="0.3">
      <c r="G2588"/>
    </row>
    <row r="2589" spans="7:7" x14ac:dyDescent="0.3">
      <c r="G2589"/>
    </row>
    <row r="2590" spans="7:7" x14ac:dyDescent="0.3">
      <c r="G2590"/>
    </row>
    <row r="2591" spans="7:7" x14ac:dyDescent="0.3">
      <c r="G2591"/>
    </row>
    <row r="2592" spans="7:7" x14ac:dyDescent="0.3">
      <c r="G2592"/>
    </row>
    <row r="2593" spans="7:7" x14ac:dyDescent="0.3">
      <c r="G2593"/>
    </row>
    <row r="2594" spans="7:7" x14ac:dyDescent="0.3">
      <c r="G2594"/>
    </row>
    <row r="2595" spans="7:7" x14ac:dyDescent="0.3">
      <c r="G2595"/>
    </row>
    <row r="2596" spans="7:7" x14ac:dyDescent="0.3">
      <c r="G2596"/>
    </row>
    <row r="2597" spans="7:7" x14ac:dyDescent="0.3">
      <c r="G2597"/>
    </row>
    <row r="2598" spans="7:7" x14ac:dyDescent="0.3">
      <c r="G2598"/>
    </row>
    <row r="2599" spans="7:7" x14ac:dyDescent="0.3">
      <c r="G2599"/>
    </row>
    <row r="2600" spans="7:7" x14ac:dyDescent="0.3">
      <c r="G2600"/>
    </row>
    <row r="2601" spans="7:7" x14ac:dyDescent="0.3">
      <c r="G2601"/>
    </row>
    <row r="2602" spans="7:7" x14ac:dyDescent="0.3">
      <c r="G2602"/>
    </row>
    <row r="2603" spans="7:7" x14ac:dyDescent="0.3">
      <c r="G2603"/>
    </row>
    <row r="2604" spans="7:7" x14ac:dyDescent="0.3">
      <c r="G2604"/>
    </row>
    <row r="2605" spans="7:7" x14ac:dyDescent="0.3">
      <c r="G2605"/>
    </row>
    <row r="2606" spans="7:7" x14ac:dyDescent="0.3">
      <c r="G2606"/>
    </row>
    <row r="2607" spans="7:7" x14ac:dyDescent="0.3">
      <c r="G2607"/>
    </row>
    <row r="2608" spans="7:7" x14ac:dyDescent="0.3">
      <c r="G2608"/>
    </row>
    <row r="2609" spans="7:7" x14ac:dyDescent="0.3">
      <c r="G2609"/>
    </row>
    <row r="2610" spans="7:7" x14ac:dyDescent="0.3">
      <c r="G2610"/>
    </row>
    <row r="2611" spans="7:7" x14ac:dyDescent="0.3">
      <c r="G2611"/>
    </row>
    <row r="2612" spans="7:7" x14ac:dyDescent="0.3">
      <c r="G2612"/>
    </row>
    <row r="2613" spans="7:7" x14ac:dyDescent="0.3">
      <c r="G2613"/>
    </row>
    <row r="2614" spans="7:7" x14ac:dyDescent="0.3">
      <c r="G2614"/>
    </row>
    <row r="2615" spans="7:7" x14ac:dyDescent="0.3">
      <c r="G2615"/>
    </row>
    <row r="2616" spans="7:7" x14ac:dyDescent="0.3">
      <c r="G2616"/>
    </row>
    <row r="2617" spans="7:7" x14ac:dyDescent="0.3">
      <c r="G2617"/>
    </row>
    <row r="2618" spans="7:7" x14ac:dyDescent="0.3">
      <c r="G2618"/>
    </row>
    <row r="2619" spans="7:7" x14ac:dyDescent="0.3">
      <c r="G2619"/>
    </row>
    <row r="2620" spans="7:7" x14ac:dyDescent="0.3">
      <c r="G2620"/>
    </row>
    <row r="2621" spans="7:7" x14ac:dyDescent="0.3">
      <c r="G2621"/>
    </row>
    <row r="2622" spans="7:7" x14ac:dyDescent="0.3">
      <c r="G2622"/>
    </row>
    <row r="2623" spans="7:7" x14ac:dyDescent="0.3">
      <c r="G2623"/>
    </row>
    <row r="2624" spans="7:7" x14ac:dyDescent="0.3">
      <c r="G2624"/>
    </row>
    <row r="2625" spans="7:7" x14ac:dyDescent="0.3">
      <c r="G2625"/>
    </row>
    <row r="2626" spans="7:7" x14ac:dyDescent="0.3">
      <c r="G2626"/>
    </row>
    <row r="2627" spans="7:7" x14ac:dyDescent="0.3">
      <c r="G2627"/>
    </row>
    <row r="2628" spans="7:7" x14ac:dyDescent="0.3">
      <c r="G2628"/>
    </row>
    <row r="2629" spans="7:7" x14ac:dyDescent="0.3">
      <c r="G2629"/>
    </row>
    <row r="2630" spans="7:7" x14ac:dyDescent="0.3">
      <c r="G2630"/>
    </row>
    <row r="2631" spans="7:7" x14ac:dyDescent="0.3">
      <c r="G2631"/>
    </row>
    <row r="2632" spans="7:7" x14ac:dyDescent="0.3">
      <c r="G2632"/>
    </row>
    <row r="2633" spans="7:7" x14ac:dyDescent="0.3">
      <c r="G2633"/>
    </row>
    <row r="2634" spans="7:7" x14ac:dyDescent="0.3">
      <c r="G2634"/>
    </row>
    <row r="2635" spans="7:7" x14ac:dyDescent="0.3">
      <c r="G2635"/>
    </row>
    <row r="2636" spans="7:7" x14ac:dyDescent="0.3">
      <c r="G2636"/>
    </row>
    <row r="2637" spans="7:7" x14ac:dyDescent="0.3">
      <c r="G2637"/>
    </row>
    <row r="2638" spans="7:7" x14ac:dyDescent="0.3">
      <c r="G2638"/>
    </row>
    <row r="2639" spans="7:7" x14ac:dyDescent="0.3">
      <c r="G2639"/>
    </row>
    <row r="2640" spans="7:7" x14ac:dyDescent="0.3">
      <c r="G2640"/>
    </row>
    <row r="2641" spans="7:7" x14ac:dyDescent="0.3">
      <c r="G2641"/>
    </row>
    <row r="2642" spans="7:7" x14ac:dyDescent="0.3">
      <c r="G2642"/>
    </row>
    <row r="2643" spans="7:7" x14ac:dyDescent="0.3">
      <c r="G2643"/>
    </row>
    <row r="2644" spans="7:7" x14ac:dyDescent="0.3">
      <c r="G2644"/>
    </row>
    <row r="2645" spans="7:7" x14ac:dyDescent="0.3">
      <c r="G2645"/>
    </row>
    <row r="2646" spans="7:7" x14ac:dyDescent="0.3">
      <c r="G2646"/>
    </row>
    <row r="2647" spans="7:7" x14ac:dyDescent="0.3">
      <c r="G2647"/>
    </row>
    <row r="2648" spans="7:7" x14ac:dyDescent="0.3">
      <c r="G2648"/>
    </row>
    <row r="2649" spans="7:7" x14ac:dyDescent="0.3">
      <c r="G2649"/>
    </row>
    <row r="2650" spans="7:7" x14ac:dyDescent="0.3">
      <c r="G2650"/>
    </row>
    <row r="2651" spans="7:7" x14ac:dyDescent="0.3">
      <c r="G2651"/>
    </row>
    <row r="2652" spans="7:7" x14ac:dyDescent="0.3">
      <c r="G2652"/>
    </row>
    <row r="2653" spans="7:7" x14ac:dyDescent="0.3">
      <c r="G2653"/>
    </row>
    <row r="2654" spans="7:7" x14ac:dyDescent="0.3">
      <c r="G2654"/>
    </row>
    <row r="2655" spans="7:7" x14ac:dyDescent="0.3">
      <c r="G2655"/>
    </row>
    <row r="2656" spans="7:7" x14ac:dyDescent="0.3">
      <c r="G2656"/>
    </row>
    <row r="2657" spans="7:7" x14ac:dyDescent="0.3">
      <c r="G2657"/>
    </row>
    <row r="2658" spans="7:7" x14ac:dyDescent="0.3">
      <c r="G2658"/>
    </row>
    <row r="2659" spans="7:7" x14ac:dyDescent="0.3">
      <c r="G2659"/>
    </row>
    <row r="2660" spans="7:7" x14ac:dyDescent="0.3">
      <c r="G2660"/>
    </row>
    <row r="2661" spans="7:7" x14ac:dyDescent="0.3">
      <c r="G2661"/>
    </row>
    <row r="2662" spans="7:7" x14ac:dyDescent="0.3">
      <c r="G2662"/>
    </row>
    <row r="2663" spans="7:7" x14ac:dyDescent="0.3">
      <c r="G2663"/>
    </row>
    <row r="2664" spans="7:7" x14ac:dyDescent="0.3">
      <c r="G2664"/>
    </row>
    <row r="2665" spans="7:7" x14ac:dyDescent="0.3">
      <c r="G2665"/>
    </row>
    <row r="2666" spans="7:7" x14ac:dyDescent="0.3">
      <c r="G2666"/>
    </row>
    <row r="2667" spans="7:7" x14ac:dyDescent="0.3">
      <c r="G2667"/>
    </row>
    <row r="2668" spans="7:7" x14ac:dyDescent="0.3">
      <c r="G2668"/>
    </row>
    <row r="2669" spans="7:7" x14ac:dyDescent="0.3">
      <c r="G2669"/>
    </row>
    <row r="2670" spans="7:7" x14ac:dyDescent="0.3">
      <c r="G2670"/>
    </row>
    <row r="2671" spans="7:7" x14ac:dyDescent="0.3">
      <c r="G2671"/>
    </row>
    <row r="2672" spans="7:7" x14ac:dyDescent="0.3">
      <c r="G2672"/>
    </row>
    <row r="2673" spans="7:7" x14ac:dyDescent="0.3">
      <c r="G2673"/>
    </row>
    <row r="2674" spans="7:7" x14ac:dyDescent="0.3">
      <c r="G2674"/>
    </row>
    <row r="2675" spans="7:7" x14ac:dyDescent="0.3">
      <c r="G2675"/>
    </row>
    <row r="2676" spans="7:7" x14ac:dyDescent="0.3">
      <c r="G2676"/>
    </row>
    <row r="2677" spans="7:7" x14ac:dyDescent="0.3">
      <c r="G2677"/>
    </row>
    <row r="2678" spans="7:7" x14ac:dyDescent="0.3">
      <c r="G2678"/>
    </row>
    <row r="2679" spans="7:7" x14ac:dyDescent="0.3">
      <c r="G2679"/>
    </row>
    <row r="2680" spans="7:7" x14ac:dyDescent="0.3">
      <c r="G2680"/>
    </row>
    <row r="2681" spans="7:7" x14ac:dyDescent="0.3">
      <c r="G2681"/>
    </row>
    <row r="2682" spans="7:7" x14ac:dyDescent="0.3">
      <c r="G2682"/>
    </row>
    <row r="2683" spans="7:7" x14ac:dyDescent="0.3">
      <c r="G2683"/>
    </row>
    <row r="2684" spans="7:7" x14ac:dyDescent="0.3">
      <c r="G2684"/>
    </row>
    <row r="2685" spans="7:7" x14ac:dyDescent="0.3">
      <c r="G2685"/>
    </row>
    <row r="2686" spans="7:7" x14ac:dyDescent="0.3">
      <c r="G2686"/>
    </row>
    <row r="2687" spans="7:7" x14ac:dyDescent="0.3">
      <c r="G2687"/>
    </row>
    <row r="2688" spans="7:7" x14ac:dyDescent="0.3">
      <c r="G2688"/>
    </row>
    <row r="2689" spans="7:7" x14ac:dyDescent="0.3">
      <c r="G2689"/>
    </row>
    <row r="2690" spans="7:7" x14ac:dyDescent="0.3">
      <c r="G2690"/>
    </row>
    <row r="2691" spans="7:7" x14ac:dyDescent="0.3">
      <c r="G2691"/>
    </row>
    <row r="2692" spans="7:7" x14ac:dyDescent="0.3">
      <c r="G2692"/>
    </row>
    <row r="2693" spans="7:7" x14ac:dyDescent="0.3">
      <c r="G2693"/>
    </row>
    <row r="2694" spans="7:7" x14ac:dyDescent="0.3">
      <c r="G2694"/>
    </row>
    <row r="2695" spans="7:7" x14ac:dyDescent="0.3">
      <c r="G2695"/>
    </row>
    <row r="2696" spans="7:7" x14ac:dyDescent="0.3">
      <c r="G2696"/>
    </row>
    <row r="2697" spans="7:7" x14ac:dyDescent="0.3">
      <c r="G2697"/>
    </row>
    <row r="2698" spans="7:7" x14ac:dyDescent="0.3">
      <c r="G2698"/>
    </row>
    <row r="2699" spans="7:7" x14ac:dyDescent="0.3">
      <c r="G2699"/>
    </row>
    <row r="2700" spans="7:7" x14ac:dyDescent="0.3">
      <c r="G2700"/>
    </row>
    <row r="2701" spans="7:7" x14ac:dyDescent="0.3">
      <c r="G2701"/>
    </row>
    <row r="2702" spans="7:7" x14ac:dyDescent="0.3">
      <c r="G2702"/>
    </row>
    <row r="2703" spans="7:7" x14ac:dyDescent="0.3">
      <c r="G2703"/>
    </row>
    <row r="2704" spans="7:7" x14ac:dyDescent="0.3">
      <c r="G2704"/>
    </row>
    <row r="2705" spans="7:7" x14ac:dyDescent="0.3">
      <c r="G2705"/>
    </row>
    <row r="2706" spans="7:7" x14ac:dyDescent="0.3">
      <c r="G2706"/>
    </row>
    <row r="2707" spans="7:7" x14ac:dyDescent="0.3">
      <c r="G2707"/>
    </row>
    <row r="2708" spans="7:7" x14ac:dyDescent="0.3">
      <c r="G2708"/>
    </row>
    <row r="2709" spans="7:7" x14ac:dyDescent="0.3">
      <c r="G2709"/>
    </row>
    <row r="2710" spans="7:7" x14ac:dyDescent="0.3">
      <c r="G2710"/>
    </row>
    <row r="2711" spans="7:7" x14ac:dyDescent="0.3">
      <c r="G2711"/>
    </row>
    <row r="2712" spans="7:7" x14ac:dyDescent="0.3">
      <c r="G2712"/>
    </row>
    <row r="2713" spans="7:7" x14ac:dyDescent="0.3">
      <c r="G2713"/>
    </row>
    <row r="2714" spans="7:7" x14ac:dyDescent="0.3">
      <c r="G2714"/>
    </row>
    <row r="2715" spans="7:7" x14ac:dyDescent="0.3">
      <c r="G2715"/>
    </row>
    <row r="2716" spans="7:7" x14ac:dyDescent="0.3">
      <c r="G2716"/>
    </row>
    <row r="2717" spans="7:7" x14ac:dyDescent="0.3">
      <c r="G2717"/>
    </row>
    <row r="2718" spans="7:7" x14ac:dyDescent="0.3">
      <c r="G2718"/>
    </row>
    <row r="2719" spans="7:7" x14ac:dyDescent="0.3">
      <c r="G2719"/>
    </row>
    <row r="2720" spans="7:7" x14ac:dyDescent="0.3">
      <c r="G2720"/>
    </row>
    <row r="2721" spans="7:7" x14ac:dyDescent="0.3">
      <c r="G2721"/>
    </row>
    <row r="2722" spans="7:7" x14ac:dyDescent="0.3">
      <c r="G2722"/>
    </row>
    <row r="2723" spans="7:7" x14ac:dyDescent="0.3">
      <c r="G2723"/>
    </row>
    <row r="2724" spans="7:7" x14ac:dyDescent="0.3">
      <c r="G2724"/>
    </row>
    <row r="2725" spans="7:7" x14ac:dyDescent="0.3">
      <c r="G2725"/>
    </row>
    <row r="2726" spans="7:7" x14ac:dyDescent="0.3">
      <c r="G2726"/>
    </row>
    <row r="2727" spans="7:7" x14ac:dyDescent="0.3">
      <c r="G2727"/>
    </row>
    <row r="2728" spans="7:7" x14ac:dyDescent="0.3">
      <c r="G2728"/>
    </row>
    <row r="2729" spans="7:7" x14ac:dyDescent="0.3">
      <c r="G2729"/>
    </row>
    <row r="2730" spans="7:7" x14ac:dyDescent="0.3">
      <c r="G2730"/>
    </row>
    <row r="2731" spans="7:7" x14ac:dyDescent="0.3">
      <c r="G2731"/>
    </row>
    <row r="2732" spans="7:7" x14ac:dyDescent="0.3">
      <c r="G2732"/>
    </row>
    <row r="2733" spans="7:7" x14ac:dyDescent="0.3">
      <c r="G2733"/>
    </row>
    <row r="2734" spans="7:7" x14ac:dyDescent="0.3">
      <c r="G2734"/>
    </row>
    <row r="2735" spans="7:7" x14ac:dyDescent="0.3">
      <c r="G2735"/>
    </row>
    <row r="2736" spans="7:7" x14ac:dyDescent="0.3">
      <c r="G2736"/>
    </row>
    <row r="2737" spans="7:7" x14ac:dyDescent="0.3">
      <c r="G2737"/>
    </row>
    <row r="2738" spans="7:7" x14ac:dyDescent="0.3">
      <c r="G2738"/>
    </row>
    <row r="2739" spans="7:7" x14ac:dyDescent="0.3">
      <c r="G2739"/>
    </row>
    <row r="2740" spans="7:7" x14ac:dyDescent="0.3">
      <c r="G2740"/>
    </row>
    <row r="2741" spans="7:7" x14ac:dyDescent="0.3">
      <c r="G2741"/>
    </row>
    <row r="2742" spans="7:7" x14ac:dyDescent="0.3">
      <c r="G2742"/>
    </row>
    <row r="2743" spans="7:7" x14ac:dyDescent="0.3">
      <c r="G2743"/>
    </row>
    <row r="2744" spans="7:7" x14ac:dyDescent="0.3">
      <c r="G2744"/>
    </row>
    <row r="2745" spans="7:7" x14ac:dyDescent="0.3">
      <c r="G2745"/>
    </row>
    <row r="2746" spans="7:7" x14ac:dyDescent="0.3">
      <c r="G2746"/>
    </row>
    <row r="2747" spans="7:7" x14ac:dyDescent="0.3">
      <c r="G2747"/>
    </row>
    <row r="2748" spans="7:7" x14ac:dyDescent="0.3">
      <c r="G2748"/>
    </row>
    <row r="2749" spans="7:7" x14ac:dyDescent="0.3">
      <c r="G2749"/>
    </row>
    <row r="2750" spans="7:7" x14ac:dyDescent="0.3">
      <c r="G2750"/>
    </row>
    <row r="2751" spans="7:7" x14ac:dyDescent="0.3">
      <c r="G2751"/>
    </row>
    <row r="2752" spans="7:7" x14ac:dyDescent="0.3">
      <c r="G2752"/>
    </row>
    <row r="2753" spans="7:7" x14ac:dyDescent="0.3">
      <c r="G2753"/>
    </row>
    <row r="2754" spans="7:7" x14ac:dyDescent="0.3">
      <c r="G2754"/>
    </row>
    <row r="2755" spans="7:7" x14ac:dyDescent="0.3">
      <c r="G2755"/>
    </row>
    <row r="2756" spans="7:7" x14ac:dyDescent="0.3">
      <c r="G2756"/>
    </row>
    <row r="2757" spans="7:7" x14ac:dyDescent="0.3">
      <c r="G2757"/>
    </row>
    <row r="2758" spans="7:7" x14ac:dyDescent="0.3">
      <c r="G2758"/>
    </row>
    <row r="2759" spans="7:7" x14ac:dyDescent="0.3">
      <c r="G2759"/>
    </row>
    <row r="2760" spans="7:7" x14ac:dyDescent="0.3">
      <c r="G2760"/>
    </row>
    <row r="2761" spans="7:7" x14ac:dyDescent="0.3">
      <c r="G2761"/>
    </row>
    <row r="2762" spans="7:7" x14ac:dyDescent="0.3">
      <c r="G2762"/>
    </row>
    <row r="2763" spans="7:7" x14ac:dyDescent="0.3">
      <c r="G2763"/>
    </row>
    <row r="2764" spans="7:7" x14ac:dyDescent="0.3">
      <c r="G2764"/>
    </row>
    <row r="2765" spans="7:7" x14ac:dyDescent="0.3">
      <c r="G2765"/>
    </row>
    <row r="2766" spans="7:7" x14ac:dyDescent="0.3">
      <c r="G2766"/>
    </row>
    <row r="2767" spans="7:7" x14ac:dyDescent="0.3">
      <c r="G2767"/>
    </row>
    <row r="2768" spans="7:7" x14ac:dyDescent="0.3">
      <c r="G2768"/>
    </row>
    <row r="2769" spans="7:7" x14ac:dyDescent="0.3">
      <c r="G2769"/>
    </row>
    <row r="2770" spans="7:7" x14ac:dyDescent="0.3">
      <c r="G2770"/>
    </row>
    <row r="2771" spans="7:7" x14ac:dyDescent="0.3">
      <c r="G2771"/>
    </row>
    <row r="2772" spans="7:7" x14ac:dyDescent="0.3">
      <c r="G2772"/>
    </row>
    <row r="2773" spans="7:7" x14ac:dyDescent="0.3">
      <c r="G2773"/>
    </row>
    <row r="2774" spans="7:7" x14ac:dyDescent="0.3">
      <c r="G2774"/>
    </row>
    <row r="2775" spans="7:7" x14ac:dyDescent="0.3">
      <c r="G2775"/>
    </row>
    <row r="2776" spans="7:7" x14ac:dyDescent="0.3">
      <c r="G2776"/>
    </row>
    <row r="2777" spans="7:7" x14ac:dyDescent="0.3">
      <c r="G2777"/>
    </row>
    <row r="2778" spans="7:7" x14ac:dyDescent="0.3">
      <c r="G2778"/>
    </row>
    <row r="2779" spans="7:7" x14ac:dyDescent="0.3">
      <c r="G2779"/>
    </row>
    <row r="2780" spans="7:7" x14ac:dyDescent="0.3">
      <c r="G2780"/>
    </row>
    <row r="2781" spans="7:7" x14ac:dyDescent="0.3">
      <c r="G2781"/>
    </row>
    <row r="2782" spans="7:7" x14ac:dyDescent="0.3">
      <c r="G2782"/>
    </row>
    <row r="2783" spans="7:7" x14ac:dyDescent="0.3">
      <c r="G2783"/>
    </row>
    <row r="2784" spans="7:7" x14ac:dyDescent="0.3">
      <c r="G2784"/>
    </row>
    <row r="2785" spans="7:7" x14ac:dyDescent="0.3">
      <c r="G2785"/>
    </row>
    <row r="2786" spans="7:7" x14ac:dyDescent="0.3">
      <c r="G2786"/>
    </row>
    <row r="2787" spans="7:7" x14ac:dyDescent="0.3">
      <c r="G2787"/>
    </row>
    <row r="2788" spans="7:7" x14ac:dyDescent="0.3">
      <c r="G2788"/>
    </row>
    <row r="2789" spans="7:7" x14ac:dyDescent="0.3">
      <c r="G2789"/>
    </row>
    <row r="2790" spans="7:7" x14ac:dyDescent="0.3">
      <c r="G2790"/>
    </row>
    <row r="2791" spans="7:7" x14ac:dyDescent="0.3">
      <c r="G2791"/>
    </row>
    <row r="2792" spans="7:7" x14ac:dyDescent="0.3">
      <c r="G2792"/>
    </row>
    <row r="2793" spans="7:7" x14ac:dyDescent="0.3">
      <c r="G2793"/>
    </row>
    <row r="2794" spans="7:7" x14ac:dyDescent="0.3">
      <c r="G2794"/>
    </row>
    <row r="2795" spans="7:7" x14ac:dyDescent="0.3">
      <c r="G2795"/>
    </row>
    <row r="2796" spans="7:7" x14ac:dyDescent="0.3">
      <c r="G2796"/>
    </row>
    <row r="2797" spans="7:7" x14ac:dyDescent="0.3">
      <c r="G2797"/>
    </row>
    <row r="2798" spans="7:7" x14ac:dyDescent="0.3">
      <c r="G2798"/>
    </row>
    <row r="2799" spans="7:7" x14ac:dyDescent="0.3">
      <c r="G2799"/>
    </row>
    <row r="2800" spans="7:7" x14ac:dyDescent="0.3">
      <c r="G2800"/>
    </row>
    <row r="2801" spans="7:7" x14ac:dyDescent="0.3">
      <c r="G2801"/>
    </row>
    <row r="2802" spans="7:7" x14ac:dyDescent="0.3">
      <c r="G2802"/>
    </row>
    <row r="2803" spans="7:7" x14ac:dyDescent="0.3">
      <c r="G2803"/>
    </row>
    <row r="2804" spans="7:7" x14ac:dyDescent="0.3">
      <c r="G2804"/>
    </row>
    <row r="2805" spans="7:7" x14ac:dyDescent="0.3">
      <c r="G2805"/>
    </row>
    <row r="2806" spans="7:7" x14ac:dyDescent="0.3">
      <c r="G2806"/>
    </row>
    <row r="2807" spans="7:7" x14ac:dyDescent="0.3">
      <c r="G2807"/>
    </row>
    <row r="2808" spans="7:7" x14ac:dyDescent="0.3">
      <c r="G2808"/>
    </row>
    <row r="2809" spans="7:7" x14ac:dyDescent="0.3">
      <c r="G2809"/>
    </row>
    <row r="2810" spans="7:7" x14ac:dyDescent="0.3">
      <c r="G2810"/>
    </row>
    <row r="2811" spans="7:7" x14ac:dyDescent="0.3">
      <c r="G2811"/>
    </row>
    <row r="2812" spans="7:7" x14ac:dyDescent="0.3">
      <c r="G2812"/>
    </row>
    <row r="2813" spans="7:7" x14ac:dyDescent="0.3">
      <c r="G2813"/>
    </row>
    <row r="2814" spans="7:7" x14ac:dyDescent="0.3">
      <c r="G2814"/>
    </row>
    <row r="2815" spans="7:7" x14ac:dyDescent="0.3">
      <c r="G2815"/>
    </row>
    <row r="2816" spans="7:7" x14ac:dyDescent="0.3">
      <c r="G2816"/>
    </row>
    <row r="2817" spans="7:7" x14ac:dyDescent="0.3">
      <c r="G2817"/>
    </row>
    <row r="2818" spans="7:7" x14ac:dyDescent="0.3">
      <c r="G2818"/>
    </row>
    <row r="2819" spans="7:7" x14ac:dyDescent="0.3">
      <c r="G2819"/>
    </row>
    <row r="2820" spans="7:7" x14ac:dyDescent="0.3">
      <c r="G2820"/>
    </row>
    <row r="2821" spans="7:7" x14ac:dyDescent="0.3">
      <c r="G2821"/>
    </row>
    <row r="2822" spans="7:7" x14ac:dyDescent="0.3">
      <c r="G2822"/>
    </row>
    <row r="2823" spans="7:7" x14ac:dyDescent="0.3">
      <c r="G2823"/>
    </row>
    <row r="2824" spans="7:7" x14ac:dyDescent="0.3">
      <c r="G2824"/>
    </row>
    <row r="2825" spans="7:7" x14ac:dyDescent="0.3">
      <c r="G2825"/>
    </row>
    <row r="2826" spans="7:7" x14ac:dyDescent="0.3">
      <c r="G2826"/>
    </row>
    <row r="2827" spans="7:7" x14ac:dyDescent="0.3">
      <c r="G2827"/>
    </row>
    <row r="2828" spans="7:7" x14ac:dyDescent="0.3">
      <c r="G2828"/>
    </row>
    <row r="2829" spans="7:7" x14ac:dyDescent="0.3">
      <c r="G2829"/>
    </row>
    <row r="2830" spans="7:7" x14ac:dyDescent="0.3">
      <c r="G2830"/>
    </row>
    <row r="2831" spans="7:7" x14ac:dyDescent="0.3">
      <c r="G2831"/>
    </row>
    <row r="2832" spans="7:7" x14ac:dyDescent="0.3">
      <c r="G2832"/>
    </row>
    <row r="2833" spans="7:7" x14ac:dyDescent="0.3">
      <c r="G2833"/>
    </row>
    <row r="2834" spans="7:7" x14ac:dyDescent="0.3">
      <c r="G2834"/>
    </row>
    <row r="2835" spans="7:7" x14ac:dyDescent="0.3">
      <c r="G2835"/>
    </row>
    <row r="2836" spans="7:7" x14ac:dyDescent="0.3">
      <c r="G2836"/>
    </row>
    <row r="2837" spans="7:7" x14ac:dyDescent="0.3">
      <c r="G2837"/>
    </row>
    <row r="2838" spans="7:7" x14ac:dyDescent="0.3">
      <c r="G2838"/>
    </row>
    <row r="2839" spans="7:7" x14ac:dyDescent="0.3">
      <c r="G2839"/>
    </row>
    <row r="2840" spans="7:7" x14ac:dyDescent="0.3">
      <c r="G2840"/>
    </row>
    <row r="2841" spans="7:7" x14ac:dyDescent="0.3">
      <c r="G2841"/>
    </row>
    <row r="2842" spans="7:7" x14ac:dyDescent="0.3">
      <c r="G2842"/>
    </row>
    <row r="2843" spans="7:7" x14ac:dyDescent="0.3">
      <c r="G2843"/>
    </row>
    <row r="2844" spans="7:7" x14ac:dyDescent="0.3">
      <c r="G2844"/>
    </row>
    <row r="2845" spans="7:7" x14ac:dyDescent="0.3">
      <c r="G2845"/>
    </row>
    <row r="2846" spans="7:7" x14ac:dyDescent="0.3">
      <c r="G2846"/>
    </row>
    <row r="2847" spans="7:7" x14ac:dyDescent="0.3">
      <c r="G2847"/>
    </row>
    <row r="2848" spans="7:7" x14ac:dyDescent="0.3">
      <c r="G2848"/>
    </row>
    <row r="2849" spans="7:7" x14ac:dyDescent="0.3">
      <c r="G2849"/>
    </row>
    <row r="2850" spans="7:7" x14ac:dyDescent="0.3">
      <c r="G2850"/>
    </row>
    <row r="2851" spans="7:7" x14ac:dyDescent="0.3">
      <c r="G2851"/>
    </row>
    <row r="2852" spans="7:7" x14ac:dyDescent="0.3">
      <c r="G2852"/>
    </row>
    <row r="2853" spans="7:7" x14ac:dyDescent="0.3">
      <c r="G2853"/>
    </row>
    <row r="2854" spans="7:7" x14ac:dyDescent="0.3">
      <c r="G2854"/>
    </row>
    <row r="2855" spans="7:7" x14ac:dyDescent="0.3">
      <c r="G2855"/>
    </row>
    <row r="2856" spans="7:7" x14ac:dyDescent="0.3">
      <c r="G2856"/>
    </row>
    <row r="2857" spans="7:7" x14ac:dyDescent="0.3">
      <c r="G2857"/>
    </row>
    <row r="2858" spans="7:7" x14ac:dyDescent="0.3">
      <c r="G2858"/>
    </row>
    <row r="2859" spans="7:7" x14ac:dyDescent="0.3">
      <c r="G2859"/>
    </row>
    <row r="2860" spans="7:7" x14ac:dyDescent="0.3">
      <c r="G2860"/>
    </row>
    <row r="2861" spans="7:7" x14ac:dyDescent="0.3">
      <c r="G2861"/>
    </row>
    <row r="2862" spans="7:7" x14ac:dyDescent="0.3">
      <c r="G2862"/>
    </row>
    <row r="2863" spans="7:7" x14ac:dyDescent="0.3">
      <c r="G2863"/>
    </row>
    <row r="2864" spans="7:7" x14ac:dyDescent="0.3">
      <c r="G2864"/>
    </row>
    <row r="2865" spans="7:7" x14ac:dyDescent="0.3">
      <c r="G2865"/>
    </row>
    <row r="2866" spans="7:7" x14ac:dyDescent="0.3">
      <c r="G2866"/>
    </row>
    <row r="2867" spans="7:7" x14ac:dyDescent="0.3">
      <c r="G2867"/>
    </row>
    <row r="2868" spans="7:7" x14ac:dyDescent="0.3">
      <c r="G2868"/>
    </row>
    <row r="2869" spans="7:7" x14ac:dyDescent="0.3">
      <c r="G2869"/>
    </row>
    <row r="2870" spans="7:7" x14ac:dyDescent="0.3">
      <c r="G2870"/>
    </row>
    <row r="2871" spans="7:7" x14ac:dyDescent="0.3">
      <c r="G2871"/>
    </row>
    <row r="2872" spans="7:7" x14ac:dyDescent="0.3">
      <c r="G2872"/>
    </row>
    <row r="2873" spans="7:7" x14ac:dyDescent="0.3">
      <c r="G2873"/>
    </row>
    <row r="2874" spans="7:7" x14ac:dyDescent="0.3">
      <c r="G2874"/>
    </row>
    <row r="2875" spans="7:7" x14ac:dyDescent="0.3">
      <c r="G2875"/>
    </row>
    <row r="2876" spans="7:7" x14ac:dyDescent="0.3">
      <c r="G2876"/>
    </row>
    <row r="2877" spans="7:7" x14ac:dyDescent="0.3">
      <c r="G2877"/>
    </row>
    <row r="2878" spans="7:7" x14ac:dyDescent="0.3">
      <c r="G2878"/>
    </row>
    <row r="2879" spans="7:7" x14ac:dyDescent="0.3">
      <c r="G2879"/>
    </row>
    <row r="2880" spans="7:7" x14ac:dyDescent="0.3">
      <c r="G2880"/>
    </row>
    <row r="2881" spans="7:7" x14ac:dyDescent="0.3">
      <c r="G2881"/>
    </row>
    <row r="2882" spans="7:7" x14ac:dyDescent="0.3">
      <c r="G2882"/>
    </row>
    <row r="2883" spans="7:7" x14ac:dyDescent="0.3">
      <c r="G2883"/>
    </row>
    <row r="2884" spans="7:7" x14ac:dyDescent="0.3">
      <c r="G2884"/>
    </row>
    <row r="2885" spans="7:7" x14ac:dyDescent="0.3">
      <c r="G2885"/>
    </row>
    <row r="2886" spans="7:7" x14ac:dyDescent="0.3">
      <c r="G2886"/>
    </row>
    <row r="2887" spans="7:7" x14ac:dyDescent="0.3">
      <c r="G2887"/>
    </row>
    <row r="2888" spans="7:7" x14ac:dyDescent="0.3">
      <c r="G2888"/>
    </row>
    <row r="2889" spans="7:7" x14ac:dyDescent="0.3">
      <c r="G2889"/>
    </row>
    <row r="2890" spans="7:7" x14ac:dyDescent="0.3">
      <c r="G2890"/>
    </row>
    <row r="2891" spans="7:7" x14ac:dyDescent="0.3">
      <c r="G2891"/>
    </row>
    <row r="2892" spans="7:7" x14ac:dyDescent="0.3">
      <c r="G2892"/>
    </row>
    <row r="2893" spans="7:7" x14ac:dyDescent="0.3">
      <c r="G2893"/>
    </row>
    <row r="2894" spans="7:7" x14ac:dyDescent="0.3">
      <c r="G2894"/>
    </row>
    <row r="2895" spans="7:7" x14ac:dyDescent="0.3">
      <c r="G2895"/>
    </row>
    <row r="2896" spans="7:7" x14ac:dyDescent="0.3">
      <c r="G2896"/>
    </row>
    <row r="2897" spans="7:7" x14ac:dyDescent="0.3">
      <c r="G2897"/>
    </row>
    <row r="2898" spans="7:7" x14ac:dyDescent="0.3">
      <c r="G2898"/>
    </row>
    <row r="2899" spans="7:7" x14ac:dyDescent="0.3">
      <c r="G2899"/>
    </row>
    <row r="2900" spans="7:7" x14ac:dyDescent="0.3">
      <c r="G2900"/>
    </row>
    <row r="2901" spans="7:7" x14ac:dyDescent="0.3">
      <c r="G2901"/>
    </row>
    <row r="2902" spans="7:7" x14ac:dyDescent="0.3">
      <c r="G2902"/>
    </row>
    <row r="2903" spans="7:7" x14ac:dyDescent="0.3">
      <c r="G2903"/>
    </row>
    <row r="2904" spans="7:7" x14ac:dyDescent="0.3">
      <c r="G2904"/>
    </row>
    <row r="2905" spans="7:7" x14ac:dyDescent="0.3">
      <c r="G2905"/>
    </row>
    <row r="2906" spans="7:7" x14ac:dyDescent="0.3">
      <c r="G2906"/>
    </row>
    <row r="2907" spans="7:7" x14ac:dyDescent="0.3">
      <c r="G2907"/>
    </row>
    <row r="2908" spans="7:7" x14ac:dyDescent="0.3">
      <c r="G2908"/>
    </row>
    <row r="2909" spans="7:7" x14ac:dyDescent="0.3">
      <c r="G2909"/>
    </row>
    <row r="2910" spans="7:7" x14ac:dyDescent="0.3">
      <c r="G2910"/>
    </row>
    <row r="2911" spans="7:7" x14ac:dyDescent="0.3">
      <c r="G2911"/>
    </row>
    <row r="2912" spans="7:7" x14ac:dyDescent="0.3">
      <c r="G2912"/>
    </row>
    <row r="2913" spans="7:7" x14ac:dyDescent="0.3">
      <c r="G2913"/>
    </row>
    <row r="2914" spans="7:7" x14ac:dyDescent="0.3">
      <c r="G2914"/>
    </row>
    <row r="2915" spans="7:7" x14ac:dyDescent="0.3">
      <c r="G2915"/>
    </row>
    <row r="2916" spans="7:7" x14ac:dyDescent="0.3">
      <c r="G2916"/>
    </row>
    <row r="2917" spans="7:7" x14ac:dyDescent="0.3">
      <c r="G2917"/>
    </row>
    <row r="2918" spans="7:7" x14ac:dyDescent="0.3">
      <c r="G2918"/>
    </row>
    <row r="2919" spans="7:7" x14ac:dyDescent="0.3">
      <c r="G2919"/>
    </row>
    <row r="2920" spans="7:7" x14ac:dyDescent="0.3">
      <c r="G2920"/>
    </row>
    <row r="2921" spans="7:7" x14ac:dyDescent="0.3">
      <c r="G2921"/>
    </row>
    <row r="2922" spans="7:7" x14ac:dyDescent="0.3">
      <c r="G2922"/>
    </row>
    <row r="2923" spans="7:7" x14ac:dyDescent="0.3">
      <c r="G2923"/>
    </row>
    <row r="2924" spans="7:7" x14ac:dyDescent="0.3">
      <c r="G2924"/>
    </row>
    <row r="2925" spans="7:7" x14ac:dyDescent="0.3">
      <c r="G2925"/>
    </row>
    <row r="2926" spans="7:7" x14ac:dyDescent="0.3">
      <c r="G2926"/>
    </row>
    <row r="2927" spans="7:7" x14ac:dyDescent="0.3">
      <c r="G2927"/>
    </row>
    <row r="2928" spans="7:7" x14ac:dyDescent="0.3">
      <c r="G2928"/>
    </row>
    <row r="2929" spans="7:7" x14ac:dyDescent="0.3">
      <c r="G2929"/>
    </row>
    <row r="2930" spans="7:7" x14ac:dyDescent="0.3">
      <c r="G2930"/>
    </row>
    <row r="2931" spans="7:7" x14ac:dyDescent="0.3">
      <c r="G2931"/>
    </row>
    <row r="2932" spans="7:7" x14ac:dyDescent="0.3">
      <c r="G2932"/>
    </row>
    <row r="2933" spans="7:7" x14ac:dyDescent="0.3">
      <c r="G2933"/>
    </row>
    <row r="2934" spans="7:7" x14ac:dyDescent="0.3">
      <c r="G2934"/>
    </row>
    <row r="2935" spans="7:7" x14ac:dyDescent="0.3">
      <c r="G2935"/>
    </row>
    <row r="2936" spans="7:7" x14ac:dyDescent="0.3">
      <c r="G2936"/>
    </row>
    <row r="2937" spans="7:7" x14ac:dyDescent="0.3">
      <c r="G2937"/>
    </row>
    <row r="2938" spans="7:7" x14ac:dyDescent="0.3">
      <c r="G2938"/>
    </row>
    <row r="2939" spans="7:7" x14ac:dyDescent="0.3">
      <c r="G2939"/>
    </row>
    <row r="2940" spans="7:7" x14ac:dyDescent="0.3">
      <c r="G2940"/>
    </row>
    <row r="2941" spans="7:7" x14ac:dyDescent="0.3">
      <c r="G2941"/>
    </row>
    <row r="2942" spans="7:7" x14ac:dyDescent="0.3">
      <c r="G2942"/>
    </row>
    <row r="2943" spans="7:7" x14ac:dyDescent="0.3">
      <c r="G2943"/>
    </row>
    <row r="2944" spans="7:7" x14ac:dyDescent="0.3">
      <c r="G2944"/>
    </row>
    <row r="2945" spans="7:7" x14ac:dyDescent="0.3">
      <c r="G2945"/>
    </row>
    <row r="2946" spans="7:7" x14ac:dyDescent="0.3">
      <c r="G2946"/>
    </row>
    <row r="2947" spans="7:7" x14ac:dyDescent="0.3">
      <c r="G2947"/>
    </row>
    <row r="2948" spans="7:7" x14ac:dyDescent="0.3">
      <c r="G2948"/>
    </row>
    <row r="2949" spans="7:7" x14ac:dyDescent="0.3">
      <c r="G2949"/>
    </row>
    <row r="2950" spans="7:7" x14ac:dyDescent="0.3">
      <c r="G2950"/>
    </row>
    <row r="2951" spans="7:7" x14ac:dyDescent="0.3">
      <c r="G2951"/>
    </row>
    <row r="2952" spans="7:7" x14ac:dyDescent="0.3">
      <c r="G2952"/>
    </row>
    <row r="2953" spans="7:7" x14ac:dyDescent="0.3">
      <c r="G2953"/>
    </row>
    <row r="2954" spans="7:7" x14ac:dyDescent="0.3">
      <c r="G2954"/>
    </row>
    <row r="2955" spans="7:7" x14ac:dyDescent="0.3">
      <c r="G2955"/>
    </row>
    <row r="2956" spans="7:7" x14ac:dyDescent="0.3">
      <c r="G2956"/>
    </row>
    <row r="2957" spans="7:7" x14ac:dyDescent="0.3">
      <c r="G2957"/>
    </row>
    <row r="2958" spans="7:7" x14ac:dyDescent="0.3">
      <c r="G2958"/>
    </row>
    <row r="2959" spans="7:7" x14ac:dyDescent="0.3">
      <c r="G2959"/>
    </row>
    <row r="2960" spans="7:7" x14ac:dyDescent="0.3">
      <c r="G2960"/>
    </row>
    <row r="2961" spans="7:7" x14ac:dyDescent="0.3">
      <c r="G2961"/>
    </row>
    <row r="2962" spans="7:7" x14ac:dyDescent="0.3">
      <c r="G2962"/>
    </row>
    <row r="2963" spans="7:7" x14ac:dyDescent="0.3">
      <c r="G2963"/>
    </row>
    <row r="2964" spans="7:7" x14ac:dyDescent="0.3">
      <c r="G2964"/>
    </row>
    <row r="2965" spans="7:7" x14ac:dyDescent="0.3">
      <c r="G2965"/>
    </row>
    <row r="2966" spans="7:7" x14ac:dyDescent="0.3">
      <c r="G2966"/>
    </row>
    <row r="2967" spans="7:7" x14ac:dyDescent="0.3">
      <c r="G2967"/>
    </row>
    <row r="2968" spans="7:7" x14ac:dyDescent="0.3">
      <c r="G2968"/>
    </row>
    <row r="2969" spans="7:7" x14ac:dyDescent="0.3">
      <c r="G2969"/>
    </row>
    <row r="2970" spans="7:7" x14ac:dyDescent="0.3">
      <c r="G2970"/>
    </row>
    <row r="2971" spans="7:7" x14ac:dyDescent="0.3">
      <c r="G2971"/>
    </row>
    <row r="2972" spans="7:7" x14ac:dyDescent="0.3">
      <c r="G2972"/>
    </row>
    <row r="2973" spans="7:7" x14ac:dyDescent="0.3">
      <c r="G2973"/>
    </row>
    <row r="2974" spans="7:7" x14ac:dyDescent="0.3">
      <c r="G2974"/>
    </row>
    <row r="2975" spans="7:7" x14ac:dyDescent="0.3">
      <c r="G2975"/>
    </row>
    <row r="2976" spans="7:7" x14ac:dyDescent="0.3">
      <c r="G2976"/>
    </row>
    <row r="2977" spans="7:7" x14ac:dyDescent="0.3">
      <c r="G2977"/>
    </row>
    <row r="2978" spans="7:7" x14ac:dyDescent="0.3">
      <c r="G2978"/>
    </row>
    <row r="2979" spans="7:7" x14ac:dyDescent="0.3">
      <c r="G2979"/>
    </row>
    <row r="2980" spans="7:7" x14ac:dyDescent="0.3">
      <c r="G2980"/>
    </row>
    <row r="2981" spans="7:7" x14ac:dyDescent="0.3">
      <c r="G2981"/>
    </row>
    <row r="2982" spans="7:7" x14ac:dyDescent="0.3">
      <c r="G2982"/>
    </row>
    <row r="2983" spans="7:7" x14ac:dyDescent="0.3">
      <c r="G2983"/>
    </row>
    <row r="2984" spans="7:7" x14ac:dyDescent="0.3">
      <c r="G2984"/>
    </row>
    <row r="2985" spans="7:7" x14ac:dyDescent="0.3">
      <c r="G2985"/>
    </row>
    <row r="2986" spans="7:7" x14ac:dyDescent="0.3">
      <c r="G2986"/>
    </row>
    <row r="2987" spans="7:7" x14ac:dyDescent="0.3">
      <c r="G2987"/>
    </row>
    <row r="2988" spans="7:7" x14ac:dyDescent="0.3">
      <c r="G2988"/>
    </row>
    <row r="2989" spans="7:7" x14ac:dyDescent="0.3">
      <c r="G2989"/>
    </row>
    <row r="2990" spans="7:7" x14ac:dyDescent="0.3">
      <c r="G2990"/>
    </row>
    <row r="2991" spans="7:7" x14ac:dyDescent="0.3">
      <c r="G2991"/>
    </row>
    <row r="2992" spans="7:7" x14ac:dyDescent="0.3">
      <c r="G2992"/>
    </row>
    <row r="2993" spans="7:7" x14ac:dyDescent="0.3">
      <c r="G2993"/>
    </row>
    <row r="2994" spans="7:7" x14ac:dyDescent="0.3">
      <c r="G2994"/>
    </row>
    <row r="2995" spans="7:7" x14ac:dyDescent="0.3">
      <c r="G2995"/>
    </row>
    <row r="2996" spans="7:7" x14ac:dyDescent="0.3">
      <c r="G2996"/>
    </row>
    <row r="2997" spans="7:7" x14ac:dyDescent="0.3">
      <c r="G2997"/>
    </row>
    <row r="2998" spans="7:7" x14ac:dyDescent="0.3">
      <c r="G2998"/>
    </row>
    <row r="2999" spans="7:7" x14ac:dyDescent="0.3">
      <c r="G2999"/>
    </row>
    <row r="3000" spans="7:7" x14ac:dyDescent="0.3">
      <c r="G3000"/>
    </row>
    <row r="3001" spans="7:7" x14ac:dyDescent="0.3">
      <c r="G3001"/>
    </row>
    <row r="3002" spans="7:7" x14ac:dyDescent="0.3">
      <c r="G3002"/>
    </row>
    <row r="3003" spans="7:7" x14ac:dyDescent="0.3">
      <c r="G3003"/>
    </row>
    <row r="3004" spans="7:7" x14ac:dyDescent="0.3">
      <c r="G3004"/>
    </row>
    <row r="3005" spans="7:7" x14ac:dyDescent="0.3">
      <c r="G3005"/>
    </row>
    <row r="3006" spans="7:7" x14ac:dyDescent="0.3">
      <c r="G3006"/>
    </row>
    <row r="3007" spans="7:7" x14ac:dyDescent="0.3">
      <c r="G3007"/>
    </row>
    <row r="3008" spans="7:7" x14ac:dyDescent="0.3">
      <c r="G3008"/>
    </row>
    <row r="3009" spans="7:7" x14ac:dyDescent="0.3">
      <c r="G3009"/>
    </row>
    <row r="3010" spans="7:7" x14ac:dyDescent="0.3">
      <c r="G3010"/>
    </row>
    <row r="3011" spans="7:7" x14ac:dyDescent="0.3">
      <c r="G3011"/>
    </row>
    <row r="3012" spans="7:7" x14ac:dyDescent="0.3">
      <c r="G3012"/>
    </row>
    <row r="3013" spans="7:7" x14ac:dyDescent="0.3">
      <c r="G3013"/>
    </row>
    <row r="3014" spans="7:7" x14ac:dyDescent="0.3">
      <c r="G3014"/>
    </row>
    <row r="3015" spans="7:7" x14ac:dyDescent="0.3">
      <c r="G3015"/>
    </row>
    <row r="3016" spans="7:7" x14ac:dyDescent="0.3">
      <c r="G3016"/>
    </row>
    <row r="3017" spans="7:7" x14ac:dyDescent="0.3">
      <c r="G3017"/>
    </row>
    <row r="3018" spans="7:7" x14ac:dyDescent="0.3">
      <c r="G3018"/>
    </row>
    <row r="3019" spans="7:7" x14ac:dyDescent="0.3">
      <c r="G3019"/>
    </row>
    <row r="3020" spans="7:7" x14ac:dyDescent="0.3">
      <c r="G3020"/>
    </row>
    <row r="3021" spans="7:7" x14ac:dyDescent="0.3">
      <c r="G3021"/>
    </row>
    <row r="3022" spans="7:7" x14ac:dyDescent="0.3">
      <c r="G3022"/>
    </row>
    <row r="3023" spans="7:7" x14ac:dyDescent="0.3">
      <c r="G3023"/>
    </row>
    <row r="3024" spans="7:7" x14ac:dyDescent="0.3">
      <c r="G3024"/>
    </row>
    <row r="3025" spans="7:7" x14ac:dyDescent="0.3">
      <c r="G3025"/>
    </row>
    <row r="3026" spans="7:7" x14ac:dyDescent="0.3">
      <c r="G3026"/>
    </row>
    <row r="3027" spans="7:7" x14ac:dyDescent="0.3">
      <c r="G3027"/>
    </row>
    <row r="3028" spans="7:7" x14ac:dyDescent="0.3">
      <c r="G3028"/>
    </row>
    <row r="3029" spans="7:7" x14ac:dyDescent="0.3">
      <c r="G3029"/>
    </row>
    <row r="3030" spans="7:7" x14ac:dyDescent="0.3">
      <c r="G3030"/>
    </row>
    <row r="3031" spans="7:7" x14ac:dyDescent="0.3">
      <c r="G3031"/>
    </row>
    <row r="3032" spans="7:7" x14ac:dyDescent="0.3">
      <c r="G3032"/>
    </row>
    <row r="3033" spans="7:7" x14ac:dyDescent="0.3">
      <c r="G3033"/>
    </row>
    <row r="3034" spans="7:7" x14ac:dyDescent="0.3">
      <c r="G3034"/>
    </row>
    <row r="3035" spans="7:7" x14ac:dyDescent="0.3">
      <c r="G3035"/>
    </row>
    <row r="3036" spans="7:7" x14ac:dyDescent="0.3">
      <c r="G3036"/>
    </row>
    <row r="3037" spans="7:7" x14ac:dyDescent="0.3">
      <c r="G3037"/>
    </row>
    <row r="3038" spans="7:7" x14ac:dyDescent="0.3">
      <c r="G3038"/>
    </row>
    <row r="3039" spans="7:7" x14ac:dyDescent="0.3">
      <c r="G3039"/>
    </row>
    <row r="3040" spans="7:7" x14ac:dyDescent="0.3">
      <c r="G3040"/>
    </row>
    <row r="3041" spans="7:7" x14ac:dyDescent="0.3">
      <c r="G3041"/>
    </row>
    <row r="3042" spans="7:7" x14ac:dyDescent="0.3">
      <c r="G3042"/>
    </row>
    <row r="3043" spans="7:7" x14ac:dyDescent="0.3">
      <c r="G3043"/>
    </row>
    <row r="3044" spans="7:7" x14ac:dyDescent="0.3">
      <c r="G3044"/>
    </row>
    <row r="3045" spans="7:7" x14ac:dyDescent="0.3">
      <c r="G3045"/>
    </row>
    <row r="3046" spans="7:7" x14ac:dyDescent="0.3">
      <c r="G3046"/>
    </row>
    <row r="3047" spans="7:7" x14ac:dyDescent="0.3">
      <c r="G3047"/>
    </row>
    <row r="3048" spans="7:7" x14ac:dyDescent="0.3">
      <c r="G3048"/>
    </row>
    <row r="3049" spans="7:7" x14ac:dyDescent="0.3">
      <c r="G3049"/>
    </row>
    <row r="3050" spans="7:7" x14ac:dyDescent="0.3">
      <c r="G3050"/>
    </row>
    <row r="3051" spans="7:7" x14ac:dyDescent="0.3">
      <c r="G3051"/>
    </row>
    <row r="3052" spans="7:7" x14ac:dyDescent="0.3">
      <c r="G3052"/>
    </row>
    <row r="3053" spans="7:7" x14ac:dyDescent="0.3">
      <c r="G3053"/>
    </row>
    <row r="3054" spans="7:7" x14ac:dyDescent="0.3">
      <c r="G3054"/>
    </row>
    <row r="3055" spans="7:7" x14ac:dyDescent="0.3">
      <c r="G3055"/>
    </row>
    <row r="3056" spans="7:7" x14ac:dyDescent="0.3">
      <c r="G3056"/>
    </row>
    <row r="3057" spans="7:7" x14ac:dyDescent="0.3">
      <c r="G3057"/>
    </row>
    <row r="3058" spans="7:7" x14ac:dyDescent="0.3">
      <c r="G3058"/>
    </row>
    <row r="3059" spans="7:7" x14ac:dyDescent="0.3">
      <c r="G3059"/>
    </row>
    <row r="3060" spans="7:7" x14ac:dyDescent="0.3">
      <c r="G3060"/>
    </row>
    <row r="3061" spans="7:7" x14ac:dyDescent="0.3">
      <c r="G3061"/>
    </row>
    <row r="3062" spans="7:7" x14ac:dyDescent="0.3">
      <c r="G3062"/>
    </row>
    <row r="3063" spans="7:7" x14ac:dyDescent="0.3">
      <c r="G3063"/>
    </row>
    <row r="3064" spans="7:7" x14ac:dyDescent="0.3">
      <c r="G3064"/>
    </row>
    <row r="3065" spans="7:7" x14ac:dyDescent="0.3">
      <c r="G3065"/>
    </row>
    <row r="3066" spans="7:7" x14ac:dyDescent="0.3">
      <c r="G3066"/>
    </row>
    <row r="3067" spans="7:7" x14ac:dyDescent="0.3">
      <c r="G3067"/>
    </row>
    <row r="3068" spans="7:7" x14ac:dyDescent="0.3">
      <c r="G3068"/>
    </row>
    <row r="3069" spans="7:7" x14ac:dyDescent="0.3">
      <c r="G3069"/>
    </row>
    <row r="3070" spans="7:7" x14ac:dyDescent="0.3">
      <c r="G3070"/>
    </row>
    <row r="3071" spans="7:7" x14ac:dyDescent="0.3">
      <c r="G3071"/>
    </row>
    <row r="3072" spans="7:7" x14ac:dyDescent="0.3">
      <c r="G3072"/>
    </row>
    <row r="3073" spans="7:7" x14ac:dyDescent="0.3">
      <c r="G3073"/>
    </row>
    <row r="3074" spans="7:7" x14ac:dyDescent="0.3">
      <c r="G3074"/>
    </row>
    <row r="3075" spans="7:7" x14ac:dyDescent="0.3">
      <c r="G3075"/>
    </row>
    <row r="3076" spans="7:7" x14ac:dyDescent="0.3">
      <c r="G3076"/>
    </row>
    <row r="3077" spans="7:7" x14ac:dyDescent="0.3">
      <c r="G3077"/>
    </row>
    <row r="3078" spans="7:7" x14ac:dyDescent="0.3">
      <c r="G3078"/>
    </row>
    <row r="3079" spans="7:7" x14ac:dyDescent="0.3">
      <c r="G3079"/>
    </row>
    <row r="3080" spans="7:7" x14ac:dyDescent="0.3">
      <c r="G3080"/>
    </row>
    <row r="3081" spans="7:7" x14ac:dyDescent="0.3">
      <c r="G3081"/>
    </row>
    <row r="3082" spans="7:7" x14ac:dyDescent="0.3">
      <c r="G3082"/>
    </row>
    <row r="3083" spans="7:7" x14ac:dyDescent="0.3">
      <c r="G3083"/>
    </row>
    <row r="3084" spans="7:7" x14ac:dyDescent="0.3">
      <c r="G3084"/>
    </row>
    <row r="3085" spans="7:7" x14ac:dyDescent="0.3">
      <c r="G3085"/>
    </row>
    <row r="3086" spans="7:7" x14ac:dyDescent="0.3">
      <c r="G3086"/>
    </row>
    <row r="3087" spans="7:7" x14ac:dyDescent="0.3">
      <c r="G3087"/>
    </row>
    <row r="3088" spans="7:7" x14ac:dyDescent="0.3">
      <c r="G3088"/>
    </row>
    <row r="3089" spans="7:7" x14ac:dyDescent="0.3">
      <c r="G3089"/>
    </row>
    <row r="3090" spans="7:7" x14ac:dyDescent="0.3">
      <c r="G3090"/>
    </row>
    <row r="3091" spans="7:7" x14ac:dyDescent="0.3">
      <c r="G3091"/>
    </row>
    <row r="3092" spans="7:7" x14ac:dyDescent="0.3">
      <c r="G3092"/>
    </row>
    <row r="3093" spans="7:7" x14ac:dyDescent="0.3">
      <c r="G3093"/>
    </row>
    <row r="3094" spans="7:7" x14ac:dyDescent="0.3">
      <c r="G3094"/>
    </row>
    <row r="3095" spans="7:7" x14ac:dyDescent="0.3">
      <c r="G3095"/>
    </row>
    <row r="3096" spans="7:7" x14ac:dyDescent="0.3">
      <c r="G3096"/>
    </row>
    <row r="3097" spans="7:7" x14ac:dyDescent="0.3">
      <c r="G3097"/>
    </row>
    <row r="3098" spans="7:7" x14ac:dyDescent="0.3">
      <c r="G3098"/>
    </row>
    <row r="3099" spans="7:7" x14ac:dyDescent="0.3">
      <c r="G3099"/>
    </row>
    <row r="3100" spans="7:7" x14ac:dyDescent="0.3">
      <c r="G3100"/>
    </row>
    <row r="3101" spans="7:7" x14ac:dyDescent="0.3">
      <c r="G3101"/>
    </row>
    <row r="3102" spans="7:7" x14ac:dyDescent="0.3">
      <c r="G3102"/>
    </row>
    <row r="3103" spans="7:7" x14ac:dyDescent="0.3">
      <c r="G3103"/>
    </row>
    <row r="3104" spans="7:7" x14ac:dyDescent="0.3">
      <c r="G3104"/>
    </row>
    <row r="3105" spans="7:7" x14ac:dyDescent="0.3">
      <c r="G3105"/>
    </row>
    <row r="3106" spans="7:7" x14ac:dyDescent="0.3">
      <c r="G3106"/>
    </row>
    <row r="3107" spans="7:7" x14ac:dyDescent="0.3">
      <c r="G3107"/>
    </row>
    <row r="3108" spans="7:7" x14ac:dyDescent="0.3">
      <c r="G3108"/>
    </row>
    <row r="3109" spans="7:7" x14ac:dyDescent="0.3">
      <c r="G3109"/>
    </row>
    <row r="3110" spans="7:7" x14ac:dyDescent="0.3">
      <c r="G3110"/>
    </row>
    <row r="3111" spans="7:7" x14ac:dyDescent="0.3">
      <c r="G3111"/>
    </row>
    <row r="3112" spans="7:7" x14ac:dyDescent="0.3">
      <c r="G3112"/>
    </row>
    <row r="3113" spans="7:7" x14ac:dyDescent="0.3">
      <c r="G3113"/>
    </row>
    <row r="3114" spans="7:7" x14ac:dyDescent="0.3">
      <c r="G3114"/>
    </row>
    <row r="3115" spans="7:7" x14ac:dyDescent="0.3">
      <c r="G3115"/>
    </row>
    <row r="3116" spans="7:7" x14ac:dyDescent="0.3">
      <c r="G3116"/>
    </row>
    <row r="3117" spans="7:7" x14ac:dyDescent="0.3">
      <c r="G3117"/>
    </row>
    <row r="3118" spans="7:7" x14ac:dyDescent="0.3">
      <c r="G3118"/>
    </row>
    <row r="3119" spans="7:7" x14ac:dyDescent="0.3">
      <c r="G3119"/>
    </row>
    <row r="3120" spans="7:7" x14ac:dyDescent="0.3">
      <c r="G3120"/>
    </row>
    <row r="3121" spans="7:7" x14ac:dyDescent="0.3">
      <c r="G3121"/>
    </row>
    <row r="3122" spans="7:7" x14ac:dyDescent="0.3">
      <c r="G3122"/>
    </row>
    <row r="3123" spans="7:7" x14ac:dyDescent="0.3">
      <c r="G3123"/>
    </row>
    <row r="3124" spans="7:7" x14ac:dyDescent="0.3">
      <c r="G3124"/>
    </row>
    <row r="3125" spans="7:7" x14ac:dyDescent="0.3">
      <c r="G3125"/>
    </row>
    <row r="3126" spans="7:7" x14ac:dyDescent="0.3">
      <c r="G3126"/>
    </row>
    <row r="3127" spans="7:7" x14ac:dyDescent="0.3">
      <c r="G3127"/>
    </row>
    <row r="3128" spans="7:7" x14ac:dyDescent="0.3">
      <c r="G3128"/>
    </row>
    <row r="3129" spans="7:7" x14ac:dyDescent="0.3">
      <c r="G3129"/>
    </row>
    <row r="3130" spans="7:7" x14ac:dyDescent="0.3">
      <c r="G3130"/>
    </row>
    <row r="3131" spans="7:7" x14ac:dyDescent="0.3">
      <c r="G3131"/>
    </row>
    <row r="3132" spans="7:7" x14ac:dyDescent="0.3">
      <c r="G3132"/>
    </row>
    <row r="3133" spans="7:7" x14ac:dyDescent="0.3">
      <c r="G3133"/>
    </row>
    <row r="3134" spans="7:7" x14ac:dyDescent="0.3">
      <c r="G3134"/>
    </row>
    <row r="3135" spans="7:7" x14ac:dyDescent="0.3">
      <c r="G3135"/>
    </row>
    <row r="3136" spans="7:7" x14ac:dyDescent="0.3">
      <c r="G3136"/>
    </row>
    <row r="3137" spans="7:7" x14ac:dyDescent="0.3">
      <c r="G3137"/>
    </row>
    <row r="3138" spans="7:7" x14ac:dyDescent="0.3">
      <c r="G3138"/>
    </row>
    <row r="3139" spans="7:7" x14ac:dyDescent="0.3">
      <c r="G3139"/>
    </row>
    <row r="3140" spans="7:7" x14ac:dyDescent="0.3">
      <c r="G3140"/>
    </row>
    <row r="3141" spans="7:7" x14ac:dyDescent="0.3">
      <c r="G3141"/>
    </row>
    <row r="3142" spans="7:7" x14ac:dyDescent="0.3">
      <c r="G3142"/>
    </row>
    <row r="3143" spans="7:7" x14ac:dyDescent="0.3">
      <c r="G3143"/>
    </row>
    <row r="3144" spans="7:7" x14ac:dyDescent="0.3">
      <c r="G3144"/>
    </row>
    <row r="3145" spans="7:7" x14ac:dyDescent="0.3">
      <c r="G3145"/>
    </row>
    <row r="3146" spans="7:7" x14ac:dyDescent="0.3">
      <c r="G3146"/>
    </row>
    <row r="3147" spans="7:7" x14ac:dyDescent="0.3">
      <c r="G3147"/>
    </row>
    <row r="3148" spans="7:7" x14ac:dyDescent="0.3">
      <c r="G3148"/>
    </row>
    <row r="3149" spans="7:7" x14ac:dyDescent="0.3">
      <c r="G3149"/>
    </row>
    <row r="3150" spans="7:7" x14ac:dyDescent="0.3">
      <c r="G3150"/>
    </row>
    <row r="3151" spans="7:7" x14ac:dyDescent="0.3">
      <c r="G3151"/>
    </row>
    <row r="3152" spans="7:7" x14ac:dyDescent="0.3">
      <c r="G3152"/>
    </row>
    <row r="3153" spans="7:7" x14ac:dyDescent="0.3">
      <c r="G3153"/>
    </row>
    <row r="3154" spans="7:7" x14ac:dyDescent="0.3">
      <c r="G3154"/>
    </row>
    <row r="3155" spans="7:7" x14ac:dyDescent="0.3">
      <c r="G3155"/>
    </row>
    <row r="3156" spans="7:7" x14ac:dyDescent="0.3">
      <c r="G3156"/>
    </row>
    <row r="3157" spans="7:7" x14ac:dyDescent="0.3">
      <c r="G3157"/>
    </row>
    <row r="3158" spans="7:7" x14ac:dyDescent="0.3">
      <c r="G3158"/>
    </row>
    <row r="3159" spans="7:7" x14ac:dyDescent="0.3">
      <c r="G3159"/>
    </row>
    <row r="3160" spans="7:7" x14ac:dyDescent="0.3">
      <c r="G3160"/>
    </row>
    <row r="3161" spans="7:7" x14ac:dyDescent="0.3">
      <c r="G3161"/>
    </row>
    <row r="3162" spans="7:7" x14ac:dyDescent="0.3">
      <c r="G3162"/>
    </row>
    <row r="3163" spans="7:7" x14ac:dyDescent="0.3">
      <c r="G3163"/>
    </row>
    <row r="3164" spans="7:7" x14ac:dyDescent="0.3">
      <c r="G3164"/>
    </row>
    <row r="3165" spans="7:7" x14ac:dyDescent="0.3">
      <c r="G3165"/>
    </row>
    <row r="3166" spans="7:7" x14ac:dyDescent="0.3">
      <c r="G3166"/>
    </row>
    <row r="3167" spans="7:7" x14ac:dyDescent="0.3">
      <c r="G3167"/>
    </row>
    <row r="3168" spans="7:7" x14ac:dyDescent="0.3">
      <c r="G3168"/>
    </row>
    <row r="3169" spans="7:7" x14ac:dyDescent="0.3">
      <c r="G3169"/>
    </row>
    <row r="3170" spans="7:7" x14ac:dyDescent="0.3">
      <c r="G3170"/>
    </row>
    <row r="3171" spans="7:7" x14ac:dyDescent="0.3">
      <c r="G3171"/>
    </row>
    <row r="3172" spans="7:7" x14ac:dyDescent="0.3">
      <c r="G3172"/>
    </row>
    <row r="3173" spans="7:7" x14ac:dyDescent="0.3">
      <c r="G3173"/>
    </row>
    <row r="3174" spans="7:7" x14ac:dyDescent="0.3">
      <c r="G3174"/>
    </row>
    <row r="3175" spans="7:7" x14ac:dyDescent="0.3">
      <c r="G3175"/>
    </row>
    <row r="3176" spans="7:7" x14ac:dyDescent="0.3">
      <c r="G3176"/>
    </row>
    <row r="3177" spans="7:7" x14ac:dyDescent="0.3">
      <c r="G3177"/>
    </row>
    <row r="3178" spans="7:7" x14ac:dyDescent="0.3">
      <c r="G3178"/>
    </row>
    <row r="3179" spans="7:7" x14ac:dyDescent="0.3">
      <c r="G3179"/>
    </row>
    <row r="3180" spans="7:7" x14ac:dyDescent="0.3">
      <c r="G3180"/>
    </row>
    <row r="3181" spans="7:7" x14ac:dyDescent="0.3">
      <c r="G3181"/>
    </row>
    <row r="3182" spans="7:7" x14ac:dyDescent="0.3">
      <c r="G3182"/>
    </row>
    <row r="3183" spans="7:7" x14ac:dyDescent="0.3">
      <c r="G3183"/>
    </row>
    <row r="3184" spans="7:7" x14ac:dyDescent="0.3">
      <c r="G3184"/>
    </row>
    <row r="3185" spans="7:7" x14ac:dyDescent="0.3">
      <c r="G3185"/>
    </row>
    <row r="3186" spans="7:7" x14ac:dyDescent="0.3">
      <c r="G3186"/>
    </row>
    <row r="3187" spans="7:7" x14ac:dyDescent="0.3">
      <c r="G3187"/>
    </row>
    <row r="3188" spans="7:7" x14ac:dyDescent="0.3">
      <c r="G3188"/>
    </row>
    <row r="3189" spans="7:7" x14ac:dyDescent="0.3">
      <c r="G3189"/>
    </row>
    <row r="3190" spans="7:7" x14ac:dyDescent="0.3">
      <c r="G3190"/>
    </row>
    <row r="3191" spans="7:7" x14ac:dyDescent="0.3">
      <c r="G3191"/>
    </row>
    <row r="3192" spans="7:7" x14ac:dyDescent="0.3">
      <c r="G3192"/>
    </row>
    <row r="3193" spans="7:7" x14ac:dyDescent="0.3">
      <c r="G3193"/>
    </row>
    <row r="3194" spans="7:7" x14ac:dyDescent="0.3">
      <c r="G3194"/>
    </row>
    <row r="3195" spans="7:7" x14ac:dyDescent="0.3">
      <c r="G3195"/>
    </row>
    <row r="3196" spans="7:7" x14ac:dyDescent="0.3">
      <c r="G3196"/>
    </row>
    <row r="3197" spans="7:7" x14ac:dyDescent="0.3">
      <c r="G3197"/>
    </row>
    <row r="3198" spans="7:7" x14ac:dyDescent="0.3">
      <c r="G3198"/>
    </row>
    <row r="3199" spans="7:7" x14ac:dyDescent="0.3">
      <c r="G3199"/>
    </row>
    <row r="3200" spans="7:7" x14ac:dyDescent="0.3">
      <c r="G3200"/>
    </row>
    <row r="3201" spans="7:7" x14ac:dyDescent="0.3">
      <c r="G3201"/>
    </row>
    <row r="3202" spans="7:7" x14ac:dyDescent="0.3">
      <c r="G3202"/>
    </row>
    <row r="3203" spans="7:7" x14ac:dyDescent="0.3">
      <c r="G3203"/>
    </row>
    <row r="3204" spans="7:7" x14ac:dyDescent="0.3">
      <c r="G3204"/>
    </row>
    <row r="3205" spans="7:7" x14ac:dyDescent="0.3">
      <c r="G3205"/>
    </row>
    <row r="3206" spans="7:7" x14ac:dyDescent="0.3">
      <c r="G3206"/>
    </row>
    <row r="3207" spans="7:7" x14ac:dyDescent="0.3">
      <c r="G3207"/>
    </row>
    <row r="3208" spans="7:7" x14ac:dyDescent="0.3">
      <c r="G3208"/>
    </row>
    <row r="3209" spans="7:7" x14ac:dyDescent="0.3">
      <c r="G3209"/>
    </row>
    <row r="3210" spans="7:7" x14ac:dyDescent="0.3">
      <c r="G3210"/>
    </row>
    <row r="3211" spans="7:7" x14ac:dyDescent="0.3">
      <c r="G3211"/>
    </row>
    <row r="3212" spans="7:7" x14ac:dyDescent="0.3">
      <c r="G3212"/>
    </row>
    <row r="3213" spans="7:7" x14ac:dyDescent="0.3">
      <c r="G3213"/>
    </row>
    <row r="3214" spans="7:7" x14ac:dyDescent="0.3">
      <c r="G3214"/>
    </row>
    <row r="3215" spans="7:7" x14ac:dyDescent="0.3">
      <c r="G3215"/>
    </row>
    <row r="3216" spans="7:7" x14ac:dyDescent="0.3">
      <c r="G3216"/>
    </row>
    <row r="3217" spans="7:7" x14ac:dyDescent="0.3">
      <c r="G3217"/>
    </row>
    <row r="3218" spans="7:7" x14ac:dyDescent="0.3">
      <c r="G3218"/>
    </row>
    <row r="3219" spans="7:7" x14ac:dyDescent="0.3">
      <c r="G3219"/>
    </row>
    <row r="3220" spans="7:7" x14ac:dyDescent="0.3">
      <c r="G3220"/>
    </row>
    <row r="3221" spans="7:7" x14ac:dyDescent="0.3">
      <c r="G3221"/>
    </row>
    <row r="3222" spans="7:7" x14ac:dyDescent="0.3">
      <c r="G3222"/>
    </row>
    <row r="3223" spans="7:7" x14ac:dyDescent="0.3">
      <c r="G3223"/>
    </row>
    <row r="3224" spans="7:7" x14ac:dyDescent="0.3">
      <c r="G3224"/>
    </row>
    <row r="3225" spans="7:7" x14ac:dyDescent="0.3">
      <c r="G3225"/>
    </row>
    <row r="3226" spans="7:7" x14ac:dyDescent="0.3">
      <c r="G3226"/>
    </row>
    <row r="3227" spans="7:7" x14ac:dyDescent="0.3">
      <c r="G3227"/>
    </row>
    <row r="3228" spans="7:7" x14ac:dyDescent="0.3">
      <c r="G3228"/>
    </row>
    <row r="3229" spans="7:7" x14ac:dyDescent="0.3">
      <c r="G3229"/>
    </row>
    <row r="3230" spans="7:7" x14ac:dyDescent="0.3">
      <c r="G3230"/>
    </row>
    <row r="3231" spans="7:7" x14ac:dyDescent="0.3">
      <c r="G3231"/>
    </row>
    <row r="3232" spans="7:7" x14ac:dyDescent="0.3">
      <c r="G3232"/>
    </row>
    <row r="3233" spans="7:7" x14ac:dyDescent="0.3">
      <c r="G3233"/>
    </row>
    <row r="3234" spans="7:7" x14ac:dyDescent="0.3">
      <c r="G3234"/>
    </row>
    <row r="3235" spans="7:7" x14ac:dyDescent="0.3">
      <c r="G3235"/>
    </row>
    <row r="3236" spans="7:7" x14ac:dyDescent="0.3">
      <c r="G3236"/>
    </row>
    <row r="3237" spans="7:7" x14ac:dyDescent="0.3">
      <c r="G3237"/>
    </row>
    <row r="3238" spans="7:7" x14ac:dyDescent="0.3">
      <c r="G3238"/>
    </row>
    <row r="3239" spans="7:7" x14ac:dyDescent="0.3">
      <c r="G3239"/>
    </row>
    <row r="3240" spans="7:7" x14ac:dyDescent="0.3">
      <c r="G3240"/>
    </row>
    <row r="3241" spans="7:7" x14ac:dyDescent="0.3">
      <c r="G3241"/>
    </row>
    <row r="3242" spans="7:7" x14ac:dyDescent="0.3">
      <c r="G3242"/>
    </row>
    <row r="3243" spans="7:7" x14ac:dyDescent="0.3">
      <c r="G3243"/>
    </row>
    <row r="3244" spans="7:7" x14ac:dyDescent="0.3">
      <c r="G3244"/>
    </row>
    <row r="3245" spans="7:7" x14ac:dyDescent="0.3">
      <c r="G3245"/>
    </row>
    <row r="3246" spans="7:7" x14ac:dyDescent="0.3">
      <c r="G3246"/>
    </row>
    <row r="3247" spans="7:7" x14ac:dyDescent="0.3">
      <c r="G3247"/>
    </row>
    <row r="3248" spans="7:7" x14ac:dyDescent="0.3">
      <c r="G3248"/>
    </row>
    <row r="3249" spans="7:7" x14ac:dyDescent="0.3">
      <c r="G3249"/>
    </row>
    <row r="3250" spans="7:7" x14ac:dyDescent="0.3">
      <c r="G3250"/>
    </row>
    <row r="3251" spans="7:7" x14ac:dyDescent="0.3">
      <c r="G3251"/>
    </row>
    <row r="3252" spans="7:7" x14ac:dyDescent="0.3">
      <c r="G3252"/>
    </row>
    <row r="3253" spans="7:7" x14ac:dyDescent="0.3">
      <c r="G3253"/>
    </row>
    <row r="3254" spans="7:7" x14ac:dyDescent="0.3">
      <c r="G3254"/>
    </row>
    <row r="3255" spans="7:7" x14ac:dyDescent="0.3">
      <c r="G3255"/>
    </row>
    <row r="3256" spans="7:7" x14ac:dyDescent="0.3">
      <c r="G3256"/>
    </row>
    <row r="3257" spans="7:7" x14ac:dyDescent="0.3">
      <c r="G3257"/>
    </row>
    <row r="3258" spans="7:7" x14ac:dyDescent="0.3">
      <c r="G3258"/>
    </row>
    <row r="3259" spans="7:7" x14ac:dyDescent="0.3">
      <c r="G3259"/>
    </row>
    <row r="3260" spans="7:7" x14ac:dyDescent="0.3">
      <c r="G3260"/>
    </row>
    <row r="3261" spans="7:7" x14ac:dyDescent="0.3">
      <c r="G3261"/>
    </row>
    <row r="3262" spans="7:7" x14ac:dyDescent="0.3">
      <c r="G3262"/>
    </row>
    <row r="3263" spans="7:7" x14ac:dyDescent="0.3">
      <c r="G3263"/>
    </row>
    <row r="3264" spans="7:7" x14ac:dyDescent="0.3">
      <c r="G3264"/>
    </row>
    <row r="3265" spans="7:7" x14ac:dyDescent="0.3">
      <c r="G3265"/>
    </row>
    <row r="3266" spans="7:7" x14ac:dyDescent="0.3">
      <c r="G3266"/>
    </row>
    <row r="3267" spans="7:7" x14ac:dyDescent="0.3">
      <c r="G3267"/>
    </row>
    <row r="3268" spans="7:7" x14ac:dyDescent="0.3">
      <c r="G3268"/>
    </row>
    <row r="3269" spans="7:7" x14ac:dyDescent="0.3">
      <c r="G3269"/>
    </row>
    <row r="3270" spans="7:7" x14ac:dyDescent="0.3">
      <c r="G3270"/>
    </row>
    <row r="3271" spans="7:7" x14ac:dyDescent="0.3">
      <c r="G3271"/>
    </row>
    <row r="3272" spans="7:7" x14ac:dyDescent="0.3">
      <c r="G3272"/>
    </row>
    <row r="3273" spans="7:7" x14ac:dyDescent="0.3">
      <c r="G3273"/>
    </row>
    <row r="3274" spans="7:7" x14ac:dyDescent="0.3">
      <c r="G3274"/>
    </row>
    <row r="3275" spans="7:7" x14ac:dyDescent="0.3">
      <c r="G3275"/>
    </row>
    <row r="3276" spans="7:7" x14ac:dyDescent="0.3">
      <c r="G3276"/>
    </row>
    <row r="3277" spans="7:7" x14ac:dyDescent="0.3">
      <c r="G3277"/>
    </row>
    <row r="3278" spans="7:7" x14ac:dyDescent="0.3">
      <c r="G3278"/>
    </row>
    <row r="3279" spans="7:7" x14ac:dyDescent="0.3">
      <c r="G3279"/>
    </row>
    <row r="3280" spans="7:7" x14ac:dyDescent="0.3">
      <c r="G3280"/>
    </row>
    <row r="3281" spans="7:7" x14ac:dyDescent="0.3">
      <c r="G3281"/>
    </row>
    <row r="3282" spans="7:7" x14ac:dyDescent="0.3">
      <c r="G3282"/>
    </row>
    <row r="3283" spans="7:7" x14ac:dyDescent="0.3">
      <c r="G3283"/>
    </row>
    <row r="3284" spans="7:7" x14ac:dyDescent="0.3">
      <c r="G3284"/>
    </row>
    <row r="3285" spans="7:7" x14ac:dyDescent="0.3">
      <c r="G3285"/>
    </row>
    <row r="3286" spans="7:7" x14ac:dyDescent="0.3">
      <c r="G3286"/>
    </row>
    <row r="3287" spans="7:7" x14ac:dyDescent="0.3">
      <c r="G3287"/>
    </row>
    <row r="3288" spans="7:7" x14ac:dyDescent="0.3">
      <c r="G3288"/>
    </row>
    <row r="3289" spans="7:7" x14ac:dyDescent="0.3">
      <c r="G3289"/>
    </row>
    <row r="3290" spans="7:7" x14ac:dyDescent="0.3">
      <c r="G3290"/>
    </row>
    <row r="3291" spans="7:7" x14ac:dyDescent="0.3">
      <c r="G3291"/>
    </row>
    <row r="3292" spans="7:7" x14ac:dyDescent="0.3">
      <c r="G3292"/>
    </row>
    <row r="3293" spans="7:7" x14ac:dyDescent="0.3">
      <c r="G3293"/>
    </row>
    <row r="3294" spans="7:7" x14ac:dyDescent="0.3">
      <c r="G3294"/>
    </row>
    <row r="3295" spans="7:7" x14ac:dyDescent="0.3">
      <c r="G3295"/>
    </row>
    <row r="3296" spans="7:7" x14ac:dyDescent="0.3">
      <c r="G3296"/>
    </row>
    <row r="3297" spans="7:7" x14ac:dyDescent="0.3">
      <c r="G3297"/>
    </row>
    <row r="3298" spans="7:7" x14ac:dyDescent="0.3">
      <c r="G3298"/>
    </row>
    <row r="3299" spans="7:7" x14ac:dyDescent="0.3">
      <c r="G3299"/>
    </row>
    <row r="3300" spans="7:7" x14ac:dyDescent="0.3">
      <c r="G3300"/>
    </row>
    <row r="3301" spans="7:7" x14ac:dyDescent="0.3">
      <c r="G3301"/>
    </row>
    <row r="3302" spans="7:7" x14ac:dyDescent="0.3">
      <c r="G3302"/>
    </row>
    <row r="3303" spans="7:7" x14ac:dyDescent="0.3">
      <c r="G3303"/>
    </row>
    <row r="3304" spans="7:7" x14ac:dyDescent="0.3">
      <c r="G3304"/>
    </row>
    <row r="3305" spans="7:7" x14ac:dyDescent="0.3">
      <c r="G3305"/>
    </row>
    <row r="3306" spans="7:7" x14ac:dyDescent="0.3">
      <c r="G3306"/>
    </row>
    <row r="3307" spans="7:7" x14ac:dyDescent="0.3">
      <c r="G3307"/>
    </row>
    <row r="3308" spans="7:7" x14ac:dyDescent="0.3">
      <c r="G3308"/>
    </row>
    <row r="3309" spans="7:7" x14ac:dyDescent="0.3">
      <c r="G3309"/>
    </row>
    <row r="3310" spans="7:7" x14ac:dyDescent="0.3">
      <c r="G3310"/>
    </row>
    <row r="3311" spans="7:7" x14ac:dyDescent="0.3">
      <c r="G3311"/>
    </row>
    <row r="3312" spans="7:7" x14ac:dyDescent="0.3">
      <c r="G3312"/>
    </row>
    <row r="3313" spans="7:7" x14ac:dyDescent="0.3">
      <c r="G3313"/>
    </row>
    <row r="3314" spans="7:7" x14ac:dyDescent="0.3">
      <c r="G3314"/>
    </row>
    <row r="3315" spans="7:7" x14ac:dyDescent="0.3">
      <c r="G3315"/>
    </row>
    <row r="3316" spans="7:7" x14ac:dyDescent="0.3">
      <c r="G3316"/>
    </row>
    <row r="3317" spans="7:7" x14ac:dyDescent="0.3">
      <c r="G3317"/>
    </row>
    <row r="3318" spans="7:7" x14ac:dyDescent="0.3">
      <c r="G3318"/>
    </row>
    <row r="3319" spans="7:7" x14ac:dyDescent="0.3">
      <c r="G3319"/>
    </row>
    <row r="3320" spans="7:7" x14ac:dyDescent="0.3">
      <c r="G3320"/>
    </row>
    <row r="3321" spans="7:7" x14ac:dyDescent="0.3">
      <c r="G3321"/>
    </row>
    <row r="3322" spans="7:7" x14ac:dyDescent="0.3">
      <c r="G3322"/>
    </row>
    <row r="3323" spans="7:7" x14ac:dyDescent="0.3">
      <c r="G3323"/>
    </row>
    <row r="3324" spans="7:7" x14ac:dyDescent="0.3">
      <c r="G3324"/>
    </row>
    <row r="3325" spans="7:7" x14ac:dyDescent="0.3">
      <c r="G3325"/>
    </row>
    <row r="3326" spans="7:7" x14ac:dyDescent="0.3">
      <c r="G3326"/>
    </row>
    <row r="3327" spans="7:7" x14ac:dyDescent="0.3">
      <c r="G3327"/>
    </row>
    <row r="3328" spans="7:7" x14ac:dyDescent="0.3">
      <c r="G3328"/>
    </row>
    <row r="3329" spans="7:7" x14ac:dyDescent="0.3">
      <c r="G3329"/>
    </row>
    <row r="3330" spans="7:7" x14ac:dyDescent="0.3">
      <c r="G3330"/>
    </row>
    <row r="3331" spans="7:7" x14ac:dyDescent="0.3">
      <c r="G3331"/>
    </row>
    <row r="3332" spans="7:7" x14ac:dyDescent="0.3">
      <c r="G3332"/>
    </row>
    <row r="3333" spans="7:7" x14ac:dyDescent="0.3">
      <c r="G3333"/>
    </row>
    <row r="3334" spans="7:7" x14ac:dyDescent="0.3">
      <c r="G3334"/>
    </row>
    <row r="3335" spans="7:7" x14ac:dyDescent="0.3">
      <c r="G3335"/>
    </row>
    <row r="3336" spans="7:7" x14ac:dyDescent="0.3">
      <c r="G3336"/>
    </row>
    <row r="3337" spans="7:7" x14ac:dyDescent="0.3">
      <c r="G3337"/>
    </row>
    <row r="3338" spans="7:7" x14ac:dyDescent="0.3">
      <c r="G3338"/>
    </row>
    <row r="3339" spans="7:7" x14ac:dyDescent="0.3">
      <c r="G3339"/>
    </row>
    <row r="3340" spans="7:7" x14ac:dyDescent="0.3">
      <c r="G3340"/>
    </row>
    <row r="3341" spans="7:7" x14ac:dyDescent="0.3">
      <c r="G3341"/>
    </row>
    <row r="3342" spans="7:7" x14ac:dyDescent="0.3">
      <c r="G3342"/>
    </row>
    <row r="3343" spans="7:7" x14ac:dyDescent="0.3">
      <c r="G3343"/>
    </row>
    <row r="3344" spans="7:7" x14ac:dyDescent="0.3">
      <c r="G3344"/>
    </row>
    <row r="3345" spans="7:7" x14ac:dyDescent="0.3">
      <c r="G3345"/>
    </row>
    <row r="3346" spans="7:7" x14ac:dyDescent="0.3">
      <c r="G3346"/>
    </row>
    <row r="3347" spans="7:7" x14ac:dyDescent="0.3">
      <c r="G3347"/>
    </row>
    <row r="3348" spans="7:7" x14ac:dyDescent="0.3">
      <c r="G3348"/>
    </row>
    <row r="3349" spans="7:7" x14ac:dyDescent="0.3">
      <c r="G3349"/>
    </row>
    <row r="3350" spans="7:7" x14ac:dyDescent="0.3">
      <c r="G3350"/>
    </row>
    <row r="3351" spans="7:7" x14ac:dyDescent="0.3">
      <c r="G3351"/>
    </row>
    <row r="3352" spans="7:7" x14ac:dyDescent="0.3">
      <c r="G3352"/>
    </row>
    <row r="3353" spans="7:7" x14ac:dyDescent="0.3">
      <c r="G3353"/>
    </row>
    <row r="3354" spans="7:7" x14ac:dyDescent="0.3">
      <c r="G3354"/>
    </row>
    <row r="3355" spans="7:7" x14ac:dyDescent="0.3">
      <c r="G3355"/>
    </row>
    <row r="3356" spans="7:7" x14ac:dyDescent="0.3">
      <c r="G3356"/>
    </row>
    <row r="3357" spans="7:7" x14ac:dyDescent="0.3">
      <c r="G3357"/>
    </row>
    <row r="3358" spans="7:7" x14ac:dyDescent="0.3">
      <c r="G3358"/>
    </row>
    <row r="3359" spans="7:7" x14ac:dyDescent="0.3">
      <c r="G3359"/>
    </row>
    <row r="3360" spans="7:7" x14ac:dyDescent="0.3">
      <c r="G3360"/>
    </row>
    <row r="3361" spans="7:7" x14ac:dyDescent="0.3">
      <c r="G3361"/>
    </row>
    <row r="3362" spans="7:7" x14ac:dyDescent="0.3">
      <c r="G3362"/>
    </row>
    <row r="3363" spans="7:7" x14ac:dyDescent="0.3">
      <c r="G3363"/>
    </row>
    <row r="3364" spans="7:7" x14ac:dyDescent="0.3">
      <c r="G3364"/>
    </row>
    <row r="3365" spans="7:7" x14ac:dyDescent="0.3">
      <c r="G3365"/>
    </row>
    <row r="3366" spans="7:7" x14ac:dyDescent="0.3">
      <c r="G3366"/>
    </row>
    <row r="3367" spans="7:7" x14ac:dyDescent="0.3">
      <c r="G3367"/>
    </row>
    <row r="3368" spans="7:7" x14ac:dyDescent="0.3">
      <c r="G3368"/>
    </row>
    <row r="3369" spans="7:7" x14ac:dyDescent="0.3">
      <c r="G3369"/>
    </row>
    <row r="3370" spans="7:7" x14ac:dyDescent="0.3">
      <c r="G3370"/>
    </row>
    <row r="3371" spans="7:7" x14ac:dyDescent="0.3">
      <c r="G3371"/>
    </row>
    <row r="3372" spans="7:7" x14ac:dyDescent="0.3">
      <c r="G3372"/>
    </row>
    <row r="3373" spans="7:7" x14ac:dyDescent="0.3">
      <c r="G3373"/>
    </row>
    <row r="3374" spans="7:7" x14ac:dyDescent="0.3">
      <c r="G3374"/>
    </row>
    <row r="3375" spans="7:7" x14ac:dyDescent="0.3">
      <c r="G3375"/>
    </row>
    <row r="3376" spans="7:7" x14ac:dyDescent="0.3">
      <c r="G3376"/>
    </row>
    <row r="3377" spans="7:7" x14ac:dyDescent="0.3">
      <c r="G3377"/>
    </row>
    <row r="3378" spans="7:7" x14ac:dyDescent="0.3">
      <c r="G3378"/>
    </row>
    <row r="3379" spans="7:7" x14ac:dyDescent="0.3">
      <c r="G3379"/>
    </row>
    <row r="3380" spans="7:7" x14ac:dyDescent="0.3">
      <c r="G3380"/>
    </row>
    <row r="3381" spans="7:7" x14ac:dyDescent="0.3">
      <c r="G3381"/>
    </row>
    <row r="3382" spans="7:7" x14ac:dyDescent="0.3">
      <c r="G3382"/>
    </row>
    <row r="3383" spans="7:7" x14ac:dyDescent="0.3">
      <c r="G3383"/>
    </row>
    <row r="3384" spans="7:7" x14ac:dyDescent="0.3">
      <c r="G3384"/>
    </row>
    <row r="3385" spans="7:7" x14ac:dyDescent="0.3">
      <c r="G3385"/>
    </row>
    <row r="3386" spans="7:7" x14ac:dyDescent="0.3">
      <c r="G3386"/>
    </row>
    <row r="3387" spans="7:7" x14ac:dyDescent="0.3">
      <c r="G3387"/>
    </row>
    <row r="3388" spans="7:7" x14ac:dyDescent="0.3">
      <c r="G3388"/>
    </row>
    <row r="3389" spans="7:7" x14ac:dyDescent="0.3">
      <c r="G3389"/>
    </row>
    <row r="3390" spans="7:7" x14ac:dyDescent="0.3">
      <c r="G3390"/>
    </row>
    <row r="3391" spans="7:7" x14ac:dyDescent="0.3">
      <c r="G3391"/>
    </row>
    <row r="3392" spans="7:7" x14ac:dyDescent="0.3">
      <c r="G3392"/>
    </row>
    <row r="3393" spans="7:7" x14ac:dyDescent="0.3">
      <c r="G3393"/>
    </row>
    <row r="3394" spans="7:7" x14ac:dyDescent="0.3">
      <c r="G3394"/>
    </row>
    <row r="3395" spans="7:7" x14ac:dyDescent="0.3">
      <c r="G3395"/>
    </row>
    <row r="3396" spans="7:7" x14ac:dyDescent="0.3">
      <c r="G3396"/>
    </row>
    <row r="3397" spans="7:7" x14ac:dyDescent="0.3">
      <c r="G3397"/>
    </row>
    <row r="3398" spans="7:7" x14ac:dyDescent="0.3">
      <c r="G3398"/>
    </row>
    <row r="3399" spans="7:7" x14ac:dyDescent="0.3">
      <c r="G3399"/>
    </row>
    <row r="3400" spans="7:7" x14ac:dyDescent="0.3">
      <c r="G3400"/>
    </row>
    <row r="3401" spans="7:7" x14ac:dyDescent="0.3">
      <c r="G3401"/>
    </row>
    <row r="3402" spans="7:7" x14ac:dyDescent="0.3">
      <c r="G3402"/>
    </row>
    <row r="3403" spans="7:7" x14ac:dyDescent="0.3">
      <c r="G3403"/>
    </row>
    <row r="3404" spans="7:7" x14ac:dyDescent="0.3">
      <c r="G3404"/>
    </row>
    <row r="3405" spans="7:7" x14ac:dyDescent="0.3">
      <c r="G3405"/>
    </row>
    <row r="3406" spans="7:7" x14ac:dyDescent="0.3">
      <c r="G3406"/>
    </row>
    <row r="3407" spans="7:7" x14ac:dyDescent="0.3">
      <c r="G3407"/>
    </row>
    <row r="3408" spans="7:7" x14ac:dyDescent="0.3">
      <c r="G3408"/>
    </row>
    <row r="3409" spans="7:7" x14ac:dyDescent="0.3">
      <c r="G3409"/>
    </row>
    <row r="3410" spans="7:7" x14ac:dyDescent="0.3">
      <c r="G3410"/>
    </row>
    <row r="3411" spans="7:7" x14ac:dyDescent="0.3">
      <c r="G3411"/>
    </row>
    <row r="3412" spans="7:7" x14ac:dyDescent="0.3">
      <c r="G3412"/>
    </row>
    <row r="3413" spans="7:7" x14ac:dyDescent="0.3">
      <c r="G3413"/>
    </row>
    <row r="3414" spans="7:7" x14ac:dyDescent="0.3">
      <c r="G3414"/>
    </row>
    <row r="3415" spans="7:7" x14ac:dyDescent="0.3">
      <c r="G3415"/>
    </row>
    <row r="3416" spans="7:7" x14ac:dyDescent="0.3">
      <c r="G3416"/>
    </row>
    <row r="3417" spans="7:7" x14ac:dyDescent="0.3">
      <c r="G3417"/>
    </row>
    <row r="3418" spans="7:7" x14ac:dyDescent="0.3">
      <c r="G3418"/>
    </row>
    <row r="3419" spans="7:7" x14ac:dyDescent="0.3">
      <c r="G3419"/>
    </row>
    <row r="3420" spans="7:7" x14ac:dyDescent="0.3">
      <c r="G3420"/>
    </row>
    <row r="3421" spans="7:7" x14ac:dyDescent="0.3">
      <c r="G3421"/>
    </row>
    <row r="3422" spans="7:7" x14ac:dyDescent="0.3">
      <c r="G3422"/>
    </row>
    <row r="3423" spans="7:7" x14ac:dyDescent="0.3">
      <c r="G3423"/>
    </row>
    <row r="3424" spans="7:7" x14ac:dyDescent="0.3">
      <c r="G3424"/>
    </row>
    <row r="3425" spans="7:7" x14ac:dyDescent="0.3">
      <c r="G3425"/>
    </row>
    <row r="3426" spans="7:7" x14ac:dyDescent="0.3">
      <c r="G3426"/>
    </row>
    <row r="3427" spans="7:7" x14ac:dyDescent="0.3">
      <c r="G3427"/>
    </row>
    <row r="3428" spans="7:7" x14ac:dyDescent="0.3">
      <c r="G3428"/>
    </row>
    <row r="3429" spans="7:7" x14ac:dyDescent="0.3">
      <c r="G3429"/>
    </row>
    <row r="3430" spans="7:7" x14ac:dyDescent="0.3">
      <c r="G3430"/>
    </row>
    <row r="3431" spans="7:7" x14ac:dyDescent="0.3">
      <c r="G3431"/>
    </row>
    <row r="3432" spans="7:7" x14ac:dyDescent="0.3">
      <c r="G3432"/>
    </row>
    <row r="3433" spans="7:7" x14ac:dyDescent="0.3">
      <c r="G3433"/>
    </row>
    <row r="3434" spans="7:7" x14ac:dyDescent="0.3">
      <c r="G3434"/>
    </row>
    <row r="3435" spans="7:7" x14ac:dyDescent="0.3">
      <c r="G3435"/>
    </row>
    <row r="3436" spans="7:7" x14ac:dyDescent="0.3">
      <c r="G3436"/>
    </row>
    <row r="3437" spans="7:7" x14ac:dyDescent="0.3">
      <c r="G3437"/>
    </row>
    <row r="3438" spans="7:7" x14ac:dyDescent="0.3">
      <c r="G3438"/>
    </row>
    <row r="3439" spans="7:7" x14ac:dyDescent="0.3">
      <c r="G3439"/>
    </row>
    <row r="3440" spans="7:7" x14ac:dyDescent="0.3">
      <c r="G3440"/>
    </row>
    <row r="3441" spans="7:7" x14ac:dyDescent="0.3">
      <c r="G3441"/>
    </row>
    <row r="3442" spans="7:7" x14ac:dyDescent="0.3">
      <c r="G3442"/>
    </row>
    <row r="3443" spans="7:7" x14ac:dyDescent="0.3">
      <c r="G3443"/>
    </row>
    <row r="3444" spans="7:7" x14ac:dyDescent="0.3">
      <c r="G3444"/>
    </row>
    <row r="3445" spans="7:7" x14ac:dyDescent="0.3">
      <c r="G3445"/>
    </row>
    <row r="3446" spans="7:7" x14ac:dyDescent="0.3">
      <c r="G3446"/>
    </row>
    <row r="3447" spans="7:7" x14ac:dyDescent="0.3">
      <c r="G3447"/>
    </row>
    <row r="3448" spans="7:7" x14ac:dyDescent="0.3">
      <c r="G3448"/>
    </row>
    <row r="3449" spans="7:7" x14ac:dyDescent="0.3">
      <c r="G3449"/>
    </row>
    <row r="3450" spans="7:7" x14ac:dyDescent="0.3">
      <c r="G3450"/>
    </row>
    <row r="3451" spans="7:7" x14ac:dyDescent="0.3">
      <c r="G3451"/>
    </row>
    <row r="3452" spans="7:7" x14ac:dyDescent="0.3">
      <c r="G3452"/>
    </row>
    <row r="3453" spans="7:7" x14ac:dyDescent="0.3">
      <c r="G3453"/>
    </row>
    <row r="3454" spans="7:7" x14ac:dyDescent="0.3">
      <c r="G3454"/>
    </row>
    <row r="3455" spans="7:7" x14ac:dyDescent="0.3">
      <c r="G3455"/>
    </row>
    <row r="3456" spans="7:7" x14ac:dyDescent="0.3">
      <c r="G3456"/>
    </row>
    <row r="3457" spans="7:7" x14ac:dyDescent="0.3">
      <c r="G3457"/>
    </row>
    <row r="3458" spans="7:7" x14ac:dyDescent="0.3">
      <c r="G3458"/>
    </row>
    <row r="3459" spans="7:7" x14ac:dyDescent="0.3">
      <c r="G3459"/>
    </row>
    <row r="3460" spans="7:7" x14ac:dyDescent="0.3">
      <c r="G3460"/>
    </row>
    <row r="3461" spans="7:7" x14ac:dyDescent="0.3">
      <c r="G3461"/>
    </row>
    <row r="3462" spans="7:7" x14ac:dyDescent="0.3">
      <c r="G3462"/>
    </row>
    <row r="3463" spans="7:7" x14ac:dyDescent="0.3">
      <c r="G3463"/>
    </row>
    <row r="3464" spans="7:7" x14ac:dyDescent="0.3">
      <c r="G3464"/>
    </row>
    <row r="3465" spans="7:7" x14ac:dyDescent="0.3">
      <c r="G3465"/>
    </row>
    <row r="3466" spans="7:7" x14ac:dyDescent="0.3">
      <c r="G3466"/>
    </row>
    <row r="3467" spans="7:7" x14ac:dyDescent="0.3">
      <c r="G3467"/>
    </row>
    <row r="3468" spans="7:7" x14ac:dyDescent="0.3">
      <c r="G3468"/>
    </row>
    <row r="3469" spans="7:7" x14ac:dyDescent="0.3">
      <c r="G3469"/>
    </row>
    <row r="3470" spans="7:7" x14ac:dyDescent="0.3">
      <c r="G3470"/>
    </row>
    <row r="3471" spans="7:7" x14ac:dyDescent="0.3">
      <c r="G3471"/>
    </row>
    <row r="3472" spans="7:7" x14ac:dyDescent="0.3">
      <c r="G3472"/>
    </row>
    <row r="3473" spans="7:7" x14ac:dyDescent="0.3">
      <c r="G3473"/>
    </row>
    <row r="3474" spans="7:7" x14ac:dyDescent="0.3">
      <c r="G3474"/>
    </row>
    <row r="3475" spans="7:7" x14ac:dyDescent="0.3">
      <c r="G3475"/>
    </row>
    <row r="3476" spans="7:7" x14ac:dyDescent="0.3">
      <c r="G3476"/>
    </row>
    <row r="3477" spans="7:7" x14ac:dyDescent="0.3">
      <c r="G3477"/>
    </row>
    <row r="3478" spans="7:7" x14ac:dyDescent="0.3">
      <c r="G3478"/>
    </row>
    <row r="3479" spans="7:7" x14ac:dyDescent="0.3">
      <c r="G3479"/>
    </row>
    <row r="3480" spans="7:7" x14ac:dyDescent="0.3">
      <c r="G3480"/>
    </row>
    <row r="3481" spans="7:7" x14ac:dyDescent="0.3">
      <c r="G3481"/>
    </row>
    <row r="3482" spans="7:7" x14ac:dyDescent="0.3">
      <c r="G3482"/>
    </row>
    <row r="3483" spans="7:7" x14ac:dyDescent="0.3">
      <c r="G3483"/>
    </row>
    <row r="3484" spans="7:7" x14ac:dyDescent="0.3">
      <c r="G3484"/>
    </row>
    <row r="3485" spans="7:7" x14ac:dyDescent="0.3">
      <c r="G3485"/>
    </row>
    <row r="3486" spans="7:7" x14ac:dyDescent="0.3">
      <c r="G3486"/>
    </row>
    <row r="3487" spans="7:7" x14ac:dyDescent="0.3">
      <c r="G3487"/>
    </row>
    <row r="3488" spans="7:7" x14ac:dyDescent="0.3">
      <c r="G3488"/>
    </row>
    <row r="3489" spans="7:7" x14ac:dyDescent="0.3">
      <c r="G3489"/>
    </row>
    <row r="3490" spans="7:7" x14ac:dyDescent="0.3">
      <c r="G3490"/>
    </row>
    <row r="3491" spans="7:7" x14ac:dyDescent="0.3">
      <c r="G3491"/>
    </row>
    <row r="3492" spans="7:7" x14ac:dyDescent="0.3">
      <c r="G3492"/>
    </row>
    <row r="3493" spans="7:7" x14ac:dyDescent="0.3">
      <c r="G3493"/>
    </row>
    <row r="3494" spans="7:7" x14ac:dyDescent="0.3">
      <c r="G3494"/>
    </row>
    <row r="3495" spans="7:7" x14ac:dyDescent="0.3">
      <c r="G3495"/>
    </row>
    <row r="3496" spans="7:7" x14ac:dyDescent="0.3">
      <c r="G3496"/>
    </row>
    <row r="3497" spans="7:7" x14ac:dyDescent="0.3">
      <c r="G3497"/>
    </row>
    <row r="3498" spans="7:7" x14ac:dyDescent="0.3">
      <c r="G3498"/>
    </row>
    <row r="3499" spans="7:7" x14ac:dyDescent="0.3">
      <c r="G3499"/>
    </row>
    <row r="3500" spans="7:7" x14ac:dyDescent="0.3">
      <c r="G3500"/>
    </row>
    <row r="3501" spans="7:7" x14ac:dyDescent="0.3">
      <c r="G3501"/>
    </row>
    <row r="3502" spans="7:7" x14ac:dyDescent="0.3">
      <c r="G3502"/>
    </row>
    <row r="3503" spans="7:7" x14ac:dyDescent="0.3">
      <c r="G3503"/>
    </row>
    <row r="3504" spans="7:7" x14ac:dyDescent="0.3">
      <c r="G3504"/>
    </row>
    <row r="3505" spans="7:7" x14ac:dyDescent="0.3">
      <c r="G3505"/>
    </row>
    <row r="3506" spans="7:7" x14ac:dyDescent="0.3">
      <c r="G3506"/>
    </row>
    <row r="3507" spans="7:7" x14ac:dyDescent="0.3">
      <c r="G3507"/>
    </row>
    <row r="3508" spans="7:7" x14ac:dyDescent="0.3">
      <c r="G3508"/>
    </row>
    <row r="3509" spans="7:7" x14ac:dyDescent="0.3">
      <c r="G3509"/>
    </row>
    <row r="3510" spans="7:7" x14ac:dyDescent="0.3">
      <c r="G3510"/>
    </row>
    <row r="3511" spans="7:7" x14ac:dyDescent="0.3">
      <c r="G3511"/>
    </row>
    <row r="3512" spans="7:7" x14ac:dyDescent="0.3">
      <c r="G3512"/>
    </row>
    <row r="3513" spans="7:7" x14ac:dyDescent="0.3">
      <c r="G3513"/>
    </row>
    <row r="3514" spans="7:7" x14ac:dyDescent="0.3">
      <c r="G3514"/>
    </row>
    <row r="3515" spans="7:7" x14ac:dyDescent="0.3">
      <c r="G3515"/>
    </row>
    <row r="3516" spans="7:7" x14ac:dyDescent="0.3">
      <c r="G3516"/>
    </row>
    <row r="3517" spans="7:7" x14ac:dyDescent="0.3">
      <c r="G3517"/>
    </row>
    <row r="3518" spans="7:7" x14ac:dyDescent="0.3">
      <c r="G3518"/>
    </row>
    <row r="3519" spans="7:7" x14ac:dyDescent="0.3">
      <c r="G3519"/>
    </row>
    <row r="3520" spans="7:7" x14ac:dyDescent="0.3">
      <c r="G3520"/>
    </row>
    <row r="3521" spans="7:7" x14ac:dyDescent="0.3">
      <c r="G3521"/>
    </row>
    <row r="3522" spans="7:7" x14ac:dyDescent="0.3">
      <c r="G3522"/>
    </row>
    <row r="3523" spans="7:7" x14ac:dyDescent="0.3">
      <c r="G3523"/>
    </row>
    <row r="3524" spans="7:7" x14ac:dyDescent="0.3">
      <c r="G3524"/>
    </row>
    <row r="3525" spans="7:7" x14ac:dyDescent="0.3">
      <c r="G3525"/>
    </row>
    <row r="3526" spans="7:7" x14ac:dyDescent="0.3">
      <c r="G3526"/>
    </row>
    <row r="3527" spans="7:7" x14ac:dyDescent="0.3">
      <c r="G3527"/>
    </row>
    <row r="3528" spans="7:7" x14ac:dyDescent="0.3">
      <c r="G3528"/>
    </row>
    <row r="3529" spans="7:7" x14ac:dyDescent="0.3">
      <c r="G3529"/>
    </row>
    <row r="3530" spans="7:7" x14ac:dyDescent="0.3">
      <c r="G3530"/>
    </row>
    <row r="3531" spans="7:7" x14ac:dyDescent="0.3">
      <c r="G3531"/>
    </row>
    <row r="3532" spans="7:7" x14ac:dyDescent="0.3">
      <c r="G3532"/>
    </row>
    <row r="3533" spans="7:7" x14ac:dyDescent="0.3">
      <c r="G3533"/>
    </row>
    <row r="3534" spans="7:7" x14ac:dyDescent="0.3">
      <c r="G3534"/>
    </row>
    <row r="3535" spans="7:7" x14ac:dyDescent="0.3">
      <c r="G3535"/>
    </row>
    <row r="3536" spans="7:7" x14ac:dyDescent="0.3">
      <c r="G3536"/>
    </row>
    <row r="3537" spans="7:7" x14ac:dyDescent="0.3">
      <c r="G3537"/>
    </row>
    <row r="3538" spans="7:7" x14ac:dyDescent="0.3">
      <c r="G3538"/>
    </row>
    <row r="3539" spans="7:7" x14ac:dyDescent="0.3">
      <c r="G3539"/>
    </row>
    <row r="3540" spans="7:7" x14ac:dyDescent="0.3">
      <c r="G3540"/>
    </row>
    <row r="3541" spans="7:7" x14ac:dyDescent="0.3">
      <c r="G3541"/>
    </row>
    <row r="3542" spans="7:7" x14ac:dyDescent="0.3">
      <c r="G3542"/>
    </row>
    <row r="3543" spans="7:7" x14ac:dyDescent="0.3">
      <c r="G3543"/>
    </row>
    <row r="3544" spans="7:7" x14ac:dyDescent="0.3">
      <c r="G3544"/>
    </row>
    <row r="3545" spans="7:7" x14ac:dyDescent="0.3">
      <c r="G3545"/>
    </row>
    <row r="3546" spans="7:7" x14ac:dyDescent="0.3">
      <c r="G3546"/>
    </row>
    <row r="3547" spans="7:7" x14ac:dyDescent="0.3">
      <c r="G3547"/>
    </row>
    <row r="3548" spans="7:7" x14ac:dyDescent="0.3">
      <c r="G3548"/>
    </row>
    <row r="3549" spans="7:7" x14ac:dyDescent="0.3">
      <c r="G3549"/>
    </row>
    <row r="3550" spans="7:7" x14ac:dyDescent="0.3">
      <c r="G3550"/>
    </row>
    <row r="3551" spans="7:7" x14ac:dyDescent="0.3">
      <c r="G3551"/>
    </row>
    <row r="3552" spans="7:7" x14ac:dyDescent="0.3">
      <c r="G3552"/>
    </row>
    <row r="3553" spans="7:7" x14ac:dyDescent="0.3">
      <c r="G3553"/>
    </row>
    <row r="3554" spans="7:7" x14ac:dyDescent="0.3">
      <c r="G3554"/>
    </row>
    <row r="3555" spans="7:7" x14ac:dyDescent="0.3">
      <c r="G3555"/>
    </row>
    <row r="3556" spans="7:7" x14ac:dyDescent="0.3">
      <c r="G3556"/>
    </row>
    <row r="3557" spans="7:7" x14ac:dyDescent="0.3">
      <c r="G3557"/>
    </row>
    <row r="3558" spans="7:7" x14ac:dyDescent="0.3">
      <c r="G3558"/>
    </row>
    <row r="3559" spans="7:7" x14ac:dyDescent="0.3">
      <c r="G3559"/>
    </row>
    <row r="3560" spans="7:7" x14ac:dyDescent="0.3">
      <c r="G3560"/>
    </row>
    <row r="3561" spans="7:7" x14ac:dyDescent="0.3">
      <c r="G3561"/>
    </row>
    <row r="3562" spans="7:7" x14ac:dyDescent="0.3">
      <c r="G3562"/>
    </row>
    <row r="3563" spans="7:7" x14ac:dyDescent="0.3">
      <c r="G3563"/>
    </row>
    <row r="3564" spans="7:7" x14ac:dyDescent="0.3">
      <c r="G3564"/>
    </row>
    <row r="3565" spans="7:7" x14ac:dyDescent="0.3">
      <c r="G3565"/>
    </row>
    <row r="3566" spans="7:7" x14ac:dyDescent="0.3">
      <c r="G3566"/>
    </row>
    <row r="3567" spans="7:7" x14ac:dyDescent="0.3">
      <c r="G3567"/>
    </row>
    <row r="3568" spans="7:7" x14ac:dyDescent="0.3">
      <c r="G3568"/>
    </row>
    <row r="3569" spans="7:7" x14ac:dyDescent="0.3">
      <c r="G3569"/>
    </row>
    <row r="3570" spans="7:7" x14ac:dyDescent="0.3">
      <c r="G3570"/>
    </row>
    <row r="3571" spans="7:7" x14ac:dyDescent="0.3">
      <c r="G3571"/>
    </row>
    <row r="3572" spans="7:7" x14ac:dyDescent="0.3">
      <c r="G3572"/>
    </row>
    <row r="3573" spans="7:7" x14ac:dyDescent="0.3">
      <c r="G3573"/>
    </row>
    <row r="3574" spans="7:7" x14ac:dyDescent="0.3">
      <c r="G3574"/>
    </row>
    <row r="3575" spans="7:7" x14ac:dyDescent="0.3">
      <c r="G3575"/>
    </row>
    <row r="3576" spans="7:7" x14ac:dyDescent="0.3">
      <c r="G3576"/>
    </row>
    <row r="3577" spans="7:7" x14ac:dyDescent="0.3">
      <c r="G3577"/>
    </row>
    <row r="3578" spans="7:7" x14ac:dyDescent="0.3">
      <c r="G3578"/>
    </row>
    <row r="3579" spans="7:7" x14ac:dyDescent="0.3">
      <c r="G3579"/>
    </row>
    <row r="3580" spans="7:7" x14ac:dyDescent="0.3">
      <c r="G3580"/>
    </row>
    <row r="3581" spans="7:7" x14ac:dyDescent="0.3">
      <c r="G3581"/>
    </row>
    <row r="3582" spans="7:7" x14ac:dyDescent="0.3">
      <c r="G3582"/>
    </row>
    <row r="3583" spans="7:7" x14ac:dyDescent="0.3">
      <c r="G3583"/>
    </row>
    <row r="3584" spans="7:7" x14ac:dyDescent="0.3">
      <c r="G3584"/>
    </row>
    <row r="3585" spans="7:7" x14ac:dyDescent="0.3">
      <c r="G3585"/>
    </row>
    <row r="3586" spans="7:7" x14ac:dyDescent="0.3">
      <c r="G3586"/>
    </row>
    <row r="3587" spans="7:7" x14ac:dyDescent="0.3">
      <c r="G3587"/>
    </row>
    <row r="3588" spans="7:7" x14ac:dyDescent="0.3">
      <c r="G3588"/>
    </row>
    <row r="3589" spans="7:7" x14ac:dyDescent="0.3">
      <c r="G3589"/>
    </row>
    <row r="3590" spans="7:7" x14ac:dyDescent="0.3">
      <c r="G3590"/>
    </row>
    <row r="3591" spans="7:7" x14ac:dyDescent="0.3">
      <c r="G3591"/>
    </row>
    <row r="3592" spans="7:7" x14ac:dyDescent="0.3">
      <c r="G3592"/>
    </row>
    <row r="3593" spans="7:7" x14ac:dyDescent="0.3">
      <c r="G3593"/>
    </row>
    <row r="3594" spans="7:7" x14ac:dyDescent="0.3">
      <c r="G3594"/>
    </row>
    <row r="3595" spans="7:7" x14ac:dyDescent="0.3">
      <c r="G3595"/>
    </row>
    <row r="3596" spans="7:7" x14ac:dyDescent="0.3">
      <c r="G3596"/>
    </row>
    <row r="3597" spans="7:7" x14ac:dyDescent="0.3">
      <c r="G3597"/>
    </row>
    <row r="3598" spans="7:7" x14ac:dyDescent="0.3">
      <c r="G3598"/>
    </row>
    <row r="3599" spans="7:7" x14ac:dyDescent="0.3">
      <c r="G3599"/>
    </row>
    <row r="3600" spans="7:7" x14ac:dyDescent="0.3">
      <c r="G3600"/>
    </row>
    <row r="3601" spans="7:7" x14ac:dyDescent="0.3">
      <c r="G3601"/>
    </row>
    <row r="3602" spans="7:7" x14ac:dyDescent="0.3">
      <c r="G3602"/>
    </row>
    <row r="3603" spans="7:7" x14ac:dyDescent="0.3">
      <c r="G3603"/>
    </row>
    <row r="3604" spans="7:7" x14ac:dyDescent="0.3">
      <c r="G3604"/>
    </row>
    <row r="3605" spans="7:7" x14ac:dyDescent="0.3">
      <c r="G3605"/>
    </row>
    <row r="3606" spans="7:7" x14ac:dyDescent="0.3">
      <c r="G3606"/>
    </row>
    <row r="3607" spans="7:7" x14ac:dyDescent="0.3">
      <c r="G3607"/>
    </row>
    <row r="3608" spans="7:7" x14ac:dyDescent="0.3">
      <c r="G3608"/>
    </row>
    <row r="3609" spans="7:7" x14ac:dyDescent="0.3">
      <c r="G3609"/>
    </row>
    <row r="3610" spans="7:7" x14ac:dyDescent="0.3">
      <c r="G3610"/>
    </row>
    <row r="3611" spans="7:7" x14ac:dyDescent="0.3">
      <c r="G3611"/>
    </row>
    <row r="3612" spans="7:7" x14ac:dyDescent="0.3">
      <c r="G3612"/>
    </row>
    <row r="3613" spans="7:7" x14ac:dyDescent="0.3">
      <c r="G3613"/>
    </row>
    <row r="3614" spans="7:7" x14ac:dyDescent="0.3">
      <c r="G3614"/>
    </row>
    <row r="3615" spans="7:7" x14ac:dyDescent="0.3">
      <c r="G3615"/>
    </row>
    <row r="3616" spans="7:7" x14ac:dyDescent="0.3">
      <c r="G3616"/>
    </row>
    <row r="3617" spans="7:7" x14ac:dyDescent="0.3">
      <c r="G3617"/>
    </row>
    <row r="3618" spans="7:7" x14ac:dyDescent="0.3">
      <c r="G3618"/>
    </row>
    <row r="3619" spans="7:7" x14ac:dyDescent="0.3">
      <c r="G3619"/>
    </row>
    <row r="3620" spans="7:7" x14ac:dyDescent="0.3">
      <c r="G3620"/>
    </row>
    <row r="3621" spans="7:7" x14ac:dyDescent="0.3">
      <c r="G3621"/>
    </row>
    <row r="3622" spans="7:7" x14ac:dyDescent="0.3">
      <c r="G3622"/>
    </row>
    <row r="3623" spans="7:7" x14ac:dyDescent="0.3">
      <c r="G3623"/>
    </row>
    <row r="3624" spans="7:7" x14ac:dyDescent="0.3">
      <c r="G3624"/>
    </row>
    <row r="3625" spans="7:7" x14ac:dyDescent="0.3">
      <c r="G3625"/>
    </row>
    <row r="3626" spans="7:7" x14ac:dyDescent="0.3">
      <c r="G3626"/>
    </row>
    <row r="3627" spans="7:7" x14ac:dyDescent="0.3">
      <c r="G3627"/>
    </row>
    <row r="3628" spans="7:7" x14ac:dyDescent="0.3">
      <c r="G3628"/>
    </row>
    <row r="3629" spans="7:7" x14ac:dyDescent="0.3">
      <c r="G3629"/>
    </row>
    <row r="3630" spans="7:7" x14ac:dyDescent="0.3">
      <c r="G3630"/>
    </row>
    <row r="3631" spans="7:7" x14ac:dyDescent="0.3">
      <c r="G3631"/>
    </row>
    <row r="3632" spans="7:7" x14ac:dyDescent="0.3">
      <c r="G3632"/>
    </row>
    <row r="3633" spans="7:7" x14ac:dyDescent="0.3">
      <c r="G3633"/>
    </row>
    <row r="3634" spans="7:7" x14ac:dyDescent="0.3">
      <c r="G3634"/>
    </row>
    <row r="3635" spans="7:7" x14ac:dyDescent="0.3">
      <c r="G3635"/>
    </row>
    <row r="3636" spans="7:7" x14ac:dyDescent="0.3">
      <c r="G3636"/>
    </row>
    <row r="3637" spans="7:7" x14ac:dyDescent="0.3">
      <c r="G3637"/>
    </row>
    <row r="3638" spans="7:7" x14ac:dyDescent="0.3">
      <c r="G3638"/>
    </row>
    <row r="3639" spans="7:7" x14ac:dyDescent="0.3">
      <c r="G3639"/>
    </row>
    <row r="3640" spans="7:7" x14ac:dyDescent="0.3">
      <c r="G3640"/>
    </row>
    <row r="3641" spans="7:7" x14ac:dyDescent="0.3">
      <c r="G3641"/>
    </row>
    <row r="3642" spans="7:7" x14ac:dyDescent="0.3">
      <c r="G3642"/>
    </row>
    <row r="3643" spans="7:7" x14ac:dyDescent="0.3">
      <c r="G3643"/>
    </row>
    <row r="3644" spans="7:7" x14ac:dyDescent="0.3">
      <c r="G3644"/>
    </row>
    <row r="3645" spans="7:7" x14ac:dyDescent="0.3">
      <c r="G3645"/>
    </row>
    <row r="3646" spans="7:7" x14ac:dyDescent="0.3">
      <c r="G3646"/>
    </row>
    <row r="3647" spans="7:7" x14ac:dyDescent="0.3">
      <c r="G3647"/>
    </row>
    <row r="3648" spans="7:7" x14ac:dyDescent="0.3">
      <c r="G3648"/>
    </row>
    <row r="3649" spans="7:7" x14ac:dyDescent="0.3">
      <c r="G3649"/>
    </row>
    <row r="3650" spans="7:7" x14ac:dyDescent="0.3">
      <c r="G3650"/>
    </row>
    <row r="3651" spans="7:7" x14ac:dyDescent="0.3">
      <c r="G3651"/>
    </row>
    <row r="3652" spans="7:7" x14ac:dyDescent="0.3">
      <c r="G3652"/>
    </row>
    <row r="3653" spans="7:7" x14ac:dyDescent="0.3">
      <c r="G3653"/>
    </row>
    <row r="3654" spans="7:7" x14ac:dyDescent="0.3">
      <c r="G3654"/>
    </row>
    <row r="3655" spans="7:7" x14ac:dyDescent="0.3">
      <c r="G3655"/>
    </row>
    <row r="3656" spans="7:7" x14ac:dyDescent="0.3">
      <c r="G3656"/>
    </row>
    <row r="3657" spans="7:7" x14ac:dyDescent="0.3">
      <c r="G3657"/>
    </row>
    <row r="3658" spans="7:7" x14ac:dyDescent="0.3">
      <c r="G3658"/>
    </row>
    <row r="3659" spans="7:7" x14ac:dyDescent="0.3">
      <c r="G3659"/>
    </row>
    <row r="3660" spans="7:7" x14ac:dyDescent="0.3">
      <c r="G3660"/>
    </row>
    <row r="3661" spans="7:7" x14ac:dyDescent="0.3">
      <c r="G3661"/>
    </row>
    <row r="3662" spans="7:7" x14ac:dyDescent="0.3">
      <c r="G3662"/>
    </row>
    <row r="3663" spans="7:7" x14ac:dyDescent="0.3">
      <c r="G3663"/>
    </row>
    <row r="3664" spans="7:7" x14ac:dyDescent="0.3">
      <c r="G3664"/>
    </row>
    <row r="3665" spans="7:7" x14ac:dyDescent="0.3">
      <c r="G3665"/>
    </row>
    <row r="3666" spans="7:7" x14ac:dyDescent="0.3">
      <c r="G3666"/>
    </row>
    <row r="3667" spans="7:7" x14ac:dyDescent="0.3">
      <c r="G3667"/>
    </row>
    <row r="3668" spans="7:7" x14ac:dyDescent="0.3">
      <c r="G3668"/>
    </row>
    <row r="3669" spans="7:7" x14ac:dyDescent="0.3">
      <c r="G3669"/>
    </row>
    <row r="3670" spans="7:7" x14ac:dyDescent="0.3">
      <c r="G3670"/>
    </row>
    <row r="3671" spans="7:7" x14ac:dyDescent="0.3">
      <c r="G3671"/>
    </row>
    <row r="3672" spans="7:7" x14ac:dyDescent="0.3">
      <c r="G3672"/>
    </row>
    <row r="3673" spans="7:7" x14ac:dyDescent="0.3">
      <c r="G3673"/>
    </row>
    <row r="3674" spans="7:7" x14ac:dyDescent="0.3">
      <c r="G3674"/>
    </row>
    <row r="3675" spans="7:7" x14ac:dyDescent="0.3">
      <c r="G3675"/>
    </row>
    <row r="3676" spans="7:7" x14ac:dyDescent="0.3">
      <c r="G3676"/>
    </row>
    <row r="3677" spans="7:7" x14ac:dyDescent="0.3">
      <c r="G3677"/>
    </row>
    <row r="3678" spans="7:7" x14ac:dyDescent="0.3">
      <c r="G3678"/>
    </row>
    <row r="3679" spans="7:7" x14ac:dyDescent="0.3">
      <c r="G3679"/>
    </row>
    <row r="3680" spans="7:7" x14ac:dyDescent="0.3">
      <c r="G3680"/>
    </row>
    <row r="3681" spans="7:7" x14ac:dyDescent="0.3">
      <c r="G3681"/>
    </row>
    <row r="3682" spans="7:7" x14ac:dyDescent="0.3">
      <c r="G3682"/>
    </row>
    <row r="3683" spans="7:7" x14ac:dyDescent="0.3">
      <c r="G3683"/>
    </row>
    <row r="3684" spans="7:7" x14ac:dyDescent="0.3">
      <c r="G3684"/>
    </row>
    <row r="3685" spans="7:7" x14ac:dyDescent="0.3">
      <c r="G3685"/>
    </row>
    <row r="3686" spans="7:7" x14ac:dyDescent="0.3">
      <c r="G3686"/>
    </row>
    <row r="3687" spans="7:7" x14ac:dyDescent="0.3">
      <c r="G3687"/>
    </row>
    <row r="3688" spans="7:7" x14ac:dyDescent="0.3">
      <c r="G3688"/>
    </row>
    <row r="3689" spans="7:7" x14ac:dyDescent="0.3">
      <c r="G3689"/>
    </row>
    <row r="3690" spans="7:7" x14ac:dyDescent="0.3">
      <c r="G3690"/>
    </row>
    <row r="3691" spans="7:7" x14ac:dyDescent="0.3">
      <c r="G3691"/>
    </row>
    <row r="3692" spans="7:7" x14ac:dyDescent="0.3">
      <c r="G3692"/>
    </row>
    <row r="3693" spans="7:7" x14ac:dyDescent="0.3">
      <c r="G3693"/>
    </row>
    <row r="3694" spans="7:7" x14ac:dyDescent="0.3">
      <c r="G3694"/>
    </row>
    <row r="3695" spans="7:7" x14ac:dyDescent="0.3">
      <c r="G3695"/>
    </row>
    <row r="3696" spans="7:7" x14ac:dyDescent="0.3">
      <c r="G3696"/>
    </row>
    <row r="3697" spans="7:7" x14ac:dyDescent="0.3">
      <c r="G3697"/>
    </row>
    <row r="3698" spans="7:7" x14ac:dyDescent="0.3">
      <c r="G3698"/>
    </row>
    <row r="3699" spans="7:7" x14ac:dyDescent="0.3">
      <c r="G3699"/>
    </row>
    <row r="3700" spans="7:7" x14ac:dyDescent="0.3">
      <c r="G3700"/>
    </row>
    <row r="3701" spans="7:7" x14ac:dyDescent="0.3">
      <c r="G3701"/>
    </row>
    <row r="3702" spans="7:7" x14ac:dyDescent="0.3">
      <c r="G3702"/>
    </row>
    <row r="3703" spans="7:7" x14ac:dyDescent="0.3">
      <c r="G3703"/>
    </row>
    <row r="3704" spans="7:7" x14ac:dyDescent="0.3">
      <c r="G3704"/>
    </row>
    <row r="3705" spans="7:7" x14ac:dyDescent="0.3">
      <c r="G3705"/>
    </row>
    <row r="3706" spans="7:7" x14ac:dyDescent="0.3">
      <c r="G3706"/>
    </row>
    <row r="3707" spans="7:7" x14ac:dyDescent="0.3">
      <c r="G3707"/>
    </row>
    <row r="3708" spans="7:7" x14ac:dyDescent="0.3">
      <c r="G3708"/>
    </row>
    <row r="3709" spans="7:7" x14ac:dyDescent="0.3">
      <c r="G3709"/>
    </row>
    <row r="3710" spans="7:7" x14ac:dyDescent="0.3">
      <c r="G3710"/>
    </row>
    <row r="3711" spans="7:7" x14ac:dyDescent="0.3">
      <c r="G3711"/>
    </row>
    <row r="3712" spans="7:7" x14ac:dyDescent="0.3">
      <c r="G3712"/>
    </row>
    <row r="3713" spans="7:7" x14ac:dyDescent="0.3">
      <c r="G3713"/>
    </row>
    <row r="3714" spans="7:7" x14ac:dyDescent="0.3">
      <c r="G3714"/>
    </row>
    <row r="3715" spans="7:7" x14ac:dyDescent="0.3">
      <c r="G3715"/>
    </row>
    <row r="3716" spans="7:7" x14ac:dyDescent="0.3">
      <c r="G3716"/>
    </row>
    <row r="3717" spans="7:7" x14ac:dyDescent="0.3">
      <c r="G3717"/>
    </row>
    <row r="3718" spans="7:7" x14ac:dyDescent="0.3">
      <c r="G3718"/>
    </row>
    <row r="3719" spans="7:7" x14ac:dyDescent="0.3">
      <c r="G3719"/>
    </row>
    <row r="3720" spans="7:7" x14ac:dyDescent="0.3">
      <c r="G3720"/>
    </row>
    <row r="3721" spans="7:7" x14ac:dyDescent="0.3">
      <c r="G3721"/>
    </row>
    <row r="3722" spans="7:7" x14ac:dyDescent="0.3">
      <c r="G3722"/>
    </row>
    <row r="3723" spans="7:7" x14ac:dyDescent="0.3">
      <c r="G3723"/>
    </row>
    <row r="3724" spans="7:7" x14ac:dyDescent="0.3">
      <c r="G3724"/>
    </row>
    <row r="3725" spans="7:7" x14ac:dyDescent="0.3">
      <c r="G3725"/>
    </row>
    <row r="3726" spans="7:7" x14ac:dyDescent="0.3">
      <c r="G3726"/>
    </row>
    <row r="3727" spans="7:7" x14ac:dyDescent="0.3">
      <c r="G3727"/>
    </row>
    <row r="3728" spans="7:7" x14ac:dyDescent="0.3">
      <c r="G3728"/>
    </row>
    <row r="3729" spans="7:7" x14ac:dyDescent="0.3">
      <c r="G3729"/>
    </row>
    <row r="3730" spans="7:7" x14ac:dyDescent="0.3">
      <c r="G3730"/>
    </row>
    <row r="3731" spans="7:7" x14ac:dyDescent="0.3">
      <c r="G3731"/>
    </row>
    <row r="3732" spans="7:7" x14ac:dyDescent="0.3">
      <c r="G3732"/>
    </row>
    <row r="3733" spans="7:7" x14ac:dyDescent="0.3">
      <c r="G3733"/>
    </row>
    <row r="3734" spans="7:7" x14ac:dyDescent="0.3">
      <c r="G3734"/>
    </row>
    <row r="3735" spans="7:7" x14ac:dyDescent="0.3">
      <c r="G3735"/>
    </row>
    <row r="3736" spans="7:7" x14ac:dyDescent="0.3">
      <c r="G3736"/>
    </row>
    <row r="3737" spans="7:7" x14ac:dyDescent="0.3">
      <c r="G3737"/>
    </row>
    <row r="3738" spans="7:7" x14ac:dyDescent="0.3">
      <c r="G3738"/>
    </row>
    <row r="3739" spans="7:7" x14ac:dyDescent="0.3">
      <c r="G3739"/>
    </row>
    <row r="3740" spans="7:7" x14ac:dyDescent="0.3">
      <c r="G3740"/>
    </row>
    <row r="3741" spans="7:7" x14ac:dyDescent="0.3">
      <c r="G3741"/>
    </row>
    <row r="3742" spans="7:7" x14ac:dyDescent="0.3">
      <c r="G3742"/>
    </row>
    <row r="3743" spans="7:7" x14ac:dyDescent="0.3">
      <c r="G3743"/>
    </row>
    <row r="3744" spans="7:7" x14ac:dyDescent="0.3">
      <c r="G3744"/>
    </row>
    <row r="3745" spans="7:7" x14ac:dyDescent="0.3">
      <c r="G3745"/>
    </row>
    <row r="3746" spans="7:7" x14ac:dyDescent="0.3">
      <c r="G3746"/>
    </row>
    <row r="3747" spans="7:7" x14ac:dyDescent="0.3">
      <c r="G3747"/>
    </row>
    <row r="3748" spans="7:7" x14ac:dyDescent="0.3">
      <c r="G3748"/>
    </row>
    <row r="3749" spans="7:7" x14ac:dyDescent="0.3">
      <c r="G3749"/>
    </row>
    <row r="3750" spans="7:7" x14ac:dyDescent="0.3">
      <c r="G3750"/>
    </row>
    <row r="3751" spans="7:7" x14ac:dyDescent="0.3">
      <c r="G3751"/>
    </row>
    <row r="3752" spans="7:7" x14ac:dyDescent="0.3">
      <c r="G3752"/>
    </row>
    <row r="3753" spans="7:7" x14ac:dyDescent="0.3">
      <c r="G3753"/>
    </row>
    <row r="3754" spans="7:7" x14ac:dyDescent="0.3">
      <c r="G3754"/>
    </row>
    <row r="3755" spans="7:7" x14ac:dyDescent="0.3">
      <c r="G3755"/>
    </row>
    <row r="3756" spans="7:7" x14ac:dyDescent="0.3">
      <c r="G3756"/>
    </row>
    <row r="3757" spans="7:7" x14ac:dyDescent="0.3">
      <c r="G3757"/>
    </row>
    <row r="3758" spans="7:7" x14ac:dyDescent="0.3">
      <c r="G3758"/>
    </row>
    <row r="3759" spans="7:7" x14ac:dyDescent="0.3">
      <c r="G3759"/>
    </row>
    <row r="3760" spans="7:7" x14ac:dyDescent="0.3">
      <c r="G3760"/>
    </row>
    <row r="3761" spans="7:7" x14ac:dyDescent="0.3">
      <c r="G3761"/>
    </row>
    <row r="3762" spans="7:7" x14ac:dyDescent="0.3">
      <c r="G3762"/>
    </row>
    <row r="3763" spans="7:7" x14ac:dyDescent="0.3">
      <c r="G3763"/>
    </row>
    <row r="3764" spans="7:7" x14ac:dyDescent="0.3">
      <c r="G3764"/>
    </row>
    <row r="3765" spans="7:7" x14ac:dyDescent="0.3">
      <c r="G3765"/>
    </row>
    <row r="3766" spans="7:7" x14ac:dyDescent="0.3">
      <c r="G3766"/>
    </row>
    <row r="3767" spans="7:7" x14ac:dyDescent="0.3">
      <c r="G3767"/>
    </row>
    <row r="3768" spans="7:7" x14ac:dyDescent="0.3">
      <c r="G3768"/>
    </row>
    <row r="3769" spans="7:7" x14ac:dyDescent="0.3">
      <c r="G3769"/>
    </row>
    <row r="3770" spans="7:7" x14ac:dyDescent="0.3">
      <c r="G3770"/>
    </row>
    <row r="3771" spans="7:7" x14ac:dyDescent="0.3">
      <c r="G3771"/>
    </row>
    <row r="3772" spans="7:7" x14ac:dyDescent="0.3">
      <c r="G3772"/>
    </row>
    <row r="3773" spans="7:7" x14ac:dyDescent="0.3">
      <c r="G3773"/>
    </row>
    <row r="3774" spans="7:7" x14ac:dyDescent="0.3">
      <c r="G3774"/>
    </row>
    <row r="3775" spans="7:7" x14ac:dyDescent="0.3">
      <c r="G3775"/>
    </row>
    <row r="3776" spans="7:7" x14ac:dyDescent="0.3">
      <c r="G3776"/>
    </row>
    <row r="3777" spans="7:7" x14ac:dyDescent="0.3">
      <c r="G3777"/>
    </row>
    <row r="3778" spans="7:7" x14ac:dyDescent="0.3">
      <c r="G3778"/>
    </row>
    <row r="3779" spans="7:7" x14ac:dyDescent="0.3">
      <c r="G3779"/>
    </row>
    <row r="3780" spans="7:7" x14ac:dyDescent="0.3">
      <c r="G3780"/>
    </row>
    <row r="3781" spans="7:7" x14ac:dyDescent="0.3">
      <c r="G3781"/>
    </row>
    <row r="3782" spans="7:7" x14ac:dyDescent="0.3">
      <c r="G3782"/>
    </row>
    <row r="3783" spans="7:7" x14ac:dyDescent="0.3">
      <c r="G3783"/>
    </row>
    <row r="3784" spans="7:7" x14ac:dyDescent="0.3">
      <c r="G3784"/>
    </row>
    <row r="3785" spans="7:7" x14ac:dyDescent="0.3">
      <c r="G3785"/>
    </row>
    <row r="3786" spans="7:7" x14ac:dyDescent="0.3">
      <c r="G3786"/>
    </row>
    <row r="3787" spans="7:7" x14ac:dyDescent="0.3">
      <c r="G3787"/>
    </row>
    <row r="3788" spans="7:7" x14ac:dyDescent="0.3">
      <c r="G3788"/>
    </row>
    <row r="3789" spans="7:7" x14ac:dyDescent="0.3">
      <c r="G3789"/>
    </row>
    <row r="3790" spans="7:7" x14ac:dyDescent="0.3">
      <c r="G3790"/>
    </row>
    <row r="3791" spans="7:7" x14ac:dyDescent="0.3">
      <c r="G3791"/>
    </row>
    <row r="3792" spans="7:7" x14ac:dyDescent="0.3">
      <c r="G3792"/>
    </row>
    <row r="3793" spans="7:7" x14ac:dyDescent="0.3">
      <c r="G3793"/>
    </row>
    <row r="3794" spans="7:7" x14ac:dyDescent="0.3">
      <c r="G3794"/>
    </row>
    <row r="3795" spans="7:7" x14ac:dyDescent="0.3">
      <c r="G3795"/>
    </row>
    <row r="3796" spans="7:7" x14ac:dyDescent="0.3">
      <c r="G3796"/>
    </row>
    <row r="3797" spans="7:7" x14ac:dyDescent="0.3">
      <c r="G3797"/>
    </row>
    <row r="3798" spans="7:7" x14ac:dyDescent="0.3">
      <c r="G3798"/>
    </row>
    <row r="3799" spans="7:7" x14ac:dyDescent="0.3">
      <c r="G3799"/>
    </row>
    <row r="3800" spans="7:7" x14ac:dyDescent="0.3">
      <c r="G3800"/>
    </row>
    <row r="3801" spans="7:7" x14ac:dyDescent="0.3">
      <c r="G3801"/>
    </row>
    <row r="3802" spans="7:7" x14ac:dyDescent="0.3">
      <c r="G3802"/>
    </row>
    <row r="3803" spans="7:7" x14ac:dyDescent="0.3">
      <c r="G3803"/>
    </row>
    <row r="3804" spans="7:7" x14ac:dyDescent="0.3">
      <c r="G3804"/>
    </row>
    <row r="3805" spans="7:7" x14ac:dyDescent="0.3">
      <c r="G3805"/>
    </row>
    <row r="3806" spans="7:7" x14ac:dyDescent="0.3">
      <c r="G3806"/>
    </row>
    <row r="3807" spans="7:7" x14ac:dyDescent="0.3">
      <c r="G3807"/>
    </row>
    <row r="3808" spans="7:7" x14ac:dyDescent="0.3">
      <c r="G3808"/>
    </row>
    <row r="3809" spans="7:7" x14ac:dyDescent="0.3">
      <c r="G3809"/>
    </row>
    <row r="3810" spans="7:7" x14ac:dyDescent="0.3">
      <c r="G3810"/>
    </row>
    <row r="3811" spans="7:7" x14ac:dyDescent="0.3">
      <c r="G3811"/>
    </row>
    <row r="3812" spans="7:7" x14ac:dyDescent="0.3">
      <c r="G3812"/>
    </row>
    <row r="3813" spans="7:7" x14ac:dyDescent="0.3">
      <c r="G3813"/>
    </row>
    <row r="3814" spans="7:7" x14ac:dyDescent="0.3">
      <c r="G3814"/>
    </row>
    <row r="3815" spans="7:7" x14ac:dyDescent="0.3">
      <c r="G3815"/>
    </row>
    <row r="3816" spans="7:7" x14ac:dyDescent="0.3">
      <c r="G3816"/>
    </row>
    <row r="3817" spans="7:7" x14ac:dyDescent="0.3">
      <c r="G3817"/>
    </row>
    <row r="3818" spans="7:7" x14ac:dyDescent="0.3">
      <c r="G3818"/>
    </row>
    <row r="3819" spans="7:7" x14ac:dyDescent="0.3">
      <c r="G3819"/>
    </row>
    <row r="3820" spans="7:7" x14ac:dyDescent="0.3">
      <c r="G3820"/>
    </row>
    <row r="3821" spans="7:7" x14ac:dyDescent="0.3">
      <c r="G3821"/>
    </row>
    <row r="3822" spans="7:7" x14ac:dyDescent="0.3">
      <c r="G3822"/>
    </row>
    <row r="3823" spans="7:7" x14ac:dyDescent="0.3">
      <c r="G3823"/>
    </row>
    <row r="3824" spans="7:7" x14ac:dyDescent="0.3">
      <c r="G3824"/>
    </row>
    <row r="3825" spans="7:7" x14ac:dyDescent="0.3">
      <c r="G3825"/>
    </row>
    <row r="3826" spans="7:7" x14ac:dyDescent="0.3">
      <c r="G3826"/>
    </row>
    <row r="3827" spans="7:7" x14ac:dyDescent="0.3">
      <c r="G3827"/>
    </row>
    <row r="3828" spans="7:7" x14ac:dyDescent="0.3">
      <c r="G3828"/>
    </row>
    <row r="3829" spans="7:7" x14ac:dyDescent="0.3">
      <c r="G3829"/>
    </row>
    <row r="3830" spans="7:7" x14ac:dyDescent="0.3">
      <c r="G3830"/>
    </row>
    <row r="3831" spans="7:7" x14ac:dyDescent="0.3">
      <c r="G3831"/>
    </row>
    <row r="3832" spans="7:7" x14ac:dyDescent="0.3">
      <c r="G3832"/>
    </row>
    <row r="3833" spans="7:7" x14ac:dyDescent="0.3">
      <c r="G3833"/>
    </row>
    <row r="3834" spans="7:7" x14ac:dyDescent="0.3">
      <c r="G3834"/>
    </row>
    <row r="3835" spans="7:7" x14ac:dyDescent="0.3">
      <c r="G3835"/>
    </row>
    <row r="3836" spans="7:7" x14ac:dyDescent="0.3">
      <c r="G3836"/>
    </row>
    <row r="3837" spans="7:7" x14ac:dyDescent="0.3">
      <c r="G3837"/>
    </row>
    <row r="3838" spans="7:7" x14ac:dyDescent="0.3">
      <c r="G3838"/>
    </row>
    <row r="3839" spans="7:7" x14ac:dyDescent="0.3">
      <c r="G3839"/>
    </row>
    <row r="3840" spans="7:7" x14ac:dyDescent="0.3">
      <c r="G3840"/>
    </row>
    <row r="3841" spans="7:7" x14ac:dyDescent="0.3">
      <c r="G3841"/>
    </row>
    <row r="3842" spans="7:7" x14ac:dyDescent="0.3">
      <c r="G3842"/>
    </row>
    <row r="3843" spans="7:7" x14ac:dyDescent="0.3">
      <c r="G3843"/>
    </row>
    <row r="3844" spans="7:7" x14ac:dyDescent="0.3">
      <c r="G3844"/>
    </row>
    <row r="3845" spans="7:7" x14ac:dyDescent="0.3">
      <c r="G3845"/>
    </row>
    <row r="3846" spans="7:7" x14ac:dyDescent="0.3">
      <c r="G3846"/>
    </row>
    <row r="3847" spans="7:7" x14ac:dyDescent="0.3">
      <c r="G3847"/>
    </row>
    <row r="3848" spans="7:7" x14ac:dyDescent="0.3">
      <c r="G3848"/>
    </row>
    <row r="3849" spans="7:7" x14ac:dyDescent="0.3">
      <c r="G3849"/>
    </row>
    <row r="3850" spans="7:7" x14ac:dyDescent="0.3">
      <c r="G3850"/>
    </row>
    <row r="3851" spans="7:7" x14ac:dyDescent="0.3">
      <c r="G3851"/>
    </row>
    <row r="3852" spans="7:7" x14ac:dyDescent="0.3">
      <c r="G3852"/>
    </row>
    <row r="3853" spans="7:7" x14ac:dyDescent="0.3">
      <c r="G3853"/>
    </row>
    <row r="3854" spans="7:7" x14ac:dyDescent="0.3">
      <c r="G3854"/>
    </row>
    <row r="3855" spans="7:7" x14ac:dyDescent="0.3">
      <c r="G3855"/>
    </row>
    <row r="3856" spans="7:7" x14ac:dyDescent="0.3">
      <c r="G3856"/>
    </row>
    <row r="3857" spans="7:7" x14ac:dyDescent="0.3">
      <c r="G3857"/>
    </row>
    <row r="3858" spans="7:7" x14ac:dyDescent="0.3">
      <c r="G3858"/>
    </row>
    <row r="3859" spans="7:7" x14ac:dyDescent="0.3">
      <c r="G3859"/>
    </row>
    <row r="3860" spans="7:7" x14ac:dyDescent="0.3">
      <c r="G3860"/>
    </row>
    <row r="3861" spans="7:7" x14ac:dyDescent="0.3">
      <c r="G3861"/>
    </row>
    <row r="3862" spans="7:7" x14ac:dyDescent="0.3">
      <c r="G3862"/>
    </row>
    <row r="3863" spans="7:7" x14ac:dyDescent="0.3">
      <c r="G3863"/>
    </row>
    <row r="3864" spans="7:7" x14ac:dyDescent="0.3">
      <c r="G3864"/>
    </row>
    <row r="3865" spans="7:7" x14ac:dyDescent="0.3">
      <c r="G3865"/>
    </row>
    <row r="3866" spans="7:7" x14ac:dyDescent="0.3">
      <c r="G3866"/>
    </row>
    <row r="3867" spans="7:7" x14ac:dyDescent="0.3">
      <c r="G3867"/>
    </row>
    <row r="3868" spans="7:7" x14ac:dyDescent="0.3">
      <c r="G3868"/>
    </row>
    <row r="3869" spans="7:7" x14ac:dyDescent="0.3">
      <c r="G3869"/>
    </row>
    <row r="3870" spans="7:7" x14ac:dyDescent="0.3">
      <c r="G3870"/>
    </row>
    <row r="3871" spans="7:7" x14ac:dyDescent="0.3">
      <c r="G3871"/>
    </row>
    <row r="3872" spans="7:7" x14ac:dyDescent="0.3">
      <c r="G3872"/>
    </row>
    <row r="3873" spans="7:7" x14ac:dyDescent="0.3">
      <c r="G3873"/>
    </row>
    <row r="3874" spans="7:7" x14ac:dyDescent="0.3">
      <c r="G3874"/>
    </row>
    <row r="3875" spans="7:7" x14ac:dyDescent="0.3">
      <c r="G3875"/>
    </row>
    <row r="3876" spans="7:7" x14ac:dyDescent="0.3">
      <c r="G3876"/>
    </row>
    <row r="3877" spans="7:7" x14ac:dyDescent="0.3">
      <c r="G3877"/>
    </row>
    <row r="3878" spans="7:7" x14ac:dyDescent="0.3">
      <c r="G3878"/>
    </row>
    <row r="3879" spans="7:7" x14ac:dyDescent="0.3">
      <c r="G3879"/>
    </row>
    <row r="3880" spans="7:7" x14ac:dyDescent="0.3">
      <c r="G3880"/>
    </row>
    <row r="3881" spans="7:7" x14ac:dyDescent="0.3">
      <c r="G3881"/>
    </row>
    <row r="3882" spans="7:7" x14ac:dyDescent="0.3">
      <c r="G3882"/>
    </row>
    <row r="3883" spans="7:7" x14ac:dyDescent="0.3">
      <c r="G3883"/>
    </row>
    <row r="3884" spans="7:7" x14ac:dyDescent="0.3">
      <c r="G3884"/>
    </row>
    <row r="3885" spans="7:7" x14ac:dyDescent="0.3">
      <c r="G3885"/>
    </row>
    <row r="3886" spans="7:7" x14ac:dyDescent="0.3">
      <c r="G3886"/>
    </row>
    <row r="3887" spans="7:7" x14ac:dyDescent="0.3">
      <c r="G3887"/>
    </row>
    <row r="3888" spans="7:7" x14ac:dyDescent="0.3">
      <c r="G3888"/>
    </row>
    <row r="3889" spans="7:7" x14ac:dyDescent="0.3">
      <c r="G3889"/>
    </row>
    <row r="3890" spans="7:7" x14ac:dyDescent="0.3">
      <c r="G3890"/>
    </row>
    <row r="3891" spans="7:7" x14ac:dyDescent="0.3">
      <c r="G3891"/>
    </row>
    <row r="3892" spans="7:7" x14ac:dyDescent="0.3">
      <c r="G3892"/>
    </row>
    <row r="3893" spans="7:7" x14ac:dyDescent="0.3">
      <c r="G3893"/>
    </row>
    <row r="3894" spans="7:7" x14ac:dyDescent="0.3">
      <c r="G3894"/>
    </row>
    <row r="3895" spans="7:7" x14ac:dyDescent="0.3">
      <c r="G3895"/>
    </row>
    <row r="3896" spans="7:7" x14ac:dyDescent="0.3">
      <c r="G3896"/>
    </row>
    <row r="3897" spans="7:7" x14ac:dyDescent="0.3">
      <c r="G3897"/>
    </row>
    <row r="3898" spans="7:7" x14ac:dyDescent="0.3">
      <c r="G3898"/>
    </row>
    <row r="3899" spans="7:7" x14ac:dyDescent="0.3">
      <c r="G3899"/>
    </row>
    <row r="3900" spans="7:7" x14ac:dyDescent="0.3">
      <c r="G3900"/>
    </row>
    <row r="3901" spans="7:7" x14ac:dyDescent="0.3">
      <c r="G3901"/>
    </row>
    <row r="3902" spans="7:7" x14ac:dyDescent="0.3">
      <c r="G3902"/>
    </row>
    <row r="3903" spans="7:7" x14ac:dyDescent="0.3">
      <c r="G3903"/>
    </row>
    <row r="3904" spans="7:7" x14ac:dyDescent="0.3">
      <c r="G3904"/>
    </row>
    <row r="3905" spans="7:7" x14ac:dyDescent="0.3">
      <c r="G3905"/>
    </row>
    <row r="3906" spans="7:7" x14ac:dyDescent="0.3">
      <c r="G3906"/>
    </row>
    <row r="3907" spans="7:7" x14ac:dyDescent="0.3">
      <c r="G3907"/>
    </row>
    <row r="3908" spans="7:7" x14ac:dyDescent="0.3">
      <c r="G3908"/>
    </row>
    <row r="3909" spans="7:7" x14ac:dyDescent="0.3">
      <c r="G3909"/>
    </row>
    <row r="3910" spans="7:7" x14ac:dyDescent="0.3">
      <c r="G3910"/>
    </row>
    <row r="3911" spans="7:7" x14ac:dyDescent="0.3">
      <c r="G3911"/>
    </row>
    <row r="3912" spans="7:7" x14ac:dyDescent="0.3">
      <c r="G3912"/>
    </row>
    <row r="3913" spans="7:7" x14ac:dyDescent="0.3">
      <c r="G3913"/>
    </row>
    <row r="3914" spans="7:7" x14ac:dyDescent="0.3">
      <c r="G3914"/>
    </row>
    <row r="3915" spans="7:7" x14ac:dyDescent="0.3">
      <c r="G3915"/>
    </row>
    <row r="3916" spans="7:7" x14ac:dyDescent="0.3">
      <c r="G3916"/>
    </row>
    <row r="3917" spans="7:7" x14ac:dyDescent="0.3">
      <c r="G3917"/>
    </row>
    <row r="3918" spans="7:7" x14ac:dyDescent="0.3">
      <c r="G3918"/>
    </row>
    <row r="3919" spans="7:7" x14ac:dyDescent="0.3">
      <c r="G3919"/>
    </row>
    <row r="3920" spans="7:7" x14ac:dyDescent="0.3">
      <c r="G3920"/>
    </row>
    <row r="3921" spans="7:7" x14ac:dyDescent="0.3">
      <c r="G3921"/>
    </row>
    <row r="3922" spans="7:7" x14ac:dyDescent="0.3">
      <c r="G3922"/>
    </row>
    <row r="3923" spans="7:7" x14ac:dyDescent="0.3">
      <c r="G3923"/>
    </row>
    <row r="3924" spans="7:7" x14ac:dyDescent="0.3">
      <c r="G3924"/>
    </row>
    <row r="3925" spans="7:7" x14ac:dyDescent="0.3">
      <c r="G3925"/>
    </row>
    <row r="3926" spans="7:7" x14ac:dyDescent="0.3">
      <c r="G3926"/>
    </row>
    <row r="3927" spans="7:7" x14ac:dyDescent="0.3">
      <c r="G3927"/>
    </row>
    <row r="3928" spans="7:7" x14ac:dyDescent="0.3">
      <c r="G3928"/>
    </row>
    <row r="3929" spans="7:7" x14ac:dyDescent="0.3">
      <c r="G3929"/>
    </row>
    <row r="3930" spans="7:7" x14ac:dyDescent="0.3">
      <c r="G3930"/>
    </row>
    <row r="3931" spans="7:7" x14ac:dyDescent="0.3">
      <c r="G3931"/>
    </row>
    <row r="3932" spans="7:7" x14ac:dyDescent="0.3">
      <c r="G3932"/>
    </row>
    <row r="3933" spans="7:7" x14ac:dyDescent="0.3">
      <c r="G3933"/>
    </row>
    <row r="3934" spans="7:7" x14ac:dyDescent="0.3">
      <c r="G3934"/>
    </row>
    <row r="3935" spans="7:7" x14ac:dyDescent="0.3">
      <c r="G3935"/>
    </row>
    <row r="3936" spans="7:7" x14ac:dyDescent="0.3">
      <c r="G3936"/>
    </row>
    <row r="3937" spans="7:7" x14ac:dyDescent="0.3">
      <c r="G3937"/>
    </row>
    <row r="3938" spans="7:7" x14ac:dyDescent="0.3">
      <c r="G3938"/>
    </row>
    <row r="3939" spans="7:7" x14ac:dyDescent="0.3">
      <c r="G3939"/>
    </row>
    <row r="3940" spans="7:7" x14ac:dyDescent="0.3">
      <c r="G3940"/>
    </row>
    <row r="3941" spans="7:7" x14ac:dyDescent="0.3">
      <c r="G3941"/>
    </row>
    <row r="3942" spans="7:7" x14ac:dyDescent="0.3">
      <c r="G3942"/>
    </row>
    <row r="3943" spans="7:7" x14ac:dyDescent="0.3">
      <c r="G3943"/>
    </row>
    <row r="3944" spans="7:7" x14ac:dyDescent="0.3">
      <c r="G3944"/>
    </row>
    <row r="3945" spans="7:7" x14ac:dyDescent="0.3">
      <c r="G3945"/>
    </row>
    <row r="3946" spans="7:7" x14ac:dyDescent="0.3">
      <c r="G3946"/>
    </row>
    <row r="3947" spans="7:7" x14ac:dyDescent="0.3">
      <c r="G3947"/>
    </row>
    <row r="3948" spans="7:7" x14ac:dyDescent="0.3">
      <c r="G3948"/>
    </row>
    <row r="3949" spans="7:7" x14ac:dyDescent="0.3">
      <c r="G3949"/>
    </row>
    <row r="3950" spans="7:7" x14ac:dyDescent="0.3">
      <c r="G3950"/>
    </row>
    <row r="3951" spans="7:7" x14ac:dyDescent="0.3">
      <c r="G3951"/>
    </row>
    <row r="3952" spans="7:7" x14ac:dyDescent="0.3">
      <c r="G3952"/>
    </row>
    <row r="3953" spans="7:7" x14ac:dyDescent="0.3">
      <c r="G3953"/>
    </row>
    <row r="3954" spans="7:7" x14ac:dyDescent="0.3">
      <c r="G3954"/>
    </row>
    <row r="3955" spans="7:7" x14ac:dyDescent="0.3">
      <c r="G3955"/>
    </row>
    <row r="3956" spans="7:7" x14ac:dyDescent="0.3">
      <c r="G3956"/>
    </row>
    <row r="3957" spans="7:7" x14ac:dyDescent="0.3">
      <c r="G3957"/>
    </row>
    <row r="3958" spans="7:7" x14ac:dyDescent="0.3">
      <c r="G3958"/>
    </row>
    <row r="3959" spans="7:7" x14ac:dyDescent="0.3">
      <c r="G3959"/>
    </row>
    <row r="3960" spans="7:7" x14ac:dyDescent="0.3">
      <c r="G3960"/>
    </row>
    <row r="3961" spans="7:7" x14ac:dyDescent="0.3">
      <c r="G3961"/>
    </row>
    <row r="3962" spans="7:7" x14ac:dyDescent="0.3">
      <c r="G3962"/>
    </row>
    <row r="3963" spans="7:7" x14ac:dyDescent="0.3">
      <c r="G3963"/>
    </row>
    <row r="3964" spans="7:7" x14ac:dyDescent="0.3">
      <c r="G3964"/>
    </row>
    <row r="3965" spans="7:7" x14ac:dyDescent="0.3">
      <c r="G3965"/>
    </row>
    <row r="3966" spans="7:7" x14ac:dyDescent="0.3">
      <c r="G3966"/>
    </row>
    <row r="3967" spans="7:7" x14ac:dyDescent="0.3">
      <c r="G3967"/>
    </row>
    <row r="3968" spans="7:7" x14ac:dyDescent="0.3">
      <c r="G3968"/>
    </row>
    <row r="3969" spans="7:7" x14ac:dyDescent="0.3">
      <c r="G3969"/>
    </row>
    <row r="3970" spans="7:7" x14ac:dyDescent="0.3">
      <c r="G3970"/>
    </row>
    <row r="3971" spans="7:7" x14ac:dyDescent="0.3">
      <c r="G3971"/>
    </row>
    <row r="3972" spans="7:7" x14ac:dyDescent="0.3">
      <c r="G3972"/>
    </row>
    <row r="3973" spans="7:7" x14ac:dyDescent="0.3">
      <c r="G3973"/>
    </row>
    <row r="3974" spans="7:7" x14ac:dyDescent="0.3">
      <c r="G3974"/>
    </row>
    <row r="3975" spans="7:7" x14ac:dyDescent="0.3">
      <c r="G3975"/>
    </row>
    <row r="3976" spans="7:7" x14ac:dyDescent="0.3">
      <c r="G3976"/>
    </row>
    <row r="3977" spans="7:7" x14ac:dyDescent="0.3">
      <c r="G3977"/>
    </row>
    <row r="3978" spans="7:7" x14ac:dyDescent="0.3">
      <c r="G3978"/>
    </row>
    <row r="3979" spans="7:7" x14ac:dyDescent="0.3">
      <c r="G3979"/>
    </row>
    <row r="3980" spans="7:7" x14ac:dyDescent="0.3">
      <c r="G3980"/>
    </row>
    <row r="3981" spans="7:7" x14ac:dyDescent="0.3">
      <c r="G3981"/>
    </row>
    <row r="3982" spans="7:7" x14ac:dyDescent="0.3">
      <c r="G3982"/>
    </row>
    <row r="3983" spans="7:7" x14ac:dyDescent="0.3">
      <c r="G3983"/>
    </row>
    <row r="3984" spans="7:7" x14ac:dyDescent="0.3">
      <c r="G3984"/>
    </row>
    <row r="3985" spans="7:7" x14ac:dyDescent="0.3">
      <c r="G3985"/>
    </row>
    <row r="3986" spans="7:7" x14ac:dyDescent="0.3">
      <c r="G3986"/>
    </row>
    <row r="3987" spans="7:7" x14ac:dyDescent="0.3">
      <c r="G3987"/>
    </row>
    <row r="3988" spans="7:7" x14ac:dyDescent="0.3">
      <c r="G3988"/>
    </row>
    <row r="3989" spans="7:7" x14ac:dyDescent="0.3">
      <c r="G3989"/>
    </row>
    <row r="3990" spans="7:7" x14ac:dyDescent="0.3">
      <c r="G3990"/>
    </row>
    <row r="3991" spans="7:7" x14ac:dyDescent="0.3">
      <c r="G3991"/>
    </row>
    <row r="3992" spans="7:7" x14ac:dyDescent="0.3">
      <c r="G3992"/>
    </row>
    <row r="3993" spans="7:7" x14ac:dyDescent="0.3">
      <c r="G3993"/>
    </row>
    <row r="3994" spans="7:7" x14ac:dyDescent="0.3">
      <c r="G3994"/>
    </row>
    <row r="3995" spans="7:7" x14ac:dyDescent="0.3">
      <c r="G3995"/>
    </row>
    <row r="3996" spans="7:7" x14ac:dyDescent="0.3">
      <c r="G3996"/>
    </row>
    <row r="3997" spans="7:7" x14ac:dyDescent="0.3">
      <c r="G3997"/>
    </row>
    <row r="3998" spans="7:7" x14ac:dyDescent="0.3">
      <c r="G3998"/>
    </row>
    <row r="3999" spans="7:7" x14ac:dyDescent="0.3">
      <c r="G3999"/>
    </row>
    <row r="4000" spans="7:7" x14ac:dyDescent="0.3">
      <c r="G4000"/>
    </row>
    <row r="4001" spans="7:7" x14ac:dyDescent="0.3">
      <c r="G4001"/>
    </row>
    <row r="4002" spans="7:7" x14ac:dyDescent="0.3">
      <c r="G4002"/>
    </row>
    <row r="4003" spans="7:7" x14ac:dyDescent="0.3">
      <c r="G4003"/>
    </row>
    <row r="4004" spans="7:7" x14ac:dyDescent="0.3">
      <c r="G4004"/>
    </row>
    <row r="4005" spans="7:7" x14ac:dyDescent="0.3">
      <c r="G4005"/>
    </row>
    <row r="4006" spans="7:7" x14ac:dyDescent="0.3">
      <c r="G4006"/>
    </row>
    <row r="4007" spans="7:7" x14ac:dyDescent="0.3">
      <c r="G4007"/>
    </row>
    <row r="4008" spans="7:7" x14ac:dyDescent="0.3">
      <c r="G4008"/>
    </row>
    <row r="4009" spans="7:7" x14ac:dyDescent="0.3">
      <c r="G4009"/>
    </row>
    <row r="4010" spans="7:7" x14ac:dyDescent="0.3">
      <c r="G4010"/>
    </row>
    <row r="4011" spans="7:7" x14ac:dyDescent="0.3">
      <c r="G4011"/>
    </row>
    <row r="4012" spans="7:7" x14ac:dyDescent="0.3">
      <c r="G4012"/>
    </row>
    <row r="4013" spans="7:7" x14ac:dyDescent="0.3">
      <c r="G4013"/>
    </row>
    <row r="4014" spans="7:7" x14ac:dyDescent="0.3">
      <c r="G4014"/>
    </row>
    <row r="4015" spans="7:7" x14ac:dyDescent="0.3">
      <c r="G4015"/>
    </row>
    <row r="4016" spans="7:7" x14ac:dyDescent="0.3">
      <c r="G4016"/>
    </row>
    <row r="4017" spans="7:7" x14ac:dyDescent="0.3">
      <c r="G4017"/>
    </row>
    <row r="4018" spans="7:7" x14ac:dyDescent="0.3">
      <c r="G4018"/>
    </row>
    <row r="4019" spans="7:7" x14ac:dyDescent="0.3">
      <c r="G4019"/>
    </row>
    <row r="4020" spans="7:7" x14ac:dyDescent="0.3">
      <c r="G4020"/>
    </row>
    <row r="4021" spans="7:7" x14ac:dyDescent="0.3">
      <c r="G4021"/>
    </row>
    <row r="4022" spans="7:7" x14ac:dyDescent="0.3">
      <c r="G4022"/>
    </row>
    <row r="4023" spans="7:7" x14ac:dyDescent="0.3">
      <c r="G4023"/>
    </row>
    <row r="4024" spans="7:7" x14ac:dyDescent="0.3">
      <c r="G4024"/>
    </row>
    <row r="4025" spans="7:7" x14ac:dyDescent="0.3">
      <c r="G4025"/>
    </row>
    <row r="4026" spans="7:7" x14ac:dyDescent="0.3">
      <c r="G4026"/>
    </row>
    <row r="4027" spans="7:7" x14ac:dyDescent="0.3">
      <c r="G4027"/>
    </row>
    <row r="4028" spans="7:7" x14ac:dyDescent="0.3">
      <c r="G4028"/>
    </row>
    <row r="4029" spans="7:7" x14ac:dyDescent="0.3">
      <c r="G4029"/>
    </row>
    <row r="4030" spans="7:7" x14ac:dyDescent="0.3">
      <c r="G4030"/>
    </row>
    <row r="4031" spans="7:7" x14ac:dyDescent="0.3">
      <c r="G4031"/>
    </row>
    <row r="4032" spans="7:7" x14ac:dyDescent="0.3">
      <c r="G4032"/>
    </row>
    <row r="4033" spans="7:7" x14ac:dyDescent="0.3">
      <c r="G4033"/>
    </row>
    <row r="4034" spans="7:7" x14ac:dyDescent="0.3">
      <c r="G4034"/>
    </row>
    <row r="4035" spans="7:7" x14ac:dyDescent="0.3">
      <c r="G4035"/>
    </row>
    <row r="4036" spans="7:7" x14ac:dyDescent="0.3">
      <c r="G4036"/>
    </row>
    <row r="4037" spans="7:7" x14ac:dyDescent="0.3">
      <c r="G4037"/>
    </row>
    <row r="4038" spans="7:7" x14ac:dyDescent="0.3">
      <c r="G4038"/>
    </row>
    <row r="4039" spans="7:7" x14ac:dyDescent="0.3">
      <c r="G4039"/>
    </row>
    <row r="4040" spans="7:7" x14ac:dyDescent="0.3">
      <c r="G4040"/>
    </row>
    <row r="4041" spans="7:7" x14ac:dyDescent="0.3">
      <c r="G4041"/>
    </row>
    <row r="4042" spans="7:7" x14ac:dyDescent="0.3">
      <c r="G4042"/>
    </row>
    <row r="4043" spans="7:7" x14ac:dyDescent="0.3">
      <c r="G4043"/>
    </row>
    <row r="4044" spans="7:7" x14ac:dyDescent="0.3">
      <c r="G4044"/>
    </row>
    <row r="4045" spans="7:7" x14ac:dyDescent="0.3">
      <c r="G4045"/>
    </row>
    <row r="4046" spans="7:7" x14ac:dyDescent="0.3">
      <c r="G4046"/>
    </row>
    <row r="4047" spans="7:7" x14ac:dyDescent="0.3">
      <c r="G4047"/>
    </row>
    <row r="4048" spans="7:7" x14ac:dyDescent="0.3">
      <c r="G4048"/>
    </row>
    <row r="4049" spans="7:7" x14ac:dyDescent="0.3">
      <c r="G4049"/>
    </row>
    <row r="4050" spans="7:7" x14ac:dyDescent="0.3">
      <c r="G4050"/>
    </row>
    <row r="4051" spans="7:7" x14ac:dyDescent="0.3">
      <c r="G4051"/>
    </row>
    <row r="4052" spans="7:7" x14ac:dyDescent="0.3">
      <c r="G4052"/>
    </row>
    <row r="4053" spans="7:7" x14ac:dyDescent="0.3">
      <c r="G4053"/>
    </row>
    <row r="4054" spans="7:7" x14ac:dyDescent="0.3">
      <c r="G4054"/>
    </row>
    <row r="4055" spans="7:7" x14ac:dyDescent="0.3">
      <c r="G4055"/>
    </row>
    <row r="4056" spans="7:7" x14ac:dyDescent="0.3">
      <c r="G4056"/>
    </row>
    <row r="4057" spans="7:7" x14ac:dyDescent="0.3">
      <c r="G4057"/>
    </row>
    <row r="4058" spans="7:7" x14ac:dyDescent="0.3">
      <c r="G4058"/>
    </row>
    <row r="4059" spans="7:7" x14ac:dyDescent="0.3">
      <c r="G4059"/>
    </row>
    <row r="4060" spans="7:7" x14ac:dyDescent="0.3">
      <c r="G4060"/>
    </row>
    <row r="4061" spans="7:7" x14ac:dyDescent="0.3">
      <c r="G4061"/>
    </row>
    <row r="4062" spans="7:7" x14ac:dyDescent="0.3">
      <c r="G4062"/>
    </row>
    <row r="4063" spans="7:7" x14ac:dyDescent="0.3">
      <c r="G4063"/>
    </row>
    <row r="4064" spans="7:7" x14ac:dyDescent="0.3">
      <c r="G4064"/>
    </row>
    <row r="4065" spans="7:7" x14ac:dyDescent="0.3">
      <c r="G4065"/>
    </row>
    <row r="4066" spans="7:7" x14ac:dyDescent="0.3">
      <c r="G4066"/>
    </row>
    <row r="4067" spans="7:7" x14ac:dyDescent="0.3">
      <c r="G4067"/>
    </row>
    <row r="4068" spans="7:7" x14ac:dyDescent="0.3">
      <c r="G4068"/>
    </row>
    <row r="4069" spans="7:7" x14ac:dyDescent="0.3">
      <c r="G4069"/>
    </row>
    <row r="4070" spans="7:7" x14ac:dyDescent="0.3">
      <c r="G4070"/>
    </row>
    <row r="4071" spans="7:7" x14ac:dyDescent="0.3">
      <c r="G4071"/>
    </row>
    <row r="4072" spans="7:7" x14ac:dyDescent="0.3">
      <c r="G4072"/>
    </row>
    <row r="4073" spans="7:7" x14ac:dyDescent="0.3">
      <c r="G4073"/>
    </row>
    <row r="4074" spans="7:7" x14ac:dyDescent="0.3">
      <c r="G4074"/>
    </row>
    <row r="4075" spans="7:7" x14ac:dyDescent="0.3">
      <c r="G4075"/>
    </row>
    <row r="4076" spans="7:7" x14ac:dyDescent="0.3">
      <c r="G4076"/>
    </row>
    <row r="4077" spans="7:7" x14ac:dyDescent="0.3">
      <c r="G4077"/>
    </row>
    <row r="4078" spans="7:7" x14ac:dyDescent="0.3">
      <c r="G4078"/>
    </row>
    <row r="4079" spans="7:7" x14ac:dyDescent="0.3">
      <c r="G4079"/>
    </row>
    <row r="4080" spans="7:7" x14ac:dyDescent="0.3">
      <c r="G4080"/>
    </row>
    <row r="4081" spans="7:7" x14ac:dyDescent="0.3">
      <c r="G4081"/>
    </row>
    <row r="4082" spans="7:7" x14ac:dyDescent="0.3">
      <c r="G4082"/>
    </row>
    <row r="4083" spans="7:7" x14ac:dyDescent="0.3">
      <c r="G4083"/>
    </row>
    <row r="4084" spans="7:7" x14ac:dyDescent="0.3">
      <c r="G4084"/>
    </row>
    <row r="4085" spans="7:7" x14ac:dyDescent="0.3">
      <c r="G4085"/>
    </row>
    <row r="4086" spans="7:7" x14ac:dyDescent="0.3">
      <c r="G4086"/>
    </row>
    <row r="4087" spans="7:7" x14ac:dyDescent="0.3">
      <c r="G4087"/>
    </row>
    <row r="4088" spans="7:7" x14ac:dyDescent="0.3">
      <c r="G4088"/>
    </row>
    <row r="4089" spans="7:7" x14ac:dyDescent="0.3">
      <c r="G4089"/>
    </row>
    <row r="4090" spans="7:7" x14ac:dyDescent="0.3">
      <c r="G4090"/>
    </row>
    <row r="4091" spans="7:7" x14ac:dyDescent="0.3">
      <c r="G4091"/>
    </row>
    <row r="4092" spans="7:7" x14ac:dyDescent="0.3">
      <c r="G4092"/>
    </row>
    <row r="4093" spans="7:7" x14ac:dyDescent="0.3">
      <c r="G4093"/>
    </row>
    <row r="4094" spans="7:7" x14ac:dyDescent="0.3">
      <c r="G4094"/>
    </row>
    <row r="4095" spans="7:7" x14ac:dyDescent="0.3">
      <c r="G4095"/>
    </row>
    <row r="4096" spans="7:7" x14ac:dyDescent="0.3">
      <c r="G4096"/>
    </row>
    <row r="4097" spans="7:7" x14ac:dyDescent="0.3">
      <c r="G4097"/>
    </row>
    <row r="4098" spans="7:7" x14ac:dyDescent="0.3">
      <c r="G4098"/>
    </row>
    <row r="4099" spans="7:7" x14ac:dyDescent="0.3">
      <c r="G4099"/>
    </row>
    <row r="4100" spans="7:7" x14ac:dyDescent="0.3">
      <c r="G4100"/>
    </row>
    <row r="4101" spans="7:7" x14ac:dyDescent="0.3">
      <c r="G4101"/>
    </row>
    <row r="4102" spans="7:7" x14ac:dyDescent="0.3">
      <c r="G4102"/>
    </row>
    <row r="4103" spans="7:7" x14ac:dyDescent="0.3">
      <c r="G4103"/>
    </row>
    <row r="4104" spans="7:7" x14ac:dyDescent="0.3">
      <c r="G4104"/>
    </row>
    <row r="4105" spans="7:7" x14ac:dyDescent="0.3">
      <c r="G4105"/>
    </row>
    <row r="4106" spans="7:7" x14ac:dyDescent="0.3">
      <c r="G4106"/>
    </row>
    <row r="4107" spans="7:7" x14ac:dyDescent="0.3">
      <c r="G4107"/>
    </row>
    <row r="4108" spans="7:7" x14ac:dyDescent="0.3">
      <c r="G4108"/>
    </row>
    <row r="4109" spans="7:7" x14ac:dyDescent="0.3">
      <c r="G4109"/>
    </row>
    <row r="4110" spans="7:7" x14ac:dyDescent="0.3">
      <c r="G4110"/>
    </row>
    <row r="4111" spans="7:7" x14ac:dyDescent="0.3">
      <c r="G4111"/>
    </row>
    <row r="4112" spans="7:7" x14ac:dyDescent="0.3">
      <c r="G4112"/>
    </row>
    <row r="4113" spans="7:7" x14ac:dyDescent="0.3">
      <c r="G4113"/>
    </row>
    <row r="4114" spans="7:7" x14ac:dyDescent="0.3">
      <c r="G4114"/>
    </row>
    <row r="4115" spans="7:7" x14ac:dyDescent="0.3">
      <c r="G4115"/>
    </row>
    <row r="4116" spans="7:7" x14ac:dyDescent="0.3">
      <c r="G4116"/>
    </row>
    <row r="4117" spans="7:7" x14ac:dyDescent="0.3">
      <c r="G4117"/>
    </row>
    <row r="4118" spans="7:7" x14ac:dyDescent="0.3">
      <c r="G4118"/>
    </row>
    <row r="4119" spans="7:7" x14ac:dyDescent="0.3">
      <c r="G4119"/>
    </row>
    <row r="4120" spans="7:7" x14ac:dyDescent="0.3">
      <c r="G4120"/>
    </row>
    <row r="4121" spans="7:7" x14ac:dyDescent="0.3">
      <c r="G4121"/>
    </row>
    <row r="4122" spans="7:7" x14ac:dyDescent="0.3">
      <c r="G4122"/>
    </row>
    <row r="4123" spans="7:7" x14ac:dyDescent="0.3">
      <c r="G4123"/>
    </row>
    <row r="4124" spans="7:7" x14ac:dyDescent="0.3">
      <c r="G4124"/>
    </row>
    <row r="4125" spans="7:7" x14ac:dyDescent="0.3">
      <c r="G4125"/>
    </row>
    <row r="4126" spans="7:7" x14ac:dyDescent="0.3">
      <c r="G4126"/>
    </row>
    <row r="4127" spans="7:7" x14ac:dyDescent="0.3">
      <c r="G4127"/>
    </row>
    <row r="4128" spans="7:7" x14ac:dyDescent="0.3">
      <c r="G4128"/>
    </row>
    <row r="4129" spans="7:7" x14ac:dyDescent="0.3">
      <c r="G4129"/>
    </row>
    <row r="4130" spans="7:7" x14ac:dyDescent="0.3">
      <c r="G4130"/>
    </row>
    <row r="4131" spans="7:7" x14ac:dyDescent="0.3">
      <c r="G4131"/>
    </row>
    <row r="4132" spans="7:7" x14ac:dyDescent="0.3">
      <c r="G4132"/>
    </row>
    <row r="4133" spans="7:7" x14ac:dyDescent="0.3">
      <c r="G4133"/>
    </row>
    <row r="4134" spans="7:7" x14ac:dyDescent="0.3">
      <c r="G4134"/>
    </row>
    <row r="4135" spans="7:7" x14ac:dyDescent="0.3">
      <c r="G4135"/>
    </row>
    <row r="4136" spans="7:7" x14ac:dyDescent="0.3">
      <c r="G4136"/>
    </row>
    <row r="4137" spans="7:7" x14ac:dyDescent="0.3">
      <c r="G4137"/>
    </row>
    <row r="4138" spans="7:7" x14ac:dyDescent="0.3">
      <c r="G4138"/>
    </row>
    <row r="4139" spans="7:7" x14ac:dyDescent="0.3">
      <c r="G4139"/>
    </row>
    <row r="4140" spans="7:7" x14ac:dyDescent="0.3">
      <c r="G4140"/>
    </row>
    <row r="4141" spans="7:7" x14ac:dyDescent="0.3">
      <c r="G4141"/>
    </row>
    <row r="4142" spans="7:7" x14ac:dyDescent="0.3">
      <c r="G4142"/>
    </row>
    <row r="4143" spans="7:7" x14ac:dyDescent="0.3">
      <c r="G4143"/>
    </row>
    <row r="4144" spans="7:7" x14ac:dyDescent="0.3">
      <c r="G4144"/>
    </row>
    <row r="4145" spans="7:7" x14ac:dyDescent="0.3">
      <c r="G4145"/>
    </row>
    <row r="4146" spans="7:7" x14ac:dyDescent="0.3">
      <c r="G4146"/>
    </row>
    <row r="4147" spans="7:7" x14ac:dyDescent="0.3">
      <c r="G4147"/>
    </row>
    <row r="4148" spans="7:7" x14ac:dyDescent="0.3">
      <c r="G4148"/>
    </row>
    <row r="4149" spans="7:7" x14ac:dyDescent="0.3">
      <c r="G4149"/>
    </row>
    <row r="4150" spans="7:7" x14ac:dyDescent="0.3">
      <c r="G4150"/>
    </row>
    <row r="4151" spans="7:7" x14ac:dyDescent="0.3">
      <c r="G4151"/>
    </row>
    <row r="4152" spans="7:7" x14ac:dyDescent="0.3">
      <c r="G4152"/>
    </row>
    <row r="4153" spans="7:7" x14ac:dyDescent="0.3">
      <c r="G4153"/>
    </row>
    <row r="4154" spans="7:7" x14ac:dyDescent="0.3">
      <c r="G4154"/>
    </row>
    <row r="4155" spans="7:7" x14ac:dyDescent="0.3">
      <c r="G4155"/>
    </row>
    <row r="4156" spans="7:7" x14ac:dyDescent="0.3">
      <c r="G4156"/>
    </row>
    <row r="4157" spans="7:7" x14ac:dyDescent="0.3">
      <c r="G4157"/>
    </row>
    <row r="4158" spans="7:7" x14ac:dyDescent="0.3">
      <c r="G4158"/>
    </row>
    <row r="4159" spans="7:7" x14ac:dyDescent="0.3">
      <c r="G4159"/>
    </row>
    <row r="4160" spans="7:7" x14ac:dyDescent="0.3">
      <c r="G4160"/>
    </row>
    <row r="4161" spans="7:7" x14ac:dyDescent="0.3">
      <c r="G4161"/>
    </row>
    <row r="4162" spans="7:7" x14ac:dyDescent="0.3">
      <c r="G4162"/>
    </row>
    <row r="4163" spans="7:7" x14ac:dyDescent="0.3">
      <c r="G4163"/>
    </row>
    <row r="4164" spans="7:7" x14ac:dyDescent="0.3">
      <c r="G4164"/>
    </row>
    <row r="4165" spans="7:7" x14ac:dyDescent="0.3">
      <c r="G4165"/>
    </row>
    <row r="4166" spans="7:7" x14ac:dyDescent="0.3">
      <c r="G4166"/>
    </row>
    <row r="4167" spans="7:7" x14ac:dyDescent="0.3">
      <c r="G4167"/>
    </row>
    <row r="4168" spans="7:7" x14ac:dyDescent="0.3">
      <c r="G4168"/>
    </row>
    <row r="4169" spans="7:7" x14ac:dyDescent="0.3">
      <c r="G4169"/>
    </row>
    <row r="4170" spans="7:7" x14ac:dyDescent="0.3">
      <c r="G4170"/>
    </row>
    <row r="4171" spans="7:7" x14ac:dyDescent="0.3">
      <c r="G4171"/>
    </row>
    <row r="4172" spans="7:7" x14ac:dyDescent="0.3">
      <c r="G4172"/>
    </row>
    <row r="4173" spans="7:7" x14ac:dyDescent="0.3">
      <c r="G4173"/>
    </row>
    <row r="4174" spans="7:7" x14ac:dyDescent="0.3">
      <c r="G4174"/>
    </row>
    <row r="4175" spans="7:7" x14ac:dyDescent="0.3">
      <c r="G4175"/>
    </row>
    <row r="4176" spans="7:7" x14ac:dyDescent="0.3">
      <c r="G4176"/>
    </row>
    <row r="4177" spans="7:7" x14ac:dyDescent="0.3">
      <c r="G4177"/>
    </row>
    <row r="4178" spans="7:7" x14ac:dyDescent="0.3">
      <c r="G4178"/>
    </row>
    <row r="4179" spans="7:7" x14ac:dyDescent="0.3">
      <c r="G4179"/>
    </row>
    <row r="4180" spans="7:7" x14ac:dyDescent="0.3">
      <c r="G4180"/>
    </row>
    <row r="4181" spans="7:7" x14ac:dyDescent="0.3">
      <c r="G4181"/>
    </row>
    <row r="4182" spans="7:7" x14ac:dyDescent="0.3">
      <c r="G4182"/>
    </row>
    <row r="4183" spans="7:7" x14ac:dyDescent="0.3">
      <c r="G4183"/>
    </row>
    <row r="4184" spans="7:7" x14ac:dyDescent="0.3">
      <c r="G4184"/>
    </row>
    <row r="4185" spans="7:7" x14ac:dyDescent="0.3">
      <c r="G4185"/>
    </row>
    <row r="4186" spans="7:7" x14ac:dyDescent="0.3">
      <c r="G4186"/>
    </row>
    <row r="4187" spans="7:7" x14ac:dyDescent="0.3">
      <c r="G4187"/>
    </row>
    <row r="4188" spans="7:7" x14ac:dyDescent="0.3">
      <c r="G4188"/>
    </row>
    <row r="4189" spans="7:7" x14ac:dyDescent="0.3">
      <c r="G4189"/>
    </row>
    <row r="4190" spans="7:7" x14ac:dyDescent="0.3">
      <c r="G4190"/>
    </row>
    <row r="4191" spans="7:7" x14ac:dyDescent="0.3">
      <c r="G4191"/>
    </row>
    <row r="4192" spans="7:7" x14ac:dyDescent="0.3">
      <c r="G4192"/>
    </row>
    <row r="4193" spans="7:7" x14ac:dyDescent="0.3">
      <c r="G4193"/>
    </row>
    <row r="4194" spans="7:7" x14ac:dyDescent="0.3">
      <c r="G4194"/>
    </row>
    <row r="4195" spans="7:7" x14ac:dyDescent="0.3">
      <c r="G4195"/>
    </row>
    <row r="4196" spans="7:7" x14ac:dyDescent="0.3">
      <c r="G4196"/>
    </row>
    <row r="4197" spans="7:7" x14ac:dyDescent="0.3">
      <c r="G4197"/>
    </row>
    <row r="4198" spans="7:7" x14ac:dyDescent="0.3">
      <c r="G4198"/>
    </row>
    <row r="4199" spans="7:7" x14ac:dyDescent="0.3">
      <c r="G4199"/>
    </row>
    <row r="4200" spans="7:7" x14ac:dyDescent="0.3">
      <c r="G4200"/>
    </row>
    <row r="4201" spans="7:7" x14ac:dyDescent="0.3">
      <c r="G4201"/>
    </row>
    <row r="4202" spans="7:7" x14ac:dyDescent="0.3">
      <c r="G4202"/>
    </row>
    <row r="4203" spans="7:7" x14ac:dyDescent="0.3">
      <c r="G4203"/>
    </row>
    <row r="4204" spans="7:7" x14ac:dyDescent="0.3">
      <c r="G4204"/>
    </row>
    <row r="4205" spans="7:7" x14ac:dyDescent="0.3">
      <c r="G4205"/>
    </row>
    <row r="4206" spans="7:7" x14ac:dyDescent="0.3">
      <c r="G4206"/>
    </row>
    <row r="4207" spans="7:7" x14ac:dyDescent="0.3">
      <c r="G4207"/>
    </row>
    <row r="4208" spans="7:7" x14ac:dyDescent="0.3">
      <c r="G4208"/>
    </row>
    <row r="4209" spans="7:7" x14ac:dyDescent="0.3">
      <c r="G4209"/>
    </row>
    <row r="4210" spans="7:7" x14ac:dyDescent="0.3">
      <c r="G4210"/>
    </row>
    <row r="4211" spans="7:7" x14ac:dyDescent="0.3">
      <c r="G4211"/>
    </row>
    <row r="4212" spans="7:7" x14ac:dyDescent="0.3">
      <c r="G4212"/>
    </row>
    <row r="4213" spans="7:7" x14ac:dyDescent="0.3">
      <c r="G4213"/>
    </row>
    <row r="4214" spans="7:7" x14ac:dyDescent="0.3">
      <c r="G4214"/>
    </row>
    <row r="4215" spans="7:7" x14ac:dyDescent="0.3">
      <c r="G4215"/>
    </row>
    <row r="4216" spans="7:7" x14ac:dyDescent="0.3">
      <c r="G4216"/>
    </row>
    <row r="4217" spans="7:7" x14ac:dyDescent="0.3">
      <c r="G4217"/>
    </row>
    <row r="4218" spans="7:7" x14ac:dyDescent="0.3">
      <c r="G4218"/>
    </row>
    <row r="4219" spans="7:7" x14ac:dyDescent="0.3">
      <c r="G4219"/>
    </row>
    <row r="4220" spans="7:7" x14ac:dyDescent="0.3">
      <c r="G4220"/>
    </row>
    <row r="4221" spans="7:7" x14ac:dyDescent="0.3">
      <c r="G4221"/>
    </row>
    <row r="4222" spans="7:7" x14ac:dyDescent="0.3">
      <c r="G4222"/>
    </row>
    <row r="4223" spans="7:7" x14ac:dyDescent="0.3">
      <c r="G4223"/>
    </row>
    <row r="4224" spans="7:7" x14ac:dyDescent="0.3">
      <c r="G4224"/>
    </row>
    <row r="4225" spans="7:7" x14ac:dyDescent="0.3">
      <c r="G4225"/>
    </row>
    <row r="4226" spans="7:7" x14ac:dyDescent="0.3">
      <c r="G4226"/>
    </row>
    <row r="4227" spans="7:7" x14ac:dyDescent="0.3">
      <c r="G4227"/>
    </row>
    <row r="4228" spans="7:7" x14ac:dyDescent="0.3">
      <c r="G4228"/>
    </row>
    <row r="4229" spans="7:7" x14ac:dyDescent="0.3">
      <c r="G4229"/>
    </row>
    <row r="4230" spans="7:7" x14ac:dyDescent="0.3">
      <c r="G4230"/>
    </row>
    <row r="4231" spans="7:7" x14ac:dyDescent="0.3">
      <c r="G4231"/>
    </row>
    <row r="4232" spans="7:7" x14ac:dyDescent="0.3">
      <c r="G4232"/>
    </row>
    <row r="4233" spans="7:7" x14ac:dyDescent="0.3">
      <c r="G4233"/>
    </row>
    <row r="4234" spans="7:7" x14ac:dyDescent="0.3">
      <c r="G4234"/>
    </row>
    <row r="4235" spans="7:7" x14ac:dyDescent="0.3">
      <c r="G4235"/>
    </row>
    <row r="4236" spans="7:7" x14ac:dyDescent="0.3">
      <c r="G4236"/>
    </row>
    <row r="4237" spans="7:7" x14ac:dyDescent="0.3">
      <c r="G4237"/>
    </row>
    <row r="4238" spans="7:7" x14ac:dyDescent="0.3">
      <c r="G4238"/>
    </row>
    <row r="4239" spans="7:7" x14ac:dyDescent="0.3">
      <c r="G4239"/>
    </row>
    <row r="4240" spans="7:7" x14ac:dyDescent="0.3">
      <c r="G4240"/>
    </row>
    <row r="4241" spans="7:7" x14ac:dyDescent="0.3">
      <c r="G4241"/>
    </row>
    <row r="4242" spans="7:7" x14ac:dyDescent="0.3">
      <c r="G4242"/>
    </row>
    <row r="4243" spans="7:7" x14ac:dyDescent="0.3">
      <c r="G4243"/>
    </row>
    <row r="4244" spans="7:7" x14ac:dyDescent="0.3">
      <c r="G4244"/>
    </row>
    <row r="4245" spans="7:7" x14ac:dyDescent="0.3">
      <c r="G4245"/>
    </row>
    <row r="4246" spans="7:7" x14ac:dyDescent="0.3">
      <c r="G4246"/>
    </row>
    <row r="4247" spans="7:7" x14ac:dyDescent="0.3">
      <c r="G4247"/>
    </row>
    <row r="4248" spans="7:7" x14ac:dyDescent="0.3">
      <c r="G4248"/>
    </row>
    <row r="4249" spans="7:7" x14ac:dyDescent="0.3">
      <c r="G4249"/>
    </row>
    <row r="4250" spans="7:7" x14ac:dyDescent="0.3">
      <c r="G4250"/>
    </row>
    <row r="4251" spans="7:7" x14ac:dyDescent="0.3">
      <c r="G4251"/>
    </row>
    <row r="4252" spans="7:7" x14ac:dyDescent="0.3">
      <c r="G4252"/>
    </row>
    <row r="4253" spans="7:7" x14ac:dyDescent="0.3">
      <c r="G4253"/>
    </row>
    <row r="4254" spans="7:7" x14ac:dyDescent="0.3">
      <c r="G4254"/>
    </row>
    <row r="4255" spans="7:7" x14ac:dyDescent="0.3">
      <c r="G4255"/>
    </row>
    <row r="4256" spans="7:7" x14ac:dyDescent="0.3">
      <c r="G4256"/>
    </row>
    <row r="4257" spans="7:7" x14ac:dyDescent="0.3">
      <c r="G4257"/>
    </row>
    <row r="4258" spans="7:7" x14ac:dyDescent="0.3">
      <c r="G4258"/>
    </row>
    <row r="4259" spans="7:7" x14ac:dyDescent="0.3">
      <c r="G4259"/>
    </row>
    <row r="4260" spans="7:7" x14ac:dyDescent="0.3">
      <c r="G4260"/>
    </row>
    <row r="4261" spans="7:7" x14ac:dyDescent="0.3">
      <c r="G4261"/>
    </row>
    <row r="4262" spans="7:7" x14ac:dyDescent="0.3">
      <c r="G4262"/>
    </row>
    <row r="4263" spans="7:7" x14ac:dyDescent="0.3">
      <c r="G4263"/>
    </row>
    <row r="4264" spans="7:7" x14ac:dyDescent="0.3">
      <c r="G4264"/>
    </row>
    <row r="4265" spans="7:7" x14ac:dyDescent="0.3">
      <c r="G4265"/>
    </row>
    <row r="4266" spans="7:7" x14ac:dyDescent="0.3">
      <c r="G4266"/>
    </row>
    <row r="4267" spans="7:7" x14ac:dyDescent="0.3">
      <c r="G4267"/>
    </row>
    <row r="4268" spans="7:7" x14ac:dyDescent="0.3">
      <c r="G4268"/>
    </row>
    <row r="4269" spans="7:7" x14ac:dyDescent="0.3">
      <c r="G4269"/>
    </row>
    <row r="4270" spans="7:7" x14ac:dyDescent="0.3">
      <c r="G4270"/>
    </row>
    <row r="4271" spans="7:7" x14ac:dyDescent="0.3">
      <c r="G4271"/>
    </row>
    <row r="4272" spans="7:7" x14ac:dyDescent="0.3">
      <c r="G4272"/>
    </row>
    <row r="4273" spans="7:7" x14ac:dyDescent="0.3">
      <c r="G4273"/>
    </row>
    <row r="4274" spans="7:7" x14ac:dyDescent="0.3">
      <c r="G4274"/>
    </row>
    <row r="4275" spans="7:7" x14ac:dyDescent="0.3">
      <c r="G4275"/>
    </row>
    <row r="4276" spans="7:7" x14ac:dyDescent="0.3">
      <c r="G4276"/>
    </row>
    <row r="4277" spans="7:7" x14ac:dyDescent="0.3">
      <c r="G4277"/>
    </row>
    <row r="4278" spans="7:7" x14ac:dyDescent="0.3">
      <c r="G4278"/>
    </row>
    <row r="4279" spans="7:7" x14ac:dyDescent="0.3">
      <c r="G4279"/>
    </row>
    <row r="4280" spans="7:7" x14ac:dyDescent="0.3">
      <c r="G4280"/>
    </row>
    <row r="4281" spans="7:7" x14ac:dyDescent="0.3">
      <c r="G4281"/>
    </row>
    <row r="4282" spans="7:7" x14ac:dyDescent="0.3">
      <c r="G4282"/>
    </row>
    <row r="4283" spans="7:7" x14ac:dyDescent="0.3">
      <c r="G4283"/>
    </row>
    <row r="4284" spans="7:7" x14ac:dyDescent="0.3">
      <c r="G4284"/>
    </row>
    <row r="4285" spans="7:7" x14ac:dyDescent="0.3">
      <c r="G4285"/>
    </row>
    <row r="4286" spans="7:7" x14ac:dyDescent="0.3">
      <c r="G4286"/>
    </row>
    <row r="4287" spans="7:7" x14ac:dyDescent="0.3">
      <c r="G4287"/>
    </row>
    <row r="4288" spans="7:7" x14ac:dyDescent="0.3">
      <c r="G4288"/>
    </row>
    <row r="4289" spans="7:7" x14ac:dyDescent="0.3">
      <c r="G4289"/>
    </row>
    <row r="4290" spans="7:7" x14ac:dyDescent="0.3">
      <c r="G4290"/>
    </row>
    <row r="4291" spans="7:7" x14ac:dyDescent="0.3">
      <c r="G4291"/>
    </row>
    <row r="4292" spans="7:7" x14ac:dyDescent="0.3">
      <c r="G4292"/>
    </row>
    <row r="4293" spans="7:7" x14ac:dyDescent="0.3">
      <c r="G4293"/>
    </row>
    <row r="4294" spans="7:7" x14ac:dyDescent="0.3">
      <c r="G4294"/>
    </row>
    <row r="4295" spans="7:7" x14ac:dyDescent="0.3">
      <c r="G4295"/>
    </row>
    <row r="4296" spans="7:7" x14ac:dyDescent="0.3">
      <c r="G4296"/>
    </row>
    <row r="4297" spans="7:7" x14ac:dyDescent="0.3">
      <c r="G4297"/>
    </row>
    <row r="4298" spans="7:7" x14ac:dyDescent="0.3">
      <c r="G4298"/>
    </row>
    <row r="4299" spans="7:7" x14ac:dyDescent="0.3">
      <c r="G4299"/>
    </row>
    <row r="4300" spans="7:7" x14ac:dyDescent="0.3">
      <c r="G4300"/>
    </row>
    <row r="4301" spans="7:7" x14ac:dyDescent="0.3">
      <c r="G4301"/>
    </row>
    <row r="4302" spans="7:7" x14ac:dyDescent="0.3">
      <c r="G4302"/>
    </row>
    <row r="4303" spans="7:7" x14ac:dyDescent="0.3">
      <c r="G4303"/>
    </row>
    <row r="4304" spans="7:7" x14ac:dyDescent="0.3">
      <c r="G4304"/>
    </row>
    <row r="4305" spans="7:7" x14ac:dyDescent="0.3">
      <c r="G4305"/>
    </row>
    <row r="4306" spans="7:7" x14ac:dyDescent="0.3">
      <c r="G4306"/>
    </row>
    <row r="4307" spans="7:7" x14ac:dyDescent="0.3">
      <c r="G4307"/>
    </row>
    <row r="4308" spans="7:7" x14ac:dyDescent="0.3">
      <c r="G4308"/>
    </row>
    <row r="4309" spans="7:7" x14ac:dyDescent="0.3">
      <c r="G4309"/>
    </row>
    <row r="4310" spans="7:7" x14ac:dyDescent="0.3">
      <c r="G4310"/>
    </row>
    <row r="4311" spans="7:7" x14ac:dyDescent="0.3">
      <c r="G4311"/>
    </row>
    <row r="4312" spans="7:7" x14ac:dyDescent="0.3">
      <c r="G4312"/>
    </row>
    <row r="4313" spans="7:7" x14ac:dyDescent="0.3">
      <c r="G4313"/>
    </row>
    <row r="4314" spans="7:7" x14ac:dyDescent="0.3">
      <c r="G4314"/>
    </row>
    <row r="4315" spans="7:7" x14ac:dyDescent="0.3">
      <c r="G4315"/>
    </row>
    <row r="4316" spans="7:7" x14ac:dyDescent="0.3">
      <c r="G4316"/>
    </row>
    <row r="4317" spans="7:7" x14ac:dyDescent="0.3">
      <c r="G4317"/>
    </row>
    <row r="4318" spans="7:7" x14ac:dyDescent="0.3">
      <c r="G4318"/>
    </row>
    <row r="4319" spans="7:7" x14ac:dyDescent="0.3">
      <c r="G4319"/>
    </row>
    <row r="4320" spans="7:7" x14ac:dyDescent="0.3">
      <c r="G4320"/>
    </row>
    <row r="4321" spans="7:7" x14ac:dyDescent="0.3">
      <c r="G4321"/>
    </row>
    <row r="4322" spans="7:7" x14ac:dyDescent="0.3">
      <c r="G4322"/>
    </row>
    <row r="4323" spans="7:7" x14ac:dyDescent="0.3">
      <c r="G4323"/>
    </row>
    <row r="4324" spans="7:7" x14ac:dyDescent="0.3">
      <c r="G4324"/>
    </row>
    <row r="4325" spans="7:7" x14ac:dyDescent="0.3">
      <c r="G4325"/>
    </row>
    <row r="4326" spans="7:7" x14ac:dyDescent="0.3">
      <c r="G4326"/>
    </row>
    <row r="4327" spans="7:7" x14ac:dyDescent="0.3">
      <c r="G4327"/>
    </row>
    <row r="4328" spans="7:7" x14ac:dyDescent="0.3">
      <c r="G4328"/>
    </row>
    <row r="4329" spans="7:7" x14ac:dyDescent="0.3">
      <c r="G4329"/>
    </row>
    <row r="4330" spans="7:7" x14ac:dyDescent="0.3">
      <c r="G4330"/>
    </row>
    <row r="4331" spans="7:7" x14ac:dyDescent="0.3">
      <c r="G4331"/>
    </row>
    <row r="4332" spans="7:7" x14ac:dyDescent="0.3">
      <c r="G4332"/>
    </row>
    <row r="4333" spans="7:7" x14ac:dyDescent="0.3">
      <c r="G4333"/>
    </row>
    <row r="4334" spans="7:7" x14ac:dyDescent="0.3">
      <c r="G4334"/>
    </row>
    <row r="4335" spans="7:7" x14ac:dyDescent="0.3">
      <c r="G4335"/>
    </row>
    <row r="4336" spans="7:7" x14ac:dyDescent="0.3">
      <c r="G4336"/>
    </row>
    <row r="4337" spans="7:7" x14ac:dyDescent="0.3">
      <c r="G4337"/>
    </row>
    <row r="4338" spans="7:7" x14ac:dyDescent="0.3">
      <c r="G4338"/>
    </row>
    <row r="4339" spans="7:7" x14ac:dyDescent="0.3">
      <c r="G4339"/>
    </row>
    <row r="4340" spans="7:7" x14ac:dyDescent="0.3">
      <c r="G4340"/>
    </row>
    <row r="4341" spans="7:7" x14ac:dyDescent="0.3">
      <c r="G4341"/>
    </row>
    <row r="4342" spans="7:7" x14ac:dyDescent="0.3">
      <c r="G4342"/>
    </row>
    <row r="4343" spans="7:7" x14ac:dyDescent="0.3">
      <c r="G4343"/>
    </row>
    <row r="4344" spans="7:7" x14ac:dyDescent="0.3">
      <c r="G4344"/>
    </row>
    <row r="4345" spans="7:7" x14ac:dyDescent="0.3">
      <c r="G4345"/>
    </row>
    <row r="4346" spans="7:7" x14ac:dyDescent="0.3">
      <c r="G4346"/>
    </row>
    <row r="4347" spans="7:7" x14ac:dyDescent="0.3">
      <c r="G4347"/>
    </row>
    <row r="4348" spans="7:7" x14ac:dyDescent="0.3">
      <c r="G4348"/>
    </row>
    <row r="4349" spans="7:7" x14ac:dyDescent="0.3">
      <c r="G4349"/>
    </row>
    <row r="4350" spans="7:7" x14ac:dyDescent="0.3">
      <c r="G4350"/>
    </row>
    <row r="4351" spans="7:7" x14ac:dyDescent="0.3">
      <c r="G4351"/>
    </row>
    <row r="4352" spans="7:7" x14ac:dyDescent="0.3">
      <c r="G4352"/>
    </row>
    <row r="4353" spans="7:7" x14ac:dyDescent="0.3">
      <c r="G4353"/>
    </row>
    <row r="4354" spans="7:7" x14ac:dyDescent="0.3">
      <c r="G4354"/>
    </row>
    <row r="4355" spans="7:7" x14ac:dyDescent="0.3">
      <c r="G4355"/>
    </row>
    <row r="4356" spans="7:7" x14ac:dyDescent="0.3">
      <c r="G4356"/>
    </row>
    <row r="4357" spans="7:7" x14ac:dyDescent="0.3">
      <c r="G4357"/>
    </row>
    <row r="4358" spans="7:7" x14ac:dyDescent="0.3">
      <c r="G4358"/>
    </row>
    <row r="4359" spans="7:7" x14ac:dyDescent="0.3">
      <c r="G4359"/>
    </row>
    <row r="4360" spans="7:7" x14ac:dyDescent="0.3">
      <c r="G4360"/>
    </row>
    <row r="4361" spans="7:7" x14ac:dyDescent="0.3">
      <c r="G4361"/>
    </row>
    <row r="4362" spans="7:7" x14ac:dyDescent="0.3">
      <c r="G4362"/>
    </row>
    <row r="4363" spans="7:7" x14ac:dyDescent="0.3">
      <c r="G4363"/>
    </row>
    <row r="4364" spans="7:7" x14ac:dyDescent="0.3">
      <c r="G4364"/>
    </row>
    <row r="4365" spans="7:7" x14ac:dyDescent="0.3">
      <c r="G4365"/>
    </row>
    <row r="4366" spans="7:7" x14ac:dyDescent="0.3">
      <c r="G4366"/>
    </row>
    <row r="4367" spans="7:7" x14ac:dyDescent="0.3">
      <c r="G4367"/>
    </row>
    <row r="4368" spans="7:7" x14ac:dyDescent="0.3">
      <c r="G4368"/>
    </row>
    <row r="4369" spans="7:7" x14ac:dyDescent="0.3">
      <c r="G4369"/>
    </row>
    <row r="4370" spans="7:7" x14ac:dyDescent="0.3">
      <c r="G4370"/>
    </row>
    <row r="4371" spans="7:7" x14ac:dyDescent="0.3">
      <c r="G4371"/>
    </row>
    <row r="4372" spans="7:7" x14ac:dyDescent="0.3">
      <c r="G4372"/>
    </row>
    <row r="4373" spans="7:7" x14ac:dyDescent="0.3">
      <c r="G4373"/>
    </row>
    <row r="4374" spans="7:7" x14ac:dyDescent="0.3">
      <c r="G4374"/>
    </row>
    <row r="4375" spans="7:7" x14ac:dyDescent="0.3">
      <c r="G4375"/>
    </row>
    <row r="4376" spans="7:7" x14ac:dyDescent="0.3">
      <c r="G4376"/>
    </row>
    <row r="4377" spans="7:7" x14ac:dyDescent="0.3">
      <c r="G4377"/>
    </row>
    <row r="4378" spans="7:7" x14ac:dyDescent="0.3">
      <c r="G4378"/>
    </row>
    <row r="4379" spans="7:7" x14ac:dyDescent="0.3">
      <c r="G4379"/>
    </row>
    <row r="4380" spans="7:7" x14ac:dyDescent="0.3">
      <c r="G4380"/>
    </row>
    <row r="4381" spans="7:7" x14ac:dyDescent="0.3">
      <c r="G4381"/>
    </row>
    <row r="4382" spans="7:7" x14ac:dyDescent="0.3">
      <c r="G4382"/>
    </row>
    <row r="4383" spans="7:7" x14ac:dyDescent="0.3">
      <c r="G4383"/>
    </row>
    <row r="4384" spans="7:7" x14ac:dyDescent="0.3">
      <c r="G4384"/>
    </row>
    <row r="4385" spans="7:7" x14ac:dyDescent="0.3">
      <c r="G4385"/>
    </row>
    <row r="4386" spans="7:7" x14ac:dyDescent="0.3">
      <c r="G4386"/>
    </row>
    <row r="4387" spans="7:7" x14ac:dyDescent="0.3">
      <c r="G4387"/>
    </row>
    <row r="4388" spans="7:7" x14ac:dyDescent="0.3">
      <c r="G4388"/>
    </row>
    <row r="4389" spans="7:7" x14ac:dyDescent="0.3">
      <c r="G4389"/>
    </row>
    <row r="4390" spans="7:7" x14ac:dyDescent="0.3">
      <c r="G4390"/>
    </row>
    <row r="4391" spans="7:7" x14ac:dyDescent="0.3">
      <c r="G4391"/>
    </row>
    <row r="4392" spans="7:7" x14ac:dyDescent="0.3">
      <c r="G4392"/>
    </row>
    <row r="4393" spans="7:7" x14ac:dyDescent="0.3">
      <c r="G4393"/>
    </row>
    <row r="4394" spans="7:7" x14ac:dyDescent="0.3">
      <c r="G4394"/>
    </row>
    <row r="4395" spans="7:7" x14ac:dyDescent="0.3">
      <c r="G4395"/>
    </row>
    <row r="4396" spans="7:7" x14ac:dyDescent="0.3">
      <c r="G4396"/>
    </row>
    <row r="4397" spans="7:7" x14ac:dyDescent="0.3">
      <c r="G4397"/>
    </row>
    <row r="4398" spans="7:7" x14ac:dyDescent="0.3">
      <c r="G4398"/>
    </row>
    <row r="4399" spans="7:7" x14ac:dyDescent="0.3">
      <c r="G4399"/>
    </row>
    <row r="4400" spans="7:7" x14ac:dyDescent="0.3">
      <c r="G4400"/>
    </row>
    <row r="4401" spans="7:7" x14ac:dyDescent="0.3">
      <c r="G4401"/>
    </row>
    <row r="4402" spans="7:7" x14ac:dyDescent="0.3">
      <c r="G4402"/>
    </row>
    <row r="4403" spans="7:7" x14ac:dyDescent="0.3">
      <c r="G4403"/>
    </row>
    <row r="4404" spans="7:7" x14ac:dyDescent="0.3">
      <c r="G4404"/>
    </row>
    <row r="4405" spans="7:7" x14ac:dyDescent="0.3">
      <c r="G4405"/>
    </row>
    <row r="4406" spans="7:7" x14ac:dyDescent="0.3">
      <c r="G4406"/>
    </row>
    <row r="4407" spans="7:7" x14ac:dyDescent="0.3">
      <c r="G4407"/>
    </row>
    <row r="4408" spans="7:7" x14ac:dyDescent="0.3">
      <c r="G4408"/>
    </row>
    <row r="4409" spans="7:7" x14ac:dyDescent="0.3">
      <c r="G4409"/>
    </row>
    <row r="4410" spans="7:7" x14ac:dyDescent="0.3">
      <c r="G4410"/>
    </row>
    <row r="4411" spans="7:7" x14ac:dyDescent="0.3">
      <c r="G4411"/>
    </row>
    <row r="4412" spans="7:7" x14ac:dyDescent="0.3">
      <c r="G4412"/>
    </row>
    <row r="4413" spans="7:7" x14ac:dyDescent="0.3">
      <c r="G4413"/>
    </row>
    <row r="4414" spans="7:7" x14ac:dyDescent="0.3">
      <c r="G4414"/>
    </row>
    <row r="4415" spans="7:7" x14ac:dyDescent="0.3">
      <c r="G4415"/>
    </row>
    <row r="4416" spans="7:7" x14ac:dyDescent="0.3">
      <c r="G4416"/>
    </row>
    <row r="4417" spans="7:7" x14ac:dyDescent="0.3">
      <c r="G4417"/>
    </row>
    <row r="4418" spans="7:7" x14ac:dyDescent="0.3">
      <c r="G4418"/>
    </row>
    <row r="4419" spans="7:7" x14ac:dyDescent="0.3">
      <c r="G4419"/>
    </row>
    <row r="4420" spans="7:7" x14ac:dyDescent="0.3">
      <c r="G4420"/>
    </row>
    <row r="4421" spans="7:7" x14ac:dyDescent="0.3">
      <c r="G4421"/>
    </row>
    <row r="4422" spans="7:7" x14ac:dyDescent="0.3">
      <c r="G4422"/>
    </row>
    <row r="4423" spans="7:7" x14ac:dyDescent="0.3">
      <c r="G4423"/>
    </row>
    <row r="4424" spans="7:7" x14ac:dyDescent="0.3">
      <c r="G4424"/>
    </row>
    <row r="4425" spans="7:7" x14ac:dyDescent="0.3">
      <c r="G4425"/>
    </row>
    <row r="4426" spans="7:7" x14ac:dyDescent="0.3">
      <c r="G4426"/>
    </row>
    <row r="4427" spans="7:7" x14ac:dyDescent="0.3">
      <c r="G4427"/>
    </row>
    <row r="4428" spans="7:7" x14ac:dyDescent="0.3">
      <c r="G4428"/>
    </row>
    <row r="4429" spans="7:7" x14ac:dyDescent="0.3">
      <c r="G4429"/>
    </row>
    <row r="4430" spans="7:7" x14ac:dyDescent="0.3">
      <c r="G4430"/>
    </row>
    <row r="4431" spans="7:7" x14ac:dyDescent="0.3">
      <c r="G4431"/>
    </row>
    <row r="4432" spans="7:7" x14ac:dyDescent="0.3">
      <c r="G4432"/>
    </row>
    <row r="4433" spans="7:7" x14ac:dyDescent="0.3">
      <c r="G4433"/>
    </row>
    <row r="4434" spans="7:7" x14ac:dyDescent="0.3">
      <c r="G4434"/>
    </row>
    <row r="4435" spans="7:7" x14ac:dyDescent="0.3">
      <c r="G4435"/>
    </row>
    <row r="4436" spans="7:7" x14ac:dyDescent="0.3">
      <c r="G4436"/>
    </row>
    <row r="4437" spans="7:7" x14ac:dyDescent="0.3">
      <c r="G4437"/>
    </row>
    <row r="4438" spans="7:7" x14ac:dyDescent="0.3">
      <c r="G4438"/>
    </row>
    <row r="4439" spans="7:7" x14ac:dyDescent="0.3">
      <c r="G4439"/>
    </row>
    <row r="4440" spans="7:7" x14ac:dyDescent="0.3">
      <c r="G4440"/>
    </row>
    <row r="4441" spans="7:7" x14ac:dyDescent="0.3">
      <c r="G4441"/>
    </row>
    <row r="4442" spans="7:7" x14ac:dyDescent="0.3">
      <c r="G4442"/>
    </row>
    <row r="4443" spans="7:7" x14ac:dyDescent="0.3">
      <c r="G4443"/>
    </row>
    <row r="4444" spans="7:7" x14ac:dyDescent="0.3">
      <c r="G4444"/>
    </row>
    <row r="4445" spans="7:7" x14ac:dyDescent="0.3">
      <c r="G4445"/>
    </row>
    <row r="4446" spans="7:7" x14ac:dyDescent="0.3">
      <c r="G4446"/>
    </row>
    <row r="4447" spans="7:7" x14ac:dyDescent="0.3">
      <c r="G4447"/>
    </row>
    <row r="4448" spans="7:7" x14ac:dyDescent="0.3">
      <c r="G4448"/>
    </row>
    <row r="4449" spans="7:7" x14ac:dyDescent="0.3">
      <c r="G4449"/>
    </row>
    <row r="4450" spans="7:7" x14ac:dyDescent="0.3">
      <c r="G4450"/>
    </row>
    <row r="4451" spans="7:7" x14ac:dyDescent="0.3">
      <c r="G4451"/>
    </row>
    <row r="4452" spans="7:7" x14ac:dyDescent="0.3">
      <c r="G4452"/>
    </row>
    <row r="4453" spans="7:7" x14ac:dyDescent="0.3">
      <c r="G4453"/>
    </row>
    <row r="4454" spans="7:7" x14ac:dyDescent="0.3">
      <c r="G4454"/>
    </row>
    <row r="4455" spans="7:7" x14ac:dyDescent="0.3">
      <c r="G4455"/>
    </row>
    <row r="4456" spans="7:7" x14ac:dyDescent="0.3">
      <c r="G4456"/>
    </row>
    <row r="4457" spans="7:7" x14ac:dyDescent="0.3">
      <c r="G4457"/>
    </row>
    <row r="4458" spans="7:7" x14ac:dyDescent="0.3">
      <c r="G4458"/>
    </row>
    <row r="4459" spans="7:7" x14ac:dyDescent="0.3">
      <c r="G4459"/>
    </row>
    <row r="4460" spans="7:7" x14ac:dyDescent="0.3">
      <c r="G4460"/>
    </row>
    <row r="4461" spans="7:7" x14ac:dyDescent="0.3">
      <c r="G4461"/>
    </row>
    <row r="4462" spans="7:7" x14ac:dyDescent="0.3">
      <c r="G4462"/>
    </row>
    <row r="4463" spans="7:7" x14ac:dyDescent="0.3">
      <c r="G4463"/>
    </row>
    <row r="4464" spans="7:7" x14ac:dyDescent="0.3">
      <c r="G4464"/>
    </row>
    <row r="4465" spans="7:7" x14ac:dyDescent="0.3">
      <c r="G4465"/>
    </row>
    <row r="4466" spans="7:7" x14ac:dyDescent="0.3">
      <c r="G4466"/>
    </row>
    <row r="4467" spans="7:7" x14ac:dyDescent="0.3">
      <c r="G4467"/>
    </row>
    <row r="4468" spans="7:7" x14ac:dyDescent="0.3">
      <c r="G4468"/>
    </row>
    <row r="4469" spans="7:7" x14ac:dyDescent="0.3">
      <c r="G4469"/>
    </row>
    <row r="4470" spans="7:7" x14ac:dyDescent="0.3">
      <c r="G4470"/>
    </row>
    <row r="4471" spans="7:7" x14ac:dyDescent="0.3">
      <c r="G4471"/>
    </row>
    <row r="4472" spans="7:7" x14ac:dyDescent="0.3">
      <c r="G4472"/>
    </row>
    <row r="4473" spans="7:7" x14ac:dyDescent="0.3">
      <c r="G4473"/>
    </row>
    <row r="4474" spans="7:7" x14ac:dyDescent="0.3">
      <c r="G4474"/>
    </row>
    <row r="4475" spans="7:7" x14ac:dyDescent="0.3">
      <c r="G4475"/>
    </row>
    <row r="4476" spans="7:7" x14ac:dyDescent="0.3">
      <c r="G4476"/>
    </row>
    <row r="4477" spans="7:7" x14ac:dyDescent="0.3">
      <c r="G4477"/>
    </row>
    <row r="4478" spans="7:7" x14ac:dyDescent="0.3">
      <c r="G4478"/>
    </row>
    <row r="4479" spans="7:7" x14ac:dyDescent="0.3">
      <c r="G4479"/>
    </row>
    <row r="4480" spans="7:7" x14ac:dyDescent="0.3">
      <c r="G4480"/>
    </row>
    <row r="4481" spans="7:7" x14ac:dyDescent="0.3">
      <c r="G4481"/>
    </row>
    <row r="4482" spans="7:7" x14ac:dyDescent="0.3">
      <c r="G4482"/>
    </row>
    <row r="4483" spans="7:7" x14ac:dyDescent="0.3">
      <c r="G4483"/>
    </row>
    <row r="4484" spans="7:7" x14ac:dyDescent="0.3">
      <c r="G4484"/>
    </row>
    <row r="4485" spans="7:7" x14ac:dyDescent="0.3">
      <c r="G4485"/>
    </row>
    <row r="4486" spans="7:7" x14ac:dyDescent="0.3">
      <c r="G4486"/>
    </row>
    <row r="4487" spans="7:7" x14ac:dyDescent="0.3">
      <c r="G4487"/>
    </row>
    <row r="4488" spans="7:7" x14ac:dyDescent="0.3">
      <c r="G4488"/>
    </row>
    <row r="4489" spans="7:7" x14ac:dyDescent="0.3">
      <c r="G4489"/>
    </row>
    <row r="4490" spans="7:7" x14ac:dyDescent="0.3">
      <c r="G4490"/>
    </row>
    <row r="4491" spans="7:7" x14ac:dyDescent="0.3">
      <c r="G4491"/>
    </row>
    <row r="4492" spans="7:7" x14ac:dyDescent="0.3">
      <c r="G4492"/>
    </row>
    <row r="4493" spans="7:7" x14ac:dyDescent="0.3">
      <c r="G4493"/>
    </row>
    <row r="4494" spans="7:7" x14ac:dyDescent="0.3">
      <c r="G4494"/>
    </row>
    <row r="4495" spans="7:7" x14ac:dyDescent="0.3">
      <c r="G4495"/>
    </row>
    <row r="4496" spans="7:7" x14ac:dyDescent="0.3">
      <c r="G4496"/>
    </row>
    <row r="4497" spans="7:7" x14ac:dyDescent="0.3">
      <c r="G4497"/>
    </row>
    <row r="4498" spans="7:7" x14ac:dyDescent="0.3">
      <c r="G4498"/>
    </row>
    <row r="4499" spans="7:7" x14ac:dyDescent="0.3">
      <c r="G4499"/>
    </row>
    <row r="4500" spans="7:7" x14ac:dyDescent="0.3">
      <c r="G4500"/>
    </row>
    <row r="4501" spans="7:7" x14ac:dyDescent="0.3">
      <c r="G4501"/>
    </row>
    <row r="4502" spans="7:7" x14ac:dyDescent="0.3">
      <c r="G4502"/>
    </row>
    <row r="4503" spans="7:7" x14ac:dyDescent="0.3">
      <c r="G4503"/>
    </row>
    <row r="4504" spans="7:7" x14ac:dyDescent="0.3">
      <c r="G4504"/>
    </row>
    <row r="4505" spans="7:7" x14ac:dyDescent="0.3">
      <c r="G4505"/>
    </row>
    <row r="4506" spans="7:7" x14ac:dyDescent="0.3">
      <c r="G4506"/>
    </row>
    <row r="4507" spans="7:7" x14ac:dyDescent="0.3">
      <c r="G4507"/>
    </row>
    <row r="4508" spans="7:7" x14ac:dyDescent="0.3">
      <c r="G4508"/>
    </row>
    <row r="4509" spans="7:7" x14ac:dyDescent="0.3">
      <c r="G4509"/>
    </row>
    <row r="4510" spans="7:7" x14ac:dyDescent="0.3">
      <c r="G4510"/>
    </row>
    <row r="4511" spans="7:7" x14ac:dyDescent="0.3">
      <c r="G4511"/>
    </row>
    <row r="4512" spans="7:7" x14ac:dyDescent="0.3">
      <c r="G4512"/>
    </row>
    <row r="4513" spans="7:7" x14ac:dyDescent="0.3">
      <c r="G4513"/>
    </row>
    <row r="4514" spans="7:7" x14ac:dyDescent="0.3">
      <c r="G4514"/>
    </row>
    <row r="4515" spans="7:7" x14ac:dyDescent="0.3">
      <c r="G4515"/>
    </row>
    <row r="4516" spans="7:7" x14ac:dyDescent="0.3">
      <c r="G4516"/>
    </row>
    <row r="4517" spans="7:7" x14ac:dyDescent="0.3">
      <c r="G4517"/>
    </row>
    <row r="4518" spans="7:7" x14ac:dyDescent="0.3">
      <c r="G4518"/>
    </row>
    <row r="4519" spans="7:7" x14ac:dyDescent="0.3">
      <c r="G4519"/>
    </row>
    <row r="4520" spans="7:7" x14ac:dyDescent="0.3">
      <c r="G4520"/>
    </row>
    <row r="4521" spans="7:7" x14ac:dyDescent="0.3">
      <c r="G4521"/>
    </row>
    <row r="4522" spans="7:7" x14ac:dyDescent="0.3">
      <c r="G4522"/>
    </row>
    <row r="4523" spans="7:7" x14ac:dyDescent="0.3">
      <c r="G4523"/>
    </row>
    <row r="4524" spans="7:7" x14ac:dyDescent="0.3">
      <c r="G4524"/>
    </row>
    <row r="4525" spans="7:7" x14ac:dyDescent="0.3">
      <c r="G4525"/>
    </row>
    <row r="4526" spans="7:7" x14ac:dyDescent="0.3">
      <c r="G4526"/>
    </row>
    <row r="4527" spans="7:7" x14ac:dyDescent="0.3">
      <c r="G4527"/>
    </row>
    <row r="4528" spans="7:7" x14ac:dyDescent="0.3">
      <c r="G4528"/>
    </row>
    <row r="4529" spans="7:7" x14ac:dyDescent="0.3">
      <c r="G4529"/>
    </row>
    <row r="4530" spans="7:7" x14ac:dyDescent="0.3">
      <c r="G4530"/>
    </row>
    <row r="4531" spans="7:7" x14ac:dyDescent="0.3">
      <c r="G4531"/>
    </row>
    <row r="4532" spans="7:7" x14ac:dyDescent="0.3">
      <c r="G4532"/>
    </row>
    <row r="4533" spans="7:7" x14ac:dyDescent="0.3">
      <c r="G4533"/>
    </row>
    <row r="4534" spans="7:7" x14ac:dyDescent="0.3">
      <c r="G4534"/>
    </row>
    <row r="4535" spans="7:7" x14ac:dyDescent="0.3">
      <c r="G4535"/>
    </row>
    <row r="4536" spans="7:7" x14ac:dyDescent="0.3">
      <c r="G4536"/>
    </row>
    <row r="4537" spans="7:7" x14ac:dyDescent="0.3">
      <c r="G4537"/>
    </row>
    <row r="4538" spans="7:7" x14ac:dyDescent="0.3">
      <c r="G4538"/>
    </row>
    <row r="4539" spans="7:7" x14ac:dyDescent="0.3">
      <c r="G4539"/>
    </row>
    <row r="4540" spans="7:7" x14ac:dyDescent="0.3">
      <c r="G4540"/>
    </row>
    <row r="4541" spans="7:7" x14ac:dyDescent="0.3">
      <c r="G4541"/>
    </row>
    <row r="4542" spans="7:7" x14ac:dyDescent="0.3">
      <c r="G4542"/>
    </row>
    <row r="4543" spans="7:7" x14ac:dyDescent="0.3">
      <c r="G4543"/>
    </row>
    <row r="4544" spans="7:7" x14ac:dyDescent="0.3">
      <c r="G4544"/>
    </row>
    <row r="4545" spans="7:7" x14ac:dyDescent="0.3">
      <c r="G4545"/>
    </row>
    <row r="4546" spans="7:7" x14ac:dyDescent="0.3">
      <c r="G4546"/>
    </row>
    <row r="4547" spans="7:7" x14ac:dyDescent="0.3">
      <c r="G4547"/>
    </row>
    <row r="4548" spans="7:7" x14ac:dyDescent="0.3">
      <c r="G4548"/>
    </row>
    <row r="4549" spans="7:7" x14ac:dyDescent="0.3">
      <c r="G4549"/>
    </row>
    <row r="4550" spans="7:7" x14ac:dyDescent="0.3">
      <c r="G4550"/>
    </row>
    <row r="4551" spans="7:7" x14ac:dyDescent="0.3">
      <c r="G4551"/>
    </row>
    <row r="4552" spans="7:7" x14ac:dyDescent="0.3">
      <c r="G4552"/>
    </row>
    <row r="4553" spans="7:7" x14ac:dyDescent="0.3">
      <c r="G4553"/>
    </row>
    <row r="4554" spans="7:7" x14ac:dyDescent="0.3">
      <c r="G4554"/>
    </row>
    <row r="4555" spans="7:7" x14ac:dyDescent="0.3">
      <c r="G4555"/>
    </row>
    <row r="4556" spans="7:7" x14ac:dyDescent="0.3">
      <c r="G4556"/>
    </row>
    <row r="4557" spans="7:7" x14ac:dyDescent="0.3">
      <c r="G4557"/>
    </row>
    <row r="4558" spans="7:7" x14ac:dyDescent="0.3">
      <c r="G4558"/>
    </row>
    <row r="4559" spans="7:7" x14ac:dyDescent="0.3">
      <c r="G4559"/>
    </row>
    <row r="4560" spans="7:7" x14ac:dyDescent="0.3">
      <c r="G4560"/>
    </row>
    <row r="4561" spans="7:7" x14ac:dyDescent="0.3">
      <c r="G4561"/>
    </row>
    <row r="4562" spans="7:7" x14ac:dyDescent="0.3">
      <c r="G4562"/>
    </row>
    <row r="4563" spans="7:7" x14ac:dyDescent="0.3">
      <c r="G4563"/>
    </row>
    <row r="4564" spans="7:7" x14ac:dyDescent="0.3">
      <c r="G4564"/>
    </row>
    <row r="4565" spans="7:7" x14ac:dyDescent="0.3">
      <c r="G4565"/>
    </row>
    <row r="4566" spans="7:7" x14ac:dyDescent="0.3">
      <c r="G4566"/>
    </row>
    <row r="4567" spans="7:7" x14ac:dyDescent="0.3">
      <c r="G4567"/>
    </row>
    <row r="4568" spans="7:7" x14ac:dyDescent="0.3">
      <c r="G4568"/>
    </row>
    <row r="4569" spans="7:7" x14ac:dyDescent="0.3">
      <c r="G4569"/>
    </row>
    <row r="4570" spans="7:7" x14ac:dyDescent="0.3">
      <c r="G4570"/>
    </row>
    <row r="4571" spans="7:7" x14ac:dyDescent="0.3">
      <c r="G4571"/>
    </row>
    <row r="4572" spans="7:7" x14ac:dyDescent="0.3">
      <c r="G4572"/>
    </row>
    <row r="4573" spans="7:7" x14ac:dyDescent="0.3">
      <c r="G4573"/>
    </row>
    <row r="4574" spans="7:7" x14ac:dyDescent="0.3">
      <c r="G4574"/>
    </row>
    <row r="4575" spans="7:7" x14ac:dyDescent="0.3">
      <c r="G4575"/>
    </row>
    <row r="4576" spans="7:7" x14ac:dyDescent="0.3">
      <c r="G4576"/>
    </row>
    <row r="4577" spans="7:7" x14ac:dyDescent="0.3">
      <c r="G4577"/>
    </row>
    <row r="4578" spans="7:7" x14ac:dyDescent="0.3">
      <c r="G4578"/>
    </row>
    <row r="4579" spans="7:7" x14ac:dyDescent="0.3">
      <c r="G4579"/>
    </row>
    <row r="4580" spans="7:7" x14ac:dyDescent="0.3">
      <c r="G4580"/>
    </row>
    <row r="4581" spans="7:7" x14ac:dyDescent="0.3">
      <c r="G4581"/>
    </row>
    <row r="4582" spans="7:7" x14ac:dyDescent="0.3">
      <c r="G4582"/>
    </row>
    <row r="4583" spans="7:7" x14ac:dyDescent="0.3">
      <c r="G4583"/>
    </row>
    <row r="4584" spans="7:7" x14ac:dyDescent="0.3">
      <c r="G4584"/>
    </row>
    <row r="4585" spans="7:7" x14ac:dyDescent="0.3">
      <c r="G4585"/>
    </row>
    <row r="4586" spans="7:7" x14ac:dyDescent="0.3">
      <c r="G4586"/>
    </row>
    <row r="4587" spans="7:7" x14ac:dyDescent="0.3">
      <c r="G4587"/>
    </row>
    <row r="4588" spans="7:7" x14ac:dyDescent="0.3">
      <c r="G4588"/>
    </row>
    <row r="4589" spans="7:7" x14ac:dyDescent="0.3">
      <c r="G4589"/>
    </row>
    <row r="4590" spans="7:7" x14ac:dyDescent="0.3">
      <c r="G4590"/>
    </row>
    <row r="4591" spans="7:7" x14ac:dyDescent="0.3">
      <c r="G4591"/>
    </row>
    <row r="4592" spans="7:7" x14ac:dyDescent="0.3">
      <c r="G4592"/>
    </row>
    <row r="4593" spans="7:7" x14ac:dyDescent="0.3">
      <c r="G4593"/>
    </row>
    <row r="4594" spans="7:7" x14ac:dyDescent="0.3">
      <c r="G4594"/>
    </row>
    <row r="4595" spans="7:7" x14ac:dyDescent="0.3">
      <c r="G4595"/>
    </row>
    <row r="4596" spans="7:7" x14ac:dyDescent="0.3">
      <c r="G4596"/>
    </row>
    <row r="4597" spans="7:7" x14ac:dyDescent="0.3">
      <c r="G4597"/>
    </row>
    <row r="4598" spans="7:7" x14ac:dyDescent="0.3">
      <c r="G4598"/>
    </row>
    <row r="4599" spans="7:7" x14ac:dyDescent="0.3">
      <c r="G4599"/>
    </row>
    <row r="4600" spans="7:7" x14ac:dyDescent="0.3">
      <c r="G4600"/>
    </row>
    <row r="4601" spans="7:7" x14ac:dyDescent="0.3">
      <c r="G4601"/>
    </row>
    <row r="4602" spans="7:7" x14ac:dyDescent="0.3">
      <c r="G4602"/>
    </row>
    <row r="4603" spans="7:7" x14ac:dyDescent="0.3">
      <c r="G4603"/>
    </row>
    <row r="4604" spans="7:7" x14ac:dyDescent="0.3">
      <c r="G4604"/>
    </row>
    <row r="4605" spans="7:7" x14ac:dyDescent="0.3">
      <c r="G4605"/>
    </row>
    <row r="4606" spans="7:7" x14ac:dyDescent="0.3">
      <c r="G4606"/>
    </row>
    <row r="4607" spans="7:7" x14ac:dyDescent="0.3">
      <c r="G4607"/>
    </row>
    <row r="4608" spans="7:7" x14ac:dyDescent="0.3">
      <c r="G4608"/>
    </row>
    <row r="4609" spans="7:7" x14ac:dyDescent="0.3">
      <c r="G4609"/>
    </row>
    <row r="4610" spans="7:7" x14ac:dyDescent="0.3">
      <c r="G4610"/>
    </row>
    <row r="4611" spans="7:7" x14ac:dyDescent="0.3">
      <c r="G4611"/>
    </row>
    <row r="4612" spans="7:7" x14ac:dyDescent="0.3">
      <c r="G4612"/>
    </row>
    <row r="4613" spans="7:7" x14ac:dyDescent="0.3">
      <c r="G4613"/>
    </row>
    <row r="4614" spans="7:7" x14ac:dyDescent="0.3">
      <c r="G4614"/>
    </row>
    <row r="4615" spans="7:7" x14ac:dyDescent="0.3">
      <c r="G4615"/>
    </row>
    <row r="4616" spans="7:7" x14ac:dyDescent="0.3">
      <c r="G4616"/>
    </row>
    <row r="4617" spans="7:7" x14ac:dyDescent="0.3">
      <c r="G4617"/>
    </row>
    <row r="4618" spans="7:7" x14ac:dyDescent="0.3">
      <c r="G4618"/>
    </row>
    <row r="4619" spans="7:7" x14ac:dyDescent="0.3">
      <c r="G4619"/>
    </row>
    <row r="4620" spans="7:7" x14ac:dyDescent="0.3">
      <c r="G4620"/>
    </row>
    <row r="4621" spans="7:7" x14ac:dyDescent="0.3">
      <c r="G4621"/>
    </row>
    <row r="4622" spans="7:7" x14ac:dyDescent="0.3">
      <c r="G4622"/>
    </row>
    <row r="4623" spans="7:7" x14ac:dyDescent="0.3">
      <c r="G4623"/>
    </row>
    <row r="4624" spans="7:7" x14ac:dyDescent="0.3">
      <c r="G4624"/>
    </row>
    <row r="4625" spans="7:7" x14ac:dyDescent="0.3">
      <c r="G4625"/>
    </row>
    <row r="4626" spans="7:7" x14ac:dyDescent="0.3">
      <c r="G4626"/>
    </row>
    <row r="4627" spans="7:7" x14ac:dyDescent="0.3">
      <c r="G4627"/>
    </row>
    <row r="4628" spans="7:7" x14ac:dyDescent="0.3">
      <c r="G4628"/>
    </row>
    <row r="4629" spans="7:7" x14ac:dyDescent="0.3">
      <c r="G4629"/>
    </row>
    <row r="4630" spans="7:7" x14ac:dyDescent="0.3">
      <c r="G4630"/>
    </row>
    <row r="4631" spans="7:7" x14ac:dyDescent="0.3">
      <c r="G4631"/>
    </row>
    <row r="4632" spans="7:7" x14ac:dyDescent="0.3">
      <c r="G4632"/>
    </row>
    <row r="4633" spans="7:7" x14ac:dyDescent="0.3">
      <c r="G4633"/>
    </row>
    <row r="4634" spans="7:7" x14ac:dyDescent="0.3">
      <c r="G4634"/>
    </row>
    <row r="4635" spans="7:7" x14ac:dyDescent="0.3">
      <c r="G4635"/>
    </row>
    <row r="4636" spans="7:7" x14ac:dyDescent="0.3">
      <c r="G4636"/>
    </row>
    <row r="4637" spans="7:7" x14ac:dyDescent="0.3">
      <c r="G4637"/>
    </row>
    <row r="4638" spans="7:7" x14ac:dyDescent="0.3">
      <c r="G4638"/>
    </row>
    <row r="4639" spans="7:7" x14ac:dyDescent="0.3">
      <c r="G4639"/>
    </row>
    <row r="4640" spans="7:7" x14ac:dyDescent="0.3">
      <c r="G4640"/>
    </row>
    <row r="4641" spans="7:7" x14ac:dyDescent="0.3">
      <c r="G4641"/>
    </row>
    <row r="4642" spans="7:7" x14ac:dyDescent="0.3">
      <c r="G4642"/>
    </row>
    <row r="4643" spans="7:7" x14ac:dyDescent="0.3">
      <c r="G4643"/>
    </row>
    <row r="4644" spans="7:7" x14ac:dyDescent="0.3">
      <c r="G4644"/>
    </row>
    <row r="4645" spans="7:7" x14ac:dyDescent="0.3">
      <c r="G4645"/>
    </row>
    <row r="4646" spans="7:7" x14ac:dyDescent="0.3">
      <c r="G4646"/>
    </row>
    <row r="4647" spans="7:7" x14ac:dyDescent="0.3">
      <c r="G4647"/>
    </row>
    <row r="4648" spans="7:7" x14ac:dyDescent="0.3">
      <c r="G4648"/>
    </row>
    <row r="4649" spans="7:7" x14ac:dyDescent="0.3">
      <c r="G4649"/>
    </row>
    <row r="4650" spans="7:7" x14ac:dyDescent="0.3">
      <c r="G4650"/>
    </row>
    <row r="4651" spans="7:7" x14ac:dyDescent="0.3">
      <c r="G4651"/>
    </row>
    <row r="4652" spans="7:7" x14ac:dyDescent="0.3">
      <c r="G4652"/>
    </row>
    <row r="4653" spans="7:7" x14ac:dyDescent="0.3">
      <c r="G4653"/>
    </row>
    <row r="4654" spans="7:7" x14ac:dyDescent="0.3">
      <c r="G4654"/>
    </row>
    <row r="4655" spans="7:7" x14ac:dyDescent="0.3">
      <c r="G4655"/>
    </row>
    <row r="4656" spans="7:7" x14ac:dyDescent="0.3">
      <c r="G4656"/>
    </row>
    <row r="4657" spans="7:7" x14ac:dyDescent="0.3">
      <c r="G4657"/>
    </row>
    <row r="4658" spans="7:7" x14ac:dyDescent="0.3">
      <c r="G4658"/>
    </row>
    <row r="4659" spans="7:7" x14ac:dyDescent="0.3">
      <c r="G4659"/>
    </row>
    <row r="4660" spans="7:7" x14ac:dyDescent="0.3">
      <c r="G4660"/>
    </row>
    <row r="4661" spans="7:7" x14ac:dyDescent="0.3">
      <c r="G4661"/>
    </row>
    <row r="4662" spans="7:7" x14ac:dyDescent="0.3">
      <c r="G4662"/>
    </row>
    <row r="4663" spans="7:7" x14ac:dyDescent="0.3">
      <c r="G4663"/>
    </row>
    <row r="4664" spans="7:7" x14ac:dyDescent="0.3">
      <c r="G4664"/>
    </row>
    <row r="4665" spans="7:7" x14ac:dyDescent="0.3">
      <c r="G4665"/>
    </row>
    <row r="4666" spans="7:7" x14ac:dyDescent="0.3">
      <c r="G4666"/>
    </row>
    <row r="4667" spans="7:7" x14ac:dyDescent="0.3">
      <c r="G4667"/>
    </row>
    <row r="4668" spans="7:7" x14ac:dyDescent="0.3">
      <c r="G4668"/>
    </row>
    <row r="4669" spans="7:7" x14ac:dyDescent="0.3">
      <c r="G4669"/>
    </row>
    <row r="4670" spans="7:7" x14ac:dyDescent="0.3">
      <c r="G4670"/>
    </row>
    <row r="4671" spans="7:7" x14ac:dyDescent="0.3">
      <c r="G4671"/>
    </row>
    <row r="4672" spans="7:7" x14ac:dyDescent="0.3">
      <c r="G4672"/>
    </row>
    <row r="4673" spans="7:7" x14ac:dyDescent="0.3">
      <c r="G4673"/>
    </row>
    <row r="4674" spans="7:7" x14ac:dyDescent="0.3">
      <c r="G4674"/>
    </row>
    <row r="4675" spans="7:7" x14ac:dyDescent="0.3">
      <c r="G4675"/>
    </row>
    <row r="4676" spans="7:7" x14ac:dyDescent="0.3">
      <c r="G4676"/>
    </row>
    <row r="4677" spans="7:7" x14ac:dyDescent="0.3">
      <c r="G4677"/>
    </row>
    <row r="4678" spans="7:7" x14ac:dyDescent="0.3">
      <c r="G4678"/>
    </row>
    <row r="4679" spans="7:7" x14ac:dyDescent="0.3">
      <c r="G4679"/>
    </row>
    <row r="4680" spans="7:7" x14ac:dyDescent="0.3">
      <c r="G4680"/>
    </row>
    <row r="4681" spans="7:7" x14ac:dyDescent="0.3">
      <c r="G4681"/>
    </row>
    <row r="4682" spans="7:7" x14ac:dyDescent="0.3">
      <c r="G4682"/>
    </row>
    <row r="4683" spans="7:7" x14ac:dyDescent="0.3">
      <c r="G4683"/>
    </row>
    <row r="4684" spans="7:7" x14ac:dyDescent="0.3">
      <c r="G4684"/>
    </row>
    <row r="4685" spans="7:7" x14ac:dyDescent="0.3">
      <c r="G4685"/>
    </row>
    <row r="4686" spans="7:7" x14ac:dyDescent="0.3">
      <c r="G4686"/>
    </row>
    <row r="4687" spans="7:7" x14ac:dyDescent="0.3">
      <c r="G4687"/>
    </row>
    <row r="4688" spans="7:7" x14ac:dyDescent="0.3">
      <c r="G4688"/>
    </row>
    <row r="4689" spans="7:7" x14ac:dyDescent="0.3">
      <c r="G4689"/>
    </row>
    <row r="4690" spans="7:7" x14ac:dyDescent="0.3">
      <c r="G4690"/>
    </row>
    <row r="4691" spans="7:7" x14ac:dyDescent="0.3">
      <c r="G4691"/>
    </row>
    <row r="4692" spans="7:7" x14ac:dyDescent="0.3">
      <c r="G4692"/>
    </row>
    <row r="4693" spans="7:7" x14ac:dyDescent="0.3">
      <c r="G4693"/>
    </row>
    <row r="4694" spans="7:7" x14ac:dyDescent="0.3">
      <c r="G4694"/>
    </row>
    <row r="4695" spans="7:7" x14ac:dyDescent="0.3">
      <c r="G4695"/>
    </row>
    <row r="4696" spans="7:7" x14ac:dyDescent="0.3">
      <c r="G4696"/>
    </row>
    <row r="4697" spans="7:7" x14ac:dyDescent="0.3">
      <c r="G4697"/>
    </row>
    <row r="4698" spans="7:7" x14ac:dyDescent="0.3">
      <c r="G4698"/>
    </row>
    <row r="4699" spans="7:7" x14ac:dyDescent="0.3">
      <c r="G4699"/>
    </row>
    <row r="4700" spans="7:7" x14ac:dyDescent="0.3">
      <c r="G4700"/>
    </row>
    <row r="4701" spans="7:7" x14ac:dyDescent="0.3">
      <c r="G4701"/>
    </row>
    <row r="4702" spans="7:7" x14ac:dyDescent="0.3">
      <c r="G4702"/>
    </row>
    <row r="4703" spans="7:7" x14ac:dyDescent="0.3">
      <c r="G4703"/>
    </row>
    <row r="4704" spans="7:7" x14ac:dyDescent="0.3">
      <c r="G4704"/>
    </row>
    <row r="4705" spans="7:7" x14ac:dyDescent="0.3">
      <c r="G4705"/>
    </row>
    <row r="4706" spans="7:7" x14ac:dyDescent="0.3">
      <c r="G4706"/>
    </row>
    <row r="4707" spans="7:7" x14ac:dyDescent="0.3">
      <c r="G4707"/>
    </row>
    <row r="4708" spans="7:7" x14ac:dyDescent="0.3">
      <c r="G4708"/>
    </row>
    <row r="4709" spans="7:7" x14ac:dyDescent="0.3">
      <c r="G4709"/>
    </row>
    <row r="4710" spans="7:7" x14ac:dyDescent="0.3">
      <c r="G4710"/>
    </row>
    <row r="4711" spans="7:7" x14ac:dyDescent="0.3">
      <c r="G4711"/>
    </row>
    <row r="4712" spans="7:7" x14ac:dyDescent="0.3">
      <c r="G4712"/>
    </row>
    <row r="4713" spans="7:7" x14ac:dyDescent="0.3">
      <c r="G4713"/>
    </row>
    <row r="4714" spans="7:7" x14ac:dyDescent="0.3">
      <c r="G4714"/>
    </row>
    <row r="4715" spans="7:7" x14ac:dyDescent="0.3">
      <c r="G4715"/>
    </row>
    <row r="4716" spans="7:7" x14ac:dyDescent="0.3">
      <c r="G4716"/>
    </row>
    <row r="4717" spans="7:7" x14ac:dyDescent="0.3">
      <c r="G4717"/>
    </row>
    <row r="4718" spans="7:7" x14ac:dyDescent="0.3">
      <c r="G4718"/>
    </row>
    <row r="4719" spans="7:7" x14ac:dyDescent="0.3">
      <c r="G4719"/>
    </row>
    <row r="4720" spans="7:7" x14ac:dyDescent="0.3">
      <c r="G4720"/>
    </row>
    <row r="4721" spans="7:7" x14ac:dyDescent="0.3">
      <c r="G4721"/>
    </row>
    <row r="4722" spans="7:7" x14ac:dyDescent="0.3">
      <c r="G4722"/>
    </row>
    <row r="4723" spans="7:7" x14ac:dyDescent="0.3">
      <c r="G4723"/>
    </row>
    <row r="4724" spans="7:7" x14ac:dyDescent="0.3">
      <c r="G4724"/>
    </row>
    <row r="4725" spans="7:7" x14ac:dyDescent="0.3">
      <c r="G4725"/>
    </row>
    <row r="4726" spans="7:7" x14ac:dyDescent="0.3">
      <c r="G4726"/>
    </row>
    <row r="4727" spans="7:7" x14ac:dyDescent="0.3">
      <c r="G4727"/>
    </row>
    <row r="4728" spans="7:7" x14ac:dyDescent="0.3">
      <c r="G4728"/>
    </row>
    <row r="4729" spans="7:7" x14ac:dyDescent="0.3">
      <c r="G4729"/>
    </row>
    <row r="4730" spans="7:7" x14ac:dyDescent="0.3">
      <c r="G4730"/>
    </row>
    <row r="4731" spans="7:7" x14ac:dyDescent="0.3">
      <c r="G4731"/>
    </row>
    <row r="4732" spans="7:7" x14ac:dyDescent="0.3">
      <c r="G4732"/>
    </row>
    <row r="4733" spans="7:7" x14ac:dyDescent="0.3">
      <c r="G4733"/>
    </row>
    <row r="4734" spans="7:7" x14ac:dyDescent="0.3">
      <c r="G4734"/>
    </row>
    <row r="4735" spans="7:7" x14ac:dyDescent="0.3">
      <c r="G4735"/>
    </row>
    <row r="4736" spans="7:7" x14ac:dyDescent="0.3">
      <c r="G4736"/>
    </row>
    <row r="4737" spans="7:7" x14ac:dyDescent="0.3">
      <c r="G4737"/>
    </row>
    <row r="4738" spans="7:7" x14ac:dyDescent="0.3">
      <c r="G4738"/>
    </row>
    <row r="4739" spans="7:7" x14ac:dyDescent="0.3">
      <c r="G4739"/>
    </row>
    <row r="4740" spans="7:7" x14ac:dyDescent="0.3">
      <c r="G4740"/>
    </row>
    <row r="4741" spans="7:7" x14ac:dyDescent="0.3">
      <c r="G4741"/>
    </row>
    <row r="4742" spans="7:7" x14ac:dyDescent="0.3">
      <c r="G4742"/>
    </row>
    <row r="4743" spans="7:7" x14ac:dyDescent="0.3">
      <c r="G4743"/>
    </row>
    <row r="4744" spans="7:7" x14ac:dyDescent="0.3">
      <c r="G4744"/>
    </row>
    <row r="4745" spans="7:7" x14ac:dyDescent="0.3">
      <c r="G4745"/>
    </row>
    <row r="4746" spans="7:7" x14ac:dyDescent="0.3">
      <c r="G4746"/>
    </row>
    <row r="4747" spans="7:7" x14ac:dyDescent="0.3">
      <c r="G4747"/>
    </row>
    <row r="4748" spans="7:7" x14ac:dyDescent="0.3">
      <c r="G4748"/>
    </row>
    <row r="4749" spans="7:7" x14ac:dyDescent="0.3">
      <c r="G4749"/>
    </row>
    <row r="4750" spans="7:7" x14ac:dyDescent="0.3">
      <c r="G4750"/>
    </row>
    <row r="4751" spans="7:7" x14ac:dyDescent="0.3">
      <c r="G4751"/>
    </row>
    <row r="4752" spans="7:7" x14ac:dyDescent="0.3">
      <c r="G4752"/>
    </row>
    <row r="4753" spans="7:7" x14ac:dyDescent="0.3">
      <c r="G4753"/>
    </row>
    <row r="4754" spans="7:7" x14ac:dyDescent="0.3">
      <c r="G4754"/>
    </row>
    <row r="4755" spans="7:7" x14ac:dyDescent="0.3">
      <c r="G4755"/>
    </row>
    <row r="4756" spans="7:7" x14ac:dyDescent="0.3">
      <c r="G4756"/>
    </row>
    <row r="4757" spans="7:7" x14ac:dyDescent="0.3">
      <c r="G4757"/>
    </row>
    <row r="4758" spans="7:7" x14ac:dyDescent="0.3">
      <c r="G4758"/>
    </row>
    <row r="4759" spans="7:7" x14ac:dyDescent="0.3">
      <c r="G4759"/>
    </row>
    <row r="4760" spans="7:7" x14ac:dyDescent="0.3">
      <c r="G4760"/>
    </row>
    <row r="4761" spans="7:7" x14ac:dyDescent="0.3">
      <c r="G4761"/>
    </row>
    <row r="4762" spans="7:7" x14ac:dyDescent="0.3">
      <c r="G4762"/>
    </row>
    <row r="4763" spans="7:7" x14ac:dyDescent="0.3">
      <c r="G4763"/>
    </row>
    <row r="4764" spans="7:7" x14ac:dyDescent="0.3">
      <c r="G4764"/>
    </row>
    <row r="4765" spans="7:7" x14ac:dyDescent="0.3">
      <c r="G4765"/>
    </row>
    <row r="4766" spans="7:7" x14ac:dyDescent="0.3">
      <c r="G4766"/>
    </row>
    <row r="4767" spans="7:7" x14ac:dyDescent="0.3">
      <c r="G4767"/>
    </row>
    <row r="4768" spans="7:7" x14ac:dyDescent="0.3">
      <c r="G4768"/>
    </row>
    <row r="4769" spans="7:7" x14ac:dyDescent="0.3">
      <c r="G4769"/>
    </row>
    <row r="4770" spans="7:7" x14ac:dyDescent="0.3">
      <c r="G4770"/>
    </row>
    <row r="4771" spans="7:7" x14ac:dyDescent="0.3">
      <c r="G4771"/>
    </row>
    <row r="4772" spans="7:7" x14ac:dyDescent="0.3">
      <c r="G4772"/>
    </row>
    <row r="4773" spans="7:7" x14ac:dyDescent="0.3">
      <c r="G4773"/>
    </row>
    <row r="4774" spans="7:7" x14ac:dyDescent="0.3">
      <c r="G4774"/>
    </row>
    <row r="4775" spans="7:7" x14ac:dyDescent="0.3">
      <c r="G4775"/>
    </row>
    <row r="4776" spans="7:7" x14ac:dyDescent="0.3">
      <c r="G4776"/>
    </row>
    <row r="4777" spans="7:7" x14ac:dyDescent="0.3">
      <c r="G4777"/>
    </row>
    <row r="4778" spans="7:7" x14ac:dyDescent="0.3">
      <c r="G4778"/>
    </row>
    <row r="4779" spans="7:7" x14ac:dyDescent="0.3">
      <c r="G4779"/>
    </row>
    <row r="4780" spans="7:7" x14ac:dyDescent="0.3">
      <c r="G4780"/>
    </row>
    <row r="4781" spans="7:7" x14ac:dyDescent="0.3">
      <c r="G4781"/>
    </row>
    <row r="4782" spans="7:7" x14ac:dyDescent="0.3">
      <c r="G4782"/>
    </row>
    <row r="4783" spans="7:7" x14ac:dyDescent="0.3">
      <c r="G4783"/>
    </row>
    <row r="4784" spans="7:7" x14ac:dyDescent="0.3">
      <c r="G4784"/>
    </row>
    <row r="4785" spans="7:7" x14ac:dyDescent="0.3">
      <c r="G4785"/>
    </row>
    <row r="4786" spans="7:7" x14ac:dyDescent="0.3">
      <c r="G4786"/>
    </row>
    <row r="4787" spans="7:7" x14ac:dyDescent="0.3">
      <c r="G4787"/>
    </row>
    <row r="4788" spans="7:7" x14ac:dyDescent="0.3">
      <c r="G4788"/>
    </row>
    <row r="4789" spans="7:7" x14ac:dyDescent="0.3">
      <c r="G4789"/>
    </row>
    <row r="4790" spans="7:7" x14ac:dyDescent="0.3">
      <c r="G4790"/>
    </row>
    <row r="4791" spans="7:7" x14ac:dyDescent="0.3">
      <c r="G4791"/>
    </row>
    <row r="4792" spans="7:7" x14ac:dyDescent="0.3">
      <c r="G4792"/>
    </row>
    <row r="4793" spans="7:7" x14ac:dyDescent="0.3">
      <c r="G4793"/>
    </row>
    <row r="4794" spans="7:7" x14ac:dyDescent="0.3">
      <c r="G4794"/>
    </row>
    <row r="4795" spans="7:7" x14ac:dyDescent="0.3">
      <c r="G4795"/>
    </row>
    <row r="4796" spans="7:7" x14ac:dyDescent="0.3">
      <c r="G4796"/>
    </row>
    <row r="4797" spans="7:7" x14ac:dyDescent="0.3">
      <c r="G4797"/>
    </row>
    <row r="4798" spans="7:7" x14ac:dyDescent="0.3">
      <c r="G4798"/>
    </row>
    <row r="4799" spans="7:7" x14ac:dyDescent="0.3">
      <c r="G4799"/>
    </row>
    <row r="4800" spans="7:7" x14ac:dyDescent="0.3">
      <c r="G4800"/>
    </row>
    <row r="4801" spans="7:7" x14ac:dyDescent="0.3">
      <c r="G4801"/>
    </row>
    <row r="4802" spans="7:7" x14ac:dyDescent="0.3">
      <c r="G4802"/>
    </row>
    <row r="4803" spans="7:7" x14ac:dyDescent="0.3">
      <c r="G4803"/>
    </row>
    <row r="4804" spans="7:7" x14ac:dyDescent="0.3">
      <c r="G4804"/>
    </row>
    <row r="4805" spans="7:7" x14ac:dyDescent="0.3">
      <c r="G4805"/>
    </row>
    <row r="4806" spans="7:7" x14ac:dyDescent="0.3">
      <c r="G4806"/>
    </row>
    <row r="4807" spans="7:7" x14ac:dyDescent="0.3">
      <c r="G4807"/>
    </row>
    <row r="4808" spans="7:7" x14ac:dyDescent="0.3">
      <c r="G4808"/>
    </row>
    <row r="4809" spans="7:7" x14ac:dyDescent="0.3">
      <c r="G4809"/>
    </row>
    <row r="4810" spans="7:7" x14ac:dyDescent="0.3">
      <c r="G4810"/>
    </row>
    <row r="4811" spans="7:7" x14ac:dyDescent="0.3">
      <c r="G4811"/>
    </row>
    <row r="4812" spans="7:7" x14ac:dyDescent="0.3">
      <c r="G4812"/>
    </row>
    <row r="4813" spans="7:7" x14ac:dyDescent="0.3">
      <c r="G4813"/>
    </row>
    <row r="4814" spans="7:7" x14ac:dyDescent="0.3">
      <c r="G4814"/>
    </row>
    <row r="4815" spans="7:7" x14ac:dyDescent="0.3">
      <c r="G4815"/>
    </row>
    <row r="4816" spans="7:7" x14ac:dyDescent="0.3">
      <c r="G4816"/>
    </row>
    <row r="4817" spans="7:7" x14ac:dyDescent="0.3">
      <c r="G4817"/>
    </row>
    <row r="4818" spans="7:7" x14ac:dyDescent="0.3">
      <c r="G4818"/>
    </row>
    <row r="4819" spans="7:7" x14ac:dyDescent="0.3">
      <c r="G4819"/>
    </row>
    <row r="4820" spans="7:7" x14ac:dyDescent="0.3">
      <c r="G4820"/>
    </row>
    <row r="4821" spans="7:7" x14ac:dyDescent="0.3">
      <c r="G4821"/>
    </row>
    <row r="4822" spans="7:7" x14ac:dyDescent="0.3">
      <c r="G4822"/>
    </row>
    <row r="4823" spans="7:7" x14ac:dyDescent="0.3">
      <c r="G4823"/>
    </row>
    <row r="4824" spans="7:7" x14ac:dyDescent="0.3">
      <c r="G4824"/>
    </row>
    <row r="4825" spans="7:7" x14ac:dyDescent="0.3">
      <c r="G4825"/>
    </row>
    <row r="4826" spans="7:7" x14ac:dyDescent="0.3">
      <c r="G4826"/>
    </row>
    <row r="4827" spans="7:7" x14ac:dyDescent="0.3">
      <c r="G4827"/>
    </row>
    <row r="4828" spans="7:7" x14ac:dyDescent="0.3">
      <c r="G4828"/>
    </row>
    <row r="4829" spans="7:7" x14ac:dyDescent="0.3">
      <c r="G4829"/>
    </row>
    <row r="4830" spans="7:7" x14ac:dyDescent="0.3">
      <c r="G4830"/>
    </row>
    <row r="4831" spans="7:7" x14ac:dyDescent="0.3">
      <c r="G4831"/>
    </row>
    <row r="4832" spans="7:7" x14ac:dyDescent="0.3">
      <c r="G4832"/>
    </row>
    <row r="4833" spans="7:7" x14ac:dyDescent="0.3">
      <c r="G4833"/>
    </row>
    <row r="4834" spans="7:7" x14ac:dyDescent="0.3">
      <c r="G4834"/>
    </row>
    <row r="4835" spans="7:7" x14ac:dyDescent="0.3">
      <c r="G4835"/>
    </row>
    <row r="4836" spans="7:7" x14ac:dyDescent="0.3">
      <c r="G4836"/>
    </row>
    <row r="4837" spans="7:7" x14ac:dyDescent="0.3">
      <c r="G4837"/>
    </row>
    <row r="4838" spans="7:7" x14ac:dyDescent="0.3">
      <c r="G4838"/>
    </row>
    <row r="4839" spans="7:7" x14ac:dyDescent="0.3">
      <c r="G4839"/>
    </row>
    <row r="4840" spans="7:7" x14ac:dyDescent="0.3">
      <c r="G4840"/>
    </row>
    <row r="4841" spans="7:7" x14ac:dyDescent="0.3">
      <c r="G4841"/>
    </row>
    <row r="4842" spans="7:7" x14ac:dyDescent="0.3">
      <c r="G4842"/>
    </row>
    <row r="4843" spans="7:7" x14ac:dyDescent="0.3">
      <c r="G4843"/>
    </row>
    <row r="4844" spans="7:7" x14ac:dyDescent="0.3">
      <c r="G4844"/>
    </row>
    <row r="4845" spans="7:7" x14ac:dyDescent="0.3">
      <c r="G4845"/>
    </row>
    <row r="4846" spans="7:7" x14ac:dyDescent="0.3">
      <c r="G4846"/>
    </row>
    <row r="4847" spans="7:7" x14ac:dyDescent="0.3">
      <c r="G4847"/>
    </row>
    <row r="4848" spans="7:7" x14ac:dyDescent="0.3">
      <c r="G4848"/>
    </row>
    <row r="4849" spans="7:7" x14ac:dyDescent="0.3">
      <c r="G4849"/>
    </row>
    <row r="4850" spans="7:7" x14ac:dyDescent="0.3">
      <c r="G4850"/>
    </row>
    <row r="4851" spans="7:7" x14ac:dyDescent="0.3">
      <c r="G4851"/>
    </row>
    <row r="4852" spans="7:7" x14ac:dyDescent="0.3">
      <c r="G4852"/>
    </row>
    <row r="4853" spans="7:7" x14ac:dyDescent="0.3">
      <c r="G4853"/>
    </row>
    <row r="4854" spans="7:7" x14ac:dyDescent="0.3">
      <c r="G4854"/>
    </row>
    <row r="4855" spans="7:7" x14ac:dyDescent="0.3">
      <c r="G4855"/>
    </row>
    <row r="4856" spans="7:7" x14ac:dyDescent="0.3">
      <c r="G4856"/>
    </row>
    <row r="4857" spans="7:7" x14ac:dyDescent="0.3">
      <c r="G4857"/>
    </row>
    <row r="4858" spans="7:7" x14ac:dyDescent="0.3">
      <c r="G4858"/>
    </row>
    <row r="4859" spans="7:7" x14ac:dyDescent="0.3">
      <c r="G4859"/>
    </row>
    <row r="4860" spans="7:7" x14ac:dyDescent="0.3">
      <c r="G4860"/>
    </row>
    <row r="4861" spans="7:7" x14ac:dyDescent="0.3">
      <c r="G4861"/>
    </row>
    <row r="4862" spans="7:7" x14ac:dyDescent="0.3">
      <c r="G4862"/>
    </row>
    <row r="4863" spans="7:7" x14ac:dyDescent="0.3">
      <c r="G4863"/>
    </row>
    <row r="4864" spans="7:7" x14ac:dyDescent="0.3">
      <c r="G4864"/>
    </row>
    <row r="4865" spans="7:7" x14ac:dyDescent="0.3">
      <c r="G4865"/>
    </row>
    <row r="4866" spans="7:7" x14ac:dyDescent="0.3">
      <c r="G4866"/>
    </row>
    <row r="4867" spans="7:7" x14ac:dyDescent="0.3">
      <c r="G4867"/>
    </row>
    <row r="4868" spans="7:7" x14ac:dyDescent="0.3">
      <c r="G4868"/>
    </row>
    <row r="4869" spans="7:7" x14ac:dyDescent="0.3">
      <c r="G4869"/>
    </row>
    <row r="4870" spans="7:7" x14ac:dyDescent="0.3">
      <c r="G4870"/>
    </row>
    <row r="4871" spans="7:7" x14ac:dyDescent="0.3">
      <c r="G4871"/>
    </row>
    <row r="4872" spans="7:7" x14ac:dyDescent="0.3">
      <c r="G4872"/>
    </row>
    <row r="4873" spans="7:7" x14ac:dyDescent="0.3">
      <c r="G4873"/>
    </row>
    <row r="4874" spans="7:7" x14ac:dyDescent="0.3">
      <c r="G4874"/>
    </row>
    <row r="4875" spans="7:7" x14ac:dyDescent="0.3">
      <c r="G4875"/>
    </row>
    <row r="4876" spans="7:7" x14ac:dyDescent="0.3">
      <c r="G4876"/>
    </row>
    <row r="4877" spans="7:7" x14ac:dyDescent="0.3">
      <c r="G4877"/>
    </row>
    <row r="4878" spans="7:7" x14ac:dyDescent="0.3">
      <c r="G4878"/>
    </row>
    <row r="4879" spans="7:7" x14ac:dyDescent="0.3">
      <c r="G4879"/>
    </row>
    <row r="4880" spans="7:7" x14ac:dyDescent="0.3">
      <c r="G4880"/>
    </row>
    <row r="4881" spans="7:7" x14ac:dyDescent="0.3">
      <c r="G4881"/>
    </row>
    <row r="4882" spans="7:7" x14ac:dyDescent="0.3">
      <c r="G4882"/>
    </row>
    <row r="4883" spans="7:7" x14ac:dyDescent="0.3">
      <c r="G4883"/>
    </row>
    <row r="4884" spans="7:7" x14ac:dyDescent="0.3">
      <c r="G4884"/>
    </row>
    <row r="4885" spans="7:7" x14ac:dyDescent="0.3">
      <c r="G4885"/>
    </row>
    <row r="4886" spans="7:7" x14ac:dyDescent="0.3">
      <c r="G4886"/>
    </row>
    <row r="4887" spans="7:7" x14ac:dyDescent="0.3">
      <c r="G4887"/>
    </row>
    <row r="4888" spans="7:7" x14ac:dyDescent="0.3">
      <c r="G4888"/>
    </row>
    <row r="4889" spans="7:7" x14ac:dyDescent="0.3">
      <c r="G4889"/>
    </row>
    <row r="4890" spans="7:7" x14ac:dyDescent="0.3">
      <c r="G4890"/>
    </row>
    <row r="4891" spans="7:7" x14ac:dyDescent="0.3">
      <c r="G4891"/>
    </row>
    <row r="4892" spans="7:7" x14ac:dyDescent="0.3">
      <c r="G4892"/>
    </row>
    <row r="4893" spans="7:7" x14ac:dyDescent="0.3">
      <c r="G4893"/>
    </row>
    <row r="4894" spans="7:7" x14ac:dyDescent="0.3">
      <c r="G4894"/>
    </row>
    <row r="4895" spans="7:7" x14ac:dyDescent="0.3">
      <c r="G4895"/>
    </row>
    <row r="4896" spans="7:7" x14ac:dyDescent="0.3">
      <c r="G4896"/>
    </row>
    <row r="4897" spans="7:7" x14ac:dyDescent="0.3">
      <c r="G4897"/>
    </row>
    <row r="4898" spans="7:7" x14ac:dyDescent="0.3">
      <c r="G4898"/>
    </row>
    <row r="4899" spans="7:7" x14ac:dyDescent="0.3">
      <c r="G4899"/>
    </row>
    <row r="4900" spans="7:7" x14ac:dyDescent="0.3">
      <c r="G4900"/>
    </row>
    <row r="4901" spans="7:7" x14ac:dyDescent="0.3">
      <c r="G4901"/>
    </row>
    <row r="4902" spans="7:7" x14ac:dyDescent="0.3">
      <c r="G4902"/>
    </row>
    <row r="4903" spans="7:7" x14ac:dyDescent="0.3">
      <c r="G4903"/>
    </row>
    <row r="4904" spans="7:7" x14ac:dyDescent="0.3">
      <c r="G4904"/>
    </row>
    <row r="4905" spans="7:7" x14ac:dyDescent="0.3">
      <c r="G4905"/>
    </row>
    <row r="4906" spans="7:7" x14ac:dyDescent="0.3">
      <c r="G4906"/>
    </row>
    <row r="4907" spans="7:7" x14ac:dyDescent="0.3">
      <c r="G4907"/>
    </row>
    <row r="4908" spans="7:7" x14ac:dyDescent="0.3">
      <c r="G4908"/>
    </row>
    <row r="4909" spans="7:7" x14ac:dyDescent="0.3">
      <c r="G4909"/>
    </row>
    <row r="4910" spans="7:7" x14ac:dyDescent="0.3">
      <c r="G4910"/>
    </row>
    <row r="4911" spans="7:7" x14ac:dyDescent="0.3">
      <c r="G4911"/>
    </row>
    <row r="4912" spans="7:7" x14ac:dyDescent="0.3">
      <c r="G4912"/>
    </row>
    <row r="4913" spans="7:7" x14ac:dyDescent="0.3">
      <c r="G4913"/>
    </row>
    <row r="4914" spans="7:7" x14ac:dyDescent="0.3">
      <c r="G4914"/>
    </row>
    <row r="4915" spans="7:7" x14ac:dyDescent="0.3">
      <c r="G4915"/>
    </row>
    <row r="4916" spans="7:7" x14ac:dyDescent="0.3">
      <c r="G4916"/>
    </row>
    <row r="4917" spans="7:7" x14ac:dyDescent="0.3">
      <c r="G4917"/>
    </row>
    <row r="4918" spans="7:7" x14ac:dyDescent="0.3">
      <c r="G4918"/>
    </row>
    <row r="4919" spans="7:7" x14ac:dyDescent="0.3">
      <c r="G4919"/>
    </row>
    <row r="4920" spans="7:7" x14ac:dyDescent="0.3">
      <c r="G4920"/>
    </row>
    <row r="4921" spans="7:7" x14ac:dyDescent="0.3">
      <c r="G4921"/>
    </row>
    <row r="4922" spans="7:7" x14ac:dyDescent="0.3">
      <c r="G4922"/>
    </row>
    <row r="4923" spans="7:7" x14ac:dyDescent="0.3">
      <c r="G4923"/>
    </row>
    <row r="4924" spans="7:7" x14ac:dyDescent="0.3">
      <c r="G4924"/>
    </row>
    <row r="4925" spans="7:7" x14ac:dyDescent="0.3">
      <c r="G4925"/>
    </row>
    <row r="4926" spans="7:7" x14ac:dyDescent="0.3">
      <c r="G4926"/>
    </row>
    <row r="4927" spans="7:7" x14ac:dyDescent="0.3">
      <c r="G4927"/>
    </row>
    <row r="4928" spans="7:7" x14ac:dyDescent="0.3">
      <c r="G4928"/>
    </row>
    <row r="4929" spans="7:7" x14ac:dyDescent="0.3">
      <c r="G4929"/>
    </row>
    <row r="4930" spans="7:7" x14ac:dyDescent="0.3">
      <c r="G4930"/>
    </row>
    <row r="4931" spans="7:7" x14ac:dyDescent="0.3">
      <c r="G4931"/>
    </row>
    <row r="4932" spans="7:7" x14ac:dyDescent="0.3">
      <c r="G4932"/>
    </row>
    <row r="4933" spans="7:7" x14ac:dyDescent="0.3">
      <c r="G4933"/>
    </row>
    <row r="4934" spans="7:7" x14ac:dyDescent="0.3">
      <c r="G4934"/>
    </row>
    <row r="4935" spans="7:7" x14ac:dyDescent="0.3">
      <c r="G4935"/>
    </row>
    <row r="4936" spans="7:7" x14ac:dyDescent="0.3">
      <c r="G4936"/>
    </row>
    <row r="4937" spans="7:7" x14ac:dyDescent="0.3">
      <c r="G4937"/>
    </row>
    <row r="4938" spans="7:7" x14ac:dyDescent="0.3">
      <c r="G4938"/>
    </row>
    <row r="4939" spans="7:7" x14ac:dyDescent="0.3">
      <c r="G4939"/>
    </row>
    <row r="4940" spans="7:7" x14ac:dyDescent="0.3">
      <c r="G4940"/>
    </row>
    <row r="4941" spans="7:7" x14ac:dyDescent="0.3">
      <c r="G4941"/>
    </row>
    <row r="4942" spans="7:7" x14ac:dyDescent="0.3">
      <c r="G4942"/>
    </row>
    <row r="4943" spans="7:7" x14ac:dyDescent="0.3">
      <c r="G4943"/>
    </row>
    <row r="4944" spans="7:7" x14ac:dyDescent="0.3">
      <c r="G4944"/>
    </row>
    <row r="4945" spans="7:7" x14ac:dyDescent="0.3">
      <c r="G4945"/>
    </row>
    <row r="4946" spans="7:7" x14ac:dyDescent="0.3">
      <c r="G4946"/>
    </row>
    <row r="4947" spans="7:7" x14ac:dyDescent="0.3">
      <c r="G4947"/>
    </row>
    <row r="4948" spans="7:7" x14ac:dyDescent="0.3">
      <c r="G4948"/>
    </row>
    <row r="4949" spans="7:7" x14ac:dyDescent="0.3">
      <c r="G4949"/>
    </row>
    <row r="4950" spans="7:7" x14ac:dyDescent="0.3">
      <c r="G4950"/>
    </row>
    <row r="4951" spans="7:7" x14ac:dyDescent="0.3">
      <c r="G4951"/>
    </row>
    <row r="4952" spans="7:7" x14ac:dyDescent="0.3">
      <c r="G4952"/>
    </row>
    <row r="4953" spans="7:7" x14ac:dyDescent="0.3">
      <c r="G4953"/>
    </row>
    <row r="4954" spans="7:7" x14ac:dyDescent="0.3">
      <c r="G4954"/>
    </row>
    <row r="4955" spans="7:7" x14ac:dyDescent="0.3">
      <c r="G4955"/>
    </row>
    <row r="4956" spans="7:7" x14ac:dyDescent="0.3">
      <c r="G4956"/>
    </row>
    <row r="4957" spans="7:7" x14ac:dyDescent="0.3">
      <c r="G4957"/>
    </row>
    <row r="4958" spans="7:7" x14ac:dyDescent="0.3">
      <c r="G4958"/>
    </row>
    <row r="4959" spans="7:7" x14ac:dyDescent="0.3">
      <c r="G4959"/>
    </row>
    <row r="4960" spans="7:7" x14ac:dyDescent="0.3">
      <c r="G4960"/>
    </row>
    <row r="4961" spans="7:7" x14ac:dyDescent="0.3">
      <c r="G4961"/>
    </row>
    <row r="4962" spans="7:7" x14ac:dyDescent="0.3">
      <c r="G4962"/>
    </row>
    <row r="4963" spans="7:7" x14ac:dyDescent="0.3">
      <c r="G4963"/>
    </row>
    <row r="4964" spans="7:7" x14ac:dyDescent="0.3">
      <c r="G4964"/>
    </row>
    <row r="4965" spans="7:7" x14ac:dyDescent="0.3">
      <c r="G4965"/>
    </row>
    <row r="4966" spans="7:7" x14ac:dyDescent="0.3">
      <c r="G4966"/>
    </row>
    <row r="4967" spans="7:7" x14ac:dyDescent="0.3">
      <c r="G4967"/>
    </row>
    <row r="4968" spans="7:7" x14ac:dyDescent="0.3">
      <c r="G4968"/>
    </row>
    <row r="4969" spans="7:7" x14ac:dyDescent="0.3">
      <c r="G4969"/>
    </row>
    <row r="4970" spans="7:7" x14ac:dyDescent="0.3">
      <c r="G4970"/>
    </row>
    <row r="4971" spans="7:7" x14ac:dyDescent="0.3">
      <c r="G4971"/>
    </row>
    <row r="4972" spans="7:7" x14ac:dyDescent="0.3">
      <c r="G4972"/>
    </row>
    <row r="4973" spans="7:7" x14ac:dyDescent="0.3">
      <c r="G4973"/>
    </row>
    <row r="4974" spans="7:7" x14ac:dyDescent="0.3">
      <c r="G4974"/>
    </row>
    <row r="4975" spans="7:7" x14ac:dyDescent="0.3">
      <c r="G4975"/>
    </row>
    <row r="4976" spans="7:7" x14ac:dyDescent="0.3">
      <c r="G4976"/>
    </row>
    <row r="4977" spans="7:7" x14ac:dyDescent="0.3">
      <c r="G4977"/>
    </row>
    <row r="4978" spans="7:7" x14ac:dyDescent="0.3">
      <c r="G4978"/>
    </row>
    <row r="4979" spans="7:7" x14ac:dyDescent="0.3">
      <c r="G4979"/>
    </row>
    <row r="4980" spans="7:7" x14ac:dyDescent="0.3">
      <c r="G4980"/>
    </row>
    <row r="4981" spans="7:7" x14ac:dyDescent="0.3">
      <c r="G4981"/>
    </row>
    <row r="4982" spans="7:7" x14ac:dyDescent="0.3">
      <c r="G4982"/>
    </row>
    <row r="4983" spans="7:7" x14ac:dyDescent="0.3">
      <c r="G4983"/>
    </row>
    <row r="4984" spans="7:7" x14ac:dyDescent="0.3">
      <c r="G4984"/>
    </row>
    <row r="4985" spans="7:7" x14ac:dyDescent="0.3">
      <c r="G4985"/>
    </row>
    <row r="4986" spans="7:7" x14ac:dyDescent="0.3">
      <c r="G4986"/>
    </row>
    <row r="4987" spans="7:7" x14ac:dyDescent="0.3">
      <c r="G4987"/>
    </row>
    <row r="4988" spans="7:7" x14ac:dyDescent="0.3">
      <c r="G4988"/>
    </row>
    <row r="4989" spans="7:7" x14ac:dyDescent="0.3">
      <c r="G4989"/>
    </row>
    <row r="4990" spans="7:7" x14ac:dyDescent="0.3">
      <c r="G4990"/>
    </row>
    <row r="4991" spans="7:7" x14ac:dyDescent="0.3">
      <c r="G4991"/>
    </row>
    <row r="4992" spans="7:7" x14ac:dyDescent="0.3">
      <c r="G4992"/>
    </row>
    <row r="4993" spans="7:7" x14ac:dyDescent="0.3">
      <c r="G4993"/>
    </row>
    <row r="4994" spans="7:7" x14ac:dyDescent="0.3">
      <c r="G4994"/>
    </row>
    <row r="4995" spans="7:7" x14ac:dyDescent="0.3">
      <c r="G4995"/>
    </row>
    <row r="4996" spans="7:7" x14ac:dyDescent="0.3">
      <c r="G4996"/>
    </row>
    <row r="4997" spans="7:7" x14ac:dyDescent="0.3">
      <c r="G4997"/>
    </row>
    <row r="4998" spans="7:7" x14ac:dyDescent="0.3">
      <c r="G4998"/>
    </row>
    <row r="4999" spans="7:7" x14ac:dyDescent="0.3">
      <c r="G4999"/>
    </row>
    <row r="5000" spans="7:7" x14ac:dyDescent="0.3">
      <c r="G5000"/>
    </row>
    <row r="5001" spans="7:7" x14ac:dyDescent="0.3">
      <c r="G5001"/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C3BE9-327D-4578-AD5B-640E83375486}">
  <sheetPr codeName="Planilha8"/>
  <dimension ref="A1:L2994"/>
  <sheetViews>
    <sheetView workbookViewId="0">
      <selection activeCell="A2" sqref="A2:L10"/>
    </sheetView>
  </sheetViews>
  <sheetFormatPr defaultColWidth="11.109375" defaultRowHeight="14.4" x14ac:dyDescent="0.3"/>
  <cols>
    <col min="1" max="1" width="6.88671875" bestFit="1" customWidth="1"/>
    <col min="4" max="4" width="11" bestFit="1" customWidth="1"/>
    <col min="5" max="5" width="12.33203125" bestFit="1" customWidth="1"/>
    <col min="6" max="6" width="48.109375" customWidth="1"/>
    <col min="7" max="7" width="6.109375" bestFit="1" customWidth="1"/>
    <col min="8" max="8" width="11.88671875" bestFit="1" customWidth="1"/>
    <col min="9" max="9" width="12.44140625" bestFit="1" customWidth="1"/>
    <col min="10" max="10" width="13.21875" bestFit="1" customWidth="1"/>
    <col min="11" max="11" width="13.21875" style="2" bestFit="1" customWidth="1"/>
  </cols>
  <sheetData>
    <row r="1" spans="1:12" x14ac:dyDescent="0.3">
      <c r="A1" t="s">
        <v>44</v>
      </c>
      <c r="B1" t="s">
        <v>0</v>
      </c>
      <c r="C1" t="s">
        <v>12</v>
      </c>
      <c r="D1" t="s">
        <v>0</v>
      </c>
      <c r="E1" t="s">
        <v>38</v>
      </c>
      <c r="F1" t="s">
        <v>1</v>
      </c>
      <c r="G1" t="s">
        <v>3</v>
      </c>
      <c r="H1" t="s">
        <v>2</v>
      </c>
      <c r="I1" t="s">
        <v>9</v>
      </c>
      <c r="J1" t="s">
        <v>11</v>
      </c>
      <c r="K1" t="s">
        <v>4</v>
      </c>
      <c r="L1" t="s">
        <v>6</v>
      </c>
    </row>
    <row r="2" spans="1:12" x14ac:dyDescent="0.3">
      <c r="H2" s="1"/>
      <c r="I2" s="1"/>
    </row>
    <row r="3" spans="1:12" x14ac:dyDescent="0.3">
      <c r="H3" s="1"/>
      <c r="I3" s="1"/>
    </row>
    <row r="4" spans="1:12" x14ac:dyDescent="0.3">
      <c r="H4" s="1"/>
      <c r="I4" s="1"/>
    </row>
    <row r="5" spans="1:12" x14ac:dyDescent="0.3">
      <c r="H5" s="1"/>
      <c r="I5" s="1"/>
    </row>
    <row r="6" spans="1:12" x14ac:dyDescent="0.3">
      <c r="H6" s="1"/>
      <c r="I6" s="1"/>
    </row>
    <row r="7" spans="1:12" x14ac:dyDescent="0.3">
      <c r="H7" s="1"/>
      <c r="I7" s="1"/>
    </row>
    <row r="8" spans="1:12" x14ac:dyDescent="0.3">
      <c r="H8" s="1"/>
      <c r="I8" s="1"/>
    </row>
    <row r="9" spans="1:12" x14ac:dyDescent="0.3">
      <c r="H9" s="1"/>
      <c r="I9" s="1"/>
    </row>
    <row r="10" spans="1:12" x14ac:dyDescent="0.3">
      <c r="H10" s="1"/>
      <c r="I10" s="1"/>
    </row>
    <row r="11" spans="1:12" x14ac:dyDescent="0.3">
      <c r="H11" s="1"/>
      <c r="I11" s="1"/>
    </row>
    <row r="12" spans="1:12" x14ac:dyDescent="0.3">
      <c r="H12" s="1"/>
      <c r="I12" s="1"/>
    </row>
    <row r="13" spans="1:12" x14ac:dyDescent="0.3">
      <c r="H13" s="1"/>
      <c r="I13" s="1"/>
    </row>
    <row r="14" spans="1:12" x14ac:dyDescent="0.3">
      <c r="H14" s="1"/>
      <c r="I14" s="1"/>
    </row>
    <row r="15" spans="1:12" x14ac:dyDescent="0.3">
      <c r="H15" s="1"/>
      <c r="I15" s="1"/>
    </row>
    <row r="16" spans="1:12" x14ac:dyDescent="0.3">
      <c r="H16" s="1"/>
      <c r="I16" s="1"/>
    </row>
    <row r="17" spans="8:9" x14ac:dyDescent="0.3">
      <c r="H17" s="1"/>
      <c r="I17" s="1"/>
    </row>
    <row r="18" spans="8:9" x14ac:dyDescent="0.3">
      <c r="H18" s="1"/>
      <c r="I18" s="1"/>
    </row>
    <row r="19" spans="8:9" x14ac:dyDescent="0.3">
      <c r="H19" s="1"/>
      <c r="I19" s="1"/>
    </row>
    <row r="20" spans="8:9" x14ac:dyDescent="0.3">
      <c r="H20" s="1"/>
      <c r="I20" s="1"/>
    </row>
    <row r="21" spans="8:9" x14ac:dyDescent="0.3">
      <c r="H21" s="1"/>
      <c r="I21" s="1"/>
    </row>
    <row r="22" spans="8:9" x14ac:dyDescent="0.3">
      <c r="H22" s="1"/>
      <c r="I22" s="1"/>
    </row>
    <row r="23" spans="8:9" x14ac:dyDescent="0.3">
      <c r="H23" s="1"/>
      <c r="I23" s="1"/>
    </row>
    <row r="24" spans="8:9" x14ac:dyDescent="0.3">
      <c r="H24" s="1"/>
      <c r="I24" s="1"/>
    </row>
    <row r="25" spans="8:9" x14ac:dyDescent="0.3">
      <c r="H25" s="1"/>
      <c r="I25" s="1"/>
    </row>
    <row r="26" spans="8:9" x14ac:dyDescent="0.3">
      <c r="H26" s="1"/>
      <c r="I26" s="1"/>
    </row>
    <row r="27" spans="8:9" x14ac:dyDescent="0.3">
      <c r="H27" s="1"/>
      <c r="I27" s="1"/>
    </row>
    <row r="28" spans="8:9" x14ac:dyDescent="0.3">
      <c r="H28" s="1"/>
      <c r="I28" s="1"/>
    </row>
    <row r="29" spans="8:9" x14ac:dyDescent="0.3">
      <c r="H29" s="1"/>
      <c r="I29" s="1"/>
    </row>
    <row r="30" spans="8:9" x14ac:dyDescent="0.3">
      <c r="H30" s="1"/>
      <c r="I30" s="1"/>
    </row>
    <row r="31" spans="8:9" x14ac:dyDescent="0.3">
      <c r="H31" s="1"/>
      <c r="I31" s="1"/>
    </row>
    <row r="32" spans="8:9" x14ac:dyDescent="0.3">
      <c r="H32" s="1"/>
      <c r="I32" s="1"/>
    </row>
    <row r="33" spans="8:9" x14ac:dyDescent="0.3">
      <c r="H33" s="1"/>
      <c r="I33" s="1"/>
    </row>
    <row r="34" spans="8:9" x14ac:dyDescent="0.3">
      <c r="H34" s="1"/>
      <c r="I34" s="1"/>
    </row>
    <row r="35" spans="8:9" x14ac:dyDescent="0.3">
      <c r="H35" s="1"/>
      <c r="I35" s="1"/>
    </row>
    <row r="36" spans="8:9" x14ac:dyDescent="0.3">
      <c r="H36" s="1"/>
      <c r="I36" s="1"/>
    </row>
    <row r="37" spans="8:9" x14ac:dyDescent="0.3">
      <c r="H37" s="1"/>
      <c r="I37" s="1"/>
    </row>
    <row r="38" spans="8:9" x14ac:dyDescent="0.3">
      <c r="H38" s="1"/>
      <c r="I38" s="1"/>
    </row>
    <row r="39" spans="8:9" x14ac:dyDescent="0.3">
      <c r="H39" s="1"/>
      <c r="I39" s="1"/>
    </row>
    <row r="40" spans="8:9" x14ac:dyDescent="0.3">
      <c r="H40" s="1"/>
      <c r="I40" s="1"/>
    </row>
    <row r="41" spans="8:9" x14ac:dyDescent="0.3">
      <c r="H41" s="1"/>
      <c r="I41" s="1"/>
    </row>
    <row r="42" spans="8:9" x14ac:dyDescent="0.3">
      <c r="H42" s="1"/>
      <c r="I42" s="1"/>
    </row>
    <row r="43" spans="8:9" x14ac:dyDescent="0.3">
      <c r="H43" s="1"/>
      <c r="I43" s="1"/>
    </row>
    <row r="44" spans="8:9" x14ac:dyDescent="0.3">
      <c r="H44" s="1"/>
      <c r="I44" s="1"/>
    </row>
    <row r="45" spans="8:9" x14ac:dyDescent="0.3">
      <c r="H45" s="1"/>
      <c r="I45" s="1"/>
    </row>
    <row r="46" spans="8:9" x14ac:dyDescent="0.3">
      <c r="H46" s="1"/>
      <c r="I46" s="1"/>
    </row>
    <row r="47" spans="8:9" x14ac:dyDescent="0.3">
      <c r="H47" s="1"/>
      <c r="I47" s="1"/>
    </row>
    <row r="48" spans="8:9" x14ac:dyDescent="0.3">
      <c r="H48" s="1"/>
      <c r="I48" s="1"/>
    </row>
    <row r="49" spans="5:9" x14ac:dyDescent="0.3">
      <c r="H49" s="1"/>
      <c r="I49" s="1"/>
    </row>
    <row r="50" spans="5:9" x14ac:dyDescent="0.3">
      <c r="H50" s="1"/>
      <c r="I50" s="1"/>
    </row>
    <row r="51" spans="5:9" x14ac:dyDescent="0.3">
      <c r="H51" s="1"/>
      <c r="I51" s="1"/>
    </row>
    <row r="52" spans="5:9" x14ac:dyDescent="0.3">
      <c r="H52" s="1"/>
      <c r="I52" s="1"/>
    </row>
    <row r="53" spans="5:9" x14ac:dyDescent="0.3">
      <c r="H53" s="1"/>
      <c r="I53" s="1"/>
    </row>
    <row r="54" spans="5:9" x14ac:dyDescent="0.3">
      <c r="H54" s="1"/>
      <c r="I54" s="1"/>
    </row>
    <row r="55" spans="5:9" x14ac:dyDescent="0.3">
      <c r="H55" s="1"/>
      <c r="I55" s="1"/>
    </row>
    <row r="56" spans="5:9" x14ac:dyDescent="0.3">
      <c r="E56" t="str">
        <f>IFERROR(IF(D56="","",VLOOKUP(D56,CadProd!$A:$B,2,0)),"")</f>
        <v/>
      </c>
      <c r="F56" t="str">
        <f>IFERROR(IF(D56="","",VLOOKUP(D56,CadProd!$A:$C,3,0)),"")</f>
        <v/>
      </c>
    </row>
    <row r="57" spans="5:9" x14ac:dyDescent="0.3">
      <c r="E57" t="str">
        <f>IFERROR(IF(D57="","",VLOOKUP(D57,CadProd!$A:$B,2,0)),"")</f>
        <v/>
      </c>
      <c r="F57" t="str">
        <f>IFERROR(IF(D57="","",VLOOKUP(D57,CadProd!$A:$C,3,0)),"")</f>
        <v/>
      </c>
    </row>
    <row r="58" spans="5:9" x14ac:dyDescent="0.3">
      <c r="E58" t="str">
        <f>IFERROR(IF(D58="","",VLOOKUP(D58,CadProd!$A:$B,2,0)),"")</f>
        <v/>
      </c>
      <c r="F58" t="str">
        <f>IFERROR(IF(D58="","",VLOOKUP(D58,CadProd!$A:$C,3,0)),"")</f>
        <v/>
      </c>
    </row>
    <row r="59" spans="5:9" x14ac:dyDescent="0.3">
      <c r="E59" t="str">
        <f>IFERROR(IF(D59="","",VLOOKUP(D59,CadProd!$A:$B,2,0)),"")</f>
        <v/>
      </c>
      <c r="F59" t="str">
        <f>IFERROR(IF(D59="","",VLOOKUP(D59,CadProd!$A:$C,3,0)),"")</f>
        <v/>
      </c>
    </row>
    <row r="60" spans="5:9" x14ac:dyDescent="0.3">
      <c r="E60" t="str">
        <f>IFERROR(IF(D60="","",VLOOKUP(D60,CadProd!$A:$B,2,0)),"")</f>
        <v/>
      </c>
      <c r="F60" t="str">
        <f>IFERROR(IF(D60="","",VLOOKUP(D60,CadProd!$A:$C,3,0)),"")</f>
        <v/>
      </c>
    </row>
    <row r="61" spans="5:9" x14ac:dyDescent="0.3">
      <c r="E61" t="str">
        <f>IFERROR(IF(D61="","",VLOOKUP(D61,CadProd!$A:$B,2,0)),"")</f>
        <v/>
      </c>
      <c r="F61" t="str">
        <f>IFERROR(IF(D61="","",VLOOKUP(D61,CadProd!$A:$C,3,0)),"")</f>
        <v/>
      </c>
    </row>
    <row r="62" spans="5:9" x14ac:dyDescent="0.3">
      <c r="E62" t="str">
        <f>IFERROR(IF(D62="","",VLOOKUP(D62,CadProd!$A:$B,2,0)),"")</f>
        <v/>
      </c>
      <c r="F62" t="str">
        <f>IFERROR(IF(D62="","",VLOOKUP(D62,CadProd!$A:$C,3,0)),"")</f>
        <v/>
      </c>
    </row>
    <row r="63" spans="5:9" x14ac:dyDescent="0.3">
      <c r="E63" t="str">
        <f>IFERROR(IF(D63="","",VLOOKUP(D63,CadProd!$A:$B,2,0)),"")</f>
        <v/>
      </c>
      <c r="F63" t="str">
        <f>IFERROR(IF(D63="","",VLOOKUP(D63,CadProd!$A:$C,3,0)),"")</f>
        <v/>
      </c>
    </row>
    <row r="64" spans="5:9" x14ac:dyDescent="0.3">
      <c r="E64" t="str">
        <f>IFERROR(IF(D64="","",VLOOKUP(D64,CadProd!$A:$B,2,0)),"")</f>
        <v/>
      </c>
      <c r="F64" t="str">
        <f>IFERROR(IF(D64="","",VLOOKUP(D64,CadProd!$A:$C,3,0)),"")</f>
        <v/>
      </c>
    </row>
    <row r="65" spans="5:6" x14ac:dyDescent="0.3">
      <c r="E65" t="str">
        <f>IFERROR(IF(D65="","",VLOOKUP(D65,CadProd!$A:$B,2,0)),"")</f>
        <v/>
      </c>
      <c r="F65" t="str">
        <f>IFERROR(IF(D65="","",VLOOKUP(D65,CadProd!$A:$C,3,0)),"")</f>
        <v/>
      </c>
    </row>
    <row r="66" spans="5:6" x14ac:dyDescent="0.3">
      <c r="E66" t="str">
        <f>IFERROR(IF(D66="","",VLOOKUP(D66,CadProd!$A:$B,2,0)),"")</f>
        <v/>
      </c>
      <c r="F66" t="str">
        <f>IFERROR(IF(D66="","",VLOOKUP(D66,CadProd!$A:$C,3,0)),"")</f>
        <v/>
      </c>
    </row>
    <row r="67" spans="5:6" x14ac:dyDescent="0.3">
      <c r="E67" t="str">
        <f>IFERROR(IF(D67="","",VLOOKUP(D67,CadProd!$A:$B,2,0)),"")</f>
        <v/>
      </c>
      <c r="F67" t="str">
        <f>IFERROR(IF(D67="","",VLOOKUP(D67,CadProd!$A:$C,3,0)),"")</f>
        <v/>
      </c>
    </row>
    <row r="68" spans="5:6" x14ac:dyDescent="0.3">
      <c r="E68" t="str">
        <f>IFERROR(IF(D68="","",VLOOKUP(D68,CadProd!$A:$B,2,0)),"")</f>
        <v/>
      </c>
      <c r="F68" t="str">
        <f>IFERROR(IF(D68="","",VLOOKUP(D68,CadProd!$A:$C,3,0)),"")</f>
        <v/>
      </c>
    </row>
    <row r="69" spans="5:6" x14ac:dyDescent="0.3">
      <c r="E69" t="str">
        <f>IFERROR(IF(D69="","",VLOOKUP(D69,CadProd!$A:$B,2,0)),"")</f>
        <v/>
      </c>
      <c r="F69" t="str">
        <f>IFERROR(IF(D69="","",VLOOKUP(D69,CadProd!$A:$C,3,0)),"")</f>
        <v/>
      </c>
    </row>
    <row r="70" spans="5:6" x14ac:dyDescent="0.3">
      <c r="E70" t="str">
        <f>IFERROR(IF(D70="","",VLOOKUP(D70,CadProd!$A:$B,2,0)),"")</f>
        <v/>
      </c>
      <c r="F70" t="str">
        <f>IFERROR(IF(D70="","",VLOOKUP(D70,CadProd!$A:$C,3,0)),"")</f>
        <v/>
      </c>
    </row>
    <row r="71" spans="5:6" x14ac:dyDescent="0.3">
      <c r="E71" t="str">
        <f>IFERROR(IF(D71="","",VLOOKUP(D71,CadProd!$A:$B,2,0)),"")</f>
        <v/>
      </c>
      <c r="F71" t="str">
        <f>IFERROR(IF(D71="","",VLOOKUP(D71,CadProd!$A:$C,3,0)),"")</f>
        <v/>
      </c>
    </row>
    <row r="72" spans="5:6" x14ac:dyDescent="0.3">
      <c r="E72" t="str">
        <f>IFERROR(IF(D72="","",VLOOKUP(D72,CadProd!$A:$B,2,0)),"")</f>
        <v/>
      </c>
      <c r="F72" t="str">
        <f>IFERROR(IF(D72="","",VLOOKUP(D72,CadProd!$A:$C,3,0)),"")</f>
        <v/>
      </c>
    </row>
    <row r="73" spans="5:6" x14ac:dyDescent="0.3">
      <c r="E73" t="str">
        <f>IFERROR(IF(D73="","",VLOOKUP(D73,CadProd!$A:$B,2,0)),"")</f>
        <v/>
      </c>
      <c r="F73" t="str">
        <f>IFERROR(IF(D73="","",VLOOKUP(D73,CadProd!$A:$C,3,0)),"")</f>
        <v/>
      </c>
    </row>
    <row r="74" spans="5:6" x14ac:dyDescent="0.3">
      <c r="E74" t="str">
        <f>IFERROR(IF(D74="","",VLOOKUP(D74,CadProd!$A:$B,2,0)),"")</f>
        <v/>
      </c>
      <c r="F74" t="str">
        <f>IFERROR(IF(D74="","",VLOOKUP(D74,CadProd!$A:$C,3,0)),"")</f>
        <v/>
      </c>
    </row>
    <row r="75" spans="5:6" x14ac:dyDescent="0.3">
      <c r="E75" t="str">
        <f>IFERROR(IF(D75="","",VLOOKUP(D75,CadProd!$A:$B,2,0)),"")</f>
        <v/>
      </c>
      <c r="F75" t="str">
        <f>IFERROR(IF(D75="","",VLOOKUP(D75,CadProd!$A:$C,3,0)),"")</f>
        <v/>
      </c>
    </row>
    <row r="76" spans="5:6" x14ac:dyDescent="0.3">
      <c r="E76" t="str">
        <f>IFERROR(IF(D76="","",VLOOKUP(D76,CadProd!$A:$B,2,0)),"")</f>
        <v/>
      </c>
      <c r="F76" t="str">
        <f>IFERROR(IF(D76="","",VLOOKUP(D76,CadProd!$A:$C,3,0)),"")</f>
        <v/>
      </c>
    </row>
    <row r="77" spans="5:6" x14ac:dyDescent="0.3">
      <c r="E77" t="str">
        <f>IFERROR(IF(D77="","",VLOOKUP(D77,CadProd!$A:$B,2,0)),"")</f>
        <v/>
      </c>
      <c r="F77" t="str">
        <f>IFERROR(IF(D77="","",VLOOKUP(D77,CadProd!$A:$C,3,0)),"")</f>
        <v/>
      </c>
    </row>
    <row r="78" spans="5:6" x14ac:dyDescent="0.3">
      <c r="E78" t="str">
        <f>IFERROR(IF(D78="","",VLOOKUP(D78,CadProd!$A:$B,2,0)),"")</f>
        <v/>
      </c>
      <c r="F78" t="str">
        <f>IFERROR(IF(D78="","",VLOOKUP(D78,CadProd!$A:$C,3,0)),"")</f>
        <v/>
      </c>
    </row>
    <row r="79" spans="5:6" x14ac:dyDescent="0.3">
      <c r="E79" t="str">
        <f>IFERROR(IF(D79="","",VLOOKUP(D79,CadProd!$A:$B,2,0)),"")</f>
        <v/>
      </c>
      <c r="F79" t="str">
        <f>IFERROR(IF(D79="","",VLOOKUP(D79,CadProd!$A:$C,3,0)),"")</f>
        <v/>
      </c>
    </row>
    <row r="80" spans="5:6" x14ac:dyDescent="0.3">
      <c r="E80" t="str">
        <f>IFERROR(IF(D80="","",VLOOKUP(D80,CadProd!$A:$B,2,0)),"")</f>
        <v/>
      </c>
      <c r="F80" t="str">
        <f>IFERROR(IF(D80="","",VLOOKUP(D80,CadProd!$A:$C,3,0)),"")</f>
        <v/>
      </c>
    </row>
    <row r="81" spans="5:6" x14ac:dyDescent="0.3">
      <c r="E81" t="str">
        <f>IFERROR(IF(D81="","",VLOOKUP(D81,CadProd!$A:$B,2,0)),"")</f>
        <v/>
      </c>
      <c r="F81" t="str">
        <f>IFERROR(IF(D81="","",VLOOKUP(D81,CadProd!$A:$C,3,0)),"")</f>
        <v/>
      </c>
    </row>
    <row r="82" spans="5:6" x14ac:dyDescent="0.3">
      <c r="E82" t="str">
        <f>IFERROR(IF(D82="","",VLOOKUP(D82,CadProd!$A:$B,2,0)),"")</f>
        <v/>
      </c>
      <c r="F82" t="str">
        <f>IFERROR(IF(D82="","",VLOOKUP(D82,CadProd!$A:$C,3,0)),"")</f>
        <v/>
      </c>
    </row>
    <row r="83" spans="5:6" x14ac:dyDescent="0.3">
      <c r="E83" t="str">
        <f>IFERROR(IF(D83="","",VLOOKUP(D83,CadProd!$A:$B,2,0)),"")</f>
        <v/>
      </c>
      <c r="F83" t="str">
        <f>IFERROR(IF(D83="","",VLOOKUP(D83,CadProd!$A:$C,3,0)),"")</f>
        <v/>
      </c>
    </row>
    <row r="84" spans="5:6" x14ac:dyDescent="0.3">
      <c r="E84" t="str">
        <f>IFERROR(IF(D84="","",VLOOKUP(D84,CadProd!$A:$B,2,0)),"")</f>
        <v/>
      </c>
      <c r="F84" t="str">
        <f>IFERROR(IF(D84="","",VLOOKUP(D84,CadProd!$A:$C,3,0)),"")</f>
        <v/>
      </c>
    </row>
    <row r="85" spans="5:6" x14ac:dyDescent="0.3">
      <c r="E85" t="str">
        <f>IFERROR(IF(D85="","",VLOOKUP(D85,CadProd!$A:$B,2,0)),"")</f>
        <v/>
      </c>
      <c r="F85" t="str">
        <f>IFERROR(IF(D85="","",VLOOKUP(D85,CadProd!$A:$C,3,0)),"")</f>
        <v/>
      </c>
    </row>
    <row r="86" spans="5:6" x14ac:dyDescent="0.3">
      <c r="E86" t="str">
        <f>IFERROR(IF(D86="","",VLOOKUP(D86,CadProd!$A:$B,2,0)),"")</f>
        <v/>
      </c>
      <c r="F86" t="str">
        <f>IFERROR(IF(D86="","",VLOOKUP(D86,CadProd!$A:$C,3,0)),"")</f>
        <v/>
      </c>
    </row>
    <row r="87" spans="5:6" x14ac:dyDescent="0.3">
      <c r="E87" t="str">
        <f>IFERROR(IF(D87="","",VLOOKUP(D87,CadProd!$A:$B,2,0)),"")</f>
        <v/>
      </c>
      <c r="F87" t="str">
        <f>IFERROR(IF(D87="","",VLOOKUP(D87,CadProd!$A:$C,3,0)),"")</f>
        <v/>
      </c>
    </row>
    <row r="88" spans="5:6" x14ac:dyDescent="0.3">
      <c r="E88" t="str">
        <f>IFERROR(IF(D88="","",VLOOKUP(D88,CadProd!$A:$B,2,0)),"")</f>
        <v/>
      </c>
      <c r="F88" t="str">
        <f>IFERROR(IF(D88="","",VLOOKUP(D88,CadProd!$A:$C,3,0)),"")</f>
        <v/>
      </c>
    </row>
    <row r="89" spans="5:6" x14ac:dyDescent="0.3">
      <c r="E89" t="str">
        <f>IFERROR(IF(D89="","",VLOOKUP(D89,CadProd!$A:$B,2,0)),"")</f>
        <v/>
      </c>
      <c r="F89" t="str">
        <f>IFERROR(IF(D89="","",VLOOKUP(D89,CadProd!$A:$C,3,0)),"")</f>
        <v/>
      </c>
    </row>
    <row r="90" spans="5:6" x14ac:dyDescent="0.3">
      <c r="E90" t="str">
        <f>IFERROR(IF(D90="","",VLOOKUP(D90,CadProd!$A:$B,2,0)),"")</f>
        <v/>
      </c>
      <c r="F90" t="str">
        <f>IFERROR(IF(D90="","",VLOOKUP(D90,CadProd!$A:$C,3,0)),"")</f>
        <v/>
      </c>
    </row>
    <row r="91" spans="5:6" x14ac:dyDescent="0.3">
      <c r="E91" t="str">
        <f>IFERROR(IF(D91="","",VLOOKUP(D91,CadProd!$A:$B,2,0)),"")</f>
        <v/>
      </c>
      <c r="F91" t="str">
        <f>IFERROR(IF(D91="","",VLOOKUP(D91,CadProd!$A:$C,3,0)),"")</f>
        <v/>
      </c>
    </row>
    <row r="92" spans="5:6" x14ac:dyDescent="0.3">
      <c r="E92" t="str">
        <f>IFERROR(IF(D92="","",VLOOKUP(D92,CadProd!$A:$B,2,0)),"")</f>
        <v/>
      </c>
      <c r="F92" t="str">
        <f>IFERROR(IF(D92="","",VLOOKUP(D92,CadProd!$A:$C,3,0)),"")</f>
        <v/>
      </c>
    </row>
    <row r="93" spans="5:6" x14ac:dyDescent="0.3">
      <c r="E93" t="str">
        <f>IFERROR(IF(D93="","",VLOOKUP(D93,CadProd!$A:$B,2,0)),"")</f>
        <v/>
      </c>
      <c r="F93" t="str">
        <f>IFERROR(IF(D93="","",VLOOKUP(D93,CadProd!$A:$C,3,0)),"")</f>
        <v/>
      </c>
    </row>
    <row r="94" spans="5:6" x14ac:dyDescent="0.3">
      <c r="E94" t="str">
        <f>IFERROR(IF(D94="","",VLOOKUP(D94,CadProd!$A:$B,2,0)),"")</f>
        <v/>
      </c>
      <c r="F94" t="str">
        <f>IFERROR(IF(D94="","",VLOOKUP(D94,CadProd!$A:$C,3,0)),"")</f>
        <v/>
      </c>
    </row>
    <row r="95" spans="5:6" x14ac:dyDescent="0.3">
      <c r="E95" t="str">
        <f>IFERROR(IF(D95="","",VLOOKUP(D95,CadProd!$A:$B,2,0)),"")</f>
        <v/>
      </c>
      <c r="F95" t="str">
        <f>IFERROR(IF(D95="","",VLOOKUP(D95,CadProd!$A:$C,3,0)),"")</f>
        <v/>
      </c>
    </row>
    <row r="96" spans="5:6" x14ac:dyDescent="0.3">
      <c r="E96" t="str">
        <f>IFERROR(IF(D96="","",VLOOKUP(D96,CadProd!$A:$B,2,0)),"")</f>
        <v/>
      </c>
      <c r="F96" t="str">
        <f>IFERROR(IF(D96="","",VLOOKUP(D96,CadProd!$A:$C,3,0)),"")</f>
        <v/>
      </c>
    </row>
    <row r="97" spans="5:6" x14ac:dyDescent="0.3">
      <c r="E97" t="str">
        <f>IFERROR(IF(D97="","",VLOOKUP(D97,CadProd!$A:$B,2,0)),"")</f>
        <v/>
      </c>
      <c r="F97" t="str">
        <f>IFERROR(IF(D97="","",VLOOKUP(D97,CadProd!$A:$C,3,0)),"")</f>
        <v/>
      </c>
    </row>
    <row r="98" spans="5:6" x14ac:dyDescent="0.3">
      <c r="E98" t="str">
        <f>IFERROR(IF(D98="","",VLOOKUP(D98,CadProd!$A:$B,2,0)),"")</f>
        <v/>
      </c>
      <c r="F98" t="str">
        <f>IFERROR(IF(D98="","",VLOOKUP(D98,CadProd!$A:$C,3,0)),"")</f>
        <v/>
      </c>
    </row>
    <row r="99" spans="5:6" x14ac:dyDescent="0.3">
      <c r="E99" t="str">
        <f>IFERROR(IF(D99="","",VLOOKUP(D99,CadProd!$A:$B,2,0)),"")</f>
        <v/>
      </c>
      <c r="F99" t="str">
        <f>IFERROR(IF(D99="","",VLOOKUP(D99,CadProd!$A:$C,3,0)),"")</f>
        <v/>
      </c>
    </row>
    <row r="100" spans="5:6" x14ac:dyDescent="0.3">
      <c r="E100" t="str">
        <f>IFERROR(IF(D100="","",VLOOKUP(D100,CadProd!$A:$B,2,0)),"")</f>
        <v/>
      </c>
      <c r="F100" t="str">
        <f>IFERROR(IF(D100="","",VLOOKUP(D100,CadProd!$A:$C,3,0)),"")</f>
        <v/>
      </c>
    </row>
    <row r="101" spans="5:6" x14ac:dyDescent="0.3">
      <c r="E101" t="str">
        <f>IFERROR(IF(D101="","",VLOOKUP(D101,CadProd!$A:$B,2,0)),"")</f>
        <v/>
      </c>
      <c r="F101" t="str">
        <f>IFERROR(IF(D101="","",VLOOKUP(D101,CadProd!$A:$C,3,0)),"")</f>
        <v/>
      </c>
    </row>
    <row r="102" spans="5:6" x14ac:dyDescent="0.3">
      <c r="E102" t="str">
        <f>IFERROR(IF(D102="","",VLOOKUP(D102,CadProd!$A:$B,2,0)),"")</f>
        <v/>
      </c>
      <c r="F102" t="str">
        <f>IFERROR(IF(D102="","",VLOOKUP(D102,CadProd!$A:$C,3,0)),"")</f>
        <v/>
      </c>
    </row>
    <row r="103" spans="5:6" x14ac:dyDescent="0.3">
      <c r="E103" t="str">
        <f>IFERROR(IF(D103="","",VLOOKUP(D103,CadProd!$A:$B,2,0)),"")</f>
        <v/>
      </c>
      <c r="F103" t="str">
        <f>IFERROR(IF(D103="","",VLOOKUP(D103,CadProd!$A:$C,3,0)),"")</f>
        <v/>
      </c>
    </row>
    <row r="104" spans="5:6" x14ac:dyDescent="0.3">
      <c r="E104" t="str">
        <f>IFERROR(IF(D104="","",VLOOKUP(D104,CadProd!$A:$B,2,0)),"")</f>
        <v/>
      </c>
      <c r="F104" t="str">
        <f>IFERROR(IF(D104="","",VLOOKUP(D104,CadProd!$A:$C,3,0)),"")</f>
        <v/>
      </c>
    </row>
    <row r="105" spans="5:6" x14ac:dyDescent="0.3">
      <c r="E105" t="str">
        <f>IFERROR(IF(D105="","",VLOOKUP(D105,CadProd!$A:$B,2,0)),"")</f>
        <v/>
      </c>
      <c r="F105" t="str">
        <f>IFERROR(IF(D105="","",VLOOKUP(D105,CadProd!$A:$C,3,0)),"")</f>
        <v/>
      </c>
    </row>
    <row r="106" spans="5:6" x14ac:dyDescent="0.3">
      <c r="E106" t="str">
        <f>IFERROR(IF(D106="","",VLOOKUP(D106,CadProd!$A:$B,2,0)),"")</f>
        <v/>
      </c>
      <c r="F106" t="str">
        <f>IFERROR(IF(D106="","",VLOOKUP(D106,CadProd!$A:$C,3,0)),"")</f>
        <v/>
      </c>
    </row>
    <row r="107" spans="5:6" x14ac:dyDescent="0.3">
      <c r="E107" t="str">
        <f>IFERROR(IF(D107="","",VLOOKUP(D107,CadProd!$A:$B,2,0)),"")</f>
        <v/>
      </c>
      <c r="F107" t="str">
        <f>IFERROR(IF(D107="","",VLOOKUP(D107,CadProd!$A:$C,3,0)),"")</f>
        <v/>
      </c>
    </row>
    <row r="108" spans="5:6" x14ac:dyDescent="0.3">
      <c r="E108" t="str">
        <f>IFERROR(IF(D108="","",VLOOKUP(D108,CadProd!$A:$B,2,0)),"")</f>
        <v/>
      </c>
      <c r="F108" t="str">
        <f>IFERROR(IF(D108="","",VLOOKUP(D108,CadProd!$A:$C,3,0)),"")</f>
        <v/>
      </c>
    </row>
    <row r="109" spans="5:6" x14ac:dyDescent="0.3">
      <c r="E109" t="str">
        <f>IFERROR(IF(D109="","",VLOOKUP(D109,CadProd!$A:$B,2,0)),"")</f>
        <v/>
      </c>
      <c r="F109" t="str">
        <f>IFERROR(IF(D109="","",VLOOKUP(D109,CadProd!$A:$C,3,0)),"")</f>
        <v/>
      </c>
    </row>
    <row r="110" spans="5:6" x14ac:dyDescent="0.3">
      <c r="E110" t="str">
        <f>IFERROR(IF(D110="","",VLOOKUP(D110,CadProd!$A:$B,2,0)),"")</f>
        <v/>
      </c>
      <c r="F110" t="str">
        <f>IFERROR(IF(D110="","",VLOOKUP(D110,CadProd!$A:$C,3,0)),"")</f>
        <v/>
      </c>
    </row>
    <row r="111" spans="5:6" x14ac:dyDescent="0.3">
      <c r="E111" t="str">
        <f>IFERROR(IF(D111="","",VLOOKUP(D111,CadProd!$A:$B,2,0)),"")</f>
        <v/>
      </c>
      <c r="F111" t="str">
        <f>IFERROR(IF(D111="","",VLOOKUP(D111,CadProd!$A:$C,3,0)),"")</f>
        <v/>
      </c>
    </row>
    <row r="112" spans="5:6" x14ac:dyDescent="0.3">
      <c r="E112" t="str">
        <f>IFERROR(IF(D112="","",VLOOKUP(D112,CadProd!$A:$B,2,0)),"")</f>
        <v/>
      </c>
      <c r="F112" t="str">
        <f>IFERROR(IF(D112="","",VLOOKUP(D112,CadProd!$A:$C,3,0)),"")</f>
        <v/>
      </c>
    </row>
    <row r="113" spans="5:6" x14ac:dyDescent="0.3">
      <c r="E113" t="str">
        <f>IFERROR(IF(D113="","",VLOOKUP(D113,CadProd!$A:$B,2,0)),"")</f>
        <v/>
      </c>
      <c r="F113" t="str">
        <f>IFERROR(IF(D113="","",VLOOKUP(D113,CadProd!$A:$C,3,0)),"")</f>
        <v/>
      </c>
    </row>
    <row r="114" spans="5:6" x14ac:dyDescent="0.3">
      <c r="E114" t="str">
        <f>IFERROR(IF(D114="","",VLOOKUP(D114,CadProd!$A:$B,2,0)),"")</f>
        <v/>
      </c>
      <c r="F114" t="str">
        <f>IFERROR(IF(D114="","",VLOOKUP(D114,CadProd!$A:$C,3,0)),"")</f>
        <v/>
      </c>
    </row>
    <row r="115" spans="5:6" x14ac:dyDescent="0.3">
      <c r="E115" t="str">
        <f>IFERROR(IF(D115="","",VLOOKUP(D115,CadProd!$A:$B,2,0)),"")</f>
        <v/>
      </c>
      <c r="F115" t="str">
        <f>IFERROR(IF(D115="","",VLOOKUP(D115,CadProd!$A:$C,3,0)),"")</f>
        <v/>
      </c>
    </row>
    <row r="116" spans="5:6" x14ac:dyDescent="0.3">
      <c r="E116" t="str">
        <f>IFERROR(IF(D116="","",VLOOKUP(D116,CadProd!$A:$B,2,0)),"")</f>
        <v/>
      </c>
      <c r="F116" t="str">
        <f>IFERROR(IF(D116="","",VLOOKUP(D116,CadProd!$A:$C,3,0)),"")</f>
        <v/>
      </c>
    </row>
    <row r="117" spans="5:6" x14ac:dyDescent="0.3">
      <c r="E117" t="str">
        <f>IFERROR(IF(D117="","",VLOOKUP(D117,CadProd!$A:$B,2,0)),"")</f>
        <v/>
      </c>
      <c r="F117" t="str">
        <f>IFERROR(IF(D117="","",VLOOKUP(D117,CadProd!$A:$C,3,0)),"")</f>
        <v/>
      </c>
    </row>
    <row r="118" spans="5:6" x14ac:dyDescent="0.3">
      <c r="E118" t="str">
        <f>IFERROR(IF(D118="","",VLOOKUP(D118,CadProd!$A:$B,2,0)),"")</f>
        <v/>
      </c>
      <c r="F118" t="str">
        <f>IFERROR(IF(D118="","",VLOOKUP(D118,CadProd!$A:$C,3,0)),"")</f>
        <v/>
      </c>
    </row>
    <row r="119" spans="5:6" x14ac:dyDescent="0.3">
      <c r="E119" t="str">
        <f>IFERROR(IF(D119="","",VLOOKUP(D119,CadProd!$A:$B,2,0)),"")</f>
        <v/>
      </c>
      <c r="F119" t="str">
        <f>IFERROR(IF(D119="","",VLOOKUP(D119,CadProd!$A:$C,3,0)),"")</f>
        <v/>
      </c>
    </row>
    <row r="120" spans="5:6" x14ac:dyDescent="0.3">
      <c r="E120" t="str">
        <f>IFERROR(IF(D120="","",VLOOKUP(D120,CadProd!$A:$B,2,0)),"")</f>
        <v/>
      </c>
      <c r="F120" t="str">
        <f>IFERROR(IF(D120="","",VLOOKUP(D120,CadProd!$A:$C,3,0)),"")</f>
        <v/>
      </c>
    </row>
    <row r="121" spans="5:6" x14ac:dyDescent="0.3">
      <c r="E121" t="str">
        <f>IFERROR(IF(D121="","",VLOOKUP(D121,CadProd!$A:$B,2,0)),"")</f>
        <v/>
      </c>
      <c r="F121" t="str">
        <f>IFERROR(IF(D121="","",VLOOKUP(D121,CadProd!$A:$C,3,0)),"")</f>
        <v/>
      </c>
    </row>
    <row r="122" spans="5:6" x14ac:dyDescent="0.3">
      <c r="E122" t="str">
        <f>IFERROR(IF(D122="","",VLOOKUP(D122,CadProd!$A:$B,2,0)),"")</f>
        <v/>
      </c>
      <c r="F122" t="str">
        <f>IFERROR(IF(D122="","",VLOOKUP(D122,CadProd!$A:$C,3,0)),"")</f>
        <v/>
      </c>
    </row>
    <row r="123" spans="5:6" x14ac:dyDescent="0.3">
      <c r="E123" t="str">
        <f>IFERROR(IF(D123="","",VLOOKUP(D123,CadProd!$A:$B,2,0)),"")</f>
        <v/>
      </c>
      <c r="F123" t="str">
        <f>IFERROR(IF(D123="","",VLOOKUP(D123,CadProd!$A:$C,3,0)),"")</f>
        <v/>
      </c>
    </row>
    <row r="124" spans="5:6" x14ac:dyDescent="0.3">
      <c r="E124" t="str">
        <f>IFERROR(IF(D124="","",VLOOKUP(D124,CadProd!$A:$B,2,0)),"")</f>
        <v/>
      </c>
      <c r="F124" t="str">
        <f>IFERROR(IF(D124="","",VLOOKUP(D124,CadProd!$A:$C,3,0)),"")</f>
        <v/>
      </c>
    </row>
    <row r="125" spans="5:6" x14ac:dyDescent="0.3">
      <c r="E125" t="str">
        <f>IFERROR(IF(D125="","",VLOOKUP(D125,CadProd!$A:$B,2,0)),"")</f>
        <v/>
      </c>
      <c r="F125" t="str">
        <f>IFERROR(IF(D125="","",VLOOKUP(D125,CadProd!$A:$C,3,0)),"")</f>
        <v/>
      </c>
    </row>
    <row r="126" spans="5:6" x14ac:dyDescent="0.3">
      <c r="E126" t="str">
        <f>IFERROR(IF(D126="","",VLOOKUP(D126,CadProd!$A:$B,2,0)),"")</f>
        <v/>
      </c>
      <c r="F126" t="str">
        <f>IFERROR(IF(D126="","",VLOOKUP(D126,CadProd!$A:$C,3,0)),"")</f>
        <v/>
      </c>
    </row>
    <row r="127" spans="5:6" x14ac:dyDescent="0.3">
      <c r="E127" t="str">
        <f>IFERROR(IF(D127="","",VLOOKUP(D127,CadProd!$A:$B,2,0)),"")</f>
        <v/>
      </c>
      <c r="F127" t="str">
        <f>IFERROR(IF(D127="","",VLOOKUP(D127,CadProd!$A:$C,3,0)),"")</f>
        <v/>
      </c>
    </row>
    <row r="128" spans="5:6" x14ac:dyDescent="0.3">
      <c r="E128" t="str">
        <f>IFERROR(IF(D128="","",VLOOKUP(D128,CadProd!$A:$B,2,0)),"")</f>
        <v/>
      </c>
      <c r="F128" t="str">
        <f>IFERROR(IF(D128="","",VLOOKUP(D128,CadProd!$A:$C,3,0)),"")</f>
        <v/>
      </c>
    </row>
    <row r="129" spans="5:6" x14ac:dyDescent="0.3">
      <c r="E129" t="str">
        <f>IFERROR(IF(D129="","",VLOOKUP(D129,CadProd!$A:$B,2,0)),"")</f>
        <v/>
      </c>
      <c r="F129" t="str">
        <f>IFERROR(IF(D129="","",VLOOKUP(D129,CadProd!$A:$C,3,0)),"")</f>
        <v/>
      </c>
    </row>
    <row r="130" spans="5:6" x14ac:dyDescent="0.3">
      <c r="E130" t="str">
        <f>IFERROR(IF(D130="","",VLOOKUP(D130,CadProd!$A:$B,2,0)),"")</f>
        <v/>
      </c>
      <c r="F130" t="str">
        <f>IFERROR(IF(D130="","",VLOOKUP(D130,CadProd!$A:$C,3,0)),"")</f>
        <v/>
      </c>
    </row>
    <row r="131" spans="5:6" x14ac:dyDescent="0.3">
      <c r="E131" t="str">
        <f>IFERROR(IF(D131="","",VLOOKUP(D131,CadProd!$A:$B,2,0)),"")</f>
        <v/>
      </c>
      <c r="F131" t="str">
        <f>IFERROR(IF(D131="","",VLOOKUP(D131,CadProd!$A:$C,3,0)),"")</f>
        <v/>
      </c>
    </row>
    <row r="132" spans="5:6" x14ac:dyDescent="0.3">
      <c r="E132" t="str">
        <f>IFERROR(IF(D132="","",VLOOKUP(D132,CadProd!$A:$B,2,0)),"")</f>
        <v/>
      </c>
      <c r="F132" t="str">
        <f>IFERROR(IF(D132="","",VLOOKUP(D132,CadProd!$A:$C,3,0)),"")</f>
        <v/>
      </c>
    </row>
    <row r="133" spans="5:6" x14ac:dyDescent="0.3">
      <c r="E133" t="str">
        <f>IFERROR(IF(D133="","",VLOOKUP(D133,CadProd!$A:$B,2,0)),"")</f>
        <v/>
      </c>
      <c r="F133" t="str">
        <f>IFERROR(IF(D133="","",VLOOKUP(D133,CadProd!$A:$C,3,0)),"")</f>
        <v/>
      </c>
    </row>
    <row r="134" spans="5:6" x14ac:dyDescent="0.3">
      <c r="E134" t="str">
        <f>IFERROR(IF(D134="","",VLOOKUP(D134,CadProd!$A:$B,2,0)),"")</f>
        <v/>
      </c>
      <c r="F134" t="str">
        <f>IFERROR(IF(D134="","",VLOOKUP(D134,CadProd!$A:$C,3,0)),"")</f>
        <v/>
      </c>
    </row>
    <row r="135" spans="5:6" x14ac:dyDescent="0.3">
      <c r="E135" t="str">
        <f>IFERROR(IF(D135="","",VLOOKUP(D135,CadProd!$A:$B,2,0)),"")</f>
        <v/>
      </c>
      <c r="F135" t="str">
        <f>IFERROR(IF(D135="","",VLOOKUP(D135,CadProd!$A:$C,3,0)),"")</f>
        <v/>
      </c>
    </row>
    <row r="136" spans="5:6" x14ac:dyDescent="0.3">
      <c r="E136" t="str">
        <f>IFERROR(IF(D136="","",VLOOKUP(D136,CadProd!$A:$B,2,0)),"")</f>
        <v/>
      </c>
      <c r="F136" t="str">
        <f>IFERROR(IF(D136="","",VLOOKUP(D136,CadProd!$A:$C,3,0)),"")</f>
        <v/>
      </c>
    </row>
    <row r="137" spans="5:6" x14ac:dyDescent="0.3">
      <c r="E137" t="str">
        <f>IFERROR(IF(D137="","",VLOOKUP(D137,CadProd!$A:$B,2,0)),"")</f>
        <v/>
      </c>
      <c r="F137" t="str">
        <f>IFERROR(IF(D137="","",VLOOKUP(D137,CadProd!$A:$C,3,0)),"")</f>
        <v/>
      </c>
    </row>
    <row r="138" spans="5:6" x14ac:dyDescent="0.3">
      <c r="E138" t="str">
        <f>IFERROR(IF(D138="","",VLOOKUP(D138,CadProd!$A:$B,2,0)),"")</f>
        <v/>
      </c>
      <c r="F138" t="str">
        <f>IFERROR(IF(D138="","",VLOOKUP(D138,CadProd!$A:$C,3,0)),"")</f>
        <v/>
      </c>
    </row>
    <row r="139" spans="5:6" x14ac:dyDescent="0.3">
      <c r="E139" t="str">
        <f>IFERROR(IF(D139="","",VLOOKUP(D139,CadProd!$A:$B,2,0)),"")</f>
        <v/>
      </c>
      <c r="F139" t="str">
        <f>IFERROR(IF(D139="","",VLOOKUP(D139,CadProd!$A:$C,3,0)),"")</f>
        <v/>
      </c>
    </row>
    <row r="140" spans="5:6" x14ac:dyDescent="0.3">
      <c r="E140" t="str">
        <f>IFERROR(IF(D140="","",VLOOKUP(D140,CadProd!$A:$B,2,0)),"")</f>
        <v/>
      </c>
      <c r="F140" t="str">
        <f>IFERROR(IF(D140="","",VLOOKUP(D140,CadProd!$A:$C,3,0)),"")</f>
        <v/>
      </c>
    </row>
    <row r="141" spans="5:6" x14ac:dyDescent="0.3">
      <c r="E141" t="str">
        <f>IFERROR(IF(D141="","",VLOOKUP(D141,CadProd!$A:$B,2,0)),"")</f>
        <v/>
      </c>
      <c r="F141" t="str">
        <f>IFERROR(IF(D141="","",VLOOKUP(D141,CadProd!$A:$C,3,0)),"")</f>
        <v/>
      </c>
    </row>
    <row r="142" spans="5:6" x14ac:dyDescent="0.3">
      <c r="E142" t="str">
        <f>IFERROR(IF(D142="","",VLOOKUP(D142,CadProd!$A:$B,2,0)),"")</f>
        <v/>
      </c>
      <c r="F142" t="str">
        <f>IFERROR(IF(D142="","",VLOOKUP(D142,CadProd!$A:$C,3,0)),"")</f>
        <v/>
      </c>
    </row>
    <row r="143" spans="5:6" x14ac:dyDescent="0.3">
      <c r="E143" t="str">
        <f>IFERROR(IF(D143="","",VLOOKUP(D143,CadProd!$A:$B,2,0)),"")</f>
        <v/>
      </c>
      <c r="F143" t="str">
        <f>IFERROR(IF(D143="","",VLOOKUP(D143,CadProd!$A:$C,3,0)),"")</f>
        <v/>
      </c>
    </row>
    <row r="144" spans="5:6" x14ac:dyDescent="0.3">
      <c r="E144" t="str">
        <f>IFERROR(IF(D144="","",VLOOKUP(D144,CadProd!$A:$B,2,0)),"")</f>
        <v/>
      </c>
      <c r="F144" t="str">
        <f>IFERROR(IF(D144="","",VLOOKUP(D144,CadProd!$A:$C,3,0)),"")</f>
        <v/>
      </c>
    </row>
    <row r="145" spans="5:6" x14ac:dyDescent="0.3">
      <c r="E145" t="str">
        <f>IFERROR(IF(D145="","",VLOOKUP(D145,CadProd!$A:$B,2,0)),"")</f>
        <v/>
      </c>
      <c r="F145" t="str">
        <f>IFERROR(IF(D145="","",VLOOKUP(D145,CadProd!$A:$C,3,0)),"")</f>
        <v/>
      </c>
    </row>
    <row r="146" spans="5:6" x14ac:dyDescent="0.3">
      <c r="E146" t="str">
        <f>IFERROR(IF(D146="","",VLOOKUP(D146,CadProd!$A:$B,2,0)),"")</f>
        <v/>
      </c>
      <c r="F146" t="str">
        <f>IFERROR(IF(D146="","",VLOOKUP(D146,CadProd!$A:$C,3,0)),"")</f>
        <v/>
      </c>
    </row>
    <row r="147" spans="5:6" x14ac:dyDescent="0.3">
      <c r="E147" t="str">
        <f>IFERROR(IF(D147="","",VLOOKUP(D147,CadProd!$A:$B,2,0)),"")</f>
        <v/>
      </c>
      <c r="F147" t="str">
        <f>IFERROR(IF(D147="","",VLOOKUP(D147,CadProd!$A:$C,3,0)),"")</f>
        <v/>
      </c>
    </row>
    <row r="148" spans="5:6" x14ac:dyDescent="0.3">
      <c r="E148" t="str">
        <f>IFERROR(IF(D148="","",VLOOKUP(D148,CadProd!$A:$B,2,0)),"")</f>
        <v/>
      </c>
      <c r="F148" t="str">
        <f>IFERROR(IF(D148="","",VLOOKUP(D148,CadProd!$A:$C,3,0)),"")</f>
        <v/>
      </c>
    </row>
    <row r="149" spans="5:6" x14ac:dyDescent="0.3">
      <c r="E149" t="str">
        <f>IFERROR(IF(D149="","",VLOOKUP(D149,CadProd!$A:$B,2,0)),"")</f>
        <v/>
      </c>
      <c r="F149" t="str">
        <f>IFERROR(IF(D149="","",VLOOKUP(D149,CadProd!$A:$C,3,0)),"")</f>
        <v/>
      </c>
    </row>
    <row r="150" spans="5:6" x14ac:dyDescent="0.3">
      <c r="E150" t="str">
        <f>IFERROR(IF(D150="","",VLOOKUP(D150,CadProd!$A:$B,2,0)),"")</f>
        <v/>
      </c>
      <c r="F150" t="str">
        <f>IFERROR(IF(D150="","",VLOOKUP(D150,CadProd!$A:$C,3,0)),"")</f>
        <v/>
      </c>
    </row>
    <row r="151" spans="5:6" x14ac:dyDescent="0.3">
      <c r="E151" t="str">
        <f>IFERROR(IF(D151="","",VLOOKUP(D151,CadProd!$A:$B,2,0)),"")</f>
        <v/>
      </c>
      <c r="F151" t="str">
        <f>IFERROR(IF(D151="","",VLOOKUP(D151,CadProd!$A:$C,3,0)),"")</f>
        <v/>
      </c>
    </row>
    <row r="152" spans="5:6" x14ac:dyDescent="0.3">
      <c r="E152" t="str">
        <f>IFERROR(IF(D152="","",VLOOKUP(D152,CadProd!$A:$B,2,0)),"")</f>
        <v/>
      </c>
      <c r="F152" t="str">
        <f>IFERROR(IF(D152="","",VLOOKUP(D152,CadProd!$A:$C,3,0)),"")</f>
        <v/>
      </c>
    </row>
    <row r="153" spans="5:6" x14ac:dyDescent="0.3">
      <c r="E153" t="str">
        <f>IFERROR(IF(D153="","",VLOOKUP(D153,CadProd!$A:$B,2,0)),"")</f>
        <v/>
      </c>
      <c r="F153" t="str">
        <f>IFERROR(IF(D153="","",VLOOKUP(D153,CadProd!$A:$C,3,0)),"")</f>
        <v/>
      </c>
    </row>
    <row r="154" spans="5:6" x14ac:dyDescent="0.3">
      <c r="E154" t="str">
        <f>IFERROR(IF(D154="","",VLOOKUP(D154,CadProd!$A:$B,2,0)),"")</f>
        <v/>
      </c>
      <c r="F154" t="str">
        <f>IFERROR(IF(D154="","",VLOOKUP(D154,CadProd!$A:$C,3,0)),"")</f>
        <v/>
      </c>
    </row>
    <row r="155" spans="5:6" x14ac:dyDescent="0.3">
      <c r="E155" t="str">
        <f>IFERROR(IF(D155="","",VLOOKUP(D155,CadProd!$A:$B,2,0)),"")</f>
        <v/>
      </c>
      <c r="F155" t="str">
        <f>IFERROR(IF(D155="","",VLOOKUP(D155,CadProd!$A:$C,3,0)),"")</f>
        <v/>
      </c>
    </row>
    <row r="156" spans="5:6" x14ac:dyDescent="0.3">
      <c r="E156" t="str">
        <f>IFERROR(IF(D156="","",VLOOKUP(D156,CadProd!$A:$B,2,0)),"")</f>
        <v/>
      </c>
      <c r="F156" t="str">
        <f>IFERROR(IF(D156="","",VLOOKUP(D156,CadProd!$A:$C,3,0)),"")</f>
        <v/>
      </c>
    </row>
    <row r="157" spans="5:6" x14ac:dyDescent="0.3">
      <c r="E157" t="str">
        <f>IFERROR(IF(D157="","",VLOOKUP(D157,CadProd!$A:$B,2,0)),"")</f>
        <v/>
      </c>
      <c r="F157" t="str">
        <f>IFERROR(IF(D157="","",VLOOKUP(D157,CadProd!$A:$C,3,0)),"")</f>
        <v/>
      </c>
    </row>
    <row r="158" spans="5:6" x14ac:dyDescent="0.3">
      <c r="E158" t="str">
        <f>IFERROR(IF(D158="","",VLOOKUP(D158,CadProd!$A:$B,2,0)),"")</f>
        <v/>
      </c>
      <c r="F158" t="str">
        <f>IFERROR(IF(D158="","",VLOOKUP(D158,CadProd!$A:$C,3,0)),"")</f>
        <v/>
      </c>
    </row>
    <row r="159" spans="5:6" x14ac:dyDescent="0.3">
      <c r="E159" t="str">
        <f>IFERROR(IF(D159="","",VLOOKUP(D159,CadProd!$A:$B,2,0)),"")</f>
        <v/>
      </c>
      <c r="F159" t="str">
        <f>IFERROR(IF(D159="","",VLOOKUP(D159,CadProd!$A:$C,3,0)),"")</f>
        <v/>
      </c>
    </row>
    <row r="160" spans="5:6" x14ac:dyDescent="0.3">
      <c r="E160" t="str">
        <f>IFERROR(IF(D160="","",VLOOKUP(D160,CadProd!$A:$B,2,0)),"")</f>
        <v/>
      </c>
      <c r="F160" t="str">
        <f>IFERROR(IF(D160="","",VLOOKUP(D160,CadProd!$A:$C,3,0)),"")</f>
        <v/>
      </c>
    </row>
    <row r="161" spans="5:6" x14ac:dyDescent="0.3">
      <c r="E161" t="str">
        <f>IFERROR(IF(D161="","",VLOOKUP(D161,CadProd!$A:$B,2,0)),"")</f>
        <v/>
      </c>
      <c r="F161" t="str">
        <f>IFERROR(IF(D161="","",VLOOKUP(D161,CadProd!$A:$C,3,0)),"")</f>
        <v/>
      </c>
    </row>
    <row r="162" spans="5:6" x14ac:dyDescent="0.3">
      <c r="E162" t="str">
        <f>IFERROR(IF(D162="","",VLOOKUP(D162,CadProd!$A:$B,2,0)),"")</f>
        <v/>
      </c>
      <c r="F162" t="str">
        <f>IFERROR(IF(D162="","",VLOOKUP(D162,CadProd!$A:$C,3,0)),"")</f>
        <v/>
      </c>
    </row>
    <row r="163" spans="5:6" x14ac:dyDescent="0.3">
      <c r="E163" t="str">
        <f>IFERROR(IF(D163="","",VLOOKUP(D163,CadProd!$A:$B,2,0)),"")</f>
        <v/>
      </c>
      <c r="F163" t="str">
        <f>IFERROR(IF(D163="","",VLOOKUP(D163,CadProd!$A:$C,3,0)),"")</f>
        <v/>
      </c>
    </row>
    <row r="164" spans="5:6" x14ac:dyDescent="0.3">
      <c r="E164" t="str">
        <f>IFERROR(IF(D164="","",VLOOKUP(D164,CadProd!$A:$B,2,0)),"")</f>
        <v/>
      </c>
      <c r="F164" t="str">
        <f>IFERROR(IF(D164="","",VLOOKUP(D164,CadProd!$A:$C,3,0)),"")</f>
        <v/>
      </c>
    </row>
    <row r="165" spans="5:6" x14ac:dyDescent="0.3">
      <c r="E165" t="str">
        <f>IFERROR(IF(D165="","",VLOOKUP(D165,CadProd!$A:$B,2,0)),"")</f>
        <v/>
      </c>
      <c r="F165" t="str">
        <f>IFERROR(IF(D165="","",VLOOKUP(D165,CadProd!$A:$C,3,0)),"")</f>
        <v/>
      </c>
    </row>
    <row r="166" spans="5:6" x14ac:dyDescent="0.3">
      <c r="E166" t="str">
        <f>IFERROR(IF(D166="","",VLOOKUP(D166,CadProd!$A:$B,2,0)),"")</f>
        <v/>
      </c>
      <c r="F166" t="str">
        <f>IFERROR(IF(D166="","",VLOOKUP(D166,CadProd!$A:$C,3,0)),"")</f>
        <v/>
      </c>
    </row>
    <row r="167" spans="5:6" x14ac:dyDescent="0.3">
      <c r="E167" t="str">
        <f>IFERROR(IF(D167="","",VLOOKUP(D167,CadProd!$A:$B,2,0)),"")</f>
        <v/>
      </c>
      <c r="F167" t="str">
        <f>IFERROR(IF(D167="","",VLOOKUP(D167,CadProd!$A:$C,3,0)),"")</f>
        <v/>
      </c>
    </row>
    <row r="168" spans="5:6" x14ac:dyDescent="0.3">
      <c r="E168" t="str">
        <f>IFERROR(IF(D168="","",VLOOKUP(D168,CadProd!$A:$B,2,0)),"")</f>
        <v/>
      </c>
      <c r="F168" t="str">
        <f>IFERROR(IF(D168="","",VLOOKUP(D168,CadProd!$A:$C,3,0)),"")</f>
        <v/>
      </c>
    </row>
    <row r="169" spans="5:6" x14ac:dyDescent="0.3">
      <c r="E169" t="str">
        <f>IFERROR(IF(D169="","",VLOOKUP(D169,CadProd!$A:$B,2,0)),"")</f>
        <v/>
      </c>
      <c r="F169" t="str">
        <f>IFERROR(IF(D169="","",VLOOKUP(D169,CadProd!$A:$C,3,0)),"")</f>
        <v/>
      </c>
    </row>
    <row r="170" spans="5:6" x14ac:dyDescent="0.3">
      <c r="E170" t="str">
        <f>IFERROR(IF(D170="","",VLOOKUP(D170,CadProd!$A:$B,2,0)),"")</f>
        <v/>
      </c>
      <c r="F170" t="str">
        <f>IFERROR(IF(D170="","",VLOOKUP(D170,CadProd!$A:$C,3,0)),"")</f>
        <v/>
      </c>
    </row>
    <row r="171" spans="5:6" x14ac:dyDescent="0.3">
      <c r="E171" t="str">
        <f>IFERROR(IF(D171="","",VLOOKUP(D171,CadProd!$A:$B,2,0)),"")</f>
        <v/>
      </c>
      <c r="F171" t="str">
        <f>IFERROR(IF(D171="","",VLOOKUP(D171,CadProd!$A:$C,3,0)),"")</f>
        <v/>
      </c>
    </row>
    <row r="172" spans="5:6" x14ac:dyDescent="0.3">
      <c r="E172" t="str">
        <f>IFERROR(IF(D172="","",VLOOKUP(D172,CadProd!$A:$B,2,0)),"")</f>
        <v/>
      </c>
      <c r="F172" t="str">
        <f>IFERROR(IF(D172="","",VLOOKUP(D172,CadProd!$A:$C,3,0)),"")</f>
        <v/>
      </c>
    </row>
    <row r="173" spans="5:6" x14ac:dyDescent="0.3">
      <c r="E173" t="str">
        <f>IFERROR(IF(D173="","",VLOOKUP(D173,CadProd!$A:$B,2,0)),"")</f>
        <v/>
      </c>
      <c r="F173" t="str">
        <f>IFERROR(IF(D173="","",VLOOKUP(D173,CadProd!$A:$C,3,0)),"")</f>
        <v/>
      </c>
    </row>
    <row r="174" spans="5:6" x14ac:dyDescent="0.3">
      <c r="E174" t="str">
        <f>IFERROR(IF(D174="","",VLOOKUP(D174,CadProd!$A:$B,2,0)),"")</f>
        <v/>
      </c>
      <c r="F174" t="str">
        <f>IFERROR(IF(D174="","",VLOOKUP(D174,CadProd!$A:$C,3,0)),"")</f>
        <v/>
      </c>
    </row>
    <row r="175" spans="5:6" x14ac:dyDescent="0.3">
      <c r="E175" t="str">
        <f>IFERROR(IF(D175="","",VLOOKUP(D175,CadProd!$A:$B,2,0)),"")</f>
        <v/>
      </c>
      <c r="F175" t="str">
        <f>IFERROR(IF(D175="","",VLOOKUP(D175,CadProd!$A:$C,3,0)),"")</f>
        <v/>
      </c>
    </row>
    <row r="176" spans="5:6" x14ac:dyDescent="0.3">
      <c r="E176" t="str">
        <f>IFERROR(IF(D176="","",VLOOKUP(D176,CadProd!$A:$B,2,0)),"")</f>
        <v/>
      </c>
      <c r="F176" t="str">
        <f>IFERROR(IF(D176="","",VLOOKUP(D176,CadProd!$A:$C,3,0)),"")</f>
        <v/>
      </c>
    </row>
    <row r="177" spans="5:6" x14ac:dyDescent="0.3">
      <c r="E177" t="str">
        <f>IFERROR(IF(D177="","",VLOOKUP(D177,CadProd!$A:$B,2,0)),"")</f>
        <v/>
      </c>
      <c r="F177" t="str">
        <f>IFERROR(IF(D177="","",VLOOKUP(D177,CadProd!$A:$C,3,0)),"")</f>
        <v/>
      </c>
    </row>
    <row r="178" spans="5:6" x14ac:dyDescent="0.3">
      <c r="E178" t="str">
        <f>IFERROR(IF(D178="","",VLOOKUP(D178,CadProd!$A:$B,2,0)),"")</f>
        <v/>
      </c>
      <c r="F178" t="str">
        <f>IFERROR(IF(D178="","",VLOOKUP(D178,CadProd!$A:$C,3,0)),"")</f>
        <v/>
      </c>
    </row>
    <row r="179" spans="5:6" x14ac:dyDescent="0.3">
      <c r="E179" t="str">
        <f>IFERROR(IF(D179="","",VLOOKUP(D179,CadProd!$A:$B,2,0)),"")</f>
        <v/>
      </c>
      <c r="F179" t="str">
        <f>IFERROR(IF(D179="","",VLOOKUP(D179,CadProd!$A:$C,3,0)),"")</f>
        <v/>
      </c>
    </row>
    <row r="180" spans="5:6" x14ac:dyDescent="0.3">
      <c r="E180" t="str">
        <f>IFERROR(IF(D180="","",VLOOKUP(D180,CadProd!$A:$B,2,0)),"")</f>
        <v/>
      </c>
      <c r="F180" t="str">
        <f>IFERROR(IF(D180="","",VLOOKUP(D180,CadProd!$A:$C,3,0)),"")</f>
        <v/>
      </c>
    </row>
    <row r="181" spans="5:6" x14ac:dyDescent="0.3">
      <c r="E181" t="str">
        <f>IFERROR(IF(D181="","",VLOOKUP(D181,CadProd!$A:$B,2,0)),"")</f>
        <v/>
      </c>
      <c r="F181" t="str">
        <f>IFERROR(IF(D181="","",VLOOKUP(D181,CadProd!$A:$C,3,0)),"")</f>
        <v/>
      </c>
    </row>
    <row r="182" spans="5:6" x14ac:dyDescent="0.3">
      <c r="E182" t="str">
        <f>IFERROR(IF(D182="","",VLOOKUP(D182,CadProd!$A:$B,2,0)),"")</f>
        <v/>
      </c>
      <c r="F182" t="str">
        <f>IFERROR(IF(D182="","",VLOOKUP(D182,CadProd!$A:$C,3,0)),"")</f>
        <v/>
      </c>
    </row>
    <row r="183" spans="5:6" x14ac:dyDescent="0.3">
      <c r="E183" t="str">
        <f>IFERROR(IF(D183="","",VLOOKUP(D183,CadProd!$A:$B,2,0)),"")</f>
        <v/>
      </c>
      <c r="F183" t="str">
        <f>IFERROR(IF(D183="","",VLOOKUP(D183,CadProd!$A:$C,3,0)),"")</f>
        <v/>
      </c>
    </row>
    <row r="184" spans="5:6" x14ac:dyDescent="0.3">
      <c r="E184" t="str">
        <f>IFERROR(IF(D184="","",VLOOKUP(D184,CadProd!$A:$B,2,0)),"")</f>
        <v/>
      </c>
      <c r="F184" t="str">
        <f>IFERROR(IF(D184="","",VLOOKUP(D184,CadProd!$A:$C,3,0)),"")</f>
        <v/>
      </c>
    </row>
    <row r="185" spans="5:6" x14ac:dyDescent="0.3">
      <c r="E185" t="str">
        <f>IFERROR(IF(D185="","",VLOOKUP(D185,CadProd!$A:$B,2,0)),"")</f>
        <v/>
      </c>
      <c r="F185" t="str">
        <f>IFERROR(IF(D185="","",VLOOKUP(D185,CadProd!$A:$C,3,0)),"")</f>
        <v/>
      </c>
    </row>
    <row r="186" spans="5:6" x14ac:dyDescent="0.3">
      <c r="E186" t="str">
        <f>IFERROR(IF(D186="","",VLOOKUP(D186,CadProd!$A:$B,2,0)),"")</f>
        <v/>
      </c>
      <c r="F186" t="str">
        <f>IFERROR(IF(D186="","",VLOOKUP(D186,CadProd!$A:$C,3,0)),"")</f>
        <v/>
      </c>
    </row>
    <row r="187" spans="5:6" x14ac:dyDescent="0.3">
      <c r="E187" t="str">
        <f>IFERROR(IF(D187="","",VLOOKUP(D187,CadProd!$A:$B,2,0)),"")</f>
        <v/>
      </c>
      <c r="F187" t="str">
        <f>IFERROR(IF(D187="","",VLOOKUP(D187,CadProd!$A:$C,3,0)),"")</f>
        <v/>
      </c>
    </row>
    <row r="188" spans="5:6" x14ac:dyDescent="0.3">
      <c r="E188" t="str">
        <f>IFERROR(IF(D188="","",VLOOKUP(D188,CadProd!$A:$B,2,0)),"")</f>
        <v/>
      </c>
      <c r="F188" t="str">
        <f>IFERROR(IF(D188="","",VLOOKUP(D188,CadProd!$A:$C,3,0)),"")</f>
        <v/>
      </c>
    </row>
    <row r="189" spans="5:6" x14ac:dyDescent="0.3">
      <c r="E189" t="str">
        <f>IFERROR(IF(D189="","",VLOOKUP(D189,CadProd!$A:$B,2,0)),"")</f>
        <v/>
      </c>
      <c r="F189" t="str">
        <f>IFERROR(IF(D189="","",VLOOKUP(D189,CadProd!$A:$C,3,0)),"")</f>
        <v/>
      </c>
    </row>
    <row r="190" spans="5:6" x14ac:dyDescent="0.3">
      <c r="E190" t="str">
        <f>IFERROR(IF(D190="","",VLOOKUP(D190,CadProd!$A:$B,2,0)),"")</f>
        <v/>
      </c>
      <c r="F190" t="str">
        <f>IFERROR(IF(D190="","",VLOOKUP(D190,CadProd!$A:$C,3,0)),"")</f>
        <v/>
      </c>
    </row>
    <row r="191" spans="5:6" x14ac:dyDescent="0.3">
      <c r="E191" t="str">
        <f>IFERROR(IF(D191="","",VLOOKUP(D191,CadProd!$A:$B,2,0)),"")</f>
        <v/>
      </c>
      <c r="F191" t="str">
        <f>IFERROR(IF(D191="","",VLOOKUP(D191,CadProd!$A:$C,3,0)),"")</f>
        <v/>
      </c>
    </row>
    <row r="192" spans="5:6" x14ac:dyDescent="0.3">
      <c r="E192" t="str">
        <f>IFERROR(IF(D192="","",VLOOKUP(D192,CadProd!$A:$B,2,0)),"")</f>
        <v/>
      </c>
      <c r="F192" t="str">
        <f>IFERROR(IF(D192="","",VLOOKUP(D192,CadProd!$A:$C,3,0)),"")</f>
        <v/>
      </c>
    </row>
    <row r="193" spans="5:6" x14ac:dyDescent="0.3">
      <c r="E193" t="str">
        <f>IFERROR(IF(D193="","",VLOOKUP(D193,CadProd!$A:$B,2,0)),"")</f>
        <v/>
      </c>
      <c r="F193" t="str">
        <f>IFERROR(IF(D193="","",VLOOKUP(D193,CadProd!$A:$C,3,0)),"")</f>
        <v/>
      </c>
    </row>
    <row r="194" spans="5:6" x14ac:dyDescent="0.3">
      <c r="E194" t="str">
        <f>IFERROR(IF(D194="","",VLOOKUP(D194,CadProd!$A:$B,2,0)),"")</f>
        <v/>
      </c>
      <c r="F194" t="str">
        <f>IFERROR(IF(D194="","",VLOOKUP(D194,CadProd!$A:$C,3,0)),"")</f>
        <v/>
      </c>
    </row>
    <row r="195" spans="5:6" x14ac:dyDescent="0.3">
      <c r="E195" t="str">
        <f>IFERROR(IF(D195="","",VLOOKUP(D195,CadProd!$A:$B,2,0)),"")</f>
        <v/>
      </c>
      <c r="F195" t="str">
        <f>IFERROR(IF(D195="","",VLOOKUP(D195,CadProd!$A:$C,3,0)),"")</f>
        <v/>
      </c>
    </row>
    <row r="196" spans="5:6" x14ac:dyDescent="0.3">
      <c r="E196" t="str">
        <f>IFERROR(IF(D196="","",VLOOKUP(D196,CadProd!$A:$B,2,0)),"")</f>
        <v/>
      </c>
      <c r="F196" t="str">
        <f>IFERROR(IF(D196="","",VLOOKUP(D196,CadProd!$A:$C,3,0)),"")</f>
        <v/>
      </c>
    </row>
    <row r="197" spans="5:6" x14ac:dyDescent="0.3">
      <c r="E197" t="str">
        <f>IFERROR(IF(D197="","",VLOOKUP(D197,CadProd!$A:$B,2,0)),"")</f>
        <v/>
      </c>
      <c r="F197" t="str">
        <f>IFERROR(IF(D197="","",VLOOKUP(D197,CadProd!$A:$C,3,0)),"")</f>
        <v/>
      </c>
    </row>
    <row r="198" spans="5:6" x14ac:dyDescent="0.3">
      <c r="E198" t="str">
        <f>IFERROR(IF(D198="","",VLOOKUP(D198,CadProd!$A:$B,2,0)),"")</f>
        <v/>
      </c>
      <c r="F198" t="str">
        <f>IFERROR(IF(D198="","",VLOOKUP(D198,CadProd!$A:$C,3,0)),"")</f>
        <v/>
      </c>
    </row>
    <row r="199" spans="5:6" x14ac:dyDescent="0.3">
      <c r="E199" t="str">
        <f>IFERROR(IF(D199="","",VLOOKUP(D199,CadProd!$A:$B,2,0)),"")</f>
        <v/>
      </c>
      <c r="F199" t="str">
        <f>IFERROR(IF(D199="","",VLOOKUP(D199,CadProd!$A:$C,3,0)),"")</f>
        <v/>
      </c>
    </row>
    <row r="200" spans="5:6" x14ac:dyDescent="0.3">
      <c r="E200" t="str">
        <f>IFERROR(IF(D200="","",VLOOKUP(D200,CadProd!$A:$B,2,0)),"")</f>
        <v/>
      </c>
      <c r="F200" t="str">
        <f>IFERROR(IF(D200="","",VLOOKUP(D200,CadProd!$A:$C,3,0)),"")</f>
        <v/>
      </c>
    </row>
    <row r="201" spans="5:6" x14ac:dyDescent="0.3">
      <c r="E201" t="str">
        <f>IFERROR(IF(D201="","",VLOOKUP(D201,CadProd!$A:$B,2,0)),"")</f>
        <v/>
      </c>
      <c r="F201" t="str">
        <f>IFERROR(IF(D201="","",VLOOKUP(D201,CadProd!$A:$C,3,0)),"")</f>
        <v/>
      </c>
    </row>
    <row r="202" spans="5:6" x14ac:dyDescent="0.3">
      <c r="E202" t="str">
        <f>IFERROR(IF(D202="","",VLOOKUP(D202,CadProd!$A:$B,2,0)),"")</f>
        <v/>
      </c>
      <c r="F202" t="str">
        <f>IFERROR(IF(D202="","",VLOOKUP(D202,CadProd!$A:$C,3,0)),"")</f>
        <v/>
      </c>
    </row>
    <row r="203" spans="5:6" x14ac:dyDescent="0.3">
      <c r="E203" t="str">
        <f>IFERROR(IF(D203="","",VLOOKUP(D203,CadProd!$A:$B,2,0)),"")</f>
        <v/>
      </c>
      <c r="F203" t="str">
        <f>IFERROR(IF(D203="","",VLOOKUP(D203,CadProd!$A:$C,3,0)),"")</f>
        <v/>
      </c>
    </row>
    <row r="204" spans="5:6" x14ac:dyDescent="0.3">
      <c r="E204" t="str">
        <f>IFERROR(IF(D204="","",VLOOKUP(D204,CadProd!$A:$B,2,0)),"")</f>
        <v/>
      </c>
      <c r="F204" t="str">
        <f>IFERROR(IF(D204="","",VLOOKUP(D204,CadProd!$A:$C,3,0)),"")</f>
        <v/>
      </c>
    </row>
    <row r="205" spans="5:6" x14ac:dyDescent="0.3">
      <c r="E205" t="str">
        <f>IFERROR(IF(D205="","",VLOOKUP(D205,CadProd!$A:$B,2,0)),"")</f>
        <v/>
      </c>
      <c r="F205" t="str">
        <f>IFERROR(IF(D205="","",VLOOKUP(D205,CadProd!$A:$C,3,0)),"")</f>
        <v/>
      </c>
    </row>
    <row r="206" spans="5:6" x14ac:dyDescent="0.3">
      <c r="E206" t="str">
        <f>IFERROR(IF(D206="","",VLOOKUP(D206,CadProd!$A:$B,2,0)),"")</f>
        <v/>
      </c>
      <c r="F206" t="str">
        <f>IFERROR(IF(D206="","",VLOOKUP(D206,CadProd!$A:$C,3,0)),"")</f>
        <v/>
      </c>
    </row>
    <row r="207" spans="5:6" x14ac:dyDescent="0.3">
      <c r="E207" t="str">
        <f>IFERROR(IF(D207="","",VLOOKUP(D207,CadProd!$A:$B,2,0)),"")</f>
        <v/>
      </c>
      <c r="F207" t="str">
        <f>IFERROR(IF(D207="","",VLOOKUP(D207,CadProd!$A:$C,3,0)),"")</f>
        <v/>
      </c>
    </row>
    <row r="208" spans="5:6" x14ac:dyDescent="0.3">
      <c r="E208" t="str">
        <f>IFERROR(IF(D208="","",VLOOKUP(D208,CadProd!$A:$B,2,0)),"")</f>
        <v/>
      </c>
      <c r="F208" t="str">
        <f>IFERROR(IF(D208="","",VLOOKUP(D208,CadProd!$A:$C,3,0)),"")</f>
        <v/>
      </c>
    </row>
    <row r="209" spans="5:6" x14ac:dyDescent="0.3">
      <c r="E209" t="str">
        <f>IFERROR(IF(D209="","",VLOOKUP(D209,CadProd!$A:$B,2,0)),"")</f>
        <v/>
      </c>
      <c r="F209" t="str">
        <f>IFERROR(IF(D209="","",VLOOKUP(D209,CadProd!$A:$C,3,0)),"")</f>
        <v/>
      </c>
    </row>
    <row r="210" spans="5:6" x14ac:dyDescent="0.3">
      <c r="E210" t="str">
        <f>IFERROR(IF(D210="","",VLOOKUP(D210,CadProd!$A:$B,2,0)),"")</f>
        <v/>
      </c>
      <c r="F210" t="str">
        <f>IFERROR(IF(D210="","",VLOOKUP(D210,CadProd!$A:$C,3,0)),"")</f>
        <v/>
      </c>
    </row>
    <row r="211" spans="5:6" x14ac:dyDescent="0.3">
      <c r="E211" t="str">
        <f>IFERROR(IF(D211="","",VLOOKUP(D211,CadProd!$A:$B,2,0)),"")</f>
        <v/>
      </c>
      <c r="F211" t="str">
        <f>IFERROR(IF(D211="","",VLOOKUP(D211,CadProd!$A:$C,3,0)),"")</f>
        <v/>
      </c>
    </row>
    <row r="212" spans="5:6" x14ac:dyDescent="0.3">
      <c r="E212" t="str">
        <f>IFERROR(IF(D212="","",VLOOKUP(D212,CadProd!$A:$B,2,0)),"")</f>
        <v/>
      </c>
      <c r="F212" t="str">
        <f>IFERROR(IF(D212="","",VLOOKUP(D212,CadProd!$A:$C,3,0)),"")</f>
        <v/>
      </c>
    </row>
    <row r="213" spans="5:6" x14ac:dyDescent="0.3">
      <c r="E213" t="str">
        <f>IFERROR(IF(D213="","",VLOOKUP(D213,CadProd!$A:$B,2,0)),"")</f>
        <v/>
      </c>
      <c r="F213" t="str">
        <f>IFERROR(IF(D213="","",VLOOKUP(D213,CadProd!$A:$C,3,0)),"")</f>
        <v/>
      </c>
    </row>
    <row r="214" spans="5:6" x14ac:dyDescent="0.3">
      <c r="E214" t="str">
        <f>IFERROR(IF(D214="","",VLOOKUP(D214,CadProd!$A:$B,2,0)),"")</f>
        <v/>
      </c>
      <c r="F214" t="str">
        <f>IFERROR(IF(D214="","",VLOOKUP(D214,CadProd!$A:$C,3,0)),"")</f>
        <v/>
      </c>
    </row>
    <row r="215" spans="5:6" x14ac:dyDescent="0.3">
      <c r="E215" t="str">
        <f>IFERROR(IF(D215="","",VLOOKUP(D215,CadProd!$A:$B,2,0)),"")</f>
        <v/>
      </c>
      <c r="F215" t="str">
        <f>IFERROR(IF(D215="","",VLOOKUP(D215,CadProd!$A:$C,3,0)),"")</f>
        <v/>
      </c>
    </row>
    <row r="216" spans="5:6" x14ac:dyDescent="0.3">
      <c r="E216" t="str">
        <f>IFERROR(IF(D216="","",VLOOKUP(D216,CadProd!$A:$B,2,0)),"")</f>
        <v/>
      </c>
      <c r="F216" t="str">
        <f>IFERROR(IF(D216="","",VLOOKUP(D216,CadProd!$A:$C,3,0)),"")</f>
        <v/>
      </c>
    </row>
    <row r="217" spans="5:6" x14ac:dyDescent="0.3">
      <c r="E217" t="str">
        <f>IFERROR(IF(D217="","",VLOOKUP(D217,CadProd!$A:$B,2,0)),"")</f>
        <v/>
      </c>
      <c r="F217" t="str">
        <f>IFERROR(IF(D217="","",VLOOKUP(D217,CadProd!$A:$C,3,0)),"")</f>
        <v/>
      </c>
    </row>
    <row r="218" spans="5:6" x14ac:dyDescent="0.3">
      <c r="E218" t="str">
        <f>IFERROR(IF(D218="","",VLOOKUP(D218,CadProd!$A:$B,2,0)),"")</f>
        <v/>
      </c>
      <c r="F218" t="str">
        <f>IFERROR(IF(D218="","",VLOOKUP(D218,CadProd!$A:$C,3,0)),"")</f>
        <v/>
      </c>
    </row>
    <row r="219" spans="5:6" x14ac:dyDescent="0.3">
      <c r="E219" t="str">
        <f>IFERROR(IF(D219="","",VLOOKUP(D219,CadProd!$A:$B,2,0)),"")</f>
        <v/>
      </c>
      <c r="F219" t="str">
        <f>IFERROR(IF(D219="","",VLOOKUP(D219,CadProd!$A:$C,3,0)),"")</f>
        <v/>
      </c>
    </row>
    <row r="220" spans="5:6" x14ac:dyDescent="0.3">
      <c r="E220" t="str">
        <f>IFERROR(IF(D220="","",VLOOKUP(D220,CadProd!$A:$B,2,0)),"")</f>
        <v/>
      </c>
      <c r="F220" t="str">
        <f>IFERROR(IF(D220="","",VLOOKUP(D220,CadProd!$A:$C,3,0)),"")</f>
        <v/>
      </c>
    </row>
    <row r="221" spans="5:6" x14ac:dyDescent="0.3">
      <c r="E221" t="str">
        <f>IFERROR(IF(D221="","",VLOOKUP(D221,CadProd!$A:$B,2,0)),"")</f>
        <v/>
      </c>
      <c r="F221" t="str">
        <f>IFERROR(IF(D221="","",VLOOKUP(D221,CadProd!$A:$C,3,0)),"")</f>
        <v/>
      </c>
    </row>
    <row r="222" spans="5:6" x14ac:dyDescent="0.3">
      <c r="E222" t="str">
        <f>IFERROR(IF(D222="","",VLOOKUP(D222,CadProd!$A:$B,2,0)),"")</f>
        <v/>
      </c>
      <c r="F222" t="str">
        <f>IFERROR(IF(D222="","",VLOOKUP(D222,CadProd!$A:$C,3,0)),"")</f>
        <v/>
      </c>
    </row>
    <row r="223" spans="5:6" x14ac:dyDescent="0.3">
      <c r="E223" t="str">
        <f>IFERROR(IF(D223="","",VLOOKUP(D223,CadProd!$A:$B,2,0)),"")</f>
        <v/>
      </c>
      <c r="F223" t="str">
        <f>IFERROR(IF(D223="","",VLOOKUP(D223,CadProd!$A:$C,3,0)),"")</f>
        <v/>
      </c>
    </row>
    <row r="224" spans="5:6" x14ac:dyDescent="0.3">
      <c r="E224" t="str">
        <f>IFERROR(IF(D224="","",VLOOKUP(D224,CadProd!$A:$B,2,0)),"")</f>
        <v/>
      </c>
      <c r="F224" t="str">
        <f>IFERROR(IF(D224="","",VLOOKUP(D224,CadProd!$A:$C,3,0)),"")</f>
        <v/>
      </c>
    </row>
    <row r="225" spans="5:6" x14ac:dyDescent="0.3">
      <c r="E225" t="str">
        <f>IFERROR(IF(D225="","",VLOOKUP(D225,CadProd!$A:$B,2,0)),"")</f>
        <v/>
      </c>
      <c r="F225" t="str">
        <f>IFERROR(IF(D225="","",VLOOKUP(D225,CadProd!$A:$C,3,0)),"")</f>
        <v/>
      </c>
    </row>
    <row r="226" spans="5:6" x14ac:dyDescent="0.3">
      <c r="E226" t="str">
        <f>IFERROR(IF(D226="","",VLOOKUP(D226,CadProd!$A:$B,2,0)),"")</f>
        <v/>
      </c>
      <c r="F226" t="str">
        <f>IFERROR(IF(D226="","",VLOOKUP(D226,CadProd!$A:$C,3,0)),"")</f>
        <v/>
      </c>
    </row>
    <row r="227" spans="5:6" x14ac:dyDescent="0.3">
      <c r="E227" t="str">
        <f>IFERROR(IF(D227="","",VLOOKUP(D227,CadProd!$A:$B,2,0)),"")</f>
        <v/>
      </c>
      <c r="F227" t="str">
        <f>IFERROR(IF(D227="","",VLOOKUP(D227,CadProd!$A:$C,3,0)),"")</f>
        <v/>
      </c>
    </row>
    <row r="228" spans="5:6" x14ac:dyDescent="0.3">
      <c r="E228" t="str">
        <f>IFERROR(IF(D228="","",VLOOKUP(D228,CadProd!$A:$B,2,0)),"")</f>
        <v/>
      </c>
      <c r="F228" t="str">
        <f>IFERROR(IF(D228="","",VLOOKUP(D228,CadProd!$A:$C,3,0)),"")</f>
        <v/>
      </c>
    </row>
    <row r="229" spans="5:6" x14ac:dyDescent="0.3">
      <c r="E229" t="str">
        <f>IFERROR(IF(D229="","",VLOOKUP(D229,CadProd!$A:$B,2,0)),"")</f>
        <v/>
      </c>
      <c r="F229" t="str">
        <f>IFERROR(IF(D229="","",VLOOKUP(D229,CadProd!$A:$C,3,0)),"")</f>
        <v/>
      </c>
    </row>
    <row r="230" spans="5:6" x14ac:dyDescent="0.3">
      <c r="E230" t="str">
        <f>IFERROR(IF(D230="","",VLOOKUP(D230,CadProd!$A:$B,2,0)),"")</f>
        <v/>
      </c>
      <c r="F230" t="str">
        <f>IFERROR(IF(D230="","",VLOOKUP(D230,CadProd!$A:$C,3,0)),"")</f>
        <v/>
      </c>
    </row>
    <row r="231" spans="5:6" x14ac:dyDescent="0.3">
      <c r="E231" t="str">
        <f>IFERROR(IF(D231="","",VLOOKUP(D231,CadProd!$A:$B,2,0)),"")</f>
        <v/>
      </c>
      <c r="F231" t="str">
        <f>IFERROR(IF(D231="","",VLOOKUP(D231,CadProd!$A:$C,3,0)),"")</f>
        <v/>
      </c>
    </row>
    <row r="232" spans="5:6" x14ac:dyDescent="0.3">
      <c r="E232" t="str">
        <f>IFERROR(IF(D232="","",VLOOKUP(D232,CadProd!$A:$B,2,0)),"")</f>
        <v/>
      </c>
      <c r="F232" t="str">
        <f>IFERROR(IF(D232="","",VLOOKUP(D232,CadProd!$A:$C,3,0)),"")</f>
        <v/>
      </c>
    </row>
    <row r="233" spans="5:6" x14ac:dyDescent="0.3">
      <c r="E233" t="str">
        <f>IFERROR(IF(D233="","",VLOOKUP(D233,CadProd!$A:$B,2,0)),"")</f>
        <v/>
      </c>
      <c r="F233" t="str">
        <f>IFERROR(IF(D233="","",VLOOKUP(D233,CadProd!$A:$C,3,0)),"")</f>
        <v/>
      </c>
    </row>
    <row r="234" spans="5:6" x14ac:dyDescent="0.3">
      <c r="E234" t="str">
        <f>IFERROR(IF(D234="","",VLOOKUP(D234,CadProd!$A:$B,2,0)),"")</f>
        <v/>
      </c>
      <c r="F234" t="str">
        <f>IFERROR(IF(D234="","",VLOOKUP(D234,CadProd!$A:$C,3,0)),"")</f>
        <v/>
      </c>
    </row>
    <row r="235" spans="5:6" x14ac:dyDescent="0.3">
      <c r="E235" t="str">
        <f>IFERROR(IF(D235="","",VLOOKUP(D235,CadProd!$A:$B,2,0)),"")</f>
        <v/>
      </c>
      <c r="F235" t="str">
        <f>IFERROR(IF(D235="","",VLOOKUP(D235,CadProd!$A:$C,3,0)),"")</f>
        <v/>
      </c>
    </row>
    <row r="236" spans="5:6" x14ac:dyDescent="0.3">
      <c r="E236" t="str">
        <f>IFERROR(IF(D236="","",VLOOKUP(D236,CadProd!$A:$B,2,0)),"")</f>
        <v/>
      </c>
      <c r="F236" t="str">
        <f>IFERROR(IF(D236="","",VLOOKUP(D236,CadProd!$A:$C,3,0)),"")</f>
        <v/>
      </c>
    </row>
    <row r="237" spans="5:6" x14ac:dyDescent="0.3">
      <c r="E237" t="str">
        <f>IFERROR(IF(D237="","",VLOOKUP(D237,CadProd!$A:$B,2,0)),"")</f>
        <v/>
      </c>
      <c r="F237" t="str">
        <f>IFERROR(IF(D237="","",VLOOKUP(D237,CadProd!$A:$C,3,0)),"")</f>
        <v/>
      </c>
    </row>
    <row r="238" spans="5:6" x14ac:dyDescent="0.3">
      <c r="E238" t="str">
        <f>IFERROR(IF(D238="","",VLOOKUP(D238,CadProd!$A:$B,2,0)),"")</f>
        <v/>
      </c>
      <c r="F238" t="str">
        <f>IFERROR(IF(D238="","",VLOOKUP(D238,CadProd!$A:$C,3,0)),"")</f>
        <v/>
      </c>
    </row>
    <row r="239" spans="5:6" x14ac:dyDescent="0.3">
      <c r="E239" t="str">
        <f>IFERROR(IF(D239="","",VLOOKUP(D239,CadProd!$A:$B,2,0)),"")</f>
        <v/>
      </c>
      <c r="F239" t="str">
        <f>IFERROR(IF(D239="","",VLOOKUP(D239,CadProd!$A:$C,3,0)),"")</f>
        <v/>
      </c>
    </row>
    <row r="240" spans="5:6" x14ac:dyDescent="0.3">
      <c r="E240" t="str">
        <f>IFERROR(IF(D240="","",VLOOKUP(D240,CadProd!$A:$B,2,0)),"")</f>
        <v/>
      </c>
      <c r="F240" t="str">
        <f>IFERROR(IF(D240="","",VLOOKUP(D240,CadProd!$A:$C,3,0)),"")</f>
        <v/>
      </c>
    </row>
    <row r="241" spans="5:6" x14ac:dyDescent="0.3">
      <c r="E241" t="str">
        <f>IFERROR(IF(D241="","",VLOOKUP(D241,CadProd!$A:$B,2,0)),"")</f>
        <v/>
      </c>
      <c r="F241" t="str">
        <f>IFERROR(IF(D241="","",VLOOKUP(D241,CadProd!$A:$C,3,0)),"")</f>
        <v/>
      </c>
    </row>
    <row r="242" spans="5:6" x14ac:dyDescent="0.3">
      <c r="E242" t="str">
        <f>IFERROR(IF(D242="","",VLOOKUP(D242,CadProd!$A:$B,2,0)),"")</f>
        <v/>
      </c>
      <c r="F242" t="str">
        <f>IFERROR(IF(D242="","",VLOOKUP(D242,CadProd!$A:$C,3,0)),"")</f>
        <v/>
      </c>
    </row>
    <row r="243" spans="5:6" x14ac:dyDescent="0.3">
      <c r="E243" t="str">
        <f>IFERROR(IF(D243="","",VLOOKUP(D243,CadProd!$A:$B,2,0)),"")</f>
        <v/>
      </c>
      <c r="F243" t="str">
        <f>IFERROR(IF(D243="","",VLOOKUP(D243,CadProd!$A:$C,3,0)),"")</f>
        <v/>
      </c>
    </row>
    <row r="244" spans="5:6" x14ac:dyDescent="0.3">
      <c r="E244" t="str">
        <f>IFERROR(IF(D244="","",VLOOKUP(D244,CadProd!$A:$B,2,0)),"")</f>
        <v/>
      </c>
      <c r="F244" t="str">
        <f>IFERROR(IF(D244="","",VLOOKUP(D244,CadProd!$A:$C,3,0)),"")</f>
        <v/>
      </c>
    </row>
    <row r="245" spans="5:6" x14ac:dyDescent="0.3">
      <c r="E245" t="str">
        <f>IFERROR(IF(D245="","",VLOOKUP(D245,CadProd!$A:$B,2,0)),"")</f>
        <v/>
      </c>
      <c r="F245" t="str">
        <f>IFERROR(IF(D245="","",VLOOKUP(D245,CadProd!$A:$C,3,0)),"")</f>
        <v/>
      </c>
    </row>
    <row r="246" spans="5:6" x14ac:dyDescent="0.3">
      <c r="E246" t="str">
        <f>IFERROR(IF(D246="","",VLOOKUP(D246,CadProd!$A:$B,2,0)),"")</f>
        <v/>
      </c>
      <c r="F246" t="str">
        <f>IFERROR(IF(D246="","",VLOOKUP(D246,CadProd!$A:$C,3,0)),"")</f>
        <v/>
      </c>
    </row>
    <row r="247" spans="5:6" x14ac:dyDescent="0.3">
      <c r="E247" t="str">
        <f>IFERROR(IF(D247="","",VLOOKUP(D247,CadProd!$A:$B,2,0)),"")</f>
        <v/>
      </c>
      <c r="F247" t="str">
        <f>IFERROR(IF(D247="","",VLOOKUP(D247,CadProd!$A:$C,3,0)),"")</f>
        <v/>
      </c>
    </row>
    <row r="248" spans="5:6" x14ac:dyDescent="0.3">
      <c r="E248" t="str">
        <f>IFERROR(IF(D248="","",VLOOKUP(D248,CadProd!$A:$B,2,0)),"")</f>
        <v/>
      </c>
      <c r="F248" t="str">
        <f>IFERROR(IF(D248="","",VLOOKUP(D248,CadProd!$A:$C,3,0)),"")</f>
        <v/>
      </c>
    </row>
    <row r="249" spans="5:6" x14ac:dyDescent="0.3">
      <c r="E249" t="str">
        <f>IFERROR(IF(D249="","",VLOOKUP(D249,CadProd!$A:$B,2,0)),"")</f>
        <v/>
      </c>
      <c r="F249" t="str">
        <f>IFERROR(IF(D249="","",VLOOKUP(D249,CadProd!$A:$C,3,0)),"")</f>
        <v/>
      </c>
    </row>
    <row r="250" spans="5:6" x14ac:dyDescent="0.3">
      <c r="E250" t="str">
        <f>IFERROR(IF(D250="","",VLOOKUP(D250,CadProd!$A:$B,2,0)),"")</f>
        <v/>
      </c>
      <c r="F250" t="str">
        <f>IFERROR(IF(D250="","",VLOOKUP(D250,CadProd!$A:$C,3,0)),"")</f>
        <v/>
      </c>
    </row>
    <row r="251" spans="5:6" x14ac:dyDescent="0.3">
      <c r="E251" t="str">
        <f>IFERROR(IF(D251="","",VLOOKUP(D251,CadProd!$A:$B,2,0)),"")</f>
        <v/>
      </c>
      <c r="F251" t="str">
        <f>IFERROR(IF(D251="","",VLOOKUP(D251,CadProd!$A:$C,3,0)),"")</f>
        <v/>
      </c>
    </row>
    <row r="252" spans="5:6" x14ac:dyDescent="0.3">
      <c r="E252" t="str">
        <f>IFERROR(IF(D252="","",VLOOKUP(D252,CadProd!$A:$B,2,0)),"")</f>
        <v/>
      </c>
      <c r="F252" t="str">
        <f>IFERROR(IF(D252="","",VLOOKUP(D252,CadProd!$A:$C,3,0)),"")</f>
        <v/>
      </c>
    </row>
    <row r="253" spans="5:6" x14ac:dyDescent="0.3">
      <c r="E253" t="str">
        <f>IFERROR(IF(D253="","",VLOOKUP(D253,CadProd!$A:$B,2,0)),"")</f>
        <v/>
      </c>
      <c r="F253" t="str">
        <f>IFERROR(IF(D253="","",VLOOKUP(D253,CadProd!$A:$C,3,0)),"")</f>
        <v/>
      </c>
    </row>
    <row r="254" spans="5:6" x14ac:dyDescent="0.3">
      <c r="E254" t="str">
        <f>IFERROR(IF(D254="","",VLOOKUP(D254,CadProd!$A:$B,2,0)),"")</f>
        <v/>
      </c>
      <c r="F254" t="str">
        <f>IFERROR(IF(D254="","",VLOOKUP(D254,CadProd!$A:$C,3,0)),"")</f>
        <v/>
      </c>
    </row>
    <row r="255" spans="5:6" x14ac:dyDescent="0.3">
      <c r="E255" t="str">
        <f>IFERROR(IF(D255="","",VLOOKUP(D255,CadProd!$A:$B,2,0)),"")</f>
        <v/>
      </c>
      <c r="F255" t="str">
        <f>IFERROR(IF(D255="","",VLOOKUP(D255,CadProd!$A:$C,3,0)),"")</f>
        <v/>
      </c>
    </row>
    <row r="256" spans="5:6" x14ac:dyDescent="0.3">
      <c r="E256" t="str">
        <f>IFERROR(IF(D256="","",VLOOKUP(D256,CadProd!$A:$B,2,0)),"")</f>
        <v/>
      </c>
      <c r="F256" t="str">
        <f>IFERROR(IF(D256="","",VLOOKUP(D256,CadProd!$A:$C,3,0)),"")</f>
        <v/>
      </c>
    </row>
    <row r="257" spans="5:6" x14ac:dyDescent="0.3">
      <c r="E257" t="str">
        <f>IFERROR(IF(D257="","",VLOOKUP(D257,CadProd!$A:$B,2,0)),"")</f>
        <v/>
      </c>
      <c r="F257" t="str">
        <f>IFERROR(IF(D257="","",VLOOKUP(D257,CadProd!$A:$C,3,0)),"")</f>
        <v/>
      </c>
    </row>
    <row r="258" spans="5:6" x14ac:dyDescent="0.3">
      <c r="E258" t="str">
        <f>IFERROR(IF(D258="","",VLOOKUP(D258,CadProd!$A:$B,2,0)),"")</f>
        <v/>
      </c>
      <c r="F258" t="str">
        <f>IFERROR(IF(D258="","",VLOOKUP(D258,CadProd!$A:$C,3,0)),"")</f>
        <v/>
      </c>
    </row>
    <row r="259" spans="5:6" x14ac:dyDescent="0.3">
      <c r="E259" t="str">
        <f>IFERROR(IF(D259="","",VLOOKUP(D259,CadProd!$A:$B,2,0)),"")</f>
        <v/>
      </c>
      <c r="F259" t="str">
        <f>IFERROR(IF(D259="","",VLOOKUP(D259,CadProd!$A:$C,3,0)),"")</f>
        <v/>
      </c>
    </row>
    <row r="260" spans="5:6" x14ac:dyDescent="0.3">
      <c r="E260" t="str">
        <f>IFERROR(IF(D260="","",VLOOKUP(D260,CadProd!$A:$B,2,0)),"")</f>
        <v/>
      </c>
      <c r="F260" t="str">
        <f>IFERROR(IF(D260="","",VLOOKUP(D260,CadProd!$A:$C,3,0)),"")</f>
        <v/>
      </c>
    </row>
    <row r="261" spans="5:6" x14ac:dyDescent="0.3">
      <c r="E261" t="str">
        <f>IFERROR(IF(D261="","",VLOOKUP(D261,CadProd!$A:$B,2,0)),"")</f>
        <v/>
      </c>
      <c r="F261" t="str">
        <f>IFERROR(IF(D261="","",VLOOKUP(D261,CadProd!$A:$C,3,0)),"")</f>
        <v/>
      </c>
    </row>
    <row r="262" spans="5:6" x14ac:dyDescent="0.3">
      <c r="E262" t="str">
        <f>IFERROR(IF(D262="","",VLOOKUP(D262,CadProd!$A:$B,2,0)),"")</f>
        <v/>
      </c>
      <c r="F262" t="str">
        <f>IFERROR(IF(D262="","",VLOOKUP(D262,CadProd!$A:$C,3,0)),"")</f>
        <v/>
      </c>
    </row>
    <row r="263" spans="5:6" x14ac:dyDescent="0.3">
      <c r="E263" t="str">
        <f>IFERROR(IF(D263="","",VLOOKUP(D263,CadProd!$A:$B,2,0)),"")</f>
        <v/>
      </c>
      <c r="F263" t="str">
        <f>IFERROR(IF(D263="","",VLOOKUP(D263,CadProd!$A:$C,3,0)),"")</f>
        <v/>
      </c>
    </row>
    <row r="264" spans="5:6" x14ac:dyDescent="0.3">
      <c r="E264" t="str">
        <f>IFERROR(IF(D264="","",VLOOKUP(D264,CadProd!$A:$B,2,0)),"")</f>
        <v/>
      </c>
      <c r="F264" t="str">
        <f>IFERROR(IF(D264="","",VLOOKUP(D264,CadProd!$A:$C,3,0)),"")</f>
        <v/>
      </c>
    </row>
    <row r="265" spans="5:6" x14ac:dyDescent="0.3">
      <c r="E265" t="str">
        <f>IFERROR(IF(D265="","",VLOOKUP(D265,CadProd!$A:$B,2,0)),"")</f>
        <v/>
      </c>
      <c r="F265" t="str">
        <f>IFERROR(IF(D265="","",VLOOKUP(D265,CadProd!$A:$C,3,0)),"")</f>
        <v/>
      </c>
    </row>
    <row r="266" spans="5:6" x14ac:dyDescent="0.3">
      <c r="E266" t="str">
        <f>IFERROR(IF(D266="","",VLOOKUP(D266,CadProd!$A:$B,2,0)),"")</f>
        <v/>
      </c>
      <c r="F266" t="str">
        <f>IFERROR(IF(D266="","",VLOOKUP(D266,CadProd!$A:$C,3,0)),"")</f>
        <v/>
      </c>
    </row>
    <row r="267" spans="5:6" x14ac:dyDescent="0.3">
      <c r="E267" t="str">
        <f>IFERROR(IF(D267="","",VLOOKUP(D267,CadProd!$A:$B,2,0)),"")</f>
        <v/>
      </c>
      <c r="F267" t="str">
        <f>IFERROR(IF(D267="","",VLOOKUP(D267,CadProd!$A:$C,3,0)),"")</f>
        <v/>
      </c>
    </row>
    <row r="268" spans="5:6" x14ac:dyDescent="0.3">
      <c r="E268" t="str">
        <f>IFERROR(IF(D268="","",VLOOKUP(D268,CadProd!$A:$B,2,0)),"")</f>
        <v/>
      </c>
      <c r="F268" t="str">
        <f>IFERROR(IF(D268="","",VLOOKUP(D268,CadProd!$A:$C,3,0)),"")</f>
        <v/>
      </c>
    </row>
    <row r="269" spans="5:6" x14ac:dyDescent="0.3">
      <c r="E269" t="str">
        <f>IFERROR(IF(D269="","",VLOOKUP(D269,CadProd!$A:$B,2,0)),"")</f>
        <v/>
      </c>
      <c r="F269" t="str">
        <f>IFERROR(IF(D269="","",VLOOKUP(D269,CadProd!$A:$C,3,0)),"")</f>
        <v/>
      </c>
    </row>
    <row r="270" spans="5:6" x14ac:dyDescent="0.3">
      <c r="E270" t="str">
        <f>IFERROR(IF(D270="","",VLOOKUP(D270,CadProd!$A:$B,2,0)),"")</f>
        <v/>
      </c>
      <c r="F270" t="str">
        <f>IFERROR(IF(D270="","",VLOOKUP(D270,CadProd!$A:$C,3,0)),"")</f>
        <v/>
      </c>
    </row>
    <row r="271" spans="5:6" x14ac:dyDescent="0.3">
      <c r="E271" t="str">
        <f>IFERROR(IF(D271="","",VLOOKUP(D271,CadProd!$A:$B,2,0)),"")</f>
        <v/>
      </c>
      <c r="F271" t="str">
        <f>IFERROR(IF(D271="","",VLOOKUP(D271,CadProd!$A:$C,3,0)),"")</f>
        <v/>
      </c>
    </row>
    <row r="272" spans="5:6" x14ac:dyDescent="0.3">
      <c r="E272" t="str">
        <f>IFERROR(IF(D272="","",VLOOKUP(D272,CadProd!$A:$B,2,0)),"")</f>
        <v/>
      </c>
      <c r="F272" t="str">
        <f>IFERROR(IF(D272="","",VLOOKUP(D272,CadProd!$A:$C,3,0)),"")</f>
        <v/>
      </c>
    </row>
    <row r="273" spans="5:6" x14ac:dyDescent="0.3">
      <c r="E273" t="str">
        <f>IFERROR(IF(D273="","",VLOOKUP(D273,CadProd!$A:$B,2,0)),"")</f>
        <v/>
      </c>
      <c r="F273" t="str">
        <f>IFERROR(IF(D273="","",VLOOKUP(D273,CadProd!$A:$C,3,0)),"")</f>
        <v/>
      </c>
    </row>
    <row r="274" spans="5:6" x14ac:dyDescent="0.3">
      <c r="E274" t="str">
        <f>IFERROR(IF(D274="","",VLOOKUP(D274,CadProd!$A:$B,2,0)),"")</f>
        <v/>
      </c>
      <c r="F274" t="str">
        <f>IFERROR(IF(D274="","",VLOOKUP(D274,CadProd!$A:$C,3,0)),"")</f>
        <v/>
      </c>
    </row>
    <row r="275" spans="5:6" x14ac:dyDescent="0.3">
      <c r="E275" t="str">
        <f>IFERROR(IF(D275="","",VLOOKUP(D275,CadProd!$A:$B,2,0)),"")</f>
        <v/>
      </c>
      <c r="F275" t="str">
        <f>IFERROR(IF(D275="","",VLOOKUP(D275,CadProd!$A:$C,3,0)),"")</f>
        <v/>
      </c>
    </row>
    <row r="276" spans="5:6" x14ac:dyDescent="0.3">
      <c r="E276" t="str">
        <f>IFERROR(IF(D276="","",VLOOKUP(D276,CadProd!$A:$B,2,0)),"")</f>
        <v/>
      </c>
      <c r="F276" t="str">
        <f>IFERROR(IF(D276="","",VLOOKUP(D276,CadProd!$A:$C,3,0)),"")</f>
        <v/>
      </c>
    </row>
    <row r="277" spans="5:6" x14ac:dyDescent="0.3">
      <c r="E277" t="str">
        <f>IFERROR(IF(D277="","",VLOOKUP(D277,CadProd!$A:$B,2,0)),"")</f>
        <v/>
      </c>
      <c r="F277" t="str">
        <f>IFERROR(IF(D277="","",VLOOKUP(D277,CadProd!$A:$C,3,0)),"")</f>
        <v/>
      </c>
    </row>
    <row r="278" spans="5:6" x14ac:dyDescent="0.3">
      <c r="E278" t="str">
        <f>IFERROR(IF(D278="","",VLOOKUP(D278,CadProd!$A:$B,2,0)),"")</f>
        <v/>
      </c>
      <c r="F278" t="str">
        <f>IFERROR(IF(D278="","",VLOOKUP(D278,CadProd!$A:$C,3,0)),"")</f>
        <v/>
      </c>
    </row>
    <row r="279" spans="5:6" x14ac:dyDescent="0.3">
      <c r="E279" t="str">
        <f>IFERROR(IF(D279="","",VLOOKUP(D279,CadProd!$A:$B,2,0)),"")</f>
        <v/>
      </c>
      <c r="F279" t="str">
        <f>IFERROR(IF(D279="","",VLOOKUP(D279,CadProd!$A:$C,3,0)),"")</f>
        <v/>
      </c>
    </row>
    <row r="280" spans="5:6" x14ac:dyDescent="0.3">
      <c r="E280" t="str">
        <f>IFERROR(IF(D280="","",VLOOKUP(D280,CadProd!$A:$B,2,0)),"")</f>
        <v/>
      </c>
      <c r="F280" t="str">
        <f>IFERROR(IF(D280="","",VLOOKUP(D280,CadProd!$A:$C,3,0)),"")</f>
        <v/>
      </c>
    </row>
    <row r="281" spans="5:6" x14ac:dyDescent="0.3">
      <c r="E281" t="str">
        <f>IFERROR(IF(D281="","",VLOOKUP(D281,CadProd!$A:$B,2,0)),"")</f>
        <v/>
      </c>
      <c r="F281" t="str">
        <f>IFERROR(IF(D281="","",VLOOKUP(D281,CadProd!$A:$C,3,0)),"")</f>
        <v/>
      </c>
    </row>
    <row r="282" spans="5:6" x14ac:dyDescent="0.3">
      <c r="E282" t="str">
        <f>IFERROR(IF(D282="","",VLOOKUP(D282,CadProd!$A:$B,2,0)),"")</f>
        <v/>
      </c>
      <c r="F282" t="str">
        <f>IFERROR(IF(D282="","",VLOOKUP(D282,CadProd!$A:$C,3,0)),"")</f>
        <v/>
      </c>
    </row>
    <row r="283" spans="5:6" x14ac:dyDescent="0.3">
      <c r="E283" t="str">
        <f>IFERROR(IF(D283="","",VLOOKUP(D283,CadProd!$A:$B,2,0)),"")</f>
        <v/>
      </c>
      <c r="F283" t="str">
        <f>IFERROR(IF(D283="","",VLOOKUP(D283,CadProd!$A:$C,3,0)),"")</f>
        <v/>
      </c>
    </row>
    <row r="284" spans="5:6" x14ac:dyDescent="0.3">
      <c r="E284" t="str">
        <f>IFERROR(IF(D284="","",VLOOKUP(D284,CadProd!$A:$B,2,0)),"")</f>
        <v/>
      </c>
      <c r="F284" t="str">
        <f>IFERROR(IF(D284="","",VLOOKUP(D284,CadProd!$A:$C,3,0)),"")</f>
        <v/>
      </c>
    </row>
    <row r="285" spans="5:6" x14ac:dyDescent="0.3">
      <c r="E285" t="str">
        <f>IFERROR(IF(D285="","",VLOOKUP(D285,CadProd!$A:$B,2,0)),"")</f>
        <v/>
      </c>
      <c r="F285" t="str">
        <f>IFERROR(IF(D285="","",VLOOKUP(D285,CadProd!$A:$C,3,0)),"")</f>
        <v/>
      </c>
    </row>
    <row r="286" spans="5:6" x14ac:dyDescent="0.3">
      <c r="E286" t="str">
        <f>IFERROR(IF(D286="","",VLOOKUP(D286,CadProd!$A:$B,2,0)),"")</f>
        <v/>
      </c>
      <c r="F286" t="str">
        <f>IFERROR(IF(D286="","",VLOOKUP(D286,CadProd!$A:$C,3,0)),"")</f>
        <v/>
      </c>
    </row>
    <row r="287" spans="5:6" x14ac:dyDescent="0.3">
      <c r="E287" t="str">
        <f>IFERROR(IF(D287="","",VLOOKUP(D287,CadProd!$A:$B,2,0)),"")</f>
        <v/>
      </c>
      <c r="F287" t="str">
        <f>IFERROR(IF(D287="","",VLOOKUP(D287,CadProd!$A:$C,3,0)),"")</f>
        <v/>
      </c>
    </row>
    <row r="288" spans="5:6" x14ac:dyDescent="0.3">
      <c r="E288" t="str">
        <f>IFERROR(IF(D288="","",VLOOKUP(D288,CadProd!$A:$B,2,0)),"")</f>
        <v/>
      </c>
      <c r="F288" t="str">
        <f>IFERROR(IF(D288="","",VLOOKUP(D288,CadProd!$A:$C,3,0)),"")</f>
        <v/>
      </c>
    </row>
    <row r="289" spans="5:6" x14ac:dyDescent="0.3">
      <c r="E289" t="str">
        <f>IFERROR(IF(D289="","",VLOOKUP(D289,CadProd!$A:$B,2,0)),"")</f>
        <v/>
      </c>
      <c r="F289" t="str">
        <f>IFERROR(IF(D289="","",VLOOKUP(D289,CadProd!$A:$C,3,0)),"")</f>
        <v/>
      </c>
    </row>
    <row r="290" spans="5:6" x14ac:dyDescent="0.3">
      <c r="E290" t="str">
        <f>IFERROR(IF(D290="","",VLOOKUP(D290,CadProd!$A:$B,2,0)),"")</f>
        <v/>
      </c>
      <c r="F290" t="str">
        <f>IFERROR(IF(D290="","",VLOOKUP(D290,CadProd!$A:$C,3,0)),"")</f>
        <v/>
      </c>
    </row>
    <row r="291" spans="5:6" x14ac:dyDescent="0.3">
      <c r="E291" t="str">
        <f>IFERROR(IF(D291="","",VLOOKUP(D291,CadProd!$A:$B,2,0)),"")</f>
        <v/>
      </c>
      <c r="F291" t="str">
        <f>IFERROR(IF(D291="","",VLOOKUP(D291,CadProd!$A:$C,3,0)),"")</f>
        <v/>
      </c>
    </row>
    <row r="292" spans="5:6" x14ac:dyDescent="0.3">
      <c r="E292" t="str">
        <f>IFERROR(IF(D292="","",VLOOKUP(D292,CadProd!$A:$B,2,0)),"")</f>
        <v/>
      </c>
      <c r="F292" t="str">
        <f>IFERROR(IF(D292="","",VLOOKUP(D292,CadProd!$A:$C,3,0)),"")</f>
        <v/>
      </c>
    </row>
    <row r="293" spans="5:6" x14ac:dyDescent="0.3">
      <c r="E293" t="str">
        <f>IFERROR(IF(D293="","",VLOOKUP(D293,CadProd!$A:$B,2,0)),"")</f>
        <v/>
      </c>
      <c r="F293" t="str">
        <f>IFERROR(IF(D293="","",VLOOKUP(D293,CadProd!$A:$C,3,0)),"")</f>
        <v/>
      </c>
    </row>
    <row r="294" spans="5:6" x14ac:dyDescent="0.3">
      <c r="E294" t="str">
        <f>IFERROR(IF(D294="","",VLOOKUP(D294,CadProd!$A:$B,2,0)),"")</f>
        <v/>
      </c>
      <c r="F294" t="str">
        <f>IFERROR(IF(D294="","",VLOOKUP(D294,CadProd!$A:$C,3,0)),"")</f>
        <v/>
      </c>
    </row>
    <row r="295" spans="5:6" x14ac:dyDescent="0.3">
      <c r="E295" t="str">
        <f>IFERROR(IF(D295="","",VLOOKUP(D295,CadProd!$A:$B,2,0)),"")</f>
        <v/>
      </c>
      <c r="F295" t="str">
        <f>IFERROR(IF(D295="","",VLOOKUP(D295,CadProd!$A:$C,3,0)),"")</f>
        <v/>
      </c>
    </row>
    <row r="296" spans="5:6" x14ac:dyDescent="0.3">
      <c r="E296" t="str">
        <f>IFERROR(IF(D296="","",VLOOKUP(D296,CadProd!$A:$B,2,0)),"")</f>
        <v/>
      </c>
      <c r="F296" t="str">
        <f>IFERROR(IF(D296="","",VLOOKUP(D296,CadProd!$A:$C,3,0)),"")</f>
        <v/>
      </c>
    </row>
    <row r="297" spans="5:6" x14ac:dyDescent="0.3">
      <c r="E297" t="str">
        <f>IFERROR(IF(D297="","",VLOOKUP(D297,CadProd!$A:$B,2,0)),"")</f>
        <v/>
      </c>
      <c r="F297" t="str">
        <f>IFERROR(IF(D297="","",VLOOKUP(D297,CadProd!$A:$C,3,0)),"")</f>
        <v/>
      </c>
    </row>
    <row r="298" spans="5:6" x14ac:dyDescent="0.3">
      <c r="E298" t="str">
        <f>IFERROR(IF(D298="","",VLOOKUP(D298,CadProd!$A:$B,2,0)),"")</f>
        <v/>
      </c>
      <c r="F298" t="str">
        <f>IFERROR(IF(D298="","",VLOOKUP(D298,CadProd!$A:$C,3,0)),"")</f>
        <v/>
      </c>
    </row>
    <row r="299" spans="5:6" x14ac:dyDescent="0.3">
      <c r="E299" t="str">
        <f>IFERROR(IF(D299="","",VLOOKUP(D299,CadProd!$A:$B,2,0)),"")</f>
        <v/>
      </c>
      <c r="F299" t="str">
        <f>IFERROR(IF(D299="","",VLOOKUP(D299,CadProd!$A:$C,3,0)),"")</f>
        <v/>
      </c>
    </row>
    <row r="300" spans="5:6" x14ac:dyDescent="0.3">
      <c r="E300" t="str">
        <f>IFERROR(IF(D300="","",VLOOKUP(D300,CadProd!$A:$B,2,0)),"")</f>
        <v/>
      </c>
      <c r="F300" t="str">
        <f>IFERROR(IF(D300="","",VLOOKUP(D300,CadProd!$A:$C,3,0)),"")</f>
        <v/>
      </c>
    </row>
    <row r="301" spans="5:6" x14ac:dyDescent="0.3">
      <c r="E301" t="str">
        <f>IFERROR(IF(D301="","",VLOOKUP(D301,CadProd!$A:$B,2,0)),"")</f>
        <v/>
      </c>
      <c r="F301" t="str">
        <f>IFERROR(IF(D301="","",VLOOKUP(D301,CadProd!$A:$C,3,0)),"")</f>
        <v/>
      </c>
    </row>
    <row r="302" spans="5:6" x14ac:dyDescent="0.3">
      <c r="E302" t="str">
        <f>IFERROR(IF(D302="","",VLOOKUP(D302,CadProd!$A:$B,2,0)),"")</f>
        <v/>
      </c>
      <c r="F302" t="str">
        <f>IFERROR(IF(D302="","",VLOOKUP(D302,CadProd!$A:$C,3,0)),"")</f>
        <v/>
      </c>
    </row>
    <row r="303" spans="5:6" x14ac:dyDescent="0.3">
      <c r="E303" t="str">
        <f>IFERROR(IF(D303="","",VLOOKUP(D303,CadProd!$A:$B,2,0)),"")</f>
        <v/>
      </c>
      <c r="F303" t="str">
        <f>IFERROR(IF(D303="","",VLOOKUP(D303,CadProd!$A:$C,3,0)),"")</f>
        <v/>
      </c>
    </row>
    <row r="304" spans="5:6" x14ac:dyDescent="0.3">
      <c r="E304" t="str">
        <f>IFERROR(IF(D304="","",VLOOKUP(D304,CadProd!$A:$B,2,0)),"")</f>
        <v/>
      </c>
      <c r="F304" t="str">
        <f>IFERROR(IF(D304="","",VLOOKUP(D304,CadProd!$A:$C,3,0)),"")</f>
        <v/>
      </c>
    </row>
    <row r="305" spans="5:6" x14ac:dyDescent="0.3">
      <c r="E305" t="str">
        <f>IFERROR(IF(D305="","",VLOOKUP(D305,CadProd!$A:$B,2,0)),"")</f>
        <v/>
      </c>
      <c r="F305" t="str">
        <f>IFERROR(IF(D305="","",VLOOKUP(D305,CadProd!$A:$C,3,0)),"")</f>
        <v/>
      </c>
    </row>
    <row r="306" spans="5:6" x14ac:dyDescent="0.3">
      <c r="E306" t="str">
        <f>IFERROR(IF(D306="","",VLOOKUP(D306,CadProd!$A:$B,2,0)),"")</f>
        <v/>
      </c>
      <c r="F306" t="str">
        <f>IFERROR(IF(D306="","",VLOOKUP(D306,CadProd!$A:$C,3,0)),"")</f>
        <v/>
      </c>
    </row>
    <row r="307" spans="5:6" x14ac:dyDescent="0.3">
      <c r="E307" t="str">
        <f>IFERROR(IF(D307="","",VLOOKUP(D307,CadProd!$A:$B,2,0)),"")</f>
        <v/>
      </c>
      <c r="F307" t="str">
        <f>IFERROR(IF(D307="","",VLOOKUP(D307,CadProd!$A:$C,3,0)),"")</f>
        <v/>
      </c>
    </row>
    <row r="308" spans="5:6" x14ac:dyDescent="0.3">
      <c r="E308" t="str">
        <f>IFERROR(IF(D308="","",VLOOKUP(D308,CadProd!$A:$B,2,0)),"")</f>
        <v/>
      </c>
      <c r="F308" t="str">
        <f>IFERROR(IF(D308="","",VLOOKUP(D308,CadProd!$A:$C,3,0)),"")</f>
        <v/>
      </c>
    </row>
    <row r="309" spans="5:6" x14ac:dyDescent="0.3">
      <c r="E309" t="str">
        <f>IFERROR(IF(D309="","",VLOOKUP(D309,CadProd!$A:$B,2,0)),"")</f>
        <v/>
      </c>
      <c r="F309" t="str">
        <f>IFERROR(IF(D309="","",VLOOKUP(D309,CadProd!$A:$C,3,0)),"")</f>
        <v/>
      </c>
    </row>
    <row r="310" spans="5:6" x14ac:dyDescent="0.3">
      <c r="E310" t="str">
        <f>IFERROR(IF(D310="","",VLOOKUP(D310,CadProd!$A:$B,2,0)),"")</f>
        <v/>
      </c>
      <c r="F310" t="str">
        <f>IFERROR(IF(D310="","",VLOOKUP(D310,CadProd!$A:$C,3,0)),"")</f>
        <v/>
      </c>
    </row>
    <row r="311" spans="5:6" x14ac:dyDescent="0.3">
      <c r="E311" t="str">
        <f>IFERROR(IF(D311="","",VLOOKUP(D311,CadProd!$A:$B,2,0)),"")</f>
        <v/>
      </c>
      <c r="F311" t="str">
        <f>IFERROR(IF(D311="","",VLOOKUP(D311,CadProd!$A:$C,3,0)),"")</f>
        <v/>
      </c>
    </row>
    <row r="312" spans="5:6" x14ac:dyDescent="0.3">
      <c r="E312" t="str">
        <f>IFERROR(IF(D312="","",VLOOKUP(D312,CadProd!$A:$B,2,0)),"")</f>
        <v/>
      </c>
      <c r="F312" t="str">
        <f>IFERROR(IF(D312="","",VLOOKUP(D312,CadProd!$A:$C,3,0)),"")</f>
        <v/>
      </c>
    </row>
    <row r="313" spans="5:6" x14ac:dyDescent="0.3">
      <c r="E313" t="str">
        <f>IFERROR(IF(D313="","",VLOOKUP(D313,CadProd!$A:$B,2,0)),"")</f>
        <v/>
      </c>
      <c r="F313" t="str">
        <f>IFERROR(IF(D313="","",VLOOKUP(D313,CadProd!$A:$C,3,0)),"")</f>
        <v/>
      </c>
    </row>
    <row r="314" spans="5:6" x14ac:dyDescent="0.3">
      <c r="E314" t="str">
        <f>IFERROR(IF(D314="","",VLOOKUP(D314,CadProd!$A:$B,2,0)),"")</f>
        <v/>
      </c>
      <c r="F314" t="str">
        <f>IFERROR(IF(D314="","",VLOOKUP(D314,CadProd!$A:$C,3,0)),"")</f>
        <v/>
      </c>
    </row>
    <row r="315" spans="5:6" x14ac:dyDescent="0.3">
      <c r="E315" t="str">
        <f>IFERROR(IF(D315="","",VLOOKUP(D315,CadProd!$A:$B,2,0)),"")</f>
        <v/>
      </c>
      <c r="F315" t="str">
        <f>IFERROR(IF(D315="","",VLOOKUP(D315,CadProd!$A:$C,3,0)),"")</f>
        <v/>
      </c>
    </row>
    <row r="316" spans="5:6" x14ac:dyDescent="0.3">
      <c r="E316" t="str">
        <f>IFERROR(IF(D316="","",VLOOKUP(D316,CadProd!$A:$B,2,0)),"")</f>
        <v/>
      </c>
      <c r="F316" t="str">
        <f>IFERROR(IF(D316="","",VLOOKUP(D316,CadProd!$A:$C,3,0)),"")</f>
        <v/>
      </c>
    </row>
    <row r="317" spans="5:6" x14ac:dyDescent="0.3">
      <c r="E317" t="str">
        <f>IFERROR(IF(D317="","",VLOOKUP(D317,CadProd!$A:$B,2,0)),"")</f>
        <v/>
      </c>
      <c r="F317" t="str">
        <f>IFERROR(IF(D317="","",VLOOKUP(D317,CadProd!$A:$C,3,0)),"")</f>
        <v/>
      </c>
    </row>
    <row r="318" spans="5:6" x14ac:dyDescent="0.3">
      <c r="E318" t="str">
        <f>IFERROR(IF(D318="","",VLOOKUP(D318,CadProd!$A:$B,2,0)),"")</f>
        <v/>
      </c>
      <c r="F318" t="str">
        <f>IFERROR(IF(D318="","",VLOOKUP(D318,CadProd!$A:$C,3,0)),"")</f>
        <v/>
      </c>
    </row>
    <row r="319" spans="5:6" x14ac:dyDescent="0.3">
      <c r="E319" t="str">
        <f>IFERROR(IF(D319="","",VLOOKUP(D319,CadProd!$A:$B,2,0)),"")</f>
        <v/>
      </c>
      <c r="F319" t="str">
        <f>IFERROR(IF(D319="","",VLOOKUP(D319,CadProd!$A:$C,3,0)),"")</f>
        <v/>
      </c>
    </row>
    <row r="320" spans="5:6" x14ac:dyDescent="0.3">
      <c r="E320" t="str">
        <f>IFERROR(IF(D320="","",VLOOKUP(D320,CadProd!$A:$B,2,0)),"")</f>
        <v/>
      </c>
      <c r="F320" t="str">
        <f>IFERROR(IF(D320="","",VLOOKUP(D320,CadProd!$A:$C,3,0)),"")</f>
        <v/>
      </c>
    </row>
    <row r="321" spans="5:6" x14ac:dyDescent="0.3">
      <c r="E321" t="str">
        <f>IFERROR(IF(D321="","",VLOOKUP(D321,CadProd!$A:$B,2,0)),"")</f>
        <v/>
      </c>
      <c r="F321" t="str">
        <f>IFERROR(IF(D321="","",VLOOKUP(D321,CadProd!$A:$C,3,0)),"")</f>
        <v/>
      </c>
    </row>
    <row r="322" spans="5:6" x14ac:dyDescent="0.3">
      <c r="E322" t="str">
        <f>IFERROR(IF(D322="","",VLOOKUP(D322,CadProd!$A:$B,2,0)),"")</f>
        <v/>
      </c>
      <c r="F322" t="str">
        <f>IFERROR(IF(D322="","",VLOOKUP(D322,CadProd!$A:$C,3,0)),"")</f>
        <v/>
      </c>
    </row>
    <row r="323" spans="5:6" x14ac:dyDescent="0.3">
      <c r="E323" t="str">
        <f>IFERROR(IF(D323="","",VLOOKUP(D323,CadProd!$A:$B,2,0)),"")</f>
        <v/>
      </c>
      <c r="F323" t="str">
        <f>IFERROR(IF(D323="","",VLOOKUP(D323,CadProd!$A:$C,3,0)),"")</f>
        <v/>
      </c>
    </row>
    <row r="324" spans="5:6" x14ac:dyDescent="0.3">
      <c r="E324" t="str">
        <f>IFERROR(IF(D324="","",VLOOKUP(D324,CadProd!$A:$B,2,0)),"")</f>
        <v/>
      </c>
      <c r="F324" t="str">
        <f>IFERROR(IF(D324="","",VLOOKUP(D324,CadProd!$A:$C,3,0)),"")</f>
        <v/>
      </c>
    </row>
    <row r="325" spans="5:6" x14ac:dyDescent="0.3">
      <c r="E325" t="str">
        <f>IFERROR(IF(D325="","",VLOOKUP(D325,CadProd!$A:$B,2,0)),"")</f>
        <v/>
      </c>
      <c r="F325" t="str">
        <f>IFERROR(IF(D325="","",VLOOKUP(D325,CadProd!$A:$C,3,0)),"")</f>
        <v/>
      </c>
    </row>
    <row r="326" spans="5:6" x14ac:dyDescent="0.3">
      <c r="E326" t="str">
        <f>IFERROR(IF(D326="","",VLOOKUP(D326,CadProd!$A:$B,2,0)),"")</f>
        <v/>
      </c>
      <c r="F326" t="str">
        <f>IFERROR(IF(D326="","",VLOOKUP(D326,CadProd!$A:$C,3,0)),"")</f>
        <v/>
      </c>
    </row>
    <row r="327" spans="5:6" x14ac:dyDescent="0.3">
      <c r="E327" t="str">
        <f>IFERROR(IF(D327="","",VLOOKUP(D327,CadProd!$A:$B,2,0)),"")</f>
        <v/>
      </c>
      <c r="F327" t="str">
        <f>IFERROR(IF(D327="","",VLOOKUP(D327,CadProd!$A:$C,3,0)),"")</f>
        <v/>
      </c>
    </row>
    <row r="328" spans="5:6" x14ac:dyDescent="0.3">
      <c r="E328" t="str">
        <f>IFERROR(IF(D328="","",VLOOKUP(D328,CadProd!$A:$B,2,0)),"")</f>
        <v/>
      </c>
      <c r="F328" t="str">
        <f>IFERROR(IF(D328="","",VLOOKUP(D328,CadProd!$A:$C,3,0)),"")</f>
        <v/>
      </c>
    </row>
    <row r="329" spans="5:6" x14ac:dyDescent="0.3">
      <c r="E329" t="str">
        <f>IFERROR(IF(D329="","",VLOOKUP(D329,CadProd!$A:$B,2,0)),"")</f>
        <v/>
      </c>
      <c r="F329" t="str">
        <f>IFERROR(IF(D329="","",VLOOKUP(D329,CadProd!$A:$C,3,0)),"")</f>
        <v/>
      </c>
    </row>
    <row r="330" spans="5:6" x14ac:dyDescent="0.3">
      <c r="E330" t="str">
        <f>IFERROR(IF(D330="","",VLOOKUP(D330,CadProd!$A:$B,2,0)),"")</f>
        <v/>
      </c>
      <c r="F330" t="str">
        <f>IFERROR(IF(D330="","",VLOOKUP(D330,CadProd!$A:$C,3,0)),"")</f>
        <v/>
      </c>
    </row>
    <row r="331" spans="5:6" x14ac:dyDescent="0.3">
      <c r="E331" t="str">
        <f>IFERROR(IF(D331="","",VLOOKUP(D331,CadProd!$A:$B,2,0)),"")</f>
        <v/>
      </c>
      <c r="F331" t="str">
        <f>IFERROR(IF(D331="","",VLOOKUP(D331,CadProd!$A:$C,3,0)),"")</f>
        <v/>
      </c>
    </row>
    <row r="332" spans="5:6" x14ac:dyDescent="0.3">
      <c r="E332" t="str">
        <f>IFERROR(IF(D332="","",VLOOKUP(D332,CadProd!$A:$B,2,0)),"")</f>
        <v/>
      </c>
      <c r="F332" t="str">
        <f>IFERROR(IF(D332="","",VLOOKUP(D332,CadProd!$A:$C,3,0)),"")</f>
        <v/>
      </c>
    </row>
    <row r="333" spans="5:6" x14ac:dyDescent="0.3">
      <c r="E333" t="str">
        <f>IFERROR(IF(D333="","",VLOOKUP(D333,CadProd!$A:$B,2,0)),"")</f>
        <v/>
      </c>
      <c r="F333" t="str">
        <f>IFERROR(IF(D333="","",VLOOKUP(D333,CadProd!$A:$C,3,0)),"")</f>
        <v/>
      </c>
    </row>
    <row r="334" spans="5:6" x14ac:dyDescent="0.3">
      <c r="E334" t="str">
        <f>IFERROR(IF(D334="","",VLOOKUP(D334,CadProd!$A:$B,2,0)),"")</f>
        <v/>
      </c>
      <c r="F334" t="str">
        <f>IFERROR(IF(D334="","",VLOOKUP(D334,CadProd!$A:$C,3,0)),"")</f>
        <v/>
      </c>
    </row>
    <row r="335" spans="5:6" x14ac:dyDescent="0.3">
      <c r="E335" t="str">
        <f>IFERROR(IF(D335="","",VLOOKUP(D335,CadProd!$A:$B,2,0)),"")</f>
        <v/>
      </c>
      <c r="F335" t="str">
        <f>IFERROR(IF(D335="","",VLOOKUP(D335,CadProd!$A:$C,3,0)),"")</f>
        <v/>
      </c>
    </row>
    <row r="336" spans="5:6" x14ac:dyDescent="0.3">
      <c r="E336" t="str">
        <f>IFERROR(IF(D336="","",VLOOKUP(D336,CadProd!$A:$B,2,0)),"")</f>
        <v/>
      </c>
      <c r="F336" t="str">
        <f>IFERROR(IF(D336="","",VLOOKUP(D336,CadProd!$A:$C,3,0)),"")</f>
        <v/>
      </c>
    </row>
    <row r="337" spans="5:6" x14ac:dyDescent="0.3">
      <c r="E337" t="str">
        <f>IFERROR(IF(D337="","",VLOOKUP(D337,CadProd!$A:$B,2,0)),"")</f>
        <v/>
      </c>
      <c r="F337" t="str">
        <f>IFERROR(IF(D337="","",VLOOKUP(D337,CadProd!$A:$C,3,0)),"")</f>
        <v/>
      </c>
    </row>
    <row r="338" spans="5:6" x14ac:dyDescent="0.3">
      <c r="E338" t="str">
        <f>IFERROR(IF(D338="","",VLOOKUP(D338,CadProd!$A:$B,2,0)),"")</f>
        <v/>
      </c>
      <c r="F338" t="str">
        <f>IFERROR(IF(D338="","",VLOOKUP(D338,CadProd!$A:$C,3,0)),"")</f>
        <v/>
      </c>
    </row>
    <row r="339" spans="5:6" x14ac:dyDescent="0.3">
      <c r="E339" t="str">
        <f>IFERROR(IF(D339="","",VLOOKUP(D339,CadProd!$A:$B,2,0)),"")</f>
        <v/>
      </c>
      <c r="F339" t="str">
        <f>IFERROR(IF(D339="","",VLOOKUP(D339,CadProd!$A:$C,3,0)),"")</f>
        <v/>
      </c>
    </row>
    <row r="340" spans="5:6" x14ac:dyDescent="0.3">
      <c r="E340" t="str">
        <f>IFERROR(IF(D340="","",VLOOKUP(D340,CadProd!$A:$B,2,0)),"")</f>
        <v/>
      </c>
      <c r="F340" t="str">
        <f>IFERROR(IF(D340="","",VLOOKUP(D340,CadProd!$A:$C,3,0)),"")</f>
        <v/>
      </c>
    </row>
    <row r="341" spans="5:6" x14ac:dyDescent="0.3">
      <c r="E341" t="str">
        <f>IFERROR(IF(D341="","",VLOOKUP(D341,CadProd!$A:$B,2,0)),"")</f>
        <v/>
      </c>
      <c r="F341" t="str">
        <f>IFERROR(IF(D341="","",VLOOKUP(D341,CadProd!$A:$C,3,0)),"")</f>
        <v/>
      </c>
    </row>
    <row r="342" spans="5:6" x14ac:dyDescent="0.3">
      <c r="E342" t="str">
        <f>IFERROR(IF(D342="","",VLOOKUP(D342,CadProd!$A:$B,2,0)),"")</f>
        <v/>
      </c>
      <c r="F342" t="str">
        <f>IFERROR(IF(D342="","",VLOOKUP(D342,CadProd!$A:$C,3,0)),"")</f>
        <v/>
      </c>
    </row>
    <row r="343" spans="5:6" x14ac:dyDescent="0.3">
      <c r="E343" t="str">
        <f>IFERROR(IF(D343="","",VLOOKUP(D343,CadProd!$A:$B,2,0)),"")</f>
        <v/>
      </c>
      <c r="F343" t="str">
        <f>IFERROR(IF(D343="","",VLOOKUP(D343,CadProd!$A:$C,3,0)),"")</f>
        <v/>
      </c>
    </row>
    <row r="344" spans="5:6" x14ac:dyDescent="0.3">
      <c r="E344" t="str">
        <f>IFERROR(IF(D344="","",VLOOKUP(D344,CadProd!$A:$B,2,0)),"")</f>
        <v/>
      </c>
      <c r="F344" t="str">
        <f>IFERROR(IF(D344="","",VLOOKUP(D344,CadProd!$A:$C,3,0)),"")</f>
        <v/>
      </c>
    </row>
    <row r="345" spans="5:6" x14ac:dyDescent="0.3">
      <c r="E345" t="str">
        <f>IFERROR(IF(D345="","",VLOOKUP(D345,CadProd!$A:$B,2,0)),"")</f>
        <v/>
      </c>
      <c r="F345" t="str">
        <f>IFERROR(IF(D345="","",VLOOKUP(D345,CadProd!$A:$C,3,0)),"")</f>
        <v/>
      </c>
    </row>
    <row r="346" spans="5:6" x14ac:dyDescent="0.3">
      <c r="E346" t="str">
        <f>IFERROR(IF(D346="","",VLOOKUP(D346,CadProd!$A:$B,2,0)),"")</f>
        <v/>
      </c>
      <c r="F346" t="str">
        <f>IFERROR(IF(D346="","",VLOOKUP(D346,CadProd!$A:$C,3,0)),"")</f>
        <v/>
      </c>
    </row>
    <row r="347" spans="5:6" x14ac:dyDescent="0.3">
      <c r="E347" t="str">
        <f>IFERROR(IF(D347="","",VLOOKUP(D347,CadProd!$A:$B,2,0)),"")</f>
        <v/>
      </c>
      <c r="F347" t="str">
        <f>IFERROR(IF(D347="","",VLOOKUP(D347,CadProd!$A:$C,3,0)),"")</f>
        <v/>
      </c>
    </row>
    <row r="348" spans="5:6" x14ac:dyDescent="0.3">
      <c r="E348" t="str">
        <f>IFERROR(IF(D348="","",VLOOKUP(D348,CadProd!$A:$B,2,0)),"")</f>
        <v/>
      </c>
      <c r="F348" t="str">
        <f>IFERROR(IF(D348="","",VLOOKUP(D348,CadProd!$A:$C,3,0)),"")</f>
        <v/>
      </c>
    </row>
    <row r="349" spans="5:6" x14ac:dyDescent="0.3">
      <c r="E349" t="str">
        <f>IFERROR(IF(D349="","",VLOOKUP(D349,CadProd!$A:$B,2,0)),"")</f>
        <v/>
      </c>
      <c r="F349" t="str">
        <f>IFERROR(IF(D349="","",VLOOKUP(D349,CadProd!$A:$C,3,0)),"")</f>
        <v/>
      </c>
    </row>
    <row r="350" spans="5:6" x14ac:dyDescent="0.3">
      <c r="E350" t="str">
        <f>IFERROR(IF(D350="","",VLOOKUP(D350,CadProd!$A:$B,2,0)),"")</f>
        <v/>
      </c>
      <c r="F350" t="str">
        <f>IFERROR(IF(D350="","",VLOOKUP(D350,CadProd!$A:$C,3,0)),"")</f>
        <v/>
      </c>
    </row>
    <row r="351" spans="5:6" x14ac:dyDescent="0.3">
      <c r="E351" t="str">
        <f>IFERROR(IF(D351="","",VLOOKUP(D351,CadProd!$A:$B,2,0)),"")</f>
        <v/>
      </c>
      <c r="F351" t="str">
        <f>IFERROR(IF(D351="","",VLOOKUP(D351,CadProd!$A:$C,3,0)),"")</f>
        <v/>
      </c>
    </row>
    <row r="352" spans="5:6" x14ac:dyDescent="0.3">
      <c r="E352" t="str">
        <f>IFERROR(IF(D352="","",VLOOKUP(D352,CadProd!$A:$B,2,0)),"")</f>
        <v/>
      </c>
      <c r="F352" t="str">
        <f>IFERROR(IF(D352="","",VLOOKUP(D352,CadProd!$A:$C,3,0)),"")</f>
        <v/>
      </c>
    </row>
    <row r="353" spans="5:6" x14ac:dyDescent="0.3">
      <c r="E353" t="str">
        <f>IFERROR(IF(D353="","",VLOOKUP(D353,CadProd!$A:$B,2,0)),"")</f>
        <v/>
      </c>
      <c r="F353" t="str">
        <f>IFERROR(IF(D353="","",VLOOKUP(D353,CadProd!$A:$C,3,0)),"")</f>
        <v/>
      </c>
    </row>
    <row r="354" spans="5:6" x14ac:dyDescent="0.3">
      <c r="E354" t="str">
        <f>IFERROR(IF(D354="","",VLOOKUP(D354,CadProd!$A:$B,2,0)),"")</f>
        <v/>
      </c>
      <c r="F354" t="str">
        <f>IFERROR(IF(D354="","",VLOOKUP(D354,CadProd!$A:$C,3,0)),"")</f>
        <v/>
      </c>
    </row>
    <row r="355" spans="5:6" x14ac:dyDescent="0.3">
      <c r="E355" t="str">
        <f>IFERROR(IF(D355="","",VLOOKUP(D355,CadProd!$A:$B,2,0)),"")</f>
        <v/>
      </c>
      <c r="F355" t="str">
        <f>IFERROR(IF(D355="","",VLOOKUP(D355,CadProd!$A:$C,3,0)),"")</f>
        <v/>
      </c>
    </row>
    <row r="356" spans="5:6" x14ac:dyDescent="0.3">
      <c r="E356" t="str">
        <f>IFERROR(IF(D356="","",VLOOKUP(D356,CadProd!$A:$B,2,0)),"")</f>
        <v/>
      </c>
      <c r="F356" t="str">
        <f>IFERROR(IF(D356="","",VLOOKUP(D356,CadProd!$A:$C,3,0)),"")</f>
        <v/>
      </c>
    </row>
    <row r="357" spans="5:6" x14ac:dyDescent="0.3">
      <c r="E357" t="str">
        <f>IFERROR(IF(D357="","",VLOOKUP(D357,CadProd!$A:$B,2,0)),"")</f>
        <v/>
      </c>
      <c r="F357" t="str">
        <f>IFERROR(IF(D357="","",VLOOKUP(D357,CadProd!$A:$C,3,0)),"")</f>
        <v/>
      </c>
    </row>
    <row r="358" spans="5:6" x14ac:dyDescent="0.3">
      <c r="E358" t="str">
        <f>IFERROR(IF(D358="","",VLOOKUP(D358,CadProd!$A:$B,2,0)),"")</f>
        <v/>
      </c>
      <c r="F358" t="str">
        <f>IFERROR(IF(D358="","",VLOOKUP(D358,CadProd!$A:$C,3,0)),"")</f>
        <v/>
      </c>
    </row>
    <row r="359" spans="5:6" x14ac:dyDescent="0.3">
      <c r="E359" t="str">
        <f>IFERROR(IF(D359="","",VLOOKUP(D359,CadProd!$A:$B,2,0)),"")</f>
        <v/>
      </c>
      <c r="F359" t="str">
        <f>IFERROR(IF(D359="","",VLOOKUP(D359,CadProd!$A:$C,3,0)),"")</f>
        <v/>
      </c>
    </row>
    <row r="360" spans="5:6" x14ac:dyDescent="0.3">
      <c r="E360" t="str">
        <f>IFERROR(IF(D360="","",VLOOKUP(D360,CadProd!$A:$B,2,0)),"")</f>
        <v/>
      </c>
      <c r="F360" t="str">
        <f>IFERROR(IF(D360="","",VLOOKUP(D360,CadProd!$A:$C,3,0)),"")</f>
        <v/>
      </c>
    </row>
    <row r="361" spans="5:6" x14ac:dyDescent="0.3">
      <c r="E361" t="str">
        <f>IFERROR(IF(D361="","",VLOOKUP(D361,CadProd!$A:$B,2,0)),"")</f>
        <v/>
      </c>
      <c r="F361" t="str">
        <f>IFERROR(IF(D361="","",VLOOKUP(D361,CadProd!$A:$C,3,0)),"")</f>
        <v/>
      </c>
    </row>
    <row r="362" spans="5:6" x14ac:dyDescent="0.3">
      <c r="E362" t="str">
        <f>IFERROR(IF(D362="","",VLOOKUP(D362,CadProd!$A:$B,2,0)),"")</f>
        <v/>
      </c>
      <c r="F362" t="str">
        <f>IFERROR(IF(D362="","",VLOOKUP(D362,CadProd!$A:$C,3,0)),"")</f>
        <v/>
      </c>
    </row>
    <row r="363" spans="5:6" x14ac:dyDescent="0.3">
      <c r="E363" t="str">
        <f>IFERROR(IF(D363="","",VLOOKUP(D363,CadProd!$A:$B,2,0)),"")</f>
        <v/>
      </c>
      <c r="F363" t="str">
        <f>IFERROR(IF(D363="","",VLOOKUP(D363,CadProd!$A:$C,3,0)),"")</f>
        <v/>
      </c>
    </row>
    <row r="364" spans="5:6" x14ac:dyDescent="0.3">
      <c r="E364" t="str">
        <f>IFERROR(IF(D364="","",VLOOKUP(D364,CadProd!$A:$B,2,0)),"")</f>
        <v/>
      </c>
      <c r="F364" t="str">
        <f>IFERROR(IF(D364="","",VLOOKUP(D364,CadProd!$A:$C,3,0)),"")</f>
        <v/>
      </c>
    </row>
    <row r="365" spans="5:6" x14ac:dyDescent="0.3">
      <c r="E365" t="str">
        <f>IFERROR(IF(D365="","",VLOOKUP(D365,CadProd!$A:$B,2,0)),"")</f>
        <v/>
      </c>
      <c r="F365" t="str">
        <f>IFERROR(IF(D365="","",VLOOKUP(D365,CadProd!$A:$C,3,0)),"")</f>
        <v/>
      </c>
    </row>
    <row r="366" spans="5:6" x14ac:dyDescent="0.3">
      <c r="E366" t="str">
        <f>IFERROR(IF(D366="","",VLOOKUP(D366,CadProd!$A:$B,2,0)),"")</f>
        <v/>
      </c>
      <c r="F366" t="str">
        <f>IFERROR(IF(D366="","",VLOOKUP(D366,CadProd!$A:$C,3,0)),"")</f>
        <v/>
      </c>
    </row>
    <row r="367" spans="5:6" x14ac:dyDescent="0.3">
      <c r="E367" t="str">
        <f>IFERROR(IF(D367="","",VLOOKUP(D367,CadProd!$A:$B,2,0)),"")</f>
        <v/>
      </c>
      <c r="F367" t="str">
        <f>IFERROR(IF(D367="","",VLOOKUP(D367,CadProd!$A:$C,3,0)),"")</f>
        <v/>
      </c>
    </row>
    <row r="368" spans="5:6" x14ac:dyDescent="0.3">
      <c r="E368" t="str">
        <f>IFERROR(IF(D368="","",VLOOKUP(D368,CadProd!$A:$B,2,0)),"")</f>
        <v/>
      </c>
      <c r="F368" t="str">
        <f>IFERROR(IF(D368="","",VLOOKUP(D368,CadProd!$A:$C,3,0)),"")</f>
        <v/>
      </c>
    </row>
    <row r="369" spans="5:6" x14ac:dyDescent="0.3">
      <c r="E369" t="str">
        <f>IFERROR(IF(D369="","",VLOOKUP(D369,CadProd!$A:$B,2,0)),"")</f>
        <v/>
      </c>
      <c r="F369" t="str">
        <f>IFERROR(IF(D369="","",VLOOKUP(D369,CadProd!$A:$C,3,0)),"")</f>
        <v/>
      </c>
    </row>
    <row r="370" spans="5:6" x14ac:dyDescent="0.3">
      <c r="E370" t="str">
        <f>IFERROR(IF(D370="","",VLOOKUP(D370,CadProd!$A:$B,2,0)),"")</f>
        <v/>
      </c>
      <c r="F370" t="str">
        <f>IFERROR(IF(D370="","",VLOOKUP(D370,CadProd!$A:$C,3,0)),"")</f>
        <v/>
      </c>
    </row>
    <row r="371" spans="5:6" x14ac:dyDescent="0.3">
      <c r="E371" t="str">
        <f>IFERROR(IF(D371="","",VLOOKUP(D371,CadProd!$A:$B,2,0)),"")</f>
        <v/>
      </c>
      <c r="F371" t="str">
        <f>IFERROR(IF(D371="","",VLOOKUP(D371,CadProd!$A:$C,3,0)),"")</f>
        <v/>
      </c>
    </row>
    <row r="372" spans="5:6" x14ac:dyDescent="0.3">
      <c r="E372" t="str">
        <f>IFERROR(IF(D372="","",VLOOKUP(D372,CadProd!$A:$B,2,0)),"")</f>
        <v/>
      </c>
      <c r="F372" t="str">
        <f>IFERROR(IF(D372="","",VLOOKUP(D372,CadProd!$A:$C,3,0)),"")</f>
        <v/>
      </c>
    </row>
    <row r="373" spans="5:6" x14ac:dyDescent="0.3">
      <c r="E373" t="str">
        <f>IFERROR(IF(D373="","",VLOOKUP(D373,CadProd!$A:$B,2,0)),"")</f>
        <v/>
      </c>
      <c r="F373" t="str">
        <f>IFERROR(IF(D373="","",VLOOKUP(D373,CadProd!$A:$C,3,0)),"")</f>
        <v/>
      </c>
    </row>
    <row r="374" spans="5:6" x14ac:dyDescent="0.3">
      <c r="E374" t="str">
        <f>IFERROR(IF(D374="","",VLOOKUP(D374,CadProd!$A:$B,2,0)),"")</f>
        <v/>
      </c>
      <c r="F374" t="str">
        <f>IFERROR(IF(D374="","",VLOOKUP(D374,CadProd!$A:$C,3,0)),"")</f>
        <v/>
      </c>
    </row>
    <row r="375" spans="5:6" x14ac:dyDescent="0.3">
      <c r="E375" t="str">
        <f>IFERROR(IF(D375="","",VLOOKUP(D375,CadProd!$A:$B,2,0)),"")</f>
        <v/>
      </c>
      <c r="F375" t="str">
        <f>IFERROR(IF(D375="","",VLOOKUP(D375,CadProd!$A:$C,3,0)),"")</f>
        <v/>
      </c>
    </row>
    <row r="376" spans="5:6" x14ac:dyDescent="0.3">
      <c r="E376" t="str">
        <f>IFERROR(IF(D376="","",VLOOKUP(D376,CadProd!$A:$B,2,0)),"")</f>
        <v/>
      </c>
      <c r="F376" t="str">
        <f>IFERROR(IF(D376="","",VLOOKUP(D376,CadProd!$A:$C,3,0)),"")</f>
        <v/>
      </c>
    </row>
    <row r="377" spans="5:6" x14ac:dyDescent="0.3">
      <c r="E377" t="str">
        <f>IFERROR(IF(D377="","",VLOOKUP(D377,CadProd!$A:$B,2,0)),"")</f>
        <v/>
      </c>
      <c r="F377" t="str">
        <f>IFERROR(IF(D377="","",VLOOKUP(D377,CadProd!$A:$C,3,0)),"")</f>
        <v/>
      </c>
    </row>
    <row r="378" spans="5:6" x14ac:dyDescent="0.3">
      <c r="E378" t="str">
        <f>IFERROR(IF(D378="","",VLOOKUP(D378,CadProd!$A:$B,2,0)),"")</f>
        <v/>
      </c>
      <c r="F378" t="str">
        <f>IFERROR(IF(D378="","",VLOOKUP(D378,CadProd!$A:$C,3,0)),"")</f>
        <v/>
      </c>
    </row>
    <row r="379" spans="5:6" x14ac:dyDescent="0.3">
      <c r="E379" t="str">
        <f>IFERROR(IF(D379="","",VLOOKUP(D379,CadProd!$A:$B,2,0)),"")</f>
        <v/>
      </c>
      <c r="F379" t="str">
        <f>IFERROR(IF(D379="","",VLOOKUP(D379,CadProd!$A:$C,3,0)),"")</f>
        <v/>
      </c>
    </row>
    <row r="380" spans="5:6" x14ac:dyDescent="0.3">
      <c r="E380" t="str">
        <f>IFERROR(IF(D380="","",VLOOKUP(D380,CadProd!$A:$B,2,0)),"")</f>
        <v/>
      </c>
      <c r="F380" t="str">
        <f>IFERROR(IF(D380="","",VLOOKUP(D380,CadProd!$A:$C,3,0)),"")</f>
        <v/>
      </c>
    </row>
    <row r="381" spans="5:6" x14ac:dyDescent="0.3">
      <c r="E381" t="str">
        <f>IFERROR(IF(D381="","",VLOOKUP(D381,CadProd!$A:$B,2,0)),"")</f>
        <v/>
      </c>
      <c r="F381" t="str">
        <f>IFERROR(IF(D381="","",VLOOKUP(D381,CadProd!$A:$C,3,0)),"")</f>
        <v/>
      </c>
    </row>
    <row r="382" spans="5:6" x14ac:dyDescent="0.3">
      <c r="E382" t="str">
        <f>IFERROR(IF(D382="","",VLOOKUP(D382,CadProd!$A:$B,2,0)),"")</f>
        <v/>
      </c>
      <c r="F382" t="str">
        <f>IFERROR(IF(D382="","",VLOOKUP(D382,CadProd!$A:$C,3,0)),"")</f>
        <v/>
      </c>
    </row>
    <row r="383" spans="5:6" x14ac:dyDescent="0.3">
      <c r="E383" t="str">
        <f>IFERROR(IF(D383="","",VLOOKUP(D383,CadProd!$A:$B,2,0)),"")</f>
        <v/>
      </c>
      <c r="F383" t="str">
        <f>IFERROR(IF(D383="","",VLOOKUP(D383,CadProd!$A:$C,3,0)),"")</f>
        <v/>
      </c>
    </row>
    <row r="384" spans="5:6" x14ac:dyDescent="0.3">
      <c r="E384" t="str">
        <f>IFERROR(IF(D384="","",VLOOKUP(D384,CadProd!$A:$B,2,0)),"")</f>
        <v/>
      </c>
      <c r="F384" t="str">
        <f>IFERROR(IF(D384="","",VLOOKUP(D384,CadProd!$A:$C,3,0)),"")</f>
        <v/>
      </c>
    </row>
    <row r="385" spans="5:6" x14ac:dyDescent="0.3">
      <c r="E385" t="str">
        <f>IFERROR(IF(D385="","",VLOOKUP(D385,CadProd!$A:$B,2,0)),"")</f>
        <v/>
      </c>
      <c r="F385" t="str">
        <f>IFERROR(IF(D385="","",VLOOKUP(D385,CadProd!$A:$C,3,0)),"")</f>
        <v/>
      </c>
    </row>
    <row r="386" spans="5:6" x14ac:dyDescent="0.3">
      <c r="E386" t="str">
        <f>IFERROR(IF(D386="","",VLOOKUP(D386,CadProd!$A:$B,2,0)),"")</f>
        <v/>
      </c>
      <c r="F386" t="str">
        <f>IFERROR(IF(D386="","",VLOOKUP(D386,CadProd!$A:$C,3,0)),"")</f>
        <v/>
      </c>
    </row>
    <row r="387" spans="5:6" x14ac:dyDescent="0.3">
      <c r="E387" t="str">
        <f>IFERROR(IF(D387="","",VLOOKUP(D387,CadProd!$A:$B,2,0)),"")</f>
        <v/>
      </c>
      <c r="F387" t="str">
        <f>IFERROR(IF(D387="","",VLOOKUP(D387,CadProd!$A:$C,3,0)),"")</f>
        <v/>
      </c>
    </row>
    <row r="388" spans="5:6" x14ac:dyDescent="0.3">
      <c r="E388" t="str">
        <f>IFERROR(IF(D388="","",VLOOKUP(D388,CadProd!$A:$B,2,0)),"")</f>
        <v/>
      </c>
      <c r="F388" t="str">
        <f>IFERROR(IF(D388="","",VLOOKUP(D388,CadProd!$A:$C,3,0)),"")</f>
        <v/>
      </c>
    </row>
    <row r="389" spans="5:6" x14ac:dyDescent="0.3">
      <c r="E389" t="str">
        <f>IFERROR(IF(D389="","",VLOOKUP(D389,CadProd!$A:$B,2,0)),"")</f>
        <v/>
      </c>
      <c r="F389" t="str">
        <f>IFERROR(IF(D389="","",VLOOKUP(D389,CadProd!$A:$C,3,0)),"")</f>
        <v/>
      </c>
    </row>
    <row r="390" spans="5:6" x14ac:dyDescent="0.3">
      <c r="E390" t="str">
        <f>IFERROR(IF(D390="","",VLOOKUP(D390,CadProd!$A:$B,2,0)),"")</f>
        <v/>
      </c>
      <c r="F390" t="str">
        <f>IFERROR(IF(D390="","",VLOOKUP(D390,CadProd!$A:$C,3,0)),"")</f>
        <v/>
      </c>
    </row>
    <row r="391" spans="5:6" x14ac:dyDescent="0.3">
      <c r="E391" t="str">
        <f>IFERROR(IF(D391="","",VLOOKUP(D391,CadProd!$A:$B,2,0)),"")</f>
        <v/>
      </c>
      <c r="F391" t="str">
        <f>IFERROR(IF(D391="","",VLOOKUP(D391,CadProd!$A:$C,3,0)),"")</f>
        <v/>
      </c>
    </row>
    <row r="392" spans="5:6" x14ac:dyDescent="0.3">
      <c r="E392" t="str">
        <f>IFERROR(IF(D392="","",VLOOKUP(D392,CadProd!$A:$B,2,0)),"")</f>
        <v/>
      </c>
      <c r="F392" t="str">
        <f>IFERROR(IF(D392="","",VLOOKUP(D392,CadProd!$A:$C,3,0)),"")</f>
        <v/>
      </c>
    </row>
    <row r="393" spans="5:6" x14ac:dyDescent="0.3">
      <c r="E393" t="str">
        <f>IFERROR(IF(D393="","",VLOOKUP(D393,CadProd!$A:$B,2,0)),"")</f>
        <v/>
      </c>
      <c r="F393" t="str">
        <f>IFERROR(IF(D393="","",VLOOKUP(D393,CadProd!$A:$C,3,0)),"")</f>
        <v/>
      </c>
    </row>
    <row r="394" spans="5:6" x14ac:dyDescent="0.3">
      <c r="E394" t="str">
        <f>IFERROR(IF(D394="","",VLOOKUP(D394,CadProd!$A:$B,2,0)),"")</f>
        <v/>
      </c>
      <c r="F394" t="str">
        <f>IFERROR(IF(D394="","",VLOOKUP(D394,CadProd!$A:$C,3,0)),"")</f>
        <v/>
      </c>
    </row>
    <row r="395" spans="5:6" x14ac:dyDescent="0.3">
      <c r="E395" t="str">
        <f>IFERROR(IF(D395="","",VLOOKUP(D395,CadProd!$A:$B,2,0)),"")</f>
        <v/>
      </c>
      <c r="F395" t="str">
        <f>IFERROR(IF(D395="","",VLOOKUP(D395,CadProd!$A:$C,3,0)),"")</f>
        <v/>
      </c>
    </row>
    <row r="396" spans="5:6" x14ac:dyDescent="0.3">
      <c r="E396" t="str">
        <f>IFERROR(IF(D396="","",VLOOKUP(D396,CadProd!$A:$B,2,0)),"")</f>
        <v/>
      </c>
      <c r="F396" t="str">
        <f>IFERROR(IF(D396="","",VLOOKUP(D396,CadProd!$A:$C,3,0)),"")</f>
        <v/>
      </c>
    </row>
    <row r="397" spans="5:6" x14ac:dyDescent="0.3">
      <c r="E397" t="str">
        <f>IFERROR(IF(D397="","",VLOOKUP(D397,CadProd!$A:$B,2,0)),"")</f>
        <v/>
      </c>
      <c r="F397" t="str">
        <f>IFERROR(IF(D397="","",VLOOKUP(D397,CadProd!$A:$C,3,0)),"")</f>
        <v/>
      </c>
    </row>
    <row r="398" spans="5:6" x14ac:dyDescent="0.3">
      <c r="E398" t="str">
        <f>IFERROR(IF(D398="","",VLOOKUP(D398,CadProd!$A:$B,2,0)),"")</f>
        <v/>
      </c>
      <c r="F398" t="str">
        <f>IFERROR(IF(D398="","",VLOOKUP(D398,CadProd!$A:$C,3,0)),"")</f>
        <v/>
      </c>
    </row>
    <row r="399" spans="5:6" x14ac:dyDescent="0.3">
      <c r="E399" t="str">
        <f>IFERROR(IF(D399="","",VLOOKUP(D399,CadProd!$A:$B,2,0)),"")</f>
        <v/>
      </c>
      <c r="F399" t="str">
        <f>IFERROR(IF(D399="","",VLOOKUP(D399,CadProd!$A:$C,3,0)),"")</f>
        <v/>
      </c>
    </row>
    <row r="400" spans="5:6" x14ac:dyDescent="0.3">
      <c r="E400" t="str">
        <f>IFERROR(IF(D400="","",VLOOKUP(D400,CadProd!$A:$B,2,0)),"")</f>
        <v/>
      </c>
      <c r="F400" t="str">
        <f>IFERROR(IF(D400="","",VLOOKUP(D400,CadProd!$A:$C,3,0)),"")</f>
        <v/>
      </c>
    </row>
    <row r="401" spans="5:6" x14ac:dyDescent="0.3">
      <c r="E401" t="str">
        <f>IFERROR(IF(D401="","",VLOOKUP(D401,CadProd!$A:$B,2,0)),"")</f>
        <v/>
      </c>
      <c r="F401" t="str">
        <f>IFERROR(IF(D401="","",VLOOKUP(D401,CadProd!$A:$C,3,0)),"")</f>
        <v/>
      </c>
    </row>
    <row r="402" spans="5:6" x14ac:dyDescent="0.3">
      <c r="E402" t="str">
        <f>IFERROR(IF(D402="","",VLOOKUP(D402,CadProd!$A:$B,2,0)),"")</f>
        <v/>
      </c>
      <c r="F402" t="str">
        <f>IFERROR(IF(D402="","",VLOOKUP(D402,CadProd!$A:$C,3,0)),"")</f>
        <v/>
      </c>
    </row>
    <row r="403" spans="5:6" x14ac:dyDescent="0.3">
      <c r="E403" t="str">
        <f>IFERROR(IF(D403="","",VLOOKUP(D403,CadProd!$A:$B,2,0)),"")</f>
        <v/>
      </c>
      <c r="F403" t="str">
        <f>IFERROR(IF(D403="","",VLOOKUP(D403,CadProd!$A:$C,3,0)),"")</f>
        <v/>
      </c>
    </row>
    <row r="404" spans="5:6" x14ac:dyDescent="0.3">
      <c r="E404" t="str">
        <f>IFERROR(IF(D404="","",VLOOKUP(D404,CadProd!$A:$B,2,0)),"")</f>
        <v/>
      </c>
      <c r="F404" t="str">
        <f>IFERROR(IF(D404="","",VLOOKUP(D404,CadProd!$A:$C,3,0)),"")</f>
        <v/>
      </c>
    </row>
    <row r="405" spans="5:6" x14ac:dyDescent="0.3">
      <c r="E405" t="str">
        <f>IFERROR(IF(D405="","",VLOOKUP(D405,CadProd!$A:$B,2,0)),"")</f>
        <v/>
      </c>
      <c r="F405" t="str">
        <f>IFERROR(IF(D405="","",VLOOKUP(D405,CadProd!$A:$C,3,0)),"")</f>
        <v/>
      </c>
    </row>
    <row r="406" spans="5:6" x14ac:dyDescent="0.3">
      <c r="E406" t="str">
        <f>IFERROR(IF(D406="","",VLOOKUP(D406,CadProd!$A:$B,2,0)),"")</f>
        <v/>
      </c>
      <c r="F406" t="str">
        <f>IFERROR(IF(D406="","",VLOOKUP(D406,CadProd!$A:$C,3,0)),"")</f>
        <v/>
      </c>
    </row>
    <row r="407" spans="5:6" x14ac:dyDescent="0.3">
      <c r="E407" t="str">
        <f>IFERROR(IF(D407="","",VLOOKUP(D407,CadProd!$A:$B,2,0)),"")</f>
        <v/>
      </c>
      <c r="F407" t="str">
        <f>IFERROR(IF(D407="","",VLOOKUP(D407,CadProd!$A:$C,3,0)),"")</f>
        <v/>
      </c>
    </row>
    <row r="408" spans="5:6" x14ac:dyDescent="0.3">
      <c r="E408" t="str">
        <f>IFERROR(IF(D408="","",VLOOKUP(D408,CadProd!$A:$B,2,0)),"")</f>
        <v/>
      </c>
      <c r="F408" t="str">
        <f>IFERROR(IF(D408="","",VLOOKUP(D408,CadProd!$A:$C,3,0)),"")</f>
        <v/>
      </c>
    </row>
    <row r="409" spans="5:6" x14ac:dyDescent="0.3">
      <c r="E409" t="str">
        <f>IFERROR(IF(D409="","",VLOOKUP(D409,CadProd!$A:$B,2,0)),"")</f>
        <v/>
      </c>
      <c r="F409" t="str">
        <f>IFERROR(IF(D409="","",VLOOKUP(D409,CadProd!$A:$C,3,0)),"")</f>
        <v/>
      </c>
    </row>
    <row r="410" spans="5:6" x14ac:dyDescent="0.3">
      <c r="E410" t="str">
        <f>IFERROR(IF(D410="","",VLOOKUP(D410,CadProd!$A:$B,2,0)),"")</f>
        <v/>
      </c>
      <c r="F410" t="str">
        <f>IFERROR(IF(D410="","",VLOOKUP(D410,CadProd!$A:$C,3,0)),"")</f>
        <v/>
      </c>
    </row>
    <row r="411" spans="5:6" x14ac:dyDescent="0.3">
      <c r="E411" t="str">
        <f>IFERROR(IF(D411="","",VLOOKUP(D411,CadProd!$A:$B,2,0)),"")</f>
        <v/>
      </c>
      <c r="F411" t="str">
        <f>IFERROR(IF(D411="","",VLOOKUP(D411,CadProd!$A:$C,3,0)),"")</f>
        <v/>
      </c>
    </row>
    <row r="412" spans="5:6" x14ac:dyDescent="0.3">
      <c r="E412" t="str">
        <f>IFERROR(IF(D412="","",VLOOKUP(D412,CadProd!$A:$B,2,0)),"")</f>
        <v/>
      </c>
      <c r="F412" t="str">
        <f>IFERROR(IF(D412="","",VLOOKUP(D412,CadProd!$A:$C,3,0)),"")</f>
        <v/>
      </c>
    </row>
    <row r="413" spans="5:6" x14ac:dyDescent="0.3">
      <c r="E413" t="str">
        <f>IFERROR(IF(D413="","",VLOOKUP(D413,CadProd!$A:$B,2,0)),"")</f>
        <v/>
      </c>
      <c r="F413" t="str">
        <f>IFERROR(IF(D413="","",VLOOKUP(D413,CadProd!$A:$C,3,0)),"")</f>
        <v/>
      </c>
    </row>
    <row r="414" spans="5:6" x14ac:dyDescent="0.3">
      <c r="E414" t="str">
        <f>IFERROR(IF(D414="","",VLOOKUP(D414,CadProd!$A:$B,2,0)),"")</f>
        <v/>
      </c>
      <c r="F414" t="str">
        <f>IFERROR(IF(D414="","",VLOOKUP(D414,CadProd!$A:$C,3,0)),"")</f>
        <v/>
      </c>
    </row>
    <row r="415" spans="5:6" x14ac:dyDescent="0.3">
      <c r="E415" t="str">
        <f>IFERROR(IF(D415="","",VLOOKUP(D415,CadProd!$A:$B,2,0)),"")</f>
        <v/>
      </c>
      <c r="F415" t="str">
        <f>IFERROR(IF(D415="","",VLOOKUP(D415,CadProd!$A:$C,3,0)),"")</f>
        <v/>
      </c>
    </row>
    <row r="416" spans="5:6" x14ac:dyDescent="0.3">
      <c r="E416" t="str">
        <f>IFERROR(IF(D416="","",VLOOKUP(D416,CadProd!$A:$B,2,0)),"")</f>
        <v/>
      </c>
      <c r="F416" t="str">
        <f>IFERROR(IF(D416="","",VLOOKUP(D416,CadProd!$A:$C,3,0)),"")</f>
        <v/>
      </c>
    </row>
    <row r="417" spans="5:6" x14ac:dyDescent="0.3">
      <c r="E417" t="str">
        <f>IFERROR(IF(D417="","",VLOOKUP(D417,CadProd!$A:$B,2,0)),"")</f>
        <v/>
      </c>
      <c r="F417" t="str">
        <f>IFERROR(IF(D417="","",VLOOKUP(D417,CadProd!$A:$C,3,0)),"")</f>
        <v/>
      </c>
    </row>
    <row r="418" spans="5:6" x14ac:dyDescent="0.3">
      <c r="E418" t="str">
        <f>IFERROR(IF(D418="","",VLOOKUP(D418,CadProd!$A:$B,2,0)),"")</f>
        <v/>
      </c>
      <c r="F418" t="str">
        <f>IFERROR(IF(D418="","",VLOOKUP(D418,CadProd!$A:$C,3,0)),"")</f>
        <v/>
      </c>
    </row>
    <row r="419" spans="5:6" x14ac:dyDescent="0.3">
      <c r="E419" t="str">
        <f>IFERROR(IF(D419="","",VLOOKUP(D419,CadProd!$A:$B,2,0)),"")</f>
        <v/>
      </c>
      <c r="F419" t="str">
        <f>IFERROR(IF(D419="","",VLOOKUP(D419,CadProd!$A:$C,3,0)),"")</f>
        <v/>
      </c>
    </row>
    <row r="420" spans="5:6" x14ac:dyDescent="0.3">
      <c r="E420" t="str">
        <f>IFERROR(IF(D420="","",VLOOKUP(D420,CadProd!$A:$B,2,0)),"")</f>
        <v/>
      </c>
      <c r="F420" t="str">
        <f>IFERROR(IF(D420="","",VLOOKUP(D420,CadProd!$A:$C,3,0)),"")</f>
        <v/>
      </c>
    </row>
    <row r="421" spans="5:6" x14ac:dyDescent="0.3">
      <c r="E421" t="str">
        <f>IFERROR(IF(D421="","",VLOOKUP(D421,CadProd!$A:$B,2,0)),"")</f>
        <v/>
      </c>
      <c r="F421" t="str">
        <f>IFERROR(IF(D421="","",VLOOKUP(D421,CadProd!$A:$C,3,0)),"")</f>
        <v/>
      </c>
    </row>
    <row r="422" spans="5:6" x14ac:dyDescent="0.3">
      <c r="E422" t="str">
        <f>IFERROR(IF(D422="","",VLOOKUP(D422,CadProd!$A:$B,2,0)),"")</f>
        <v/>
      </c>
      <c r="F422" t="str">
        <f>IFERROR(IF(D422="","",VLOOKUP(D422,CadProd!$A:$C,3,0)),"")</f>
        <v/>
      </c>
    </row>
    <row r="423" spans="5:6" x14ac:dyDescent="0.3">
      <c r="E423" t="str">
        <f>IFERROR(IF(D423="","",VLOOKUP(D423,CadProd!$A:$B,2,0)),"")</f>
        <v/>
      </c>
      <c r="F423" t="str">
        <f>IFERROR(IF(D423="","",VLOOKUP(D423,CadProd!$A:$C,3,0)),"")</f>
        <v/>
      </c>
    </row>
    <row r="424" spans="5:6" x14ac:dyDescent="0.3">
      <c r="E424" t="str">
        <f>IFERROR(IF(D424="","",VLOOKUP(D424,CadProd!$A:$B,2,0)),"")</f>
        <v/>
      </c>
      <c r="F424" t="str">
        <f>IFERROR(IF(D424="","",VLOOKUP(D424,CadProd!$A:$C,3,0)),"")</f>
        <v/>
      </c>
    </row>
    <row r="425" spans="5:6" x14ac:dyDescent="0.3">
      <c r="E425" t="str">
        <f>IFERROR(IF(D425="","",VLOOKUP(D425,CadProd!$A:$B,2,0)),"")</f>
        <v/>
      </c>
      <c r="F425" t="str">
        <f>IFERROR(IF(D425="","",VLOOKUP(D425,CadProd!$A:$C,3,0)),"")</f>
        <v/>
      </c>
    </row>
    <row r="426" spans="5:6" x14ac:dyDescent="0.3">
      <c r="E426" t="str">
        <f>IFERROR(IF(D426="","",VLOOKUP(D426,CadProd!$A:$B,2,0)),"")</f>
        <v/>
      </c>
      <c r="F426" t="str">
        <f>IFERROR(IF(D426="","",VLOOKUP(D426,CadProd!$A:$C,3,0)),"")</f>
        <v/>
      </c>
    </row>
    <row r="427" spans="5:6" x14ac:dyDescent="0.3">
      <c r="E427" t="str">
        <f>IFERROR(IF(D427="","",VLOOKUP(D427,CadProd!$A:$B,2,0)),"")</f>
        <v/>
      </c>
      <c r="F427" t="str">
        <f>IFERROR(IF(D427="","",VLOOKUP(D427,CadProd!$A:$C,3,0)),"")</f>
        <v/>
      </c>
    </row>
    <row r="428" spans="5:6" x14ac:dyDescent="0.3">
      <c r="E428" t="str">
        <f>IFERROR(IF(D428="","",VLOOKUP(D428,CadProd!$A:$B,2,0)),"")</f>
        <v/>
      </c>
      <c r="F428" t="str">
        <f>IFERROR(IF(D428="","",VLOOKUP(D428,CadProd!$A:$C,3,0)),"")</f>
        <v/>
      </c>
    </row>
    <row r="429" spans="5:6" x14ac:dyDescent="0.3">
      <c r="E429" t="str">
        <f>IFERROR(IF(D429="","",VLOOKUP(D429,CadProd!$A:$B,2,0)),"")</f>
        <v/>
      </c>
      <c r="F429" t="str">
        <f>IFERROR(IF(D429="","",VLOOKUP(D429,CadProd!$A:$C,3,0)),"")</f>
        <v/>
      </c>
    </row>
    <row r="430" spans="5:6" x14ac:dyDescent="0.3">
      <c r="E430" t="str">
        <f>IFERROR(IF(D430="","",VLOOKUP(D430,CadProd!$A:$B,2,0)),"")</f>
        <v/>
      </c>
      <c r="F430" t="str">
        <f>IFERROR(IF(D430="","",VLOOKUP(D430,CadProd!$A:$C,3,0)),"")</f>
        <v/>
      </c>
    </row>
    <row r="431" spans="5:6" x14ac:dyDescent="0.3">
      <c r="E431" t="str">
        <f>IFERROR(IF(D431="","",VLOOKUP(D431,CadProd!$A:$B,2,0)),"")</f>
        <v/>
      </c>
      <c r="F431" t="str">
        <f>IFERROR(IF(D431="","",VLOOKUP(D431,CadProd!$A:$C,3,0)),"")</f>
        <v/>
      </c>
    </row>
    <row r="432" spans="5:6" x14ac:dyDescent="0.3">
      <c r="E432" t="str">
        <f>IFERROR(IF(D432="","",VLOOKUP(D432,CadProd!$A:$B,2,0)),"")</f>
        <v/>
      </c>
      <c r="F432" t="str">
        <f>IFERROR(IF(D432="","",VLOOKUP(D432,CadProd!$A:$C,3,0)),"")</f>
        <v/>
      </c>
    </row>
    <row r="433" spans="5:6" x14ac:dyDescent="0.3">
      <c r="E433" t="str">
        <f>IFERROR(IF(D433="","",VLOOKUP(D433,CadProd!$A:$B,2,0)),"")</f>
        <v/>
      </c>
      <c r="F433" t="str">
        <f>IFERROR(IF(D433="","",VLOOKUP(D433,CadProd!$A:$C,3,0)),"")</f>
        <v/>
      </c>
    </row>
    <row r="434" spans="5:6" x14ac:dyDescent="0.3">
      <c r="E434" t="str">
        <f>IFERROR(IF(D434="","",VLOOKUP(D434,CadProd!$A:$B,2,0)),"")</f>
        <v/>
      </c>
      <c r="F434" t="str">
        <f>IFERROR(IF(D434="","",VLOOKUP(D434,CadProd!$A:$C,3,0)),"")</f>
        <v/>
      </c>
    </row>
    <row r="435" spans="5:6" x14ac:dyDescent="0.3">
      <c r="E435" t="str">
        <f>IFERROR(IF(D435="","",VLOOKUP(D435,CadProd!$A:$B,2,0)),"")</f>
        <v/>
      </c>
      <c r="F435" t="str">
        <f>IFERROR(IF(D435="","",VLOOKUP(D435,CadProd!$A:$C,3,0)),"")</f>
        <v/>
      </c>
    </row>
    <row r="436" spans="5:6" x14ac:dyDescent="0.3">
      <c r="E436" t="str">
        <f>IFERROR(IF(D436="","",VLOOKUP(D436,CadProd!$A:$B,2,0)),"")</f>
        <v/>
      </c>
      <c r="F436" t="str">
        <f>IFERROR(IF(D436="","",VLOOKUP(D436,CadProd!$A:$C,3,0)),"")</f>
        <v/>
      </c>
    </row>
    <row r="437" spans="5:6" x14ac:dyDescent="0.3">
      <c r="E437" t="str">
        <f>IFERROR(IF(D437="","",VLOOKUP(D437,CadProd!$A:$B,2,0)),"")</f>
        <v/>
      </c>
      <c r="F437" t="str">
        <f>IFERROR(IF(D437="","",VLOOKUP(D437,CadProd!$A:$C,3,0)),"")</f>
        <v/>
      </c>
    </row>
    <row r="438" spans="5:6" x14ac:dyDescent="0.3">
      <c r="E438" t="str">
        <f>IFERROR(IF(D438="","",VLOOKUP(D438,CadProd!$A:$B,2,0)),"")</f>
        <v/>
      </c>
      <c r="F438" t="str">
        <f>IFERROR(IF(D438="","",VLOOKUP(D438,CadProd!$A:$C,3,0)),"")</f>
        <v/>
      </c>
    </row>
    <row r="439" spans="5:6" x14ac:dyDescent="0.3">
      <c r="E439" t="str">
        <f>IFERROR(IF(D439="","",VLOOKUP(D439,CadProd!$A:$B,2,0)),"")</f>
        <v/>
      </c>
      <c r="F439" t="str">
        <f>IFERROR(IF(D439="","",VLOOKUP(D439,CadProd!$A:$C,3,0)),"")</f>
        <v/>
      </c>
    </row>
    <row r="440" spans="5:6" x14ac:dyDescent="0.3">
      <c r="E440" t="str">
        <f>IFERROR(IF(D440="","",VLOOKUP(D440,CadProd!$A:$B,2,0)),"")</f>
        <v/>
      </c>
      <c r="F440" t="str">
        <f>IFERROR(IF(D440="","",VLOOKUP(D440,CadProd!$A:$C,3,0)),"")</f>
        <v/>
      </c>
    </row>
    <row r="441" spans="5:6" x14ac:dyDescent="0.3">
      <c r="E441" t="str">
        <f>IFERROR(IF(D441="","",VLOOKUP(D441,CadProd!$A:$B,2,0)),"")</f>
        <v/>
      </c>
      <c r="F441" t="str">
        <f>IFERROR(IF(D441="","",VLOOKUP(D441,CadProd!$A:$C,3,0)),"")</f>
        <v/>
      </c>
    </row>
    <row r="442" spans="5:6" x14ac:dyDescent="0.3">
      <c r="E442" t="str">
        <f>IFERROR(IF(D442="","",VLOOKUP(D442,CadProd!$A:$B,2,0)),"")</f>
        <v/>
      </c>
      <c r="F442" t="str">
        <f>IFERROR(IF(D442="","",VLOOKUP(D442,CadProd!$A:$C,3,0)),"")</f>
        <v/>
      </c>
    </row>
    <row r="443" spans="5:6" x14ac:dyDescent="0.3">
      <c r="E443" t="str">
        <f>IFERROR(IF(D443="","",VLOOKUP(D443,CadProd!$A:$B,2,0)),"")</f>
        <v/>
      </c>
      <c r="F443" t="str">
        <f>IFERROR(IF(D443="","",VLOOKUP(D443,CadProd!$A:$C,3,0)),"")</f>
        <v/>
      </c>
    </row>
    <row r="444" spans="5:6" x14ac:dyDescent="0.3">
      <c r="E444" t="str">
        <f>IFERROR(IF(D444="","",VLOOKUP(D444,CadProd!$A:$B,2,0)),"")</f>
        <v/>
      </c>
      <c r="F444" t="str">
        <f>IFERROR(IF(D444="","",VLOOKUP(D444,CadProd!$A:$C,3,0)),"")</f>
        <v/>
      </c>
    </row>
    <row r="445" spans="5:6" x14ac:dyDescent="0.3">
      <c r="E445" t="str">
        <f>IFERROR(IF(D445="","",VLOOKUP(D445,CadProd!$A:$B,2,0)),"")</f>
        <v/>
      </c>
      <c r="F445" t="str">
        <f>IFERROR(IF(D445="","",VLOOKUP(D445,CadProd!$A:$C,3,0)),"")</f>
        <v/>
      </c>
    </row>
    <row r="446" spans="5:6" x14ac:dyDescent="0.3">
      <c r="E446" t="str">
        <f>IFERROR(IF(D446="","",VLOOKUP(D446,CadProd!$A:$B,2,0)),"")</f>
        <v/>
      </c>
      <c r="F446" t="str">
        <f>IFERROR(IF(D446="","",VLOOKUP(D446,CadProd!$A:$C,3,0)),"")</f>
        <v/>
      </c>
    </row>
    <row r="447" spans="5:6" x14ac:dyDescent="0.3">
      <c r="E447" t="str">
        <f>IFERROR(IF(D447="","",VLOOKUP(D447,CadProd!$A:$B,2,0)),"")</f>
        <v/>
      </c>
      <c r="F447" t="str">
        <f>IFERROR(IF(D447="","",VLOOKUP(D447,CadProd!$A:$C,3,0)),"")</f>
        <v/>
      </c>
    </row>
    <row r="448" spans="5:6" x14ac:dyDescent="0.3">
      <c r="E448" t="str">
        <f>IFERROR(IF(D448="","",VLOOKUP(D448,CadProd!$A:$B,2,0)),"")</f>
        <v/>
      </c>
      <c r="F448" t="str">
        <f>IFERROR(IF(D448="","",VLOOKUP(D448,CadProd!$A:$C,3,0)),"")</f>
        <v/>
      </c>
    </row>
    <row r="449" spans="5:6" x14ac:dyDescent="0.3">
      <c r="E449" t="str">
        <f>IFERROR(IF(D449="","",VLOOKUP(D449,CadProd!$A:$B,2,0)),"")</f>
        <v/>
      </c>
      <c r="F449" t="str">
        <f>IFERROR(IF(D449="","",VLOOKUP(D449,CadProd!$A:$C,3,0)),"")</f>
        <v/>
      </c>
    </row>
    <row r="450" spans="5:6" x14ac:dyDescent="0.3">
      <c r="E450" t="str">
        <f>IFERROR(IF(D450="","",VLOOKUP(D450,CadProd!$A:$B,2,0)),"")</f>
        <v/>
      </c>
      <c r="F450" t="str">
        <f>IFERROR(IF(D450="","",VLOOKUP(D450,CadProd!$A:$C,3,0)),"")</f>
        <v/>
      </c>
    </row>
    <row r="451" spans="5:6" x14ac:dyDescent="0.3">
      <c r="E451" t="str">
        <f>IFERROR(IF(D451="","",VLOOKUP(D451,CadProd!$A:$B,2,0)),"")</f>
        <v/>
      </c>
      <c r="F451" t="str">
        <f>IFERROR(IF(D451="","",VLOOKUP(D451,CadProd!$A:$C,3,0)),"")</f>
        <v/>
      </c>
    </row>
    <row r="452" spans="5:6" x14ac:dyDescent="0.3">
      <c r="E452" t="str">
        <f>IFERROR(IF(D452="","",VLOOKUP(D452,CadProd!$A:$B,2,0)),"")</f>
        <v/>
      </c>
      <c r="F452" t="str">
        <f>IFERROR(IF(D452="","",VLOOKUP(D452,CadProd!$A:$C,3,0)),"")</f>
        <v/>
      </c>
    </row>
    <row r="453" spans="5:6" x14ac:dyDescent="0.3">
      <c r="E453" t="str">
        <f>IFERROR(IF(D453="","",VLOOKUP(D453,CadProd!$A:$B,2,0)),"")</f>
        <v/>
      </c>
      <c r="F453" t="str">
        <f>IFERROR(IF(D453="","",VLOOKUP(D453,CadProd!$A:$C,3,0)),"")</f>
        <v/>
      </c>
    </row>
    <row r="454" spans="5:6" x14ac:dyDescent="0.3">
      <c r="E454" t="str">
        <f>IFERROR(IF(D454="","",VLOOKUP(D454,CadProd!$A:$B,2,0)),"")</f>
        <v/>
      </c>
      <c r="F454" t="str">
        <f>IFERROR(IF(D454="","",VLOOKUP(D454,CadProd!$A:$C,3,0)),"")</f>
        <v/>
      </c>
    </row>
    <row r="455" spans="5:6" x14ac:dyDescent="0.3">
      <c r="E455" t="str">
        <f>IFERROR(IF(D455="","",VLOOKUP(D455,CadProd!$A:$B,2,0)),"")</f>
        <v/>
      </c>
      <c r="F455" t="str">
        <f>IFERROR(IF(D455="","",VLOOKUP(D455,CadProd!$A:$C,3,0)),"")</f>
        <v/>
      </c>
    </row>
    <row r="456" spans="5:6" x14ac:dyDescent="0.3">
      <c r="E456" t="str">
        <f>IFERROR(IF(D456="","",VLOOKUP(D456,CadProd!$A:$B,2,0)),"")</f>
        <v/>
      </c>
      <c r="F456" t="str">
        <f>IFERROR(IF(D456="","",VLOOKUP(D456,CadProd!$A:$C,3,0)),"")</f>
        <v/>
      </c>
    </row>
    <row r="457" spans="5:6" x14ac:dyDescent="0.3">
      <c r="E457" t="str">
        <f>IFERROR(IF(D457="","",VLOOKUP(D457,CadProd!$A:$B,2,0)),"")</f>
        <v/>
      </c>
      <c r="F457" t="str">
        <f>IFERROR(IF(D457="","",VLOOKUP(D457,CadProd!$A:$C,3,0)),"")</f>
        <v/>
      </c>
    </row>
    <row r="458" spans="5:6" x14ac:dyDescent="0.3">
      <c r="E458" t="str">
        <f>IFERROR(IF(D458="","",VLOOKUP(D458,CadProd!$A:$B,2,0)),"")</f>
        <v/>
      </c>
      <c r="F458" t="str">
        <f>IFERROR(IF(D458="","",VLOOKUP(D458,CadProd!$A:$C,3,0)),"")</f>
        <v/>
      </c>
    </row>
    <row r="459" spans="5:6" x14ac:dyDescent="0.3">
      <c r="E459" t="str">
        <f>IFERROR(IF(D459="","",VLOOKUP(D459,CadProd!$A:$B,2,0)),"")</f>
        <v/>
      </c>
      <c r="F459" t="str">
        <f>IFERROR(IF(D459="","",VLOOKUP(D459,CadProd!$A:$C,3,0)),"")</f>
        <v/>
      </c>
    </row>
    <row r="460" spans="5:6" x14ac:dyDescent="0.3">
      <c r="E460" t="str">
        <f>IFERROR(IF(D460="","",VLOOKUP(D460,CadProd!$A:$B,2,0)),"")</f>
        <v/>
      </c>
      <c r="F460" t="str">
        <f>IFERROR(IF(D460="","",VLOOKUP(D460,CadProd!$A:$C,3,0)),"")</f>
        <v/>
      </c>
    </row>
    <row r="461" spans="5:6" x14ac:dyDescent="0.3">
      <c r="E461" t="str">
        <f>IFERROR(IF(D461="","",VLOOKUP(D461,CadProd!$A:$B,2,0)),"")</f>
        <v/>
      </c>
      <c r="F461" t="str">
        <f>IFERROR(IF(D461="","",VLOOKUP(D461,CadProd!$A:$C,3,0)),"")</f>
        <v/>
      </c>
    </row>
    <row r="462" spans="5:6" x14ac:dyDescent="0.3">
      <c r="E462" t="str">
        <f>IFERROR(IF(D462="","",VLOOKUP(D462,CadProd!$A:$B,2,0)),"")</f>
        <v/>
      </c>
      <c r="F462" t="str">
        <f>IFERROR(IF(D462="","",VLOOKUP(D462,CadProd!$A:$C,3,0)),"")</f>
        <v/>
      </c>
    </row>
    <row r="463" spans="5:6" x14ac:dyDescent="0.3">
      <c r="E463" t="str">
        <f>IFERROR(IF(D463="","",VLOOKUP(D463,CadProd!$A:$B,2,0)),"")</f>
        <v/>
      </c>
      <c r="F463" t="str">
        <f>IFERROR(IF(D463="","",VLOOKUP(D463,CadProd!$A:$C,3,0)),"")</f>
        <v/>
      </c>
    </row>
    <row r="464" spans="5:6" x14ac:dyDescent="0.3">
      <c r="E464" t="str">
        <f>IFERROR(IF(D464="","",VLOOKUP(D464,CadProd!$A:$B,2,0)),"")</f>
        <v/>
      </c>
      <c r="F464" t="str">
        <f>IFERROR(IF(D464="","",VLOOKUP(D464,CadProd!$A:$C,3,0)),"")</f>
        <v/>
      </c>
    </row>
    <row r="465" spans="5:6" x14ac:dyDescent="0.3">
      <c r="E465" t="str">
        <f>IFERROR(IF(D465="","",VLOOKUP(D465,CadProd!$A:$B,2,0)),"")</f>
        <v/>
      </c>
      <c r="F465" t="str">
        <f>IFERROR(IF(D465="","",VLOOKUP(D465,CadProd!$A:$C,3,0)),"")</f>
        <v/>
      </c>
    </row>
    <row r="466" spans="5:6" x14ac:dyDescent="0.3">
      <c r="E466" t="str">
        <f>IFERROR(IF(D466="","",VLOOKUP(D466,CadProd!$A:$B,2,0)),"")</f>
        <v/>
      </c>
      <c r="F466" t="str">
        <f>IFERROR(IF(D466="","",VLOOKUP(D466,CadProd!$A:$C,3,0)),"")</f>
        <v/>
      </c>
    </row>
    <row r="467" spans="5:6" x14ac:dyDescent="0.3">
      <c r="E467" t="str">
        <f>IFERROR(IF(D467="","",VLOOKUP(D467,CadProd!$A:$B,2,0)),"")</f>
        <v/>
      </c>
      <c r="F467" t="str">
        <f>IFERROR(IF(D467="","",VLOOKUP(D467,CadProd!$A:$C,3,0)),"")</f>
        <v/>
      </c>
    </row>
    <row r="468" spans="5:6" x14ac:dyDescent="0.3">
      <c r="E468" t="str">
        <f>IFERROR(IF(D468="","",VLOOKUP(D468,CadProd!$A:$B,2,0)),"")</f>
        <v/>
      </c>
      <c r="F468" t="str">
        <f>IFERROR(IF(D468="","",VLOOKUP(D468,CadProd!$A:$C,3,0)),"")</f>
        <v/>
      </c>
    </row>
    <row r="469" spans="5:6" x14ac:dyDescent="0.3">
      <c r="E469" t="str">
        <f>IFERROR(IF(D469="","",VLOOKUP(D469,CadProd!$A:$B,2,0)),"")</f>
        <v/>
      </c>
      <c r="F469" t="str">
        <f>IFERROR(IF(D469="","",VLOOKUP(D469,CadProd!$A:$C,3,0)),"")</f>
        <v/>
      </c>
    </row>
    <row r="470" spans="5:6" x14ac:dyDescent="0.3">
      <c r="E470" t="str">
        <f>IFERROR(IF(D470="","",VLOOKUP(D470,CadProd!$A:$B,2,0)),"")</f>
        <v/>
      </c>
      <c r="F470" t="str">
        <f>IFERROR(IF(D470="","",VLOOKUP(D470,CadProd!$A:$C,3,0)),"")</f>
        <v/>
      </c>
    </row>
    <row r="471" spans="5:6" x14ac:dyDescent="0.3">
      <c r="E471" t="str">
        <f>IFERROR(IF(D471="","",VLOOKUP(D471,CadProd!$A:$B,2,0)),"")</f>
        <v/>
      </c>
      <c r="F471" t="str">
        <f>IFERROR(IF(D471="","",VLOOKUP(D471,CadProd!$A:$C,3,0)),"")</f>
        <v/>
      </c>
    </row>
    <row r="472" spans="5:6" x14ac:dyDescent="0.3">
      <c r="E472" t="str">
        <f>IFERROR(IF(D472="","",VLOOKUP(D472,CadProd!$A:$B,2,0)),"")</f>
        <v/>
      </c>
      <c r="F472" t="str">
        <f>IFERROR(IF(D472="","",VLOOKUP(D472,CadProd!$A:$C,3,0)),"")</f>
        <v/>
      </c>
    </row>
    <row r="473" spans="5:6" x14ac:dyDescent="0.3">
      <c r="E473" t="str">
        <f>IFERROR(IF(D473="","",VLOOKUP(D473,CadProd!$A:$B,2,0)),"")</f>
        <v/>
      </c>
      <c r="F473" t="str">
        <f>IFERROR(IF(D473="","",VLOOKUP(D473,CadProd!$A:$C,3,0)),"")</f>
        <v/>
      </c>
    </row>
    <row r="474" spans="5:6" x14ac:dyDescent="0.3">
      <c r="E474" t="str">
        <f>IFERROR(IF(D474="","",VLOOKUP(D474,CadProd!$A:$B,2,0)),"")</f>
        <v/>
      </c>
      <c r="F474" t="str">
        <f>IFERROR(IF(D474="","",VLOOKUP(D474,CadProd!$A:$C,3,0)),"")</f>
        <v/>
      </c>
    </row>
    <row r="475" spans="5:6" x14ac:dyDescent="0.3">
      <c r="E475" t="str">
        <f>IFERROR(IF(D475="","",VLOOKUP(D475,CadProd!$A:$B,2,0)),"")</f>
        <v/>
      </c>
      <c r="F475" t="str">
        <f>IFERROR(IF(D475="","",VLOOKUP(D475,CadProd!$A:$C,3,0)),"")</f>
        <v/>
      </c>
    </row>
    <row r="476" spans="5:6" x14ac:dyDescent="0.3">
      <c r="E476" t="str">
        <f>IFERROR(IF(D476="","",VLOOKUP(D476,CadProd!$A:$B,2,0)),"")</f>
        <v/>
      </c>
      <c r="F476" t="str">
        <f>IFERROR(IF(D476="","",VLOOKUP(D476,CadProd!$A:$C,3,0)),"")</f>
        <v/>
      </c>
    </row>
    <row r="477" spans="5:6" x14ac:dyDescent="0.3">
      <c r="E477" t="str">
        <f>IFERROR(IF(D477="","",VLOOKUP(D477,CadProd!$A:$B,2,0)),"")</f>
        <v/>
      </c>
      <c r="F477" t="str">
        <f>IFERROR(IF(D477="","",VLOOKUP(D477,CadProd!$A:$C,3,0)),"")</f>
        <v/>
      </c>
    </row>
    <row r="478" spans="5:6" x14ac:dyDescent="0.3">
      <c r="E478" t="str">
        <f>IFERROR(IF(D478="","",VLOOKUP(D478,CadProd!$A:$B,2,0)),"")</f>
        <v/>
      </c>
      <c r="F478" t="str">
        <f>IFERROR(IF(D478="","",VLOOKUP(D478,CadProd!$A:$C,3,0)),"")</f>
        <v/>
      </c>
    </row>
    <row r="479" spans="5:6" x14ac:dyDescent="0.3">
      <c r="E479" t="str">
        <f>IFERROR(IF(D479="","",VLOOKUP(D479,CadProd!$A:$B,2,0)),"")</f>
        <v/>
      </c>
      <c r="F479" t="str">
        <f>IFERROR(IF(D479="","",VLOOKUP(D479,CadProd!$A:$C,3,0)),"")</f>
        <v/>
      </c>
    </row>
    <row r="480" spans="5:6" x14ac:dyDescent="0.3">
      <c r="E480" t="str">
        <f>IFERROR(IF(D480="","",VLOOKUP(D480,CadProd!$A:$B,2,0)),"")</f>
        <v/>
      </c>
      <c r="F480" t="str">
        <f>IFERROR(IF(D480="","",VLOOKUP(D480,CadProd!$A:$C,3,0)),"")</f>
        <v/>
      </c>
    </row>
    <row r="481" spans="5:6" x14ac:dyDescent="0.3">
      <c r="E481" t="str">
        <f>IFERROR(IF(D481="","",VLOOKUP(D481,CadProd!$A:$B,2,0)),"")</f>
        <v/>
      </c>
      <c r="F481" t="str">
        <f>IFERROR(IF(D481="","",VLOOKUP(D481,CadProd!$A:$C,3,0)),"")</f>
        <v/>
      </c>
    </row>
    <row r="482" spans="5:6" x14ac:dyDescent="0.3">
      <c r="E482" t="str">
        <f>IFERROR(IF(D482="","",VLOOKUP(D482,CadProd!$A:$B,2,0)),"")</f>
        <v/>
      </c>
      <c r="F482" t="str">
        <f>IFERROR(IF(D482="","",VLOOKUP(D482,CadProd!$A:$C,3,0)),"")</f>
        <v/>
      </c>
    </row>
    <row r="483" spans="5:6" x14ac:dyDescent="0.3">
      <c r="E483" t="str">
        <f>IFERROR(IF(D483="","",VLOOKUP(D483,CadProd!$A:$B,2,0)),"")</f>
        <v/>
      </c>
      <c r="F483" t="str">
        <f>IFERROR(IF(D483="","",VLOOKUP(D483,CadProd!$A:$C,3,0)),"")</f>
        <v/>
      </c>
    </row>
    <row r="484" spans="5:6" x14ac:dyDescent="0.3">
      <c r="E484" t="str">
        <f>IFERROR(IF(D484="","",VLOOKUP(D484,CadProd!$A:$B,2,0)),"")</f>
        <v/>
      </c>
      <c r="F484" t="str">
        <f>IFERROR(IF(D484="","",VLOOKUP(D484,CadProd!$A:$C,3,0)),"")</f>
        <v/>
      </c>
    </row>
    <row r="485" spans="5:6" x14ac:dyDescent="0.3">
      <c r="E485" t="str">
        <f>IFERROR(IF(D485="","",VLOOKUP(D485,CadProd!$A:$B,2,0)),"")</f>
        <v/>
      </c>
      <c r="F485" t="str">
        <f>IFERROR(IF(D485="","",VLOOKUP(D485,CadProd!$A:$C,3,0)),"")</f>
        <v/>
      </c>
    </row>
    <row r="486" spans="5:6" x14ac:dyDescent="0.3">
      <c r="E486" t="str">
        <f>IFERROR(IF(D486="","",VLOOKUP(D486,CadProd!$A:$B,2,0)),"")</f>
        <v/>
      </c>
      <c r="F486" t="str">
        <f>IFERROR(IF(D486="","",VLOOKUP(D486,CadProd!$A:$C,3,0)),"")</f>
        <v/>
      </c>
    </row>
    <row r="487" spans="5:6" x14ac:dyDescent="0.3">
      <c r="E487" t="str">
        <f>IFERROR(IF(D487="","",VLOOKUP(D487,CadProd!$A:$B,2,0)),"")</f>
        <v/>
      </c>
      <c r="F487" t="str">
        <f>IFERROR(IF(D487="","",VLOOKUP(D487,CadProd!$A:$C,3,0)),"")</f>
        <v/>
      </c>
    </row>
    <row r="488" spans="5:6" x14ac:dyDescent="0.3">
      <c r="E488" t="str">
        <f>IFERROR(IF(D488="","",VLOOKUP(D488,CadProd!$A:$B,2,0)),"")</f>
        <v/>
      </c>
      <c r="F488" t="str">
        <f>IFERROR(IF(D488="","",VLOOKUP(D488,CadProd!$A:$C,3,0)),"")</f>
        <v/>
      </c>
    </row>
    <row r="489" spans="5:6" x14ac:dyDescent="0.3">
      <c r="E489" t="str">
        <f>IFERROR(IF(D489="","",VLOOKUP(D489,CadProd!$A:$B,2,0)),"")</f>
        <v/>
      </c>
      <c r="F489" t="str">
        <f>IFERROR(IF(D489="","",VLOOKUP(D489,CadProd!$A:$C,3,0)),"")</f>
        <v/>
      </c>
    </row>
    <row r="490" spans="5:6" x14ac:dyDescent="0.3">
      <c r="E490" t="str">
        <f>IFERROR(IF(D490="","",VLOOKUP(D490,CadProd!$A:$B,2,0)),"")</f>
        <v/>
      </c>
      <c r="F490" t="str">
        <f>IFERROR(IF(D490="","",VLOOKUP(D490,CadProd!$A:$C,3,0)),"")</f>
        <v/>
      </c>
    </row>
    <row r="491" spans="5:6" x14ac:dyDescent="0.3">
      <c r="E491" t="str">
        <f>IFERROR(IF(D491="","",VLOOKUP(D491,CadProd!$A:$B,2,0)),"")</f>
        <v/>
      </c>
      <c r="F491" t="str">
        <f>IFERROR(IF(D491="","",VLOOKUP(D491,CadProd!$A:$C,3,0)),"")</f>
        <v/>
      </c>
    </row>
    <row r="492" spans="5:6" x14ac:dyDescent="0.3">
      <c r="E492" t="str">
        <f>IFERROR(IF(D492="","",VLOOKUP(D492,CadProd!$A:$B,2,0)),"")</f>
        <v/>
      </c>
      <c r="F492" t="str">
        <f>IFERROR(IF(D492="","",VLOOKUP(D492,CadProd!$A:$C,3,0)),"")</f>
        <v/>
      </c>
    </row>
    <row r="493" spans="5:6" x14ac:dyDescent="0.3">
      <c r="E493" t="str">
        <f>IFERROR(IF(D493="","",VLOOKUP(D493,CadProd!$A:$B,2,0)),"")</f>
        <v/>
      </c>
      <c r="F493" t="str">
        <f>IFERROR(IF(D493="","",VLOOKUP(D493,CadProd!$A:$C,3,0)),"")</f>
        <v/>
      </c>
    </row>
    <row r="494" spans="5:6" x14ac:dyDescent="0.3">
      <c r="E494" t="str">
        <f>IFERROR(IF(D494="","",VLOOKUP(D494,CadProd!$A:$B,2,0)),"")</f>
        <v/>
      </c>
      <c r="F494" t="str">
        <f>IFERROR(IF(D494="","",VLOOKUP(D494,CadProd!$A:$C,3,0)),"")</f>
        <v/>
      </c>
    </row>
    <row r="495" spans="5:6" x14ac:dyDescent="0.3">
      <c r="E495" t="str">
        <f>IFERROR(IF(D495="","",VLOOKUP(D495,CadProd!$A:$B,2,0)),"")</f>
        <v/>
      </c>
      <c r="F495" t="str">
        <f>IFERROR(IF(D495="","",VLOOKUP(D495,CadProd!$A:$C,3,0)),"")</f>
        <v/>
      </c>
    </row>
    <row r="496" spans="5:6" x14ac:dyDescent="0.3">
      <c r="E496" t="str">
        <f>IFERROR(IF(D496="","",VLOOKUP(D496,CadProd!$A:$B,2,0)),"")</f>
        <v/>
      </c>
      <c r="F496" t="str">
        <f>IFERROR(IF(D496="","",VLOOKUP(D496,CadProd!$A:$C,3,0)),"")</f>
        <v/>
      </c>
    </row>
    <row r="497" spans="5:6" x14ac:dyDescent="0.3">
      <c r="E497" t="str">
        <f>IFERROR(IF(D497="","",VLOOKUP(D497,CadProd!$A:$B,2,0)),"")</f>
        <v/>
      </c>
      <c r="F497" t="str">
        <f>IFERROR(IF(D497="","",VLOOKUP(D497,CadProd!$A:$C,3,0)),"")</f>
        <v/>
      </c>
    </row>
    <row r="498" spans="5:6" x14ac:dyDescent="0.3">
      <c r="E498" t="str">
        <f>IFERROR(IF(D498="","",VLOOKUP(D498,CadProd!$A:$B,2,0)),"")</f>
        <v/>
      </c>
      <c r="F498" t="str">
        <f>IFERROR(IF(D498="","",VLOOKUP(D498,CadProd!$A:$C,3,0)),"")</f>
        <v/>
      </c>
    </row>
    <row r="499" spans="5:6" x14ac:dyDescent="0.3">
      <c r="E499" t="str">
        <f>IFERROR(IF(D499="","",VLOOKUP(D499,CadProd!$A:$B,2,0)),"")</f>
        <v/>
      </c>
      <c r="F499" t="str">
        <f>IFERROR(IF(D499="","",VLOOKUP(D499,CadProd!$A:$C,3,0)),"")</f>
        <v/>
      </c>
    </row>
    <row r="500" spans="5:6" x14ac:dyDescent="0.3">
      <c r="E500" t="str">
        <f>IFERROR(IF(D500="","",VLOOKUP(D500,CadProd!$A:$B,2,0)),"")</f>
        <v/>
      </c>
      <c r="F500" t="str">
        <f>IFERROR(IF(D500="","",VLOOKUP(D500,CadProd!$A:$C,3,0)),"")</f>
        <v/>
      </c>
    </row>
    <row r="501" spans="5:6" x14ac:dyDescent="0.3">
      <c r="E501" t="str">
        <f>IFERROR(IF(D501="","",VLOOKUP(D501,CadProd!$A:$B,2,0)),"")</f>
        <v/>
      </c>
      <c r="F501" t="str">
        <f>IFERROR(IF(D501="","",VLOOKUP(D501,CadProd!$A:$C,3,0)),"")</f>
        <v/>
      </c>
    </row>
    <row r="502" spans="5:6" x14ac:dyDescent="0.3">
      <c r="E502" t="str">
        <f>IFERROR(IF(D502="","",VLOOKUP(D502,CadProd!$A:$B,2,0)),"")</f>
        <v/>
      </c>
      <c r="F502" t="str">
        <f>IFERROR(IF(D502="","",VLOOKUP(D502,CadProd!$A:$C,3,0)),"")</f>
        <v/>
      </c>
    </row>
    <row r="503" spans="5:6" x14ac:dyDescent="0.3">
      <c r="E503" t="str">
        <f>IFERROR(IF(D503="","",VLOOKUP(D503,CadProd!$A:$B,2,0)),"")</f>
        <v/>
      </c>
      <c r="F503" t="str">
        <f>IFERROR(IF(D503="","",VLOOKUP(D503,CadProd!$A:$C,3,0)),"")</f>
        <v/>
      </c>
    </row>
    <row r="504" spans="5:6" x14ac:dyDescent="0.3">
      <c r="E504" t="str">
        <f>IFERROR(IF(D504="","",VLOOKUP(D504,CadProd!$A:$B,2,0)),"")</f>
        <v/>
      </c>
      <c r="F504" t="str">
        <f>IFERROR(IF(D504="","",VLOOKUP(D504,CadProd!$A:$C,3,0)),"")</f>
        <v/>
      </c>
    </row>
    <row r="505" spans="5:6" x14ac:dyDescent="0.3">
      <c r="E505" t="str">
        <f>IFERROR(IF(D505="","",VLOOKUP(D505,CadProd!$A:$B,2,0)),"")</f>
        <v/>
      </c>
      <c r="F505" t="str">
        <f>IFERROR(IF(D505="","",VLOOKUP(D505,CadProd!$A:$C,3,0)),"")</f>
        <v/>
      </c>
    </row>
    <row r="506" spans="5:6" x14ac:dyDescent="0.3">
      <c r="E506" t="str">
        <f>IFERROR(IF(D506="","",VLOOKUP(D506,CadProd!$A:$B,2,0)),"")</f>
        <v/>
      </c>
      <c r="F506" t="str">
        <f>IFERROR(IF(D506="","",VLOOKUP(D506,CadProd!$A:$C,3,0)),"")</f>
        <v/>
      </c>
    </row>
    <row r="507" spans="5:6" x14ac:dyDescent="0.3">
      <c r="E507" t="str">
        <f>IFERROR(IF(D507="","",VLOOKUP(D507,CadProd!$A:$B,2,0)),"")</f>
        <v/>
      </c>
      <c r="F507" t="str">
        <f>IFERROR(IF(D507="","",VLOOKUP(D507,CadProd!$A:$C,3,0)),"")</f>
        <v/>
      </c>
    </row>
    <row r="508" spans="5:6" x14ac:dyDescent="0.3">
      <c r="E508" t="str">
        <f>IFERROR(IF(D508="","",VLOOKUP(D508,CadProd!$A:$B,2,0)),"")</f>
        <v/>
      </c>
      <c r="F508" t="str">
        <f>IFERROR(IF(D508="","",VLOOKUP(D508,CadProd!$A:$C,3,0)),"")</f>
        <v/>
      </c>
    </row>
    <row r="509" spans="5:6" x14ac:dyDescent="0.3">
      <c r="E509" t="str">
        <f>IFERROR(IF(D509="","",VLOOKUP(D509,CadProd!$A:$B,2,0)),"")</f>
        <v/>
      </c>
      <c r="F509" t="str">
        <f>IFERROR(IF(D509="","",VLOOKUP(D509,CadProd!$A:$C,3,0)),"")</f>
        <v/>
      </c>
    </row>
    <row r="510" spans="5:6" x14ac:dyDescent="0.3">
      <c r="E510" t="str">
        <f>IFERROR(IF(D510="","",VLOOKUP(D510,CadProd!$A:$B,2,0)),"")</f>
        <v/>
      </c>
      <c r="F510" t="str">
        <f>IFERROR(IF(D510="","",VLOOKUP(D510,CadProd!$A:$C,3,0)),"")</f>
        <v/>
      </c>
    </row>
    <row r="511" spans="5:6" x14ac:dyDescent="0.3">
      <c r="E511" t="str">
        <f>IFERROR(IF(D511="","",VLOOKUP(D511,CadProd!$A:$B,2,0)),"")</f>
        <v/>
      </c>
      <c r="F511" t="str">
        <f>IFERROR(IF(D511="","",VLOOKUP(D511,CadProd!$A:$C,3,0)),"")</f>
        <v/>
      </c>
    </row>
    <row r="512" spans="5:6" x14ac:dyDescent="0.3">
      <c r="E512" t="str">
        <f>IFERROR(IF(D512="","",VLOOKUP(D512,CadProd!$A:$B,2,0)),"")</f>
        <v/>
      </c>
      <c r="F512" t="str">
        <f>IFERROR(IF(D512="","",VLOOKUP(D512,CadProd!$A:$C,3,0)),"")</f>
        <v/>
      </c>
    </row>
    <row r="513" spans="5:6" x14ac:dyDescent="0.3">
      <c r="E513" t="str">
        <f>IFERROR(IF(D513="","",VLOOKUP(D513,CadProd!$A:$B,2,0)),"")</f>
        <v/>
      </c>
      <c r="F513" t="str">
        <f>IFERROR(IF(D513="","",VLOOKUP(D513,CadProd!$A:$C,3,0)),"")</f>
        <v/>
      </c>
    </row>
    <row r="514" spans="5:6" x14ac:dyDescent="0.3">
      <c r="E514" t="str">
        <f>IFERROR(IF(D514="","",VLOOKUP(D514,CadProd!$A:$B,2,0)),"")</f>
        <v/>
      </c>
      <c r="F514" t="str">
        <f>IFERROR(IF(D514="","",VLOOKUP(D514,CadProd!$A:$C,3,0)),"")</f>
        <v/>
      </c>
    </row>
    <row r="515" spans="5:6" x14ac:dyDescent="0.3">
      <c r="E515" t="str">
        <f>IFERROR(IF(D515="","",VLOOKUP(D515,CadProd!$A:$B,2,0)),"")</f>
        <v/>
      </c>
      <c r="F515" t="str">
        <f>IFERROR(IF(D515="","",VLOOKUP(D515,CadProd!$A:$C,3,0)),"")</f>
        <v/>
      </c>
    </row>
    <row r="516" spans="5:6" x14ac:dyDescent="0.3">
      <c r="E516" t="str">
        <f>IFERROR(IF(D516="","",VLOOKUP(D516,CadProd!$A:$B,2,0)),"")</f>
        <v/>
      </c>
      <c r="F516" t="str">
        <f>IFERROR(IF(D516="","",VLOOKUP(D516,CadProd!$A:$C,3,0)),"")</f>
        <v/>
      </c>
    </row>
    <row r="517" spans="5:6" x14ac:dyDescent="0.3">
      <c r="E517" t="str">
        <f>IFERROR(IF(D517="","",VLOOKUP(D517,CadProd!$A:$B,2,0)),"")</f>
        <v/>
      </c>
      <c r="F517" t="str">
        <f>IFERROR(IF(D517="","",VLOOKUP(D517,CadProd!$A:$C,3,0)),"")</f>
        <v/>
      </c>
    </row>
    <row r="518" spans="5:6" x14ac:dyDescent="0.3">
      <c r="E518" t="str">
        <f>IFERROR(IF(D518="","",VLOOKUP(D518,CadProd!$A:$B,2,0)),"")</f>
        <v/>
      </c>
      <c r="F518" t="str">
        <f>IFERROR(IF(D518="","",VLOOKUP(D518,CadProd!$A:$C,3,0)),"")</f>
        <v/>
      </c>
    </row>
    <row r="519" spans="5:6" x14ac:dyDescent="0.3">
      <c r="E519" t="str">
        <f>IFERROR(IF(D519="","",VLOOKUP(D519,CadProd!$A:$B,2,0)),"")</f>
        <v/>
      </c>
      <c r="F519" t="str">
        <f>IFERROR(IF(D519="","",VLOOKUP(D519,CadProd!$A:$C,3,0)),"")</f>
        <v/>
      </c>
    </row>
    <row r="520" spans="5:6" x14ac:dyDescent="0.3">
      <c r="E520" t="str">
        <f>IFERROR(IF(D520="","",VLOOKUP(D520,CadProd!$A:$B,2,0)),"")</f>
        <v/>
      </c>
      <c r="F520" t="str">
        <f>IFERROR(IF(D520="","",VLOOKUP(D520,CadProd!$A:$C,3,0)),"")</f>
        <v/>
      </c>
    </row>
    <row r="521" spans="5:6" x14ac:dyDescent="0.3">
      <c r="E521" t="str">
        <f>IFERROR(IF(D521="","",VLOOKUP(D521,CadProd!$A:$B,2,0)),"")</f>
        <v/>
      </c>
      <c r="F521" t="str">
        <f>IFERROR(IF(D521="","",VLOOKUP(D521,CadProd!$A:$C,3,0)),"")</f>
        <v/>
      </c>
    </row>
    <row r="522" spans="5:6" x14ac:dyDescent="0.3">
      <c r="E522" t="str">
        <f>IFERROR(IF(D522="","",VLOOKUP(D522,CadProd!$A:$B,2,0)),"")</f>
        <v/>
      </c>
      <c r="F522" t="str">
        <f>IFERROR(IF(D522="","",VLOOKUP(D522,CadProd!$A:$C,3,0)),"")</f>
        <v/>
      </c>
    </row>
    <row r="523" spans="5:6" x14ac:dyDescent="0.3">
      <c r="E523" t="str">
        <f>IFERROR(IF(D523="","",VLOOKUP(D523,CadProd!$A:$B,2,0)),"")</f>
        <v/>
      </c>
      <c r="F523" t="str">
        <f>IFERROR(IF(D523="","",VLOOKUP(D523,CadProd!$A:$C,3,0)),"")</f>
        <v/>
      </c>
    </row>
    <row r="524" spans="5:6" x14ac:dyDescent="0.3">
      <c r="E524" t="str">
        <f>IFERROR(IF(D524="","",VLOOKUP(D524,CadProd!$A:$B,2,0)),"")</f>
        <v/>
      </c>
      <c r="F524" t="str">
        <f>IFERROR(IF(D524="","",VLOOKUP(D524,CadProd!$A:$C,3,0)),"")</f>
        <v/>
      </c>
    </row>
    <row r="525" spans="5:6" x14ac:dyDescent="0.3">
      <c r="E525" t="str">
        <f>IFERROR(IF(D525="","",VLOOKUP(D525,CadProd!$A:$B,2,0)),"")</f>
        <v/>
      </c>
      <c r="F525" t="str">
        <f>IFERROR(IF(D525="","",VLOOKUP(D525,CadProd!$A:$C,3,0)),"")</f>
        <v/>
      </c>
    </row>
    <row r="526" spans="5:6" x14ac:dyDescent="0.3">
      <c r="E526" t="str">
        <f>IFERROR(IF(D526="","",VLOOKUP(D526,CadProd!$A:$B,2,0)),"")</f>
        <v/>
      </c>
      <c r="F526" t="str">
        <f>IFERROR(IF(D526="","",VLOOKUP(D526,CadProd!$A:$C,3,0)),"")</f>
        <v/>
      </c>
    </row>
    <row r="527" spans="5:6" x14ac:dyDescent="0.3">
      <c r="E527" t="str">
        <f>IFERROR(IF(D527="","",VLOOKUP(D527,CadProd!$A:$B,2,0)),"")</f>
        <v/>
      </c>
      <c r="F527" t="str">
        <f>IFERROR(IF(D527="","",VLOOKUP(D527,CadProd!$A:$C,3,0)),"")</f>
        <v/>
      </c>
    </row>
    <row r="528" spans="5:6" x14ac:dyDescent="0.3">
      <c r="E528" t="str">
        <f>IFERROR(IF(D528="","",VLOOKUP(D528,CadProd!$A:$B,2,0)),"")</f>
        <v/>
      </c>
      <c r="F528" t="str">
        <f>IFERROR(IF(D528="","",VLOOKUP(D528,CadProd!$A:$C,3,0)),"")</f>
        <v/>
      </c>
    </row>
    <row r="529" spans="5:6" x14ac:dyDescent="0.3">
      <c r="E529" t="str">
        <f>IFERROR(IF(D529="","",VLOOKUP(D529,CadProd!$A:$B,2,0)),"")</f>
        <v/>
      </c>
      <c r="F529" t="str">
        <f>IFERROR(IF(D529="","",VLOOKUP(D529,CadProd!$A:$C,3,0)),"")</f>
        <v/>
      </c>
    </row>
    <row r="530" spans="5:6" x14ac:dyDescent="0.3">
      <c r="E530" t="str">
        <f>IFERROR(IF(D530="","",VLOOKUP(D530,CadProd!$A:$B,2,0)),"")</f>
        <v/>
      </c>
      <c r="F530" t="str">
        <f>IFERROR(IF(D530="","",VLOOKUP(D530,CadProd!$A:$C,3,0)),"")</f>
        <v/>
      </c>
    </row>
    <row r="531" spans="5:6" x14ac:dyDescent="0.3">
      <c r="E531" t="str">
        <f>IFERROR(IF(D531="","",VLOOKUP(D531,CadProd!$A:$B,2,0)),"")</f>
        <v/>
      </c>
      <c r="F531" t="str">
        <f>IFERROR(IF(D531="","",VLOOKUP(D531,CadProd!$A:$C,3,0)),"")</f>
        <v/>
      </c>
    </row>
    <row r="532" spans="5:6" x14ac:dyDescent="0.3">
      <c r="E532" t="str">
        <f>IFERROR(IF(D532="","",VLOOKUP(D532,CadProd!$A:$B,2,0)),"")</f>
        <v/>
      </c>
      <c r="F532" t="str">
        <f>IFERROR(IF(D532="","",VLOOKUP(D532,CadProd!$A:$C,3,0)),"")</f>
        <v/>
      </c>
    </row>
    <row r="533" spans="5:6" x14ac:dyDescent="0.3">
      <c r="E533" t="str">
        <f>IFERROR(IF(D533="","",VLOOKUP(D533,CadProd!$A:$B,2,0)),"")</f>
        <v/>
      </c>
      <c r="F533" t="str">
        <f>IFERROR(IF(D533="","",VLOOKUP(D533,CadProd!$A:$C,3,0)),"")</f>
        <v/>
      </c>
    </row>
    <row r="534" spans="5:6" x14ac:dyDescent="0.3">
      <c r="E534" t="str">
        <f>IFERROR(IF(D534="","",VLOOKUP(D534,CadProd!$A:$B,2,0)),"")</f>
        <v/>
      </c>
      <c r="F534" t="str">
        <f>IFERROR(IF(D534="","",VLOOKUP(D534,CadProd!$A:$C,3,0)),"")</f>
        <v/>
      </c>
    </row>
    <row r="535" spans="5:6" x14ac:dyDescent="0.3">
      <c r="E535" t="str">
        <f>IFERROR(IF(D535="","",VLOOKUP(D535,CadProd!$A:$B,2,0)),"")</f>
        <v/>
      </c>
      <c r="F535" t="str">
        <f>IFERROR(IF(D535="","",VLOOKUP(D535,CadProd!$A:$C,3,0)),"")</f>
        <v/>
      </c>
    </row>
    <row r="536" spans="5:6" x14ac:dyDescent="0.3">
      <c r="E536" t="str">
        <f>IFERROR(IF(D536="","",VLOOKUP(D536,CadProd!$A:$B,2,0)),"")</f>
        <v/>
      </c>
      <c r="F536" t="str">
        <f>IFERROR(IF(D536="","",VLOOKUP(D536,CadProd!$A:$C,3,0)),"")</f>
        <v/>
      </c>
    </row>
    <row r="537" spans="5:6" x14ac:dyDescent="0.3">
      <c r="E537" t="str">
        <f>IFERROR(IF(D537="","",VLOOKUP(D537,CadProd!$A:$B,2,0)),"")</f>
        <v/>
      </c>
      <c r="F537" t="str">
        <f>IFERROR(IF(D537="","",VLOOKUP(D537,CadProd!$A:$C,3,0)),"")</f>
        <v/>
      </c>
    </row>
    <row r="538" spans="5:6" x14ac:dyDescent="0.3">
      <c r="E538" t="str">
        <f>IFERROR(IF(D538="","",VLOOKUP(D538,CadProd!$A:$B,2,0)),"")</f>
        <v/>
      </c>
      <c r="F538" t="str">
        <f>IFERROR(IF(D538="","",VLOOKUP(D538,CadProd!$A:$C,3,0)),"")</f>
        <v/>
      </c>
    </row>
    <row r="539" spans="5:6" x14ac:dyDescent="0.3">
      <c r="E539" t="str">
        <f>IFERROR(IF(D539="","",VLOOKUP(D539,CadProd!$A:$B,2,0)),"")</f>
        <v/>
      </c>
      <c r="F539" t="str">
        <f>IFERROR(IF(D539="","",VLOOKUP(D539,CadProd!$A:$C,3,0)),"")</f>
        <v/>
      </c>
    </row>
    <row r="540" spans="5:6" x14ac:dyDescent="0.3">
      <c r="E540" t="str">
        <f>IFERROR(IF(D540="","",VLOOKUP(D540,CadProd!$A:$B,2,0)),"")</f>
        <v/>
      </c>
      <c r="F540" t="str">
        <f>IFERROR(IF(D540="","",VLOOKUP(D540,CadProd!$A:$C,3,0)),"")</f>
        <v/>
      </c>
    </row>
    <row r="541" spans="5:6" x14ac:dyDescent="0.3">
      <c r="E541" t="str">
        <f>IFERROR(IF(D541="","",VLOOKUP(D541,CadProd!$A:$B,2,0)),"")</f>
        <v/>
      </c>
      <c r="F541" t="str">
        <f>IFERROR(IF(D541="","",VLOOKUP(D541,CadProd!$A:$C,3,0)),"")</f>
        <v/>
      </c>
    </row>
    <row r="542" spans="5:6" x14ac:dyDescent="0.3">
      <c r="E542" t="str">
        <f>IFERROR(IF(D542="","",VLOOKUP(D542,CadProd!$A:$B,2,0)),"")</f>
        <v/>
      </c>
      <c r="F542" t="str">
        <f>IFERROR(IF(D542="","",VLOOKUP(D542,CadProd!$A:$C,3,0)),"")</f>
        <v/>
      </c>
    </row>
    <row r="543" spans="5:6" x14ac:dyDescent="0.3">
      <c r="E543" t="str">
        <f>IFERROR(IF(D543="","",VLOOKUP(D543,CadProd!$A:$B,2,0)),"")</f>
        <v/>
      </c>
      <c r="F543" t="str">
        <f>IFERROR(IF(D543="","",VLOOKUP(D543,CadProd!$A:$C,3,0)),"")</f>
        <v/>
      </c>
    </row>
    <row r="544" spans="5:6" x14ac:dyDescent="0.3">
      <c r="E544" t="str">
        <f>IFERROR(IF(D544="","",VLOOKUP(D544,CadProd!$A:$B,2,0)),"")</f>
        <v/>
      </c>
      <c r="F544" t="str">
        <f>IFERROR(IF(D544="","",VLOOKUP(D544,CadProd!$A:$C,3,0)),"")</f>
        <v/>
      </c>
    </row>
    <row r="545" spans="5:6" x14ac:dyDescent="0.3">
      <c r="E545" t="str">
        <f>IFERROR(IF(D545="","",VLOOKUP(D545,CadProd!$A:$B,2,0)),"")</f>
        <v/>
      </c>
      <c r="F545" t="str">
        <f>IFERROR(IF(D545="","",VLOOKUP(D545,CadProd!$A:$C,3,0)),"")</f>
        <v/>
      </c>
    </row>
    <row r="546" spans="5:6" x14ac:dyDescent="0.3">
      <c r="E546" t="str">
        <f>IFERROR(IF(D546="","",VLOOKUP(D546,CadProd!$A:$B,2,0)),"")</f>
        <v/>
      </c>
      <c r="F546" t="str">
        <f>IFERROR(IF(D546="","",VLOOKUP(D546,CadProd!$A:$C,3,0)),"")</f>
        <v/>
      </c>
    </row>
    <row r="547" spans="5:6" x14ac:dyDescent="0.3">
      <c r="E547" t="str">
        <f>IFERROR(IF(D547="","",VLOOKUP(D547,CadProd!$A:$B,2,0)),"")</f>
        <v/>
      </c>
      <c r="F547" t="str">
        <f>IFERROR(IF(D547="","",VLOOKUP(D547,CadProd!$A:$C,3,0)),"")</f>
        <v/>
      </c>
    </row>
    <row r="548" spans="5:6" x14ac:dyDescent="0.3">
      <c r="E548" t="str">
        <f>IFERROR(IF(D548="","",VLOOKUP(D548,CadProd!$A:$B,2,0)),"")</f>
        <v/>
      </c>
      <c r="F548" t="str">
        <f>IFERROR(IF(D548="","",VLOOKUP(D548,CadProd!$A:$C,3,0)),"")</f>
        <v/>
      </c>
    </row>
    <row r="549" spans="5:6" x14ac:dyDescent="0.3">
      <c r="E549" t="str">
        <f>IFERROR(IF(D549="","",VLOOKUP(D549,CadProd!$A:$B,2,0)),"")</f>
        <v/>
      </c>
      <c r="F549" t="str">
        <f>IFERROR(IF(D549="","",VLOOKUP(D549,CadProd!$A:$C,3,0)),"")</f>
        <v/>
      </c>
    </row>
    <row r="550" spans="5:6" x14ac:dyDescent="0.3">
      <c r="E550" t="str">
        <f>IFERROR(IF(D550="","",VLOOKUP(D550,CadProd!$A:$B,2,0)),"")</f>
        <v/>
      </c>
      <c r="F550" t="str">
        <f>IFERROR(IF(D550="","",VLOOKUP(D550,CadProd!$A:$C,3,0)),"")</f>
        <v/>
      </c>
    </row>
    <row r="551" spans="5:6" x14ac:dyDescent="0.3">
      <c r="E551" t="str">
        <f>IFERROR(IF(D551="","",VLOOKUP(D551,CadProd!$A:$B,2,0)),"")</f>
        <v/>
      </c>
      <c r="F551" t="str">
        <f>IFERROR(IF(D551="","",VLOOKUP(D551,CadProd!$A:$C,3,0)),"")</f>
        <v/>
      </c>
    </row>
    <row r="552" spans="5:6" x14ac:dyDescent="0.3">
      <c r="E552" t="str">
        <f>IFERROR(IF(D552="","",VLOOKUP(D552,CadProd!$A:$B,2,0)),"")</f>
        <v/>
      </c>
      <c r="F552" t="str">
        <f>IFERROR(IF(D552="","",VLOOKUP(D552,CadProd!$A:$C,3,0)),"")</f>
        <v/>
      </c>
    </row>
    <row r="553" spans="5:6" x14ac:dyDescent="0.3">
      <c r="E553" t="str">
        <f>IFERROR(IF(D553="","",VLOOKUP(D553,CadProd!$A:$B,2,0)),"")</f>
        <v/>
      </c>
      <c r="F553" t="str">
        <f>IFERROR(IF(D553="","",VLOOKUP(D553,CadProd!$A:$C,3,0)),"")</f>
        <v/>
      </c>
    </row>
    <row r="554" spans="5:6" x14ac:dyDescent="0.3">
      <c r="E554" t="str">
        <f>IFERROR(IF(D554="","",VLOOKUP(D554,CadProd!$A:$B,2,0)),"")</f>
        <v/>
      </c>
      <c r="F554" t="str">
        <f>IFERROR(IF(D554="","",VLOOKUP(D554,CadProd!$A:$C,3,0)),"")</f>
        <v/>
      </c>
    </row>
    <row r="555" spans="5:6" x14ac:dyDescent="0.3">
      <c r="E555" t="str">
        <f>IFERROR(IF(D555="","",VLOOKUP(D555,CadProd!$A:$B,2,0)),"")</f>
        <v/>
      </c>
      <c r="F555" t="str">
        <f>IFERROR(IF(D555="","",VLOOKUP(D555,CadProd!$A:$C,3,0)),"")</f>
        <v/>
      </c>
    </row>
    <row r="556" spans="5:6" x14ac:dyDescent="0.3">
      <c r="E556" t="str">
        <f>IFERROR(IF(D556="","",VLOOKUP(D556,CadProd!$A:$B,2,0)),"")</f>
        <v/>
      </c>
      <c r="F556" t="str">
        <f>IFERROR(IF(D556="","",VLOOKUP(D556,CadProd!$A:$C,3,0)),"")</f>
        <v/>
      </c>
    </row>
    <row r="557" spans="5:6" x14ac:dyDescent="0.3">
      <c r="E557" t="str">
        <f>IFERROR(IF(D557="","",VLOOKUP(D557,CadProd!$A:$B,2,0)),"")</f>
        <v/>
      </c>
      <c r="F557" t="str">
        <f>IFERROR(IF(D557="","",VLOOKUP(D557,CadProd!$A:$C,3,0)),"")</f>
        <v/>
      </c>
    </row>
    <row r="558" spans="5:6" x14ac:dyDescent="0.3">
      <c r="E558" t="str">
        <f>IFERROR(IF(D558="","",VLOOKUP(D558,CadProd!$A:$B,2,0)),"")</f>
        <v/>
      </c>
      <c r="F558" t="str">
        <f>IFERROR(IF(D558="","",VLOOKUP(D558,CadProd!$A:$C,3,0)),"")</f>
        <v/>
      </c>
    </row>
    <row r="559" spans="5:6" x14ac:dyDescent="0.3">
      <c r="E559" t="str">
        <f>IFERROR(IF(D559="","",VLOOKUP(D559,CadProd!$A:$B,2,0)),"")</f>
        <v/>
      </c>
      <c r="F559" t="str">
        <f>IFERROR(IF(D559="","",VLOOKUP(D559,CadProd!$A:$C,3,0)),"")</f>
        <v/>
      </c>
    </row>
    <row r="560" spans="5:6" x14ac:dyDescent="0.3">
      <c r="E560" t="str">
        <f>IFERROR(IF(D560="","",VLOOKUP(D560,CadProd!$A:$B,2,0)),"")</f>
        <v/>
      </c>
      <c r="F560" t="str">
        <f>IFERROR(IF(D560="","",VLOOKUP(D560,CadProd!$A:$C,3,0)),"")</f>
        <v/>
      </c>
    </row>
    <row r="561" spans="5:6" x14ac:dyDescent="0.3">
      <c r="E561" t="str">
        <f>IFERROR(IF(D561="","",VLOOKUP(D561,CadProd!$A:$B,2,0)),"")</f>
        <v/>
      </c>
      <c r="F561" t="str">
        <f>IFERROR(IF(D561="","",VLOOKUP(D561,CadProd!$A:$C,3,0)),"")</f>
        <v/>
      </c>
    </row>
    <row r="562" spans="5:6" x14ac:dyDescent="0.3">
      <c r="E562" t="str">
        <f>IFERROR(IF(D562="","",VLOOKUP(D562,CadProd!$A:$B,2,0)),"")</f>
        <v/>
      </c>
      <c r="F562" t="str">
        <f>IFERROR(IF(D562="","",VLOOKUP(D562,CadProd!$A:$C,3,0)),"")</f>
        <v/>
      </c>
    </row>
    <row r="563" spans="5:6" x14ac:dyDescent="0.3">
      <c r="E563" t="str">
        <f>IFERROR(IF(D563="","",VLOOKUP(D563,CadProd!$A:$B,2,0)),"")</f>
        <v/>
      </c>
      <c r="F563" t="str">
        <f>IFERROR(IF(D563="","",VLOOKUP(D563,CadProd!$A:$C,3,0)),"")</f>
        <v/>
      </c>
    </row>
    <row r="564" spans="5:6" x14ac:dyDescent="0.3">
      <c r="E564" t="str">
        <f>IFERROR(IF(D564="","",VLOOKUP(D564,CadProd!$A:$B,2,0)),"")</f>
        <v/>
      </c>
      <c r="F564" t="str">
        <f>IFERROR(IF(D564="","",VLOOKUP(D564,CadProd!$A:$C,3,0)),"")</f>
        <v/>
      </c>
    </row>
    <row r="565" spans="5:6" x14ac:dyDescent="0.3">
      <c r="E565" t="str">
        <f>IFERROR(IF(D565="","",VLOOKUP(D565,CadProd!$A:$B,2,0)),"")</f>
        <v/>
      </c>
      <c r="F565" t="str">
        <f>IFERROR(IF(D565="","",VLOOKUP(D565,CadProd!$A:$C,3,0)),"")</f>
        <v/>
      </c>
    </row>
    <row r="566" spans="5:6" x14ac:dyDescent="0.3">
      <c r="E566" t="str">
        <f>IFERROR(IF(D566="","",VLOOKUP(D566,CadProd!$A:$B,2,0)),"")</f>
        <v/>
      </c>
      <c r="F566" t="str">
        <f>IFERROR(IF(D566="","",VLOOKUP(D566,CadProd!$A:$C,3,0)),"")</f>
        <v/>
      </c>
    </row>
    <row r="567" spans="5:6" x14ac:dyDescent="0.3">
      <c r="E567" t="str">
        <f>IFERROR(IF(D567="","",VLOOKUP(D567,CadProd!$A:$B,2,0)),"")</f>
        <v/>
      </c>
      <c r="F567" t="str">
        <f>IFERROR(IF(D567="","",VLOOKUP(D567,CadProd!$A:$C,3,0)),"")</f>
        <v/>
      </c>
    </row>
    <row r="568" spans="5:6" x14ac:dyDescent="0.3">
      <c r="E568" t="str">
        <f>IFERROR(IF(D568="","",VLOOKUP(D568,CadProd!$A:$B,2,0)),"")</f>
        <v/>
      </c>
      <c r="F568" t="str">
        <f>IFERROR(IF(D568="","",VLOOKUP(D568,CadProd!$A:$C,3,0)),"")</f>
        <v/>
      </c>
    </row>
    <row r="569" spans="5:6" x14ac:dyDescent="0.3">
      <c r="E569" t="str">
        <f>IFERROR(IF(D569="","",VLOOKUP(D569,CadProd!$A:$B,2,0)),"")</f>
        <v/>
      </c>
      <c r="F569" t="str">
        <f>IFERROR(IF(D569="","",VLOOKUP(D569,CadProd!$A:$C,3,0)),"")</f>
        <v/>
      </c>
    </row>
    <row r="570" spans="5:6" x14ac:dyDescent="0.3">
      <c r="E570" t="str">
        <f>IFERROR(IF(D570="","",VLOOKUP(D570,CadProd!$A:$B,2,0)),"")</f>
        <v/>
      </c>
      <c r="F570" t="str">
        <f>IFERROR(IF(D570="","",VLOOKUP(D570,CadProd!$A:$C,3,0)),"")</f>
        <v/>
      </c>
    </row>
    <row r="571" spans="5:6" x14ac:dyDescent="0.3">
      <c r="E571" t="str">
        <f>IFERROR(IF(D571="","",VLOOKUP(D571,CadProd!$A:$B,2,0)),"")</f>
        <v/>
      </c>
      <c r="F571" t="str">
        <f>IFERROR(IF(D571="","",VLOOKUP(D571,CadProd!$A:$C,3,0)),"")</f>
        <v/>
      </c>
    </row>
    <row r="572" spans="5:6" x14ac:dyDescent="0.3">
      <c r="E572" t="str">
        <f>IFERROR(IF(D572="","",VLOOKUP(D572,CadProd!$A:$B,2,0)),"")</f>
        <v/>
      </c>
      <c r="F572" t="str">
        <f>IFERROR(IF(D572="","",VLOOKUP(D572,CadProd!$A:$C,3,0)),"")</f>
        <v/>
      </c>
    </row>
    <row r="573" spans="5:6" x14ac:dyDescent="0.3">
      <c r="E573" t="str">
        <f>IFERROR(IF(D573="","",VLOOKUP(D573,CadProd!$A:$B,2,0)),"")</f>
        <v/>
      </c>
      <c r="F573" t="str">
        <f>IFERROR(IF(D573="","",VLOOKUP(D573,CadProd!$A:$C,3,0)),"")</f>
        <v/>
      </c>
    </row>
    <row r="574" spans="5:6" x14ac:dyDescent="0.3">
      <c r="E574" t="str">
        <f>IFERROR(IF(D574="","",VLOOKUP(D574,CadProd!$A:$B,2,0)),"")</f>
        <v/>
      </c>
      <c r="F574" t="str">
        <f>IFERROR(IF(D574="","",VLOOKUP(D574,CadProd!$A:$C,3,0)),"")</f>
        <v/>
      </c>
    </row>
    <row r="575" spans="5:6" x14ac:dyDescent="0.3">
      <c r="E575" t="str">
        <f>IFERROR(IF(D575="","",VLOOKUP(D575,CadProd!$A:$B,2,0)),"")</f>
        <v/>
      </c>
      <c r="F575" t="str">
        <f>IFERROR(IF(D575="","",VLOOKUP(D575,CadProd!$A:$C,3,0)),"")</f>
        <v/>
      </c>
    </row>
    <row r="576" spans="5:6" x14ac:dyDescent="0.3">
      <c r="E576" t="str">
        <f>IFERROR(IF(D576="","",VLOOKUP(D576,CadProd!$A:$B,2,0)),"")</f>
        <v/>
      </c>
      <c r="F576" t="str">
        <f>IFERROR(IF(D576="","",VLOOKUP(D576,CadProd!$A:$C,3,0)),"")</f>
        <v/>
      </c>
    </row>
    <row r="577" spans="5:6" x14ac:dyDescent="0.3">
      <c r="E577" t="str">
        <f>IFERROR(IF(D577="","",VLOOKUP(D577,CadProd!$A:$B,2,0)),"")</f>
        <v/>
      </c>
      <c r="F577" t="str">
        <f>IFERROR(IF(D577="","",VLOOKUP(D577,CadProd!$A:$C,3,0)),"")</f>
        <v/>
      </c>
    </row>
    <row r="578" spans="5:6" x14ac:dyDescent="0.3">
      <c r="E578" t="str">
        <f>IFERROR(IF(D578="","",VLOOKUP(D578,CadProd!$A:$B,2,0)),"")</f>
        <v/>
      </c>
      <c r="F578" t="str">
        <f>IFERROR(IF(D578="","",VLOOKUP(D578,CadProd!$A:$C,3,0)),"")</f>
        <v/>
      </c>
    </row>
    <row r="579" spans="5:6" x14ac:dyDescent="0.3">
      <c r="E579" t="str">
        <f>IFERROR(IF(D579="","",VLOOKUP(D579,CadProd!$A:$B,2,0)),"")</f>
        <v/>
      </c>
      <c r="F579" t="str">
        <f>IFERROR(IF(D579="","",VLOOKUP(D579,CadProd!$A:$C,3,0)),"")</f>
        <v/>
      </c>
    </row>
    <row r="580" spans="5:6" x14ac:dyDescent="0.3">
      <c r="E580" t="str">
        <f>IFERROR(IF(D580="","",VLOOKUP(D580,CadProd!$A:$B,2,0)),"")</f>
        <v/>
      </c>
      <c r="F580" t="str">
        <f>IFERROR(IF(D580="","",VLOOKUP(D580,CadProd!$A:$C,3,0)),"")</f>
        <v/>
      </c>
    </row>
    <row r="581" spans="5:6" x14ac:dyDescent="0.3">
      <c r="E581" t="str">
        <f>IFERROR(IF(D581="","",VLOOKUP(D581,CadProd!$A:$B,2,0)),"")</f>
        <v/>
      </c>
      <c r="F581" t="str">
        <f>IFERROR(IF(D581="","",VLOOKUP(D581,CadProd!$A:$C,3,0)),"")</f>
        <v/>
      </c>
    </row>
    <row r="582" spans="5:6" x14ac:dyDescent="0.3">
      <c r="E582" t="str">
        <f>IFERROR(IF(D582="","",VLOOKUP(D582,CadProd!$A:$B,2,0)),"")</f>
        <v/>
      </c>
      <c r="F582" t="str">
        <f>IFERROR(IF(D582="","",VLOOKUP(D582,CadProd!$A:$C,3,0)),"")</f>
        <v/>
      </c>
    </row>
    <row r="583" spans="5:6" x14ac:dyDescent="0.3">
      <c r="E583" t="str">
        <f>IFERROR(IF(D583="","",VLOOKUP(D583,CadProd!$A:$B,2,0)),"")</f>
        <v/>
      </c>
      <c r="F583" t="str">
        <f>IFERROR(IF(D583="","",VLOOKUP(D583,CadProd!$A:$C,3,0)),"")</f>
        <v/>
      </c>
    </row>
    <row r="584" spans="5:6" x14ac:dyDescent="0.3">
      <c r="E584" t="str">
        <f>IFERROR(IF(D584="","",VLOOKUP(D584,CadProd!$A:$B,2,0)),"")</f>
        <v/>
      </c>
      <c r="F584" t="str">
        <f>IFERROR(IF(D584="","",VLOOKUP(D584,CadProd!$A:$C,3,0)),"")</f>
        <v/>
      </c>
    </row>
    <row r="585" spans="5:6" x14ac:dyDescent="0.3">
      <c r="E585" t="str">
        <f>IFERROR(IF(D585="","",VLOOKUP(D585,CadProd!$A:$B,2,0)),"")</f>
        <v/>
      </c>
      <c r="F585" t="str">
        <f>IFERROR(IF(D585="","",VLOOKUP(D585,CadProd!$A:$C,3,0)),"")</f>
        <v/>
      </c>
    </row>
    <row r="586" spans="5:6" x14ac:dyDescent="0.3">
      <c r="E586" t="str">
        <f>IFERROR(IF(D586="","",VLOOKUP(D586,CadProd!$A:$B,2,0)),"")</f>
        <v/>
      </c>
      <c r="F586" t="str">
        <f>IFERROR(IF(D586="","",VLOOKUP(D586,CadProd!$A:$C,3,0)),"")</f>
        <v/>
      </c>
    </row>
    <row r="587" spans="5:6" x14ac:dyDescent="0.3">
      <c r="E587" t="str">
        <f>IFERROR(IF(D587="","",VLOOKUP(D587,CadProd!$A:$B,2,0)),"")</f>
        <v/>
      </c>
      <c r="F587" t="str">
        <f>IFERROR(IF(D587="","",VLOOKUP(D587,CadProd!$A:$C,3,0)),"")</f>
        <v/>
      </c>
    </row>
    <row r="588" spans="5:6" x14ac:dyDescent="0.3">
      <c r="E588" t="str">
        <f>IFERROR(IF(D588="","",VLOOKUP(D588,CadProd!$A:$B,2,0)),"")</f>
        <v/>
      </c>
      <c r="F588" t="str">
        <f>IFERROR(IF(D588="","",VLOOKUP(D588,CadProd!$A:$C,3,0)),"")</f>
        <v/>
      </c>
    </row>
    <row r="589" spans="5:6" x14ac:dyDescent="0.3">
      <c r="E589" t="str">
        <f>IFERROR(IF(D589="","",VLOOKUP(D589,CadProd!$A:$B,2,0)),"")</f>
        <v/>
      </c>
      <c r="F589" t="str">
        <f>IFERROR(IF(D589="","",VLOOKUP(D589,CadProd!$A:$C,3,0)),"")</f>
        <v/>
      </c>
    </row>
    <row r="590" spans="5:6" x14ac:dyDescent="0.3">
      <c r="E590" t="str">
        <f>IFERROR(IF(D590="","",VLOOKUP(D590,CadProd!$A:$B,2,0)),"")</f>
        <v/>
      </c>
      <c r="F590" t="str">
        <f>IFERROR(IF(D590="","",VLOOKUP(D590,CadProd!$A:$C,3,0)),"")</f>
        <v/>
      </c>
    </row>
    <row r="591" spans="5:6" x14ac:dyDescent="0.3">
      <c r="E591" t="str">
        <f>IFERROR(IF(D591="","",VLOOKUP(D591,CadProd!$A:$B,2,0)),"")</f>
        <v/>
      </c>
      <c r="F591" t="str">
        <f>IFERROR(IF(D591="","",VLOOKUP(D591,CadProd!$A:$C,3,0)),"")</f>
        <v/>
      </c>
    </row>
    <row r="592" spans="5:6" x14ac:dyDescent="0.3">
      <c r="E592" t="str">
        <f>IFERROR(IF(D592="","",VLOOKUP(D592,CadProd!$A:$B,2,0)),"")</f>
        <v/>
      </c>
      <c r="F592" t="str">
        <f>IFERROR(IF(D592="","",VLOOKUP(D592,CadProd!$A:$C,3,0)),"")</f>
        <v/>
      </c>
    </row>
    <row r="593" spans="5:6" x14ac:dyDescent="0.3">
      <c r="E593" t="str">
        <f>IFERROR(IF(D593="","",VLOOKUP(D593,CadProd!$A:$B,2,0)),"")</f>
        <v/>
      </c>
      <c r="F593" t="str">
        <f>IFERROR(IF(D593="","",VLOOKUP(D593,CadProd!$A:$C,3,0)),"")</f>
        <v/>
      </c>
    </row>
    <row r="594" spans="5:6" x14ac:dyDescent="0.3">
      <c r="E594" t="str">
        <f>IFERROR(IF(D594="","",VLOOKUP(D594,CadProd!$A:$B,2,0)),"")</f>
        <v/>
      </c>
      <c r="F594" t="str">
        <f>IFERROR(IF(D594="","",VLOOKUP(D594,CadProd!$A:$C,3,0)),"")</f>
        <v/>
      </c>
    </row>
    <row r="595" spans="5:6" x14ac:dyDescent="0.3">
      <c r="E595" t="str">
        <f>IFERROR(IF(D595="","",VLOOKUP(D595,CadProd!$A:$B,2,0)),"")</f>
        <v/>
      </c>
      <c r="F595" t="str">
        <f>IFERROR(IF(D595="","",VLOOKUP(D595,CadProd!$A:$C,3,0)),"")</f>
        <v/>
      </c>
    </row>
    <row r="596" spans="5:6" x14ac:dyDescent="0.3">
      <c r="E596" t="str">
        <f>IFERROR(IF(D596="","",VLOOKUP(D596,CadProd!$A:$B,2,0)),"")</f>
        <v/>
      </c>
      <c r="F596" t="str">
        <f>IFERROR(IF(D596="","",VLOOKUP(D596,CadProd!$A:$C,3,0)),"")</f>
        <v/>
      </c>
    </row>
    <row r="597" spans="5:6" x14ac:dyDescent="0.3">
      <c r="E597" t="str">
        <f>IFERROR(IF(D597="","",VLOOKUP(D597,CadProd!$A:$B,2,0)),"")</f>
        <v/>
      </c>
      <c r="F597" t="str">
        <f>IFERROR(IF(D597="","",VLOOKUP(D597,CadProd!$A:$C,3,0)),"")</f>
        <v/>
      </c>
    </row>
    <row r="598" spans="5:6" x14ac:dyDescent="0.3">
      <c r="E598" t="str">
        <f>IFERROR(IF(D598="","",VLOOKUP(D598,CadProd!$A:$B,2,0)),"")</f>
        <v/>
      </c>
      <c r="F598" t="str">
        <f>IFERROR(IF(D598="","",VLOOKUP(D598,CadProd!$A:$C,3,0)),"")</f>
        <v/>
      </c>
    </row>
    <row r="599" spans="5:6" x14ac:dyDescent="0.3">
      <c r="E599" t="str">
        <f>IFERROR(IF(D599="","",VLOOKUP(D599,CadProd!$A:$B,2,0)),"")</f>
        <v/>
      </c>
      <c r="F599" t="str">
        <f>IFERROR(IF(D599="","",VLOOKUP(D599,CadProd!$A:$C,3,0)),"")</f>
        <v/>
      </c>
    </row>
    <row r="600" spans="5:6" x14ac:dyDescent="0.3">
      <c r="E600" t="str">
        <f>IFERROR(IF(D600="","",VLOOKUP(D600,CadProd!$A:$B,2,0)),"")</f>
        <v/>
      </c>
      <c r="F600" t="str">
        <f>IFERROR(IF(D600="","",VLOOKUP(D600,CadProd!$A:$C,3,0)),"")</f>
        <v/>
      </c>
    </row>
    <row r="601" spans="5:6" x14ac:dyDescent="0.3">
      <c r="E601" t="str">
        <f>IFERROR(IF(D601="","",VLOOKUP(D601,CadProd!$A:$B,2,0)),"")</f>
        <v/>
      </c>
      <c r="F601" t="str">
        <f>IFERROR(IF(D601="","",VLOOKUP(D601,CadProd!$A:$C,3,0)),"")</f>
        <v/>
      </c>
    </row>
    <row r="602" spans="5:6" x14ac:dyDescent="0.3">
      <c r="E602" t="str">
        <f>IFERROR(IF(D602="","",VLOOKUP(D602,CadProd!$A:$B,2,0)),"")</f>
        <v/>
      </c>
      <c r="F602" t="str">
        <f>IFERROR(IF(D602="","",VLOOKUP(D602,CadProd!$A:$C,3,0)),"")</f>
        <v/>
      </c>
    </row>
    <row r="603" spans="5:6" x14ac:dyDescent="0.3">
      <c r="E603" t="str">
        <f>IFERROR(IF(D603="","",VLOOKUP(D603,CadProd!$A:$B,2,0)),"")</f>
        <v/>
      </c>
      <c r="F603" t="str">
        <f>IFERROR(IF(D603="","",VLOOKUP(D603,CadProd!$A:$C,3,0)),"")</f>
        <v/>
      </c>
    </row>
    <row r="604" spans="5:6" x14ac:dyDescent="0.3">
      <c r="E604" t="str">
        <f>IFERROR(IF(D604="","",VLOOKUP(D604,CadProd!$A:$B,2,0)),"")</f>
        <v/>
      </c>
      <c r="F604" t="str">
        <f>IFERROR(IF(D604="","",VLOOKUP(D604,CadProd!$A:$C,3,0)),"")</f>
        <v/>
      </c>
    </row>
    <row r="605" spans="5:6" x14ac:dyDescent="0.3">
      <c r="E605" t="str">
        <f>IFERROR(IF(D605="","",VLOOKUP(D605,CadProd!$A:$B,2,0)),"")</f>
        <v/>
      </c>
      <c r="F605" t="str">
        <f>IFERROR(IF(D605="","",VLOOKUP(D605,CadProd!$A:$C,3,0)),"")</f>
        <v/>
      </c>
    </row>
    <row r="606" spans="5:6" x14ac:dyDescent="0.3">
      <c r="E606" t="str">
        <f>IFERROR(IF(D606="","",VLOOKUP(D606,CadProd!$A:$B,2,0)),"")</f>
        <v/>
      </c>
      <c r="F606" t="str">
        <f>IFERROR(IF(D606="","",VLOOKUP(D606,CadProd!$A:$C,3,0)),"")</f>
        <v/>
      </c>
    </row>
    <row r="607" spans="5:6" x14ac:dyDescent="0.3">
      <c r="E607" t="str">
        <f>IFERROR(IF(D607="","",VLOOKUP(D607,CadProd!$A:$B,2,0)),"")</f>
        <v/>
      </c>
      <c r="F607" t="str">
        <f>IFERROR(IF(D607="","",VLOOKUP(D607,CadProd!$A:$C,3,0)),"")</f>
        <v/>
      </c>
    </row>
    <row r="608" spans="5:6" x14ac:dyDescent="0.3">
      <c r="E608" t="str">
        <f>IFERROR(IF(D608="","",VLOOKUP(D608,CadProd!$A:$B,2,0)),"")</f>
        <v/>
      </c>
      <c r="F608" t="str">
        <f>IFERROR(IF(D608="","",VLOOKUP(D608,CadProd!$A:$C,3,0)),"")</f>
        <v/>
      </c>
    </row>
    <row r="609" spans="5:6" x14ac:dyDescent="0.3">
      <c r="E609" t="str">
        <f>IFERROR(IF(D609="","",VLOOKUP(D609,CadProd!$A:$B,2,0)),"")</f>
        <v/>
      </c>
      <c r="F609" t="str">
        <f>IFERROR(IF(D609="","",VLOOKUP(D609,CadProd!$A:$C,3,0)),"")</f>
        <v/>
      </c>
    </row>
    <row r="610" spans="5:6" x14ac:dyDescent="0.3">
      <c r="E610" t="str">
        <f>IFERROR(IF(D610="","",VLOOKUP(D610,CadProd!$A:$B,2,0)),"")</f>
        <v/>
      </c>
      <c r="F610" t="str">
        <f>IFERROR(IF(D610="","",VLOOKUP(D610,CadProd!$A:$C,3,0)),"")</f>
        <v/>
      </c>
    </row>
    <row r="611" spans="5:6" x14ac:dyDescent="0.3">
      <c r="E611" t="str">
        <f>IFERROR(IF(D611="","",VLOOKUP(D611,CadProd!$A:$B,2,0)),"")</f>
        <v/>
      </c>
      <c r="F611" t="str">
        <f>IFERROR(IF(D611="","",VLOOKUP(D611,CadProd!$A:$C,3,0)),"")</f>
        <v/>
      </c>
    </row>
    <row r="612" spans="5:6" x14ac:dyDescent="0.3">
      <c r="E612" t="str">
        <f>IFERROR(IF(D612="","",VLOOKUP(D612,CadProd!$A:$B,2,0)),"")</f>
        <v/>
      </c>
      <c r="F612" t="str">
        <f>IFERROR(IF(D612="","",VLOOKUP(D612,CadProd!$A:$C,3,0)),"")</f>
        <v/>
      </c>
    </row>
    <row r="613" spans="5:6" x14ac:dyDescent="0.3">
      <c r="E613" t="str">
        <f>IFERROR(IF(D613="","",VLOOKUP(D613,CadProd!$A:$B,2,0)),"")</f>
        <v/>
      </c>
      <c r="F613" t="str">
        <f>IFERROR(IF(D613="","",VLOOKUP(D613,CadProd!$A:$C,3,0)),"")</f>
        <v/>
      </c>
    </row>
    <row r="614" spans="5:6" x14ac:dyDescent="0.3">
      <c r="E614" t="str">
        <f>IFERROR(IF(D614="","",VLOOKUP(D614,CadProd!$A:$B,2,0)),"")</f>
        <v/>
      </c>
      <c r="F614" t="str">
        <f>IFERROR(IF(D614="","",VLOOKUP(D614,CadProd!$A:$C,3,0)),"")</f>
        <v/>
      </c>
    </row>
    <row r="615" spans="5:6" x14ac:dyDescent="0.3">
      <c r="E615" t="str">
        <f>IFERROR(IF(D615="","",VLOOKUP(D615,CadProd!$A:$B,2,0)),"")</f>
        <v/>
      </c>
      <c r="F615" t="str">
        <f>IFERROR(IF(D615="","",VLOOKUP(D615,CadProd!$A:$C,3,0)),"")</f>
        <v/>
      </c>
    </row>
    <row r="616" spans="5:6" x14ac:dyDescent="0.3">
      <c r="E616" t="str">
        <f>IFERROR(IF(D616="","",VLOOKUP(D616,CadProd!$A:$B,2,0)),"")</f>
        <v/>
      </c>
      <c r="F616" t="str">
        <f>IFERROR(IF(D616="","",VLOOKUP(D616,CadProd!$A:$C,3,0)),"")</f>
        <v/>
      </c>
    </row>
    <row r="617" spans="5:6" x14ac:dyDescent="0.3">
      <c r="E617" t="str">
        <f>IFERROR(IF(D617="","",VLOOKUP(D617,CadProd!$A:$B,2,0)),"")</f>
        <v/>
      </c>
      <c r="F617" t="str">
        <f>IFERROR(IF(D617="","",VLOOKUP(D617,CadProd!$A:$C,3,0)),"")</f>
        <v/>
      </c>
    </row>
    <row r="618" spans="5:6" x14ac:dyDescent="0.3">
      <c r="E618" t="str">
        <f>IFERROR(IF(D618="","",VLOOKUP(D618,CadProd!$A:$B,2,0)),"")</f>
        <v/>
      </c>
      <c r="F618" t="str">
        <f>IFERROR(IF(D618="","",VLOOKUP(D618,CadProd!$A:$C,3,0)),"")</f>
        <v/>
      </c>
    </row>
    <row r="619" spans="5:6" x14ac:dyDescent="0.3">
      <c r="E619" t="str">
        <f>IFERROR(IF(D619="","",VLOOKUP(D619,CadProd!$A:$B,2,0)),"")</f>
        <v/>
      </c>
      <c r="F619" t="str">
        <f>IFERROR(IF(D619="","",VLOOKUP(D619,CadProd!$A:$C,3,0)),"")</f>
        <v/>
      </c>
    </row>
    <row r="620" spans="5:6" x14ac:dyDescent="0.3">
      <c r="E620" t="str">
        <f>IFERROR(IF(D620="","",VLOOKUP(D620,CadProd!$A:$B,2,0)),"")</f>
        <v/>
      </c>
      <c r="F620" t="str">
        <f>IFERROR(IF(D620="","",VLOOKUP(D620,CadProd!$A:$C,3,0)),"")</f>
        <v/>
      </c>
    </row>
    <row r="621" spans="5:6" x14ac:dyDescent="0.3">
      <c r="E621" t="str">
        <f>IFERROR(IF(D621="","",VLOOKUP(D621,CadProd!$A:$B,2,0)),"")</f>
        <v/>
      </c>
      <c r="F621" t="str">
        <f>IFERROR(IF(D621="","",VLOOKUP(D621,CadProd!$A:$C,3,0)),"")</f>
        <v/>
      </c>
    </row>
    <row r="622" spans="5:6" x14ac:dyDescent="0.3">
      <c r="E622" t="str">
        <f>IFERROR(IF(D622="","",VLOOKUP(D622,CadProd!$A:$B,2,0)),"")</f>
        <v/>
      </c>
      <c r="F622" t="str">
        <f>IFERROR(IF(D622="","",VLOOKUP(D622,CadProd!$A:$C,3,0)),"")</f>
        <v/>
      </c>
    </row>
    <row r="623" spans="5:6" x14ac:dyDescent="0.3">
      <c r="E623" t="str">
        <f>IFERROR(IF(D623="","",VLOOKUP(D623,CadProd!$A:$B,2,0)),"")</f>
        <v/>
      </c>
      <c r="F623" t="str">
        <f>IFERROR(IF(D623="","",VLOOKUP(D623,CadProd!$A:$C,3,0)),"")</f>
        <v/>
      </c>
    </row>
    <row r="624" spans="5:6" x14ac:dyDescent="0.3">
      <c r="E624" t="str">
        <f>IFERROR(IF(D624="","",VLOOKUP(D624,CadProd!$A:$B,2,0)),"")</f>
        <v/>
      </c>
      <c r="F624" t="str">
        <f>IFERROR(IF(D624="","",VLOOKUP(D624,CadProd!$A:$C,3,0)),"")</f>
        <v/>
      </c>
    </row>
    <row r="625" spans="5:6" x14ac:dyDescent="0.3">
      <c r="E625" t="str">
        <f>IFERROR(IF(D625="","",VLOOKUP(D625,CadProd!$A:$B,2,0)),"")</f>
        <v/>
      </c>
      <c r="F625" t="str">
        <f>IFERROR(IF(D625="","",VLOOKUP(D625,CadProd!$A:$C,3,0)),"")</f>
        <v/>
      </c>
    </row>
    <row r="626" spans="5:6" x14ac:dyDescent="0.3">
      <c r="E626" t="str">
        <f>IFERROR(IF(D626="","",VLOOKUP(D626,CadProd!$A:$B,2,0)),"")</f>
        <v/>
      </c>
      <c r="F626" t="str">
        <f>IFERROR(IF(D626="","",VLOOKUP(D626,CadProd!$A:$C,3,0)),"")</f>
        <v/>
      </c>
    </row>
    <row r="627" spans="5:6" x14ac:dyDescent="0.3">
      <c r="E627" t="str">
        <f>IFERROR(IF(D627="","",VLOOKUP(D627,CadProd!$A:$B,2,0)),"")</f>
        <v/>
      </c>
      <c r="F627" t="str">
        <f>IFERROR(IF(D627="","",VLOOKUP(D627,CadProd!$A:$C,3,0)),"")</f>
        <v/>
      </c>
    </row>
    <row r="628" spans="5:6" x14ac:dyDescent="0.3">
      <c r="E628" t="str">
        <f>IFERROR(IF(D628="","",VLOOKUP(D628,CadProd!$A:$B,2,0)),"")</f>
        <v/>
      </c>
      <c r="F628" t="str">
        <f>IFERROR(IF(D628="","",VLOOKUP(D628,CadProd!$A:$C,3,0)),"")</f>
        <v/>
      </c>
    </row>
    <row r="629" spans="5:6" x14ac:dyDescent="0.3">
      <c r="E629" t="str">
        <f>IFERROR(IF(D629="","",VLOOKUP(D629,CadProd!$A:$B,2,0)),"")</f>
        <v/>
      </c>
      <c r="F629" t="str">
        <f>IFERROR(IF(D629="","",VLOOKUP(D629,CadProd!$A:$C,3,0)),"")</f>
        <v/>
      </c>
    </row>
    <row r="630" spans="5:6" x14ac:dyDescent="0.3">
      <c r="E630" t="str">
        <f>IFERROR(IF(D630="","",VLOOKUP(D630,CadProd!$A:$B,2,0)),"")</f>
        <v/>
      </c>
      <c r="F630" t="str">
        <f>IFERROR(IF(D630="","",VLOOKUP(D630,CadProd!$A:$C,3,0)),"")</f>
        <v/>
      </c>
    </row>
    <row r="631" spans="5:6" x14ac:dyDescent="0.3">
      <c r="E631" t="str">
        <f>IFERROR(IF(D631="","",VLOOKUP(D631,CadProd!$A:$B,2,0)),"")</f>
        <v/>
      </c>
      <c r="F631" t="str">
        <f>IFERROR(IF(D631="","",VLOOKUP(D631,CadProd!$A:$C,3,0)),"")</f>
        <v/>
      </c>
    </row>
    <row r="632" spans="5:6" x14ac:dyDescent="0.3">
      <c r="E632" t="str">
        <f>IFERROR(IF(D632="","",VLOOKUP(D632,CadProd!$A:$B,2,0)),"")</f>
        <v/>
      </c>
      <c r="F632" t="str">
        <f>IFERROR(IF(D632="","",VLOOKUP(D632,CadProd!$A:$C,3,0)),"")</f>
        <v/>
      </c>
    </row>
    <row r="633" spans="5:6" x14ac:dyDescent="0.3">
      <c r="E633" t="str">
        <f>IFERROR(IF(D633="","",VLOOKUP(D633,CadProd!$A:$B,2,0)),"")</f>
        <v/>
      </c>
      <c r="F633" t="str">
        <f>IFERROR(IF(D633="","",VLOOKUP(D633,CadProd!$A:$C,3,0)),"")</f>
        <v/>
      </c>
    </row>
    <row r="634" spans="5:6" x14ac:dyDescent="0.3">
      <c r="E634" t="str">
        <f>IFERROR(IF(D634="","",VLOOKUP(D634,CadProd!$A:$B,2,0)),"")</f>
        <v/>
      </c>
      <c r="F634" t="str">
        <f>IFERROR(IF(D634="","",VLOOKUP(D634,CadProd!$A:$C,3,0)),"")</f>
        <v/>
      </c>
    </row>
    <row r="635" spans="5:6" x14ac:dyDescent="0.3">
      <c r="E635" t="str">
        <f>IFERROR(IF(D635="","",VLOOKUP(D635,CadProd!$A:$B,2,0)),"")</f>
        <v/>
      </c>
      <c r="F635" t="str">
        <f>IFERROR(IF(D635="","",VLOOKUP(D635,CadProd!$A:$C,3,0)),"")</f>
        <v/>
      </c>
    </row>
    <row r="636" spans="5:6" x14ac:dyDescent="0.3">
      <c r="E636" t="str">
        <f>IFERROR(IF(D636="","",VLOOKUP(D636,CadProd!$A:$B,2,0)),"")</f>
        <v/>
      </c>
      <c r="F636" t="str">
        <f>IFERROR(IF(D636="","",VLOOKUP(D636,CadProd!$A:$C,3,0)),"")</f>
        <v/>
      </c>
    </row>
    <row r="637" spans="5:6" x14ac:dyDescent="0.3">
      <c r="E637" t="str">
        <f>IFERROR(IF(D637="","",VLOOKUP(D637,CadProd!$A:$B,2,0)),"")</f>
        <v/>
      </c>
      <c r="F637" t="str">
        <f>IFERROR(IF(D637="","",VLOOKUP(D637,CadProd!$A:$C,3,0)),"")</f>
        <v/>
      </c>
    </row>
    <row r="638" spans="5:6" x14ac:dyDescent="0.3">
      <c r="E638" t="str">
        <f>IFERROR(IF(D638="","",VLOOKUP(D638,CadProd!$A:$B,2,0)),"")</f>
        <v/>
      </c>
      <c r="F638" t="str">
        <f>IFERROR(IF(D638="","",VLOOKUP(D638,CadProd!$A:$C,3,0)),"")</f>
        <v/>
      </c>
    </row>
    <row r="639" spans="5:6" x14ac:dyDescent="0.3">
      <c r="E639" t="str">
        <f>IFERROR(IF(D639="","",VLOOKUP(D639,CadProd!$A:$B,2,0)),"")</f>
        <v/>
      </c>
      <c r="F639" t="str">
        <f>IFERROR(IF(D639="","",VLOOKUP(D639,CadProd!$A:$C,3,0)),"")</f>
        <v/>
      </c>
    </row>
    <row r="640" spans="5:6" x14ac:dyDescent="0.3">
      <c r="E640" t="str">
        <f>IFERROR(IF(D640="","",VLOOKUP(D640,CadProd!$A:$B,2,0)),"")</f>
        <v/>
      </c>
      <c r="F640" t="str">
        <f>IFERROR(IF(D640="","",VLOOKUP(D640,CadProd!$A:$C,3,0)),"")</f>
        <v/>
      </c>
    </row>
    <row r="641" spans="5:6" x14ac:dyDescent="0.3">
      <c r="E641" t="str">
        <f>IFERROR(IF(D641="","",VLOOKUP(D641,CadProd!$A:$B,2,0)),"")</f>
        <v/>
      </c>
      <c r="F641" t="str">
        <f>IFERROR(IF(D641="","",VLOOKUP(D641,CadProd!$A:$C,3,0)),"")</f>
        <v/>
      </c>
    </row>
    <row r="642" spans="5:6" x14ac:dyDescent="0.3">
      <c r="E642" t="str">
        <f>IFERROR(IF(D642="","",VLOOKUP(D642,CadProd!$A:$B,2,0)),"")</f>
        <v/>
      </c>
      <c r="F642" t="str">
        <f>IFERROR(IF(D642="","",VLOOKUP(D642,CadProd!$A:$C,3,0)),"")</f>
        <v/>
      </c>
    </row>
    <row r="643" spans="5:6" x14ac:dyDescent="0.3">
      <c r="E643" t="str">
        <f>IFERROR(IF(D643="","",VLOOKUP(D643,CadProd!$A:$B,2,0)),"")</f>
        <v/>
      </c>
      <c r="F643" t="str">
        <f>IFERROR(IF(D643="","",VLOOKUP(D643,CadProd!$A:$C,3,0)),"")</f>
        <v/>
      </c>
    </row>
    <row r="644" spans="5:6" x14ac:dyDescent="0.3">
      <c r="E644" t="str">
        <f>IFERROR(IF(D644="","",VLOOKUP(D644,CadProd!$A:$B,2,0)),"")</f>
        <v/>
      </c>
      <c r="F644" t="str">
        <f>IFERROR(IF(D644="","",VLOOKUP(D644,CadProd!$A:$C,3,0)),"")</f>
        <v/>
      </c>
    </row>
    <row r="645" spans="5:6" x14ac:dyDescent="0.3">
      <c r="E645" t="str">
        <f>IFERROR(IF(D645="","",VLOOKUP(D645,CadProd!$A:$B,2,0)),"")</f>
        <v/>
      </c>
      <c r="F645" t="str">
        <f>IFERROR(IF(D645="","",VLOOKUP(D645,CadProd!$A:$C,3,0)),"")</f>
        <v/>
      </c>
    </row>
    <row r="646" spans="5:6" x14ac:dyDescent="0.3">
      <c r="E646" t="str">
        <f>IFERROR(IF(D646="","",VLOOKUP(D646,CadProd!$A:$B,2,0)),"")</f>
        <v/>
      </c>
      <c r="F646" t="str">
        <f>IFERROR(IF(D646="","",VLOOKUP(D646,CadProd!$A:$C,3,0)),"")</f>
        <v/>
      </c>
    </row>
    <row r="647" spans="5:6" x14ac:dyDescent="0.3">
      <c r="E647" t="str">
        <f>IFERROR(IF(D647="","",VLOOKUP(D647,CadProd!$A:$B,2,0)),"")</f>
        <v/>
      </c>
      <c r="F647" t="str">
        <f>IFERROR(IF(D647="","",VLOOKUP(D647,CadProd!$A:$C,3,0)),"")</f>
        <v/>
      </c>
    </row>
    <row r="648" spans="5:6" x14ac:dyDescent="0.3">
      <c r="E648" t="str">
        <f>IFERROR(IF(D648="","",VLOOKUP(D648,CadProd!$A:$B,2,0)),"")</f>
        <v/>
      </c>
      <c r="F648" t="str">
        <f>IFERROR(IF(D648="","",VLOOKUP(D648,CadProd!$A:$C,3,0)),"")</f>
        <v/>
      </c>
    </row>
    <row r="649" spans="5:6" x14ac:dyDescent="0.3">
      <c r="E649" t="str">
        <f>IFERROR(IF(D649="","",VLOOKUP(D649,CadProd!$A:$B,2,0)),"")</f>
        <v/>
      </c>
      <c r="F649" t="str">
        <f>IFERROR(IF(D649="","",VLOOKUP(D649,CadProd!$A:$C,3,0)),"")</f>
        <v/>
      </c>
    </row>
    <row r="650" spans="5:6" x14ac:dyDescent="0.3">
      <c r="E650" t="str">
        <f>IFERROR(IF(D650="","",VLOOKUP(D650,CadProd!$A:$B,2,0)),"")</f>
        <v/>
      </c>
      <c r="F650" t="str">
        <f>IFERROR(IF(D650="","",VLOOKUP(D650,CadProd!$A:$C,3,0)),"")</f>
        <v/>
      </c>
    </row>
    <row r="651" spans="5:6" x14ac:dyDescent="0.3">
      <c r="E651" t="str">
        <f>IFERROR(IF(D651="","",VLOOKUP(D651,CadProd!$A:$B,2,0)),"")</f>
        <v/>
      </c>
      <c r="F651" t="str">
        <f>IFERROR(IF(D651="","",VLOOKUP(D651,CadProd!$A:$C,3,0)),"")</f>
        <v/>
      </c>
    </row>
    <row r="652" spans="5:6" x14ac:dyDescent="0.3">
      <c r="E652" t="str">
        <f>IFERROR(IF(D652="","",VLOOKUP(D652,CadProd!$A:$B,2,0)),"")</f>
        <v/>
      </c>
      <c r="F652" t="str">
        <f>IFERROR(IF(D652="","",VLOOKUP(D652,CadProd!$A:$C,3,0)),"")</f>
        <v/>
      </c>
    </row>
    <row r="653" spans="5:6" x14ac:dyDescent="0.3">
      <c r="E653" t="str">
        <f>IFERROR(IF(D653="","",VLOOKUP(D653,CadProd!$A:$B,2,0)),"")</f>
        <v/>
      </c>
      <c r="F653" t="str">
        <f>IFERROR(IF(D653="","",VLOOKUP(D653,CadProd!$A:$C,3,0)),"")</f>
        <v/>
      </c>
    </row>
    <row r="654" spans="5:6" x14ac:dyDescent="0.3">
      <c r="E654" t="str">
        <f>IFERROR(IF(D654="","",VLOOKUP(D654,CadProd!$A:$B,2,0)),"")</f>
        <v/>
      </c>
      <c r="F654" t="str">
        <f>IFERROR(IF(D654="","",VLOOKUP(D654,CadProd!$A:$C,3,0)),"")</f>
        <v/>
      </c>
    </row>
    <row r="655" spans="5:6" x14ac:dyDescent="0.3">
      <c r="E655" t="str">
        <f>IFERROR(IF(D655="","",VLOOKUP(D655,CadProd!$A:$B,2,0)),"")</f>
        <v/>
      </c>
      <c r="F655" t="str">
        <f>IFERROR(IF(D655="","",VLOOKUP(D655,CadProd!$A:$C,3,0)),"")</f>
        <v/>
      </c>
    </row>
    <row r="656" spans="5:6" x14ac:dyDescent="0.3">
      <c r="E656" t="str">
        <f>IFERROR(IF(D656="","",VLOOKUP(D656,CadProd!$A:$B,2,0)),"")</f>
        <v/>
      </c>
      <c r="F656" t="str">
        <f>IFERROR(IF(D656="","",VLOOKUP(D656,CadProd!$A:$C,3,0)),"")</f>
        <v/>
      </c>
    </row>
    <row r="657" spans="5:6" x14ac:dyDescent="0.3">
      <c r="E657" t="str">
        <f>IFERROR(IF(D657="","",VLOOKUP(D657,CadProd!$A:$B,2,0)),"")</f>
        <v/>
      </c>
      <c r="F657" t="str">
        <f>IFERROR(IF(D657="","",VLOOKUP(D657,CadProd!$A:$C,3,0)),"")</f>
        <v/>
      </c>
    </row>
    <row r="658" spans="5:6" x14ac:dyDescent="0.3">
      <c r="E658" t="str">
        <f>IFERROR(IF(D658="","",VLOOKUP(D658,CadProd!$A:$B,2,0)),"")</f>
        <v/>
      </c>
      <c r="F658" t="str">
        <f>IFERROR(IF(D658="","",VLOOKUP(D658,CadProd!$A:$C,3,0)),"")</f>
        <v/>
      </c>
    </row>
    <row r="659" spans="5:6" x14ac:dyDescent="0.3">
      <c r="E659" t="str">
        <f>IFERROR(IF(D659="","",VLOOKUP(D659,CadProd!$A:$B,2,0)),"")</f>
        <v/>
      </c>
      <c r="F659" t="str">
        <f>IFERROR(IF(D659="","",VLOOKUP(D659,CadProd!$A:$C,3,0)),"")</f>
        <v/>
      </c>
    </row>
    <row r="660" spans="5:6" x14ac:dyDescent="0.3">
      <c r="E660" t="str">
        <f>IFERROR(IF(D660="","",VLOOKUP(D660,CadProd!$A:$B,2,0)),"")</f>
        <v/>
      </c>
      <c r="F660" t="str">
        <f>IFERROR(IF(D660="","",VLOOKUP(D660,CadProd!$A:$C,3,0)),"")</f>
        <v/>
      </c>
    </row>
    <row r="661" spans="5:6" x14ac:dyDescent="0.3">
      <c r="E661" t="str">
        <f>IFERROR(IF(D661="","",VLOOKUP(D661,CadProd!$A:$B,2,0)),"")</f>
        <v/>
      </c>
      <c r="F661" t="str">
        <f>IFERROR(IF(D661="","",VLOOKUP(D661,CadProd!$A:$C,3,0)),"")</f>
        <v/>
      </c>
    </row>
    <row r="662" spans="5:6" x14ac:dyDescent="0.3">
      <c r="E662" t="str">
        <f>IFERROR(IF(D662="","",VLOOKUP(D662,CadProd!$A:$B,2,0)),"")</f>
        <v/>
      </c>
      <c r="F662" t="str">
        <f>IFERROR(IF(D662="","",VLOOKUP(D662,CadProd!$A:$C,3,0)),"")</f>
        <v/>
      </c>
    </row>
    <row r="663" spans="5:6" x14ac:dyDescent="0.3">
      <c r="E663" t="str">
        <f>IFERROR(IF(D663="","",VLOOKUP(D663,CadProd!$A:$B,2,0)),"")</f>
        <v/>
      </c>
      <c r="F663" t="str">
        <f>IFERROR(IF(D663="","",VLOOKUP(D663,CadProd!$A:$C,3,0)),"")</f>
        <v/>
      </c>
    </row>
    <row r="664" spans="5:6" x14ac:dyDescent="0.3">
      <c r="E664" t="str">
        <f>IFERROR(IF(D664="","",VLOOKUP(D664,CadProd!$A:$B,2,0)),"")</f>
        <v/>
      </c>
      <c r="F664" t="str">
        <f>IFERROR(IF(D664="","",VLOOKUP(D664,CadProd!$A:$C,3,0)),"")</f>
        <v/>
      </c>
    </row>
    <row r="665" spans="5:6" x14ac:dyDescent="0.3">
      <c r="E665" t="str">
        <f>IFERROR(IF(D665="","",VLOOKUP(D665,CadProd!$A:$B,2,0)),"")</f>
        <v/>
      </c>
      <c r="F665" t="str">
        <f>IFERROR(IF(D665="","",VLOOKUP(D665,CadProd!$A:$C,3,0)),"")</f>
        <v/>
      </c>
    </row>
    <row r="666" spans="5:6" x14ac:dyDescent="0.3">
      <c r="E666" t="str">
        <f>IFERROR(IF(D666="","",VLOOKUP(D666,CadProd!$A:$B,2,0)),"")</f>
        <v/>
      </c>
      <c r="F666" t="str">
        <f>IFERROR(IF(D666="","",VLOOKUP(D666,CadProd!$A:$C,3,0)),"")</f>
        <v/>
      </c>
    </row>
    <row r="667" spans="5:6" x14ac:dyDescent="0.3">
      <c r="E667" t="str">
        <f>IFERROR(IF(D667="","",VLOOKUP(D667,CadProd!$A:$B,2,0)),"")</f>
        <v/>
      </c>
      <c r="F667" t="str">
        <f>IFERROR(IF(D667="","",VLOOKUP(D667,CadProd!$A:$C,3,0)),"")</f>
        <v/>
      </c>
    </row>
    <row r="668" spans="5:6" x14ac:dyDescent="0.3">
      <c r="E668" t="str">
        <f>IFERROR(IF(D668="","",VLOOKUP(D668,CadProd!$A:$B,2,0)),"")</f>
        <v/>
      </c>
      <c r="F668" t="str">
        <f>IFERROR(IF(D668="","",VLOOKUP(D668,CadProd!$A:$C,3,0)),"")</f>
        <v/>
      </c>
    </row>
    <row r="669" spans="5:6" x14ac:dyDescent="0.3">
      <c r="E669" t="str">
        <f>IFERROR(IF(D669="","",VLOOKUP(D669,CadProd!$A:$B,2,0)),"")</f>
        <v/>
      </c>
      <c r="F669" t="str">
        <f>IFERROR(IF(D669="","",VLOOKUP(D669,CadProd!$A:$C,3,0)),"")</f>
        <v/>
      </c>
    </row>
    <row r="670" spans="5:6" x14ac:dyDescent="0.3">
      <c r="E670" t="str">
        <f>IFERROR(IF(D670="","",VLOOKUP(D670,CadProd!$A:$B,2,0)),"")</f>
        <v/>
      </c>
      <c r="F670" t="str">
        <f>IFERROR(IF(D670="","",VLOOKUP(D670,CadProd!$A:$C,3,0)),"")</f>
        <v/>
      </c>
    </row>
    <row r="671" spans="5:6" x14ac:dyDescent="0.3">
      <c r="E671" t="str">
        <f>IFERROR(IF(D671="","",VLOOKUP(D671,CadProd!$A:$B,2,0)),"")</f>
        <v/>
      </c>
      <c r="F671" t="str">
        <f>IFERROR(IF(D671="","",VLOOKUP(D671,CadProd!$A:$C,3,0)),"")</f>
        <v/>
      </c>
    </row>
    <row r="672" spans="5:6" x14ac:dyDescent="0.3">
      <c r="E672" t="str">
        <f>IFERROR(IF(D672="","",VLOOKUP(D672,CadProd!$A:$B,2,0)),"")</f>
        <v/>
      </c>
      <c r="F672" t="str">
        <f>IFERROR(IF(D672="","",VLOOKUP(D672,CadProd!$A:$C,3,0)),"")</f>
        <v/>
      </c>
    </row>
    <row r="673" spans="5:6" x14ac:dyDescent="0.3">
      <c r="E673" t="str">
        <f>IFERROR(IF(D673="","",VLOOKUP(D673,CadProd!$A:$B,2,0)),"")</f>
        <v/>
      </c>
      <c r="F673" t="str">
        <f>IFERROR(IF(D673="","",VLOOKUP(D673,CadProd!$A:$C,3,0)),"")</f>
        <v/>
      </c>
    </row>
    <row r="674" spans="5:6" x14ac:dyDescent="0.3">
      <c r="E674" t="str">
        <f>IFERROR(IF(D674="","",VLOOKUP(D674,CadProd!$A:$B,2,0)),"")</f>
        <v/>
      </c>
      <c r="F674" t="str">
        <f>IFERROR(IF(D674="","",VLOOKUP(D674,CadProd!$A:$C,3,0)),"")</f>
        <v/>
      </c>
    </row>
    <row r="675" spans="5:6" x14ac:dyDescent="0.3">
      <c r="E675" t="str">
        <f>IFERROR(IF(D675="","",VLOOKUP(D675,CadProd!$A:$B,2,0)),"")</f>
        <v/>
      </c>
      <c r="F675" t="str">
        <f>IFERROR(IF(D675="","",VLOOKUP(D675,CadProd!$A:$C,3,0)),"")</f>
        <v/>
      </c>
    </row>
    <row r="676" spans="5:6" x14ac:dyDescent="0.3">
      <c r="E676" t="str">
        <f>IFERROR(IF(D676="","",VLOOKUP(D676,CadProd!$A:$B,2,0)),"")</f>
        <v/>
      </c>
      <c r="F676" t="str">
        <f>IFERROR(IF(D676="","",VLOOKUP(D676,CadProd!$A:$C,3,0)),"")</f>
        <v/>
      </c>
    </row>
    <row r="677" spans="5:6" x14ac:dyDescent="0.3">
      <c r="E677" t="str">
        <f>IFERROR(IF(D677="","",VLOOKUP(D677,CadProd!$A:$B,2,0)),"")</f>
        <v/>
      </c>
      <c r="F677" t="str">
        <f>IFERROR(IF(D677="","",VLOOKUP(D677,CadProd!$A:$C,3,0)),"")</f>
        <v/>
      </c>
    </row>
    <row r="678" spans="5:6" x14ac:dyDescent="0.3">
      <c r="E678" t="str">
        <f>IFERROR(IF(D678="","",VLOOKUP(D678,CadProd!$A:$B,2,0)),"")</f>
        <v/>
      </c>
      <c r="F678" t="str">
        <f>IFERROR(IF(D678="","",VLOOKUP(D678,CadProd!$A:$C,3,0)),"")</f>
        <v/>
      </c>
    </row>
    <row r="679" spans="5:6" x14ac:dyDescent="0.3">
      <c r="E679" t="str">
        <f>IFERROR(IF(D679="","",VLOOKUP(D679,CadProd!$A:$B,2,0)),"")</f>
        <v/>
      </c>
      <c r="F679" t="str">
        <f>IFERROR(IF(D679="","",VLOOKUP(D679,CadProd!$A:$C,3,0)),"")</f>
        <v/>
      </c>
    </row>
    <row r="680" spans="5:6" x14ac:dyDescent="0.3">
      <c r="E680" t="str">
        <f>IFERROR(IF(D680="","",VLOOKUP(D680,CadProd!$A:$B,2,0)),"")</f>
        <v/>
      </c>
      <c r="F680" t="str">
        <f>IFERROR(IF(D680="","",VLOOKUP(D680,CadProd!$A:$C,3,0)),"")</f>
        <v/>
      </c>
    </row>
    <row r="681" spans="5:6" x14ac:dyDescent="0.3">
      <c r="E681" t="str">
        <f>IFERROR(IF(D681="","",VLOOKUP(D681,CadProd!$A:$B,2,0)),"")</f>
        <v/>
      </c>
      <c r="F681" t="str">
        <f>IFERROR(IF(D681="","",VLOOKUP(D681,CadProd!$A:$C,3,0)),"")</f>
        <v/>
      </c>
    </row>
    <row r="682" spans="5:6" x14ac:dyDescent="0.3">
      <c r="E682" t="str">
        <f>IFERROR(IF(D682="","",VLOOKUP(D682,CadProd!$A:$B,2,0)),"")</f>
        <v/>
      </c>
      <c r="F682" t="str">
        <f>IFERROR(IF(D682="","",VLOOKUP(D682,CadProd!$A:$C,3,0)),"")</f>
        <v/>
      </c>
    </row>
    <row r="683" spans="5:6" x14ac:dyDescent="0.3">
      <c r="E683" t="str">
        <f>IFERROR(IF(D683="","",VLOOKUP(D683,CadProd!$A:$B,2,0)),"")</f>
        <v/>
      </c>
      <c r="F683" t="str">
        <f>IFERROR(IF(D683="","",VLOOKUP(D683,CadProd!$A:$C,3,0)),"")</f>
        <v/>
      </c>
    </row>
    <row r="684" spans="5:6" x14ac:dyDescent="0.3">
      <c r="E684" t="str">
        <f>IFERROR(IF(D684="","",VLOOKUP(D684,CadProd!$A:$B,2,0)),"")</f>
        <v/>
      </c>
      <c r="F684" t="str">
        <f>IFERROR(IF(D684="","",VLOOKUP(D684,CadProd!$A:$C,3,0)),"")</f>
        <v/>
      </c>
    </row>
    <row r="685" spans="5:6" x14ac:dyDescent="0.3">
      <c r="E685" t="str">
        <f>IFERROR(IF(D685="","",VLOOKUP(D685,CadProd!$A:$B,2,0)),"")</f>
        <v/>
      </c>
      <c r="F685" t="str">
        <f>IFERROR(IF(D685="","",VLOOKUP(D685,CadProd!$A:$C,3,0)),"")</f>
        <v/>
      </c>
    </row>
    <row r="686" spans="5:6" x14ac:dyDescent="0.3">
      <c r="E686" t="str">
        <f>IFERROR(IF(D686="","",VLOOKUP(D686,CadProd!$A:$B,2,0)),"")</f>
        <v/>
      </c>
      <c r="F686" t="str">
        <f>IFERROR(IF(D686="","",VLOOKUP(D686,CadProd!$A:$C,3,0)),"")</f>
        <v/>
      </c>
    </row>
    <row r="687" spans="5:6" x14ac:dyDescent="0.3">
      <c r="E687" t="str">
        <f>IFERROR(IF(D687="","",VLOOKUP(D687,CadProd!$A:$B,2,0)),"")</f>
        <v/>
      </c>
      <c r="F687" t="str">
        <f>IFERROR(IF(D687="","",VLOOKUP(D687,CadProd!$A:$C,3,0)),"")</f>
        <v/>
      </c>
    </row>
    <row r="688" spans="5:6" x14ac:dyDescent="0.3">
      <c r="E688" t="str">
        <f>IFERROR(IF(D688="","",VLOOKUP(D688,CadProd!$A:$B,2,0)),"")</f>
        <v/>
      </c>
      <c r="F688" t="str">
        <f>IFERROR(IF(D688="","",VLOOKUP(D688,CadProd!$A:$C,3,0)),"")</f>
        <v/>
      </c>
    </row>
    <row r="689" spans="5:6" x14ac:dyDescent="0.3">
      <c r="E689" t="str">
        <f>IFERROR(IF(D689="","",VLOOKUP(D689,CadProd!$A:$B,2,0)),"")</f>
        <v/>
      </c>
      <c r="F689" t="str">
        <f>IFERROR(IF(D689="","",VLOOKUP(D689,CadProd!$A:$C,3,0)),"")</f>
        <v/>
      </c>
    </row>
    <row r="690" spans="5:6" x14ac:dyDescent="0.3">
      <c r="E690" t="str">
        <f>IFERROR(IF(D690="","",VLOOKUP(D690,CadProd!$A:$B,2,0)),"")</f>
        <v/>
      </c>
      <c r="F690" t="str">
        <f>IFERROR(IF(D690="","",VLOOKUP(D690,CadProd!$A:$C,3,0)),"")</f>
        <v/>
      </c>
    </row>
    <row r="691" spans="5:6" x14ac:dyDescent="0.3">
      <c r="E691" t="str">
        <f>IFERROR(IF(D691="","",VLOOKUP(D691,CadProd!$A:$B,2,0)),"")</f>
        <v/>
      </c>
      <c r="F691" t="str">
        <f>IFERROR(IF(D691="","",VLOOKUP(D691,CadProd!$A:$C,3,0)),"")</f>
        <v/>
      </c>
    </row>
    <row r="692" spans="5:6" x14ac:dyDescent="0.3">
      <c r="E692" t="str">
        <f>IFERROR(IF(D692="","",VLOOKUP(D692,CadProd!$A:$B,2,0)),"")</f>
        <v/>
      </c>
      <c r="F692" t="str">
        <f>IFERROR(IF(D692="","",VLOOKUP(D692,CadProd!$A:$C,3,0)),"")</f>
        <v/>
      </c>
    </row>
    <row r="693" spans="5:6" x14ac:dyDescent="0.3">
      <c r="E693" t="str">
        <f>IFERROR(IF(D693="","",VLOOKUP(D693,CadProd!$A:$B,2,0)),"")</f>
        <v/>
      </c>
      <c r="F693" t="str">
        <f>IFERROR(IF(D693="","",VLOOKUP(D693,CadProd!$A:$C,3,0)),"")</f>
        <v/>
      </c>
    </row>
    <row r="694" spans="5:6" x14ac:dyDescent="0.3">
      <c r="E694" t="str">
        <f>IFERROR(IF(D694="","",VLOOKUP(D694,CadProd!$A:$B,2,0)),"")</f>
        <v/>
      </c>
      <c r="F694" t="str">
        <f>IFERROR(IF(D694="","",VLOOKUP(D694,CadProd!$A:$C,3,0)),"")</f>
        <v/>
      </c>
    </row>
    <row r="695" spans="5:6" x14ac:dyDescent="0.3">
      <c r="E695" t="str">
        <f>IFERROR(IF(D695="","",VLOOKUP(D695,CadProd!$A:$B,2,0)),"")</f>
        <v/>
      </c>
      <c r="F695" t="str">
        <f>IFERROR(IF(D695="","",VLOOKUP(D695,CadProd!$A:$C,3,0)),"")</f>
        <v/>
      </c>
    </row>
    <row r="696" spans="5:6" x14ac:dyDescent="0.3">
      <c r="E696" t="str">
        <f>IFERROR(IF(D696="","",VLOOKUP(D696,CadProd!$A:$B,2,0)),"")</f>
        <v/>
      </c>
      <c r="F696" t="str">
        <f>IFERROR(IF(D696="","",VLOOKUP(D696,CadProd!$A:$C,3,0)),"")</f>
        <v/>
      </c>
    </row>
    <row r="697" spans="5:6" x14ac:dyDescent="0.3">
      <c r="E697" t="str">
        <f>IFERROR(IF(D697="","",VLOOKUP(D697,CadProd!$A:$B,2,0)),"")</f>
        <v/>
      </c>
      <c r="F697" t="str">
        <f>IFERROR(IF(D697="","",VLOOKUP(D697,CadProd!$A:$C,3,0)),"")</f>
        <v/>
      </c>
    </row>
    <row r="698" spans="5:6" x14ac:dyDescent="0.3">
      <c r="E698" t="str">
        <f>IFERROR(IF(D698="","",VLOOKUP(D698,CadProd!$A:$B,2,0)),"")</f>
        <v/>
      </c>
      <c r="F698" t="str">
        <f>IFERROR(IF(D698="","",VLOOKUP(D698,CadProd!$A:$C,3,0)),"")</f>
        <v/>
      </c>
    </row>
    <row r="699" spans="5:6" x14ac:dyDescent="0.3">
      <c r="E699" t="str">
        <f>IFERROR(IF(D699="","",VLOOKUP(D699,CadProd!$A:$B,2,0)),"")</f>
        <v/>
      </c>
      <c r="F699" t="str">
        <f>IFERROR(IF(D699="","",VLOOKUP(D699,CadProd!$A:$C,3,0)),"")</f>
        <v/>
      </c>
    </row>
    <row r="700" spans="5:6" x14ac:dyDescent="0.3">
      <c r="E700" t="str">
        <f>IFERROR(IF(D700="","",VLOOKUP(D700,CadProd!$A:$B,2,0)),"")</f>
        <v/>
      </c>
      <c r="F700" t="str">
        <f>IFERROR(IF(D700="","",VLOOKUP(D700,CadProd!$A:$C,3,0)),"")</f>
        <v/>
      </c>
    </row>
    <row r="701" spans="5:6" x14ac:dyDescent="0.3">
      <c r="E701" t="str">
        <f>IFERROR(IF(D701="","",VLOOKUP(D701,CadProd!$A:$B,2,0)),"")</f>
        <v/>
      </c>
      <c r="F701" t="str">
        <f>IFERROR(IF(D701="","",VLOOKUP(D701,CadProd!$A:$C,3,0)),"")</f>
        <v/>
      </c>
    </row>
    <row r="702" spans="5:6" x14ac:dyDescent="0.3">
      <c r="E702" t="str">
        <f>IFERROR(IF(D702="","",VLOOKUP(D702,CadProd!$A:$B,2,0)),"")</f>
        <v/>
      </c>
      <c r="F702" t="str">
        <f>IFERROR(IF(D702="","",VLOOKUP(D702,CadProd!$A:$C,3,0)),"")</f>
        <v/>
      </c>
    </row>
    <row r="703" spans="5:6" x14ac:dyDescent="0.3">
      <c r="E703" t="str">
        <f>IFERROR(IF(D703="","",VLOOKUP(D703,CadProd!$A:$B,2,0)),"")</f>
        <v/>
      </c>
      <c r="F703" t="str">
        <f>IFERROR(IF(D703="","",VLOOKUP(D703,CadProd!$A:$C,3,0)),"")</f>
        <v/>
      </c>
    </row>
    <row r="704" spans="5:6" x14ac:dyDescent="0.3">
      <c r="E704" t="str">
        <f>IFERROR(IF(D704="","",VLOOKUP(D704,CadProd!$A:$B,2,0)),"")</f>
        <v/>
      </c>
      <c r="F704" t="str">
        <f>IFERROR(IF(D704="","",VLOOKUP(D704,CadProd!$A:$C,3,0)),"")</f>
        <v/>
      </c>
    </row>
    <row r="705" spans="5:6" x14ac:dyDescent="0.3">
      <c r="E705" t="str">
        <f>IFERROR(IF(D705="","",VLOOKUP(D705,CadProd!$A:$B,2,0)),"")</f>
        <v/>
      </c>
      <c r="F705" t="str">
        <f>IFERROR(IF(D705="","",VLOOKUP(D705,CadProd!$A:$C,3,0)),"")</f>
        <v/>
      </c>
    </row>
    <row r="706" spans="5:6" x14ac:dyDescent="0.3">
      <c r="E706" t="str">
        <f>IFERROR(IF(D706="","",VLOOKUP(D706,CadProd!$A:$B,2,0)),"")</f>
        <v/>
      </c>
      <c r="F706" t="str">
        <f>IFERROR(IF(D706="","",VLOOKUP(D706,CadProd!$A:$C,3,0)),"")</f>
        <v/>
      </c>
    </row>
    <row r="707" spans="5:6" x14ac:dyDescent="0.3">
      <c r="E707" t="str">
        <f>IFERROR(IF(D707="","",VLOOKUP(D707,CadProd!$A:$B,2,0)),"")</f>
        <v/>
      </c>
      <c r="F707" t="str">
        <f>IFERROR(IF(D707="","",VLOOKUP(D707,CadProd!$A:$C,3,0)),"")</f>
        <v/>
      </c>
    </row>
    <row r="708" spans="5:6" x14ac:dyDescent="0.3">
      <c r="E708" t="str">
        <f>IFERROR(IF(D708="","",VLOOKUP(D708,CadProd!$A:$B,2,0)),"")</f>
        <v/>
      </c>
      <c r="F708" t="str">
        <f>IFERROR(IF(D708="","",VLOOKUP(D708,CadProd!$A:$C,3,0)),"")</f>
        <v/>
      </c>
    </row>
    <row r="709" spans="5:6" x14ac:dyDescent="0.3">
      <c r="E709" t="str">
        <f>IFERROR(IF(D709="","",VLOOKUP(D709,CadProd!$A:$B,2,0)),"")</f>
        <v/>
      </c>
      <c r="F709" t="str">
        <f>IFERROR(IF(D709="","",VLOOKUP(D709,CadProd!$A:$C,3,0)),"")</f>
        <v/>
      </c>
    </row>
    <row r="710" spans="5:6" x14ac:dyDescent="0.3">
      <c r="E710" t="str">
        <f>IFERROR(IF(D710="","",VLOOKUP(D710,CadProd!$A:$B,2,0)),"")</f>
        <v/>
      </c>
      <c r="F710" t="str">
        <f>IFERROR(IF(D710="","",VLOOKUP(D710,CadProd!$A:$C,3,0)),"")</f>
        <v/>
      </c>
    </row>
    <row r="711" spans="5:6" x14ac:dyDescent="0.3">
      <c r="E711" t="str">
        <f>IFERROR(IF(D711="","",VLOOKUP(D711,CadProd!$A:$B,2,0)),"")</f>
        <v/>
      </c>
      <c r="F711" t="str">
        <f>IFERROR(IF(D711="","",VLOOKUP(D711,CadProd!$A:$C,3,0)),"")</f>
        <v/>
      </c>
    </row>
    <row r="712" spans="5:6" x14ac:dyDescent="0.3">
      <c r="E712" t="str">
        <f>IFERROR(IF(D712="","",VLOOKUP(D712,CadProd!$A:$B,2,0)),"")</f>
        <v/>
      </c>
      <c r="F712" t="str">
        <f>IFERROR(IF(D712="","",VLOOKUP(D712,CadProd!$A:$C,3,0)),"")</f>
        <v/>
      </c>
    </row>
    <row r="713" spans="5:6" x14ac:dyDescent="0.3">
      <c r="E713" t="str">
        <f>IFERROR(IF(D713="","",VLOOKUP(D713,CadProd!$A:$B,2,0)),"")</f>
        <v/>
      </c>
      <c r="F713" t="str">
        <f>IFERROR(IF(D713="","",VLOOKUP(D713,CadProd!$A:$C,3,0)),"")</f>
        <v/>
      </c>
    </row>
    <row r="714" spans="5:6" x14ac:dyDescent="0.3">
      <c r="E714" t="str">
        <f>IFERROR(IF(D714="","",VLOOKUP(D714,CadProd!$A:$B,2,0)),"")</f>
        <v/>
      </c>
      <c r="F714" t="str">
        <f>IFERROR(IF(D714="","",VLOOKUP(D714,CadProd!$A:$C,3,0)),"")</f>
        <v/>
      </c>
    </row>
    <row r="715" spans="5:6" x14ac:dyDescent="0.3">
      <c r="E715" t="str">
        <f>IFERROR(IF(D715="","",VLOOKUP(D715,CadProd!$A:$B,2,0)),"")</f>
        <v/>
      </c>
      <c r="F715" t="str">
        <f>IFERROR(IF(D715="","",VLOOKUP(D715,CadProd!$A:$C,3,0)),"")</f>
        <v/>
      </c>
    </row>
    <row r="716" spans="5:6" x14ac:dyDescent="0.3">
      <c r="E716" t="str">
        <f>IFERROR(IF(D716="","",VLOOKUP(D716,CadProd!$A:$B,2,0)),"")</f>
        <v/>
      </c>
      <c r="F716" t="str">
        <f>IFERROR(IF(D716="","",VLOOKUP(D716,CadProd!$A:$C,3,0)),"")</f>
        <v/>
      </c>
    </row>
    <row r="717" spans="5:6" x14ac:dyDescent="0.3">
      <c r="E717" t="str">
        <f>IFERROR(IF(D717="","",VLOOKUP(D717,CadProd!$A:$B,2,0)),"")</f>
        <v/>
      </c>
      <c r="F717" t="str">
        <f>IFERROR(IF(D717="","",VLOOKUP(D717,CadProd!$A:$C,3,0)),"")</f>
        <v/>
      </c>
    </row>
    <row r="718" spans="5:6" x14ac:dyDescent="0.3">
      <c r="E718" t="str">
        <f>IFERROR(IF(D718="","",VLOOKUP(D718,CadProd!$A:$B,2,0)),"")</f>
        <v/>
      </c>
      <c r="F718" t="str">
        <f>IFERROR(IF(D718="","",VLOOKUP(D718,CadProd!$A:$C,3,0)),"")</f>
        <v/>
      </c>
    </row>
    <row r="719" spans="5:6" x14ac:dyDescent="0.3">
      <c r="E719" t="str">
        <f>IFERROR(IF(D719="","",VLOOKUP(D719,CadProd!$A:$B,2,0)),"")</f>
        <v/>
      </c>
      <c r="F719" t="str">
        <f>IFERROR(IF(D719="","",VLOOKUP(D719,CadProd!$A:$C,3,0)),"")</f>
        <v/>
      </c>
    </row>
    <row r="720" spans="5:6" x14ac:dyDescent="0.3">
      <c r="E720" t="str">
        <f>IFERROR(IF(D720="","",VLOOKUP(D720,CadProd!$A:$B,2,0)),"")</f>
        <v/>
      </c>
      <c r="F720" t="str">
        <f>IFERROR(IF(D720="","",VLOOKUP(D720,CadProd!$A:$C,3,0)),"")</f>
        <v/>
      </c>
    </row>
    <row r="721" spans="5:6" x14ac:dyDescent="0.3">
      <c r="E721" t="str">
        <f>IFERROR(IF(D721="","",VLOOKUP(D721,CadProd!$A:$B,2,0)),"")</f>
        <v/>
      </c>
      <c r="F721" t="str">
        <f>IFERROR(IF(D721="","",VLOOKUP(D721,CadProd!$A:$C,3,0)),"")</f>
        <v/>
      </c>
    </row>
    <row r="722" spans="5:6" x14ac:dyDescent="0.3">
      <c r="E722" t="str">
        <f>IFERROR(IF(D722="","",VLOOKUP(D722,CadProd!$A:$B,2,0)),"")</f>
        <v/>
      </c>
      <c r="F722" t="str">
        <f>IFERROR(IF(D722="","",VLOOKUP(D722,CadProd!$A:$C,3,0)),"")</f>
        <v/>
      </c>
    </row>
    <row r="723" spans="5:6" x14ac:dyDescent="0.3">
      <c r="E723" t="str">
        <f>IFERROR(IF(D723="","",VLOOKUP(D723,CadProd!$A:$B,2,0)),"")</f>
        <v/>
      </c>
      <c r="F723" t="str">
        <f>IFERROR(IF(D723="","",VLOOKUP(D723,CadProd!$A:$C,3,0)),"")</f>
        <v/>
      </c>
    </row>
    <row r="724" spans="5:6" x14ac:dyDescent="0.3">
      <c r="E724" t="str">
        <f>IFERROR(IF(D724="","",VLOOKUP(D724,CadProd!$A:$B,2,0)),"")</f>
        <v/>
      </c>
      <c r="F724" t="str">
        <f>IFERROR(IF(D724="","",VLOOKUP(D724,CadProd!$A:$C,3,0)),"")</f>
        <v/>
      </c>
    </row>
    <row r="725" spans="5:6" x14ac:dyDescent="0.3">
      <c r="E725" t="str">
        <f>IFERROR(IF(D725="","",VLOOKUP(D725,CadProd!$A:$B,2,0)),"")</f>
        <v/>
      </c>
      <c r="F725" t="str">
        <f>IFERROR(IF(D725="","",VLOOKUP(D725,CadProd!$A:$C,3,0)),"")</f>
        <v/>
      </c>
    </row>
    <row r="726" spans="5:6" x14ac:dyDescent="0.3">
      <c r="E726" t="str">
        <f>IFERROR(IF(D726="","",VLOOKUP(D726,CadProd!$A:$B,2,0)),"")</f>
        <v/>
      </c>
      <c r="F726" t="str">
        <f>IFERROR(IF(D726="","",VLOOKUP(D726,CadProd!$A:$C,3,0)),"")</f>
        <v/>
      </c>
    </row>
    <row r="727" spans="5:6" x14ac:dyDescent="0.3">
      <c r="E727" t="str">
        <f>IFERROR(IF(D727="","",VLOOKUP(D727,CadProd!$A:$B,2,0)),"")</f>
        <v/>
      </c>
      <c r="F727" t="str">
        <f>IFERROR(IF(D727="","",VLOOKUP(D727,CadProd!$A:$C,3,0)),"")</f>
        <v/>
      </c>
    </row>
    <row r="728" spans="5:6" x14ac:dyDescent="0.3">
      <c r="E728" t="str">
        <f>IFERROR(IF(D728="","",VLOOKUP(D728,CadProd!$A:$B,2,0)),"")</f>
        <v/>
      </c>
      <c r="F728" t="str">
        <f>IFERROR(IF(D728="","",VLOOKUP(D728,CadProd!$A:$C,3,0)),"")</f>
        <v/>
      </c>
    </row>
    <row r="729" spans="5:6" x14ac:dyDescent="0.3">
      <c r="E729" t="str">
        <f>IFERROR(IF(D729="","",VLOOKUP(D729,CadProd!$A:$B,2,0)),"")</f>
        <v/>
      </c>
      <c r="F729" t="str">
        <f>IFERROR(IF(D729="","",VLOOKUP(D729,CadProd!$A:$C,3,0)),"")</f>
        <v/>
      </c>
    </row>
    <row r="730" spans="5:6" x14ac:dyDescent="0.3">
      <c r="E730" t="str">
        <f>IFERROR(IF(D730="","",VLOOKUP(D730,CadProd!$A:$B,2,0)),"")</f>
        <v/>
      </c>
      <c r="F730" t="str">
        <f>IFERROR(IF(D730="","",VLOOKUP(D730,CadProd!$A:$C,3,0)),"")</f>
        <v/>
      </c>
    </row>
    <row r="731" spans="5:6" x14ac:dyDescent="0.3">
      <c r="E731" t="str">
        <f>IFERROR(IF(D731="","",VLOOKUP(D731,CadProd!$A:$B,2,0)),"")</f>
        <v/>
      </c>
      <c r="F731" t="str">
        <f>IFERROR(IF(D731="","",VLOOKUP(D731,CadProd!$A:$C,3,0)),"")</f>
        <v/>
      </c>
    </row>
    <row r="732" spans="5:6" x14ac:dyDescent="0.3">
      <c r="E732" t="str">
        <f>IFERROR(IF(D732="","",VLOOKUP(D732,CadProd!$A:$B,2,0)),"")</f>
        <v/>
      </c>
      <c r="F732" t="str">
        <f>IFERROR(IF(D732="","",VLOOKUP(D732,CadProd!$A:$C,3,0)),"")</f>
        <v/>
      </c>
    </row>
    <row r="733" spans="5:6" x14ac:dyDescent="0.3">
      <c r="E733" t="str">
        <f>IFERROR(IF(D733="","",VLOOKUP(D733,CadProd!$A:$B,2,0)),"")</f>
        <v/>
      </c>
      <c r="F733" t="str">
        <f>IFERROR(IF(D733="","",VLOOKUP(D733,CadProd!$A:$C,3,0)),"")</f>
        <v/>
      </c>
    </row>
    <row r="734" spans="5:6" x14ac:dyDescent="0.3">
      <c r="E734" t="str">
        <f>IFERROR(IF(D734="","",VLOOKUP(D734,CadProd!$A:$B,2,0)),"")</f>
        <v/>
      </c>
      <c r="F734" t="str">
        <f>IFERROR(IF(D734="","",VLOOKUP(D734,CadProd!$A:$C,3,0)),"")</f>
        <v/>
      </c>
    </row>
    <row r="735" spans="5:6" x14ac:dyDescent="0.3">
      <c r="E735" t="str">
        <f>IFERROR(IF(D735="","",VLOOKUP(D735,CadProd!$A:$B,2,0)),"")</f>
        <v/>
      </c>
      <c r="F735" t="str">
        <f>IFERROR(IF(D735="","",VLOOKUP(D735,CadProd!$A:$C,3,0)),"")</f>
        <v/>
      </c>
    </row>
    <row r="736" spans="5:6" x14ac:dyDescent="0.3">
      <c r="E736" t="str">
        <f>IFERROR(IF(D736="","",VLOOKUP(D736,CadProd!$A:$B,2,0)),"")</f>
        <v/>
      </c>
      <c r="F736" t="str">
        <f>IFERROR(IF(D736="","",VLOOKUP(D736,CadProd!$A:$C,3,0)),"")</f>
        <v/>
      </c>
    </row>
    <row r="737" spans="5:6" x14ac:dyDescent="0.3">
      <c r="E737" t="str">
        <f>IFERROR(IF(D737="","",VLOOKUP(D737,CadProd!$A:$B,2,0)),"")</f>
        <v/>
      </c>
      <c r="F737" t="str">
        <f>IFERROR(IF(D737="","",VLOOKUP(D737,CadProd!$A:$C,3,0)),"")</f>
        <v/>
      </c>
    </row>
    <row r="738" spans="5:6" x14ac:dyDescent="0.3">
      <c r="E738" t="str">
        <f>IFERROR(IF(D738="","",VLOOKUP(D738,CadProd!$A:$B,2,0)),"")</f>
        <v/>
      </c>
      <c r="F738" t="str">
        <f>IFERROR(IF(D738="","",VLOOKUP(D738,CadProd!$A:$C,3,0)),"")</f>
        <v/>
      </c>
    </row>
    <row r="739" spans="5:6" x14ac:dyDescent="0.3">
      <c r="E739" t="str">
        <f>IFERROR(IF(D739="","",VLOOKUP(D739,CadProd!$A:$B,2,0)),"")</f>
        <v/>
      </c>
      <c r="F739" t="str">
        <f>IFERROR(IF(D739="","",VLOOKUP(D739,CadProd!$A:$C,3,0)),"")</f>
        <v/>
      </c>
    </row>
    <row r="740" spans="5:6" x14ac:dyDescent="0.3">
      <c r="E740" t="str">
        <f>IFERROR(IF(D740="","",VLOOKUP(D740,CadProd!$A:$B,2,0)),"")</f>
        <v/>
      </c>
      <c r="F740" t="str">
        <f>IFERROR(IF(D740="","",VLOOKUP(D740,CadProd!$A:$C,3,0)),"")</f>
        <v/>
      </c>
    </row>
    <row r="741" spans="5:6" x14ac:dyDescent="0.3">
      <c r="E741" t="str">
        <f>IFERROR(IF(D741="","",VLOOKUP(D741,CadProd!$A:$B,2,0)),"")</f>
        <v/>
      </c>
      <c r="F741" t="str">
        <f>IFERROR(IF(D741="","",VLOOKUP(D741,CadProd!$A:$C,3,0)),"")</f>
        <v/>
      </c>
    </row>
    <row r="742" spans="5:6" x14ac:dyDescent="0.3">
      <c r="E742" t="str">
        <f>IFERROR(IF(D742="","",VLOOKUP(D742,CadProd!$A:$B,2,0)),"")</f>
        <v/>
      </c>
      <c r="F742" t="str">
        <f>IFERROR(IF(D742="","",VLOOKUP(D742,CadProd!$A:$C,3,0)),"")</f>
        <v/>
      </c>
    </row>
    <row r="743" spans="5:6" x14ac:dyDescent="0.3">
      <c r="E743" t="str">
        <f>IFERROR(IF(D743="","",VLOOKUP(D743,CadProd!$A:$B,2,0)),"")</f>
        <v/>
      </c>
      <c r="F743" t="str">
        <f>IFERROR(IF(D743="","",VLOOKUP(D743,CadProd!$A:$C,3,0)),"")</f>
        <v/>
      </c>
    </row>
    <row r="744" spans="5:6" x14ac:dyDescent="0.3">
      <c r="E744" t="str">
        <f>IFERROR(IF(D744="","",VLOOKUP(D744,CadProd!$A:$B,2,0)),"")</f>
        <v/>
      </c>
      <c r="F744" t="str">
        <f>IFERROR(IF(D744="","",VLOOKUP(D744,CadProd!$A:$C,3,0)),"")</f>
        <v/>
      </c>
    </row>
    <row r="745" spans="5:6" x14ac:dyDescent="0.3">
      <c r="E745" t="str">
        <f>IFERROR(IF(D745="","",VLOOKUP(D745,CadProd!$A:$B,2,0)),"")</f>
        <v/>
      </c>
      <c r="F745" t="str">
        <f>IFERROR(IF(D745="","",VLOOKUP(D745,CadProd!$A:$C,3,0)),"")</f>
        <v/>
      </c>
    </row>
    <row r="746" spans="5:6" x14ac:dyDescent="0.3">
      <c r="E746" t="str">
        <f>IFERROR(IF(D746="","",VLOOKUP(D746,CadProd!$A:$B,2,0)),"")</f>
        <v/>
      </c>
      <c r="F746" t="str">
        <f>IFERROR(IF(D746="","",VLOOKUP(D746,CadProd!$A:$C,3,0)),"")</f>
        <v/>
      </c>
    </row>
    <row r="747" spans="5:6" x14ac:dyDescent="0.3">
      <c r="E747" t="str">
        <f>IFERROR(IF(D747="","",VLOOKUP(D747,CadProd!$A:$B,2,0)),"")</f>
        <v/>
      </c>
      <c r="F747" t="str">
        <f>IFERROR(IF(D747="","",VLOOKUP(D747,CadProd!$A:$C,3,0)),"")</f>
        <v/>
      </c>
    </row>
    <row r="748" spans="5:6" x14ac:dyDescent="0.3">
      <c r="E748" t="str">
        <f>IFERROR(IF(D748="","",VLOOKUP(D748,CadProd!$A:$B,2,0)),"")</f>
        <v/>
      </c>
      <c r="F748" t="str">
        <f>IFERROR(IF(D748="","",VLOOKUP(D748,CadProd!$A:$C,3,0)),"")</f>
        <v/>
      </c>
    </row>
    <row r="749" spans="5:6" x14ac:dyDescent="0.3">
      <c r="E749" t="str">
        <f>IFERROR(IF(D749="","",VLOOKUP(D749,CadProd!$A:$B,2,0)),"")</f>
        <v/>
      </c>
      <c r="F749" t="str">
        <f>IFERROR(IF(D749="","",VLOOKUP(D749,CadProd!$A:$C,3,0)),"")</f>
        <v/>
      </c>
    </row>
    <row r="750" spans="5:6" x14ac:dyDescent="0.3">
      <c r="E750" t="str">
        <f>IFERROR(IF(D750="","",VLOOKUP(D750,CadProd!$A:$B,2,0)),"")</f>
        <v/>
      </c>
      <c r="F750" t="str">
        <f>IFERROR(IF(D750="","",VLOOKUP(D750,CadProd!$A:$C,3,0)),"")</f>
        <v/>
      </c>
    </row>
    <row r="751" spans="5:6" x14ac:dyDescent="0.3">
      <c r="E751" t="str">
        <f>IFERROR(IF(D751="","",VLOOKUP(D751,CadProd!$A:$B,2,0)),"")</f>
        <v/>
      </c>
      <c r="F751" t="str">
        <f>IFERROR(IF(D751="","",VLOOKUP(D751,CadProd!$A:$C,3,0)),"")</f>
        <v/>
      </c>
    </row>
    <row r="752" spans="5:6" x14ac:dyDescent="0.3">
      <c r="E752" t="str">
        <f>IFERROR(IF(D752="","",VLOOKUP(D752,CadProd!$A:$B,2,0)),"")</f>
        <v/>
      </c>
      <c r="F752" t="str">
        <f>IFERROR(IF(D752="","",VLOOKUP(D752,CadProd!$A:$C,3,0)),"")</f>
        <v/>
      </c>
    </row>
    <row r="753" spans="5:6" x14ac:dyDescent="0.3">
      <c r="E753" t="str">
        <f>IFERROR(IF(D753="","",VLOOKUP(D753,CadProd!$A:$B,2,0)),"")</f>
        <v/>
      </c>
      <c r="F753" t="str">
        <f>IFERROR(IF(D753="","",VLOOKUP(D753,CadProd!$A:$C,3,0)),"")</f>
        <v/>
      </c>
    </row>
    <row r="754" spans="5:6" x14ac:dyDescent="0.3">
      <c r="E754" t="str">
        <f>IFERROR(IF(D754="","",VLOOKUP(D754,CadProd!$A:$B,2,0)),"")</f>
        <v/>
      </c>
      <c r="F754" t="str">
        <f>IFERROR(IF(D754="","",VLOOKUP(D754,CadProd!$A:$C,3,0)),"")</f>
        <v/>
      </c>
    </row>
    <row r="755" spans="5:6" x14ac:dyDescent="0.3">
      <c r="E755" t="str">
        <f>IFERROR(IF(D755="","",VLOOKUP(D755,CadProd!$A:$B,2,0)),"")</f>
        <v/>
      </c>
      <c r="F755" t="str">
        <f>IFERROR(IF(D755="","",VLOOKUP(D755,CadProd!$A:$C,3,0)),"")</f>
        <v/>
      </c>
    </row>
    <row r="756" spans="5:6" x14ac:dyDescent="0.3">
      <c r="E756" t="str">
        <f>IFERROR(IF(D756="","",VLOOKUP(D756,CadProd!$A:$B,2,0)),"")</f>
        <v/>
      </c>
      <c r="F756" t="str">
        <f>IFERROR(IF(D756="","",VLOOKUP(D756,CadProd!$A:$C,3,0)),"")</f>
        <v/>
      </c>
    </row>
    <row r="757" spans="5:6" x14ac:dyDescent="0.3">
      <c r="E757" t="str">
        <f>IFERROR(IF(D757="","",VLOOKUP(D757,CadProd!$A:$B,2,0)),"")</f>
        <v/>
      </c>
      <c r="F757" t="str">
        <f>IFERROR(IF(D757="","",VLOOKUP(D757,CadProd!$A:$C,3,0)),"")</f>
        <v/>
      </c>
    </row>
    <row r="758" spans="5:6" x14ac:dyDescent="0.3">
      <c r="E758" t="str">
        <f>IFERROR(IF(D758="","",VLOOKUP(D758,CadProd!$A:$B,2,0)),"")</f>
        <v/>
      </c>
      <c r="F758" t="str">
        <f>IFERROR(IF(D758="","",VLOOKUP(D758,CadProd!$A:$C,3,0)),"")</f>
        <v/>
      </c>
    </row>
    <row r="759" spans="5:6" x14ac:dyDescent="0.3">
      <c r="E759" t="str">
        <f>IFERROR(IF(D759="","",VLOOKUP(D759,CadProd!$A:$B,2,0)),"")</f>
        <v/>
      </c>
      <c r="F759" t="str">
        <f>IFERROR(IF(D759="","",VLOOKUP(D759,CadProd!$A:$C,3,0)),"")</f>
        <v/>
      </c>
    </row>
    <row r="760" spans="5:6" x14ac:dyDescent="0.3">
      <c r="E760" t="str">
        <f>IFERROR(IF(D760="","",VLOOKUP(D760,CadProd!$A:$B,2,0)),"")</f>
        <v/>
      </c>
      <c r="F760" t="str">
        <f>IFERROR(IF(D760="","",VLOOKUP(D760,CadProd!$A:$C,3,0)),"")</f>
        <v/>
      </c>
    </row>
    <row r="761" spans="5:6" x14ac:dyDescent="0.3">
      <c r="E761" t="str">
        <f>IFERROR(IF(D761="","",VLOOKUP(D761,CadProd!$A:$B,2,0)),"")</f>
        <v/>
      </c>
      <c r="F761" t="str">
        <f>IFERROR(IF(D761="","",VLOOKUP(D761,CadProd!$A:$C,3,0)),"")</f>
        <v/>
      </c>
    </row>
    <row r="762" spans="5:6" x14ac:dyDescent="0.3">
      <c r="E762" t="str">
        <f>IFERROR(IF(D762="","",VLOOKUP(D762,CadProd!$A:$B,2,0)),"")</f>
        <v/>
      </c>
      <c r="F762" t="str">
        <f>IFERROR(IF(D762="","",VLOOKUP(D762,CadProd!$A:$C,3,0)),"")</f>
        <v/>
      </c>
    </row>
    <row r="763" spans="5:6" x14ac:dyDescent="0.3">
      <c r="E763" t="str">
        <f>IFERROR(IF(D763="","",VLOOKUP(D763,CadProd!$A:$B,2,0)),"")</f>
        <v/>
      </c>
      <c r="F763" t="str">
        <f>IFERROR(IF(D763="","",VLOOKUP(D763,CadProd!$A:$C,3,0)),"")</f>
        <v/>
      </c>
    </row>
    <row r="764" spans="5:6" x14ac:dyDescent="0.3">
      <c r="E764" t="str">
        <f>IFERROR(IF(D764="","",VLOOKUP(D764,CadProd!$A:$B,2,0)),"")</f>
        <v/>
      </c>
      <c r="F764" t="str">
        <f>IFERROR(IF(D764="","",VLOOKUP(D764,CadProd!$A:$C,3,0)),"")</f>
        <v/>
      </c>
    </row>
    <row r="765" spans="5:6" x14ac:dyDescent="0.3">
      <c r="E765" t="str">
        <f>IFERROR(IF(D765="","",VLOOKUP(D765,CadProd!$A:$B,2,0)),"")</f>
        <v/>
      </c>
      <c r="F765" t="str">
        <f>IFERROR(IF(D765="","",VLOOKUP(D765,CadProd!$A:$C,3,0)),"")</f>
        <v/>
      </c>
    </row>
    <row r="766" spans="5:6" x14ac:dyDescent="0.3">
      <c r="E766" t="str">
        <f>IFERROR(IF(D766="","",VLOOKUP(D766,CadProd!$A:$B,2,0)),"")</f>
        <v/>
      </c>
      <c r="F766" t="str">
        <f>IFERROR(IF(D766="","",VLOOKUP(D766,CadProd!$A:$C,3,0)),"")</f>
        <v/>
      </c>
    </row>
    <row r="767" spans="5:6" x14ac:dyDescent="0.3">
      <c r="E767" t="str">
        <f>IFERROR(IF(D767="","",VLOOKUP(D767,CadProd!$A:$B,2,0)),"")</f>
        <v/>
      </c>
      <c r="F767" t="str">
        <f>IFERROR(IF(D767="","",VLOOKUP(D767,CadProd!$A:$C,3,0)),"")</f>
        <v/>
      </c>
    </row>
    <row r="768" spans="5:6" x14ac:dyDescent="0.3">
      <c r="E768" t="str">
        <f>IFERROR(IF(D768="","",VLOOKUP(D768,CadProd!$A:$B,2,0)),"")</f>
        <v/>
      </c>
      <c r="F768" t="str">
        <f>IFERROR(IF(D768="","",VLOOKUP(D768,CadProd!$A:$C,3,0)),"")</f>
        <v/>
      </c>
    </row>
    <row r="769" spans="5:6" x14ac:dyDescent="0.3">
      <c r="E769" t="str">
        <f>IFERROR(IF(D769="","",VLOOKUP(D769,CadProd!$A:$B,2,0)),"")</f>
        <v/>
      </c>
      <c r="F769" t="str">
        <f>IFERROR(IF(D769="","",VLOOKUP(D769,CadProd!$A:$C,3,0)),"")</f>
        <v/>
      </c>
    </row>
    <row r="770" spans="5:6" x14ac:dyDescent="0.3">
      <c r="E770" t="str">
        <f>IFERROR(IF(D770="","",VLOOKUP(D770,CadProd!$A:$B,2,0)),"")</f>
        <v/>
      </c>
      <c r="F770" t="str">
        <f>IFERROR(IF(D770="","",VLOOKUP(D770,CadProd!$A:$C,3,0)),"")</f>
        <v/>
      </c>
    </row>
    <row r="771" spans="5:6" x14ac:dyDescent="0.3">
      <c r="E771" t="str">
        <f>IFERROR(IF(D771="","",VLOOKUP(D771,CadProd!$A:$B,2,0)),"")</f>
        <v/>
      </c>
      <c r="F771" t="str">
        <f>IFERROR(IF(D771="","",VLOOKUP(D771,CadProd!$A:$C,3,0)),"")</f>
        <v/>
      </c>
    </row>
    <row r="772" spans="5:6" x14ac:dyDescent="0.3">
      <c r="E772" t="str">
        <f>IFERROR(IF(D772="","",VLOOKUP(D772,CadProd!$A:$B,2,0)),"")</f>
        <v/>
      </c>
      <c r="F772" t="str">
        <f>IFERROR(IF(D772="","",VLOOKUP(D772,CadProd!$A:$C,3,0)),"")</f>
        <v/>
      </c>
    </row>
    <row r="773" spans="5:6" x14ac:dyDescent="0.3">
      <c r="E773" t="str">
        <f>IFERROR(IF(D773="","",VLOOKUP(D773,CadProd!$A:$B,2,0)),"")</f>
        <v/>
      </c>
      <c r="F773" t="str">
        <f>IFERROR(IF(D773="","",VLOOKUP(D773,CadProd!$A:$C,3,0)),"")</f>
        <v/>
      </c>
    </row>
    <row r="774" spans="5:6" x14ac:dyDescent="0.3">
      <c r="E774" t="str">
        <f>IFERROR(IF(D774="","",VLOOKUP(D774,CadProd!$A:$B,2,0)),"")</f>
        <v/>
      </c>
      <c r="F774" t="str">
        <f>IFERROR(IF(D774="","",VLOOKUP(D774,CadProd!$A:$C,3,0)),"")</f>
        <v/>
      </c>
    </row>
    <row r="775" spans="5:6" x14ac:dyDescent="0.3">
      <c r="E775" t="str">
        <f>IFERROR(IF(D775="","",VLOOKUP(D775,CadProd!$A:$B,2,0)),"")</f>
        <v/>
      </c>
      <c r="F775" t="str">
        <f>IFERROR(IF(D775="","",VLOOKUP(D775,CadProd!$A:$C,3,0)),"")</f>
        <v/>
      </c>
    </row>
    <row r="776" spans="5:6" x14ac:dyDescent="0.3">
      <c r="E776" t="str">
        <f>IFERROR(IF(D776="","",VLOOKUP(D776,CadProd!$A:$B,2,0)),"")</f>
        <v/>
      </c>
      <c r="F776" t="str">
        <f>IFERROR(IF(D776="","",VLOOKUP(D776,CadProd!$A:$C,3,0)),"")</f>
        <v/>
      </c>
    </row>
    <row r="777" spans="5:6" x14ac:dyDescent="0.3">
      <c r="E777" t="str">
        <f>IFERROR(IF(D777="","",VLOOKUP(D777,CadProd!$A:$B,2,0)),"")</f>
        <v/>
      </c>
      <c r="F777" t="str">
        <f>IFERROR(IF(D777="","",VLOOKUP(D777,CadProd!$A:$C,3,0)),"")</f>
        <v/>
      </c>
    </row>
    <row r="778" spans="5:6" x14ac:dyDescent="0.3">
      <c r="E778" t="str">
        <f>IFERROR(IF(D778="","",VLOOKUP(D778,CadProd!$A:$B,2,0)),"")</f>
        <v/>
      </c>
      <c r="F778" t="str">
        <f>IFERROR(IF(D778="","",VLOOKUP(D778,CadProd!$A:$C,3,0)),"")</f>
        <v/>
      </c>
    </row>
    <row r="779" spans="5:6" x14ac:dyDescent="0.3">
      <c r="E779" t="str">
        <f>IFERROR(IF(D779="","",VLOOKUP(D779,CadProd!$A:$B,2,0)),"")</f>
        <v/>
      </c>
      <c r="F779" t="str">
        <f>IFERROR(IF(D779="","",VLOOKUP(D779,CadProd!$A:$C,3,0)),"")</f>
        <v/>
      </c>
    </row>
    <row r="780" spans="5:6" x14ac:dyDescent="0.3">
      <c r="E780" t="str">
        <f>IFERROR(IF(D780="","",VLOOKUP(D780,CadProd!$A:$B,2,0)),"")</f>
        <v/>
      </c>
      <c r="F780" t="str">
        <f>IFERROR(IF(D780="","",VLOOKUP(D780,CadProd!$A:$C,3,0)),"")</f>
        <v/>
      </c>
    </row>
    <row r="781" spans="5:6" x14ac:dyDescent="0.3">
      <c r="E781" t="str">
        <f>IFERROR(IF(D781="","",VLOOKUP(D781,CadProd!$A:$B,2,0)),"")</f>
        <v/>
      </c>
      <c r="F781" t="str">
        <f>IFERROR(IF(D781="","",VLOOKUP(D781,CadProd!$A:$C,3,0)),"")</f>
        <v/>
      </c>
    </row>
    <row r="782" spans="5:6" x14ac:dyDescent="0.3">
      <c r="E782" t="str">
        <f>IFERROR(IF(D782="","",VLOOKUP(D782,CadProd!$A:$B,2,0)),"")</f>
        <v/>
      </c>
      <c r="F782" t="str">
        <f>IFERROR(IF(D782="","",VLOOKUP(D782,CadProd!$A:$C,3,0)),"")</f>
        <v/>
      </c>
    </row>
    <row r="783" spans="5:6" x14ac:dyDescent="0.3">
      <c r="E783" t="str">
        <f>IFERROR(IF(D783="","",VLOOKUP(D783,CadProd!$A:$B,2,0)),"")</f>
        <v/>
      </c>
      <c r="F783" t="str">
        <f>IFERROR(IF(D783="","",VLOOKUP(D783,CadProd!$A:$C,3,0)),"")</f>
        <v/>
      </c>
    </row>
    <row r="784" spans="5:6" x14ac:dyDescent="0.3">
      <c r="E784" t="str">
        <f>IFERROR(IF(D784="","",VLOOKUP(D784,CadProd!$A:$B,2,0)),"")</f>
        <v/>
      </c>
      <c r="F784" t="str">
        <f>IFERROR(IF(D784="","",VLOOKUP(D784,CadProd!$A:$C,3,0)),"")</f>
        <v/>
      </c>
    </row>
    <row r="785" spans="5:6" x14ac:dyDescent="0.3">
      <c r="E785" t="str">
        <f>IFERROR(IF(D785="","",VLOOKUP(D785,CadProd!$A:$B,2,0)),"")</f>
        <v/>
      </c>
      <c r="F785" t="str">
        <f>IFERROR(IF(D785="","",VLOOKUP(D785,CadProd!$A:$C,3,0)),"")</f>
        <v/>
      </c>
    </row>
    <row r="786" spans="5:6" x14ac:dyDescent="0.3">
      <c r="E786" t="str">
        <f>IFERROR(IF(D786="","",VLOOKUP(D786,CadProd!$A:$B,2,0)),"")</f>
        <v/>
      </c>
      <c r="F786" t="str">
        <f>IFERROR(IF(D786="","",VLOOKUP(D786,CadProd!$A:$C,3,0)),"")</f>
        <v/>
      </c>
    </row>
    <row r="787" spans="5:6" x14ac:dyDescent="0.3">
      <c r="E787" t="str">
        <f>IFERROR(IF(D787="","",VLOOKUP(D787,CadProd!$A:$B,2,0)),"")</f>
        <v/>
      </c>
      <c r="F787" t="str">
        <f>IFERROR(IF(D787="","",VLOOKUP(D787,CadProd!$A:$C,3,0)),"")</f>
        <v/>
      </c>
    </row>
    <row r="788" spans="5:6" x14ac:dyDescent="0.3">
      <c r="E788" t="str">
        <f>IFERROR(IF(D788="","",VLOOKUP(D788,CadProd!$A:$B,2,0)),"")</f>
        <v/>
      </c>
      <c r="F788" t="str">
        <f>IFERROR(IF(D788="","",VLOOKUP(D788,CadProd!$A:$C,3,0)),"")</f>
        <v/>
      </c>
    </row>
    <row r="789" spans="5:6" x14ac:dyDescent="0.3">
      <c r="E789" t="str">
        <f>IFERROR(IF(D789="","",VLOOKUP(D789,CadProd!$A:$B,2,0)),"")</f>
        <v/>
      </c>
      <c r="F789" t="str">
        <f>IFERROR(IF(D789="","",VLOOKUP(D789,CadProd!$A:$C,3,0)),"")</f>
        <v/>
      </c>
    </row>
    <row r="790" spans="5:6" x14ac:dyDescent="0.3">
      <c r="E790" t="str">
        <f>IFERROR(IF(D790="","",VLOOKUP(D790,CadProd!$A:$B,2,0)),"")</f>
        <v/>
      </c>
      <c r="F790" t="str">
        <f>IFERROR(IF(D790="","",VLOOKUP(D790,CadProd!$A:$C,3,0)),"")</f>
        <v/>
      </c>
    </row>
    <row r="791" spans="5:6" x14ac:dyDescent="0.3">
      <c r="E791" t="str">
        <f>IFERROR(IF(D791="","",VLOOKUP(D791,CadProd!$A:$B,2,0)),"")</f>
        <v/>
      </c>
      <c r="F791" t="str">
        <f>IFERROR(IF(D791="","",VLOOKUP(D791,CadProd!$A:$C,3,0)),"")</f>
        <v/>
      </c>
    </row>
    <row r="792" spans="5:6" x14ac:dyDescent="0.3">
      <c r="E792" t="str">
        <f>IFERROR(IF(D792="","",VLOOKUP(D792,CadProd!$A:$B,2,0)),"")</f>
        <v/>
      </c>
      <c r="F792" t="str">
        <f>IFERROR(IF(D792="","",VLOOKUP(D792,CadProd!$A:$C,3,0)),"")</f>
        <v/>
      </c>
    </row>
    <row r="793" spans="5:6" x14ac:dyDescent="0.3">
      <c r="E793" t="str">
        <f>IFERROR(IF(D793="","",VLOOKUP(D793,CadProd!$A:$B,2,0)),"")</f>
        <v/>
      </c>
      <c r="F793" t="str">
        <f>IFERROR(IF(D793="","",VLOOKUP(D793,CadProd!$A:$C,3,0)),"")</f>
        <v/>
      </c>
    </row>
    <row r="794" spans="5:6" x14ac:dyDescent="0.3">
      <c r="E794" t="str">
        <f>IFERROR(IF(D794="","",VLOOKUP(D794,CadProd!$A:$B,2,0)),"")</f>
        <v/>
      </c>
      <c r="F794" t="str">
        <f>IFERROR(IF(D794="","",VLOOKUP(D794,CadProd!$A:$C,3,0)),"")</f>
        <v/>
      </c>
    </row>
    <row r="795" spans="5:6" x14ac:dyDescent="0.3">
      <c r="E795" t="str">
        <f>IFERROR(IF(D795="","",VLOOKUP(D795,CadProd!$A:$B,2,0)),"")</f>
        <v/>
      </c>
      <c r="F795" t="str">
        <f>IFERROR(IF(D795="","",VLOOKUP(D795,CadProd!$A:$C,3,0)),"")</f>
        <v/>
      </c>
    </row>
    <row r="796" spans="5:6" x14ac:dyDescent="0.3">
      <c r="E796" t="str">
        <f>IFERROR(IF(D796="","",VLOOKUP(D796,CadProd!$A:$B,2,0)),"")</f>
        <v/>
      </c>
      <c r="F796" t="str">
        <f>IFERROR(IF(D796="","",VLOOKUP(D796,CadProd!$A:$C,3,0)),"")</f>
        <v/>
      </c>
    </row>
    <row r="797" spans="5:6" x14ac:dyDescent="0.3">
      <c r="E797" t="str">
        <f>IFERROR(IF(D797="","",VLOOKUP(D797,CadProd!$A:$B,2,0)),"")</f>
        <v/>
      </c>
      <c r="F797" t="str">
        <f>IFERROR(IF(D797="","",VLOOKUP(D797,CadProd!$A:$C,3,0)),"")</f>
        <v/>
      </c>
    </row>
    <row r="798" spans="5:6" x14ac:dyDescent="0.3">
      <c r="E798" t="str">
        <f>IFERROR(IF(D798="","",VLOOKUP(D798,CadProd!$A:$B,2,0)),"")</f>
        <v/>
      </c>
      <c r="F798" t="str">
        <f>IFERROR(IF(D798="","",VLOOKUP(D798,CadProd!$A:$C,3,0)),"")</f>
        <v/>
      </c>
    </row>
    <row r="799" spans="5:6" x14ac:dyDescent="0.3">
      <c r="E799" t="str">
        <f>IFERROR(IF(D799="","",VLOOKUP(D799,CadProd!$A:$B,2,0)),"")</f>
        <v/>
      </c>
      <c r="F799" t="str">
        <f>IFERROR(IF(D799="","",VLOOKUP(D799,CadProd!$A:$C,3,0)),"")</f>
        <v/>
      </c>
    </row>
    <row r="800" spans="5:6" x14ac:dyDescent="0.3">
      <c r="E800" t="str">
        <f>IFERROR(IF(D800="","",VLOOKUP(D800,CadProd!$A:$B,2,0)),"")</f>
        <v/>
      </c>
      <c r="F800" t="str">
        <f>IFERROR(IF(D800="","",VLOOKUP(D800,CadProd!$A:$C,3,0)),"")</f>
        <v/>
      </c>
    </row>
    <row r="801" spans="5:6" x14ac:dyDescent="0.3">
      <c r="E801" t="str">
        <f>IFERROR(IF(D801="","",VLOOKUP(D801,CadProd!$A:$B,2,0)),"")</f>
        <v/>
      </c>
      <c r="F801" t="str">
        <f>IFERROR(IF(D801="","",VLOOKUP(D801,CadProd!$A:$C,3,0)),"")</f>
        <v/>
      </c>
    </row>
    <row r="802" spans="5:6" x14ac:dyDescent="0.3">
      <c r="E802" t="str">
        <f>IFERROR(IF(D802="","",VLOOKUP(D802,CadProd!$A:$B,2,0)),"")</f>
        <v/>
      </c>
      <c r="F802" t="str">
        <f>IFERROR(IF(D802="","",VLOOKUP(D802,CadProd!$A:$C,3,0)),"")</f>
        <v/>
      </c>
    </row>
    <row r="803" spans="5:6" x14ac:dyDescent="0.3">
      <c r="E803" t="str">
        <f>IFERROR(IF(D803="","",VLOOKUP(D803,CadProd!$A:$B,2,0)),"")</f>
        <v/>
      </c>
      <c r="F803" t="str">
        <f>IFERROR(IF(D803="","",VLOOKUP(D803,CadProd!$A:$C,3,0)),"")</f>
        <v/>
      </c>
    </row>
    <row r="804" spans="5:6" x14ac:dyDescent="0.3">
      <c r="E804" t="str">
        <f>IFERROR(IF(D804="","",VLOOKUP(D804,CadProd!$A:$B,2,0)),"")</f>
        <v/>
      </c>
      <c r="F804" t="str">
        <f>IFERROR(IF(D804="","",VLOOKUP(D804,CadProd!$A:$C,3,0)),"")</f>
        <v/>
      </c>
    </row>
    <row r="805" spans="5:6" x14ac:dyDescent="0.3">
      <c r="E805" t="str">
        <f>IFERROR(IF(D805="","",VLOOKUP(D805,CadProd!$A:$B,2,0)),"")</f>
        <v/>
      </c>
      <c r="F805" t="str">
        <f>IFERROR(IF(D805="","",VLOOKUP(D805,CadProd!$A:$C,3,0)),"")</f>
        <v/>
      </c>
    </row>
    <row r="806" spans="5:6" x14ac:dyDescent="0.3">
      <c r="E806" t="str">
        <f>IFERROR(IF(D806="","",VLOOKUP(D806,CadProd!$A:$B,2,0)),"")</f>
        <v/>
      </c>
      <c r="F806" t="str">
        <f>IFERROR(IF(D806="","",VLOOKUP(D806,CadProd!$A:$C,3,0)),"")</f>
        <v/>
      </c>
    </row>
    <row r="807" spans="5:6" x14ac:dyDescent="0.3">
      <c r="E807" t="str">
        <f>IFERROR(IF(D807="","",VLOOKUP(D807,CadProd!$A:$B,2,0)),"")</f>
        <v/>
      </c>
      <c r="F807" t="str">
        <f>IFERROR(IF(D807="","",VLOOKUP(D807,CadProd!$A:$C,3,0)),"")</f>
        <v/>
      </c>
    </row>
    <row r="808" spans="5:6" x14ac:dyDescent="0.3">
      <c r="E808" t="str">
        <f>IFERROR(IF(D808="","",VLOOKUP(D808,CadProd!$A:$B,2,0)),"")</f>
        <v/>
      </c>
      <c r="F808" t="str">
        <f>IFERROR(IF(D808="","",VLOOKUP(D808,CadProd!$A:$C,3,0)),"")</f>
        <v/>
      </c>
    </row>
    <row r="809" spans="5:6" x14ac:dyDescent="0.3">
      <c r="E809" t="str">
        <f>IFERROR(IF(D809="","",VLOOKUP(D809,CadProd!$A:$B,2,0)),"")</f>
        <v/>
      </c>
      <c r="F809" t="str">
        <f>IFERROR(IF(D809="","",VLOOKUP(D809,CadProd!$A:$C,3,0)),"")</f>
        <v/>
      </c>
    </row>
    <row r="810" spans="5:6" x14ac:dyDescent="0.3">
      <c r="E810" t="str">
        <f>IFERROR(IF(D810="","",VLOOKUP(D810,CadProd!$A:$B,2,0)),"")</f>
        <v/>
      </c>
      <c r="F810" t="str">
        <f>IFERROR(IF(D810="","",VLOOKUP(D810,CadProd!$A:$C,3,0)),"")</f>
        <v/>
      </c>
    </row>
    <row r="811" spans="5:6" x14ac:dyDescent="0.3">
      <c r="E811" t="str">
        <f>IFERROR(IF(D811="","",VLOOKUP(D811,CadProd!$A:$B,2,0)),"")</f>
        <v/>
      </c>
      <c r="F811" t="str">
        <f>IFERROR(IF(D811="","",VLOOKUP(D811,CadProd!$A:$C,3,0)),"")</f>
        <v/>
      </c>
    </row>
    <row r="812" spans="5:6" x14ac:dyDescent="0.3">
      <c r="E812" t="str">
        <f>IFERROR(IF(D812="","",VLOOKUP(D812,CadProd!$A:$B,2,0)),"")</f>
        <v/>
      </c>
      <c r="F812" t="str">
        <f>IFERROR(IF(D812="","",VLOOKUP(D812,CadProd!$A:$C,3,0)),"")</f>
        <v/>
      </c>
    </row>
    <row r="813" spans="5:6" x14ac:dyDescent="0.3">
      <c r="E813" t="str">
        <f>IFERROR(IF(D813="","",VLOOKUP(D813,CadProd!$A:$B,2,0)),"")</f>
        <v/>
      </c>
      <c r="F813" t="str">
        <f>IFERROR(IF(D813="","",VLOOKUP(D813,CadProd!$A:$C,3,0)),"")</f>
        <v/>
      </c>
    </row>
    <row r="814" spans="5:6" x14ac:dyDescent="0.3">
      <c r="E814" t="str">
        <f>IFERROR(IF(D814="","",VLOOKUP(D814,CadProd!$A:$B,2,0)),"")</f>
        <v/>
      </c>
      <c r="F814" t="str">
        <f>IFERROR(IF(D814="","",VLOOKUP(D814,CadProd!$A:$C,3,0)),"")</f>
        <v/>
      </c>
    </row>
    <row r="815" spans="5:6" x14ac:dyDescent="0.3">
      <c r="E815" t="str">
        <f>IFERROR(IF(D815="","",VLOOKUP(D815,CadProd!$A:$B,2,0)),"")</f>
        <v/>
      </c>
      <c r="F815" t="str">
        <f>IFERROR(IF(D815="","",VLOOKUP(D815,CadProd!$A:$C,3,0)),"")</f>
        <v/>
      </c>
    </row>
    <row r="816" spans="5:6" x14ac:dyDescent="0.3">
      <c r="E816" t="str">
        <f>IFERROR(IF(D816="","",VLOOKUP(D816,CadProd!$A:$B,2,0)),"")</f>
        <v/>
      </c>
      <c r="F816" t="str">
        <f>IFERROR(IF(D816="","",VLOOKUP(D816,CadProd!$A:$C,3,0)),"")</f>
        <v/>
      </c>
    </row>
    <row r="817" spans="5:6" x14ac:dyDescent="0.3">
      <c r="E817" t="str">
        <f>IFERROR(IF(D817="","",VLOOKUP(D817,CadProd!$A:$B,2,0)),"")</f>
        <v/>
      </c>
      <c r="F817" t="str">
        <f>IFERROR(IF(D817="","",VLOOKUP(D817,CadProd!$A:$C,3,0)),"")</f>
        <v/>
      </c>
    </row>
    <row r="818" spans="5:6" x14ac:dyDescent="0.3">
      <c r="E818" t="str">
        <f>IFERROR(IF(D818="","",VLOOKUP(D818,CadProd!$A:$B,2,0)),"")</f>
        <v/>
      </c>
      <c r="F818" t="str">
        <f>IFERROR(IF(D818="","",VLOOKUP(D818,CadProd!$A:$C,3,0)),"")</f>
        <v/>
      </c>
    </row>
    <row r="819" spans="5:6" x14ac:dyDescent="0.3">
      <c r="E819" t="str">
        <f>IFERROR(IF(D819="","",VLOOKUP(D819,CadProd!$A:$B,2,0)),"")</f>
        <v/>
      </c>
      <c r="F819" t="str">
        <f>IFERROR(IF(D819="","",VLOOKUP(D819,CadProd!$A:$C,3,0)),"")</f>
        <v/>
      </c>
    </row>
    <row r="820" spans="5:6" x14ac:dyDescent="0.3">
      <c r="E820" t="str">
        <f>IFERROR(IF(D820="","",VLOOKUP(D820,CadProd!$A:$B,2,0)),"")</f>
        <v/>
      </c>
      <c r="F820" t="str">
        <f>IFERROR(IF(D820="","",VLOOKUP(D820,CadProd!$A:$C,3,0)),"")</f>
        <v/>
      </c>
    </row>
    <row r="821" spans="5:6" x14ac:dyDescent="0.3">
      <c r="E821" t="str">
        <f>IFERROR(IF(D821="","",VLOOKUP(D821,CadProd!$A:$B,2,0)),"")</f>
        <v/>
      </c>
      <c r="F821" t="str">
        <f>IFERROR(IF(D821="","",VLOOKUP(D821,CadProd!$A:$C,3,0)),"")</f>
        <v/>
      </c>
    </row>
    <row r="822" spans="5:6" x14ac:dyDescent="0.3">
      <c r="E822" t="str">
        <f>IFERROR(IF(D822="","",VLOOKUP(D822,CadProd!$A:$B,2,0)),"")</f>
        <v/>
      </c>
      <c r="F822" t="str">
        <f>IFERROR(IF(D822="","",VLOOKUP(D822,CadProd!$A:$C,3,0)),"")</f>
        <v/>
      </c>
    </row>
    <row r="823" spans="5:6" x14ac:dyDescent="0.3">
      <c r="E823" t="str">
        <f>IFERROR(IF(D823="","",VLOOKUP(D823,CadProd!$A:$B,2,0)),"")</f>
        <v/>
      </c>
      <c r="F823" t="str">
        <f>IFERROR(IF(D823="","",VLOOKUP(D823,CadProd!$A:$C,3,0)),"")</f>
        <v/>
      </c>
    </row>
    <row r="824" spans="5:6" x14ac:dyDescent="0.3">
      <c r="E824" t="str">
        <f>IFERROR(IF(D824="","",VLOOKUP(D824,CadProd!$A:$B,2,0)),"")</f>
        <v/>
      </c>
      <c r="F824" t="str">
        <f>IFERROR(IF(D824="","",VLOOKUP(D824,CadProd!$A:$C,3,0)),"")</f>
        <v/>
      </c>
    </row>
    <row r="825" spans="5:6" x14ac:dyDescent="0.3">
      <c r="E825" t="str">
        <f>IFERROR(IF(D825="","",VLOOKUP(D825,CadProd!$A:$B,2,0)),"")</f>
        <v/>
      </c>
      <c r="F825" t="str">
        <f>IFERROR(IF(D825="","",VLOOKUP(D825,CadProd!$A:$C,3,0)),"")</f>
        <v/>
      </c>
    </row>
    <row r="826" spans="5:6" x14ac:dyDescent="0.3">
      <c r="E826" t="str">
        <f>IFERROR(IF(D826="","",VLOOKUP(D826,CadProd!$A:$B,2,0)),"")</f>
        <v/>
      </c>
      <c r="F826" t="str">
        <f>IFERROR(IF(D826="","",VLOOKUP(D826,CadProd!$A:$C,3,0)),"")</f>
        <v/>
      </c>
    </row>
    <row r="827" spans="5:6" x14ac:dyDescent="0.3">
      <c r="E827" t="str">
        <f>IFERROR(IF(D827="","",VLOOKUP(D827,CadProd!$A:$B,2,0)),"")</f>
        <v/>
      </c>
      <c r="F827" t="str">
        <f>IFERROR(IF(D827="","",VLOOKUP(D827,CadProd!$A:$C,3,0)),"")</f>
        <v/>
      </c>
    </row>
    <row r="828" spans="5:6" x14ac:dyDescent="0.3">
      <c r="E828" t="str">
        <f>IFERROR(IF(D828="","",VLOOKUP(D828,CadProd!$A:$B,2,0)),"")</f>
        <v/>
      </c>
      <c r="F828" t="str">
        <f>IFERROR(IF(D828="","",VLOOKUP(D828,CadProd!$A:$C,3,0)),"")</f>
        <v/>
      </c>
    </row>
    <row r="829" spans="5:6" x14ac:dyDescent="0.3">
      <c r="E829" t="str">
        <f>IFERROR(IF(D829="","",VLOOKUP(D829,CadProd!$A:$B,2,0)),"")</f>
        <v/>
      </c>
      <c r="F829" t="str">
        <f>IFERROR(IF(D829="","",VLOOKUP(D829,CadProd!$A:$C,3,0)),"")</f>
        <v/>
      </c>
    </row>
    <row r="830" spans="5:6" x14ac:dyDescent="0.3">
      <c r="E830" t="str">
        <f>IFERROR(IF(D830="","",VLOOKUP(D830,CadProd!$A:$B,2,0)),"")</f>
        <v/>
      </c>
      <c r="F830" t="str">
        <f>IFERROR(IF(D830="","",VLOOKUP(D830,CadProd!$A:$C,3,0)),"")</f>
        <v/>
      </c>
    </row>
    <row r="831" spans="5:6" x14ac:dyDescent="0.3">
      <c r="E831" t="str">
        <f>IFERROR(IF(D831="","",VLOOKUP(D831,CadProd!$A:$B,2,0)),"")</f>
        <v/>
      </c>
      <c r="F831" t="str">
        <f>IFERROR(IF(D831="","",VLOOKUP(D831,CadProd!$A:$C,3,0)),"")</f>
        <v/>
      </c>
    </row>
    <row r="832" spans="5:6" x14ac:dyDescent="0.3">
      <c r="E832" t="str">
        <f>IFERROR(IF(D832="","",VLOOKUP(D832,CadProd!$A:$B,2,0)),"")</f>
        <v/>
      </c>
      <c r="F832" t="str">
        <f>IFERROR(IF(D832="","",VLOOKUP(D832,CadProd!$A:$C,3,0)),"")</f>
        <v/>
      </c>
    </row>
    <row r="833" spans="5:6" x14ac:dyDescent="0.3">
      <c r="E833" t="str">
        <f>IFERROR(IF(D833="","",VLOOKUP(D833,CadProd!$A:$B,2,0)),"")</f>
        <v/>
      </c>
      <c r="F833" t="str">
        <f>IFERROR(IF(D833="","",VLOOKUP(D833,CadProd!$A:$C,3,0)),"")</f>
        <v/>
      </c>
    </row>
    <row r="834" spans="5:6" x14ac:dyDescent="0.3">
      <c r="E834" t="str">
        <f>IFERROR(IF(D834="","",VLOOKUP(D834,CadProd!$A:$B,2,0)),"")</f>
        <v/>
      </c>
      <c r="F834" t="str">
        <f>IFERROR(IF(D834="","",VLOOKUP(D834,CadProd!$A:$C,3,0)),"")</f>
        <v/>
      </c>
    </row>
    <row r="835" spans="5:6" x14ac:dyDescent="0.3">
      <c r="E835" t="str">
        <f>IFERROR(IF(D835="","",VLOOKUP(D835,CadProd!$A:$B,2,0)),"")</f>
        <v/>
      </c>
      <c r="F835" t="str">
        <f>IFERROR(IF(D835="","",VLOOKUP(D835,CadProd!$A:$C,3,0)),"")</f>
        <v/>
      </c>
    </row>
    <row r="836" spans="5:6" x14ac:dyDescent="0.3">
      <c r="E836" t="str">
        <f>IFERROR(IF(D836="","",VLOOKUP(D836,CadProd!$A:$B,2,0)),"")</f>
        <v/>
      </c>
      <c r="F836" t="str">
        <f>IFERROR(IF(D836="","",VLOOKUP(D836,CadProd!$A:$C,3,0)),"")</f>
        <v/>
      </c>
    </row>
    <row r="837" spans="5:6" x14ac:dyDescent="0.3">
      <c r="E837" t="str">
        <f>IFERROR(IF(D837="","",VLOOKUP(D837,CadProd!$A:$B,2,0)),"")</f>
        <v/>
      </c>
      <c r="F837" t="str">
        <f>IFERROR(IF(D837="","",VLOOKUP(D837,CadProd!$A:$C,3,0)),"")</f>
        <v/>
      </c>
    </row>
    <row r="838" spans="5:6" x14ac:dyDescent="0.3">
      <c r="E838" t="str">
        <f>IFERROR(IF(D838="","",VLOOKUP(D838,CadProd!$A:$B,2,0)),"")</f>
        <v/>
      </c>
      <c r="F838" t="str">
        <f>IFERROR(IF(D838="","",VLOOKUP(D838,CadProd!$A:$C,3,0)),"")</f>
        <v/>
      </c>
    </row>
    <row r="839" spans="5:6" x14ac:dyDescent="0.3">
      <c r="E839" t="str">
        <f>IFERROR(IF(D839="","",VLOOKUP(D839,CadProd!$A:$B,2,0)),"")</f>
        <v/>
      </c>
      <c r="F839" t="str">
        <f>IFERROR(IF(D839="","",VLOOKUP(D839,CadProd!$A:$C,3,0)),"")</f>
        <v/>
      </c>
    </row>
    <row r="840" spans="5:6" x14ac:dyDescent="0.3">
      <c r="E840" t="str">
        <f>IFERROR(IF(D840="","",VLOOKUP(D840,CadProd!$A:$B,2,0)),"")</f>
        <v/>
      </c>
      <c r="F840" t="str">
        <f>IFERROR(IF(D840="","",VLOOKUP(D840,CadProd!$A:$C,3,0)),"")</f>
        <v/>
      </c>
    </row>
    <row r="841" spans="5:6" x14ac:dyDescent="0.3">
      <c r="E841" t="str">
        <f>IFERROR(IF(D841="","",VLOOKUP(D841,CadProd!$A:$B,2,0)),"")</f>
        <v/>
      </c>
      <c r="F841" t="str">
        <f>IFERROR(IF(D841="","",VLOOKUP(D841,CadProd!$A:$C,3,0)),"")</f>
        <v/>
      </c>
    </row>
    <row r="842" spans="5:6" x14ac:dyDescent="0.3">
      <c r="E842" t="str">
        <f>IFERROR(IF(D842="","",VLOOKUP(D842,CadProd!$A:$B,2,0)),"")</f>
        <v/>
      </c>
      <c r="F842" t="str">
        <f>IFERROR(IF(D842="","",VLOOKUP(D842,CadProd!$A:$C,3,0)),"")</f>
        <v/>
      </c>
    </row>
    <row r="843" spans="5:6" x14ac:dyDescent="0.3">
      <c r="E843" t="str">
        <f>IFERROR(IF(D843="","",VLOOKUP(D843,CadProd!$A:$B,2,0)),"")</f>
        <v/>
      </c>
      <c r="F843" t="str">
        <f>IFERROR(IF(D843="","",VLOOKUP(D843,CadProd!$A:$C,3,0)),"")</f>
        <v/>
      </c>
    </row>
    <row r="844" spans="5:6" x14ac:dyDescent="0.3">
      <c r="E844" t="str">
        <f>IFERROR(IF(D844="","",VLOOKUP(D844,CadProd!$A:$B,2,0)),"")</f>
        <v/>
      </c>
      <c r="F844" t="str">
        <f>IFERROR(IF(D844="","",VLOOKUP(D844,CadProd!$A:$C,3,0)),"")</f>
        <v/>
      </c>
    </row>
    <row r="845" spans="5:6" x14ac:dyDescent="0.3">
      <c r="E845" t="str">
        <f>IFERROR(IF(D845="","",VLOOKUP(D845,CadProd!$A:$B,2,0)),"")</f>
        <v/>
      </c>
      <c r="F845" t="str">
        <f>IFERROR(IF(D845="","",VLOOKUP(D845,CadProd!$A:$C,3,0)),"")</f>
        <v/>
      </c>
    </row>
    <row r="846" spans="5:6" x14ac:dyDescent="0.3">
      <c r="E846" t="str">
        <f>IFERROR(IF(D846="","",VLOOKUP(D846,CadProd!$A:$B,2,0)),"")</f>
        <v/>
      </c>
      <c r="F846" t="str">
        <f>IFERROR(IF(D846="","",VLOOKUP(D846,CadProd!$A:$C,3,0)),"")</f>
        <v/>
      </c>
    </row>
    <row r="847" spans="5:6" x14ac:dyDescent="0.3">
      <c r="E847" t="str">
        <f>IFERROR(IF(D847="","",VLOOKUP(D847,CadProd!$A:$B,2,0)),"")</f>
        <v/>
      </c>
      <c r="F847" t="str">
        <f>IFERROR(IF(D847="","",VLOOKUP(D847,CadProd!$A:$C,3,0)),"")</f>
        <v/>
      </c>
    </row>
    <row r="848" spans="5:6" x14ac:dyDescent="0.3">
      <c r="E848" t="str">
        <f>IFERROR(IF(D848="","",VLOOKUP(D848,CadProd!$A:$B,2,0)),"")</f>
        <v/>
      </c>
      <c r="F848" t="str">
        <f>IFERROR(IF(D848="","",VLOOKUP(D848,CadProd!$A:$C,3,0)),"")</f>
        <v/>
      </c>
    </row>
    <row r="849" spans="5:6" x14ac:dyDescent="0.3">
      <c r="E849" t="str">
        <f>IFERROR(IF(D849="","",VLOOKUP(D849,CadProd!$A:$B,2,0)),"")</f>
        <v/>
      </c>
      <c r="F849" t="str">
        <f>IFERROR(IF(D849="","",VLOOKUP(D849,CadProd!$A:$C,3,0)),"")</f>
        <v/>
      </c>
    </row>
    <row r="850" spans="5:6" x14ac:dyDescent="0.3">
      <c r="E850" t="str">
        <f>IFERROR(IF(D850="","",VLOOKUP(D850,CadProd!$A:$B,2,0)),"")</f>
        <v/>
      </c>
      <c r="F850" t="str">
        <f>IFERROR(IF(D850="","",VLOOKUP(D850,CadProd!$A:$C,3,0)),"")</f>
        <v/>
      </c>
    </row>
    <row r="851" spans="5:6" x14ac:dyDescent="0.3">
      <c r="E851" t="str">
        <f>IFERROR(IF(D851="","",VLOOKUP(D851,CadProd!$A:$B,2,0)),"")</f>
        <v/>
      </c>
      <c r="F851" t="str">
        <f>IFERROR(IF(D851="","",VLOOKUP(D851,CadProd!$A:$C,3,0)),"")</f>
        <v/>
      </c>
    </row>
    <row r="852" spans="5:6" x14ac:dyDescent="0.3">
      <c r="E852" t="str">
        <f>IFERROR(IF(D852="","",VLOOKUP(D852,CadProd!$A:$B,2,0)),"")</f>
        <v/>
      </c>
      <c r="F852" t="str">
        <f>IFERROR(IF(D852="","",VLOOKUP(D852,CadProd!$A:$C,3,0)),"")</f>
        <v/>
      </c>
    </row>
    <row r="853" spans="5:6" x14ac:dyDescent="0.3">
      <c r="E853" t="str">
        <f>IFERROR(IF(D853="","",VLOOKUP(D853,CadProd!$A:$B,2,0)),"")</f>
        <v/>
      </c>
      <c r="F853" t="str">
        <f>IFERROR(IF(D853="","",VLOOKUP(D853,CadProd!$A:$C,3,0)),"")</f>
        <v/>
      </c>
    </row>
    <row r="854" spans="5:6" x14ac:dyDescent="0.3">
      <c r="E854" t="str">
        <f>IFERROR(IF(D854="","",VLOOKUP(D854,CadProd!$A:$B,2,0)),"")</f>
        <v/>
      </c>
      <c r="F854" t="str">
        <f>IFERROR(IF(D854="","",VLOOKUP(D854,CadProd!$A:$C,3,0)),"")</f>
        <v/>
      </c>
    </row>
    <row r="855" spans="5:6" x14ac:dyDescent="0.3">
      <c r="E855" t="str">
        <f>IFERROR(IF(D855="","",VLOOKUP(D855,CadProd!$A:$B,2,0)),"")</f>
        <v/>
      </c>
      <c r="F855" t="str">
        <f>IFERROR(IF(D855="","",VLOOKUP(D855,CadProd!$A:$C,3,0)),"")</f>
        <v/>
      </c>
    </row>
    <row r="856" spans="5:6" x14ac:dyDescent="0.3">
      <c r="E856" t="str">
        <f>IFERROR(IF(D856="","",VLOOKUP(D856,CadProd!$A:$B,2,0)),"")</f>
        <v/>
      </c>
      <c r="F856" t="str">
        <f>IFERROR(IF(D856="","",VLOOKUP(D856,CadProd!$A:$C,3,0)),"")</f>
        <v/>
      </c>
    </row>
    <row r="857" spans="5:6" x14ac:dyDescent="0.3">
      <c r="E857" t="str">
        <f>IFERROR(IF(D857="","",VLOOKUP(D857,CadProd!$A:$B,2,0)),"")</f>
        <v/>
      </c>
      <c r="F857" t="str">
        <f>IFERROR(IF(D857="","",VLOOKUP(D857,CadProd!$A:$C,3,0)),"")</f>
        <v/>
      </c>
    </row>
    <row r="858" spans="5:6" x14ac:dyDescent="0.3">
      <c r="E858" t="str">
        <f>IFERROR(IF(D858="","",VLOOKUP(D858,CadProd!$A:$B,2,0)),"")</f>
        <v/>
      </c>
      <c r="F858" t="str">
        <f>IFERROR(IF(D858="","",VLOOKUP(D858,CadProd!$A:$C,3,0)),"")</f>
        <v/>
      </c>
    </row>
    <row r="859" spans="5:6" x14ac:dyDescent="0.3">
      <c r="E859" t="str">
        <f>IFERROR(IF(D859="","",VLOOKUP(D859,CadProd!$A:$B,2,0)),"")</f>
        <v/>
      </c>
      <c r="F859" t="str">
        <f>IFERROR(IF(D859="","",VLOOKUP(D859,CadProd!$A:$C,3,0)),"")</f>
        <v/>
      </c>
    </row>
    <row r="860" spans="5:6" x14ac:dyDescent="0.3">
      <c r="E860" t="str">
        <f>IFERROR(IF(D860="","",VLOOKUP(D860,CadProd!$A:$B,2,0)),"")</f>
        <v/>
      </c>
      <c r="F860" t="str">
        <f>IFERROR(IF(D860="","",VLOOKUP(D860,CadProd!$A:$C,3,0)),"")</f>
        <v/>
      </c>
    </row>
    <row r="861" spans="5:6" x14ac:dyDescent="0.3">
      <c r="E861" t="str">
        <f>IFERROR(IF(D861="","",VLOOKUP(D861,CadProd!$A:$B,2,0)),"")</f>
        <v/>
      </c>
      <c r="F861" t="str">
        <f>IFERROR(IF(D861="","",VLOOKUP(D861,CadProd!$A:$C,3,0)),"")</f>
        <v/>
      </c>
    </row>
    <row r="862" spans="5:6" x14ac:dyDescent="0.3">
      <c r="E862" t="str">
        <f>IFERROR(IF(D862="","",VLOOKUP(D862,CadProd!$A:$B,2,0)),"")</f>
        <v/>
      </c>
      <c r="F862" t="str">
        <f>IFERROR(IF(D862="","",VLOOKUP(D862,CadProd!$A:$C,3,0)),"")</f>
        <v/>
      </c>
    </row>
    <row r="863" spans="5:6" x14ac:dyDescent="0.3">
      <c r="E863" t="str">
        <f>IFERROR(IF(D863="","",VLOOKUP(D863,CadProd!$A:$B,2,0)),"")</f>
        <v/>
      </c>
      <c r="F863" t="str">
        <f>IFERROR(IF(D863="","",VLOOKUP(D863,CadProd!$A:$C,3,0)),"")</f>
        <v/>
      </c>
    </row>
    <row r="864" spans="5:6" x14ac:dyDescent="0.3">
      <c r="E864" t="str">
        <f>IFERROR(IF(D864="","",VLOOKUP(D864,CadProd!$A:$B,2,0)),"")</f>
        <v/>
      </c>
      <c r="F864" t="str">
        <f>IFERROR(IF(D864="","",VLOOKUP(D864,CadProd!$A:$C,3,0)),"")</f>
        <v/>
      </c>
    </row>
    <row r="865" spans="5:6" x14ac:dyDescent="0.3">
      <c r="E865" t="str">
        <f>IFERROR(IF(D865="","",VLOOKUP(D865,CadProd!$A:$B,2,0)),"")</f>
        <v/>
      </c>
      <c r="F865" t="str">
        <f>IFERROR(IF(D865="","",VLOOKUP(D865,CadProd!$A:$C,3,0)),"")</f>
        <v/>
      </c>
    </row>
    <row r="866" spans="5:6" x14ac:dyDescent="0.3">
      <c r="E866" t="str">
        <f>IFERROR(IF(D866="","",VLOOKUP(D866,CadProd!$A:$B,2,0)),"")</f>
        <v/>
      </c>
      <c r="F866" t="str">
        <f>IFERROR(IF(D866="","",VLOOKUP(D866,CadProd!$A:$C,3,0)),"")</f>
        <v/>
      </c>
    </row>
    <row r="867" spans="5:6" x14ac:dyDescent="0.3">
      <c r="E867" t="str">
        <f>IFERROR(IF(D867="","",VLOOKUP(D867,CadProd!$A:$B,2,0)),"")</f>
        <v/>
      </c>
      <c r="F867" t="str">
        <f>IFERROR(IF(D867="","",VLOOKUP(D867,CadProd!$A:$C,3,0)),"")</f>
        <v/>
      </c>
    </row>
    <row r="868" spans="5:6" x14ac:dyDescent="0.3">
      <c r="E868" t="str">
        <f>IFERROR(IF(D868="","",VLOOKUP(D868,CadProd!$A:$B,2,0)),"")</f>
        <v/>
      </c>
      <c r="F868" t="str">
        <f>IFERROR(IF(D868="","",VLOOKUP(D868,CadProd!$A:$C,3,0)),"")</f>
        <v/>
      </c>
    </row>
    <row r="869" spans="5:6" x14ac:dyDescent="0.3">
      <c r="E869" t="str">
        <f>IFERROR(IF(D869="","",VLOOKUP(D869,CadProd!$A:$B,2,0)),"")</f>
        <v/>
      </c>
      <c r="F869" t="str">
        <f>IFERROR(IF(D869="","",VLOOKUP(D869,CadProd!$A:$C,3,0)),"")</f>
        <v/>
      </c>
    </row>
    <row r="870" spans="5:6" x14ac:dyDescent="0.3">
      <c r="E870" t="str">
        <f>IFERROR(IF(D870="","",VLOOKUP(D870,CadProd!$A:$B,2,0)),"")</f>
        <v/>
      </c>
      <c r="F870" t="str">
        <f>IFERROR(IF(D870="","",VLOOKUP(D870,CadProd!$A:$C,3,0)),"")</f>
        <v/>
      </c>
    </row>
    <row r="871" spans="5:6" x14ac:dyDescent="0.3">
      <c r="E871" t="str">
        <f>IFERROR(IF(D871="","",VLOOKUP(D871,CadProd!$A:$B,2,0)),"")</f>
        <v/>
      </c>
      <c r="F871" t="str">
        <f>IFERROR(IF(D871="","",VLOOKUP(D871,CadProd!$A:$C,3,0)),"")</f>
        <v/>
      </c>
    </row>
    <row r="872" spans="5:6" x14ac:dyDescent="0.3">
      <c r="E872" t="str">
        <f>IFERROR(IF(D872="","",VLOOKUP(D872,CadProd!$A:$B,2,0)),"")</f>
        <v/>
      </c>
      <c r="F872" t="str">
        <f>IFERROR(IF(D872="","",VLOOKUP(D872,CadProd!$A:$C,3,0)),"")</f>
        <v/>
      </c>
    </row>
    <row r="873" spans="5:6" x14ac:dyDescent="0.3">
      <c r="E873" t="str">
        <f>IFERROR(IF(D873="","",VLOOKUP(D873,CadProd!$A:$B,2,0)),"")</f>
        <v/>
      </c>
      <c r="F873" t="str">
        <f>IFERROR(IF(D873="","",VLOOKUP(D873,CadProd!$A:$C,3,0)),"")</f>
        <v/>
      </c>
    </row>
    <row r="874" spans="5:6" x14ac:dyDescent="0.3">
      <c r="E874" t="str">
        <f>IFERROR(IF(D874="","",VLOOKUP(D874,CadProd!$A:$B,2,0)),"")</f>
        <v/>
      </c>
      <c r="F874" t="str">
        <f>IFERROR(IF(D874="","",VLOOKUP(D874,CadProd!$A:$C,3,0)),"")</f>
        <v/>
      </c>
    </row>
    <row r="875" spans="5:6" x14ac:dyDescent="0.3">
      <c r="E875" t="str">
        <f>IFERROR(IF(D875="","",VLOOKUP(D875,CadProd!$A:$B,2,0)),"")</f>
        <v/>
      </c>
      <c r="F875" t="str">
        <f>IFERROR(IF(D875="","",VLOOKUP(D875,CadProd!$A:$C,3,0)),"")</f>
        <v/>
      </c>
    </row>
    <row r="876" spans="5:6" x14ac:dyDescent="0.3">
      <c r="E876" t="str">
        <f>IFERROR(IF(D876="","",VLOOKUP(D876,CadProd!$A:$B,2,0)),"")</f>
        <v/>
      </c>
      <c r="F876" t="str">
        <f>IFERROR(IF(D876="","",VLOOKUP(D876,CadProd!$A:$C,3,0)),"")</f>
        <v/>
      </c>
    </row>
    <row r="877" spans="5:6" x14ac:dyDescent="0.3">
      <c r="E877" t="str">
        <f>IFERROR(IF(D877="","",VLOOKUP(D877,CadProd!$A:$B,2,0)),"")</f>
        <v/>
      </c>
      <c r="F877" t="str">
        <f>IFERROR(IF(D877="","",VLOOKUP(D877,CadProd!$A:$C,3,0)),"")</f>
        <v/>
      </c>
    </row>
    <row r="878" spans="5:6" x14ac:dyDescent="0.3">
      <c r="E878" t="str">
        <f>IFERROR(IF(D878="","",VLOOKUP(D878,CadProd!$A:$B,2,0)),"")</f>
        <v/>
      </c>
      <c r="F878" t="str">
        <f>IFERROR(IF(D878="","",VLOOKUP(D878,CadProd!$A:$C,3,0)),"")</f>
        <v/>
      </c>
    </row>
    <row r="879" spans="5:6" x14ac:dyDescent="0.3">
      <c r="E879" t="str">
        <f>IFERROR(IF(D879="","",VLOOKUP(D879,CadProd!$A:$B,2,0)),"")</f>
        <v/>
      </c>
      <c r="F879" t="str">
        <f>IFERROR(IF(D879="","",VLOOKUP(D879,CadProd!$A:$C,3,0)),"")</f>
        <v/>
      </c>
    </row>
    <row r="880" spans="5:6" x14ac:dyDescent="0.3">
      <c r="E880" t="str">
        <f>IFERROR(IF(D880="","",VLOOKUP(D880,CadProd!$A:$B,2,0)),"")</f>
        <v/>
      </c>
      <c r="F880" t="str">
        <f>IFERROR(IF(D880="","",VLOOKUP(D880,CadProd!$A:$C,3,0)),"")</f>
        <v/>
      </c>
    </row>
    <row r="881" spans="5:6" x14ac:dyDescent="0.3">
      <c r="E881" t="str">
        <f>IFERROR(IF(D881="","",VLOOKUP(D881,CadProd!$A:$B,2,0)),"")</f>
        <v/>
      </c>
      <c r="F881" t="str">
        <f>IFERROR(IF(D881="","",VLOOKUP(D881,CadProd!$A:$C,3,0)),"")</f>
        <v/>
      </c>
    </row>
    <row r="882" spans="5:6" x14ac:dyDescent="0.3">
      <c r="E882" t="str">
        <f>IFERROR(IF(D882="","",VLOOKUP(D882,CadProd!$A:$B,2,0)),"")</f>
        <v/>
      </c>
      <c r="F882" t="str">
        <f>IFERROR(IF(D882="","",VLOOKUP(D882,CadProd!$A:$C,3,0)),"")</f>
        <v/>
      </c>
    </row>
    <row r="883" spans="5:6" x14ac:dyDescent="0.3">
      <c r="E883" t="str">
        <f>IFERROR(IF(D883="","",VLOOKUP(D883,CadProd!$A:$B,2,0)),"")</f>
        <v/>
      </c>
      <c r="F883" t="str">
        <f>IFERROR(IF(D883="","",VLOOKUP(D883,CadProd!$A:$C,3,0)),"")</f>
        <v/>
      </c>
    </row>
    <row r="884" spans="5:6" x14ac:dyDescent="0.3">
      <c r="E884" t="str">
        <f>IFERROR(IF(D884="","",VLOOKUP(D884,CadProd!$A:$B,2,0)),"")</f>
        <v/>
      </c>
      <c r="F884" t="str">
        <f>IFERROR(IF(D884="","",VLOOKUP(D884,CadProd!$A:$C,3,0)),"")</f>
        <v/>
      </c>
    </row>
    <row r="885" spans="5:6" x14ac:dyDescent="0.3">
      <c r="E885" t="str">
        <f>IFERROR(IF(D885="","",VLOOKUP(D885,CadProd!$A:$B,2,0)),"")</f>
        <v/>
      </c>
      <c r="F885" t="str">
        <f>IFERROR(IF(D885="","",VLOOKUP(D885,CadProd!$A:$C,3,0)),"")</f>
        <v/>
      </c>
    </row>
    <row r="886" spans="5:6" x14ac:dyDescent="0.3">
      <c r="E886" t="str">
        <f>IFERROR(IF(D886="","",VLOOKUP(D886,CadProd!$A:$B,2,0)),"")</f>
        <v/>
      </c>
      <c r="F886" t="str">
        <f>IFERROR(IF(D886="","",VLOOKUP(D886,CadProd!$A:$C,3,0)),"")</f>
        <v/>
      </c>
    </row>
    <row r="887" spans="5:6" x14ac:dyDescent="0.3">
      <c r="E887" t="str">
        <f>IFERROR(IF(D887="","",VLOOKUP(D887,CadProd!$A:$B,2,0)),"")</f>
        <v/>
      </c>
      <c r="F887" t="str">
        <f>IFERROR(IF(D887="","",VLOOKUP(D887,CadProd!$A:$C,3,0)),"")</f>
        <v/>
      </c>
    </row>
    <row r="888" spans="5:6" x14ac:dyDescent="0.3">
      <c r="E888" t="str">
        <f>IFERROR(IF(D888="","",VLOOKUP(D888,CadProd!$A:$B,2,0)),"")</f>
        <v/>
      </c>
      <c r="F888" t="str">
        <f>IFERROR(IF(D888="","",VLOOKUP(D888,CadProd!$A:$C,3,0)),"")</f>
        <v/>
      </c>
    </row>
    <row r="889" spans="5:6" x14ac:dyDescent="0.3">
      <c r="E889" t="str">
        <f>IFERROR(IF(D889="","",VLOOKUP(D889,CadProd!$A:$B,2,0)),"")</f>
        <v/>
      </c>
      <c r="F889" t="str">
        <f>IFERROR(IF(D889="","",VLOOKUP(D889,CadProd!$A:$C,3,0)),"")</f>
        <v/>
      </c>
    </row>
    <row r="890" spans="5:6" x14ac:dyDescent="0.3">
      <c r="E890" t="str">
        <f>IFERROR(IF(D890="","",VLOOKUP(D890,CadProd!$A:$B,2,0)),"")</f>
        <v/>
      </c>
      <c r="F890" t="str">
        <f>IFERROR(IF(D890="","",VLOOKUP(D890,CadProd!$A:$C,3,0)),"")</f>
        <v/>
      </c>
    </row>
    <row r="891" spans="5:6" x14ac:dyDescent="0.3">
      <c r="E891" t="str">
        <f>IFERROR(IF(D891="","",VLOOKUP(D891,CadProd!$A:$B,2,0)),"")</f>
        <v/>
      </c>
      <c r="F891" t="str">
        <f>IFERROR(IF(D891="","",VLOOKUP(D891,CadProd!$A:$C,3,0)),"")</f>
        <v/>
      </c>
    </row>
    <row r="892" spans="5:6" x14ac:dyDescent="0.3">
      <c r="E892" t="str">
        <f>IFERROR(IF(D892="","",VLOOKUP(D892,CadProd!$A:$B,2,0)),"")</f>
        <v/>
      </c>
      <c r="F892" t="str">
        <f>IFERROR(IF(D892="","",VLOOKUP(D892,CadProd!$A:$C,3,0)),"")</f>
        <v/>
      </c>
    </row>
    <row r="893" spans="5:6" x14ac:dyDescent="0.3">
      <c r="E893" t="str">
        <f>IFERROR(IF(D893="","",VLOOKUP(D893,CadProd!$A:$B,2,0)),"")</f>
        <v/>
      </c>
      <c r="F893" t="str">
        <f>IFERROR(IF(D893="","",VLOOKUP(D893,CadProd!$A:$C,3,0)),"")</f>
        <v/>
      </c>
    </row>
    <row r="894" spans="5:6" x14ac:dyDescent="0.3">
      <c r="E894" t="str">
        <f>IFERROR(IF(D894="","",VLOOKUP(D894,CadProd!$A:$B,2,0)),"")</f>
        <v/>
      </c>
      <c r="F894" t="str">
        <f>IFERROR(IF(D894="","",VLOOKUP(D894,CadProd!$A:$C,3,0)),"")</f>
        <v/>
      </c>
    </row>
    <row r="895" spans="5:6" x14ac:dyDescent="0.3">
      <c r="E895" t="str">
        <f>IFERROR(IF(D895="","",VLOOKUP(D895,CadProd!$A:$B,2,0)),"")</f>
        <v/>
      </c>
      <c r="F895" t="str">
        <f>IFERROR(IF(D895="","",VLOOKUP(D895,CadProd!$A:$C,3,0)),"")</f>
        <v/>
      </c>
    </row>
    <row r="896" spans="5:6" x14ac:dyDescent="0.3">
      <c r="E896" t="str">
        <f>IFERROR(IF(D896="","",VLOOKUP(D896,CadProd!$A:$B,2,0)),"")</f>
        <v/>
      </c>
      <c r="F896" t="str">
        <f>IFERROR(IF(D896="","",VLOOKUP(D896,CadProd!$A:$C,3,0)),"")</f>
        <v/>
      </c>
    </row>
    <row r="897" spans="5:6" x14ac:dyDescent="0.3">
      <c r="E897" t="str">
        <f>IFERROR(IF(D897="","",VLOOKUP(D897,CadProd!$A:$B,2,0)),"")</f>
        <v/>
      </c>
      <c r="F897" t="str">
        <f>IFERROR(IF(D897="","",VLOOKUP(D897,CadProd!$A:$C,3,0)),"")</f>
        <v/>
      </c>
    </row>
    <row r="898" spans="5:6" x14ac:dyDescent="0.3">
      <c r="E898" t="str">
        <f>IFERROR(IF(D898="","",VLOOKUP(D898,CadProd!$A:$B,2,0)),"")</f>
        <v/>
      </c>
      <c r="F898" t="str">
        <f>IFERROR(IF(D898="","",VLOOKUP(D898,CadProd!$A:$C,3,0)),"")</f>
        <v/>
      </c>
    </row>
    <row r="899" spans="5:6" x14ac:dyDescent="0.3">
      <c r="E899" t="str">
        <f>IFERROR(IF(D899="","",VLOOKUP(D899,CadProd!$A:$B,2,0)),"")</f>
        <v/>
      </c>
      <c r="F899" t="str">
        <f>IFERROR(IF(D899="","",VLOOKUP(D899,CadProd!$A:$C,3,0)),"")</f>
        <v/>
      </c>
    </row>
    <row r="900" spans="5:6" x14ac:dyDescent="0.3">
      <c r="E900" t="str">
        <f>IFERROR(IF(D900="","",VLOOKUP(D900,CadProd!$A:$B,2,0)),"")</f>
        <v/>
      </c>
      <c r="F900" t="str">
        <f>IFERROR(IF(D900="","",VLOOKUP(D900,CadProd!$A:$C,3,0)),"")</f>
        <v/>
      </c>
    </row>
    <row r="901" spans="5:6" x14ac:dyDescent="0.3">
      <c r="E901" t="str">
        <f>IFERROR(IF(D901="","",VLOOKUP(D901,CadProd!$A:$B,2,0)),"")</f>
        <v/>
      </c>
      <c r="F901" t="str">
        <f>IFERROR(IF(D901="","",VLOOKUP(D901,CadProd!$A:$C,3,0)),"")</f>
        <v/>
      </c>
    </row>
    <row r="902" spans="5:6" x14ac:dyDescent="0.3">
      <c r="E902" t="str">
        <f>IFERROR(IF(D902="","",VLOOKUP(D902,CadProd!$A:$B,2,0)),"")</f>
        <v/>
      </c>
      <c r="F902" t="str">
        <f>IFERROR(IF(D902="","",VLOOKUP(D902,CadProd!$A:$C,3,0)),"")</f>
        <v/>
      </c>
    </row>
    <row r="903" spans="5:6" x14ac:dyDescent="0.3">
      <c r="E903" t="str">
        <f>IFERROR(IF(D903="","",VLOOKUP(D903,CadProd!$A:$B,2,0)),"")</f>
        <v/>
      </c>
      <c r="F903" t="str">
        <f>IFERROR(IF(D903="","",VLOOKUP(D903,CadProd!$A:$C,3,0)),"")</f>
        <v/>
      </c>
    </row>
    <row r="904" spans="5:6" x14ac:dyDescent="0.3">
      <c r="E904" t="str">
        <f>IFERROR(IF(D904="","",VLOOKUP(D904,CadProd!$A:$B,2,0)),"")</f>
        <v/>
      </c>
      <c r="F904" t="str">
        <f>IFERROR(IF(D904="","",VLOOKUP(D904,CadProd!$A:$C,3,0)),"")</f>
        <v/>
      </c>
    </row>
    <row r="905" spans="5:6" x14ac:dyDescent="0.3">
      <c r="E905" t="str">
        <f>IFERROR(IF(D905="","",VLOOKUP(D905,CadProd!$A:$B,2,0)),"")</f>
        <v/>
      </c>
      <c r="F905" t="str">
        <f>IFERROR(IF(D905="","",VLOOKUP(D905,CadProd!$A:$C,3,0)),"")</f>
        <v/>
      </c>
    </row>
    <row r="906" spans="5:6" x14ac:dyDescent="0.3">
      <c r="E906" t="str">
        <f>IFERROR(IF(D906="","",VLOOKUP(D906,CadProd!$A:$B,2,0)),"")</f>
        <v/>
      </c>
      <c r="F906" t="str">
        <f>IFERROR(IF(D906="","",VLOOKUP(D906,CadProd!$A:$C,3,0)),"")</f>
        <v/>
      </c>
    </row>
    <row r="907" spans="5:6" x14ac:dyDescent="0.3">
      <c r="E907" t="str">
        <f>IFERROR(IF(D907="","",VLOOKUP(D907,CadProd!$A:$B,2,0)),"")</f>
        <v/>
      </c>
      <c r="F907" t="str">
        <f>IFERROR(IF(D907="","",VLOOKUP(D907,CadProd!$A:$C,3,0)),"")</f>
        <v/>
      </c>
    </row>
    <row r="908" spans="5:6" x14ac:dyDescent="0.3">
      <c r="E908" t="str">
        <f>IFERROR(IF(D908="","",VLOOKUP(D908,CadProd!$A:$B,2,0)),"")</f>
        <v/>
      </c>
      <c r="F908" t="str">
        <f>IFERROR(IF(D908="","",VLOOKUP(D908,CadProd!$A:$C,3,0)),"")</f>
        <v/>
      </c>
    </row>
    <row r="909" spans="5:6" x14ac:dyDescent="0.3">
      <c r="E909" t="str">
        <f>IFERROR(IF(D909="","",VLOOKUP(D909,CadProd!$A:$B,2,0)),"")</f>
        <v/>
      </c>
      <c r="F909" t="str">
        <f>IFERROR(IF(D909="","",VLOOKUP(D909,CadProd!$A:$C,3,0)),"")</f>
        <v/>
      </c>
    </row>
    <row r="910" spans="5:6" x14ac:dyDescent="0.3">
      <c r="E910" t="str">
        <f>IFERROR(IF(D910="","",VLOOKUP(D910,CadProd!$A:$B,2,0)),"")</f>
        <v/>
      </c>
      <c r="F910" t="str">
        <f>IFERROR(IF(D910="","",VLOOKUP(D910,CadProd!$A:$C,3,0)),"")</f>
        <v/>
      </c>
    </row>
    <row r="911" spans="5:6" x14ac:dyDescent="0.3">
      <c r="E911" t="str">
        <f>IFERROR(IF(D911="","",VLOOKUP(D911,CadProd!$A:$B,2,0)),"")</f>
        <v/>
      </c>
      <c r="F911" t="str">
        <f>IFERROR(IF(D911="","",VLOOKUP(D911,CadProd!$A:$C,3,0)),"")</f>
        <v/>
      </c>
    </row>
    <row r="912" spans="5:6" x14ac:dyDescent="0.3">
      <c r="E912" t="str">
        <f>IFERROR(IF(D912="","",VLOOKUP(D912,CadProd!$A:$B,2,0)),"")</f>
        <v/>
      </c>
      <c r="F912" t="str">
        <f>IFERROR(IF(D912="","",VLOOKUP(D912,CadProd!$A:$C,3,0)),"")</f>
        <v/>
      </c>
    </row>
    <row r="913" spans="5:6" x14ac:dyDescent="0.3">
      <c r="E913" t="str">
        <f>IFERROR(IF(D913="","",VLOOKUP(D913,CadProd!$A:$B,2,0)),"")</f>
        <v/>
      </c>
      <c r="F913" t="str">
        <f>IFERROR(IF(D913="","",VLOOKUP(D913,CadProd!$A:$C,3,0)),"")</f>
        <v/>
      </c>
    </row>
    <row r="914" spans="5:6" x14ac:dyDescent="0.3">
      <c r="E914" t="str">
        <f>IFERROR(IF(D914="","",VLOOKUP(D914,CadProd!$A:$B,2,0)),"")</f>
        <v/>
      </c>
      <c r="F914" t="str">
        <f>IFERROR(IF(D914="","",VLOOKUP(D914,CadProd!$A:$C,3,0)),"")</f>
        <v/>
      </c>
    </row>
    <row r="915" spans="5:6" x14ac:dyDescent="0.3">
      <c r="E915" t="str">
        <f>IFERROR(IF(D915="","",VLOOKUP(D915,CadProd!$A:$B,2,0)),"")</f>
        <v/>
      </c>
      <c r="F915" t="str">
        <f>IFERROR(IF(D915="","",VLOOKUP(D915,CadProd!$A:$C,3,0)),"")</f>
        <v/>
      </c>
    </row>
    <row r="916" spans="5:6" x14ac:dyDescent="0.3">
      <c r="E916" t="str">
        <f>IFERROR(IF(D916="","",VLOOKUP(D916,CadProd!$A:$B,2,0)),"")</f>
        <v/>
      </c>
      <c r="F916" t="str">
        <f>IFERROR(IF(D916="","",VLOOKUP(D916,CadProd!$A:$C,3,0)),"")</f>
        <v/>
      </c>
    </row>
    <row r="917" spans="5:6" x14ac:dyDescent="0.3">
      <c r="E917" t="str">
        <f>IFERROR(IF(D917="","",VLOOKUP(D917,CadProd!$A:$B,2,0)),"")</f>
        <v/>
      </c>
      <c r="F917" t="str">
        <f>IFERROR(IF(D917="","",VLOOKUP(D917,CadProd!$A:$C,3,0)),"")</f>
        <v/>
      </c>
    </row>
    <row r="918" spans="5:6" x14ac:dyDescent="0.3">
      <c r="E918" t="str">
        <f>IFERROR(IF(D918="","",VLOOKUP(D918,CadProd!$A:$B,2,0)),"")</f>
        <v/>
      </c>
      <c r="F918" t="str">
        <f>IFERROR(IF(D918="","",VLOOKUP(D918,CadProd!$A:$C,3,0)),"")</f>
        <v/>
      </c>
    </row>
    <row r="919" spans="5:6" x14ac:dyDescent="0.3">
      <c r="E919" t="str">
        <f>IFERROR(IF(D919="","",VLOOKUP(D919,CadProd!$A:$B,2,0)),"")</f>
        <v/>
      </c>
      <c r="F919" t="str">
        <f>IFERROR(IF(D919="","",VLOOKUP(D919,CadProd!$A:$C,3,0)),"")</f>
        <v/>
      </c>
    </row>
    <row r="920" spans="5:6" x14ac:dyDescent="0.3">
      <c r="E920" t="str">
        <f>IFERROR(IF(D920="","",VLOOKUP(D920,CadProd!$A:$B,2,0)),"")</f>
        <v/>
      </c>
      <c r="F920" t="str">
        <f>IFERROR(IF(D920="","",VLOOKUP(D920,CadProd!$A:$C,3,0)),"")</f>
        <v/>
      </c>
    </row>
    <row r="921" spans="5:6" x14ac:dyDescent="0.3">
      <c r="E921" t="str">
        <f>IFERROR(IF(D921="","",VLOOKUP(D921,CadProd!$A:$B,2,0)),"")</f>
        <v/>
      </c>
      <c r="F921" t="str">
        <f>IFERROR(IF(D921="","",VLOOKUP(D921,CadProd!$A:$C,3,0)),"")</f>
        <v/>
      </c>
    </row>
    <row r="922" spans="5:6" x14ac:dyDescent="0.3">
      <c r="E922" t="str">
        <f>IFERROR(IF(D922="","",VLOOKUP(D922,CadProd!$A:$B,2,0)),"")</f>
        <v/>
      </c>
      <c r="F922" t="str">
        <f>IFERROR(IF(D922="","",VLOOKUP(D922,CadProd!$A:$C,3,0)),"")</f>
        <v/>
      </c>
    </row>
    <row r="923" spans="5:6" x14ac:dyDescent="0.3">
      <c r="E923" t="str">
        <f>IFERROR(IF(D923="","",VLOOKUP(D923,CadProd!$A:$B,2,0)),"")</f>
        <v/>
      </c>
      <c r="F923" t="str">
        <f>IFERROR(IF(D923="","",VLOOKUP(D923,CadProd!$A:$C,3,0)),"")</f>
        <v/>
      </c>
    </row>
    <row r="924" spans="5:6" x14ac:dyDescent="0.3">
      <c r="E924" t="str">
        <f>IFERROR(IF(D924="","",VLOOKUP(D924,CadProd!$A:$B,2,0)),"")</f>
        <v/>
      </c>
      <c r="F924" t="str">
        <f>IFERROR(IF(D924="","",VLOOKUP(D924,CadProd!$A:$C,3,0)),"")</f>
        <v/>
      </c>
    </row>
    <row r="925" spans="5:6" x14ac:dyDescent="0.3">
      <c r="E925" t="str">
        <f>IFERROR(IF(D925="","",VLOOKUP(D925,CadProd!$A:$B,2,0)),"")</f>
        <v/>
      </c>
      <c r="F925" t="str">
        <f>IFERROR(IF(D925="","",VLOOKUP(D925,CadProd!$A:$C,3,0)),"")</f>
        <v/>
      </c>
    </row>
    <row r="926" spans="5:6" x14ac:dyDescent="0.3">
      <c r="E926" t="str">
        <f>IFERROR(IF(D926="","",VLOOKUP(D926,CadProd!$A:$B,2,0)),"")</f>
        <v/>
      </c>
      <c r="F926" t="str">
        <f>IFERROR(IF(D926="","",VLOOKUP(D926,CadProd!$A:$C,3,0)),"")</f>
        <v/>
      </c>
    </row>
    <row r="927" spans="5:6" x14ac:dyDescent="0.3">
      <c r="E927" t="str">
        <f>IFERROR(IF(D927="","",VLOOKUP(D927,CadProd!$A:$B,2,0)),"")</f>
        <v/>
      </c>
      <c r="F927" t="str">
        <f>IFERROR(IF(D927="","",VLOOKUP(D927,CadProd!$A:$C,3,0)),"")</f>
        <v/>
      </c>
    </row>
    <row r="928" spans="5:6" x14ac:dyDescent="0.3">
      <c r="E928" t="str">
        <f>IFERROR(IF(D928="","",VLOOKUP(D928,CadProd!$A:$B,2,0)),"")</f>
        <v/>
      </c>
      <c r="F928" t="str">
        <f>IFERROR(IF(D928="","",VLOOKUP(D928,CadProd!$A:$C,3,0)),"")</f>
        <v/>
      </c>
    </row>
    <row r="929" spans="5:6" x14ac:dyDescent="0.3">
      <c r="E929" t="str">
        <f>IFERROR(IF(D929="","",VLOOKUP(D929,CadProd!$A:$B,2,0)),"")</f>
        <v/>
      </c>
      <c r="F929" t="str">
        <f>IFERROR(IF(D929="","",VLOOKUP(D929,CadProd!$A:$C,3,0)),"")</f>
        <v/>
      </c>
    </row>
    <row r="930" spans="5:6" x14ac:dyDescent="0.3">
      <c r="E930" t="str">
        <f>IFERROR(IF(D930="","",VLOOKUP(D930,CadProd!$A:$B,2,0)),"")</f>
        <v/>
      </c>
      <c r="F930" t="str">
        <f>IFERROR(IF(D930="","",VLOOKUP(D930,CadProd!$A:$C,3,0)),"")</f>
        <v/>
      </c>
    </row>
    <row r="931" spans="5:6" x14ac:dyDescent="0.3">
      <c r="E931" t="str">
        <f>IFERROR(IF(D931="","",VLOOKUP(D931,CadProd!$A:$B,2,0)),"")</f>
        <v/>
      </c>
      <c r="F931" t="str">
        <f>IFERROR(IF(D931="","",VLOOKUP(D931,CadProd!$A:$C,3,0)),"")</f>
        <v/>
      </c>
    </row>
    <row r="932" spans="5:6" x14ac:dyDescent="0.3">
      <c r="E932" t="str">
        <f>IFERROR(IF(D932="","",VLOOKUP(D932,CadProd!$A:$B,2,0)),"")</f>
        <v/>
      </c>
      <c r="F932" t="str">
        <f>IFERROR(IF(D932="","",VLOOKUP(D932,CadProd!$A:$C,3,0)),"")</f>
        <v/>
      </c>
    </row>
    <row r="933" spans="5:6" x14ac:dyDescent="0.3">
      <c r="E933" t="str">
        <f>IFERROR(IF(D933="","",VLOOKUP(D933,CadProd!$A:$B,2,0)),"")</f>
        <v/>
      </c>
      <c r="F933" t="str">
        <f>IFERROR(IF(D933="","",VLOOKUP(D933,CadProd!$A:$C,3,0)),"")</f>
        <v/>
      </c>
    </row>
    <row r="934" spans="5:6" x14ac:dyDescent="0.3">
      <c r="E934" t="str">
        <f>IFERROR(IF(D934="","",VLOOKUP(D934,CadProd!$A:$B,2,0)),"")</f>
        <v/>
      </c>
      <c r="F934" t="str">
        <f>IFERROR(IF(D934="","",VLOOKUP(D934,CadProd!$A:$C,3,0)),"")</f>
        <v/>
      </c>
    </row>
    <row r="935" spans="5:6" x14ac:dyDescent="0.3">
      <c r="E935" t="str">
        <f>IFERROR(IF(D935="","",VLOOKUP(D935,CadProd!$A:$B,2,0)),"")</f>
        <v/>
      </c>
      <c r="F935" t="str">
        <f>IFERROR(IF(D935="","",VLOOKUP(D935,CadProd!$A:$C,3,0)),"")</f>
        <v/>
      </c>
    </row>
    <row r="936" spans="5:6" x14ac:dyDescent="0.3">
      <c r="E936" t="str">
        <f>IFERROR(IF(D936="","",VLOOKUP(D936,CadProd!$A:$B,2,0)),"")</f>
        <v/>
      </c>
      <c r="F936" t="str">
        <f>IFERROR(IF(D936="","",VLOOKUP(D936,CadProd!$A:$C,3,0)),"")</f>
        <v/>
      </c>
    </row>
    <row r="937" spans="5:6" x14ac:dyDescent="0.3">
      <c r="E937" t="str">
        <f>IFERROR(IF(D937="","",VLOOKUP(D937,CadProd!$A:$B,2,0)),"")</f>
        <v/>
      </c>
      <c r="F937" t="str">
        <f>IFERROR(IF(D937="","",VLOOKUP(D937,CadProd!$A:$C,3,0)),"")</f>
        <v/>
      </c>
    </row>
    <row r="938" spans="5:6" x14ac:dyDescent="0.3">
      <c r="E938" t="str">
        <f>IFERROR(IF(D938="","",VLOOKUP(D938,CadProd!$A:$B,2,0)),"")</f>
        <v/>
      </c>
      <c r="F938" t="str">
        <f>IFERROR(IF(D938="","",VLOOKUP(D938,CadProd!$A:$C,3,0)),"")</f>
        <v/>
      </c>
    </row>
    <row r="939" spans="5:6" x14ac:dyDescent="0.3">
      <c r="E939" t="str">
        <f>IFERROR(IF(D939="","",VLOOKUP(D939,CadProd!$A:$B,2,0)),"")</f>
        <v/>
      </c>
      <c r="F939" t="str">
        <f>IFERROR(IF(D939="","",VLOOKUP(D939,CadProd!$A:$C,3,0)),"")</f>
        <v/>
      </c>
    </row>
    <row r="940" spans="5:6" x14ac:dyDescent="0.3">
      <c r="E940" t="str">
        <f>IFERROR(IF(D940="","",VLOOKUP(D940,CadProd!$A:$B,2,0)),"")</f>
        <v/>
      </c>
      <c r="F940" t="str">
        <f>IFERROR(IF(D940="","",VLOOKUP(D940,CadProd!$A:$C,3,0)),"")</f>
        <v/>
      </c>
    </row>
    <row r="941" spans="5:6" x14ac:dyDescent="0.3">
      <c r="E941" t="str">
        <f>IFERROR(IF(D941="","",VLOOKUP(D941,CadProd!$A:$B,2,0)),"")</f>
        <v/>
      </c>
      <c r="F941" t="str">
        <f>IFERROR(IF(D941="","",VLOOKUP(D941,CadProd!$A:$C,3,0)),"")</f>
        <v/>
      </c>
    </row>
    <row r="942" spans="5:6" x14ac:dyDescent="0.3">
      <c r="E942" t="str">
        <f>IFERROR(IF(D942="","",VLOOKUP(D942,CadProd!$A:$B,2,0)),"")</f>
        <v/>
      </c>
      <c r="F942" t="str">
        <f>IFERROR(IF(D942="","",VLOOKUP(D942,CadProd!$A:$C,3,0)),"")</f>
        <v/>
      </c>
    </row>
    <row r="943" spans="5:6" x14ac:dyDescent="0.3">
      <c r="E943" t="str">
        <f>IFERROR(IF(D943="","",VLOOKUP(D943,CadProd!$A:$B,2,0)),"")</f>
        <v/>
      </c>
      <c r="F943" t="str">
        <f>IFERROR(IF(D943="","",VLOOKUP(D943,CadProd!$A:$C,3,0)),"")</f>
        <v/>
      </c>
    </row>
    <row r="944" spans="5:6" x14ac:dyDescent="0.3">
      <c r="E944" t="str">
        <f>IFERROR(IF(D944="","",VLOOKUP(D944,CadProd!$A:$B,2,0)),"")</f>
        <v/>
      </c>
      <c r="F944" t="str">
        <f>IFERROR(IF(D944="","",VLOOKUP(D944,CadProd!$A:$C,3,0)),"")</f>
        <v/>
      </c>
    </row>
    <row r="945" spans="5:6" x14ac:dyDescent="0.3">
      <c r="E945" t="str">
        <f>IFERROR(IF(D945="","",VLOOKUP(D945,CadProd!$A:$B,2,0)),"")</f>
        <v/>
      </c>
      <c r="F945" t="str">
        <f>IFERROR(IF(D945="","",VLOOKUP(D945,CadProd!$A:$C,3,0)),"")</f>
        <v/>
      </c>
    </row>
    <row r="946" spans="5:6" x14ac:dyDescent="0.3">
      <c r="E946" t="str">
        <f>IFERROR(IF(D946="","",VLOOKUP(D946,CadProd!$A:$B,2,0)),"")</f>
        <v/>
      </c>
      <c r="F946" t="str">
        <f>IFERROR(IF(D946="","",VLOOKUP(D946,CadProd!$A:$C,3,0)),"")</f>
        <v/>
      </c>
    </row>
    <row r="947" spans="5:6" x14ac:dyDescent="0.3">
      <c r="E947" t="str">
        <f>IFERROR(IF(D947="","",VLOOKUP(D947,CadProd!$A:$B,2,0)),"")</f>
        <v/>
      </c>
      <c r="F947" t="str">
        <f>IFERROR(IF(D947="","",VLOOKUP(D947,CadProd!$A:$C,3,0)),"")</f>
        <v/>
      </c>
    </row>
    <row r="948" spans="5:6" x14ac:dyDescent="0.3">
      <c r="E948" t="str">
        <f>IFERROR(IF(D948="","",VLOOKUP(D948,CadProd!$A:$B,2,0)),"")</f>
        <v/>
      </c>
      <c r="F948" t="str">
        <f>IFERROR(IF(D948="","",VLOOKUP(D948,CadProd!$A:$C,3,0)),"")</f>
        <v/>
      </c>
    </row>
    <row r="949" spans="5:6" x14ac:dyDescent="0.3">
      <c r="E949" t="str">
        <f>IFERROR(IF(D949="","",VLOOKUP(D949,CadProd!$A:$B,2,0)),"")</f>
        <v/>
      </c>
      <c r="F949" t="str">
        <f>IFERROR(IF(D949="","",VLOOKUP(D949,CadProd!$A:$C,3,0)),"")</f>
        <v/>
      </c>
    </row>
    <row r="950" spans="5:6" x14ac:dyDescent="0.3">
      <c r="E950" t="str">
        <f>IFERROR(IF(D950="","",VLOOKUP(D950,CadProd!$A:$B,2,0)),"")</f>
        <v/>
      </c>
      <c r="F950" t="str">
        <f>IFERROR(IF(D950="","",VLOOKUP(D950,CadProd!$A:$C,3,0)),"")</f>
        <v/>
      </c>
    </row>
    <row r="951" spans="5:6" x14ac:dyDescent="0.3">
      <c r="E951" t="str">
        <f>IFERROR(IF(D951="","",VLOOKUP(D951,CadProd!$A:$B,2,0)),"")</f>
        <v/>
      </c>
      <c r="F951" t="str">
        <f>IFERROR(IF(D951="","",VLOOKUP(D951,CadProd!$A:$C,3,0)),"")</f>
        <v/>
      </c>
    </row>
    <row r="952" spans="5:6" x14ac:dyDescent="0.3">
      <c r="E952" t="str">
        <f>IFERROR(IF(D952="","",VLOOKUP(D952,CadProd!$A:$B,2,0)),"")</f>
        <v/>
      </c>
      <c r="F952" t="str">
        <f>IFERROR(IF(D952="","",VLOOKUP(D952,CadProd!$A:$C,3,0)),"")</f>
        <v/>
      </c>
    </row>
    <row r="953" spans="5:6" x14ac:dyDescent="0.3">
      <c r="E953" t="str">
        <f>IFERROR(IF(D953="","",VLOOKUP(D953,CadProd!$A:$B,2,0)),"")</f>
        <v/>
      </c>
      <c r="F953" t="str">
        <f>IFERROR(IF(D953="","",VLOOKUP(D953,CadProd!$A:$C,3,0)),"")</f>
        <v/>
      </c>
    </row>
    <row r="954" spans="5:6" x14ac:dyDescent="0.3">
      <c r="E954" t="str">
        <f>IFERROR(IF(D954="","",VLOOKUP(D954,CadProd!$A:$B,2,0)),"")</f>
        <v/>
      </c>
      <c r="F954" t="str">
        <f>IFERROR(IF(D954="","",VLOOKUP(D954,CadProd!$A:$C,3,0)),"")</f>
        <v/>
      </c>
    </row>
    <row r="955" spans="5:6" x14ac:dyDescent="0.3">
      <c r="E955" t="str">
        <f>IFERROR(IF(D955="","",VLOOKUP(D955,CadProd!$A:$B,2,0)),"")</f>
        <v/>
      </c>
      <c r="F955" t="str">
        <f>IFERROR(IF(D955="","",VLOOKUP(D955,CadProd!$A:$C,3,0)),"")</f>
        <v/>
      </c>
    </row>
    <row r="956" spans="5:6" x14ac:dyDescent="0.3">
      <c r="E956" t="str">
        <f>IFERROR(IF(D956="","",VLOOKUP(D956,CadProd!$A:$B,2,0)),"")</f>
        <v/>
      </c>
      <c r="F956" t="str">
        <f>IFERROR(IF(D956="","",VLOOKUP(D956,CadProd!$A:$C,3,0)),"")</f>
        <v/>
      </c>
    </row>
    <row r="957" spans="5:6" x14ac:dyDescent="0.3">
      <c r="E957" t="str">
        <f>IFERROR(IF(D957="","",VLOOKUP(D957,CadProd!$A:$B,2,0)),"")</f>
        <v/>
      </c>
      <c r="F957" t="str">
        <f>IFERROR(IF(D957="","",VLOOKUP(D957,CadProd!$A:$C,3,0)),"")</f>
        <v/>
      </c>
    </row>
    <row r="958" spans="5:6" x14ac:dyDescent="0.3">
      <c r="E958" t="str">
        <f>IFERROR(IF(D958="","",VLOOKUP(D958,CadProd!$A:$B,2,0)),"")</f>
        <v/>
      </c>
      <c r="F958" t="str">
        <f>IFERROR(IF(D958="","",VLOOKUP(D958,CadProd!$A:$C,3,0)),"")</f>
        <v/>
      </c>
    </row>
    <row r="959" spans="5:6" x14ac:dyDescent="0.3">
      <c r="E959" t="str">
        <f>IFERROR(IF(D959="","",VLOOKUP(D959,CadProd!$A:$B,2,0)),"")</f>
        <v/>
      </c>
      <c r="F959" t="str">
        <f>IFERROR(IF(D959="","",VLOOKUP(D959,CadProd!$A:$C,3,0)),"")</f>
        <v/>
      </c>
    </row>
    <row r="960" spans="5:6" x14ac:dyDescent="0.3">
      <c r="E960" t="str">
        <f>IFERROR(IF(D960="","",VLOOKUP(D960,CadProd!$A:$B,2,0)),"")</f>
        <v/>
      </c>
      <c r="F960" t="str">
        <f>IFERROR(IF(D960="","",VLOOKUP(D960,CadProd!$A:$C,3,0)),"")</f>
        <v/>
      </c>
    </row>
    <row r="961" spans="5:6" x14ac:dyDescent="0.3">
      <c r="E961" t="str">
        <f>IFERROR(IF(D961="","",VLOOKUP(D961,CadProd!$A:$B,2,0)),"")</f>
        <v/>
      </c>
      <c r="F961" t="str">
        <f>IFERROR(IF(D961="","",VLOOKUP(D961,CadProd!$A:$C,3,0)),"")</f>
        <v/>
      </c>
    </row>
    <row r="962" spans="5:6" x14ac:dyDescent="0.3">
      <c r="E962" t="str">
        <f>IFERROR(IF(D962="","",VLOOKUP(D962,CadProd!$A:$B,2,0)),"")</f>
        <v/>
      </c>
      <c r="F962" t="str">
        <f>IFERROR(IF(D962="","",VLOOKUP(D962,CadProd!$A:$C,3,0)),"")</f>
        <v/>
      </c>
    </row>
    <row r="963" spans="5:6" x14ac:dyDescent="0.3">
      <c r="E963" t="str">
        <f>IFERROR(IF(D963="","",VLOOKUP(D963,CadProd!$A:$B,2,0)),"")</f>
        <v/>
      </c>
      <c r="F963" t="str">
        <f>IFERROR(IF(D963="","",VLOOKUP(D963,CadProd!$A:$C,3,0)),"")</f>
        <v/>
      </c>
    </row>
    <row r="964" spans="5:6" x14ac:dyDescent="0.3">
      <c r="E964" t="str">
        <f>IFERROR(IF(D964="","",VLOOKUP(D964,CadProd!$A:$B,2,0)),"")</f>
        <v/>
      </c>
      <c r="F964" t="str">
        <f>IFERROR(IF(D964="","",VLOOKUP(D964,CadProd!$A:$C,3,0)),"")</f>
        <v/>
      </c>
    </row>
    <row r="965" spans="5:6" x14ac:dyDescent="0.3">
      <c r="E965" t="str">
        <f>IFERROR(IF(D965="","",VLOOKUP(D965,CadProd!$A:$B,2,0)),"")</f>
        <v/>
      </c>
      <c r="F965" t="str">
        <f>IFERROR(IF(D965="","",VLOOKUP(D965,CadProd!$A:$C,3,0)),"")</f>
        <v/>
      </c>
    </row>
    <row r="966" spans="5:6" x14ac:dyDescent="0.3">
      <c r="E966" t="str">
        <f>IFERROR(IF(D966="","",VLOOKUP(D966,CadProd!$A:$B,2,0)),"")</f>
        <v/>
      </c>
      <c r="F966" t="str">
        <f>IFERROR(IF(D966="","",VLOOKUP(D966,CadProd!$A:$C,3,0)),"")</f>
        <v/>
      </c>
    </row>
    <row r="967" spans="5:6" x14ac:dyDescent="0.3">
      <c r="E967" t="str">
        <f>IFERROR(IF(D967="","",VLOOKUP(D967,CadProd!$A:$B,2,0)),"")</f>
        <v/>
      </c>
      <c r="F967" t="str">
        <f>IFERROR(IF(D967="","",VLOOKUP(D967,CadProd!$A:$C,3,0)),"")</f>
        <v/>
      </c>
    </row>
    <row r="968" spans="5:6" x14ac:dyDescent="0.3">
      <c r="E968" t="str">
        <f>IFERROR(IF(D968="","",VLOOKUP(D968,CadProd!$A:$B,2,0)),"")</f>
        <v/>
      </c>
      <c r="F968" t="str">
        <f>IFERROR(IF(D968="","",VLOOKUP(D968,CadProd!$A:$C,3,0)),"")</f>
        <v/>
      </c>
    </row>
    <row r="969" spans="5:6" x14ac:dyDescent="0.3">
      <c r="E969" t="str">
        <f>IFERROR(IF(D969="","",VLOOKUP(D969,CadProd!$A:$B,2,0)),"")</f>
        <v/>
      </c>
      <c r="F969" t="str">
        <f>IFERROR(IF(D969="","",VLOOKUP(D969,CadProd!$A:$C,3,0)),"")</f>
        <v/>
      </c>
    </row>
    <row r="970" spans="5:6" x14ac:dyDescent="0.3">
      <c r="E970" t="str">
        <f>IFERROR(IF(D970="","",VLOOKUP(D970,CadProd!$A:$B,2,0)),"")</f>
        <v/>
      </c>
      <c r="F970" t="str">
        <f>IFERROR(IF(D970="","",VLOOKUP(D970,CadProd!$A:$C,3,0)),"")</f>
        <v/>
      </c>
    </row>
    <row r="971" spans="5:6" x14ac:dyDescent="0.3">
      <c r="E971" t="str">
        <f>IFERROR(IF(D971="","",VLOOKUP(D971,CadProd!$A:$B,2,0)),"")</f>
        <v/>
      </c>
      <c r="F971" t="str">
        <f>IFERROR(IF(D971="","",VLOOKUP(D971,CadProd!$A:$C,3,0)),"")</f>
        <v/>
      </c>
    </row>
    <row r="972" spans="5:6" x14ac:dyDescent="0.3">
      <c r="E972" t="str">
        <f>IFERROR(IF(D972="","",VLOOKUP(D972,CadProd!$A:$B,2,0)),"")</f>
        <v/>
      </c>
      <c r="F972" t="str">
        <f>IFERROR(IF(D972="","",VLOOKUP(D972,CadProd!$A:$C,3,0)),"")</f>
        <v/>
      </c>
    </row>
    <row r="973" spans="5:6" x14ac:dyDescent="0.3">
      <c r="E973" t="str">
        <f>IFERROR(IF(D973="","",VLOOKUP(D973,CadProd!$A:$B,2,0)),"")</f>
        <v/>
      </c>
      <c r="F973" t="str">
        <f>IFERROR(IF(D973="","",VLOOKUP(D973,CadProd!$A:$C,3,0)),"")</f>
        <v/>
      </c>
    </row>
    <row r="974" spans="5:6" x14ac:dyDescent="0.3">
      <c r="E974" t="str">
        <f>IFERROR(IF(D974="","",VLOOKUP(D974,CadProd!$A:$B,2,0)),"")</f>
        <v/>
      </c>
      <c r="F974" t="str">
        <f>IFERROR(IF(D974="","",VLOOKUP(D974,CadProd!$A:$C,3,0)),"")</f>
        <v/>
      </c>
    </row>
    <row r="975" spans="5:6" x14ac:dyDescent="0.3">
      <c r="E975" t="str">
        <f>IFERROR(IF(D975="","",VLOOKUP(D975,CadProd!$A:$B,2,0)),"")</f>
        <v/>
      </c>
      <c r="F975" t="str">
        <f>IFERROR(IF(D975="","",VLOOKUP(D975,CadProd!$A:$C,3,0)),"")</f>
        <v/>
      </c>
    </row>
    <row r="976" spans="5:6" x14ac:dyDescent="0.3">
      <c r="E976" t="str">
        <f>IFERROR(IF(D976="","",VLOOKUP(D976,CadProd!$A:$B,2,0)),"")</f>
        <v/>
      </c>
      <c r="F976" t="str">
        <f>IFERROR(IF(D976="","",VLOOKUP(D976,CadProd!$A:$C,3,0)),"")</f>
        <v/>
      </c>
    </row>
    <row r="977" spans="5:6" x14ac:dyDescent="0.3">
      <c r="E977" t="str">
        <f>IFERROR(IF(D977="","",VLOOKUP(D977,CadProd!$A:$B,2,0)),"")</f>
        <v/>
      </c>
      <c r="F977" t="str">
        <f>IFERROR(IF(D977="","",VLOOKUP(D977,CadProd!$A:$C,3,0)),"")</f>
        <v/>
      </c>
    </row>
    <row r="978" spans="5:6" x14ac:dyDescent="0.3">
      <c r="E978" t="str">
        <f>IFERROR(IF(D978="","",VLOOKUP(D978,CadProd!$A:$B,2,0)),"")</f>
        <v/>
      </c>
      <c r="F978" t="str">
        <f>IFERROR(IF(D978="","",VLOOKUP(D978,CadProd!$A:$C,3,0)),"")</f>
        <v/>
      </c>
    </row>
    <row r="979" spans="5:6" x14ac:dyDescent="0.3">
      <c r="E979" t="str">
        <f>IFERROR(IF(D979="","",VLOOKUP(D979,CadProd!$A:$B,2,0)),"")</f>
        <v/>
      </c>
      <c r="F979" t="str">
        <f>IFERROR(IF(D979="","",VLOOKUP(D979,CadProd!$A:$C,3,0)),"")</f>
        <v/>
      </c>
    </row>
    <row r="980" spans="5:6" x14ac:dyDescent="0.3">
      <c r="E980" t="str">
        <f>IFERROR(IF(D980="","",VLOOKUP(D980,CadProd!$A:$B,2,0)),"")</f>
        <v/>
      </c>
      <c r="F980" t="str">
        <f>IFERROR(IF(D980="","",VLOOKUP(D980,CadProd!$A:$C,3,0)),"")</f>
        <v/>
      </c>
    </row>
    <row r="981" spans="5:6" x14ac:dyDescent="0.3">
      <c r="E981" t="str">
        <f>IFERROR(IF(D981="","",VLOOKUP(D981,CadProd!$A:$B,2,0)),"")</f>
        <v/>
      </c>
      <c r="F981" t="str">
        <f>IFERROR(IF(D981="","",VLOOKUP(D981,CadProd!$A:$C,3,0)),"")</f>
        <v/>
      </c>
    </row>
    <row r="982" spans="5:6" x14ac:dyDescent="0.3">
      <c r="E982" t="str">
        <f>IFERROR(IF(D982="","",VLOOKUP(D982,CadProd!$A:$B,2,0)),"")</f>
        <v/>
      </c>
      <c r="F982" t="str">
        <f>IFERROR(IF(D982="","",VLOOKUP(D982,CadProd!$A:$C,3,0)),"")</f>
        <v/>
      </c>
    </row>
    <row r="983" spans="5:6" x14ac:dyDescent="0.3">
      <c r="E983" t="str">
        <f>IFERROR(IF(D983="","",VLOOKUP(D983,CadProd!$A:$B,2,0)),"")</f>
        <v/>
      </c>
      <c r="F983" t="str">
        <f>IFERROR(IF(D983="","",VLOOKUP(D983,CadProd!$A:$C,3,0)),"")</f>
        <v/>
      </c>
    </row>
    <row r="984" spans="5:6" x14ac:dyDescent="0.3">
      <c r="E984" t="str">
        <f>IFERROR(IF(D984="","",VLOOKUP(D984,CadProd!$A:$B,2,0)),"")</f>
        <v/>
      </c>
      <c r="F984" t="str">
        <f>IFERROR(IF(D984="","",VLOOKUP(D984,CadProd!$A:$C,3,0)),"")</f>
        <v/>
      </c>
    </row>
    <row r="985" spans="5:6" x14ac:dyDescent="0.3">
      <c r="E985" t="str">
        <f>IFERROR(IF(D985="","",VLOOKUP(D985,CadProd!$A:$B,2,0)),"")</f>
        <v/>
      </c>
      <c r="F985" t="str">
        <f>IFERROR(IF(D985="","",VLOOKUP(D985,CadProd!$A:$C,3,0)),"")</f>
        <v/>
      </c>
    </row>
    <row r="986" spans="5:6" x14ac:dyDescent="0.3">
      <c r="E986" t="str">
        <f>IFERROR(IF(D986="","",VLOOKUP(D986,CadProd!$A:$B,2,0)),"")</f>
        <v/>
      </c>
      <c r="F986" t="str">
        <f>IFERROR(IF(D986="","",VLOOKUP(D986,CadProd!$A:$C,3,0)),"")</f>
        <v/>
      </c>
    </row>
    <row r="987" spans="5:6" x14ac:dyDescent="0.3">
      <c r="E987" t="str">
        <f>IFERROR(IF(D987="","",VLOOKUP(D987,CadProd!$A:$B,2,0)),"")</f>
        <v/>
      </c>
      <c r="F987" t="str">
        <f>IFERROR(IF(D987="","",VLOOKUP(D987,CadProd!$A:$C,3,0)),"")</f>
        <v/>
      </c>
    </row>
    <row r="988" spans="5:6" x14ac:dyDescent="0.3">
      <c r="E988" t="str">
        <f>IFERROR(IF(D988="","",VLOOKUP(D988,CadProd!$A:$B,2,0)),"")</f>
        <v/>
      </c>
      <c r="F988" t="str">
        <f>IFERROR(IF(D988="","",VLOOKUP(D988,CadProd!$A:$C,3,0)),"")</f>
        <v/>
      </c>
    </row>
    <row r="989" spans="5:6" x14ac:dyDescent="0.3">
      <c r="E989" t="str">
        <f>IFERROR(IF(D989="","",VLOOKUP(D989,CadProd!$A:$B,2,0)),"")</f>
        <v/>
      </c>
      <c r="F989" t="str">
        <f>IFERROR(IF(D989="","",VLOOKUP(D989,CadProd!$A:$C,3,0)),"")</f>
        <v/>
      </c>
    </row>
    <row r="990" spans="5:6" x14ac:dyDescent="0.3">
      <c r="E990" t="str">
        <f>IFERROR(IF(D990="","",VLOOKUP(D990,CadProd!$A:$B,2,0)),"")</f>
        <v/>
      </c>
      <c r="F990" t="str">
        <f>IFERROR(IF(D990="","",VLOOKUP(D990,CadProd!$A:$C,3,0)),"")</f>
        <v/>
      </c>
    </row>
    <row r="991" spans="5:6" x14ac:dyDescent="0.3">
      <c r="E991" t="str">
        <f>IFERROR(IF(D991="","",VLOOKUP(D991,CadProd!$A:$B,2,0)),"")</f>
        <v/>
      </c>
      <c r="F991" t="str">
        <f>IFERROR(IF(D991="","",VLOOKUP(D991,CadProd!$A:$C,3,0)),"")</f>
        <v/>
      </c>
    </row>
    <row r="992" spans="5:6" x14ac:dyDescent="0.3">
      <c r="E992" t="str">
        <f>IFERROR(IF(D992="","",VLOOKUP(D992,CadProd!$A:$B,2,0)),"")</f>
        <v/>
      </c>
      <c r="F992" t="str">
        <f>IFERROR(IF(D992="","",VLOOKUP(D992,CadProd!$A:$C,3,0)),"")</f>
        <v/>
      </c>
    </row>
    <row r="993" spans="5:6" x14ac:dyDescent="0.3">
      <c r="E993" t="str">
        <f>IFERROR(IF(D993="","",VLOOKUP(D993,CadProd!$A:$B,2,0)),"")</f>
        <v/>
      </c>
      <c r="F993" t="str">
        <f>IFERROR(IF(D993="","",VLOOKUP(D993,CadProd!$A:$C,3,0)),"")</f>
        <v/>
      </c>
    </row>
    <row r="994" spans="5:6" x14ac:dyDescent="0.3">
      <c r="E994" t="str">
        <f>IFERROR(IF(D994="","",VLOOKUP(D994,CadProd!$A:$B,2,0)),"")</f>
        <v/>
      </c>
      <c r="F994" t="str">
        <f>IFERROR(IF(D994="","",VLOOKUP(D994,CadProd!$A:$C,3,0)),"")</f>
        <v/>
      </c>
    </row>
    <row r="995" spans="5:6" x14ac:dyDescent="0.3">
      <c r="E995" t="str">
        <f>IFERROR(IF(D995="","",VLOOKUP(D995,CadProd!$A:$B,2,0)),"")</f>
        <v/>
      </c>
      <c r="F995" t="str">
        <f>IFERROR(IF(D995="","",VLOOKUP(D995,CadProd!$A:$C,3,0)),"")</f>
        <v/>
      </c>
    </row>
    <row r="996" spans="5:6" x14ac:dyDescent="0.3">
      <c r="E996" t="str">
        <f>IFERROR(IF(D996="","",VLOOKUP(D996,CadProd!$A:$B,2,0)),"")</f>
        <v/>
      </c>
      <c r="F996" t="str">
        <f>IFERROR(IF(D996="","",VLOOKUP(D996,CadProd!$A:$C,3,0)),"")</f>
        <v/>
      </c>
    </row>
    <row r="997" spans="5:6" x14ac:dyDescent="0.3">
      <c r="E997" t="str">
        <f>IFERROR(IF(D997="","",VLOOKUP(D997,CadProd!$A:$B,2,0)),"")</f>
        <v/>
      </c>
      <c r="F997" t="str">
        <f>IFERROR(IF(D997="","",VLOOKUP(D997,CadProd!$A:$C,3,0)),"")</f>
        <v/>
      </c>
    </row>
    <row r="998" spans="5:6" x14ac:dyDescent="0.3">
      <c r="E998" t="str">
        <f>IFERROR(IF(D998="","",VLOOKUP(D998,CadProd!$A:$B,2,0)),"")</f>
        <v/>
      </c>
      <c r="F998" t="str">
        <f>IFERROR(IF(D998="","",VLOOKUP(D998,CadProd!$A:$C,3,0)),"")</f>
        <v/>
      </c>
    </row>
    <row r="999" spans="5:6" x14ac:dyDescent="0.3">
      <c r="E999" t="str">
        <f>IFERROR(IF(D999="","",VLOOKUP(D999,CadProd!$A:$B,2,0)),"")</f>
        <v/>
      </c>
      <c r="F999" t="str">
        <f>IFERROR(IF(D999="","",VLOOKUP(D999,CadProd!$A:$C,3,0)),"")</f>
        <v/>
      </c>
    </row>
    <row r="1000" spans="5:6" x14ac:dyDescent="0.3">
      <c r="E1000" t="str">
        <f>IFERROR(IF(D1000="","",VLOOKUP(D1000,CadProd!$A:$B,2,0)),"")</f>
        <v/>
      </c>
      <c r="F1000" t="str">
        <f>IFERROR(IF(D1000="","",VLOOKUP(D1000,CadProd!$A:$C,3,0)),"")</f>
        <v/>
      </c>
    </row>
    <row r="1001" spans="5:6" x14ac:dyDescent="0.3">
      <c r="E1001" t="str">
        <f>IFERROR(IF(D1001="","",VLOOKUP(D1001,CadProd!$A:$B,2,0)),"")</f>
        <v/>
      </c>
      <c r="F1001" t="str">
        <f>IFERROR(IF(D1001="","",VLOOKUP(D1001,CadProd!$A:$C,3,0)),"")</f>
        <v/>
      </c>
    </row>
    <row r="1002" spans="5:6" x14ac:dyDescent="0.3">
      <c r="E1002" t="str">
        <f>IFERROR(IF(D1002="","",VLOOKUP(D1002,CadProd!$A:$B,2,0)),"")</f>
        <v/>
      </c>
      <c r="F1002" t="str">
        <f>IFERROR(IF(D1002="","",VLOOKUP(D1002,CadProd!$A:$C,3,0)),"")</f>
        <v/>
      </c>
    </row>
    <row r="1003" spans="5:6" x14ac:dyDescent="0.3">
      <c r="E1003" t="str">
        <f>IFERROR(IF(D1003="","",VLOOKUP(D1003,CadProd!$A:$B,2,0)),"")</f>
        <v/>
      </c>
      <c r="F1003" t="str">
        <f>IFERROR(IF(D1003="","",VLOOKUP(D1003,CadProd!$A:$C,3,0)),"")</f>
        <v/>
      </c>
    </row>
    <row r="1004" spans="5:6" x14ac:dyDescent="0.3">
      <c r="E1004" t="str">
        <f>IFERROR(IF(D1004="","",VLOOKUP(D1004,CadProd!$A:$B,2,0)),"")</f>
        <v/>
      </c>
      <c r="F1004" t="str">
        <f>IFERROR(IF(D1004="","",VLOOKUP(D1004,CadProd!$A:$C,3,0)),"")</f>
        <v/>
      </c>
    </row>
    <row r="1005" spans="5:6" x14ac:dyDescent="0.3">
      <c r="E1005" t="str">
        <f>IFERROR(IF(D1005="","",VLOOKUP(D1005,CadProd!$A:$B,2,0)),"")</f>
        <v/>
      </c>
      <c r="F1005" t="str">
        <f>IFERROR(IF(D1005="","",VLOOKUP(D1005,CadProd!$A:$C,3,0)),"")</f>
        <v/>
      </c>
    </row>
    <row r="1006" spans="5:6" x14ac:dyDescent="0.3">
      <c r="E1006" t="str">
        <f>IFERROR(IF(D1006="","",VLOOKUP(D1006,CadProd!$A:$B,2,0)),"")</f>
        <v/>
      </c>
      <c r="F1006" t="str">
        <f>IFERROR(IF(D1006="","",VLOOKUP(D1006,CadProd!$A:$C,3,0)),"")</f>
        <v/>
      </c>
    </row>
    <row r="1007" spans="5:6" x14ac:dyDescent="0.3">
      <c r="E1007" t="str">
        <f>IFERROR(IF(D1007="","",VLOOKUP(D1007,CadProd!$A:$B,2,0)),"")</f>
        <v/>
      </c>
      <c r="F1007" t="str">
        <f>IFERROR(IF(D1007="","",VLOOKUP(D1007,CadProd!$A:$C,3,0)),"")</f>
        <v/>
      </c>
    </row>
    <row r="1008" spans="5:6" x14ac:dyDescent="0.3">
      <c r="E1008" t="str">
        <f>IFERROR(IF(D1008="","",VLOOKUP(D1008,CadProd!$A:$B,2,0)),"")</f>
        <v/>
      </c>
      <c r="F1008" t="str">
        <f>IFERROR(IF(D1008="","",VLOOKUP(D1008,CadProd!$A:$C,3,0)),"")</f>
        <v/>
      </c>
    </row>
    <row r="1009" spans="5:6" x14ac:dyDescent="0.3">
      <c r="E1009" t="str">
        <f>IFERROR(IF(D1009="","",VLOOKUP(D1009,CadProd!$A:$B,2,0)),"")</f>
        <v/>
      </c>
      <c r="F1009" t="str">
        <f>IFERROR(IF(D1009="","",VLOOKUP(D1009,CadProd!$A:$C,3,0)),"")</f>
        <v/>
      </c>
    </row>
    <row r="1010" spans="5:6" x14ac:dyDescent="0.3">
      <c r="E1010" t="str">
        <f>IFERROR(IF(D1010="","",VLOOKUP(D1010,CadProd!$A:$B,2,0)),"")</f>
        <v/>
      </c>
      <c r="F1010" t="str">
        <f>IFERROR(IF(D1010="","",VLOOKUP(D1010,CadProd!$A:$C,3,0)),"")</f>
        <v/>
      </c>
    </row>
    <row r="1011" spans="5:6" x14ac:dyDescent="0.3">
      <c r="E1011" t="str">
        <f>IFERROR(IF(D1011="","",VLOOKUP(D1011,CadProd!$A:$B,2,0)),"")</f>
        <v/>
      </c>
      <c r="F1011" t="str">
        <f>IFERROR(IF(D1011="","",VLOOKUP(D1011,CadProd!$A:$C,3,0)),"")</f>
        <v/>
      </c>
    </row>
    <row r="1012" spans="5:6" x14ac:dyDescent="0.3">
      <c r="E1012" t="str">
        <f>IFERROR(IF(D1012="","",VLOOKUP(D1012,CadProd!$A:$B,2,0)),"")</f>
        <v/>
      </c>
      <c r="F1012" t="str">
        <f>IFERROR(IF(D1012="","",VLOOKUP(D1012,CadProd!$A:$C,3,0)),"")</f>
        <v/>
      </c>
    </row>
    <row r="1013" spans="5:6" x14ac:dyDescent="0.3">
      <c r="E1013" t="str">
        <f>IFERROR(IF(D1013="","",VLOOKUP(D1013,CadProd!$A:$B,2,0)),"")</f>
        <v/>
      </c>
      <c r="F1013" t="str">
        <f>IFERROR(IF(D1013="","",VLOOKUP(D1013,CadProd!$A:$C,3,0)),"")</f>
        <v/>
      </c>
    </row>
    <row r="1014" spans="5:6" x14ac:dyDescent="0.3">
      <c r="E1014" t="str">
        <f>IFERROR(IF(D1014="","",VLOOKUP(D1014,CadProd!$A:$B,2,0)),"")</f>
        <v/>
      </c>
      <c r="F1014" t="str">
        <f>IFERROR(IF(D1014="","",VLOOKUP(D1014,CadProd!$A:$C,3,0)),"")</f>
        <v/>
      </c>
    </row>
    <row r="1015" spans="5:6" x14ac:dyDescent="0.3">
      <c r="E1015" t="str">
        <f>IFERROR(IF(D1015="","",VLOOKUP(D1015,CadProd!$A:$B,2,0)),"")</f>
        <v/>
      </c>
      <c r="F1015" t="str">
        <f>IFERROR(IF(D1015="","",VLOOKUP(D1015,CadProd!$A:$C,3,0)),"")</f>
        <v/>
      </c>
    </row>
    <row r="1016" spans="5:6" x14ac:dyDescent="0.3">
      <c r="E1016" t="str">
        <f>IFERROR(IF(D1016="","",VLOOKUP(D1016,CadProd!$A:$B,2,0)),"")</f>
        <v/>
      </c>
      <c r="F1016" t="str">
        <f>IFERROR(IF(D1016="","",VLOOKUP(D1016,CadProd!$A:$C,3,0)),"")</f>
        <v/>
      </c>
    </row>
    <row r="1017" spans="5:6" x14ac:dyDescent="0.3">
      <c r="E1017" t="str">
        <f>IFERROR(IF(D1017="","",VLOOKUP(D1017,CadProd!$A:$B,2,0)),"")</f>
        <v/>
      </c>
      <c r="F1017" t="str">
        <f>IFERROR(IF(D1017="","",VLOOKUP(D1017,CadProd!$A:$C,3,0)),"")</f>
        <v/>
      </c>
    </row>
    <row r="1018" spans="5:6" x14ac:dyDescent="0.3">
      <c r="E1018" t="str">
        <f>IFERROR(IF(D1018="","",VLOOKUP(D1018,CadProd!$A:$B,2,0)),"")</f>
        <v/>
      </c>
      <c r="F1018" t="str">
        <f>IFERROR(IF(D1018="","",VLOOKUP(D1018,CadProd!$A:$C,3,0)),"")</f>
        <v/>
      </c>
    </row>
    <row r="1019" spans="5:6" x14ac:dyDescent="0.3">
      <c r="E1019" t="str">
        <f>IFERROR(IF(D1019="","",VLOOKUP(D1019,CadProd!$A:$B,2,0)),"")</f>
        <v/>
      </c>
      <c r="F1019" t="str">
        <f>IFERROR(IF(D1019="","",VLOOKUP(D1019,CadProd!$A:$C,3,0)),"")</f>
        <v/>
      </c>
    </row>
    <row r="1020" spans="5:6" x14ac:dyDescent="0.3">
      <c r="E1020" t="str">
        <f>IFERROR(IF(D1020="","",VLOOKUP(D1020,CadProd!$A:$B,2,0)),"")</f>
        <v/>
      </c>
      <c r="F1020" t="str">
        <f>IFERROR(IF(D1020="","",VLOOKUP(D1020,CadProd!$A:$C,3,0)),"")</f>
        <v/>
      </c>
    </row>
    <row r="1021" spans="5:6" x14ac:dyDescent="0.3">
      <c r="E1021" t="str">
        <f>IFERROR(IF(D1021="","",VLOOKUP(D1021,CadProd!$A:$B,2,0)),"")</f>
        <v/>
      </c>
      <c r="F1021" t="str">
        <f>IFERROR(IF(D1021="","",VLOOKUP(D1021,CadProd!$A:$C,3,0)),"")</f>
        <v/>
      </c>
    </row>
    <row r="1022" spans="5:6" x14ac:dyDescent="0.3">
      <c r="E1022" t="str">
        <f>IFERROR(IF(D1022="","",VLOOKUP(D1022,CadProd!$A:$B,2,0)),"")</f>
        <v/>
      </c>
      <c r="F1022" t="str">
        <f>IFERROR(IF(D1022="","",VLOOKUP(D1022,CadProd!$A:$C,3,0)),"")</f>
        <v/>
      </c>
    </row>
    <row r="1023" spans="5:6" x14ac:dyDescent="0.3">
      <c r="E1023" t="str">
        <f>IFERROR(IF(D1023="","",VLOOKUP(D1023,CadProd!$A:$B,2,0)),"")</f>
        <v/>
      </c>
      <c r="F1023" t="str">
        <f>IFERROR(IF(D1023="","",VLOOKUP(D1023,CadProd!$A:$C,3,0)),"")</f>
        <v/>
      </c>
    </row>
    <row r="1024" spans="5:6" x14ac:dyDescent="0.3">
      <c r="E1024" t="str">
        <f>IFERROR(IF(D1024="","",VLOOKUP(D1024,CadProd!$A:$B,2,0)),"")</f>
        <v/>
      </c>
      <c r="F1024" t="str">
        <f>IFERROR(IF(D1024="","",VLOOKUP(D1024,CadProd!$A:$C,3,0)),"")</f>
        <v/>
      </c>
    </row>
    <row r="1025" spans="5:6" x14ac:dyDescent="0.3">
      <c r="E1025" t="str">
        <f>IFERROR(IF(D1025="","",VLOOKUP(D1025,CadProd!$A:$B,2,0)),"")</f>
        <v/>
      </c>
      <c r="F1025" t="str">
        <f>IFERROR(IF(D1025="","",VLOOKUP(D1025,CadProd!$A:$C,3,0)),"")</f>
        <v/>
      </c>
    </row>
    <row r="1026" spans="5:6" x14ac:dyDescent="0.3">
      <c r="E1026" t="str">
        <f>IFERROR(IF(D1026="","",VLOOKUP(D1026,CadProd!$A:$B,2,0)),"")</f>
        <v/>
      </c>
      <c r="F1026" t="str">
        <f>IFERROR(IF(D1026="","",VLOOKUP(D1026,CadProd!$A:$C,3,0)),"")</f>
        <v/>
      </c>
    </row>
    <row r="1027" spans="5:6" x14ac:dyDescent="0.3">
      <c r="E1027" t="str">
        <f>IFERROR(IF(D1027="","",VLOOKUP(D1027,CadProd!$A:$B,2,0)),"")</f>
        <v/>
      </c>
      <c r="F1027" t="str">
        <f>IFERROR(IF(D1027="","",VLOOKUP(D1027,CadProd!$A:$C,3,0)),"")</f>
        <v/>
      </c>
    </row>
    <row r="1028" spans="5:6" x14ac:dyDescent="0.3">
      <c r="E1028" t="str">
        <f>IFERROR(IF(D1028="","",VLOOKUP(D1028,CadProd!$A:$B,2,0)),"")</f>
        <v/>
      </c>
      <c r="F1028" t="str">
        <f>IFERROR(IF(D1028="","",VLOOKUP(D1028,CadProd!$A:$C,3,0)),"")</f>
        <v/>
      </c>
    </row>
    <row r="1029" spans="5:6" x14ac:dyDescent="0.3">
      <c r="E1029" t="str">
        <f>IFERROR(IF(D1029="","",VLOOKUP(D1029,CadProd!$A:$B,2,0)),"")</f>
        <v/>
      </c>
      <c r="F1029" t="str">
        <f>IFERROR(IF(D1029="","",VLOOKUP(D1029,CadProd!$A:$C,3,0)),"")</f>
        <v/>
      </c>
    </row>
    <row r="1030" spans="5:6" x14ac:dyDescent="0.3">
      <c r="E1030" t="str">
        <f>IFERROR(IF(D1030="","",VLOOKUP(D1030,CadProd!$A:$B,2,0)),"")</f>
        <v/>
      </c>
      <c r="F1030" t="str">
        <f>IFERROR(IF(D1030="","",VLOOKUP(D1030,CadProd!$A:$C,3,0)),"")</f>
        <v/>
      </c>
    </row>
    <row r="1031" spans="5:6" x14ac:dyDescent="0.3">
      <c r="E1031" t="str">
        <f>IFERROR(IF(D1031="","",VLOOKUP(D1031,CadProd!$A:$B,2,0)),"")</f>
        <v/>
      </c>
      <c r="F1031" t="str">
        <f>IFERROR(IF(D1031="","",VLOOKUP(D1031,CadProd!$A:$C,3,0)),"")</f>
        <v/>
      </c>
    </row>
    <row r="1032" spans="5:6" x14ac:dyDescent="0.3">
      <c r="E1032" t="str">
        <f>IFERROR(IF(D1032="","",VLOOKUP(D1032,CadProd!$A:$B,2,0)),"")</f>
        <v/>
      </c>
      <c r="F1032" t="str">
        <f>IFERROR(IF(D1032="","",VLOOKUP(D1032,CadProd!$A:$C,3,0)),"")</f>
        <v/>
      </c>
    </row>
    <row r="1033" spans="5:6" x14ac:dyDescent="0.3">
      <c r="E1033" t="str">
        <f>IFERROR(IF(D1033="","",VLOOKUP(D1033,CadProd!$A:$B,2,0)),"")</f>
        <v/>
      </c>
      <c r="F1033" t="str">
        <f>IFERROR(IF(D1033="","",VLOOKUP(D1033,CadProd!$A:$C,3,0)),"")</f>
        <v/>
      </c>
    </row>
    <row r="1034" spans="5:6" x14ac:dyDescent="0.3">
      <c r="E1034" t="str">
        <f>IFERROR(IF(D1034="","",VLOOKUP(D1034,CadProd!$A:$B,2,0)),"")</f>
        <v/>
      </c>
      <c r="F1034" t="str">
        <f>IFERROR(IF(D1034="","",VLOOKUP(D1034,CadProd!$A:$C,3,0)),"")</f>
        <v/>
      </c>
    </row>
    <row r="1035" spans="5:6" x14ac:dyDescent="0.3">
      <c r="E1035" t="str">
        <f>IFERROR(IF(D1035="","",VLOOKUP(D1035,CadProd!$A:$B,2,0)),"")</f>
        <v/>
      </c>
      <c r="F1035" t="str">
        <f>IFERROR(IF(D1035="","",VLOOKUP(D1035,CadProd!$A:$C,3,0)),"")</f>
        <v/>
      </c>
    </row>
    <row r="1036" spans="5:6" x14ac:dyDescent="0.3">
      <c r="E1036" t="str">
        <f>IFERROR(IF(D1036="","",VLOOKUP(D1036,CadProd!$A:$B,2,0)),"")</f>
        <v/>
      </c>
      <c r="F1036" t="str">
        <f>IFERROR(IF(D1036="","",VLOOKUP(D1036,CadProd!$A:$C,3,0)),"")</f>
        <v/>
      </c>
    </row>
    <row r="1037" spans="5:6" x14ac:dyDescent="0.3">
      <c r="E1037" t="str">
        <f>IFERROR(IF(D1037="","",VLOOKUP(D1037,CadProd!$A:$B,2,0)),"")</f>
        <v/>
      </c>
      <c r="F1037" t="str">
        <f>IFERROR(IF(D1037="","",VLOOKUP(D1037,CadProd!$A:$C,3,0)),"")</f>
        <v/>
      </c>
    </row>
    <row r="1038" spans="5:6" x14ac:dyDescent="0.3">
      <c r="E1038" t="str">
        <f>IFERROR(IF(D1038="","",VLOOKUP(D1038,CadProd!$A:$B,2,0)),"")</f>
        <v/>
      </c>
      <c r="F1038" t="str">
        <f>IFERROR(IF(D1038="","",VLOOKUP(D1038,CadProd!$A:$C,3,0)),"")</f>
        <v/>
      </c>
    </row>
    <row r="1039" spans="5:6" x14ac:dyDescent="0.3">
      <c r="E1039" t="str">
        <f>IFERROR(IF(D1039="","",VLOOKUP(D1039,CadProd!$A:$B,2,0)),"")</f>
        <v/>
      </c>
      <c r="F1039" t="str">
        <f>IFERROR(IF(D1039="","",VLOOKUP(D1039,CadProd!$A:$C,3,0)),"")</f>
        <v/>
      </c>
    </row>
    <row r="1040" spans="5:6" x14ac:dyDescent="0.3">
      <c r="E1040" t="str">
        <f>IFERROR(IF(D1040="","",VLOOKUP(D1040,CadProd!$A:$B,2,0)),"")</f>
        <v/>
      </c>
      <c r="F1040" t="str">
        <f>IFERROR(IF(D1040="","",VLOOKUP(D1040,CadProd!$A:$C,3,0)),"")</f>
        <v/>
      </c>
    </row>
    <row r="1041" spans="5:6" x14ac:dyDescent="0.3">
      <c r="E1041" t="str">
        <f>IFERROR(IF(D1041="","",VLOOKUP(D1041,CadProd!$A:$B,2,0)),"")</f>
        <v/>
      </c>
      <c r="F1041" t="str">
        <f>IFERROR(IF(D1041="","",VLOOKUP(D1041,CadProd!$A:$C,3,0)),"")</f>
        <v/>
      </c>
    </row>
    <row r="1042" spans="5:6" x14ac:dyDescent="0.3">
      <c r="E1042" t="str">
        <f>IFERROR(IF(D1042="","",VLOOKUP(D1042,CadProd!$A:$B,2,0)),"")</f>
        <v/>
      </c>
      <c r="F1042" t="str">
        <f>IFERROR(IF(D1042="","",VLOOKUP(D1042,CadProd!$A:$C,3,0)),"")</f>
        <v/>
      </c>
    </row>
    <row r="1043" spans="5:6" x14ac:dyDescent="0.3">
      <c r="E1043" t="str">
        <f>IFERROR(IF(D1043="","",VLOOKUP(D1043,CadProd!$A:$B,2,0)),"")</f>
        <v/>
      </c>
      <c r="F1043" t="str">
        <f>IFERROR(IF(D1043="","",VLOOKUP(D1043,CadProd!$A:$C,3,0)),"")</f>
        <v/>
      </c>
    </row>
    <row r="1044" spans="5:6" x14ac:dyDescent="0.3">
      <c r="E1044" t="str">
        <f>IFERROR(IF(D1044="","",VLOOKUP(D1044,CadProd!$A:$B,2,0)),"")</f>
        <v/>
      </c>
      <c r="F1044" t="str">
        <f>IFERROR(IF(D1044="","",VLOOKUP(D1044,CadProd!$A:$C,3,0)),"")</f>
        <v/>
      </c>
    </row>
    <row r="1045" spans="5:6" x14ac:dyDescent="0.3">
      <c r="E1045" t="str">
        <f>IFERROR(IF(D1045="","",VLOOKUP(D1045,CadProd!$A:$B,2,0)),"")</f>
        <v/>
      </c>
      <c r="F1045" t="str">
        <f>IFERROR(IF(D1045="","",VLOOKUP(D1045,CadProd!$A:$C,3,0)),"")</f>
        <v/>
      </c>
    </row>
    <row r="1046" spans="5:6" x14ac:dyDescent="0.3">
      <c r="E1046" t="str">
        <f>IFERROR(IF(D1046="","",VLOOKUP(D1046,CadProd!$A:$B,2,0)),"")</f>
        <v/>
      </c>
      <c r="F1046" t="str">
        <f>IFERROR(IF(D1046="","",VLOOKUP(D1046,CadProd!$A:$C,3,0)),"")</f>
        <v/>
      </c>
    </row>
    <row r="1047" spans="5:6" x14ac:dyDescent="0.3">
      <c r="E1047" t="str">
        <f>IFERROR(IF(D1047="","",VLOOKUP(D1047,CadProd!$A:$B,2,0)),"")</f>
        <v/>
      </c>
      <c r="F1047" t="str">
        <f>IFERROR(IF(D1047="","",VLOOKUP(D1047,CadProd!$A:$C,3,0)),"")</f>
        <v/>
      </c>
    </row>
    <row r="1048" spans="5:6" x14ac:dyDescent="0.3">
      <c r="E1048" t="str">
        <f>IFERROR(IF(D1048="","",VLOOKUP(D1048,CadProd!$A:$B,2,0)),"")</f>
        <v/>
      </c>
      <c r="F1048" t="str">
        <f>IFERROR(IF(D1048="","",VLOOKUP(D1048,CadProd!$A:$C,3,0)),"")</f>
        <v/>
      </c>
    </row>
    <row r="1049" spans="5:6" x14ac:dyDescent="0.3">
      <c r="E1049" t="str">
        <f>IFERROR(IF(D1049="","",VLOOKUP(D1049,CadProd!$A:$B,2,0)),"")</f>
        <v/>
      </c>
      <c r="F1049" t="str">
        <f>IFERROR(IF(D1049="","",VLOOKUP(D1049,CadProd!$A:$C,3,0)),"")</f>
        <v/>
      </c>
    </row>
    <row r="1050" spans="5:6" x14ac:dyDescent="0.3">
      <c r="E1050" t="str">
        <f>IFERROR(IF(D1050="","",VLOOKUP(D1050,CadProd!$A:$B,2,0)),"")</f>
        <v/>
      </c>
      <c r="F1050" t="str">
        <f>IFERROR(IF(D1050="","",VLOOKUP(D1050,CadProd!$A:$C,3,0)),"")</f>
        <v/>
      </c>
    </row>
    <row r="1051" spans="5:6" x14ac:dyDescent="0.3">
      <c r="E1051" t="str">
        <f>IFERROR(IF(D1051="","",VLOOKUP(D1051,CadProd!$A:$B,2,0)),"")</f>
        <v/>
      </c>
      <c r="F1051" t="str">
        <f>IFERROR(IF(D1051="","",VLOOKUP(D1051,CadProd!$A:$C,3,0)),"")</f>
        <v/>
      </c>
    </row>
    <row r="1052" spans="5:6" x14ac:dyDescent="0.3">
      <c r="E1052" t="str">
        <f>IFERROR(IF(D1052="","",VLOOKUP(D1052,CadProd!$A:$B,2,0)),"")</f>
        <v/>
      </c>
      <c r="F1052" t="str">
        <f>IFERROR(IF(D1052="","",VLOOKUP(D1052,CadProd!$A:$C,3,0)),"")</f>
        <v/>
      </c>
    </row>
    <row r="1053" spans="5:6" x14ac:dyDescent="0.3">
      <c r="E1053" t="str">
        <f>IFERROR(IF(D1053="","",VLOOKUP(D1053,CadProd!$A:$B,2,0)),"")</f>
        <v/>
      </c>
      <c r="F1053" t="str">
        <f>IFERROR(IF(D1053="","",VLOOKUP(D1053,CadProd!$A:$C,3,0)),"")</f>
        <v/>
      </c>
    </row>
    <row r="1054" spans="5:6" x14ac:dyDescent="0.3">
      <c r="E1054" t="str">
        <f>IFERROR(IF(D1054="","",VLOOKUP(D1054,CadProd!$A:$B,2,0)),"")</f>
        <v/>
      </c>
      <c r="F1054" t="str">
        <f>IFERROR(IF(D1054="","",VLOOKUP(D1054,CadProd!$A:$C,3,0)),"")</f>
        <v/>
      </c>
    </row>
    <row r="1055" spans="5:6" x14ac:dyDescent="0.3">
      <c r="E1055" t="str">
        <f>IFERROR(IF(D1055="","",VLOOKUP(D1055,CadProd!$A:$B,2,0)),"")</f>
        <v/>
      </c>
      <c r="F1055" t="str">
        <f>IFERROR(IF(D1055="","",VLOOKUP(D1055,CadProd!$A:$C,3,0)),"")</f>
        <v/>
      </c>
    </row>
    <row r="1056" spans="5:6" x14ac:dyDescent="0.3">
      <c r="E1056" t="str">
        <f>IFERROR(IF(D1056="","",VLOOKUP(D1056,CadProd!$A:$B,2,0)),"")</f>
        <v/>
      </c>
      <c r="F1056" t="str">
        <f>IFERROR(IF(D1056="","",VLOOKUP(D1056,CadProd!$A:$C,3,0)),"")</f>
        <v/>
      </c>
    </row>
    <row r="1057" spans="5:6" x14ac:dyDescent="0.3">
      <c r="E1057" t="str">
        <f>IFERROR(IF(D1057="","",VLOOKUP(D1057,CadProd!$A:$B,2,0)),"")</f>
        <v/>
      </c>
      <c r="F1057" t="str">
        <f>IFERROR(IF(D1057="","",VLOOKUP(D1057,CadProd!$A:$C,3,0)),"")</f>
        <v/>
      </c>
    </row>
    <row r="1058" spans="5:6" x14ac:dyDescent="0.3">
      <c r="E1058" t="str">
        <f>IFERROR(IF(D1058="","",VLOOKUP(D1058,CadProd!$A:$B,2,0)),"")</f>
        <v/>
      </c>
      <c r="F1058" t="str">
        <f>IFERROR(IF(D1058="","",VLOOKUP(D1058,CadProd!$A:$C,3,0)),"")</f>
        <v/>
      </c>
    </row>
    <row r="1059" spans="5:6" x14ac:dyDescent="0.3">
      <c r="E1059" t="str">
        <f>IFERROR(IF(D1059="","",VLOOKUP(D1059,CadProd!$A:$B,2,0)),"")</f>
        <v/>
      </c>
      <c r="F1059" t="str">
        <f>IFERROR(IF(D1059="","",VLOOKUP(D1059,CadProd!$A:$C,3,0)),"")</f>
        <v/>
      </c>
    </row>
    <row r="1060" spans="5:6" x14ac:dyDescent="0.3">
      <c r="E1060" t="str">
        <f>IFERROR(IF(D1060="","",VLOOKUP(D1060,CadProd!$A:$B,2,0)),"")</f>
        <v/>
      </c>
      <c r="F1060" t="str">
        <f>IFERROR(IF(D1060="","",VLOOKUP(D1060,CadProd!$A:$C,3,0)),"")</f>
        <v/>
      </c>
    </row>
    <row r="1061" spans="5:6" x14ac:dyDescent="0.3">
      <c r="E1061" t="str">
        <f>IFERROR(IF(D1061="","",VLOOKUP(D1061,CadProd!$A:$B,2,0)),"")</f>
        <v/>
      </c>
      <c r="F1061" t="str">
        <f>IFERROR(IF(D1061="","",VLOOKUP(D1061,CadProd!$A:$C,3,0)),"")</f>
        <v/>
      </c>
    </row>
    <row r="1062" spans="5:6" x14ac:dyDescent="0.3">
      <c r="E1062" t="str">
        <f>IFERROR(IF(D1062="","",VLOOKUP(D1062,CadProd!$A:$B,2,0)),"")</f>
        <v/>
      </c>
      <c r="F1062" t="str">
        <f>IFERROR(IF(D1062="","",VLOOKUP(D1062,CadProd!$A:$C,3,0)),"")</f>
        <v/>
      </c>
    </row>
    <row r="1063" spans="5:6" x14ac:dyDescent="0.3">
      <c r="E1063" t="str">
        <f>IFERROR(IF(D1063="","",VLOOKUP(D1063,CadProd!$A:$B,2,0)),"")</f>
        <v/>
      </c>
      <c r="F1063" t="str">
        <f>IFERROR(IF(D1063="","",VLOOKUP(D1063,CadProd!$A:$C,3,0)),"")</f>
        <v/>
      </c>
    </row>
    <row r="1064" spans="5:6" x14ac:dyDescent="0.3">
      <c r="E1064" t="str">
        <f>IFERROR(IF(D1064="","",VLOOKUP(D1064,CadProd!$A:$B,2,0)),"")</f>
        <v/>
      </c>
      <c r="F1064" t="str">
        <f>IFERROR(IF(D1064="","",VLOOKUP(D1064,CadProd!$A:$C,3,0)),"")</f>
        <v/>
      </c>
    </row>
    <row r="1065" spans="5:6" x14ac:dyDescent="0.3">
      <c r="E1065" t="str">
        <f>IFERROR(IF(D1065="","",VLOOKUP(D1065,CadProd!$A:$B,2,0)),"")</f>
        <v/>
      </c>
      <c r="F1065" t="str">
        <f>IFERROR(IF(D1065="","",VLOOKUP(D1065,CadProd!$A:$C,3,0)),"")</f>
        <v/>
      </c>
    </row>
    <row r="1066" spans="5:6" x14ac:dyDescent="0.3">
      <c r="E1066" t="str">
        <f>IFERROR(IF(D1066="","",VLOOKUP(D1066,CadProd!$A:$B,2,0)),"")</f>
        <v/>
      </c>
      <c r="F1066" t="str">
        <f>IFERROR(IF(D1066="","",VLOOKUP(D1066,CadProd!$A:$C,3,0)),"")</f>
        <v/>
      </c>
    </row>
    <row r="1067" spans="5:6" x14ac:dyDescent="0.3">
      <c r="E1067" t="str">
        <f>IFERROR(IF(D1067="","",VLOOKUP(D1067,CadProd!$A:$B,2,0)),"")</f>
        <v/>
      </c>
      <c r="F1067" t="str">
        <f>IFERROR(IF(D1067="","",VLOOKUP(D1067,CadProd!$A:$C,3,0)),"")</f>
        <v/>
      </c>
    </row>
    <row r="1068" spans="5:6" x14ac:dyDescent="0.3">
      <c r="E1068" t="str">
        <f>IFERROR(IF(D1068="","",VLOOKUP(D1068,CadProd!$A:$B,2,0)),"")</f>
        <v/>
      </c>
      <c r="F1068" t="str">
        <f>IFERROR(IF(D1068="","",VLOOKUP(D1068,CadProd!$A:$C,3,0)),"")</f>
        <v/>
      </c>
    </row>
    <row r="1069" spans="5:6" x14ac:dyDescent="0.3">
      <c r="E1069" t="str">
        <f>IFERROR(IF(D1069="","",VLOOKUP(D1069,CadProd!$A:$B,2,0)),"")</f>
        <v/>
      </c>
      <c r="F1069" t="str">
        <f>IFERROR(IF(D1069="","",VLOOKUP(D1069,CadProd!$A:$C,3,0)),"")</f>
        <v/>
      </c>
    </row>
    <row r="1070" spans="5:6" x14ac:dyDescent="0.3">
      <c r="E1070" t="str">
        <f>IFERROR(IF(D1070="","",VLOOKUP(D1070,CadProd!$A:$B,2,0)),"")</f>
        <v/>
      </c>
      <c r="F1070" t="str">
        <f>IFERROR(IF(D1070="","",VLOOKUP(D1070,CadProd!$A:$C,3,0)),"")</f>
        <v/>
      </c>
    </row>
    <row r="1071" spans="5:6" x14ac:dyDescent="0.3">
      <c r="E1071" t="str">
        <f>IFERROR(IF(D1071="","",VLOOKUP(D1071,CadProd!$A:$B,2,0)),"")</f>
        <v/>
      </c>
      <c r="F1071" t="str">
        <f>IFERROR(IF(D1071="","",VLOOKUP(D1071,CadProd!$A:$C,3,0)),"")</f>
        <v/>
      </c>
    </row>
    <row r="1072" spans="5:6" x14ac:dyDescent="0.3">
      <c r="E1072" t="str">
        <f>IFERROR(IF(D1072="","",VLOOKUP(D1072,CadProd!$A:$B,2,0)),"")</f>
        <v/>
      </c>
      <c r="F1072" t="str">
        <f>IFERROR(IF(D1072="","",VLOOKUP(D1072,CadProd!$A:$C,3,0)),"")</f>
        <v/>
      </c>
    </row>
    <row r="1073" spans="5:6" x14ac:dyDescent="0.3">
      <c r="E1073" t="str">
        <f>IFERROR(IF(D1073="","",VLOOKUP(D1073,CadProd!$A:$B,2,0)),"")</f>
        <v/>
      </c>
      <c r="F1073" t="str">
        <f>IFERROR(IF(D1073="","",VLOOKUP(D1073,CadProd!$A:$C,3,0)),"")</f>
        <v/>
      </c>
    </row>
    <row r="1074" spans="5:6" x14ac:dyDescent="0.3">
      <c r="E1074" t="str">
        <f>IFERROR(IF(D1074="","",VLOOKUP(D1074,CadProd!$A:$B,2,0)),"")</f>
        <v/>
      </c>
      <c r="F1074" t="str">
        <f>IFERROR(IF(D1074="","",VLOOKUP(D1074,CadProd!$A:$C,3,0)),"")</f>
        <v/>
      </c>
    </row>
    <row r="1075" spans="5:6" x14ac:dyDescent="0.3">
      <c r="E1075" t="str">
        <f>IFERROR(IF(D1075="","",VLOOKUP(D1075,CadProd!$A:$B,2,0)),"")</f>
        <v/>
      </c>
      <c r="F1075" t="str">
        <f>IFERROR(IF(D1075="","",VLOOKUP(D1075,CadProd!$A:$C,3,0)),"")</f>
        <v/>
      </c>
    </row>
    <row r="1076" spans="5:6" x14ac:dyDescent="0.3">
      <c r="E1076" t="str">
        <f>IFERROR(IF(D1076="","",VLOOKUP(D1076,CadProd!$A:$B,2,0)),"")</f>
        <v/>
      </c>
      <c r="F1076" t="str">
        <f>IFERROR(IF(D1076="","",VLOOKUP(D1076,CadProd!$A:$C,3,0)),"")</f>
        <v/>
      </c>
    </row>
    <row r="1077" spans="5:6" x14ac:dyDescent="0.3">
      <c r="E1077" t="str">
        <f>IFERROR(IF(D1077="","",VLOOKUP(D1077,CadProd!$A:$B,2,0)),"")</f>
        <v/>
      </c>
      <c r="F1077" t="str">
        <f>IFERROR(IF(D1077="","",VLOOKUP(D1077,CadProd!$A:$C,3,0)),"")</f>
        <v/>
      </c>
    </row>
    <row r="1078" spans="5:6" x14ac:dyDescent="0.3">
      <c r="E1078" t="str">
        <f>IFERROR(IF(D1078="","",VLOOKUP(D1078,CadProd!$A:$B,2,0)),"")</f>
        <v/>
      </c>
      <c r="F1078" t="str">
        <f>IFERROR(IF(D1078="","",VLOOKUP(D1078,CadProd!$A:$C,3,0)),"")</f>
        <v/>
      </c>
    </row>
    <row r="1079" spans="5:6" x14ac:dyDescent="0.3">
      <c r="E1079" t="str">
        <f>IFERROR(IF(D1079="","",VLOOKUP(D1079,CadProd!$A:$B,2,0)),"")</f>
        <v/>
      </c>
      <c r="F1079" t="str">
        <f>IFERROR(IF(D1079="","",VLOOKUP(D1079,CadProd!$A:$C,3,0)),"")</f>
        <v/>
      </c>
    </row>
    <row r="1080" spans="5:6" x14ac:dyDescent="0.3">
      <c r="E1080" t="str">
        <f>IFERROR(IF(D1080="","",VLOOKUP(D1080,CadProd!$A:$B,2,0)),"")</f>
        <v/>
      </c>
      <c r="F1080" t="str">
        <f>IFERROR(IF(D1080="","",VLOOKUP(D1080,CadProd!$A:$C,3,0)),"")</f>
        <v/>
      </c>
    </row>
    <row r="1081" spans="5:6" x14ac:dyDescent="0.3">
      <c r="E1081" t="str">
        <f>IFERROR(IF(D1081="","",VLOOKUP(D1081,CadProd!$A:$B,2,0)),"")</f>
        <v/>
      </c>
      <c r="F1081" t="str">
        <f>IFERROR(IF(D1081="","",VLOOKUP(D1081,CadProd!$A:$C,3,0)),"")</f>
        <v/>
      </c>
    </row>
    <row r="1082" spans="5:6" x14ac:dyDescent="0.3">
      <c r="E1082" t="str">
        <f>IFERROR(IF(D1082="","",VLOOKUP(D1082,CadProd!$A:$B,2,0)),"")</f>
        <v/>
      </c>
      <c r="F1082" t="str">
        <f>IFERROR(IF(D1082="","",VLOOKUP(D1082,CadProd!$A:$C,3,0)),"")</f>
        <v/>
      </c>
    </row>
    <row r="1083" spans="5:6" x14ac:dyDescent="0.3">
      <c r="E1083" t="str">
        <f>IFERROR(IF(D1083="","",VLOOKUP(D1083,CadProd!$A:$B,2,0)),"")</f>
        <v/>
      </c>
      <c r="F1083" t="str">
        <f>IFERROR(IF(D1083="","",VLOOKUP(D1083,CadProd!$A:$C,3,0)),"")</f>
        <v/>
      </c>
    </row>
    <row r="1084" spans="5:6" x14ac:dyDescent="0.3">
      <c r="E1084" t="str">
        <f>IFERROR(IF(D1084="","",VLOOKUP(D1084,CadProd!$A:$B,2,0)),"")</f>
        <v/>
      </c>
      <c r="F1084" t="str">
        <f>IFERROR(IF(D1084="","",VLOOKUP(D1084,CadProd!$A:$C,3,0)),"")</f>
        <v/>
      </c>
    </row>
    <row r="1085" spans="5:6" x14ac:dyDescent="0.3">
      <c r="E1085" t="str">
        <f>IFERROR(IF(D1085="","",VLOOKUP(D1085,CadProd!$A:$B,2,0)),"")</f>
        <v/>
      </c>
      <c r="F1085" t="str">
        <f>IFERROR(IF(D1085="","",VLOOKUP(D1085,CadProd!$A:$C,3,0)),"")</f>
        <v/>
      </c>
    </row>
    <row r="1086" spans="5:6" x14ac:dyDescent="0.3">
      <c r="E1086" t="str">
        <f>IFERROR(IF(D1086="","",VLOOKUP(D1086,CadProd!$A:$B,2,0)),"")</f>
        <v/>
      </c>
      <c r="F1086" t="str">
        <f>IFERROR(IF(D1086="","",VLOOKUP(D1086,CadProd!$A:$C,3,0)),"")</f>
        <v/>
      </c>
    </row>
    <row r="1087" spans="5:6" x14ac:dyDescent="0.3">
      <c r="E1087" t="str">
        <f>IFERROR(IF(D1087="","",VLOOKUP(D1087,CadProd!$A:$B,2,0)),"")</f>
        <v/>
      </c>
      <c r="F1087" t="str">
        <f>IFERROR(IF(D1087="","",VLOOKUP(D1087,CadProd!$A:$C,3,0)),"")</f>
        <v/>
      </c>
    </row>
    <row r="1088" spans="5:6" x14ac:dyDescent="0.3">
      <c r="E1088" t="str">
        <f>IFERROR(IF(D1088="","",VLOOKUP(D1088,CadProd!$A:$B,2,0)),"")</f>
        <v/>
      </c>
      <c r="F1088" t="str">
        <f>IFERROR(IF(D1088="","",VLOOKUP(D1088,CadProd!$A:$C,3,0)),"")</f>
        <v/>
      </c>
    </row>
    <row r="1089" spans="5:6" x14ac:dyDescent="0.3">
      <c r="E1089" t="str">
        <f>IFERROR(IF(D1089="","",VLOOKUP(D1089,CadProd!$A:$B,2,0)),"")</f>
        <v/>
      </c>
      <c r="F1089" t="str">
        <f>IFERROR(IF(D1089="","",VLOOKUP(D1089,CadProd!$A:$C,3,0)),"")</f>
        <v/>
      </c>
    </row>
    <row r="1090" spans="5:6" x14ac:dyDescent="0.3">
      <c r="E1090" t="str">
        <f>IFERROR(IF(D1090="","",VLOOKUP(D1090,CadProd!$A:$B,2,0)),"")</f>
        <v/>
      </c>
      <c r="F1090" t="str">
        <f>IFERROR(IF(D1090="","",VLOOKUP(D1090,CadProd!$A:$C,3,0)),"")</f>
        <v/>
      </c>
    </row>
    <row r="1091" spans="5:6" x14ac:dyDescent="0.3">
      <c r="E1091" t="str">
        <f>IFERROR(IF(D1091="","",VLOOKUP(D1091,CadProd!$A:$B,2,0)),"")</f>
        <v/>
      </c>
      <c r="F1091" t="str">
        <f>IFERROR(IF(D1091="","",VLOOKUP(D1091,CadProd!$A:$C,3,0)),"")</f>
        <v/>
      </c>
    </row>
    <row r="1092" spans="5:6" x14ac:dyDescent="0.3">
      <c r="E1092" t="str">
        <f>IFERROR(IF(D1092="","",VLOOKUP(D1092,CadProd!$A:$B,2,0)),"")</f>
        <v/>
      </c>
      <c r="F1092" t="str">
        <f>IFERROR(IF(D1092="","",VLOOKUP(D1092,CadProd!$A:$C,3,0)),"")</f>
        <v/>
      </c>
    </row>
    <row r="1093" spans="5:6" x14ac:dyDescent="0.3">
      <c r="E1093" t="str">
        <f>IFERROR(IF(D1093="","",VLOOKUP(D1093,CadProd!$A:$B,2,0)),"")</f>
        <v/>
      </c>
      <c r="F1093" t="str">
        <f>IFERROR(IF(D1093="","",VLOOKUP(D1093,CadProd!$A:$C,3,0)),"")</f>
        <v/>
      </c>
    </row>
    <row r="1094" spans="5:6" x14ac:dyDescent="0.3">
      <c r="E1094" t="str">
        <f>IFERROR(IF(D1094="","",VLOOKUP(D1094,CadProd!$A:$B,2,0)),"")</f>
        <v/>
      </c>
      <c r="F1094" t="str">
        <f>IFERROR(IF(D1094="","",VLOOKUP(D1094,CadProd!$A:$C,3,0)),"")</f>
        <v/>
      </c>
    </row>
    <row r="1095" spans="5:6" x14ac:dyDescent="0.3">
      <c r="E1095" t="str">
        <f>IFERROR(IF(D1095="","",VLOOKUP(D1095,CadProd!$A:$B,2,0)),"")</f>
        <v/>
      </c>
      <c r="F1095" t="str">
        <f>IFERROR(IF(D1095="","",VLOOKUP(D1095,CadProd!$A:$C,3,0)),"")</f>
        <v/>
      </c>
    </row>
    <row r="1096" spans="5:6" x14ac:dyDescent="0.3">
      <c r="E1096" t="str">
        <f>IFERROR(IF(D1096="","",VLOOKUP(D1096,CadProd!$A:$B,2,0)),"")</f>
        <v/>
      </c>
      <c r="F1096" t="str">
        <f>IFERROR(IF(D1096="","",VLOOKUP(D1096,CadProd!$A:$C,3,0)),"")</f>
        <v/>
      </c>
    </row>
    <row r="1097" spans="5:6" x14ac:dyDescent="0.3">
      <c r="E1097" t="str">
        <f>IFERROR(IF(D1097="","",VLOOKUP(D1097,CadProd!$A:$B,2,0)),"")</f>
        <v/>
      </c>
      <c r="F1097" t="str">
        <f>IFERROR(IF(D1097="","",VLOOKUP(D1097,CadProd!$A:$C,3,0)),"")</f>
        <v/>
      </c>
    </row>
    <row r="1098" spans="5:6" x14ac:dyDescent="0.3">
      <c r="E1098" t="str">
        <f>IFERROR(IF(D1098="","",VLOOKUP(D1098,CadProd!$A:$B,2,0)),"")</f>
        <v/>
      </c>
      <c r="F1098" t="str">
        <f>IFERROR(IF(D1098="","",VLOOKUP(D1098,CadProd!$A:$C,3,0)),"")</f>
        <v/>
      </c>
    </row>
    <row r="1099" spans="5:6" x14ac:dyDescent="0.3">
      <c r="E1099" t="str">
        <f>IFERROR(IF(D1099="","",VLOOKUP(D1099,CadProd!$A:$B,2,0)),"")</f>
        <v/>
      </c>
      <c r="F1099" t="str">
        <f>IFERROR(IF(D1099="","",VLOOKUP(D1099,CadProd!$A:$C,3,0)),"")</f>
        <v/>
      </c>
    </row>
    <row r="1100" spans="5:6" x14ac:dyDescent="0.3">
      <c r="E1100" t="str">
        <f>IFERROR(IF(D1100="","",VLOOKUP(D1100,CadProd!$A:$B,2,0)),"")</f>
        <v/>
      </c>
      <c r="F1100" t="str">
        <f>IFERROR(IF(D1100="","",VLOOKUP(D1100,CadProd!$A:$C,3,0)),"")</f>
        <v/>
      </c>
    </row>
    <row r="1101" spans="5:6" x14ac:dyDescent="0.3">
      <c r="E1101" t="str">
        <f>IFERROR(IF(D1101="","",VLOOKUP(D1101,CadProd!$A:$B,2,0)),"")</f>
        <v/>
      </c>
      <c r="F1101" t="str">
        <f>IFERROR(IF(D1101="","",VLOOKUP(D1101,CadProd!$A:$C,3,0)),"")</f>
        <v/>
      </c>
    </row>
    <row r="1102" spans="5:6" x14ac:dyDescent="0.3">
      <c r="E1102" t="str">
        <f>IFERROR(IF(D1102="","",VLOOKUP(D1102,CadProd!$A:$B,2,0)),"")</f>
        <v/>
      </c>
      <c r="F1102" t="str">
        <f>IFERROR(IF(D1102="","",VLOOKUP(D1102,CadProd!$A:$C,3,0)),"")</f>
        <v/>
      </c>
    </row>
    <row r="1103" spans="5:6" x14ac:dyDescent="0.3">
      <c r="E1103" t="str">
        <f>IFERROR(IF(D1103="","",VLOOKUP(D1103,CadProd!$A:$B,2,0)),"")</f>
        <v/>
      </c>
      <c r="F1103" t="str">
        <f>IFERROR(IF(D1103="","",VLOOKUP(D1103,CadProd!$A:$C,3,0)),"")</f>
        <v/>
      </c>
    </row>
    <row r="1104" spans="5:6" x14ac:dyDescent="0.3">
      <c r="E1104" t="str">
        <f>IFERROR(IF(D1104="","",VLOOKUP(D1104,CadProd!$A:$B,2,0)),"")</f>
        <v/>
      </c>
      <c r="F1104" t="str">
        <f>IFERROR(IF(D1104="","",VLOOKUP(D1104,CadProd!$A:$C,3,0)),"")</f>
        <v/>
      </c>
    </row>
    <row r="1105" spans="5:6" x14ac:dyDescent="0.3">
      <c r="E1105" t="str">
        <f>IFERROR(IF(D1105="","",VLOOKUP(D1105,CadProd!$A:$B,2,0)),"")</f>
        <v/>
      </c>
      <c r="F1105" t="str">
        <f>IFERROR(IF(D1105="","",VLOOKUP(D1105,CadProd!$A:$C,3,0)),"")</f>
        <v/>
      </c>
    </row>
    <row r="1106" spans="5:6" x14ac:dyDescent="0.3">
      <c r="E1106" t="str">
        <f>IFERROR(IF(D1106="","",VLOOKUP(D1106,CadProd!$A:$B,2,0)),"")</f>
        <v/>
      </c>
      <c r="F1106" t="str">
        <f>IFERROR(IF(D1106="","",VLOOKUP(D1106,CadProd!$A:$C,3,0)),"")</f>
        <v/>
      </c>
    </row>
    <row r="1107" spans="5:6" x14ac:dyDescent="0.3">
      <c r="E1107" t="str">
        <f>IFERROR(IF(D1107="","",VLOOKUP(D1107,CadProd!$A:$B,2,0)),"")</f>
        <v/>
      </c>
      <c r="F1107" t="str">
        <f>IFERROR(IF(D1107="","",VLOOKUP(D1107,CadProd!$A:$C,3,0)),"")</f>
        <v/>
      </c>
    </row>
    <row r="1108" spans="5:6" x14ac:dyDescent="0.3">
      <c r="E1108" t="str">
        <f>IFERROR(IF(D1108="","",VLOOKUP(D1108,CadProd!$A:$B,2,0)),"")</f>
        <v/>
      </c>
      <c r="F1108" t="str">
        <f>IFERROR(IF(D1108="","",VLOOKUP(D1108,CadProd!$A:$C,3,0)),"")</f>
        <v/>
      </c>
    </row>
    <row r="1109" spans="5:6" x14ac:dyDescent="0.3">
      <c r="E1109" t="str">
        <f>IFERROR(IF(D1109="","",VLOOKUP(D1109,CadProd!$A:$B,2,0)),"")</f>
        <v/>
      </c>
      <c r="F1109" t="str">
        <f>IFERROR(IF(D1109="","",VLOOKUP(D1109,CadProd!$A:$C,3,0)),"")</f>
        <v/>
      </c>
    </row>
    <row r="1110" spans="5:6" x14ac:dyDescent="0.3">
      <c r="E1110" t="str">
        <f>IFERROR(IF(D1110="","",VLOOKUP(D1110,CadProd!$A:$B,2,0)),"")</f>
        <v/>
      </c>
      <c r="F1110" t="str">
        <f>IFERROR(IF(D1110="","",VLOOKUP(D1110,CadProd!$A:$C,3,0)),"")</f>
        <v/>
      </c>
    </row>
    <row r="1111" spans="5:6" x14ac:dyDescent="0.3">
      <c r="E1111" t="str">
        <f>IFERROR(IF(D1111="","",VLOOKUP(D1111,CadProd!$A:$B,2,0)),"")</f>
        <v/>
      </c>
      <c r="F1111" t="str">
        <f>IFERROR(IF(D1111="","",VLOOKUP(D1111,CadProd!$A:$C,3,0)),"")</f>
        <v/>
      </c>
    </row>
    <row r="1112" spans="5:6" x14ac:dyDescent="0.3">
      <c r="E1112" t="str">
        <f>IFERROR(IF(D1112="","",VLOOKUP(D1112,CadProd!$A:$B,2,0)),"")</f>
        <v/>
      </c>
      <c r="F1112" t="str">
        <f>IFERROR(IF(D1112="","",VLOOKUP(D1112,CadProd!$A:$C,3,0)),"")</f>
        <v/>
      </c>
    </row>
    <row r="1113" spans="5:6" x14ac:dyDescent="0.3">
      <c r="E1113" t="str">
        <f>IFERROR(IF(D1113="","",VLOOKUP(D1113,CadProd!$A:$B,2,0)),"")</f>
        <v/>
      </c>
      <c r="F1113" t="str">
        <f>IFERROR(IF(D1113="","",VLOOKUP(D1113,CadProd!$A:$C,3,0)),"")</f>
        <v/>
      </c>
    </row>
    <row r="1114" spans="5:6" x14ac:dyDescent="0.3">
      <c r="E1114" t="str">
        <f>IFERROR(IF(D1114="","",VLOOKUP(D1114,CadProd!$A:$B,2,0)),"")</f>
        <v/>
      </c>
      <c r="F1114" t="str">
        <f>IFERROR(IF(D1114="","",VLOOKUP(D1114,CadProd!$A:$C,3,0)),"")</f>
        <v/>
      </c>
    </row>
    <row r="1115" spans="5:6" x14ac:dyDescent="0.3">
      <c r="E1115" t="str">
        <f>IFERROR(IF(D1115="","",VLOOKUP(D1115,CadProd!$A:$B,2,0)),"")</f>
        <v/>
      </c>
      <c r="F1115" t="str">
        <f>IFERROR(IF(D1115="","",VLOOKUP(D1115,CadProd!$A:$C,3,0)),"")</f>
        <v/>
      </c>
    </row>
    <row r="1116" spans="5:6" x14ac:dyDescent="0.3">
      <c r="E1116" t="str">
        <f>IFERROR(IF(D1116="","",VLOOKUP(D1116,CadProd!$A:$B,2,0)),"")</f>
        <v/>
      </c>
      <c r="F1116" t="str">
        <f>IFERROR(IF(D1116="","",VLOOKUP(D1116,CadProd!$A:$C,3,0)),"")</f>
        <v/>
      </c>
    </row>
    <row r="1117" spans="5:6" x14ac:dyDescent="0.3">
      <c r="E1117" t="str">
        <f>IFERROR(IF(D1117="","",VLOOKUP(D1117,CadProd!$A:$B,2,0)),"")</f>
        <v/>
      </c>
      <c r="F1117" t="str">
        <f>IFERROR(IF(D1117="","",VLOOKUP(D1117,CadProd!$A:$C,3,0)),"")</f>
        <v/>
      </c>
    </row>
    <row r="1118" spans="5:6" x14ac:dyDescent="0.3">
      <c r="E1118" t="str">
        <f>IFERROR(IF(D1118="","",VLOOKUP(D1118,CadProd!$A:$B,2,0)),"")</f>
        <v/>
      </c>
      <c r="F1118" t="str">
        <f>IFERROR(IF(D1118="","",VLOOKUP(D1118,CadProd!$A:$C,3,0)),"")</f>
        <v/>
      </c>
    </row>
    <row r="1119" spans="5:6" x14ac:dyDescent="0.3">
      <c r="E1119" t="str">
        <f>IFERROR(IF(D1119="","",VLOOKUP(D1119,CadProd!$A:$B,2,0)),"")</f>
        <v/>
      </c>
      <c r="F1119" t="str">
        <f>IFERROR(IF(D1119="","",VLOOKUP(D1119,CadProd!$A:$C,3,0)),"")</f>
        <v/>
      </c>
    </row>
    <row r="1120" spans="5:6" x14ac:dyDescent="0.3">
      <c r="E1120" t="str">
        <f>IFERROR(IF(D1120="","",VLOOKUP(D1120,CadProd!$A:$B,2,0)),"")</f>
        <v/>
      </c>
      <c r="F1120" t="str">
        <f>IFERROR(IF(D1120="","",VLOOKUP(D1120,CadProd!$A:$C,3,0)),"")</f>
        <v/>
      </c>
    </row>
    <row r="1121" spans="5:6" x14ac:dyDescent="0.3">
      <c r="E1121" t="str">
        <f>IFERROR(IF(D1121="","",VLOOKUP(D1121,CadProd!$A:$B,2,0)),"")</f>
        <v/>
      </c>
      <c r="F1121" t="str">
        <f>IFERROR(IF(D1121="","",VLOOKUP(D1121,CadProd!$A:$C,3,0)),"")</f>
        <v/>
      </c>
    </row>
    <row r="1122" spans="5:6" x14ac:dyDescent="0.3">
      <c r="E1122" t="str">
        <f>IFERROR(IF(D1122="","",VLOOKUP(D1122,CadProd!$A:$B,2,0)),"")</f>
        <v/>
      </c>
      <c r="F1122" t="str">
        <f>IFERROR(IF(D1122="","",VLOOKUP(D1122,CadProd!$A:$C,3,0)),"")</f>
        <v/>
      </c>
    </row>
    <row r="1123" spans="5:6" x14ac:dyDescent="0.3">
      <c r="E1123" t="str">
        <f>IFERROR(IF(D1123="","",VLOOKUP(D1123,CadProd!$A:$B,2,0)),"")</f>
        <v/>
      </c>
      <c r="F1123" t="str">
        <f>IFERROR(IF(D1123="","",VLOOKUP(D1123,CadProd!$A:$C,3,0)),"")</f>
        <v/>
      </c>
    </row>
    <row r="1124" spans="5:6" x14ac:dyDescent="0.3">
      <c r="E1124" t="str">
        <f>IFERROR(IF(D1124="","",VLOOKUP(D1124,CadProd!$A:$B,2,0)),"")</f>
        <v/>
      </c>
      <c r="F1124" t="str">
        <f>IFERROR(IF(D1124="","",VLOOKUP(D1124,CadProd!$A:$C,3,0)),"")</f>
        <v/>
      </c>
    </row>
    <row r="1125" spans="5:6" x14ac:dyDescent="0.3">
      <c r="E1125" t="str">
        <f>IFERROR(IF(D1125="","",VLOOKUP(D1125,CadProd!$A:$B,2,0)),"")</f>
        <v/>
      </c>
      <c r="F1125" t="str">
        <f>IFERROR(IF(D1125="","",VLOOKUP(D1125,CadProd!$A:$C,3,0)),"")</f>
        <v/>
      </c>
    </row>
    <row r="1126" spans="5:6" x14ac:dyDescent="0.3">
      <c r="E1126" t="str">
        <f>IFERROR(IF(D1126="","",VLOOKUP(D1126,CadProd!$A:$B,2,0)),"")</f>
        <v/>
      </c>
      <c r="F1126" t="str">
        <f>IFERROR(IF(D1126="","",VLOOKUP(D1126,CadProd!$A:$C,3,0)),"")</f>
        <v/>
      </c>
    </row>
    <row r="1127" spans="5:6" x14ac:dyDescent="0.3">
      <c r="E1127" t="str">
        <f>IFERROR(IF(D1127="","",VLOOKUP(D1127,CadProd!$A:$B,2,0)),"")</f>
        <v/>
      </c>
      <c r="F1127" t="str">
        <f>IFERROR(IF(D1127="","",VLOOKUP(D1127,CadProd!$A:$C,3,0)),"")</f>
        <v/>
      </c>
    </row>
    <row r="1128" spans="5:6" x14ac:dyDescent="0.3">
      <c r="E1128" t="str">
        <f>IFERROR(IF(D1128="","",VLOOKUP(D1128,CadProd!$A:$B,2,0)),"")</f>
        <v/>
      </c>
      <c r="F1128" t="str">
        <f>IFERROR(IF(D1128="","",VLOOKUP(D1128,CadProd!$A:$C,3,0)),"")</f>
        <v/>
      </c>
    </row>
    <row r="1129" spans="5:6" x14ac:dyDescent="0.3">
      <c r="E1129" t="str">
        <f>IFERROR(IF(D1129="","",VLOOKUP(D1129,CadProd!$A:$B,2,0)),"")</f>
        <v/>
      </c>
      <c r="F1129" t="str">
        <f>IFERROR(IF(D1129="","",VLOOKUP(D1129,CadProd!$A:$C,3,0)),"")</f>
        <v/>
      </c>
    </row>
    <row r="1130" spans="5:6" x14ac:dyDescent="0.3">
      <c r="E1130" t="str">
        <f>IFERROR(IF(D1130="","",VLOOKUP(D1130,CadProd!$A:$B,2,0)),"")</f>
        <v/>
      </c>
      <c r="F1130" t="str">
        <f>IFERROR(IF(D1130="","",VLOOKUP(D1130,CadProd!$A:$C,3,0)),"")</f>
        <v/>
      </c>
    </row>
    <row r="1131" spans="5:6" x14ac:dyDescent="0.3">
      <c r="E1131" t="str">
        <f>IFERROR(IF(D1131="","",VLOOKUP(D1131,CadProd!$A:$B,2,0)),"")</f>
        <v/>
      </c>
      <c r="F1131" t="str">
        <f>IFERROR(IF(D1131="","",VLOOKUP(D1131,CadProd!$A:$C,3,0)),"")</f>
        <v/>
      </c>
    </row>
    <row r="1132" spans="5:6" x14ac:dyDescent="0.3">
      <c r="E1132" t="str">
        <f>IFERROR(IF(D1132="","",VLOOKUP(D1132,CadProd!$A:$B,2,0)),"")</f>
        <v/>
      </c>
      <c r="F1132" t="str">
        <f>IFERROR(IF(D1132="","",VLOOKUP(D1132,CadProd!$A:$C,3,0)),"")</f>
        <v/>
      </c>
    </row>
    <row r="1133" spans="5:6" x14ac:dyDescent="0.3">
      <c r="E1133" t="str">
        <f>IFERROR(IF(D1133="","",VLOOKUP(D1133,CadProd!$A:$B,2,0)),"")</f>
        <v/>
      </c>
      <c r="F1133" t="str">
        <f>IFERROR(IF(D1133="","",VLOOKUP(D1133,CadProd!$A:$C,3,0)),"")</f>
        <v/>
      </c>
    </row>
    <row r="1134" spans="5:6" x14ac:dyDescent="0.3">
      <c r="E1134" t="str">
        <f>IFERROR(IF(D1134="","",VLOOKUP(D1134,CadProd!$A:$B,2,0)),"")</f>
        <v/>
      </c>
      <c r="F1134" t="str">
        <f>IFERROR(IF(D1134="","",VLOOKUP(D1134,CadProd!$A:$C,3,0)),"")</f>
        <v/>
      </c>
    </row>
    <row r="1135" spans="5:6" x14ac:dyDescent="0.3">
      <c r="E1135" t="str">
        <f>IFERROR(IF(D1135="","",VLOOKUP(D1135,CadProd!$A:$B,2,0)),"")</f>
        <v/>
      </c>
      <c r="F1135" t="str">
        <f>IFERROR(IF(D1135="","",VLOOKUP(D1135,CadProd!$A:$C,3,0)),"")</f>
        <v/>
      </c>
    </row>
    <row r="1136" spans="5:6" x14ac:dyDescent="0.3">
      <c r="E1136" t="str">
        <f>IFERROR(IF(D1136="","",VLOOKUP(D1136,CadProd!$A:$B,2,0)),"")</f>
        <v/>
      </c>
      <c r="F1136" t="str">
        <f>IFERROR(IF(D1136="","",VLOOKUP(D1136,CadProd!$A:$C,3,0)),"")</f>
        <v/>
      </c>
    </row>
    <row r="1137" spans="5:6" x14ac:dyDescent="0.3">
      <c r="E1137" t="str">
        <f>IFERROR(IF(D1137="","",VLOOKUP(D1137,CadProd!$A:$B,2,0)),"")</f>
        <v/>
      </c>
      <c r="F1137" t="str">
        <f>IFERROR(IF(D1137="","",VLOOKUP(D1137,CadProd!$A:$C,3,0)),"")</f>
        <v/>
      </c>
    </row>
    <row r="1138" spans="5:6" x14ac:dyDescent="0.3">
      <c r="E1138" t="str">
        <f>IFERROR(IF(D1138="","",VLOOKUP(D1138,CadProd!$A:$B,2,0)),"")</f>
        <v/>
      </c>
      <c r="F1138" t="str">
        <f>IFERROR(IF(D1138="","",VLOOKUP(D1138,CadProd!$A:$C,3,0)),"")</f>
        <v/>
      </c>
    </row>
    <row r="1139" spans="5:6" x14ac:dyDescent="0.3">
      <c r="E1139" t="str">
        <f>IFERROR(IF(D1139="","",VLOOKUP(D1139,CadProd!$A:$B,2,0)),"")</f>
        <v/>
      </c>
      <c r="F1139" t="str">
        <f>IFERROR(IF(D1139="","",VLOOKUP(D1139,CadProd!$A:$C,3,0)),"")</f>
        <v/>
      </c>
    </row>
    <row r="1140" spans="5:6" x14ac:dyDescent="0.3">
      <c r="E1140" t="str">
        <f>IFERROR(IF(D1140="","",VLOOKUP(D1140,CadProd!$A:$B,2,0)),"")</f>
        <v/>
      </c>
      <c r="F1140" t="str">
        <f>IFERROR(IF(D1140="","",VLOOKUP(D1140,CadProd!$A:$C,3,0)),"")</f>
        <v/>
      </c>
    </row>
    <row r="1141" spans="5:6" x14ac:dyDescent="0.3">
      <c r="E1141" t="str">
        <f>IFERROR(IF(D1141="","",VLOOKUP(D1141,CadProd!$A:$B,2,0)),"")</f>
        <v/>
      </c>
      <c r="F1141" t="str">
        <f>IFERROR(IF(D1141="","",VLOOKUP(D1141,CadProd!$A:$C,3,0)),"")</f>
        <v/>
      </c>
    </row>
    <row r="1142" spans="5:6" x14ac:dyDescent="0.3">
      <c r="E1142" t="str">
        <f>IFERROR(IF(D1142="","",VLOOKUP(D1142,CadProd!$A:$B,2,0)),"")</f>
        <v/>
      </c>
      <c r="F1142" t="str">
        <f>IFERROR(IF(D1142="","",VLOOKUP(D1142,CadProd!$A:$C,3,0)),"")</f>
        <v/>
      </c>
    </row>
    <row r="1143" spans="5:6" x14ac:dyDescent="0.3">
      <c r="E1143" t="str">
        <f>IFERROR(IF(D1143="","",VLOOKUP(D1143,CadProd!$A:$B,2,0)),"")</f>
        <v/>
      </c>
      <c r="F1143" t="str">
        <f>IFERROR(IF(D1143="","",VLOOKUP(D1143,CadProd!$A:$C,3,0)),"")</f>
        <v/>
      </c>
    </row>
    <row r="1144" spans="5:6" x14ac:dyDescent="0.3">
      <c r="E1144" t="str">
        <f>IFERROR(IF(D1144="","",VLOOKUP(D1144,CadProd!$A:$B,2,0)),"")</f>
        <v/>
      </c>
      <c r="F1144" t="str">
        <f>IFERROR(IF(D1144="","",VLOOKUP(D1144,CadProd!$A:$C,3,0)),"")</f>
        <v/>
      </c>
    </row>
    <row r="1145" spans="5:6" x14ac:dyDescent="0.3">
      <c r="E1145" t="str">
        <f>IFERROR(IF(D1145="","",VLOOKUP(D1145,CadProd!$A:$B,2,0)),"")</f>
        <v/>
      </c>
      <c r="F1145" t="str">
        <f>IFERROR(IF(D1145="","",VLOOKUP(D1145,CadProd!$A:$C,3,0)),"")</f>
        <v/>
      </c>
    </row>
    <row r="1146" spans="5:6" x14ac:dyDescent="0.3">
      <c r="E1146" t="str">
        <f>IFERROR(IF(D1146="","",VLOOKUP(D1146,CadProd!$A:$B,2,0)),"")</f>
        <v/>
      </c>
      <c r="F1146" t="str">
        <f>IFERROR(IF(D1146="","",VLOOKUP(D1146,CadProd!$A:$C,3,0)),"")</f>
        <v/>
      </c>
    </row>
    <row r="1147" spans="5:6" x14ac:dyDescent="0.3">
      <c r="E1147" t="str">
        <f>IFERROR(IF(D1147="","",VLOOKUP(D1147,CadProd!$A:$B,2,0)),"")</f>
        <v/>
      </c>
      <c r="F1147" t="str">
        <f>IFERROR(IF(D1147="","",VLOOKUP(D1147,CadProd!$A:$C,3,0)),"")</f>
        <v/>
      </c>
    </row>
    <row r="1148" spans="5:6" x14ac:dyDescent="0.3">
      <c r="E1148" t="str">
        <f>IFERROR(IF(D1148="","",VLOOKUP(D1148,CadProd!$A:$B,2,0)),"")</f>
        <v/>
      </c>
      <c r="F1148" t="str">
        <f>IFERROR(IF(D1148="","",VLOOKUP(D1148,CadProd!$A:$C,3,0)),"")</f>
        <v/>
      </c>
    </row>
    <row r="1149" spans="5:6" x14ac:dyDescent="0.3">
      <c r="E1149" t="str">
        <f>IFERROR(IF(D1149="","",VLOOKUP(D1149,CadProd!$A:$B,2,0)),"")</f>
        <v/>
      </c>
      <c r="F1149" t="str">
        <f>IFERROR(IF(D1149="","",VLOOKUP(D1149,CadProd!$A:$C,3,0)),"")</f>
        <v/>
      </c>
    </row>
    <row r="1150" spans="5:6" x14ac:dyDescent="0.3">
      <c r="E1150" t="str">
        <f>IFERROR(IF(D1150="","",VLOOKUP(D1150,CadProd!$A:$B,2,0)),"")</f>
        <v/>
      </c>
      <c r="F1150" t="str">
        <f>IFERROR(IF(D1150="","",VLOOKUP(D1150,CadProd!$A:$C,3,0)),"")</f>
        <v/>
      </c>
    </row>
    <row r="1151" spans="5:6" x14ac:dyDescent="0.3">
      <c r="E1151" t="str">
        <f>IFERROR(IF(D1151="","",VLOOKUP(D1151,CadProd!$A:$B,2,0)),"")</f>
        <v/>
      </c>
      <c r="F1151" t="str">
        <f>IFERROR(IF(D1151="","",VLOOKUP(D1151,CadProd!$A:$C,3,0)),"")</f>
        <v/>
      </c>
    </row>
    <row r="1152" spans="5:6" x14ac:dyDescent="0.3">
      <c r="E1152" t="str">
        <f>IFERROR(IF(D1152="","",VLOOKUP(D1152,CadProd!$A:$B,2,0)),"")</f>
        <v/>
      </c>
      <c r="F1152" t="str">
        <f>IFERROR(IF(D1152="","",VLOOKUP(D1152,CadProd!$A:$C,3,0)),"")</f>
        <v/>
      </c>
    </row>
    <row r="1153" spans="5:6" x14ac:dyDescent="0.3">
      <c r="E1153" t="str">
        <f>IFERROR(IF(D1153="","",VLOOKUP(D1153,CadProd!$A:$B,2,0)),"")</f>
        <v/>
      </c>
      <c r="F1153" t="str">
        <f>IFERROR(IF(D1153="","",VLOOKUP(D1153,CadProd!$A:$C,3,0)),"")</f>
        <v/>
      </c>
    </row>
    <row r="1154" spans="5:6" x14ac:dyDescent="0.3">
      <c r="E1154" t="str">
        <f>IFERROR(IF(D1154="","",VLOOKUP(D1154,CadProd!$A:$B,2,0)),"")</f>
        <v/>
      </c>
      <c r="F1154" t="str">
        <f>IFERROR(IF(D1154="","",VLOOKUP(D1154,CadProd!$A:$C,3,0)),"")</f>
        <v/>
      </c>
    </row>
    <row r="1155" spans="5:6" x14ac:dyDescent="0.3">
      <c r="E1155" t="str">
        <f>IFERROR(IF(D1155="","",VLOOKUP(D1155,CadProd!$A:$B,2,0)),"")</f>
        <v/>
      </c>
      <c r="F1155" t="str">
        <f>IFERROR(IF(D1155="","",VLOOKUP(D1155,CadProd!$A:$C,3,0)),"")</f>
        <v/>
      </c>
    </row>
    <row r="1156" spans="5:6" x14ac:dyDescent="0.3">
      <c r="E1156" t="str">
        <f>IFERROR(IF(D1156="","",VLOOKUP(D1156,CadProd!$A:$B,2,0)),"")</f>
        <v/>
      </c>
      <c r="F1156" t="str">
        <f>IFERROR(IF(D1156="","",VLOOKUP(D1156,CadProd!$A:$C,3,0)),"")</f>
        <v/>
      </c>
    </row>
    <row r="1157" spans="5:6" x14ac:dyDescent="0.3">
      <c r="E1157" t="str">
        <f>IFERROR(IF(D1157="","",VLOOKUP(D1157,CadProd!$A:$B,2,0)),"")</f>
        <v/>
      </c>
      <c r="F1157" t="str">
        <f>IFERROR(IF(D1157="","",VLOOKUP(D1157,CadProd!$A:$C,3,0)),"")</f>
        <v/>
      </c>
    </row>
    <row r="1158" spans="5:6" x14ac:dyDescent="0.3">
      <c r="E1158" t="str">
        <f>IFERROR(IF(D1158="","",VLOOKUP(D1158,CadProd!$A:$B,2,0)),"")</f>
        <v/>
      </c>
      <c r="F1158" t="str">
        <f>IFERROR(IF(D1158="","",VLOOKUP(D1158,CadProd!$A:$C,3,0)),"")</f>
        <v/>
      </c>
    </row>
    <row r="1159" spans="5:6" x14ac:dyDescent="0.3">
      <c r="E1159" t="str">
        <f>IFERROR(IF(D1159="","",VLOOKUP(D1159,CadProd!$A:$B,2,0)),"")</f>
        <v/>
      </c>
      <c r="F1159" t="str">
        <f>IFERROR(IF(D1159="","",VLOOKUP(D1159,CadProd!$A:$C,3,0)),"")</f>
        <v/>
      </c>
    </row>
    <row r="1160" spans="5:6" x14ac:dyDescent="0.3">
      <c r="E1160" t="str">
        <f>IFERROR(IF(D1160="","",VLOOKUP(D1160,CadProd!$A:$B,2,0)),"")</f>
        <v/>
      </c>
      <c r="F1160" t="str">
        <f>IFERROR(IF(D1160="","",VLOOKUP(D1160,CadProd!$A:$C,3,0)),"")</f>
        <v/>
      </c>
    </row>
    <row r="1161" spans="5:6" x14ac:dyDescent="0.3">
      <c r="E1161" t="str">
        <f>IFERROR(IF(D1161="","",VLOOKUP(D1161,CadProd!$A:$B,2,0)),"")</f>
        <v/>
      </c>
      <c r="F1161" t="str">
        <f>IFERROR(IF(D1161="","",VLOOKUP(D1161,CadProd!$A:$C,3,0)),"")</f>
        <v/>
      </c>
    </row>
    <row r="1162" spans="5:6" x14ac:dyDescent="0.3">
      <c r="E1162" t="str">
        <f>IFERROR(IF(D1162="","",VLOOKUP(D1162,CadProd!$A:$B,2,0)),"")</f>
        <v/>
      </c>
      <c r="F1162" t="str">
        <f>IFERROR(IF(D1162="","",VLOOKUP(D1162,CadProd!$A:$C,3,0)),"")</f>
        <v/>
      </c>
    </row>
    <row r="1163" spans="5:6" x14ac:dyDescent="0.3">
      <c r="E1163" t="str">
        <f>IFERROR(IF(D1163="","",VLOOKUP(D1163,CadProd!$A:$B,2,0)),"")</f>
        <v/>
      </c>
      <c r="F1163" t="str">
        <f>IFERROR(IF(D1163="","",VLOOKUP(D1163,CadProd!$A:$C,3,0)),"")</f>
        <v/>
      </c>
    </row>
    <row r="1164" spans="5:6" x14ac:dyDescent="0.3">
      <c r="E1164" t="str">
        <f>IFERROR(IF(D1164="","",VLOOKUP(D1164,CadProd!$A:$B,2,0)),"")</f>
        <v/>
      </c>
      <c r="F1164" t="str">
        <f>IFERROR(IF(D1164="","",VLOOKUP(D1164,CadProd!$A:$C,3,0)),"")</f>
        <v/>
      </c>
    </row>
    <row r="1165" spans="5:6" x14ac:dyDescent="0.3">
      <c r="E1165" t="str">
        <f>IFERROR(IF(D1165="","",VLOOKUP(D1165,CadProd!$A:$B,2,0)),"")</f>
        <v/>
      </c>
      <c r="F1165" t="str">
        <f>IFERROR(IF(D1165="","",VLOOKUP(D1165,CadProd!$A:$C,3,0)),"")</f>
        <v/>
      </c>
    </row>
    <row r="1166" spans="5:6" x14ac:dyDescent="0.3">
      <c r="E1166" t="str">
        <f>IFERROR(IF(D1166="","",VLOOKUP(D1166,CadProd!$A:$B,2,0)),"")</f>
        <v/>
      </c>
      <c r="F1166" t="str">
        <f>IFERROR(IF(D1166="","",VLOOKUP(D1166,CadProd!$A:$C,3,0)),"")</f>
        <v/>
      </c>
    </row>
    <row r="1167" spans="5:6" x14ac:dyDescent="0.3">
      <c r="E1167" t="str">
        <f>IFERROR(IF(D1167="","",VLOOKUP(D1167,CadProd!$A:$B,2,0)),"")</f>
        <v/>
      </c>
      <c r="F1167" t="str">
        <f>IFERROR(IF(D1167="","",VLOOKUP(D1167,CadProd!$A:$C,3,0)),"")</f>
        <v/>
      </c>
    </row>
    <row r="1168" spans="5:6" x14ac:dyDescent="0.3">
      <c r="E1168" t="str">
        <f>IFERROR(IF(D1168="","",VLOOKUP(D1168,CadProd!$A:$B,2,0)),"")</f>
        <v/>
      </c>
      <c r="F1168" t="str">
        <f>IFERROR(IF(D1168="","",VLOOKUP(D1168,CadProd!$A:$C,3,0)),"")</f>
        <v/>
      </c>
    </row>
    <row r="1169" spans="5:6" x14ac:dyDescent="0.3">
      <c r="E1169" t="str">
        <f>IFERROR(IF(D1169="","",VLOOKUP(D1169,CadProd!$A:$B,2,0)),"")</f>
        <v/>
      </c>
      <c r="F1169" t="str">
        <f>IFERROR(IF(D1169="","",VLOOKUP(D1169,CadProd!$A:$C,3,0)),"")</f>
        <v/>
      </c>
    </row>
    <row r="1170" spans="5:6" x14ac:dyDescent="0.3">
      <c r="E1170" t="str">
        <f>IFERROR(IF(D1170="","",VLOOKUP(D1170,CadProd!$A:$B,2,0)),"")</f>
        <v/>
      </c>
      <c r="F1170" t="str">
        <f>IFERROR(IF(D1170="","",VLOOKUP(D1170,CadProd!$A:$C,3,0)),"")</f>
        <v/>
      </c>
    </row>
    <row r="1171" spans="5:6" x14ac:dyDescent="0.3">
      <c r="E1171" t="str">
        <f>IFERROR(IF(D1171="","",VLOOKUP(D1171,CadProd!$A:$B,2,0)),"")</f>
        <v/>
      </c>
      <c r="F1171" t="str">
        <f>IFERROR(IF(D1171="","",VLOOKUP(D1171,CadProd!$A:$C,3,0)),"")</f>
        <v/>
      </c>
    </row>
    <row r="1172" spans="5:6" x14ac:dyDescent="0.3">
      <c r="E1172" t="str">
        <f>IFERROR(IF(D1172="","",VLOOKUP(D1172,CadProd!$A:$B,2,0)),"")</f>
        <v/>
      </c>
      <c r="F1172" t="str">
        <f>IFERROR(IF(D1172="","",VLOOKUP(D1172,CadProd!$A:$C,3,0)),"")</f>
        <v/>
      </c>
    </row>
    <row r="1173" spans="5:6" x14ac:dyDescent="0.3">
      <c r="E1173" t="str">
        <f>IFERROR(IF(D1173="","",VLOOKUP(D1173,CadProd!$A:$B,2,0)),"")</f>
        <v/>
      </c>
      <c r="F1173" t="str">
        <f>IFERROR(IF(D1173="","",VLOOKUP(D1173,CadProd!$A:$C,3,0)),"")</f>
        <v/>
      </c>
    </row>
    <row r="1174" spans="5:6" x14ac:dyDescent="0.3">
      <c r="E1174" t="str">
        <f>IFERROR(IF(D1174="","",VLOOKUP(D1174,CadProd!$A:$B,2,0)),"")</f>
        <v/>
      </c>
      <c r="F1174" t="str">
        <f>IFERROR(IF(D1174="","",VLOOKUP(D1174,CadProd!$A:$C,3,0)),"")</f>
        <v/>
      </c>
    </row>
    <row r="1175" spans="5:6" x14ac:dyDescent="0.3">
      <c r="E1175" t="str">
        <f>IFERROR(IF(D1175="","",VLOOKUP(D1175,CadProd!$A:$B,2,0)),"")</f>
        <v/>
      </c>
      <c r="F1175" t="str">
        <f>IFERROR(IF(D1175="","",VLOOKUP(D1175,CadProd!$A:$C,3,0)),"")</f>
        <v/>
      </c>
    </row>
    <row r="1176" spans="5:6" x14ac:dyDescent="0.3">
      <c r="E1176" t="str">
        <f>IFERROR(IF(D1176="","",VLOOKUP(D1176,CadProd!$A:$B,2,0)),"")</f>
        <v/>
      </c>
      <c r="F1176" t="str">
        <f>IFERROR(IF(D1176="","",VLOOKUP(D1176,CadProd!$A:$C,3,0)),"")</f>
        <v/>
      </c>
    </row>
    <row r="1177" spans="5:6" x14ac:dyDescent="0.3">
      <c r="E1177" t="str">
        <f>IFERROR(IF(D1177="","",VLOOKUP(D1177,CadProd!$A:$B,2,0)),"")</f>
        <v/>
      </c>
      <c r="F1177" t="str">
        <f>IFERROR(IF(D1177="","",VLOOKUP(D1177,CadProd!$A:$C,3,0)),"")</f>
        <v/>
      </c>
    </row>
    <row r="1178" spans="5:6" x14ac:dyDescent="0.3">
      <c r="E1178" t="str">
        <f>IFERROR(IF(D1178="","",VLOOKUP(D1178,CadProd!$A:$B,2,0)),"")</f>
        <v/>
      </c>
      <c r="F1178" t="str">
        <f>IFERROR(IF(D1178="","",VLOOKUP(D1178,CadProd!$A:$C,3,0)),"")</f>
        <v/>
      </c>
    </row>
    <row r="1179" spans="5:6" x14ac:dyDescent="0.3">
      <c r="E1179" t="str">
        <f>IFERROR(IF(D1179="","",VLOOKUP(D1179,CadProd!$A:$B,2,0)),"")</f>
        <v/>
      </c>
      <c r="F1179" t="str">
        <f>IFERROR(IF(D1179="","",VLOOKUP(D1179,CadProd!$A:$C,3,0)),"")</f>
        <v/>
      </c>
    </row>
    <row r="1180" spans="5:6" x14ac:dyDescent="0.3">
      <c r="E1180" t="str">
        <f>IFERROR(IF(D1180="","",VLOOKUP(D1180,CadProd!$A:$B,2,0)),"")</f>
        <v/>
      </c>
      <c r="F1180" t="str">
        <f>IFERROR(IF(D1180="","",VLOOKUP(D1180,CadProd!$A:$C,3,0)),"")</f>
        <v/>
      </c>
    </row>
    <row r="1181" spans="5:6" x14ac:dyDescent="0.3">
      <c r="E1181" t="str">
        <f>IFERROR(IF(D1181="","",VLOOKUP(D1181,CadProd!$A:$B,2,0)),"")</f>
        <v/>
      </c>
      <c r="F1181" t="str">
        <f>IFERROR(IF(D1181="","",VLOOKUP(D1181,CadProd!$A:$C,3,0)),"")</f>
        <v/>
      </c>
    </row>
    <row r="1182" spans="5:6" x14ac:dyDescent="0.3">
      <c r="E1182" t="str">
        <f>IFERROR(IF(D1182="","",VLOOKUP(D1182,CadProd!$A:$B,2,0)),"")</f>
        <v/>
      </c>
      <c r="F1182" t="str">
        <f>IFERROR(IF(D1182="","",VLOOKUP(D1182,CadProd!$A:$C,3,0)),"")</f>
        <v/>
      </c>
    </row>
    <row r="1183" spans="5:6" x14ac:dyDescent="0.3">
      <c r="E1183" t="str">
        <f>IFERROR(IF(D1183="","",VLOOKUP(D1183,CadProd!$A:$B,2,0)),"")</f>
        <v/>
      </c>
      <c r="F1183" t="str">
        <f>IFERROR(IF(D1183="","",VLOOKUP(D1183,CadProd!$A:$C,3,0)),"")</f>
        <v/>
      </c>
    </row>
    <row r="1184" spans="5:6" x14ac:dyDescent="0.3">
      <c r="E1184" t="str">
        <f>IFERROR(IF(D1184="","",VLOOKUP(D1184,CadProd!$A:$B,2,0)),"")</f>
        <v/>
      </c>
      <c r="F1184" t="str">
        <f>IFERROR(IF(D1184="","",VLOOKUP(D1184,CadProd!$A:$C,3,0)),"")</f>
        <v/>
      </c>
    </row>
    <row r="1185" spans="5:6" x14ac:dyDescent="0.3">
      <c r="E1185" t="str">
        <f>IFERROR(IF(D1185="","",VLOOKUP(D1185,CadProd!$A:$B,2,0)),"")</f>
        <v/>
      </c>
      <c r="F1185" t="str">
        <f>IFERROR(IF(D1185="","",VLOOKUP(D1185,CadProd!$A:$C,3,0)),"")</f>
        <v/>
      </c>
    </row>
    <row r="1186" spans="5:6" x14ac:dyDescent="0.3">
      <c r="E1186" t="str">
        <f>IFERROR(IF(D1186="","",VLOOKUP(D1186,CadProd!$A:$B,2,0)),"")</f>
        <v/>
      </c>
      <c r="F1186" t="str">
        <f>IFERROR(IF(D1186="","",VLOOKUP(D1186,CadProd!$A:$C,3,0)),"")</f>
        <v/>
      </c>
    </row>
    <row r="1187" spans="5:6" x14ac:dyDescent="0.3">
      <c r="E1187" t="str">
        <f>IFERROR(IF(D1187="","",VLOOKUP(D1187,CadProd!$A:$B,2,0)),"")</f>
        <v/>
      </c>
      <c r="F1187" t="str">
        <f>IFERROR(IF(D1187="","",VLOOKUP(D1187,CadProd!$A:$C,3,0)),"")</f>
        <v/>
      </c>
    </row>
    <row r="1188" spans="5:6" x14ac:dyDescent="0.3">
      <c r="E1188" t="str">
        <f>IFERROR(IF(D1188="","",VLOOKUP(D1188,CadProd!$A:$B,2,0)),"")</f>
        <v/>
      </c>
      <c r="F1188" t="str">
        <f>IFERROR(IF(D1188="","",VLOOKUP(D1188,CadProd!$A:$C,3,0)),"")</f>
        <v/>
      </c>
    </row>
    <row r="1189" spans="5:6" x14ac:dyDescent="0.3">
      <c r="E1189" t="str">
        <f>IFERROR(IF(D1189="","",VLOOKUP(D1189,CadProd!$A:$B,2,0)),"")</f>
        <v/>
      </c>
      <c r="F1189" t="str">
        <f>IFERROR(IF(D1189="","",VLOOKUP(D1189,CadProd!$A:$C,3,0)),"")</f>
        <v/>
      </c>
    </row>
    <row r="1190" spans="5:6" x14ac:dyDescent="0.3">
      <c r="E1190" t="str">
        <f>IFERROR(IF(D1190="","",VLOOKUP(D1190,CadProd!$A:$B,2,0)),"")</f>
        <v/>
      </c>
      <c r="F1190" t="str">
        <f>IFERROR(IF(D1190="","",VLOOKUP(D1190,CadProd!$A:$C,3,0)),"")</f>
        <v/>
      </c>
    </row>
    <row r="1191" spans="5:6" x14ac:dyDescent="0.3">
      <c r="E1191" t="str">
        <f>IFERROR(IF(D1191="","",VLOOKUP(D1191,CadProd!$A:$B,2,0)),"")</f>
        <v/>
      </c>
      <c r="F1191" t="str">
        <f>IFERROR(IF(D1191="","",VLOOKUP(D1191,CadProd!$A:$C,3,0)),"")</f>
        <v/>
      </c>
    </row>
    <row r="1192" spans="5:6" x14ac:dyDescent="0.3">
      <c r="E1192" t="str">
        <f>IFERROR(IF(D1192="","",VLOOKUP(D1192,CadProd!$A:$B,2,0)),"")</f>
        <v/>
      </c>
      <c r="F1192" t="str">
        <f>IFERROR(IF(D1192="","",VLOOKUP(D1192,CadProd!$A:$C,3,0)),"")</f>
        <v/>
      </c>
    </row>
    <row r="1193" spans="5:6" x14ac:dyDescent="0.3">
      <c r="E1193" t="str">
        <f>IFERROR(IF(D1193="","",VLOOKUP(D1193,CadProd!$A:$B,2,0)),"")</f>
        <v/>
      </c>
      <c r="F1193" t="str">
        <f>IFERROR(IF(D1193="","",VLOOKUP(D1193,CadProd!$A:$C,3,0)),"")</f>
        <v/>
      </c>
    </row>
    <row r="1194" spans="5:6" x14ac:dyDescent="0.3">
      <c r="E1194" t="str">
        <f>IFERROR(IF(D1194="","",VLOOKUP(D1194,CadProd!$A:$B,2,0)),"")</f>
        <v/>
      </c>
      <c r="F1194" t="str">
        <f>IFERROR(IF(D1194="","",VLOOKUP(D1194,CadProd!$A:$C,3,0)),"")</f>
        <v/>
      </c>
    </row>
    <row r="1195" spans="5:6" x14ac:dyDescent="0.3">
      <c r="E1195" t="str">
        <f>IFERROR(IF(D1195="","",VLOOKUP(D1195,CadProd!$A:$B,2,0)),"")</f>
        <v/>
      </c>
      <c r="F1195" t="str">
        <f>IFERROR(IF(D1195="","",VLOOKUP(D1195,CadProd!$A:$C,3,0)),"")</f>
        <v/>
      </c>
    </row>
    <row r="1196" spans="5:6" x14ac:dyDescent="0.3">
      <c r="E1196" t="str">
        <f>IFERROR(IF(D1196="","",VLOOKUP(D1196,CadProd!$A:$B,2,0)),"")</f>
        <v/>
      </c>
      <c r="F1196" t="str">
        <f>IFERROR(IF(D1196="","",VLOOKUP(D1196,CadProd!$A:$C,3,0)),"")</f>
        <v/>
      </c>
    </row>
    <row r="1197" spans="5:6" x14ac:dyDescent="0.3">
      <c r="E1197" t="str">
        <f>IFERROR(IF(D1197="","",VLOOKUP(D1197,CadProd!$A:$B,2,0)),"")</f>
        <v/>
      </c>
      <c r="F1197" t="str">
        <f>IFERROR(IF(D1197="","",VLOOKUP(D1197,CadProd!$A:$C,3,0)),"")</f>
        <v/>
      </c>
    </row>
    <row r="1198" spans="5:6" x14ac:dyDescent="0.3">
      <c r="E1198" t="str">
        <f>IFERROR(IF(D1198="","",VLOOKUP(D1198,CadProd!$A:$B,2,0)),"")</f>
        <v/>
      </c>
      <c r="F1198" t="str">
        <f>IFERROR(IF(D1198="","",VLOOKUP(D1198,CadProd!$A:$C,3,0)),"")</f>
        <v/>
      </c>
    </row>
    <row r="1199" spans="5:6" x14ac:dyDescent="0.3">
      <c r="E1199" t="str">
        <f>IFERROR(IF(D1199="","",VLOOKUP(D1199,CadProd!$A:$B,2,0)),"")</f>
        <v/>
      </c>
      <c r="F1199" t="str">
        <f>IFERROR(IF(D1199="","",VLOOKUP(D1199,CadProd!$A:$C,3,0)),"")</f>
        <v/>
      </c>
    </row>
    <row r="1200" spans="5:6" x14ac:dyDescent="0.3">
      <c r="E1200" t="str">
        <f>IFERROR(IF(D1200="","",VLOOKUP(D1200,CadProd!$A:$B,2,0)),"")</f>
        <v/>
      </c>
      <c r="F1200" t="str">
        <f>IFERROR(IF(D1200="","",VLOOKUP(D1200,CadProd!$A:$C,3,0)),"")</f>
        <v/>
      </c>
    </row>
    <row r="1201" spans="5:6" x14ac:dyDescent="0.3">
      <c r="E1201" t="str">
        <f>IFERROR(IF(D1201="","",VLOOKUP(D1201,CadProd!$A:$B,2,0)),"")</f>
        <v/>
      </c>
      <c r="F1201" t="str">
        <f>IFERROR(IF(D1201="","",VLOOKUP(D1201,CadProd!$A:$C,3,0)),"")</f>
        <v/>
      </c>
    </row>
    <row r="1202" spans="5:6" x14ac:dyDescent="0.3">
      <c r="E1202" t="str">
        <f>IFERROR(IF(D1202="","",VLOOKUP(D1202,CadProd!$A:$B,2,0)),"")</f>
        <v/>
      </c>
      <c r="F1202" t="str">
        <f>IFERROR(IF(D1202="","",VLOOKUP(D1202,CadProd!$A:$C,3,0)),"")</f>
        <v/>
      </c>
    </row>
    <row r="1203" spans="5:6" x14ac:dyDescent="0.3">
      <c r="E1203" t="str">
        <f>IFERROR(IF(D1203="","",VLOOKUP(D1203,CadProd!$A:$B,2,0)),"")</f>
        <v/>
      </c>
      <c r="F1203" t="str">
        <f>IFERROR(IF(D1203="","",VLOOKUP(D1203,CadProd!$A:$C,3,0)),"")</f>
        <v/>
      </c>
    </row>
    <row r="1204" spans="5:6" x14ac:dyDescent="0.3">
      <c r="E1204" t="str">
        <f>IFERROR(IF(D1204="","",VLOOKUP(D1204,CadProd!$A:$B,2,0)),"")</f>
        <v/>
      </c>
      <c r="F1204" t="str">
        <f>IFERROR(IF(D1204="","",VLOOKUP(D1204,CadProd!$A:$C,3,0)),"")</f>
        <v/>
      </c>
    </row>
    <row r="1205" spans="5:6" x14ac:dyDescent="0.3">
      <c r="E1205" t="str">
        <f>IFERROR(IF(D1205="","",VLOOKUP(D1205,CadProd!$A:$B,2,0)),"")</f>
        <v/>
      </c>
      <c r="F1205" t="str">
        <f>IFERROR(IF(D1205="","",VLOOKUP(D1205,CadProd!$A:$C,3,0)),"")</f>
        <v/>
      </c>
    </row>
    <row r="1206" spans="5:6" x14ac:dyDescent="0.3">
      <c r="E1206" t="str">
        <f>IFERROR(IF(D1206="","",VLOOKUP(D1206,CadProd!$A:$B,2,0)),"")</f>
        <v/>
      </c>
      <c r="F1206" t="str">
        <f>IFERROR(IF(D1206="","",VLOOKUP(D1206,CadProd!$A:$C,3,0)),"")</f>
        <v/>
      </c>
    </row>
    <row r="1207" spans="5:6" x14ac:dyDescent="0.3">
      <c r="E1207" t="str">
        <f>IFERROR(IF(D1207="","",VLOOKUP(D1207,CadProd!$A:$B,2,0)),"")</f>
        <v/>
      </c>
      <c r="F1207" t="str">
        <f>IFERROR(IF(D1207="","",VLOOKUP(D1207,CadProd!$A:$C,3,0)),"")</f>
        <v/>
      </c>
    </row>
    <row r="1208" spans="5:6" x14ac:dyDescent="0.3">
      <c r="E1208" t="str">
        <f>IFERROR(IF(D1208="","",VLOOKUP(D1208,CadProd!$A:$B,2,0)),"")</f>
        <v/>
      </c>
      <c r="F1208" t="str">
        <f>IFERROR(IF(D1208="","",VLOOKUP(D1208,CadProd!$A:$C,3,0)),"")</f>
        <v/>
      </c>
    </row>
    <row r="1209" spans="5:6" x14ac:dyDescent="0.3">
      <c r="E1209" t="str">
        <f>IFERROR(IF(D1209="","",VLOOKUP(D1209,CadProd!$A:$B,2,0)),"")</f>
        <v/>
      </c>
      <c r="F1209" t="str">
        <f>IFERROR(IF(D1209="","",VLOOKUP(D1209,CadProd!$A:$C,3,0)),"")</f>
        <v/>
      </c>
    </row>
    <row r="1210" spans="5:6" x14ac:dyDescent="0.3">
      <c r="E1210" t="str">
        <f>IFERROR(IF(D1210="","",VLOOKUP(D1210,CadProd!$A:$B,2,0)),"")</f>
        <v/>
      </c>
      <c r="F1210" t="str">
        <f>IFERROR(IF(D1210="","",VLOOKUP(D1210,CadProd!$A:$C,3,0)),"")</f>
        <v/>
      </c>
    </row>
    <row r="1211" spans="5:6" x14ac:dyDescent="0.3">
      <c r="E1211" t="str">
        <f>IFERROR(IF(D1211="","",VLOOKUP(D1211,CadProd!$A:$B,2,0)),"")</f>
        <v/>
      </c>
      <c r="F1211" t="str">
        <f>IFERROR(IF(D1211="","",VLOOKUP(D1211,CadProd!$A:$C,3,0)),"")</f>
        <v/>
      </c>
    </row>
    <row r="1212" spans="5:6" x14ac:dyDescent="0.3">
      <c r="E1212" t="str">
        <f>IFERROR(IF(D1212="","",VLOOKUP(D1212,CadProd!$A:$B,2,0)),"")</f>
        <v/>
      </c>
      <c r="F1212" t="str">
        <f>IFERROR(IF(D1212="","",VLOOKUP(D1212,CadProd!$A:$C,3,0)),"")</f>
        <v/>
      </c>
    </row>
    <row r="1213" spans="5:6" x14ac:dyDescent="0.3">
      <c r="E1213" t="str">
        <f>IFERROR(IF(D1213="","",VLOOKUP(D1213,CadProd!$A:$B,2,0)),"")</f>
        <v/>
      </c>
      <c r="F1213" t="str">
        <f>IFERROR(IF(D1213="","",VLOOKUP(D1213,CadProd!$A:$C,3,0)),"")</f>
        <v/>
      </c>
    </row>
    <row r="1214" spans="5:6" x14ac:dyDescent="0.3">
      <c r="E1214" t="str">
        <f>IFERROR(IF(D1214="","",VLOOKUP(D1214,CadProd!$A:$B,2,0)),"")</f>
        <v/>
      </c>
      <c r="F1214" t="str">
        <f>IFERROR(IF(D1214="","",VLOOKUP(D1214,CadProd!$A:$C,3,0)),"")</f>
        <v/>
      </c>
    </row>
    <row r="1215" spans="5:6" x14ac:dyDescent="0.3">
      <c r="E1215" t="str">
        <f>IFERROR(IF(D1215="","",VLOOKUP(D1215,CadProd!$A:$B,2,0)),"")</f>
        <v/>
      </c>
      <c r="F1215" t="str">
        <f>IFERROR(IF(D1215="","",VLOOKUP(D1215,CadProd!$A:$C,3,0)),"")</f>
        <v/>
      </c>
    </row>
    <row r="1216" spans="5:6" x14ac:dyDescent="0.3">
      <c r="E1216" t="str">
        <f>IFERROR(IF(D1216="","",VLOOKUP(D1216,CadProd!$A:$B,2,0)),"")</f>
        <v/>
      </c>
      <c r="F1216" t="str">
        <f>IFERROR(IF(D1216="","",VLOOKUP(D1216,CadProd!$A:$C,3,0)),"")</f>
        <v/>
      </c>
    </row>
    <row r="1217" spans="5:6" x14ac:dyDescent="0.3">
      <c r="E1217" t="str">
        <f>IFERROR(IF(D1217="","",VLOOKUP(D1217,CadProd!$A:$B,2,0)),"")</f>
        <v/>
      </c>
      <c r="F1217" t="str">
        <f>IFERROR(IF(D1217="","",VLOOKUP(D1217,CadProd!$A:$C,3,0)),"")</f>
        <v/>
      </c>
    </row>
    <row r="1218" spans="5:6" x14ac:dyDescent="0.3">
      <c r="E1218" t="str">
        <f>IFERROR(IF(D1218="","",VLOOKUP(D1218,CadProd!$A:$B,2,0)),"")</f>
        <v/>
      </c>
      <c r="F1218" t="str">
        <f>IFERROR(IF(D1218="","",VLOOKUP(D1218,CadProd!$A:$C,3,0)),"")</f>
        <v/>
      </c>
    </row>
    <row r="1219" spans="5:6" x14ac:dyDescent="0.3">
      <c r="E1219" t="str">
        <f>IFERROR(IF(D1219="","",VLOOKUP(D1219,CadProd!$A:$B,2,0)),"")</f>
        <v/>
      </c>
      <c r="F1219" t="str">
        <f>IFERROR(IF(D1219="","",VLOOKUP(D1219,CadProd!$A:$C,3,0)),"")</f>
        <v/>
      </c>
    </row>
    <row r="1220" spans="5:6" x14ac:dyDescent="0.3">
      <c r="E1220" t="str">
        <f>IFERROR(IF(D1220="","",VLOOKUP(D1220,CadProd!$A:$B,2,0)),"")</f>
        <v/>
      </c>
      <c r="F1220" t="str">
        <f>IFERROR(IF(D1220="","",VLOOKUP(D1220,CadProd!$A:$C,3,0)),"")</f>
        <v/>
      </c>
    </row>
    <row r="1221" spans="5:6" x14ac:dyDescent="0.3">
      <c r="E1221" t="str">
        <f>IFERROR(IF(D1221="","",VLOOKUP(D1221,CadProd!$A:$B,2,0)),"")</f>
        <v/>
      </c>
      <c r="F1221" t="str">
        <f>IFERROR(IF(D1221="","",VLOOKUP(D1221,CadProd!$A:$C,3,0)),"")</f>
        <v/>
      </c>
    </row>
    <row r="1222" spans="5:6" x14ac:dyDescent="0.3">
      <c r="E1222" t="str">
        <f>IFERROR(IF(D1222="","",VLOOKUP(D1222,CadProd!$A:$B,2,0)),"")</f>
        <v/>
      </c>
      <c r="F1222" t="str">
        <f>IFERROR(IF(D1222="","",VLOOKUP(D1222,CadProd!$A:$C,3,0)),"")</f>
        <v/>
      </c>
    </row>
    <row r="1223" spans="5:6" x14ac:dyDescent="0.3">
      <c r="E1223" t="str">
        <f>IFERROR(IF(D1223="","",VLOOKUP(D1223,CadProd!$A:$B,2,0)),"")</f>
        <v/>
      </c>
      <c r="F1223" t="str">
        <f>IFERROR(IF(D1223="","",VLOOKUP(D1223,CadProd!$A:$C,3,0)),"")</f>
        <v/>
      </c>
    </row>
    <row r="1224" spans="5:6" x14ac:dyDescent="0.3">
      <c r="E1224" t="str">
        <f>IFERROR(IF(D1224="","",VLOOKUP(D1224,CadProd!$A:$B,2,0)),"")</f>
        <v/>
      </c>
      <c r="F1224" t="str">
        <f>IFERROR(IF(D1224="","",VLOOKUP(D1224,CadProd!$A:$C,3,0)),"")</f>
        <v/>
      </c>
    </row>
    <row r="1225" spans="5:6" x14ac:dyDescent="0.3">
      <c r="E1225" t="str">
        <f>IFERROR(IF(D1225="","",VLOOKUP(D1225,CadProd!$A:$B,2,0)),"")</f>
        <v/>
      </c>
      <c r="F1225" t="str">
        <f>IFERROR(IF(D1225="","",VLOOKUP(D1225,CadProd!$A:$C,3,0)),"")</f>
        <v/>
      </c>
    </row>
    <row r="1226" spans="5:6" x14ac:dyDescent="0.3">
      <c r="E1226" t="str">
        <f>IFERROR(IF(D1226="","",VLOOKUP(D1226,CadProd!$A:$B,2,0)),"")</f>
        <v/>
      </c>
      <c r="F1226" t="str">
        <f>IFERROR(IF(D1226="","",VLOOKUP(D1226,CadProd!$A:$C,3,0)),"")</f>
        <v/>
      </c>
    </row>
    <row r="1227" spans="5:6" x14ac:dyDescent="0.3">
      <c r="E1227" t="str">
        <f>IFERROR(IF(D1227="","",VLOOKUP(D1227,CadProd!$A:$B,2,0)),"")</f>
        <v/>
      </c>
      <c r="F1227" t="str">
        <f>IFERROR(IF(D1227="","",VLOOKUP(D1227,CadProd!$A:$C,3,0)),"")</f>
        <v/>
      </c>
    </row>
    <row r="1228" spans="5:6" x14ac:dyDescent="0.3">
      <c r="E1228" t="str">
        <f>IFERROR(IF(D1228="","",VLOOKUP(D1228,CadProd!$A:$B,2,0)),"")</f>
        <v/>
      </c>
      <c r="F1228" t="str">
        <f>IFERROR(IF(D1228="","",VLOOKUP(D1228,CadProd!$A:$C,3,0)),"")</f>
        <v/>
      </c>
    </row>
    <row r="1229" spans="5:6" x14ac:dyDescent="0.3">
      <c r="E1229" t="str">
        <f>IFERROR(IF(D1229="","",VLOOKUP(D1229,CadProd!$A:$B,2,0)),"")</f>
        <v/>
      </c>
      <c r="F1229" t="str">
        <f>IFERROR(IF(D1229="","",VLOOKUP(D1229,CadProd!$A:$C,3,0)),"")</f>
        <v/>
      </c>
    </row>
    <row r="1230" spans="5:6" x14ac:dyDescent="0.3">
      <c r="E1230" t="str">
        <f>IFERROR(IF(D1230="","",VLOOKUP(D1230,CadProd!$A:$B,2,0)),"")</f>
        <v/>
      </c>
      <c r="F1230" t="str">
        <f>IFERROR(IF(D1230="","",VLOOKUP(D1230,CadProd!$A:$C,3,0)),"")</f>
        <v/>
      </c>
    </row>
    <row r="1231" spans="5:6" x14ac:dyDescent="0.3">
      <c r="E1231" t="str">
        <f>IFERROR(IF(D1231="","",VLOOKUP(D1231,CadProd!$A:$B,2,0)),"")</f>
        <v/>
      </c>
      <c r="F1231" t="str">
        <f>IFERROR(IF(D1231="","",VLOOKUP(D1231,CadProd!$A:$C,3,0)),"")</f>
        <v/>
      </c>
    </row>
    <row r="1232" spans="5:6" x14ac:dyDescent="0.3">
      <c r="E1232" t="str">
        <f>IFERROR(IF(D1232="","",VLOOKUP(D1232,CadProd!$A:$B,2,0)),"")</f>
        <v/>
      </c>
      <c r="F1232" t="str">
        <f>IFERROR(IF(D1232="","",VLOOKUP(D1232,CadProd!$A:$C,3,0)),"")</f>
        <v/>
      </c>
    </row>
    <row r="1233" spans="5:6" x14ac:dyDescent="0.3">
      <c r="E1233" t="str">
        <f>IFERROR(IF(D1233="","",VLOOKUP(D1233,CadProd!$A:$B,2,0)),"")</f>
        <v/>
      </c>
      <c r="F1233" t="str">
        <f>IFERROR(IF(D1233="","",VLOOKUP(D1233,CadProd!$A:$C,3,0)),"")</f>
        <v/>
      </c>
    </row>
    <row r="1234" spans="5:6" x14ac:dyDescent="0.3">
      <c r="E1234" t="str">
        <f>IFERROR(IF(D1234="","",VLOOKUP(D1234,CadProd!$A:$B,2,0)),"")</f>
        <v/>
      </c>
      <c r="F1234" t="str">
        <f>IFERROR(IF(D1234="","",VLOOKUP(D1234,CadProd!$A:$C,3,0)),"")</f>
        <v/>
      </c>
    </row>
    <row r="1235" spans="5:6" x14ac:dyDescent="0.3">
      <c r="E1235" t="str">
        <f>IFERROR(IF(D1235="","",VLOOKUP(D1235,CadProd!$A:$B,2,0)),"")</f>
        <v/>
      </c>
      <c r="F1235" t="str">
        <f>IFERROR(IF(D1235="","",VLOOKUP(D1235,CadProd!$A:$C,3,0)),"")</f>
        <v/>
      </c>
    </row>
    <row r="1236" spans="5:6" x14ac:dyDescent="0.3">
      <c r="E1236" t="str">
        <f>IFERROR(IF(D1236="","",VLOOKUP(D1236,CadProd!$A:$B,2,0)),"")</f>
        <v/>
      </c>
      <c r="F1236" t="str">
        <f>IFERROR(IF(D1236="","",VLOOKUP(D1236,CadProd!$A:$C,3,0)),"")</f>
        <v/>
      </c>
    </row>
    <row r="1237" spans="5:6" x14ac:dyDescent="0.3">
      <c r="E1237" t="str">
        <f>IFERROR(IF(D1237="","",VLOOKUP(D1237,CadProd!$A:$B,2,0)),"")</f>
        <v/>
      </c>
      <c r="F1237" t="str">
        <f>IFERROR(IF(D1237="","",VLOOKUP(D1237,CadProd!$A:$C,3,0)),"")</f>
        <v/>
      </c>
    </row>
    <row r="1238" spans="5:6" x14ac:dyDescent="0.3">
      <c r="E1238" t="str">
        <f>IFERROR(IF(D1238="","",VLOOKUP(D1238,CadProd!$A:$B,2,0)),"")</f>
        <v/>
      </c>
      <c r="F1238" t="str">
        <f>IFERROR(IF(D1238="","",VLOOKUP(D1238,CadProd!$A:$C,3,0)),"")</f>
        <v/>
      </c>
    </row>
    <row r="1239" spans="5:6" x14ac:dyDescent="0.3">
      <c r="E1239" t="str">
        <f>IFERROR(IF(D1239="","",VLOOKUP(D1239,CadProd!$A:$B,2,0)),"")</f>
        <v/>
      </c>
      <c r="F1239" t="str">
        <f>IFERROR(IF(D1239="","",VLOOKUP(D1239,CadProd!$A:$C,3,0)),"")</f>
        <v/>
      </c>
    </row>
    <row r="1240" spans="5:6" x14ac:dyDescent="0.3">
      <c r="E1240" t="str">
        <f>IFERROR(IF(D1240="","",VLOOKUP(D1240,CadProd!$A:$B,2,0)),"")</f>
        <v/>
      </c>
      <c r="F1240" t="str">
        <f>IFERROR(IF(D1240="","",VLOOKUP(D1240,CadProd!$A:$C,3,0)),"")</f>
        <v/>
      </c>
    </row>
    <row r="1241" spans="5:6" x14ac:dyDescent="0.3">
      <c r="E1241" t="str">
        <f>IFERROR(IF(D1241="","",VLOOKUP(D1241,CadProd!$A:$B,2,0)),"")</f>
        <v/>
      </c>
      <c r="F1241" t="str">
        <f>IFERROR(IF(D1241="","",VLOOKUP(D1241,CadProd!$A:$C,3,0)),"")</f>
        <v/>
      </c>
    </row>
    <row r="1242" spans="5:6" x14ac:dyDescent="0.3">
      <c r="E1242" t="str">
        <f>IFERROR(IF(D1242="","",VLOOKUP(D1242,CadProd!$A:$B,2,0)),"")</f>
        <v/>
      </c>
      <c r="F1242" t="str">
        <f>IFERROR(IF(D1242="","",VLOOKUP(D1242,CadProd!$A:$C,3,0)),"")</f>
        <v/>
      </c>
    </row>
    <row r="1243" spans="5:6" x14ac:dyDescent="0.3">
      <c r="E1243" t="str">
        <f>IFERROR(IF(D1243="","",VLOOKUP(D1243,CadProd!$A:$B,2,0)),"")</f>
        <v/>
      </c>
      <c r="F1243" t="str">
        <f>IFERROR(IF(D1243="","",VLOOKUP(D1243,CadProd!$A:$C,3,0)),"")</f>
        <v/>
      </c>
    </row>
    <row r="1244" spans="5:6" x14ac:dyDescent="0.3">
      <c r="E1244" t="str">
        <f>IFERROR(IF(D1244="","",VLOOKUP(D1244,CadProd!$A:$B,2,0)),"")</f>
        <v/>
      </c>
      <c r="F1244" t="str">
        <f>IFERROR(IF(D1244="","",VLOOKUP(D1244,CadProd!$A:$C,3,0)),"")</f>
        <v/>
      </c>
    </row>
    <row r="1245" spans="5:6" x14ac:dyDescent="0.3">
      <c r="E1245" t="str">
        <f>IFERROR(IF(D1245="","",VLOOKUP(D1245,CadProd!$A:$B,2,0)),"")</f>
        <v/>
      </c>
      <c r="F1245" t="str">
        <f>IFERROR(IF(D1245="","",VLOOKUP(D1245,CadProd!$A:$C,3,0)),"")</f>
        <v/>
      </c>
    </row>
    <row r="1246" spans="5:6" x14ac:dyDescent="0.3">
      <c r="E1246" t="str">
        <f>IFERROR(IF(D1246="","",VLOOKUP(D1246,CadProd!$A:$B,2,0)),"")</f>
        <v/>
      </c>
      <c r="F1246" t="str">
        <f>IFERROR(IF(D1246="","",VLOOKUP(D1246,CadProd!$A:$C,3,0)),"")</f>
        <v/>
      </c>
    </row>
    <row r="1247" spans="5:6" x14ac:dyDescent="0.3">
      <c r="E1247" t="str">
        <f>IFERROR(IF(D1247="","",VLOOKUP(D1247,CadProd!$A:$B,2,0)),"")</f>
        <v/>
      </c>
      <c r="F1247" t="str">
        <f>IFERROR(IF(D1247="","",VLOOKUP(D1247,CadProd!$A:$C,3,0)),"")</f>
        <v/>
      </c>
    </row>
    <row r="1248" spans="5:6" x14ac:dyDescent="0.3">
      <c r="E1248" t="str">
        <f>IFERROR(IF(D1248="","",VLOOKUP(D1248,CadProd!$A:$B,2,0)),"")</f>
        <v/>
      </c>
      <c r="F1248" t="str">
        <f>IFERROR(IF(D1248="","",VLOOKUP(D1248,CadProd!$A:$C,3,0)),"")</f>
        <v/>
      </c>
    </row>
    <row r="1249" spans="5:6" x14ac:dyDescent="0.3">
      <c r="E1249" t="str">
        <f>IFERROR(IF(D1249="","",VLOOKUP(D1249,CadProd!$A:$B,2,0)),"")</f>
        <v/>
      </c>
      <c r="F1249" t="str">
        <f>IFERROR(IF(D1249="","",VLOOKUP(D1249,CadProd!$A:$C,3,0)),"")</f>
        <v/>
      </c>
    </row>
    <row r="1250" spans="5:6" x14ac:dyDescent="0.3">
      <c r="E1250" t="str">
        <f>IFERROR(IF(D1250="","",VLOOKUP(D1250,CadProd!$A:$B,2,0)),"")</f>
        <v/>
      </c>
      <c r="F1250" t="str">
        <f>IFERROR(IF(D1250="","",VLOOKUP(D1250,CadProd!$A:$C,3,0)),"")</f>
        <v/>
      </c>
    </row>
    <row r="1251" spans="5:6" x14ac:dyDescent="0.3">
      <c r="E1251" t="str">
        <f>IFERROR(IF(D1251="","",VLOOKUP(D1251,CadProd!$A:$B,2,0)),"")</f>
        <v/>
      </c>
      <c r="F1251" t="str">
        <f>IFERROR(IF(D1251="","",VLOOKUP(D1251,CadProd!$A:$C,3,0)),"")</f>
        <v/>
      </c>
    </row>
    <row r="1252" spans="5:6" x14ac:dyDescent="0.3">
      <c r="E1252" t="str">
        <f>IFERROR(IF(D1252="","",VLOOKUP(D1252,CadProd!$A:$B,2,0)),"")</f>
        <v/>
      </c>
      <c r="F1252" t="str">
        <f>IFERROR(IF(D1252="","",VLOOKUP(D1252,CadProd!$A:$C,3,0)),"")</f>
        <v/>
      </c>
    </row>
    <row r="1253" spans="5:6" x14ac:dyDescent="0.3">
      <c r="E1253" t="str">
        <f>IFERROR(IF(D1253="","",VLOOKUP(D1253,CadProd!$A:$B,2,0)),"")</f>
        <v/>
      </c>
      <c r="F1253" t="str">
        <f>IFERROR(IF(D1253="","",VLOOKUP(D1253,CadProd!$A:$C,3,0)),"")</f>
        <v/>
      </c>
    </row>
    <row r="1254" spans="5:6" x14ac:dyDescent="0.3">
      <c r="E1254" t="str">
        <f>IFERROR(IF(D1254="","",VLOOKUP(D1254,CadProd!$A:$B,2,0)),"")</f>
        <v/>
      </c>
      <c r="F1254" t="str">
        <f>IFERROR(IF(D1254="","",VLOOKUP(D1254,CadProd!$A:$C,3,0)),"")</f>
        <v/>
      </c>
    </row>
    <row r="1255" spans="5:6" x14ac:dyDescent="0.3">
      <c r="E1255" t="str">
        <f>IFERROR(IF(D1255="","",VLOOKUP(D1255,CadProd!$A:$B,2,0)),"")</f>
        <v/>
      </c>
      <c r="F1255" t="str">
        <f>IFERROR(IF(D1255="","",VLOOKUP(D1255,CadProd!$A:$C,3,0)),"")</f>
        <v/>
      </c>
    </row>
    <row r="1256" spans="5:6" x14ac:dyDescent="0.3">
      <c r="E1256" t="str">
        <f>IFERROR(IF(D1256="","",VLOOKUP(D1256,CadProd!$A:$B,2,0)),"")</f>
        <v/>
      </c>
      <c r="F1256" t="str">
        <f>IFERROR(IF(D1256="","",VLOOKUP(D1256,CadProd!$A:$C,3,0)),"")</f>
        <v/>
      </c>
    </row>
    <row r="1257" spans="5:6" x14ac:dyDescent="0.3">
      <c r="E1257" t="str">
        <f>IFERROR(IF(D1257="","",VLOOKUP(D1257,CadProd!$A:$B,2,0)),"")</f>
        <v/>
      </c>
      <c r="F1257" t="str">
        <f>IFERROR(IF(D1257="","",VLOOKUP(D1257,CadProd!$A:$C,3,0)),"")</f>
        <v/>
      </c>
    </row>
    <row r="1258" spans="5:6" x14ac:dyDescent="0.3">
      <c r="E1258" t="str">
        <f>IFERROR(IF(D1258="","",VLOOKUP(D1258,CadProd!$A:$B,2,0)),"")</f>
        <v/>
      </c>
      <c r="F1258" t="str">
        <f>IFERROR(IF(D1258="","",VLOOKUP(D1258,CadProd!$A:$C,3,0)),"")</f>
        <v/>
      </c>
    </row>
    <row r="1259" spans="5:6" x14ac:dyDescent="0.3">
      <c r="E1259" t="str">
        <f>IFERROR(IF(D1259="","",VLOOKUP(D1259,CadProd!$A:$B,2,0)),"")</f>
        <v/>
      </c>
      <c r="F1259" t="str">
        <f>IFERROR(IF(D1259="","",VLOOKUP(D1259,CadProd!$A:$C,3,0)),"")</f>
        <v/>
      </c>
    </row>
    <row r="1260" spans="5:6" x14ac:dyDescent="0.3">
      <c r="E1260" t="str">
        <f>IFERROR(IF(D1260="","",VLOOKUP(D1260,CadProd!$A:$B,2,0)),"")</f>
        <v/>
      </c>
      <c r="F1260" t="str">
        <f>IFERROR(IF(D1260="","",VLOOKUP(D1260,CadProd!$A:$C,3,0)),"")</f>
        <v/>
      </c>
    </row>
    <row r="1261" spans="5:6" x14ac:dyDescent="0.3">
      <c r="E1261" t="str">
        <f>IFERROR(IF(D1261="","",VLOOKUP(D1261,CadProd!$A:$B,2,0)),"")</f>
        <v/>
      </c>
      <c r="F1261" t="str">
        <f>IFERROR(IF(D1261="","",VLOOKUP(D1261,CadProd!$A:$C,3,0)),"")</f>
        <v/>
      </c>
    </row>
    <row r="1262" spans="5:6" x14ac:dyDescent="0.3">
      <c r="E1262" t="str">
        <f>IFERROR(IF(D1262="","",VLOOKUP(D1262,CadProd!$A:$B,2,0)),"")</f>
        <v/>
      </c>
      <c r="F1262" t="str">
        <f>IFERROR(IF(D1262="","",VLOOKUP(D1262,CadProd!$A:$C,3,0)),"")</f>
        <v/>
      </c>
    </row>
    <row r="1263" spans="5:6" x14ac:dyDescent="0.3">
      <c r="E1263" t="str">
        <f>IFERROR(IF(D1263="","",VLOOKUP(D1263,CadProd!$A:$B,2,0)),"")</f>
        <v/>
      </c>
      <c r="F1263" t="str">
        <f>IFERROR(IF(D1263="","",VLOOKUP(D1263,CadProd!$A:$C,3,0)),"")</f>
        <v/>
      </c>
    </row>
    <row r="1264" spans="5:6" x14ac:dyDescent="0.3">
      <c r="E1264" t="str">
        <f>IFERROR(IF(D1264="","",VLOOKUP(D1264,CadProd!$A:$B,2,0)),"")</f>
        <v/>
      </c>
      <c r="F1264" t="str">
        <f>IFERROR(IF(D1264="","",VLOOKUP(D1264,CadProd!$A:$C,3,0)),"")</f>
        <v/>
      </c>
    </row>
    <row r="1265" spans="5:6" x14ac:dyDescent="0.3">
      <c r="E1265" t="str">
        <f>IFERROR(IF(D1265="","",VLOOKUP(D1265,CadProd!$A:$B,2,0)),"")</f>
        <v/>
      </c>
      <c r="F1265" t="str">
        <f>IFERROR(IF(D1265="","",VLOOKUP(D1265,CadProd!$A:$C,3,0)),"")</f>
        <v/>
      </c>
    </row>
    <row r="1266" spans="5:6" x14ac:dyDescent="0.3">
      <c r="E1266" t="str">
        <f>IFERROR(IF(D1266="","",VLOOKUP(D1266,CadProd!$A:$B,2,0)),"")</f>
        <v/>
      </c>
      <c r="F1266" t="str">
        <f>IFERROR(IF(D1266="","",VLOOKUP(D1266,CadProd!$A:$C,3,0)),"")</f>
        <v/>
      </c>
    </row>
    <row r="1267" spans="5:6" x14ac:dyDescent="0.3">
      <c r="E1267" t="str">
        <f>IFERROR(IF(D1267="","",VLOOKUP(D1267,CadProd!$A:$B,2,0)),"")</f>
        <v/>
      </c>
      <c r="F1267" t="str">
        <f>IFERROR(IF(D1267="","",VLOOKUP(D1267,CadProd!$A:$C,3,0)),"")</f>
        <v/>
      </c>
    </row>
    <row r="1268" spans="5:6" x14ac:dyDescent="0.3">
      <c r="E1268" t="str">
        <f>IFERROR(IF(D1268="","",VLOOKUP(D1268,CadProd!$A:$B,2,0)),"")</f>
        <v/>
      </c>
      <c r="F1268" t="str">
        <f>IFERROR(IF(D1268="","",VLOOKUP(D1268,CadProd!$A:$C,3,0)),"")</f>
        <v/>
      </c>
    </row>
    <row r="1269" spans="5:6" x14ac:dyDescent="0.3">
      <c r="E1269" t="str">
        <f>IFERROR(IF(D1269="","",VLOOKUP(D1269,CadProd!$A:$B,2,0)),"")</f>
        <v/>
      </c>
      <c r="F1269" t="str">
        <f>IFERROR(IF(D1269="","",VLOOKUP(D1269,CadProd!$A:$C,3,0)),"")</f>
        <v/>
      </c>
    </row>
    <row r="1270" spans="5:6" x14ac:dyDescent="0.3">
      <c r="E1270" t="str">
        <f>IFERROR(IF(D1270="","",VLOOKUP(D1270,CadProd!$A:$B,2,0)),"")</f>
        <v/>
      </c>
      <c r="F1270" t="str">
        <f>IFERROR(IF(D1270="","",VLOOKUP(D1270,CadProd!$A:$C,3,0)),"")</f>
        <v/>
      </c>
    </row>
    <row r="1271" spans="5:6" x14ac:dyDescent="0.3">
      <c r="E1271" t="str">
        <f>IFERROR(IF(D1271="","",VLOOKUP(D1271,CadProd!$A:$B,2,0)),"")</f>
        <v/>
      </c>
      <c r="F1271" t="str">
        <f>IFERROR(IF(D1271="","",VLOOKUP(D1271,CadProd!$A:$C,3,0)),"")</f>
        <v/>
      </c>
    </row>
    <row r="1272" spans="5:6" x14ac:dyDescent="0.3">
      <c r="E1272" t="str">
        <f>IFERROR(IF(D1272="","",VLOOKUP(D1272,CadProd!$A:$B,2,0)),"")</f>
        <v/>
      </c>
      <c r="F1272" t="str">
        <f>IFERROR(IF(D1272="","",VLOOKUP(D1272,CadProd!$A:$C,3,0)),"")</f>
        <v/>
      </c>
    </row>
    <row r="1273" spans="5:6" x14ac:dyDescent="0.3">
      <c r="E1273" t="str">
        <f>IFERROR(IF(D1273="","",VLOOKUP(D1273,CadProd!$A:$B,2,0)),"")</f>
        <v/>
      </c>
      <c r="F1273" t="str">
        <f>IFERROR(IF(D1273="","",VLOOKUP(D1273,CadProd!$A:$C,3,0)),"")</f>
        <v/>
      </c>
    </row>
    <row r="1274" spans="5:6" x14ac:dyDescent="0.3">
      <c r="E1274" t="str">
        <f>IFERROR(IF(D1274="","",VLOOKUP(D1274,CadProd!$A:$B,2,0)),"")</f>
        <v/>
      </c>
      <c r="F1274" t="str">
        <f>IFERROR(IF(D1274="","",VLOOKUP(D1274,CadProd!$A:$C,3,0)),"")</f>
        <v/>
      </c>
    </row>
    <row r="1275" spans="5:6" x14ac:dyDescent="0.3">
      <c r="E1275" t="str">
        <f>IFERROR(IF(D1275="","",VLOOKUP(D1275,CadProd!$A:$B,2,0)),"")</f>
        <v/>
      </c>
      <c r="F1275" t="str">
        <f>IFERROR(IF(D1275="","",VLOOKUP(D1275,CadProd!$A:$C,3,0)),"")</f>
        <v/>
      </c>
    </row>
    <row r="1276" spans="5:6" x14ac:dyDescent="0.3">
      <c r="E1276" t="str">
        <f>IFERROR(IF(D1276="","",VLOOKUP(D1276,CadProd!$A:$B,2,0)),"")</f>
        <v/>
      </c>
      <c r="F1276" t="str">
        <f>IFERROR(IF(D1276="","",VLOOKUP(D1276,CadProd!$A:$C,3,0)),"")</f>
        <v/>
      </c>
    </row>
    <row r="1277" spans="5:6" x14ac:dyDescent="0.3">
      <c r="E1277" t="str">
        <f>IFERROR(IF(D1277="","",VLOOKUP(D1277,CadProd!$A:$B,2,0)),"")</f>
        <v/>
      </c>
      <c r="F1277" t="str">
        <f>IFERROR(IF(D1277="","",VLOOKUP(D1277,CadProd!$A:$C,3,0)),"")</f>
        <v/>
      </c>
    </row>
    <row r="1278" spans="5:6" x14ac:dyDescent="0.3">
      <c r="E1278" t="str">
        <f>IFERROR(IF(D1278="","",VLOOKUP(D1278,CadProd!$A:$B,2,0)),"")</f>
        <v/>
      </c>
      <c r="F1278" t="str">
        <f>IFERROR(IF(D1278="","",VLOOKUP(D1278,CadProd!$A:$C,3,0)),"")</f>
        <v/>
      </c>
    </row>
    <row r="1279" spans="5:6" x14ac:dyDescent="0.3">
      <c r="E1279" t="str">
        <f>IFERROR(IF(D1279="","",VLOOKUP(D1279,CadProd!$A:$B,2,0)),"")</f>
        <v/>
      </c>
      <c r="F1279" t="str">
        <f>IFERROR(IF(D1279="","",VLOOKUP(D1279,CadProd!$A:$C,3,0)),"")</f>
        <v/>
      </c>
    </row>
    <row r="1280" spans="5:6" x14ac:dyDescent="0.3">
      <c r="E1280" t="str">
        <f>IFERROR(IF(D1280="","",VLOOKUP(D1280,CadProd!$A:$B,2,0)),"")</f>
        <v/>
      </c>
      <c r="F1280" t="str">
        <f>IFERROR(IF(D1280="","",VLOOKUP(D1280,CadProd!$A:$C,3,0)),"")</f>
        <v/>
      </c>
    </row>
    <row r="1281" spans="5:6" x14ac:dyDescent="0.3">
      <c r="E1281" t="str">
        <f>IFERROR(IF(D1281="","",VLOOKUP(D1281,CadProd!$A:$B,2,0)),"")</f>
        <v/>
      </c>
      <c r="F1281" t="str">
        <f>IFERROR(IF(D1281="","",VLOOKUP(D1281,CadProd!$A:$C,3,0)),"")</f>
        <v/>
      </c>
    </row>
    <row r="1282" spans="5:6" x14ac:dyDescent="0.3">
      <c r="E1282" t="str">
        <f>IFERROR(IF(D1282="","",VLOOKUP(D1282,CadProd!$A:$B,2,0)),"")</f>
        <v/>
      </c>
      <c r="F1282" t="str">
        <f>IFERROR(IF(D1282="","",VLOOKUP(D1282,CadProd!$A:$C,3,0)),"")</f>
        <v/>
      </c>
    </row>
    <row r="1283" spans="5:6" x14ac:dyDescent="0.3">
      <c r="E1283" t="str">
        <f>IFERROR(IF(D1283="","",VLOOKUP(D1283,CadProd!$A:$B,2,0)),"")</f>
        <v/>
      </c>
      <c r="F1283" t="str">
        <f>IFERROR(IF(D1283="","",VLOOKUP(D1283,CadProd!$A:$C,3,0)),"")</f>
        <v/>
      </c>
    </row>
    <row r="1284" spans="5:6" x14ac:dyDescent="0.3">
      <c r="E1284" t="str">
        <f>IFERROR(IF(D1284="","",VLOOKUP(D1284,CadProd!$A:$B,2,0)),"")</f>
        <v/>
      </c>
      <c r="F1284" t="str">
        <f>IFERROR(IF(D1284="","",VLOOKUP(D1284,CadProd!$A:$C,3,0)),"")</f>
        <v/>
      </c>
    </row>
    <row r="1285" spans="5:6" x14ac:dyDescent="0.3">
      <c r="E1285" t="str">
        <f>IFERROR(IF(D1285="","",VLOOKUP(D1285,CadProd!$A:$B,2,0)),"")</f>
        <v/>
      </c>
      <c r="F1285" t="str">
        <f>IFERROR(IF(D1285="","",VLOOKUP(D1285,CadProd!$A:$C,3,0)),"")</f>
        <v/>
      </c>
    </row>
    <row r="1286" spans="5:6" x14ac:dyDescent="0.3">
      <c r="E1286" t="str">
        <f>IFERROR(IF(D1286="","",VLOOKUP(D1286,CadProd!$A:$B,2,0)),"")</f>
        <v/>
      </c>
      <c r="F1286" t="str">
        <f>IFERROR(IF(D1286="","",VLOOKUP(D1286,CadProd!$A:$C,3,0)),"")</f>
        <v/>
      </c>
    </row>
    <row r="1287" spans="5:6" x14ac:dyDescent="0.3">
      <c r="E1287" t="str">
        <f>IFERROR(IF(D1287="","",VLOOKUP(D1287,CadProd!$A:$B,2,0)),"")</f>
        <v/>
      </c>
      <c r="F1287" t="str">
        <f>IFERROR(IF(D1287="","",VLOOKUP(D1287,CadProd!$A:$C,3,0)),"")</f>
        <v/>
      </c>
    </row>
    <row r="1288" spans="5:6" x14ac:dyDescent="0.3">
      <c r="E1288" t="str">
        <f>IFERROR(IF(D1288="","",VLOOKUP(D1288,CadProd!$A:$B,2,0)),"")</f>
        <v/>
      </c>
      <c r="F1288" t="str">
        <f>IFERROR(IF(D1288="","",VLOOKUP(D1288,CadProd!$A:$C,3,0)),"")</f>
        <v/>
      </c>
    </row>
    <row r="1289" spans="5:6" x14ac:dyDescent="0.3">
      <c r="E1289" t="str">
        <f>IFERROR(IF(D1289="","",VLOOKUP(D1289,CadProd!$A:$B,2,0)),"")</f>
        <v/>
      </c>
      <c r="F1289" t="str">
        <f>IFERROR(IF(D1289="","",VLOOKUP(D1289,CadProd!$A:$C,3,0)),"")</f>
        <v/>
      </c>
    </row>
    <row r="1290" spans="5:6" x14ac:dyDescent="0.3">
      <c r="E1290" t="str">
        <f>IFERROR(IF(D1290="","",VLOOKUP(D1290,CadProd!$A:$B,2,0)),"")</f>
        <v/>
      </c>
      <c r="F1290" t="str">
        <f>IFERROR(IF(D1290="","",VLOOKUP(D1290,CadProd!$A:$C,3,0)),"")</f>
        <v/>
      </c>
    </row>
    <row r="1291" spans="5:6" x14ac:dyDescent="0.3">
      <c r="E1291" t="str">
        <f>IFERROR(IF(D1291="","",VLOOKUP(D1291,CadProd!$A:$B,2,0)),"")</f>
        <v/>
      </c>
      <c r="F1291" t="str">
        <f>IFERROR(IF(D1291="","",VLOOKUP(D1291,CadProd!$A:$C,3,0)),"")</f>
        <v/>
      </c>
    </row>
    <row r="1292" spans="5:6" x14ac:dyDescent="0.3">
      <c r="E1292" t="str">
        <f>IFERROR(IF(D1292="","",VLOOKUP(D1292,CadProd!$A:$B,2,0)),"")</f>
        <v/>
      </c>
      <c r="F1292" t="str">
        <f>IFERROR(IF(D1292="","",VLOOKUP(D1292,CadProd!$A:$C,3,0)),"")</f>
        <v/>
      </c>
    </row>
    <row r="1293" spans="5:6" x14ac:dyDescent="0.3">
      <c r="E1293" t="str">
        <f>IFERROR(IF(D1293="","",VLOOKUP(D1293,CadProd!$A:$B,2,0)),"")</f>
        <v/>
      </c>
      <c r="F1293" t="str">
        <f>IFERROR(IF(D1293="","",VLOOKUP(D1293,CadProd!$A:$C,3,0)),"")</f>
        <v/>
      </c>
    </row>
    <row r="1294" spans="5:6" x14ac:dyDescent="0.3">
      <c r="E1294" t="str">
        <f>IFERROR(IF(D1294="","",VLOOKUP(D1294,CadProd!$A:$B,2,0)),"")</f>
        <v/>
      </c>
      <c r="F1294" t="str">
        <f>IFERROR(IF(D1294="","",VLOOKUP(D1294,CadProd!$A:$C,3,0)),"")</f>
        <v/>
      </c>
    </row>
    <row r="1295" spans="5:6" x14ac:dyDescent="0.3">
      <c r="E1295" t="str">
        <f>IFERROR(IF(D1295="","",VLOOKUP(D1295,CadProd!$A:$B,2,0)),"")</f>
        <v/>
      </c>
      <c r="F1295" t="str">
        <f>IFERROR(IF(D1295="","",VLOOKUP(D1295,CadProd!$A:$C,3,0)),"")</f>
        <v/>
      </c>
    </row>
    <row r="1296" spans="5:6" x14ac:dyDescent="0.3">
      <c r="E1296" t="str">
        <f>IFERROR(IF(D1296="","",VLOOKUP(D1296,CadProd!$A:$B,2,0)),"")</f>
        <v/>
      </c>
      <c r="F1296" t="str">
        <f>IFERROR(IF(D1296="","",VLOOKUP(D1296,CadProd!$A:$C,3,0)),"")</f>
        <v/>
      </c>
    </row>
    <row r="1297" spans="5:6" x14ac:dyDescent="0.3">
      <c r="E1297" t="str">
        <f>IFERROR(IF(D1297="","",VLOOKUP(D1297,CadProd!$A:$B,2,0)),"")</f>
        <v/>
      </c>
      <c r="F1297" t="str">
        <f>IFERROR(IF(D1297="","",VLOOKUP(D1297,CadProd!$A:$C,3,0)),"")</f>
        <v/>
      </c>
    </row>
    <row r="1298" spans="5:6" x14ac:dyDescent="0.3">
      <c r="E1298" t="str">
        <f>IFERROR(IF(D1298="","",VLOOKUP(D1298,CadProd!$A:$B,2,0)),"")</f>
        <v/>
      </c>
      <c r="F1298" t="str">
        <f>IFERROR(IF(D1298="","",VLOOKUP(D1298,CadProd!$A:$C,3,0)),"")</f>
        <v/>
      </c>
    </row>
    <row r="1299" spans="5:6" x14ac:dyDescent="0.3">
      <c r="E1299" t="str">
        <f>IFERROR(IF(D1299="","",VLOOKUP(D1299,CadProd!$A:$B,2,0)),"")</f>
        <v/>
      </c>
      <c r="F1299" t="str">
        <f>IFERROR(IF(D1299="","",VLOOKUP(D1299,CadProd!$A:$C,3,0)),"")</f>
        <v/>
      </c>
    </row>
    <row r="1300" spans="5:6" x14ac:dyDescent="0.3">
      <c r="E1300" t="str">
        <f>IFERROR(IF(D1300="","",VLOOKUP(D1300,CadProd!$A:$B,2,0)),"")</f>
        <v/>
      </c>
      <c r="F1300" t="str">
        <f>IFERROR(IF(D1300="","",VLOOKUP(D1300,CadProd!$A:$C,3,0)),"")</f>
        <v/>
      </c>
    </row>
    <row r="1301" spans="5:6" x14ac:dyDescent="0.3">
      <c r="E1301" t="str">
        <f>IFERROR(IF(D1301="","",VLOOKUP(D1301,CadProd!$A:$B,2,0)),"")</f>
        <v/>
      </c>
      <c r="F1301" t="str">
        <f>IFERROR(IF(D1301="","",VLOOKUP(D1301,CadProd!$A:$C,3,0)),"")</f>
        <v/>
      </c>
    </row>
    <row r="1302" spans="5:6" x14ac:dyDescent="0.3">
      <c r="E1302" t="str">
        <f>IFERROR(IF(D1302="","",VLOOKUP(D1302,CadProd!$A:$B,2,0)),"")</f>
        <v/>
      </c>
      <c r="F1302" t="str">
        <f>IFERROR(IF(D1302="","",VLOOKUP(D1302,CadProd!$A:$C,3,0)),"")</f>
        <v/>
      </c>
    </row>
    <row r="1303" spans="5:6" x14ac:dyDescent="0.3">
      <c r="E1303" t="str">
        <f>IFERROR(IF(D1303="","",VLOOKUP(D1303,CadProd!$A:$B,2,0)),"")</f>
        <v/>
      </c>
      <c r="F1303" t="str">
        <f>IFERROR(IF(D1303="","",VLOOKUP(D1303,CadProd!$A:$C,3,0)),"")</f>
        <v/>
      </c>
    </row>
    <row r="1304" spans="5:6" x14ac:dyDescent="0.3">
      <c r="E1304" t="str">
        <f>IFERROR(IF(D1304="","",VLOOKUP(D1304,CadProd!$A:$B,2,0)),"")</f>
        <v/>
      </c>
      <c r="F1304" t="str">
        <f>IFERROR(IF(D1304="","",VLOOKUP(D1304,CadProd!$A:$C,3,0)),"")</f>
        <v/>
      </c>
    </row>
    <row r="1305" spans="5:6" x14ac:dyDescent="0.3">
      <c r="E1305" t="str">
        <f>IFERROR(IF(D1305="","",VLOOKUP(D1305,CadProd!$A:$B,2,0)),"")</f>
        <v/>
      </c>
      <c r="F1305" t="str">
        <f>IFERROR(IF(D1305="","",VLOOKUP(D1305,CadProd!$A:$C,3,0)),"")</f>
        <v/>
      </c>
    </row>
    <row r="1306" spans="5:6" x14ac:dyDescent="0.3">
      <c r="E1306" t="str">
        <f>IFERROR(IF(D1306="","",VLOOKUP(D1306,CadProd!$A:$B,2,0)),"")</f>
        <v/>
      </c>
      <c r="F1306" t="str">
        <f>IFERROR(IF(D1306="","",VLOOKUP(D1306,CadProd!$A:$C,3,0)),"")</f>
        <v/>
      </c>
    </row>
    <row r="1307" spans="5:6" x14ac:dyDescent="0.3">
      <c r="E1307" t="str">
        <f>IFERROR(IF(D1307="","",VLOOKUP(D1307,CadProd!$A:$B,2,0)),"")</f>
        <v/>
      </c>
      <c r="F1307" t="str">
        <f>IFERROR(IF(D1307="","",VLOOKUP(D1307,CadProd!$A:$C,3,0)),"")</f>
        <v/>
      </c>
    </row>
    <row r="1308" spans="5:6" x14ac:dyDescent="0.3">
      <c r="E1308" t="str">
        <f>IFERROR(IF(D1308="","",VLOOKUP(D1308,CadProd!$A:$B,2,0)),"")</f>
        <v/>
      </c>
      <c r="F1308" t="str">
        <f>IFERROR(IF(D1308="","",VLOOKUP(D1308,CadProd!$A:$C,3,0)),"")</f>
        <v/>
      </c>
    </row>
    <row r="1309" spans="5:6" x14ac:dyDescent="0.3">
      <c r="E1309" t="str">
        <f>IFERROR(IF(D1309="","",VLOOKUP(D1309,CadProd!$A:$B,2,0)),"")</f>
        <v/>
      </c>
      <c r="F1309" t="str">
        <f>IFERROR(IF(D1309="","",VLOOKUP(D1309,CadProd!$A:$C,3,0)),"")</f>
        <v/>
      </c>
    </row>
    <row r="1310" spans="5:6" x14ac:dyDescent="0.3">
      <c r="E1310" t="str">
        <f>IFERROR(IF(D1310="","",VLOOKUP(D1310,CadProd!$A:$B,2,0)),"")</f>
        <v/>
      </c>
      <c r="F1310" t="str">
        <f>IFERROR(IF(D1310="","",VLOOKUP(D1310,CadProd!$A:$C,3,0)),"")</f>
        <v/>
      </c>
    </row>
    <row r="1311" spans="5:6" x14ac:dyDescent="0.3">
      <c r="E1311" t="str">
        <f>IFERROR(IF(D1311="","",VLOOKUP(D1311,CadProd!$A:$B,2,0)),"")</f>
        <v/>
      </c>
      <c r="F1311" t="str">
        <f>IFERROR(IF(D1311="","",VLOOKUP(D1311,CadProd!$A:$C,3,0)),"")</f>
        <v/>
      </c>
    </row>
    <row r="1312" spans="5:6" x14ac:dyDescent="0.3">
      <c r="E1312" t="str">
        <f>IFERROR(IF(D1312="","",VLOOKUP(D1312,CadProd!$A:$B,2,0)),"")</f>
        <v/>
      </c>
      <c r="F1312" t="str">
        <f>IFERROR(IF(D1312="","",VLOOKUP(D1312,CadProd!$A:$C,3,0)),"")</f>
        <v/>
      </c>
    </row>
    <row r="1313" spans="5:6" x14ac:dyDescent="0.3">
      <c r="E1313" t="str">
        <f>IFERROR(IF(D1313="","",VLOOKUP(D1313,CadProd!$A:$B,2,0)),"")</f>
        <v/>
      </c>
      <c r="F1313" t="str">
        <f>IFERROR(IF(D1313="","",VLOOKUP(D1313,CadProd!$A:$C,3,0)),"")</f>
        <v/>
      </c>
    </row>
    <row r="1314" spans="5:6" x14ac:dyDescent="0.3">
      <c r="E1314" t="str">
        <f>IFERROR(IF(D1314="","",VLOOKUP(D1314,CadProd!$A:$B,2,0)),"")</f>
        <v/>
      </c>
      <c r="F1314" t="str">
        <f>IFERROR(IF(D1314="","",VLOOKUP(D1314,CadProd!$A:$C,3,0)),"")</f>
        <v/>
      </c>
    </row>
    <row r="1315" spans="5:6" x14ac:dyDescent="0.3">
      <c r="E1315" t="str">
        <f>IFERROR(IF(D1315="","",VLOOKUP(D1315,CadProd!$A:$B,2,0)),"")</f>
        <v/>
      </c>
      <c r="F1315" t="str">
        <f>IFERROR(IF(D1315="","",VLOOKUP(D1315,CadProd!$A:$C,3,0)),"")</f>
        <v/>
      </c>
    </row>
    <row r="1316" spans="5:6" x14ac:dyDescent="0.3">
      <c r="E1316" t="str">
        <f>IFERROR(IF(D1316="","",VLOOKUP(D1316,CadProd!$A:$B,2,0)),"")</f>
        <v/>
      </c>
      <c r="F1316" t="str">
        <f>IFERROR(IF(D1316="","",VLOOKUP(D1316,CadProd!$A:$C,3,0)),"")</f>
        <v/>
      </c>
    </row>
    <row r="1317" spans="5:6" x14ac:dyDescent="0.3">
      <c r="E1317" t="str">
        <f>IFERROR(IF(D1317="","",VLOOKUP(D1317,CadProd!$A:$B,2,0)),"")</f>
        <v/>
      </c>
      <c r="F1317" t="str">
        <f>IFERROR(IF(D1317="","",VLOOKUP(D1317,CadProd!$A:$C,3,0)),"")</f>
        <v/>
      </c>
    </row>
    <row r="1318" spans="5:6" x14ac:dyDescent="0.3">
      <c r="E1318" t="str">
        <f>IFERROR(IF(D1318="","",VLOOKUP(D1318,CadProd!$A:$B,2,0)),"")</f>
        <v/>
      </c>
      <c r="F1318" t="str">
        <f>IFERROR(IF(D1318="","",VLOOKUP(D1318,CadProd!$A:$C,3,0)),"")</f>
        <v/>
      </c>
    </row>
    <row r="1319" spans="5:6" x14ac:dyDescent="0.3">
      <c r="E1319" t="str">
        <f>IFERROR(IF(D1319="","",VLOOKUP(D1319,CadProd!$A:$B,2,0)),"")</f>
        <v/>
      </c>
      <c r="F1319" t="str">
        <f>IFERROR(IF(D1319="","",VLOOKUP(D1319,CadProd!$A:$C,3,0)),"")</f>
        <v/>
      </c>
    </row>
    <row r="1320" spans="5:6" x14ac:dyDescent="0.3">
      <c r="E1320" t="str">
        <f>IFERROR(IF(D1320="","",VLOOKUP(D1320,CadProd!$A:$B,2,0)),"")</f>
        <v/>
      </c>
      <c r="F1320" t="str">
        <f>IFERROR(IF(D1320="","",VLOOKUP(D1320,CadProd!$A:$C,3,0)),"")</f>
        <v/>
      </c>
    </row>
    <row r="1321" spans="5:6" x14ac:dyDescent="0.3">
      <c r="E1321" t="str">
        <f>IFERROR(IF(D1321="","",VLOOKUP(D1321,CadProd!$A:$B,2,0)),"")</f>
        <v/>
      </c>
      <c r="F1321" t="str">
        <f>IFERROR(IF(D1321="","",VLOOKUP(D1321,CadProd!$A:$C,3,0)),"")</f>
        <v/>
      </c>
    </row>
    <row r="1322" spans="5:6" x14ac:dyDescent="0.3">
      <c r="E1322" t="str">
        <f>IFERROR(IF(D1322="","",VLOOKUP(D1322,CadProd!$A:$B,2,0)),"")</f>
        <v/>
      </c>
      <c r="F1322" t="str">
        <f>IFERROR(IF(D1322="","",VLOOKUP(D1322,CadProd!$A:$C,3,0)),"")</f>
        <v/>
      </c>
    </row>
    <row r="1323" spans="5:6" x14ac:dyDescent="0.3">
      <c r="E1323" t="str">
        <f>IFERROR(IF(D1323="","",VLOOKUP(D1323,CadProd!$A:$B,2,0)),"")</f>
        <v/>
      </c>
      <c r="F1323" t="str">
        <f>IFERROR(IF(D1323="","",VLOOKUP(D1323,CadProd!$A:$C,3,0)),"")</f>
        <v/>
      </c>
    </row>
    <row r="1324" spans="5:6" x14ac:dyDescent="0.3">
      <c r="E1324" t="str">
        <f>IFERROR(IF(D1324="","",VLOOKUP(D1324,CadProd!$A:$B,2,0)),"")</f>
        <v/>
      </c>
      <c r="F1324" t="str">
        <f>IFERROR(IF(D1324="","",VLOOKUP(D1324,CadProd!$A:$C,3,0)),"")</f>
        <v/>
      </c>
    </row>
    <row r="1325" spans="5:6" x14ac:dyDescent="0.3">
      <c r="E1325" t="str">
        <f>IFERROR(IF(D1325="","",VLOOKUP(D1325,CadProd!$A:$B,2,0)),"")</f>
        <v/>
      </c>
      <c r="F1325" t="str">
        <f>IFERROR(IF(D1325="","",VLOOKUP(D1325,CadProd!$A:$C,3,0)),"")</f>
        <v/>
      </c>
    </row>
    <row r="1326" spans="5:6" x14ac:dyDescent="0.3">
      <c r="E1326" t="str">
        <f>IFERROR(IF(D1326="","",VLOOKUP(D1326,CadProd!$A:$B,2,0)),"")</f>
        <v/>
      </c>
      <c r="F1326" t="str">
        <f>IFERROR(IF(D1326="","",VLOOKUP(D1326,CadProd!$A:$C,3,0)),"")</f>
        <v/>
      </c>
    </row>
    <row r="1327" spans="5:6" x14ac:dyDescent="0.3">
      <c r="E1327" t="str">
        <f>IFERROR(IF(D1327="","",VLOOKUP(D1327,CadProd!$A:$B,2,0)),"")</f>
        <v/>
      </c>
      <c r="F1327" t="str">
        <f>IFERROR(IF(D1327="","",VLOOKUP(D1327,CadProd!$A:$C,3,0)),"")</f>
        <v/>
      </c>
    </row>
    <row r="1328" spans="5:6" x14ac:dyDescent="0.3">
      <c r="E1328" t="str">
        <f>IFERROR(IF(D1328="","",VLOOKUP(D1328,CadProd!$A:$B,2,0)),"")</f>
        <v/>
      </c>
      <c r="F1328" t="str">
        <f>IFERROR(IF(D1328="","",VLOOKUP(D1328,CadProd!$A:$C,3,0)),"")</f>
        <v/>
      </c>
    </row>
    <row r="1329" spans="5:6" x14ac:dyDescent="0.3">
      <c r="E1329" t="str">
        <f>IFERROR(IF(D1329="","",VLOOKUP(D1329,CadProd!$A:$B,2,0)),"")</f>
        <v/>
      </c>
      <c r="F1329" t="str">
        <f>IFERROR(IF(D1329="","",VLOOKUP(D1329,CadProd!$A:$C,3,0)),"")</f>
        <v/>
      </c>
    </row>
    <row r="1330" spans="5:6" x14ac:dyDescent="0.3">
      <c r="E1330" t="str">
        <f>IFERROR(IF(D1330="","",VLOOKUP(D1330,CadProd!$A:$B,2,0)),"")</f>
        <v/>
      </c>
      <c r="F1330" t="str">
        <f>IFERROR(IF(D1330="","",VLOOKUP(D1330,CadProd!$A:$C,3,0)),"")</f>
        <v/>
      </c>
    </row>
    <row r="1331" spans="5:6" x14ac:dyDescent="0.3">
      <c r="E1331" t="str">
        <f>IFERROR(IF(D1331="","",VLOOKUP(D1331,CadProd!$A:$B,2,0)),"")</f>
        <v/>
      </c>
      <c r="F1331" t="str">
        <f>IFERROR(IF(D1331="","",VLOOKUP(D1331,CadProd!$A:$C,3,0)),"")</f>
        <v/>
      </c>
    </row>
    <row r="1332" spans="5:6" x14ac:dyDescent="0.3">
      <c r="E1332" t="str">
        <f>IFERROR(IF(D1332="","",VLOOKUP(D1332,CadProd!$A:$B,2,0)),"")</f>
        <v/>
      </c>
      <c r="F1332" t="str">
        <f>IFERROR(IF(D1332="","",VLOOKUP(D1332,CadProd!$A:$C,3,0)),"")</f>
        <v/>
      </c>
    </row>
    <row r="1333" spans="5:6" x14ac:dyDescent="0.3">
      <c r="E1333" t="str">
        <f>IFERROR(IF(D1333="","",VLOOKUP(D1333,CadProd!$A:$B,2,0)),"")</f>
        <v/>
      </c>
      <c r="F1333" t="str">
        <f>IFERROR(IF(D1333="","",VLOOKUP(D1333,CadProd!$A:$C,3,0)),"")</f>
        <v/>
      </c>
    </row>
    <row r="1334" spans="5:6" x14ac:dyDescent="0.3">
      <c r="E1334" t="str">
        <f>IFERROR(IF(D1334="","",VLOOKUP(D1334,CadProd!$A:$B,2,0)),"")</f>
        <v/>
      </c>
      <c r="F1334" t="str">
        <f>IFERROR(IF(D1334="","",VLOOKUP(D1334,CadProd!$A:$C,3,0)),"")</f>
        <v/>
      </c>
    </row>
    <row r="1335" spans="5:6" x14ac:dyDescent="0.3">
      <c r="E1335" t="str">
        <f>IFERROR(IF(D1335="","",VLOOKUP(D1335,CadProd!$A:$B,2,0)),"")</f>
        <v/>
      </c>
      <c r="F1335" t="str">
        <f>IFERROR(IF(D1335="","",VLOOKUP(D1335,CadProd!$A:$C,3,0)),"")</f>
        <v/>
      </c>
    </row>
    <row r="1336" spans="5:6" x14ac:dyDescent="0.3">
      <c r="E1336" t="str">
        <f>IFERROR(IF(D1336="","",VLOOKUP(D1336,CadProd!$A:$B,2,0)),"")</f>
        <v/>
      </c>
      <c r="F1336" t="str">
        <f>IFERROR(IF(D1336="","",VLOOKUP(D1336,CadProd!$A:$C,3,0)),"")</f>
        <v/>
      </c>
    </row>
    <row r="1337" spans="5:6" x14ac:dyDescent="0.3">
      <c r="E1337" t="str">
        <f>IFERROR(IF(D1337="","",VLOOKUP(D1337,CadProd!$A:$B,2,0)),"")</f>
        <v/>
      </c>
      <c r="F1337" t="str">
        <f>IFERROR(IF(D1337="","",VLOOKUP(D1337,CadProd!$A:$C,3,0)),"")</f>
        <v/>
      </c>
    </row>
    <row r="1338" spans="5:6" x14ac:dyDescent="0.3">
      <c r="E1338" t="str">
        <f>IFERROR(IF(D1338="","",VLOOKUP(D1338,CadProd!$A:$B,2,0)),"")</f>
        <v/>
      </c>
      <c r="F1338" t="str">
        <f>IFERROR(IF(D1338="","",VLOOKUP(D1338,CadProd!$A:$C,3,0)),"")</f>
        <v/>
      </c>
    </row>
    <row r="1339" spans="5:6" x14ac:dyDescent="0.3">
      <c r="E1339" t="str">
        <f>IFERROR(IF(D1339="","",VLOOKUP(D1339,CadProd!$A:$B,2,0)),"")</f>
        <v/>
      </c>
      <c r="F1339" t="str">
        <f>IFERROR(IF(D1339="","",VLOOKUP(D1339,CadProd!$A:$C,3,0)),"")</f>
        <v/>
      </c>
    </row>
    <row r="1340" spans="5:6" x14ac:dyDescent="0.3">
      <c r="E1340" t="str">
        <f>IFERROR(IF(D1340="","",VLOOKUP(D1340,CadProd!$A:$B,2,0)),"")</f>
        <v/>
      </c>
      <c r="F1340" t="str">
        <f>IFERROR(IF(D1340="","",VLOOKUP(D1340,CadProd!$A:$C,3,0)),"")</f>
        <v/>
      </c>
    </row>
    <row r="1341" spans="5:6" x14ac:dyDescent="0.3">
      <c r="E1341" t="str">
        <f>IFERROR(IF(D1341="","",VLOOKUP(D1341,CadProd!$A:$B,2,0)),"")</f>
        <v/>
      </c>
      <c r="F1341" t="str">
        <f>IFERROR(IF(D1341="","",VLOOKUP(D1341,CadProd!$A:$C,3,0)),"")</f>
        <v/>
      </c>
    </row>
    <row r="1342" spans="5:6" x14ac:dyDescent="0.3">
      <c r="E1342" t="str">
        <f>IFERROR(IF(D1342="","",VLOOKUP(D1342,CadProd!$A:$B,2,0)),"")</f>
        <v/>
      </c>
      <c r="F1342" t="str">
        <f>IFERROR(IF(D1342="","",VLOOKUP(D1342,CadProd!$A:$C,3,0)),"")</f>
        <v/>
      </c>
    </row>
    <row r="1343" spans="5:6" x14ac:dyDescent="0.3">
      <c r="E1343" t="str">
        <f>IFERROR(IF(D1343="","",VLOOKUP(D1343,CadProd!$A:$B,2,0)),"")</f>
        <v/>
      </c>
      <c r="F1343" t="str">
        <f>IFERROR(IF(D1343="","",VLOOKUP(D1343,CadProd!$A:$C,3,0)),"")</f>
        <v/>
      </c>
    </row>
    <row r="1344" spans="5:6" x14ac:dyDescent="0.3">
      <c r="E1344" t="str">
        <f>IFERROR(IF(D1344="","",VLOOKUP(D1344,CadProd!$A:$B,2,0)),"")</f>
        <v/>
      </c>
      <c r="F1344" t="str">
        <f>IFERROR(IF(D1344="","",VLOOKUP(D1344,CadProd!$A:$C,3,0)),"")</f>
        <v/>
      </c>
    </row>
    <row r="1345" spans="5:6" x14ac:dyDescent="0.3">
      <c r="E1345" t="str">
        <f>IFERROR(IF(D1345="","",VLOOKUP(D1345,CadProd!$A:$B,2,0)),"")</f>
        <v/>
      </c>
      <c r="F1345" t="str">
        <f>IFERROR(IF(D1345="","",VLOOKUP(D1345,CadProd!$A:$C,3,0)),"")</f>
        <v/>
      </c>
    </row>
    <row r="1346" spans="5:6" x14ac:dyDescent="0.3">
      <c r="E1346" t="str">
        <f>IFERROR(IF(D1346="","",VLOOKUP(D1346,CadProd!$A:$B,2,0)),"")</f>
        <v/>
      </c>
      <c r="F1346" t="str">
        <f>IFERROR(IF(D1346="","",VLOOKUP(D1346,CadProd!$A:$C,3,0)),"")</f>
        <v/>
      </c>
    </row>
    <row r="1347" spans="5:6" x14ac:dyDescent="0.3">
      <c r="E1347" t="str">
        <f>IFERROR(IF(D1347="","",VLOOKUP(D1347,CadProd!$A:$B,2,0)),"")</f>
        <v/>
      </c>
      <c r="F1347" t="str">
        <f>IFERROR(IF(D1347="","",VLOOKUP(D1347,CadProd!$A:$C,3,0)),"")</f>
        <v/>
      </c>
    </row>
    <row r="1348" spans="5:6" x14ac:dyDescent="0.3">
      <c r="E1348" t="str">
        <f>IFERROR(IF(D1348="","",VLOOKUP(D1348,CadProd!$A:$B,2,0)),"")</f>
        <v/>
      </c>
      <c r="F1348" t="str">
        <f>IFERROR(IF(D1348="","",VLOOKUP(D1348,CadProd!$A:$C,3,0)),"")</f>
        <v/>
      </c>
    </row>
    <row r="1349" spans="5:6" x14ac:dyDescent="0.3">
      <c r="E1349" t="str">
        <f>IFERROR(IF(D1349="","",VLOOKUP(D1349,CadProd!$A:$B,2,0)),"")</f>
        <v/>
      </c>
      <c r="F1349" t="str">
        <f>IFERROR(IF(D1349="","",VLOOKUP(D1349,CadProd!$A:$C,3,0)),"")</f>
        <v/>
      </c>
    </row>
    <row r="1350" spans="5:6" x14ac:dyDescent="0.3">
      <c r="E1350" t="str">
        <f>IFERROR(IF(D1350="","",VLOOKUP(D1350,CadProd!$A:$B,2,0)),"")</f>
        <v/>
      </c>
      <c r="F1350" t="str">
        <f>IFERROR(IF(D1350="","",VLOOKUP(D1350,CadProd!$A:$C,3,0)),"")</f>
        <v/>
      </c>
    </row>
    <row r="1351" spans="5:6" x14ac:dyDescent="0.3">
      <c r="E1351" t="str">
        <f>IFERROR(IF(D1351="","",VLOOKUP(D1351,CadProd!$A:$B,2,0)),"")</f>
        <v/>
      </c>
      <c r="F1351" t="str">
        <f>IFERROR(IF(D1351="","",VLOOKUP(D1351,CadProd!$A:$C,3,0)),"")</f>
        <v/>
      </c>
    </row>
    <row r="1352" spans="5:6" x14ac:dyDescent="0.3">
      <c r="E1352" t="str">
        <f>IFERROR(IF(D1352="","",VLOOKUP(D1352,CadProd!$A:$B,2,0)),"")</f>
        <v/>
      </c>
      <c r="F1352" t="str">
        <f>IFERROR(IF(D1352="","",VLOOKUP(D1352,CadProd!$A:$C,3,0)),"")</f>
        <v/>
      </c>
    </row>
    <row r="1353" spans="5:6" x14ac:dyDescent="0.3">
      <c r="E1353" t="str">
        <f>IFERROR(IF(D1353="","",VLOOKUP(D1353,CadProd!$A:$B,2,0)),"")</f>
        <v/>
      </c>
      <c r="F1353" t="str">
        <f>IFERROR(IF(D1353="","",VLOOKUP(D1353,CadProd!$A:$C,3,0)),"")</f>
        <v/>
      </c>
    </row>
    <row r="1354" spans="5:6" x14ac:dyDescent="0.3">
      <c r="E1354" t="str">
        <f>IFERROR(IF(D1354="","",VLOOKUP(D1354,CadProd!$A:$B,2,0)),"")</f>
        <v/>
      </c>
      <c r="F1354" t="str">
        <f>IFERROR(IF(D1354="","",VLOOKUP(D1354,CadProd!$A:$C,3,0)),"")</f>
        <v/>
      </c>
    </row>
    <row r="1355" spans="5:6" x14ac:dyDescent="0.3">
      <c r="E1355" t="str">
        <f>IFERROR(IF(D1355="","",VLOOKUP(D1355,CadProd!$A:$B,2,0)),"")</f>
        <v/>
      </c>
      <c r="F1355" t="str">
        <f>IFERROR(IF(D1355="","",VLOOKUP(D1355,CadProd!$A:$C,3,0)),"")</f>
        <v/>
      </c>
    </row>
    <row r="1356" spans="5:6" x14ac:dyDescent="0.3">
      <c r="E1356" t="str">
        <f>IFERROR(IF(D1356="","",VLOOKUP(D1356,CadProd!$A:$B,2,0)),"")</f>
        <v/>
      </c>
      <c r="F1356" t="str">
        <f>IFERROR(IF(D1356="","",VLOOKUP(D1356,CadProd!$A:$C,3,0)),"")</f>
        <v/>
      </c>
    </row>
    <row r="1357" spans="5:6" x14ac:dyDescent="0.3">
      <c r="E1357" t="str">
        <f>IFERROR(IF(D1357="","",VLOOKUP(D1357,CadProd!$A:$B,2,0)),"")</f>
        <v/>
      </c>
      <c r="F1357" t="str">
        <f>IFERROR(IF(D1357="","",VLOOKUP(D1357,CadProd!$A:$C,3,0)),"")</f>
        <v/>
      </c>
    </row>
    <row r="1358" spans="5:6" x14ac:dyDescent="0.3">
      <c r="E1358" t="str">
        <f>IFERROR(IF(D1358="","",VLOOKUP(D1358,CadProd!$A:$B,2,0)),"")</f>
        <v/>
      </c>
      <c r="F1358" t="str">
        <f>IFERROR(IF(D1358="","",VLOOKUP(D1358,CadProd!$A:$C,3,0)),"")</f>
        <v/>
      </c>
    </row>
    <row r="1359" spans="5:6" x14ac:dyDescent="0.3">
      <c r="E1359" t="str">
        <f>IFERROR(IF(D1359="","",VLOOKUP(D1359,CadProd!$A:$B,2,0)),"")</f>
        <v/>
      </c>
      <c r="F1359" t="str">
        <f>IFERROR(IF(D1359="","",VLOOKUP(D1359,CadProd!$A:$C,3,0)),"")</f>
        <v/>
      </c>
    </row>
    <row r="1360" spans="5:6" x14ac:dyDescent="0.3">
      <c r="E1360" t="str">
        <f>IFERROR(IF(D1360="","",VLOOKUP(D1360,CadProd!$A:$B,2,0)),"")</f>
        <v/>
      </c>
      <c r="F1360" t="str">
        <f>IFERROR(IF(D1360="","",VLOOKUP(D1360,CadProd!$A:$C,3,0)),"")</f>
        <v/>
      </c>
    </row>
    <row r="1361" spans="5:6" x14ac:dyDescent="0.3">
      <c r="E1361" t="str">
        <f>IFERROR(IF(D1361="","",VLOOKUP(D1361,CadProd!$A:$B,2,0)),"")</f>
        <v/>
      </c>
      <c r="F1361" t="str">
        <f>IFERROR(IF(D1361="","",VLOOKUP(D1361,CadProd!$A:$C,3,0)),"")</f>
        <v/>
      </c>
    </row>
    <row r="1362" spans="5:6" x14ac:dyDescent="0.3">
      <c r="E1362" t="str">
        <f>IFERROR(IF(D1362="","",VLOOKUP(D1362,CadProd!$A:$B,2,0)),"")</f>
        <v/>
      </c>
      <c r="F1362" t="str">
        <f>IFERROR(IF(D1362="","",VLOOKUP(D1362,CadProd!$A:$C,3,0)),"")</f>
        <v/>
      </c>
    </row>
    <row r="1363" spans="5:6" x14ac:dyDescent="0.3">
      <c r="E1363" t="str">
        <f>IFERROR(IF(D1363="","",VLOOKUP(D1363,CadProd!$A:$B,2,0)),"")</f>
        <v/>
      </c>
      <c r="F1363" t="str">
        <f>IFERROR(IF(D1363="","",VLOOKUP(D1363,CadProd!$A:$C,3,0)),"")</f>
        <v/>
      </c>
    </row>
    <row r="1364" spans="5:6" x14ac:dyDescent="0.3">
      <c r="E1364" t="str">
        <f>IFERROR(IF(D1364="","",VLOOKUP(D1364,CadProd!$A:$B,2,0)),"")</f>
        <v/>
      </c>
      <c r="F1364" t="str">
        <f>IFERROR(IF(D1364="","",VLOOKUP(D1364,CadProd!$A:$C,3,0)),"")</f>
        <v/>
      </c>
    </row>
    <row r="1365" spans="5:6" x14ac:dyDescent="0.3">
      <c r="E1365" t="str">
        <f>IFERROR(IF(D1365="","",VLOOKUP(D1365,CadProd!$A:$B,2,0)),"")</f>
        <v/>
      </c>
      <c r="F1365" t="str">
        <f>IFERROR(IF(D1365="","",VLOOKUP(D1365,CadProd!$A:$C,3,0)),"")</f>
        <v/>
      </c>
    </row>
    <row r="1366" spans="5:6" x14ac:dyDescent="0.3">
      <c r="E1366" t="str">
        <f>IFERROR(IF(D1366="","",VLOOKUP(D1366,CadProd!$A:$B,2,0)),"")</f>
        <v/>
      </c>
      <c r="F1366" t="str">
        <f>IFERROR(IF(D1366="","",VLOOKUP(D1366,CadProd!$A:$C,3,0)),"")</f>
        <v/>
      </c>
    </row>
    <row r="1367" spans="5:6" x14ac:dyDescent="0.3">
      <c r="E1367" t="str">
        <f>IFERROR(IF(D1367="","",VLOOKUP(D1367,CadProd!$A:$B,2,0)),"")</f>
        <v/>
      </c>
      <c r="F1367" t="str">
        <f>IFERROR(IF(D1367="","",VLOOKUP(D1367,CadProd!$A:$C,3,0)),"")</f>
        <v/>
      </c>
    </row>
    <row r="1368" spans="5:6" x14ac:dyDescent="0.3">
      <c r="E1368" t="str">
        <f>IFERROR(IF(D1368="","",VLOOKUP(D1368,CadProd!$A:$B,2,0)),"")</f>
        <v/>
      </c>
      <c r="F1368" t="str">
        <f>IFERROR(IF(D1368="","",VLOOKUP(D1368,CadProd!$A:$C,3,0)),"")</f>
        <v/>
      </c>
    </row>
    <row r="1369" spans="5:6" x14ac:dyDescent="0.3">
      <c r="E1369" t="str">
        <f>IFERROR(IF(D1369="","",VLOOKUP(D1369,CadProd!$A:$B,2,0)),"")</f>
        <v/>
      </c>
      <c r="F1369" t="str">
        <f>IFERROR(IF(D1369="","",VLOOKUP(D1369,CadProd!$A:$C,3,0)),"")</f>
        <v/>
      </c>
    </row>
    <row r="1370" spans="5:6" x14ac:dyDescent="0.3">
      <c r="E1370" t="str">
        <f>IFERROR(IF(D1370="","",VLOOKUP(D1370,CadProd!$A:$B,2,0)),"")</f>
        <v/>
      </c>
      <c r="F1370" t="str">
        <f>IFERROR(IF(D1370="","",VLOOKUP(D1370,CadProd!$A:$C,3,0)),"")</f>
        <v/>
      </c>
    </row>
    <row r="1371" spans="5:6" x14ac:dyDescent="0.3">
      <c r="E1371" t="str">
        <f>IFERROR(IF(D1371="","",VLOOKUP(D1371,CadProd!$A:$B,2,0)),"")</f>
        <v/>
      </c>
      <c r="F1371" t="str">
        <f>IFERROR(IF(D1371="","",VLOOKUP(D1371,CadProd!$A:$C,3,0)),"")</f>
        <v/>
      </c>
    </row>
    <row r="1372" spans="5:6" x14ac:dyDescent="0.3">
      <c r="E1372" t="str">
        <f>IFERROR(IF(D1372="","",VLOOKUP(D1372,CadProd!$A:$B,2,0)),"")</f>
        <v/>
      </c>
      <c r="F1372" t="str">
        <f>IFERROR(IF(D1372="","",VLOOKUP(D1372,CadProd!$A:$C,3,0)),"")</f>
        <v/>
      </c>
    </row>
    <row r="1373" spans="5:6" x14ac:dyDescent="0.3">
      <c r="E1373" t="str">
        <f>IFERROR(IF(D1373="","",VLOOKUP(D1373,CadProd!$A:$B,2,0)),"")</f>
        <v/>
      </c>
      <c r="F1373" t="str">
        <f>IFERROR(IF(D1373="","",VLOOKUP(D1373,CadProd!$A:$C,3,0)),"")</f>
        <v/>
      </c>
    </row>
    <row r="1374" spans="5:6" x14ac:dyDescent="0.3">
      <c r="E1374" t="str">
        <f>IFERROR(IF(D1374="","",VLOOKUP(D1374,CadProd!$A:$B,2,0)),"")</f>
        <v/>
      </c>
      <c r="F1374" t="str">
        <f>IFERROR(IF(D1374="","",VLOOKUP(D1374,CadProd!$A:$C,3,0)),"")</f>
        <v/>
      </c>
    </row>
    <row r="1375" spans="5:6" x14ac:dyDescent="0.3">
      <c r="E1375" t="str">
        <f>IFERROR(IF(D1375="","",VLOOKUP(D1375,CadProd!$A:$B,2,0)),"")</f>
        <v/>
      </c>
      <c r="F1375" t="str">
        <f>IFERROR(IF(D1375="","",VLOOKUP(D1375,CadProd!$A:$C,3,0)),"")</f>
        <v/>
      </c>
    </row>
    <row r="1376" spans="5:6" x14ac:dyDescent="0.3">
      <c r="E1376" t="str">
        <f>IFERROR(IF(D1376="","",VLOOKUP(D1376,CadProd!$A:$B,2,0)),"")</f>
        <v/>
      </c>
      <c r="F1376" t="str">
        <f>IFERROR(IF(D1376="","",VLOOKUP(D1376,CadProd!$A:$C,3,0)),"")</f>
        <v/>
      </c>
    </row>
    <row r="1377" spans="5:6" x14ac:dyDescent="0.3">
      <c r="E1377" t="str">
        <f>IFERROR(IF(D1377="","",VLOOKUP(D1377,CadProd!$A:$B,2,0)),"")</f>
        <v/>
      </c>
      <c r="F1377" t="str">
        <f>IFERROR(IF(D1377="","",VLOOKUP(D1377,CadProd!$A:$C,3,0)),"")</f>
        <v/>
      </c>
    </row>
    <row r="1378" spans="5:6" x14ac:dyDescent="0.3">
      <c r="E1378" t="str">
        <f>IFERROR(IF(D1378="","",VLOOKUP(D1378,CadProd!$A:$B,2,0)),"")</f>
        <v/>
      </c>
      <c r="F1378" t="str">
        <f>IFERROR(IF(D1378="","",VLOOKUP(D1378,CadProd!$A:$C,3,0)),"")</f>
        <v/>
      </c>
    </row>
    <row r="1379" spans="5:6" x14ac:dyDescent="0.3">
      <c r="E1379" t="str">
        <f>IFERROR(IF(D1379="","",VLOOKUP(D1379,CadProd!$A:$B,2,0)),"")</f>
        <v/>
      </c>
      <c r="F1379" t="str">
        <f>IFERROR(IF(D1379="","",VLOOKUP(D1379,CadProd!$A:$C,3,0)),"")</f>
        <v/>
      </c>
    </row>
    <row r="1380" spans="5:6" x14ac:dyDescent="0.3">
      <c r="E1380" t="str">
        <f>IFERROR(IF(D1380="","",VLOOKUP(D1380,CadProd!$A:$B,2,0)),"")</f>
        <v/>
      </c>
      <c r="F1380" t="str">
        <f>IFERROR(IF(D1380="","",VLOOKUP(D1380,CadProd!$A:$C,3,0)),"")</f>
        <v/>
      </c>
    </row>
    <row r="1381" spans="5:6" x14ac:dyDescent="0.3">
      <c r="E1381" t="str">
        <f>IFERROR(IF(D1381="","",VLOOKUP(D1381,CadProd!$A:$B,2,0)),"")</f>
        <v/>
      </c>
      <c r="F1381" t="str">
        <f>IFERROR(IF(D1381="","",VLOOKUP(D1381,CadProd!$A:$C,3,0)),"")</f>
        <v/>
      </c>
    </row>
    <row r="1382" spans="5:6" x14ac:dyDescent="0.3">
      <c r="E1382" t="str">
        <f>IFERROR(IF(D1382="","",VLOOKUP(D1382,CadProd!$A:$B,2,0)),"")</f>
        <v/>
      </c>
      <c r="F1382" t="str">
        <f>IFERROR(IF(D1382="","",VLOOKUP(D1382,CadProd!$A:$C,3,0)),"")</f>
        <v/>
      </c>
    </row>
    <row r="1383" spans="5:6" x14ac:dyDescent="0.3">
      <c r="E1383" t="str">
        <f>IFERROR(IF(D1383="","",VLOOKUP(D1383,CadProd!$A:$B,2,0)),"")</f>
        <v/>
      </c>
      <c r="F1383" t="str">
        <f>IFERROR(IF(D1383="","",VLOOKUP(D1383,CadProd!$A:$C,3,0)),"")</f>
        <v/>
      </c>
    </row>
    <row r="1384" spans="5:6" x14ac:dyDescent="0.3">
      <c r="E1384" t="str">
        <f>IFERROR(IF(D1384="","",VLOOKUP(D1384,CadProd!$A:$B,2,0)),"")</f>
        <v/>
      </c>
      <c r="F1384" t="str">
        <f>IFERROR(IF(D1384="","",VLOOKUP(D1384,CadProd!$A:$C,3,0)),"")</f>
        <v/>
      </c>
    </row>
    <row r="1385" spans="5:6" x14ac:dyDescent="0.3">
      <c r="E1385" t="str">
        <f>IFERROR(IF(D1385="","",VLOOKUP(D1385,CadProd!$A:$B,2,0)),"")</f>
        <v/>
      </c>
      <c r="F1385" t="str">
        <f>IFERROR(IF(D1385="","",VLOOKUP(D1385,CadProd!$A:$C,3,0)),"")</f>
        <v/>
      </c>
    </row>
    <row r="1386" spans="5:6" x14ac:dyDescent="0.3">
      <c r="E1386" t="str">
        <f>IFERROR(IF(D1386="","",VLOOKUP(D1386,CadProd!$A:$B,2,0)),"")</f>
        <v/>
      </c>
      <c r="F1386" t="str">
        <f>IFERROR(IF(D1386="","",VLOOKUP(D1386,CadProd!$A:$C,3,0)),"")</f>
        <v/>
      </c>
    </row>
    <row r="1387" spans="5:6" x14ac:dyDescent="0.3">
      <c r="E1387" t="str">
        <f>IFERROR(IF(D1387="","",VLOOKUP(D1387,CadProd!$A:$B,2,0)),"")</f>
        <v/>
      </c>
      <c r="F1387" t="str">
        <f>IFERROR(IF(D1387="","",VLOOKUP(D1387,CadProd!$A:$C,3,0)),"")</f>
        <v/>
      </c>
    </row>
    <row r="1388" spans="5:6" x14ac:dyDescent="0.3">
      <c r="E1388" t="str">
        <f>IFERROR(IF(D1388="","",VLOOKUP(D1388,CadProd!$A:$B,2,0)),"")</f>
        <v/>
      </c>
      <c r="F1388" t="str">
        <f>IFERROR(IF(D1388="","",VLOOKUP(D1388,CadProd!$A:$C,3,0)),"")</f>
        <v/>
      </c>
    </row>
    <row r="1389" spans="5:6" x14ac:dyDescent="0.3">
      <c r="E1389" t="str">
        <f>IFERROR(IF(D1389="","",VLOOKUP(D1389,CadProd!$A:$B,2,0)),"")</f>
        <v/>
      </c>
      <c r="F1389" t="str">
        <f>IFERROR(IF(D1389="","",VLOOKUP(D1389,CadProd!$A:$C,3,0)),"")</f>
        <v/>
      </c>
    </row>
    <row r="1390" spans="5:6" x14ac:dyDescent="0.3">
      <c r="E1390" t="str">
        <f>IFERROR(IF(D1390="","",VLOOKUP(D1390,CadProd!$A:$B,2,0)),"")</f>
        <v/>
      </c>
      <c r="F1390" t="str">
        <f>IFERROR(IF(D1390="","",VLOOKUP(D1390,CadProd!$A:$C,3,0)),"")</f>
        <v/>
      </c>
    </row>
    <row r="1391" spans="5:6" x14ac:dyDescent="0.3">
      <c r="E1391" t="str">
        <f>IFERROR(IF(D1391="","",VLOOKUP(D1391,CadProd!$A:$B,2,0)),"")</f>
        <v/>
      </c>
      <c r="F1391" t="str">
        <f>IFERROR(IF(D1391="","",VLOOKUP(D1391,CadProd!$A:$C,3,0)),"")</f>
        <v/>
      </c>
    </row>
    <row r="1392" spans="5:6" x14ac:dyDescent="0.3">
      <c r="E1392" t="str">
        <f>IFERROR(IF(D1392="","",VLOOKUP(D1392,CadProd!$A:$B,2,0)),"")</f>
        <v/>
      </c>
      <c r="F1392" t="str">
        <f>IFERROR(IF(D1392="","",VLOOKUP(D1392,CadProd!$A:$C,3,0)),"")</f>
        <v/>
      </c>
    </row>
    <row r="1393" spans="5:6" x14ac:dyDescent="0.3">
      <c r="E1393" t="str">
        <f>IFERROR(IF(D1393="","",VLOOKUP(D1393,CadProd!$A:$B,2,0)),"")</f>
        <v/>
      </c>
      <c r="F1393" t="str">
        <f>IFERROR(IF(D1393="","",VLOOKUP(D1393,CadProd!$A:$C,3,0)),"")</f>
        <v/>
      </c>
    </row>
    <row r="1394" spans="5:6" x14ac:dyDescent="0.3">
      <c r="E1394" t="str">
        <f>IFERROR(IF(D1394="","",VLOOKUP(D1394,CadProd!$A:$B,2,0)),"")</f>
        <v/>
      </c>
      <c r="F1394" t="str">
        <f>IFERROR(IF(D1394="","",VLOOKUP(D1394,CadProd!$A:$C,3,0)),"")</f>
        <v/>
      </c>
    </row>
    <row r="1395" spans="5:6" x14ac:dyDescent="0.3">
      <c r="E1395" t="str">
        <f>IFERROR(IF(D1395="","",VLOOKUP(D1395,CadProd!$A:$B,2,0)),"")</f>
        <v/>
      </c>
      <c r="F1395" t="str">
        <f>IFERROR(IF(D1395="","",VLOOKUP(D1395,CadProd!$A:$C,3,0)),"")</f>
        <v/>
      </c>
    </row>
    <row r="1396" spans="5:6" x14ac:dyDescent="0.3">
      <c r="E1396" t="str">
        <f>IFERROR(IF(D1396="","",VLOOKUP(D1396,CadProd!$A:$B,2,0)),"")</f>
        <v/>
      </c>
      <c r="F1396" t="str">
        <f>IFERROR(IF(D1396="","",VLOOKUP(D1396,CadProd!$A:$C,3,0)),"")</f>
        <v/>
      </c>
    </row>
    <row r="1397" spans="5:6" x14ac:dyDescent="0.3">
      <c r="E1397" t="str">
        <f>IFERROR(IF(D1397="","",VLOOKUP(D1397,CadProd!$A:$B,2,0)),"")</f>
        <v/>
      </c>
      <c r="F1397" t="str">
        <f>IFERROR(IF(D1397="","",VLOOKUP(D1397,CadProd!$A:$C,3,0)),"")</f>
        <v/>
      </c>
    </row>
    <row r="1398" spans="5:6" x14ac:dyDescent="0.3">
      <c r="E1398" t="str">
        <f>IFERROR(IF(D1398="","",VLOOKUP(D1398,CadProd!$A:$B,2,0)),"")</f>
        <v/>
      </c>
      <c r="F1398" t="str">
        <f>IFERROR(IF(D1398="","",VLOOKUP(D1398,CadProd!$A:$C,3,0)),"")</f>
        <v/>
      </c>
    </row>
    <row r="1399" spans="5:6" x14ac:dyDescent="0.3">
      <c r="E1399" t="str">
        <f>IFERROR(IF(D1399="","",VLOOKUP(D1399,CadProd!$A:$B,2,0)),"")</f>
        <v/>
      </c>
      <c r="F1399" t="str">
        <f>IFERROR(IF(D1399="","",VLOOKUP(D1399,CadProd!$A:$C,3,0)),"")</f>
        <v/>
      </c>
    </row>
    <row r="1400" spans="5:6" x14ac:dyDescent="0.3">
      <c r="E1400" t="str">
        <f>IFERROR(IF(D1400="","",VLOOKUP(D1400,CadProd!$A:$B,2,0)),"")</f>
        <v/>
      </c>
      <c r="F1400" t="str">
        <f>IFERROR(IF(D1400="","",VLOOKUP(D1400,CadProd!$A:$C,3,0)),"")</f>
        <v/>
      </c>
    </row>
    <row r="1401" spans="5:6" x14ac:dyDescent="0.3">
      <c r="E1401" t="str">
        <f>IFERROR(IF(D1401="","",VLOOKUP(D1401,CadProd!$A:$B,2,0)),"")</f>
        <v/>
      </c>
      <c r="F1401" t="str">
        <f>IFERROR(IF(D1401="","",VLOOKUP(D1401,CadProd!$A:$C,3,0)),"")</f>
        <v/>
      </c>
    </row>
    <row r="1402" spans="5:6" x14ac:dyDescent="0.3">
      <c r="E1402" t="str">
        <f>IFERROR(IF(D1402="","",VLOOKUP(D1402,CadProd!$A:$B,2,0)),"")</f>
        <v/>
      </c>
      <c r="F1402" t="str">
        <f>IFERROR(IF(D1402="","",VLOOKUP(D1402,CadProd!$A:$C,3,0)),"")</f>
        <v/>
      </c>
    </row>
    <row r="1403" spans="5:6" x14ac:dyDescent="0.3">
      <c r="E1403" t="str">
        <f>IFERROR(IF(D1403="","",VLOOKUP(D1403,CadProd!$A:$B,2,0)),"")</f>
        <v/>
      </c>
      <c r="F1403" t="str">
        <f>IFERROR(IF(D1403="","",VLOOKUP(D1403,CadProd!$A:$C,3,0)),"")</f>
        <v/>
      </c>
    </row>
    <row r="1404" spans="5:6" x14ac:dyDescent="0.3">
      <c r="E1404" t="str">
        <f>IFERROR(IF(D1404="","",VLOOKUP(D1404,CadProd!$A:$B,2,0)),"")</f>
        <v/>
      </c>
      <c r="F1404" t="str">
        <f>IFERROR(IF(D1404="","",VLOOKUP(D1404,CadProd!$A:$C,3,0)),"")</f>
        <v/>
      </c>
    </row>
    <row r="1405" spans="5:6" x14ac:dyDescent="0.3">
      <c r="E1405" t="str">
        <f>IFERROR(IF(D1405="","",VLOOKUP(D1405,CadProd!$A:$B,2,0)),"")</f>
        <v/>
      </c>
      <c r="F1405" t="str">
        <f>IFERROR(IF(D1405="","",VLOOKUP(D1405,CadProd!$A:$C,3,0)),"")</f>
        <v/>
      </c>
    </row>
    <row r="1406" spans="5:6" x14ac:dyDescent="0.3">
      <c r="E1406" t="str">
        <f>IFERROR(IF(D1406="","",VLOOKUP(D1406,CadProd!$A:$B,2,0)),"")</f>
        <v/>
      </c>
      <c r="F1406" t="str">
        <f>IFERROR(IF(D1406="","",VLOOKUP(D1406,CadProd!$A:$C,3,0)),"")</f>
        <v/>
      </c>
    </row>
    <row r="1407" spans="5:6" x14ac:dyDescent="0.3">
      <c r="E1407" t="str">
        <f>IFERROR(IF(D1407="","",VLOOKUP(D1407,CadProd!$A:$B,2,0)),"")</f>
        <v/>
      </c>
      <c r="F1407" t="str">
        <f>IFERROR(IF(D1407="","",VLOOKUP(D1407,CadProd!$A:$C,3,0)),"")</f>
        <v/>
      </c>
    </row>
    <row r="1408" spans="5:6" x14ac:dyDescent="0.3">
      <c r="E1408" t="str">
        <f>IFERROR(IF(D1408="","",VLOOKUP(D1408,CadProd!$A:$B,2,0)),"")</f>
        <v/>
      </c>
      <c r="F1408" t="str">
        <f>IFERROR(IF(D1408="","",VLOOKUP(D1408,CadProd!$A:$C,3,0)),"")</f>
        <v/>
      </c>
    </row>
    <row r="1409" spans="5:6" x14ac:dyDescent="0.3">
      <c r="E1409" t="str">
        <f>IFERROR(IF(D1409="","",VLOOKUP(D1409,CadProd!$A:$B,2,0)),"")</f>
        <v/>
      </c>
      <c r="F1409" t="str">
        <f>IFERROR(IF(D1409="","",VLOOKUP(D1409,CadProd!$A:$C,3,0)),"")</f>
        <v/>
      </c>
    </row>
    <row r="1410" spans="5:6" x14ac:dyDescent="0.3">
      <c r="E1410" t="str">
        <f>IFERROR(IF(D1410="","",VLOOKUP(D1410,CadProd!$A:$B,2,0)),"")</f>
        <v/>
      </c>
      <c r="F1410" t="str">
        <f>IFERROR(IF(D1410="","",VLOOKUP(D1410,CadProd!$A:$C,3,0)),"")</f>
        <v/>
      </c>
    </row>
    <row r="1411" spans="5:6" x14ac:dyDescent="0.3">
      <c r="E1411" t="str">
        <f>IFERROR(IF(D1411="","",VLOOKUP(D1411,CadProd!$A:$B,2,0)),"")</f>
        <v/>
      </c>
      <c r="F1411" t="str">
        <f>IFERROR(IF(D1411="","",VLOOKUP(D1411,CadProd!$A:$C,3,0)),"")</f>
        <v/>
      </c>
    </row>
    <row r="1412" spans="5:6" x14ac:dyDescent="0.3">
      <c r="E1412" t="str">
        <f>IFERROR(IF(D1412="","",VLOOKUP(D1412,CadProd!$A:$B,2,0)),"")</f>
        <v/>
      </c>
      <c r="F1412" t="str">
        <f>IFERROR(IF(D1412="","",VLOOKUP(D1412,CadProd!$A:$C,3,0)),"")</f>
        <v/>
      </c>
    </row>
    <row r="1413" spans="5:6" x14ac:dyDescent="0.3">
      <c r="E1413" t="str">
        <f>IFERROR(IF(D1413="","",VLOOKUP(D1413,CadProd!$A:$B,2,0)),"")</f>
        <v/>
      </c>
      <c r="F1413" t="str">
        <f>IFERROR(IF(D1413="","",VLOOKUP(D1413,CadProd!$A:$C,3,0)),"")</f>
        <v/>
      </c>
    </row>
    <row r="1414" spans="5:6" x14ac:dyDescent="0.3">
      <c r="E1414" t="str">
        <f>IFERROR(IF(D1414="","",VLOOKUP(D1414,CadProd!$A:$B,2,0)),"")</f>
        <v/>
      </c>
      <c r="F1414" t="str">
        <f>IFERROR(IF(D1414="","",VLOOKUP(D1414,CadProd!$A:$C,3,0)),"")</f>
        <v/>
      </c>
    </row>
    <row r="1415" spans="5:6" x14ac:dyDescent="0.3">
      <c r="E1415" t="str">
        <f>IFERROR(IF(D1415="","",VLOOKUP(D1415,CadProd!$A:$B,2,0)),"")</f>
        <v/>
      </c>
      <c r="F1415" t="str">
        <f>IFERROR(IF(D1415="","",VLOOKUP(D1415,CadProd!$A:$C,3,0)),"")</f>
        <v/>
      </c>
    </row>
    <row r="1416" spans="5:6" x14ac:dyDescent="0.3">
      <c r="E1416" t="str">
        <f>IFERROR(IF(D1416="","",VLOOKUP(D1416,CadProd!$A:$B,2,0)),"")</f>
        <v/>
      </c>
      <c r="F1416" t="str">
        <f>IFERROR(IF(D1416="","",VLOOKUP(D1416,CadProd!$A:$C,3,0)),"")</f>
        <v/>
      </c>
    </row>
    <row r="1417" spans="5:6" x14ac:dyDescent="0.3">
      <c r="E1417" t="str">
        <f>IFERROR(IF(D1417="","",VLOOKUP(D1417,CadProd!$A:$B,2,0)),"")</f>
        <v/>
      </c>
      <c r="F1417" t="str">
        <f>IFERROR(IF(D1417="","",VLOOKUP(D1417,CadProd!$A:$C,3,0)),"")</f>
        <v/>
      </c>
    </row>
    <row r="1418" spans="5:6" x14ac:dyDescent="0.3">
      <c r="E1418" t="str">
        <f>IFERROR(IF(D1418="","",VLOOKUP(D1418,CadProd!$A:$B,2,0)),"")</f>
        <v/>
      </c>
      <c r="F1418" t="str">
        <f>IFERROR(IF(D1418="","",VLOOKUP(D1418,CadProd!$A:$C,3,0)),"")</f>
        <v/>
      </c>
    </row>
    <row r="1419" spans="5:6" x14ac:dyDescent="0.3">
      <c r="E1419" t="str">
        <f>IFERROR(IF(D1419="","",VLOOKUP(D1419,CadProd!$A:$B,2,0)),"")</f>
        <v/>
      </c>
      <c r="F1419" t="str">
        <f>IFERROR(IF(D1419="","",VLOOKUP(D1419,CadProd!$A:$C,3,0)),"")</f>
        <v/>
      </c>
    </row>
    <row r="1420" spans="5:6" x14ac:dyDescent="0.3">
      <c r="E1420" t="str">
        <f>IFERROR(IF(D1420="","",VLOOKUP(D1420,CadProd!$A:$B,2,0)),"")</f>
        <v/>
      </c>
      <c r="F1420" t="str">
        <f>IFERROR(IF(D1420="","",VLOOKUP(D1420,CadProd!$A:$C,3,0)),"")</f>
        <v/>
      </c>
    </row>
    <row r="1421" spans="5:6" x14ac:dyDescent="0.3">
      <c r="E1421" t="str">
        <f>IFERROR(IF(D1421="","",VLOOKUP(D1421,CadProd!$A:$B,2,0)),"")</f>
        <v/>
      </c>
      <c r="F1421" t="str">
        <f>IFERROR(IF(D1421="","",VLOOKUP(D1421,CadProd!$A:$C,3,0)),"")</f>
        <v/>
      </c>
    </row>
    <row r="1422" spans="5:6" x14ac:dyDescent="0.3">
      <c r="E1422" t="str">
        <f>IFERROR(IF(D1422="","",VLOOKUP(D1422,CadProd!$A:$B,2,0)),"")</f>
        <v/>
      </c>
      <c r="F1422" t="str">
        <f>IFERROR(IF(D1422="","",VLOOKUP(D1422,CadProd!$A:$C,3,0)),"")</f>
        <v/>
      </c>
    </row>
    <row r="1423" spans="5:6" x14ac:dyDescent="0.3">
      <c r="E1423" t="str">
        <f>IFERROR(IF(D1423="","",VLOOKUP(D1423,CadProd!$A:$B,2,0)),"")</f>
        <v/>
      </c>
      <c r="F1423" t="str">
        <f>IFERROR(IF(D1423="","",VLOOKUP(D1423,CadProd!$A:$C,3,0)),"")</f>
        <v/>
      </c>
    </row>
    <row r="1424" spans="5:6" x14ac:dyDescent="0.3">
      <c r="E1424" t="str">
        <f>IFERROR(IF(D1424="","",VLOOKUP(D1424,CadProd!$A:$B,2,0)),"")</f>
        <v/>
      </c>
      <c r="F1424" t="str">
        <f>IFERROR(IF(D1424="","",VLOOKUP(D1424,CadProd!$A:$C,3,0)),"")</f>
        <v/>
      </c>
    </row>
    <row r="1425" spans="5:6" x14ac:dyDescent="0.3">
      <c r="E1425" t="str">
        <f>IFERROR(IF(D1425="","",VLOOKUP(D1425,CadProd!$A:$B,2,0)),"")</f>
        <v/>
      </c>
      <c r="F1425" t="str">
        <f>IFERROR(IF(D1425="","",VLOOKUP(D1425,CadProd!$A:$C,3,0)),"")</f>
        <v/>
      </c>
    </row>
    <row r="1426" spans="5:6" x14ac:dyDescent="0.3">
      <c r="E1426" t="str">
        <f>IFERROR(IF(D1426="","",VLOOKUP(D1426,CadProd!$A:$B,2,0)),"")</f>
        <v/>
      </c>
      <c r="F1426" t="str">
        <f>IFERROR(IF(D1426="","",VLOOKUP(D1426,CadProd!$A:$C,3,0)),"")</f>
        <v/>
      </c>
    </row>
    <row r="1427" spans="5:6" x14ac:dyDescent="0.3">
      <c r="E1427" t="str">
        <f>IFERROR(IF(D1427="","",VLOOKUP(D1427,CadProd!$A:$B,2,0)),"")</f>
        <v/>
      </c>
      <c r="F1427" t="str">
        <f>IFERROR(IF(D1427="","",VLOOKUP(D1427,CadProd!$A:$C,3,0)),"")</f>
        <v/>
      </c>
    </row>
    <row r="1428" spans="5:6" x14ac:dyDescent="0.3">
      <c r="E1428" t="str">
        <f>IFERROR(IF(D1428="","",VLOOKUP(D1428,CadProd!$A:$B,2,0)),"")</f>
        <v/>
      </c>
      <c r="F1428" t="str">
        <f>IFERROR(IF(D1428="","",VLOOKUP(D1428,CadProd!$A:$C,3,0)),"")</f>
        <v/>
      </c>
    </row>
    <row r="1429" spans="5:6" x14ac:dyDescent="0.3">
      <c r="E1429" t="str">
        <f>IFERROR(IF(D1429="","",VLOOKUP(D1429,CadProd!$A:$B,2,0)),"")</f>
        <v/>
      </c>
      <c r="F1429" t="str">
        <f>IFERROR(IF(D1429="","",VLOOKUP(D1429,CadProd!$A:$C,3,0)),"")</f>
        <v/>
      </c>
    </row>
    <row r="1430" spans="5:6" x14ac:dyDescent="0.3">
      <c r="E1430" t="str">
        <f>IFERROR(IF(D1430="","",VLOOKUP(D1430,CadProd!$A:$B,2,0)),"")</f>
        <v/>
      </c>
      <c r="F1430" t="str">
        <f>IFERROR(IF(D1430="","",VLOOKUP(D1430,CadProd!$A:$C,3,0)),"")</f>
        <v/>
      </c>
    </row>
    <row r="1431" spans="5:6" x14ac:dyDescent="0.3">
      <c r="E1431" t="str">
        <f>IFERROR(IF(D1431="","",VLOOKUP(D1431,CadProd!$A:$B,2,0)),"")</f>
        <v/>
      </c>
      <c r="F1431" t="str">
        <f>IFERROR(IF(D1431="","",VLOOKUP(D1431,CadProd!$A:$C,3,0)),"")</f>
        <v/>
      </c>
    </row>
    <row r="1432" spans="5:6" x14ac:dyDescent="0.3">
      <c r="E1432" t="str">
        <f>IFERROR(IF(D1432="","",VLOOKUP(D1432,CadProd!$A:$B,2,0)),"")</f>
        <v/>
      </c>
      <c r="F1432" t="str">
        <f>IFERROR(IF(D1432="","",VLOOKUP(D1432,CadProd!$A:$C,3,0)),"")</f>
        <v/>
      </c>
    </row>
    <row r="1433" spans="5:6" x14ac:dyDescent="0.3">
      <c r="E1433" t="str">
        <f>IFERROR(IF(D1433="","",VLOOKUP(D1433,CadProd!$A:$B,2,0)),"")</f>
        <v/>
      </c>
      <c r="F1433" t="str">
        <f>IFERROR(IF(D1433="","",VLOOKUP(D1433,CadProd!$A:$C,3,0)),"")</f>
        <v/>
      </c>
    </row>
    <row r="1434" spans="5:6" x14ac:dyDescent="0.3">
      <c r="E1434" t="str">
        <f>IFERROR(IF(D1434="","",VLOOKUP(D1434,CadProd!$A:$B,2,0)),"")</f>
        <v/>
      </c>
      <c r="F1434" t="str">
        <f>IFERROR(IF(D1434="","",VLOOKUP(D1434,CadProd!$A:$C,3,0)),"")</f>
        <v/>
      </c>
    </row>
    <row r="1435" spans="5:6" x14ac:dyDescent="0.3">
      <c r="E1435" t="str">
        <f>IFERROR(IF(D1435="","",VLOOKUP(D1435,CadProd!$A:$B,2,0)),"")</f>
        <v/>
      </c>
      <c r="F1435" t="str">
        <f>IFERROR(IF(D1435="","",VLOOKUP(D1435,CadProd!$A:$C,3,0)),"")</f>
        <v/>
      </c>
    </row>
    <row r="1436" spans="5:6" x14ac:dyDescent="0.3">
      <c r="E1436" t="str">
        <f>IFERROR(IF(D1436="","",VLOOKUP(D1436,CadProd!$A:$B,2,0)),"")</f>
        <v/>
      </c>
      <c r="F1436" t="str">
        <f>IFERROR(IF(D1436="","",VLOOKUP(D1436,CadProd!$A:$C,3,0)),"")</f>
        <v/>
      </c>
    </row>
    <row r="1437" spans="5:6" x14ac:dyDescent="0.3">
      <c r="E1437" t="str">
        <f>IFERROR(IF(D1437="","",VLOOKUP(D1437,CadProd!$A:$B,2,0)),"")</f>
        <v/>
      </c>
      <c r="F1437" t="str">
        <f>IFERROR(IF(D1437="","",VLOOKUP(D1437,CadProd!$A:$C,3,0)),"")</f>
        <v/>
      </c>
    </row>
    <row r="1438" spans="5:6" x14ac:dyDescent="0.3">
      <c r="E1438" t="str">
        <f>IFERROR(IF(D1438="","",VLOOKUP(D1438,CadProd!$A:$B,2,0)),"")</f>
        <v/>
      </c>
      <c r="F1438" t="str">
        <f>IFERROR(IF(D1438="","",VLOOKUP(D1438,CadProd!$A:$C,3,0)),"")</f>
        <v/>
      </c>
    </row>
    <row r="1439" spans="5:6" x14ac:dyDescent="0.3">
      <c r="E1439" t="str">
        <f>IFERROR(IF(D1439="","",VLOOKUP(D1439,CadProd!$A:$B,2,0)),"")</f>
        <v/>
      </c>
      <c r="F1439" t="str">
        <f>IFERROR(IF(D1439="","",VLOOKUP(D1439,CadProd!$A:$C,3,0)),"")</f>
        <v/>
      </c>
    </row>
    <row r="1440" spans="5:6" x14ac:dyDescent="0.3">
      <c r="E1440" t="str">
        <f>IFERROR(IF(D1440="","",VLOOKUP(D1440,CadProd!$A:$B,2,0)),"")</f>
        <v/>
      </c>
      <c r="F1440" t="str">
        <f>IFERROR(IF(D1440="","",VLOOKUP(D1440,CadProd!$A:$C,3,0)),"")</f>
        <v/>
      </c>
    </row>
    <row r="1441" spans="5:6" x14ac:dyDescent="0.3">
      <c r="E1441" t="str">
        <f>IFERROR(IF(D1441="","",VLOOKUP(D1441,CadProd!$A:$B,2,0)),"")</f>
        <v/>
      </c>
      <c r="F1441" t="str">
        <f>IFERROR(IF(D1441="","",VLOOKUP(D1441,CadProd!$A:$C,3,0)),"")</f>
        <v/>
      </c>
    </row>
    <row r="1442" spans="5:6" x14ac:dyDescent="0.3">
      <c r="E1442" t="str">
        <f>IFERROR(IF(D1442="","",VLOOKUP(D1442,CadProd!$A:$B,2,0)),"")</f>
        <v/>
      </c>
      <c r="F1442" t="str">
        <f>IFERROR(IF(D1442="","",VLOOKUP(D1442,CadProd!$A:$C,3,0)),"")</f>
        <v/>
      </c>
    </row>
    <row r="1443" spans="5:6" x14ac:dyDescent="0.3">
      <c r="E1443" t="str">
        <f>IFERROR(IF(D1443="","",VLOOKUP(D1443,CadProd!$A:$B,2,0)),"")</f>
        <v/>
      </c>
      <c r="F1443" t="str">
        <f>IFERROR(IF(D1443="","",VLOOKUP(D1443,CadProd!$A:$C,3,0)),"")</f>
        <v/>
      </c>
    </row>
    <row r="1444" spans="5:6" x14ac:dyDescent="0.3">
      <c r="E1444" t="str">
        <f>IFERROR(IF(D1444="","",VLOOKUP(D1444,CadProd!$A:$B,2,0)),"")</f>
        <v/>
      </c>
      <c r="F1444" t="str">
        <f>IFERROR(IF(D1444="","",VLOOKUP(D1444,CadProd!$A:$C,3,0)),"")</f>
        <v/>
      </c>
    </row>
    <row r="1445" spans="5:6" x14ac:dyDescent="0.3">
      <c r="E1445" t="str">
        <f>IFERROR(IF(D1445="","",VLOOKUP(D1445,CadProd!$A:$B,2,0)),"")</f>
        <v/>
      </c>
      <c r="F1445" t="str">
        <f>IFERROR(IF(D1445="","",VLOOKUP(D1445,CadProd!$A:$C,3,0)),"")</f>
        <v/>
      </c>
    </row>
    <row r="1446" spans="5:6" x14ac:dyDescent="0.3">
      <c r="E1446" t="str">
        <f>IFERROR(IF(D1446="","",VLOOKUP(D1446,CadProd!$A:$B,2,0)),"")</f>
        <v/>
      </c>
      <c r="F1446" t="str">
        <f>IFERROR(IF(D1446="","",VLOOKUP(D1446,CadProd!$A:$C,3,0)),"")</f>
        <v/>
      </c>
    </row>
    <row r="1447" spans="5:6" x14ac:dyDescent="0.3">
      <c r="E1447" t="str">
        <f>IFERROR(IF(D1447="","",VLOOKUP(D1447,CadProd!$A:$B,2,0)),"")</f>
        <v/>
      </c>
      <c r="F1447" t="str">
        <f>IFERROR(IF(D1447="","",VLOOKUP(D1447,CadProd!$A:$C,3,0)),"")</f>
        <v/>
      </c>
    </row>
    <row r="1448" spans="5:6" x14ac:dyDescent="0.3">
      <c r="E1448" t="str">
        <f>IFERROR(IF(D1448="","",VLOOKUP(D1448,CadProd!$A:$B,2,0)),"")</f>
        <v/>
      </c>
      <c r="F1448" t="str">
        <f>IFERROR(IF(D1448="","",VLOOKUP(D1448,CadProd!$A:$C,3,0)),"")</f>
        <v/>
      </c>
    </row>
    <row r="1449" spans="5:6" x14ac:dyDescent="0.3">
      <c r="E1449" t="str">
        <f>IFERROR(IF(D1449="","",VLOOKUP(D1449,CadProd!$A:$B,2,0)),"")</f>
        <v/>
      </c>
      <c r="F1449" t="str">
        <f>IFERROR(IF(D1449="","",VLOOKUP(D1449,CadProd!$A:$C,3,0)),"")</f>
        <v/>
      </c>
    </row>
    <row r="1450" spans="5:6" x14ac:dyDescent="0.3">
      <c r="E1450" t="str">
        <f>IFERROR(IF(D1450="","",VLOOKUP(D1450,CadProd!$A:$B,2,0)),"")</f>
        <v/>
      </c>
      <c r="F1450" t="str">
        <f>IFERROR(IF(D1450="","",VLOOKUP(D1450,CadProd!$A:$C,3,0)),"")</f>
        <v/>
      </c>
    </row>
    <row r="1451" spans="5:6" x14ac:dyDescent="0.3">
      <c r="E1451" t="str">
        <f>IFERROR(IF(D1451="","",VLOOKUP(D1451,CadProd!$A:$B,2,0)),"")</f>
        <v/>
      </c>
      <c r="F1451" t="str">
        <f>IFERROR(IF(D1451="","",VLOOKUP(D1451,CadProd!$A:$C,3,0)),"")</f>
        <v/>
      </c>
    </row>
    <row r="1452" spans="5:6" x14ac:dyDescent="0.3">
      <c r="E1452" t="str">
        <f>IFERROR(IF(D1452="","",VLOOKUP(D1452,CadProd!$A:$B,2,0)),"")</f>
        <v/>
      </c>
      <c r="F1452" t="str">
        <f>IFERROR(IF(D1452="","",VLOOKUP(D1452,CadProd!$A:$C,3,0)),"")</f>
        <v/>
      </c>
    </row>
    <row r="1453" spans="5:6" x14ac:dyDescent="0.3">
      <c r="E1453" t="str">
        <f>IFERROR(IF(D1453="","",VLOOKUP(D1453,CadProd!$A:$B,2,0)),"")</f>
        <v/>
      </c>
      <c r="F1453" t="str">
        <f>IFERROR(IF(D1453="","",VLOOKUP(D1453,CadProd!$A:$C,3,0)),"")</f>
        <v/>
      </c>
    </row>
    <row r="1454" spans="5:6" x14ac:dyDescent="0.3">
      <c r="E1454" t="str">
        <f>IFERROR(IF(D1454="","",VLOOKUP(D1454,CadProd!$A:$B,2,0)),"")</f>
        <v/>
      </c>
      <c r="F1454" t="str">
        <f>IFERROR(IF(D1454="","",VLOOKUP(D1454,CadProd!$A:$C,3,0)),"")</f>
        <v/>
      </c>
    </row>
    <row r="1455" spans="5:6" x14ac:dyDescent="0.3">
      <c r="E1455" t="str">
        <f>IFERROR(IF(D1455="","",VLOOKUP(D1455,CadProd!$A:$B,2,0)),"")</f>
        <v/>
      </c>
      <c r="F1455" t="str">
        <f>IFERROR(IF(D1455="","",VLOOKUP(D1455,CadProd!$A:$C,3,0)),"")</f>
        <v/>
      </c>
    </row>
    <row r="1456" spans="5:6" x14ac:dyDescent="0.3">
      <c r="E1456" t="str">
        <f>IFERROR(IF(D1456="","",VLOOKUP(D1456,CadProd!$A:$B,2,0)),"")</f>
        <v/>
      </c>
      <c r="F1456" t="str">
        <f>IFERROR(IF(D1456="","",VLOOKUP(D1456,CadProd!$A:$C,3,0)),"")</f>
        <v/>
      </c>
    </row>
    <row r="1457" spans="5:6" x14ac:dyDescent="0.3">
      <c r="E1457" t="str">
        <f>IFERROR(IF(D1457="","",VLOOKUP(D1457,CadProd!$A:$B,2,0)),"")</f>
        <v/>
      </c>
      <c r="F1457" t="str">
        <f>IFERROR(IF(D1457="","",VLOOKUP(D1457,CadProd!$A:$C,3,0)),"")</f>
        <v/>
      </c>
    </row>
    <row r="1458" spans="5:6" x14ac:dyDescent="0.3">
      <c r="E1458" t="str">
        <f>IFERROR(IF(D1458="","",VLOOKUP(D1458,CadProd!$A:$B,2,0)),"")</f>
        <v/>
      </c>
      <c r="F1458" t="str">
        <f>IFERROR(IF(D1458="","",VLOOKUP(D1458,CadProd!$A:$C,3,0)),"")</f>
        <v/>
      </c>
    </row>
    <row r="1459" spans="5:6" x14ac:dyDescent="0.3">
      <c r="E1459" t="str">
        <f>IFERROR(IF(D1459="","",VLOOKUP(D1459,CadProd!$A:$B,2,0)),"")</f>
        <v/>
      </c>
      <c r="F1459" t="str">
        <f>IFERROR(IF(D1459="","",VLOOKUP(D1459,CadProd!$A:$C,3,0)),"")</f>
        <v/>
      </c>
    </row>
    <row r="1460" spans="5:6" x14ac:dyDescent="0.3">
      <c r="E1460" t="str">
        <f>IFERROR(IF(D1460="","",VLOOKUP(D1460,CadProd!$A:$B,2,0)),"")</f>
        <v/>
      </c>
      <c r="F1460" t="str">
        <f>IFERROR(IF(D1460="","",VLOOKUP(D1460,CadProd!$A:$C,3,0)),"")</f>
        <v/>
      </c>
    </row>
    <row r="1461" spans="5:6" x14ac:dyDescent="0.3">
      <c r="E1461" t="str">
        <f>IFERROR(IF(D1461="","",VLOOKUP(D1461,CadProd!$A:$B,2,0)),"")</f>
        <v/>
      </c>
      <c r="F1461" t="str">
        <f>IFERROR(IF(D1461="","",VLOOKUP(D1461,CadProd!$A:$C,3,0)),"")</f>
        <v/>
      </c>
    </row>
    <row r="1462" spans="5:6" x14ac:dyDescent="0.3">
      <c r="E1462" t="str">
        <f>IFERROR(IF(D1462="","",VLOOKUP(D1462,CadProd!$A:$B,2,0)),"")</f>
        <v/>
      </c>
      <c r="F1462" t="str">
        <f>IFERROR(IF(D1462="","",VLOOKUP(D1462,CadProd!$A:$C,3,0)),"")</f>
        <v/>
      </c>
    </row>
    <row r="1463" spans="5:6" x14ac:dyDescent="0.3">
      <c r="E1463" t="str">
        <f>IFERROR(IF(D1463="","",VLOOKUP(D1463,CadProd!$A:$B,2,0)),"")</f>
        <v/>
      </c>
      <c r="F1463" t="str">
        <f>IFERROR(IF(D1463="","",VLOOKUP(D1463,CadProd!$A:$C,3,0)),"")</f>
        <v/>
      </c>
    </row>
    <row r="1464" spans="5:6" x14ac:dyDescent="0.3">
      <c r="E1464" t="str">
        <f>IFERROR(IF(D1464="","",VLOOKUP(D1464,CadProd!$A:$B,2,0)),"")</f>
        <v/>
      </c>
      <c r="F1464" t="str">
        <f>IFERROR(IF(D1464="","",VLOOKUP(D1464,CadProd!$A:$C,3,0)),"")</f>
        <v/>
      </c>
    </row>
    <row r="1465" spans="5:6" x14ac:dyDescent="0.3">
      <c r="E1465" t="str">
        <f>IFERROR(IF(D1465="","",VLOOKUP(D1465,CadProd!$A:$B,2,0)),"")</f>
        <v/>
      </c>
      <c r="F1465" t="str">
        <f>IFERROR(IF(D1465="","",VLOOKUP(D1465,CadProd!$A:$C,3,0)),"")</f>
        <v/>
      </c>
    </row>
    <row r="1466" spans="5:6" x14ac:dyDescent="0.3">
      <c r="E1466" t="str">
        <f>IFERROR(IF(D1466="","",VLOOKUP(D1466,CadProd!$A:$B,2,0)),"")</f>
        <v/>
      </c>
      <c r="F1466" t="str">
        <f>IFERROR(IF(D1466="","",VLOOKUP(D1466,CadProd!$A:$C,3,0)),"")</f>
        <v/>
      </c>
    </row>
    <row r="1467" spans="5:6" x14ac:dyDescent="0.3">
      <c r="E1467" t="str">
        <f>IFERROR(IF(D1467="","",VLOOKUP(D1467,CadProd!$A:$B,2,0)),"")</f>
        <v/>
      </c>
      <c r="F1467" t="str">
        <f>IFERROR(IF(D1467="","",VLOOKUP(D1467,CadProd!$A:$C,3,0)),"")</f>
        <v/>
      </c>
    </row>
    <row r="1468" spans="5:6" x14ac:dyDescent="0.3">
      <c r="E1468" t="str">
        <f>IFERROR(IF(D1468="","",VLOOKUP(D1468,CadProd!$A:$B,2,0)),"")</f>
        <v/>
      </c>
      <c r="F1468" t="str">
        <f>IFERROR(IF(D1468="","",VLOOKUP(D1468,CadProd!$A:$C,3,0)),"")</f>
        <v/>
      </c>
    </row>
    <row r="1469" spans="5:6" x14ac:dyDescent="0.3">
      <c r="E1469" t="str">
        <f>IFERROR(IF(D1469="","",VLOOKUP(D1469,CadProd!$A:$B,2,0)),"")</f>
        <v/>
      </c>
      <c r="F1469" t="str">
        <f>IFERROR(IF(D1469="","",VLOOKUP(D1469,CadProd!$A:$C,3,0)),"")</f>
        <v/>
      </c>
    </row>
    <row r="1470" spans="5:6" x14ac:dyDescent="0.3">
      <c r="E1470" t="str">
        <f>IFERROR(IF(D1470="","",VLOOKUP(D1470,CadProd!$A:$B,2,0)),"")</f>
        <v/>
      </c>
      <c r="F1470" t="str">
        <f>IFERROR(IF(D1470="","",VLOOKUP(D1470,CadProd!$A:$C,3,0)),"")</f>
        <v/>
      </c>
    </row>
    <row r="1471" spans="5:6" x14ac:dyDescent="0.3">
      <c r="E1471" t="str">
        <f>IFERROR(IF(D1471="","",VLOOKUP(D1471,CadProd!$A:$B,2,0)),"")</f>
        <v/>
      </c>
      <c r="F1471" t="str">
        <f>IFERROR(IF(D1471="","",VLOOKUP(D1471,CadProd!$A:$C,3,0)),"")</f>
        <v/>
      </c>
    </row>
    <row r="1472" spans="5:6" x14ac:dyDescent="0.3">
      <c r="E1472" t="str">
        <f>IFERROR(IF(D1472="","",VLOOKUP(D1472,CadProd!$A:$B,2,0)),"")</f>
        <v/>
      </c>
      <c r="F1472" t="str">
        <f>IFERROR(IF(D1472="","",VLOOKUP(D1472,CadProd!$A:$C,3,0)),"")</f>
        <v/>
      </c>
    </row>
    <row r="1473" spans="5:6" x14ac:dyDescent="0.3">
      <c r="E1473" t="str">
        <f>IFERROR(IF(D1473="","",VLOOKUP(D1473,CadProd!$A:$B,2,0)),"")</f>
        <v/>
      </c>
      <c r="F1473" t="str">
        <f>IFERROR(IF(D1473="","",VLOOKUP(D1473,CadProd!$A:$C,3,0)),"")</f>
        <v/>
      </c>
    </row>
    <row r="1474" spans="5:6" x14ac:dyDescent="0.3">
      <c r="E1474" t="str">
        <f>IFERROR(IF(D1474="","",VLOOKUP(D1474,CadProd!$A:$B,2,0)),"")</f>
        <v/>
      </c>
      <c r="F1474" t="str">
        <f>IFERROR(IF(D1474="","",VLOOKUP(D1474,CadProd!$A:$C,3,0)),"")</f>
        <v/>
      </c>
    </row>
    <row r="1475" spans="5:6" x14ac:dyDescent="0.3">
      <c r="E1475" t="str">
        <f>IFERROR(IF(D1475="","",VLOOKUP(D1475,CadProd!$A:$B,2,0)),"")</f>
        <v/>
      </c>
      <c r="F1475" t="str">
        <f>IFERROR(IF(D1475="","",VLOOKUP(D1475,CadProd!$A:$C,3,0)),"")</f>
        <v/>
      </c>
    </row>
    <row r="1476" spans="5:6" x14ac:dyDescent="0.3">
      <c r="E1476" t="str">
        <f>IFERROR(IF(D1476="","",VLOOKUP(D1476,CadProd!$A:$B,2,0)),"")</f>
        <v/>
      </c>
      <c r="F1476" t="str">
        <f>IFERROR(IF(D1476="","",VLOOKUP(D1476,CadProd!$A:$C,3,0)),"")</f>
        <v/>
      </c>
    </row>
    <row r="1477" spans="5:6" x14ac:dyDescent="0.3">
      <c r="E1477" t="str">
        <f>IFERROR(IF(D1477="","",VLOOKUP(D1477,CadProd!$A:$B,2,0)),"")</f>
        <v/>
      </c>
      <c r="F1477" t="str">
        <f>IFERROR(IF(D1477="","",VLOOKUP(D1477,CadProd!$A:$C,3,0)),"")</f>
        <v/>
      </c>
    </row>
    <row r="1478" spans="5:6" x14ac:dyDescent="0.3">
      <c r="E1478" t="str">
        <f>IFERROR(IF(D1478="","",VLOOKUP(D1478,CadProd!$A:$B,2,0)),"")</f>
        <v/>
      </c>
      <c r="F1478" t="str">
        <f>IFERROR(IF(D1478="","",VLOOKUP(D1478,CadProd!$A:$C,3,0)),"")</f>
        <v/>
      </c>
    </row>
    <row r="1479" spans="5:6" x14ac:dyDescent="0.3">
      <c r="E1479" t="str">
        <f>IFERROR(IF(D1479="","",VLOOKUP(D1479,CadProd!$A:$B,2,0)),"")</f>
        <v/>
      </c>
      <c r="F1479" t="str">
        <f>IFERROR(IF(D1479="","",VLOOKUP(D1479,CadProd!$A:$C,3,0)),"")</f>
        <v/>
      </c>
    </row>
    <row r="1480" spans="5:6" x14ac:dyDescent="0.3">
      <c r="E1480" t="str">
        <f>IFERROR(IF(D1480="","",VLOOKUP(D1480,CadProd!$A:$B,2,0)),"")</f>
        <v/>
      </c>
      <c r="F1480" t="str">
        <f>IFERROR(IF(D1480="","",VLOOKUP(D1480,CadProd!$A:$C,3,0)),"")</f>
        <v/>
      </c>
    </row>
    <row r="1481" spans="5:6" x14ac:dyDescent="0.3">
      <c r="E1481" t="str">
        <f>IFERROR(IF(D1481="","",VLOOKUP(D1481,CadProd!$A:$B,2,0)),"")</f>
        <v/>
      </c>
      <c r="F1481" t="str">
        <f>IFERROR(IF(D1481="","",VLOOKUP(D1481,CadProd!$A:$C,3,0)),"")</f>
        <v/>
      </c>
    </row>
    <row r="1482" spans="5:6" x14ac:dyDescent="0.3">
      <c r="E1482" t="str">
        <f>IFERROR(IF(D1482="","",VLOOKUP(D1482,CadProd!$A:$B,2,0)),"")</f>
        <v/>
      </c>
      <c r="F1482" t="str">
        <f>IFERROR(IF(D1482="","",VLOOKUP(D1482,CadProd!$A:$C,3,0)),"")</f>
        <v/>
      </c>
    </row>
    <row r="1483" spans="5:6" x14ac:dyDescent="0.3">
      <c r="E1483" t="str">
        <f>IFERROR(IF(D1483="","",VLOOKUP(D1483,CadProd!$A:$B,2,0)),"")</f>
        <v/>
      </c>
      <c r="F1483" t="str">
        <f>IFERROR(IF(D1483="","",VLOOKUP(D1483,CadProd!$A:$C,3,0)),"")</f>
        <v/>
      </c>
    </row>
    <row r="1484" spans="5:6" x14ac:dyDescent="0.3">
      <c r="E1484" t="str">
        <f>IFERROR(IF(D1484="","",VLOOKUP(D1484,CadProd!$A:$B,2,0)),"")</f>
        <v/>
      </c>
      <c r="F1484" t="str">
        <f>IFERROR(IF(D1484="","",VLOOKUP(D1484,CadProd!$A:$C,3,0)),"")</f>
        <v/>
      </c>
    </row>
    <row r="1485" spans="5:6" x14ac:dyDescent="0.3">
      <c r="E1485" t="str">
        <f>IFERROR(IF(D1485="","",VLOOKUP(D1485,CadProd!$A:$B,2,0)),"")</f>
        <v/>
      </c>
      <c r="F1485" t="str">
        <f>IFERROR(IF(D1485="","",VLOOKUP(D1485,CadProd!$A:$C,3,0)),"")</f>
        <v/>
      </c>
    </row>
    <row r="1486" spans="5:6" x14ac:dyDescent="0.3">
      <c r="E1486" t="str">
        <f>IFERROR(IF(D1486="","",VLOOKUP(D1486,CadProd!$A:$B,2,0)),"")</f>
        <v/>
      </c>
      <c r="F1486" t="str">
        <f>IFERROR(IF(D1486="","",VLOOKUP(D1486,CadProd!$A:$C,3,0)),"")</f>
        <v/>
      </c>
    </row>
    <row r="1487" spans="5:6" x14ac:dyDescent="0.3">
      <c r="E1487" t="str">
        <f>IFERROR(IF(D1487="","",VLOOKUP(D1487,CadProd!$A:$B,2,0)),"")</f>
        <v/>
      </c>
      <c r="F1487" t="str">
        <f>IFERROR(IF(D1487="","",VLOOKUP(D1487,CadProd!$A:$C,3,0)),"")</f>
        <v/>
      </c>
    </row>
    <row r="1488" spans="5:6" x14ac:dyDescent="0.3">
      <c r="E1488" t="str">
        <f>IFERROR(IF(D1488="","",VLOOKUP(D1488,CadProd!$A:$B,2,0)),"")</f>
        <v/>
      </c>
      <c r="F1488" t="str">
        <f>IFERROR(IF(D1488="","",VLOOKUP(D1488,CadProd!$A:$C,3,0)),"")</f>
        <v/>
      </c>
    </row>
    <row r="1489" spans="5:6" x14ac:dyDescent="0.3">
      <c r="E1489" t="str">
        <f>IFERROR(IF(D1489="","",VLOOKUP(D1489,CadProd!$A:$B,2,0)),"")</f>
        <v/>
      </c>
      <c r="F1489" t="str">
        <f>IFERROR(IF(D1489="","",VLOOKUP(D1489,CadProd!$A:$C,3,0)),"")</f>
        <v/>
      </c>
    </row>
    <row r="1490" spans="5:6" x14ac:dyDescent="0.3">
      <c r="E1490" t="str">
        <f>IFERROR(IF(D1490="","",VLOOKUP(D1490,CadProd!$A:$B,2,0)),"")</f>
        <v/>
      </c>
      <c r="F1490" t="str">
        <f>IFERROR(IF(D1490="","",VLOOKUP(D1490,CadProd!$A:$C,3,0)),"")</f>
        <v/>
      </c>
    </row>
    <row r="1491" spans="5:6" x14ac:dyDescent="0.3">
      <c r="E1491" t="str">
        <f>IFERROR(IF(D1491="","",VLOOKUP(D1491,CadProd!$A:$B,2,0)),"")</f>
        <v/>
      </c>
      <c r="F1491" t="str">
        <f>IFERROR(IF(D1491="","",VLOOKUP(D1491,CadProd!$A:$C,3,0)),"")</f>
        <v/>
      </c>
    </row>
    <row r="1492" spans="5:6" x14ac:dyDescent="0.3">
      <c r="E1492" t="str">
        <f>IFERROR(IF(D1492="","",VLOOKUP(D1492,CadProd!$A:$B,2,0)),"")</f>
        <v/>
      </c>
      <c r="F1492" t="str">
        <f>IFERROR(IF(D1492="","",VLOOKUP(D1492,CadProd!$A:$C,3,0)),"")</f>
        <v/>
      </c>
    </row>
    <row r="1493" spans="5:6" x14ac:dyDescent="0.3">
      <c r="E1493" t="str">
        <f>IFERROR(IF(D1493="","",VLOOKUP(D1493,CadProd!$A:$B,2,0)),"")</f>
        <v/>
      </c>
      <c r="F1493" t="str">
        <f>IFERROR(IF(D1493="","",VLOOKUP(D1493,CadProd!$A:$C,3,0)),"")</f>
        <v/>
      </c>
    </row>
    <row r="1494" spans="5:6" x14ac:dyDescent="0.3">
      <c r="E1494" t="str">
        <f>IFERROR(IF(D1494="","",VLOOKUP(D1494,CadProd!$A:$B,2,0)),"")</f>
        <v/>
      </c>
      <c r="F1494" t="str">
        <f>IFERROR(IF(D1494="","",VLOOKUP(D1494,CadProd!$A:$C,3,0)),"")</f>
        <v/>
      </c>
    </row>
    <row r="1495" spans="5:6" x14ac:dyDescent="0.3">
      <c r="E1495" t="str">
        <f>IFERROR(IF(D1495="","",VLOOKUP(D1495,CadProd!$A:$B,2,0)),"")</f>
        <v/>
      </c>
      <c r="F1495" t="str">
        <f>IFERROR(IF(D1495="","",VLOOKUP(D1495,CadProd!$A:$C,3,0)),"")</f>
        <v/>
      </c>
    </row>
    <row r="1496" spans="5:6" x14ac:dyDescent="0.3">
      <c r="E1496" t="str">
        <f>IFERROR(IF(D1496="","",VLOOKUP(D1496,CadProd!$A:$B,2,0)),"")</f>
        <v/>
      </c>
      <c r="F1496" t="str">
        <f>IFERROR(IF(D1496="","",VLOOKUP(D1496,CadProd!$A:$C,3,0)),"")</f>
        <v/>
      </c>
    </row>
    <row r="1497" spans="5:6" x14ac:dyDescent="0.3">
      <c r="E1497" t="str">
        <f>IFERROR(IF(D1497="","",VLOOKUP(D1497,CadProd!$A:$B,2,0)),"")</f>
        <v/>
      </c>
      <c r="F1497" t="str">
        <f>IFERROR(IF(D1497="","",VLOOKUP(D1497,CadProd!$A:$C,3,0)),"")</f>
        <v/>
      </c>
    </row>
    <row r="1498" spans="5:6" x14ac:dyDescent="0.3">
      <c r="E1498" t="str">
        <f>IFERROR(IF(D1498="","",VLOOKUP(D1498,CadProd!$A:$B,2,0)),"")</f>
        <v/>
      </c>
      <c r="F1498" t="str">
        <f>IFERROR(IF(D1498="","",VLOOKUP(D1498,CadProd!$A:$C,3,0)),"")</f>
        <v/>
      </c>
    </row>
    <row r="1499" spans="5:6" x14ac:dyDescent="0.3">
      <c r="E1499" t="str">
        <f>IFERROR(IF(D1499="","",VLOOKUP(D1499,CadProd!$A:$B,2,0)),"")</f>
        <v/>
      </c>
      <c r="F1499" t="str">
        <f>IFERROR(IF(D1499="","",VLOOKUP(D1499,CadProd!$A:$C,3,0)),"")</f>
        <v/>
      </c>
    </row>
    <row r="1500" spans="5:6" x14ac:dyDescent="0.3">
      <c r="E1500" t="str">
        <f>IFERROR(IF(D1500="","",VLOOKUP(D1500,CadProd!$A:$B,2,0)),"")</f>
        <v/>
      </c>
      <c r="F1500" t="str">
        <f>IFERROR(IF(D1500="","",VLOOKUP(D1500,CadProd!$A:$C,3,0)),"")</f>
        <v/>
      </c>
    </row>
    <row r="1501" spans="5:6" x14ac:dyDescent="0.3">
      <c r="E1501" t="str">
        <f>IFERROR(IF(D1501="","",VLOOKUP(D1501,CadProd!$A:$B,2,0)),"")</f>
        <v/>
      </c>
      <c r="F1501" t="str">
        <f>IFERROR(IF(D1501="","",VLOOKUP(D1501,CadProd!$A:$C,3,0)),"")</f>
        <v/>
      </c>
    </row>
    <row r="1502" spans="5:6" x14ac:dyDescent="0.3">
      <c r="E1502" t="str">
        <f>IFERROR(IF(D1502="","",VLOOKUP(D1502,CadProd!$A:$B,2,0)),"")</f>
        <v/>
      </c>
      <c r="F1502" t="str">
        <f>IFERROR(IF(D1502="","",VLOOKUP(D1502,CadProd!$A:$C,3,0)),"")</f>
        <v/>
      </c>
    </row>
    <row r="1503" spans="5:6" x14ac:dyDescent="0.3">
      <c r="E1503" t="str">
        <f>IFERROR(IF(D1503="","",VLOOKUP(D1503,CadProd!$A:$B,2,0)),"")</f>
        <v/>
      </c>
      <c r="F1503" t="str">
        <f>IFERROR(IF(D1503="","",VLOOKUP(D1503,CadProd!$A:$C,3,0)),"")</f>
        <v/>
      </c>
    </row>
    <row r="1504" spans="5:6" x14ac:dyDescent="0.3">
      <c r="E1504" t="str">
        <f>IFERROR(IF(D1504="","",VLOOKUP(D1504,CadProd!$A:$B,2,0)),"")</f>
        <v/>
      </c>
      <c r="F1504" t="str">
        <f>IFERROR(IF(D1504="","",VLOOKUP(D1504,CadProd!$A:$C,3,0)),"")</f>
        <v/>
      </c>
    </row>
    <row r="1505" spans="5:6" x14ac:dyDescent="0.3">
      <c r="E1505" t="str">
        <f>IFERROR(IF(D1505="","",VLOOKUP(D1505,CadProd!$A:$B,2,0)),"")</f>
        <v/>
      </c>
      <c r="F1505" t="str">
        <f>IFERROR(IF(D1505="","",VLOOKUP(D1505,CadProd!$A:$C,3,0)),"")</f>
        <v/>
      </c>
    </row>
    <row r="1506" spans="5:6" x14ac:dyDescent="0.3">
      <c r="E1506" t="str">
        <f>IFERROR(IF(D1506="","",VLOOKUP(D1506,CadProd!$A:$B,2,0)),"")</f>
        <v/>
      </c>
      <c r="F1506" t="str">
        <f>IFERROR(IF(D1506="","",VLOOKUP(D1506,CadProd!$A:$C,3,0)),"")</f>
        <v/>
      </c>
    </row>
    <row r="1507" spans="5:6" x14ac:dyDescent="0.3">
      <c r="E1507" t="str">
        <f>IFERROR(IF(D1507="","",VLOOKUP(D1507,CadProd!$A:$B,2,0)),"")</f>
        <v/>
      </c>
      <c r="F1507" t="str">
        <f>IFERROR(IF(D1507="","",VLOOKUP(D1507,CadProd!$A:$C,3,0)),"")</f>
        <v/>
      </c>
    </row>
    <row r="1508" spans="5:6" x14ac:dyDescent="0.3">
      <c r="E1508" t="str">
        <f>IFERROR(IF(D1508="","",VLOOKUP(D1508,CadProd!$A:$B,2,0)),"")</f>
        <v/>
      </c>
      <c r="F1508" t="str">
        <f>IFERROR(IF(D1508="","",VLOOKUP(D1508,CadProd!$A:$C,3,0)),"")</f>
        <v/>
      </c>
    </row>
    <row r="1509" spans="5:6" x14ac:dyDescent="0.3">
      <c r="E1509" t="str">
        <f>IFERROR(IF(D1509="","",VLOOKUP(D1509,CadProd!$A:$B,2,0)),"")</f>
        <v/>
      </c>
      <c r="F1509" t="str">
        <f>IFERROR(IF(D1509="","",VLOOKUP(D1509,CadProd!$A:$C,3,0)),"")</f>
        <v/>
      </c>
    </row>
    <row r="1510" spans="5:6" x14ac:dyDescent="0.3">
      <c r="E1510" t="str">
        <f>IFERROR(IF(D1510="","",VLOOKUP(D1510,CadProd!$A:$B,2,0)),"")</f>
        <v/>
      </c>
      <c r="F1510" t="str">
        <f>IFERROR(IF(D1510="","",VLOOKUP(D1510,CadProd!$A:$C,3,0)),"")</f>
        <v/>
      </c>
    </row>
    <row r="1511" spans="5:6" x14ac:dyDescent="0.3">
      <c r="E1511" t="str">
        <f>IFERROR(IF(D1511="","",VLOOKUP(D1511,CadProd!$A:$B,2,0)),"")</f>
        <v/>
      </c>
      <c r="F1511" t="str">
        <f>IFERROR(IF(D1511="","",VLOOKUP(D1511,CadProd!$A:$C,3,0)),"")</f>
        <v/>
      </c>
    </row>
    <row r="1512" spans="5:6" x14ac:dyDescent="0.3">
      <c r="E1512" t="str">
        <f>IFERROR(IF(D1512="","",VLOOKUP(D1512,CadProd!$A:$B,2,0)),"")</f>
        <v/>
      </c>
      <c r="F1512" t="str">
        <f>IFERROR(IF(D1512="","",VLOOKUP(D1512,CadProd!$A:$C,3,0)),"")</f>
        <v/>
      </c>
    </row>
    <row r="1513" spans="5:6" x14ac:dyDescent="0.3">
      <c r="E1513" t="str">
        <f>IFERROR(IF(D1513="","",VLOOKUP(D1513,CadProd!$A:$B,2,0)),"")</f>
        <v/>
      </c>
      <c r="F1513" t="str">
        <f>IFERROR(IF(D1513="","",VLOOKUP(D1513,CadProd!$A:$C,3,0)),"")</f>
        <v/>
      </c>
    </row>
    <row r="1514" spans="5:6" x14ac:dyDescent="0.3">
      <c r="E1514" t="str">
        <f>IFERROR(IF(D1514="","",VLOOKUP(D1514,CadProd!$A:$B,2,0)),"")</f>
        <v/>
      </c>
      <c r="F1514" t="str">
        <f>IFERROR(IF(D1514="","",VLOOKUP(D1514,CadProd!$A:$C,3,0)),"")</f>
        <v/>
      </c>
    </row>
    <row r="1515" spans="5:6" x14ac:dyDescent="0.3">
      <c r="E1515" t="str">
        <f>IFERROR(IF(D1515="","",VLOOKUP(D1515,CadProd!$A:$B,2,0)),"")</f>
        <v/>
      </c>
      <c r="F1515" t="str">
        <f>IFERROR(IF(D1515="","",VLOOKUP(D1515,CadProd!$A:$C,3,0)),"")</f>
        <v/>
      </c>
    </row>
    <row r="1516" spans="5:6" x14ac:dyDescent="0.3">
      <c r="E1516" t="str">
        <f>IFERROR(IF(D1516="","",VLOOKUP(D1516,CadProd!$A:$B,2,0)),"")</f>
        <v/>
      </c>
      <c r="F1516" t="str">
        <f>IFERROR(IF(D1516="","",VLOOKUP(D1516,CadProd!$A:$C,3,0)),"")</f>
        <v/>
      </c>
    </row>
    <row r="1517" spans="5:6" x14ac:dyDescent="0.3">
      <c r="E1517" t="str">
        <f>IFERROR(IF(D1517="","",VLOOKUP(D1517,CadProd!$A:$B,2,0)),"")</f>
        <v/>
      </c>
      <c r="F1517" t="str">
        <f>IFERROR(IF(D1517="","",VLOOKUP(D1517,CadProd!$A:$C,3,0)),"")</f>
        <v/>
      </c>
    </row>
    <row r="1518" spans="5:6" x14ac:dyDescent="0.3">
      <c r="E1518" t="str">
        <f>IFERROR(IF(D1518="","",VLOOKUP(D1518,CadProd!$A:$B,2,0)),"")</f>
        <v/>
      </c>
      <c r="F1518" t="str">
        <f>IFERROR(IF(D1518="","",VLOOKUP(D1518,CadProd!$A:$C,3,0)),"")</f>
        <v/>
      </c>
    </row>
    <row r="1519" spans="5:6" x14ac:dyDescent="0.3">
      <c r="E1519" t="str">
        <f>IFERROR(IF(D1519="","",VLOOKUP(D1519,CadProd!$A:$B,2,0)),"")</f>
        <v/>
      </c>
      <c r="F1519" t="str">
        <f>IFERROR(IF(D1519="","",VLOOKUP(D1519,CadProd!$A:$C,3,0)),"")</f>
        <v/>
      </c>
    </row>
    <row r="1520" spans="5:6" x14ac:dyDescent="0.3">
      <c r="E1520" t="str">
        <f>IFERROR(IF(D1520="","",VLOOKUP(D1520,CadProd!$A:$B,2,0)),"")</f>
        <v/>
      </c>
      <c r="F1520" t="str">
        <f>IFERROR(IF(D1520="","",VLOOKUP(D1520,CadProd!$A:$C,3,0)),"")</f>
        <v/>
      </c>
    </row>
    <row r="1521" spans="5:6" x14ac:dyDescent="0.3">
      <c r="E1521" t="str">
        <f>IFERROR(IF(D1521="","",VLOOKUP(D1521,CadProd!$A:$B,2,0)),"")</f>
        <v/>
      </c>
      <c r="F1521" t="str">
        <f>IFERROR(IF(D1521="","",VLOOKUP(D1521,CadProd!$A:$C,3,0)),"")</f>
        <v/>
      </c>
    </row>
    <row r="1522" spans="5:6" x14ac:dyDescent="0.3">
      <c r="E1522" t="str">
        <f>IFERROR(IF(D1522="","",VLOOKUP(D1522,CadProd!$A:$B,2,0)),"")</f>
        <v/>
      </c>
      <c r="F1522" t="str">
        <f>IFERROR(IF(D1522="","",VLOOKUP(D1522,CadProd!$A:$C,3,0)),"")</f>
        <v/>
      </c>
    </row>
    <row r="1523" spans="5:6" x14ac:dyDescent="0.3">
      <c r="E1523" t="str">
        <f>IFERROR(IF(D1523="","",VLOOKUP(D1523,CadProd!$A:$B,2,0)),"")</f>
        <v/>
      </c>
      <c r="F1523" t="str">
        <f>IFERROR(IF(D1523="","",VLOOKUP(D1523,CadProd!$A:$C,3,0)),"")</f>
        <v/>
      </c>
    </row>
    <row r="1524" spans="5:6" x14ac:dyDescent="0.3">
      <c r="E1524" t="str">
        <f>IFERROR(IF(D1524="","",VLOOKUP(D1524,CadProd!$A:$B,2,0)),"")</f>
        <v/>
      </c>
      <c r="F1524" t="str">
        <f>IFERROR(IF(D1524="","",VLOOKUP(D1524,CadProd!$A:$C,3,0)),"")</f>
        <v/>
      </c>
    </row>
    <row r="1525" spans="5:6" x14ac:dyDescent="0.3">
      <c r="E1525" t="str">
        <f>IFERROR(IF(D1525="","",VLOOKUP(D1525,CadProd!$A:$B,2,0)),"")</f>
        <v/>
      </c>
      <c r="F1525" t="str">
        <f>IFERROR(IF(D1525="","",VLOOKUP(D1525,CadProd!$A:$C,3,0)),"")</f>
        <v/>
      </c>
    </row>
    <row r="1526" spans="5:6" x14ac:dyDescent="0.3">
      <c r="E1526" t="str">
        <f>IFERROR(IF(D1526="","",VLOOKUP(D1526,CadProd!$A:$B,2,0)),"")</f>
        <v/>
      </c>
      <c r="F1526" t="str">
        <f>IFERROR(IF(D1526="","",VLOOKUP(D1526,CadProd!$A:$C,3,0)),"")</f>
        <v/>
      </c>
    </row>
    <row r="1527" spans="5:6" x14ac:dyDescent="0.3">
      <c r="E1527" t="str">
        <f>IFERROR(IF(D1527="","",VLOOKUP(D1527,CadProd!$A:$B,2,0)),"")</f>
        <v/>
      </c>
      <c r="F1527" t="str">
        <f>IFERROR(IF(D1527="","",VLOOKUP(D1527,CadProd!$A:$C,3,0)),"")</f>
        <v/>
      </c>
    </row>
    <row r="1528" spans="5:6" x14ac:dyDescent="0.3">
      <c r="E1528" t="str">
        <f>IFERROR(IF(D1528="","",VLOOKUP(D1528,CadProd!$A:$B,2,0)),"")</f>
        <v/>
      </c>
      <c r="F1528" t="str">
        <f>IFERROR(IF(D1528="","",VLOOKUP(D1528,CadProd!$A:$C,3,0)),"")</f>
        <v/>
      </c>
    </row>
    <row r="1529" spans="5:6" x14ac:dyDescent="0.3">
      <c r="E1529" t="str">
        <f>IFERROR(IF(D1529="","",VLOOKUP(D1529,CadProd!$A:$B,2,0)),"")</f>
        <v/>
      </c>
      <c r="F1529" t="str">
        <f>IFERROR(IF(D1529="","",VLOOKUP(D1529,CadProd!$A:$C,3,0)),"")</f>
        <v/>
      </c>
    </row>
    <row r="1530" spans="5:6" x14ac:dyDescent="0.3">
      <c r="E1530" t="str">
        <f>IFERROR(IF(D1530="","",VLOOKUP(D1530,CadProd!$A:$B,2,0)),"")</f>
        <v/>
      </c>
      <c r="F1530" t="str">
        <f>IFERROR(IF(D1530="","",VLOOKUP(D1530,CadProd!$A:$C,3,0)),"")</f>
        <v/>
      </c>
    </row>
    <row r="1531" spans="5:6" x14ac:dyDescent="0.3">
      <c r="E1531" t="str">
        <f>IFERROR(IF(D1531="","",VLOOKUP(D1531,CadProd!$A:$B,2,0)),"")</f>
        <v/>
      </c>
      <c r="F1531" t="str">
        <f>IFERROR(IF(D1531="","",VLOOKUP(D1531,CadProd!$A:$C,3,0)),"")</f>
        <v/>
      </c>
    </row>
    <row r="1532" spans="5:6" x14ac:dyDescent="0.3">
      <c r="E1532" t="str">
        <f>IFERROR(IF(D1532="","",VLOOKUP(D1532,CadProd!$A:$B,2,0)),"")</f>
        <v/>
      </c>
      <c r="F1532" t="str">
        <f>IFERROR(IF(D1532="","",VLOOKUP(D1532,CadProd!$A:$C,3,0)),"")</f>
        <v/>
      </c>
    </row>
    <row r="1533" spans="5:6" x14ac:dyDescent="0.3">
      <c r="E1533" t="str">
        <f>IFERROR(IF(D1533="","",VLOOKUP(D1533,CadProd!$A:$B,2,0)),"")</f>
        <v/>
      </c>
      <c r="F1533" t="str">
        <f>IFERROR(IF(D1533="","",VLOOKUP(D1533,CadProd!$A:$C,3,0)),"")</f>
        <v/>
      </c>
    </row>
    <row r="1534" spans="5:6" x14ac:dyDescent="0.3">
      <c r="E1534" t="str">
        <f>IFERROR(IF(D1534="","",VLOOKUP(D1534,CadProd!$A:$B,2,0)),"")</f>
        <v/>
      </c>
      <c r="F1534" t="str">
        <f>IFERROR(IF(D1534="","",VLOOKUP(D1534,CadProd!$A:$C,3,0)),"")</f>
        <v/>
      </c>
    </row>
    <row r="1535" spans="5:6" x14ac:dyDescent="0.3">
      <c r="E1535" t="str">
        <f>IFERROR(IF(D1535="","",VLOOKUP(D1535,CadProd!$A:$B,2,0)),"")</f>
        <v/>
      </c>
      <c r="F1535" t="str">
        <f>IFERROR(IF(D1535="","",VLOOKUP(D1535,CadProd!$A:$C,3,0)),"")</f>
        <v/>
      </c>
    </row>
    <row r="1536" spans="5:6" x14ac:dyDescent="0.3">
      <c r="E1536" t="str">
        <f>IFERROR(IF(D1536="","",VLOOKUP(D1536,CadProd!$A:$B,2,0)),"")</f>
        <v/>
      </c>
      <c r="F1536" t="str">
        <f>IFERROR(IF(D1536="","",VLOOKUP(D1536,CadProd!$A:$C,3,0)),"")</f>
        <v/>
      </c>
    </row>
    <row r="1537" spans="5:6" x14ac:dyDescent="0.3">
      <c r="E1537" t="str">
        <f>IFERROR(IF(D1537="","",VLOOKUP(D1537,CadProd!$A:$B,2,0)),"")</f>
        <v/>
      </c>
      <c r="F1537" t="str">
        <f>IFERROR(IF(D1537="","",VLOOKUP(D1537,CadProd!$A:$C,3,0)),"")</f>
        <v/>
      </c>
    </row>
    <row r="1538" spans="5:6" x14ac:dyDescent="0.3">
      <c r="E1538" t="str">
        <f>IFERROR(IF(D1538="","",VLOOKUP(D1538,CadProd!$A:$B,2,0)),"")</f>
        <v/>
      </c>
      <c r="F1538" t="str">
        <f>IFERROR(IF(D1538="","",VLOOKUP(D1538,CadProd!$A:$C,3,0)),"")</f>
        <v/>
      </c>
    </row>
    <row r="1539" spans="5:6" x14ac:dyDescent="0.3">
      <c r="E1539" t="str">
        <f>IFERROR(IF(D1539="","",VLOOKUP(D1539,CadProd!$A:$B,2,0)),"")</f>
        <v/>
      </c>
      <c r="F1539" t="str">
        <f>IFERROR(IF(D1539="","",VLOOKUP(D1539,CadProd!$A:$C,3,0)),"")</f>
        <v/>
      </c>
    </row>
    <row r="1540" spans="5:6" x14ac:dyDescent="0.3">
      <c r="E1540" t="str">
        <f>IFERROR(IF(D1540="","",VLOOKUP(D1540,CadProd!$A:$B,2,0)),"")</f>
        <v/>
      </c>
      <c r="F1540" t="str">
        <f>IFERROR(IF(D1540="","",VLOOKUP(D1540,CadProd!$A:$C,3,0)),"")</f>
        <v/>
      </c>
    </row>
    <row r="1541" spans="5:6" x14ac:dyDescent="0.3">
      <c r="E1541" t="str">
        <f>IFERROR(IF(D1541="","",VLOOKUP(D1541,CadProd!$A:$B,2,0)),"")</f>
        <v/>
      </c>
      <c r="F1541" t="str">
        <f>IFERROR(IF(D1541="","",VLOOKUP(D1541,CadProd!$A:$C,3,0)),"")</f>
        <v/>
      </c>
    </row>
    <row r="1542" spans="5:6" x14ac:dyDescent="0.3">
      <c r="E1542" t="str">
        <f>IFERROR(IF(D1542="","",VLOOKUP(D1542,CadProd!$A:$B,2,0)),"")</f>
        <v/>
      </c>
      <c r="F1542" t="str">
        <f>IFERROR(IF(D1542="","",VLOOKUP(D1542,CadProd!$A:$C,3,0)),"")</f>
        <v/>
      </c>
    </row>
    <row r="1543" spans="5:6" x14ac:dyDescent="0.3">
      <c r="E1543" t="str">
        <f>IFERROR(IF(D1543="","",VLOOKUP(D1543,CadProd!$A:$B,2,0)),"")</f>
        <v/>
      </c>
      <c r="F1543" t="str">
        <f>IFERROR(IF(D1543="","",VLOOKUP(D1543,CadProd!$A:$C,3,0)),"")</f>
        <v/>
      </c>
    </row>
    <row r="1544" spans="5:6" x14ac:dyDescent="0.3">
      <c r="E1544" t="str">
        <f>IFERROR(IF(D1544="","",VLOOKUP(D1544,CadProd!$A:$B,2,0)),"")</f>
        <v/>
      </c>
      <c r="F1544" t="str">
        <f>IFERROR(IF(D1544="","",VLOOKUP(D1544,CadProd!$A:$C,3,0)),"")</f>
        <v/>
      </c>
    </row>
    <row r="1545" spans="5:6" x14ac:dyDescent="0.3">
      <c r="E1545" t="str">
        <f>IFERROR(IF(D1545="","",VLOOKUP(D1545,CadProd!$A:$B,2,0)),"")</f>
        <v/>
      </c>
      <c r="F1545" t="str">
        <f>IFERROR(IF(D1545="","",VLOOKUP(D1545,CadProd!$A:$C,3,0)),"")</f>
        <v/>
      </c>
    </row>
    <row r="1546" spans="5:6" x14ac:dyDescent="0.3">
      <c r="E1546" t="str">
        <f>IFERROR(IF(D1546="","",VLOOKUP(D1546,CadProd!$A:$B,2,0)),"")</f>
        <v/>
      </c>
      <c r="F1546" t="str">
        <f>IFERROR(IF(D1546="","",VLOOKUP(D1546,CadProd!$A:$C,3,0)),"")</f>
        <v/>
      </c>
    </row>
    <row r="1547" spans="5:6" x14ac:dyDescent="0.3">
      <c r="E1547" t="str">
        <f>IFERROR(IF(D1547="","",VLOOKUP(D1547,CadProd!$A:$B,2,0)),"")</f>
        <v/>
      </c>
      <c r="F1547" t="str">
        <f>IFERROR(IF(D1547="","",VLOOKUP(D1547,CadProd!$A:$C,3,0)),"")</f>
        <v/>
      </c>
    </row>
    <row r="1548" spans="5:6" x14ac:dyDescent="0.3">
      <c r="E1548" t="str">
        <f>IFERROR(IF(D1548="","",VLOOKUP(D1548,CadProd!$A:$B,2,0)),"")</f>
        <v/>
      </c>
      <c r="F1548" t="str">
        <f>IFERROR(IF(D1548="","",VLOOKUP(D1548,CadProd!$A:$C,3,0)),"")</f>
        <v/>
      </c>
    </row>
    <row r="1549" spans="5:6" x14ac:dyDescent="0.3">
      <c r="E1549" t="str">
        <f>IFERROR(IF(D1549="","",VLOOKUP(D1549,CadProd!$A:$B,2,0)),"")</f>
        <v/>
      </c>
      <c r="F1549" t="str">
        <f>IFERROR(IF(D1549="","",VLOOKUP(D1549,CadProd!$A:$C,3,0)),"")</f>
        <v/>
      </c>
    </row>
    <row r="1550" spans="5:6" x14ac:dyDescent="0.3">
      <c r="E1550" t="str">
        <f>IFERROR(IF(D1550="","",VLOOKUP(D1550,CadProd!$A:$B,2,0)),"")</f>
        <v/>
      </c>
      <c r="F1550" t="str">
        <f>IFERROR(IF(D1550="","",VLOOKUP(D1550,CadProd!$A:$C,3,0)),"")</f>
        <v/>
      </c>
    </row>
    <row r="1551" spans="5:6" x14ac:dyDescent="0.3">
      <c r="E1551" t="str">
        <f>IFERROR(IF(D1551="","",VLOOKUP(D1551,CadProd!$A:$B,2,0)),"")</f>
        <v/>
      </c>
      <c r="F1551" t="str">
        <f>IFERROR(IF(D1551="","",VLOOKUP(D1551,CadProd!$A:$C,3,0)),"")</f>
        <v/>
      </c>
    </row>
    <row r="1552" spans="5:6" x14ac:dyDescent="0.3">
      <c r="E1552" t="str">
        <f>IFERROR(IF(D1552="","",VLOOKUP(D1552,CadProd!$A:$B,2,0)),"")</f>
        <v/>
      </c>
      <c r="F1552" t="str">
        <f>IFERROR(IF(D1552="","",VLOOKUP(D1552,CadProd!$A:$C,3,0)),"")</f>
        <v/>
      </c>
    </row>
    <row r="1553" spans="5:6" x14ac:dyDescent="0.3">
      <c r="E1553" t="str">
        <f>IFERROR(IF(D1553="","",VLOOKUP(D1553,CadProd!$A:$B,2,0)),"")</f>
        <v/>
      </c>
      <c r="F1553" t="str">
        <f>IFERROR(IF(D1553="","",VLOOKUP(D1553,CadProd!$A:$C,3,0)),"")</f>
        <v/>
      </c>
    </row>
    <row r="1554" spans="5:6" x14ac:dyDescent="0.3">
      <c r="E1554" t="str">
        <f>IFERROR(IF(D1554="","",VLOOKUP(D1554,CadProd!$A:$B,2,0)),"")</f>
        <v/>
      </c>
      <c r="F1554" t="str">
        <f>IFERROR(IF(D1554="","",VLOOKUP(D1554,CadProd!$A:$C,3,0)),"")</f>
        <v/>
      </c>
    </row>
    <row r="1555" spans="5:6" x14ac:dyDescent="0.3">
      <c r="E1555" t="str">
        <f>IFERROR(IF(D1555="","",VLOOKUP(D1555,CadProd!$A:$B,2,0)),"")</f>
        <v/>
      </c>
      <c r="F1555" t="str">
        <f>IFERROR(IF(D1555="","",VLOOKUP(D1555,CadProd!$A:$C,3,0)),"")</f>
        <v/>
      </c>
    </row>
    <row r="1556" spans="5:6" x14ac:dyDescent="0.3">
      <c r="E1556" t="str">
        <f>IFERROR(IF(D1556="","",VLOOKUP(D1556,CadProd!$A:$B,2,0)),"")</f>
        <v/>
      </c>
      <c r="F1556" t="str">
        <f>IFERROR(IF(D1556="","",VLOOKUP(D1556,CadProd!$A:$C,3,0)),"")</f>
        <v/>
      </c>
    </row>
    <row r="1557" spans="5:6" x14ac:dyDescent="0.3">
      <c r="E1557" t="str">
        <f>IFERROR(IF(D1557="","",VLOOKUP(D1557,CadProd!$A:$B,2,0)),"")</f>
        <v/>
      </c>
      <c r="F1557" t="str">
        <f>IFERROR(IF(D1557="","",VLOOKUP(D1557,CadProd!$A:$C,3,0)),"")</f>
        <v/>
      </c>
    </row>
    <row r="1558" spans="5:6" x14ac:dyDescent="0.3">
      <c r="E1558" t="str">
        <f>IFERROR(IF(D1558="","",VLOOKUP(D1558,CadProd!$A:$B,2,0)),"")</f>
        <v/>
      </c>
      <c r="F1558" t="str">
        <f>IFERROR(IF(D1558="","",VLOOKUP(D1558,CadProd!$A:$C,3,0)),"")</f>
        <v/>
      </c>
    </row>
    <row r="1559" spans="5:6" x14ac:dyDescent="0.3">
      <c r="E1559" t="str">
        <f>IFERROR(IF(D1559="","",VLOOKUP(D1559,CadProd!$A:$B,2,0)),"")</f>
        <v/>
      </c>
      <c r="F1559" t="str">
        <f>IFERROR(IF(D1559="","",VLOOKUP(D1559,CadProd!$A:$C,3,0)),"")</f>
        <v/>
      </c>
    </row>
    <row r="1560" spans="5:6" x14ac:dyDescent="0.3">
      <c r="E1560" t="str">
        <f>IFERROR(IF(D1560="","",VLOOKUP(D1560,CadProd!$A:$B,2,0)),"")</f>
        <v/>
      </c>
      <c r="F1560" t="str">
        <f>IFERROR(IF(D1560="","",VLOOKUP(D1560,CadProd!$A:$C,3,0)),"")</f>
        <v/>
      </c>
    </row>
    <row r="1561" spans="5:6" x14ac:dyDescent="0.3">
      <c r="E1561" t="str">
        <f>IFERROR(IF(D1561="","",VLOOKUP(D1561,CadProd!$A:$B,2,0)),"")</f>
        <v/>
      </c>
      <c r="F1561" t="str">
        <f>IFERROR(IF(D1561="","",VLOOKUP(D1561,CadProd!$A:$C,3,0)),"")</f>
        <v/>
      </c>
    </row>
    <row r="1562" spans="5:6" x14ac:dyDescent="0.3">
      <c r="E1562" t="str">
        <f>IFERROR(IF(D1562="","",VLOOKUP(D1562,CadProd!$A:$B,2,0)),"")</f>
        <v/>
      </c>
      <c r="F1562" t="str">
        <f>IFERROR(IF(D1562="","",VLOOKUP(D1562,CadProd!$A:$C,3,0)),"")</f>
        <v/>
      </c>
    </row>
    <row r="1563" spans="5:6" x14ac:dyDescent="0.3">
      <c r="E1563" t="str">
        <f>IFERROR(IF(D1563="","",VLOOKUP(D1563,CadProd!$A:$B,2,0)),"")</f>
        <v/>
      </c>
      <c r="F1563" t="str">
        <f>IFERROR(IF(D1563="","",VLOOKUP(D1563,CadProd!$A:$C,3,0)),"")</f>
        <v/>
      </c>
    </row>
    <row r="1564" spans="5:6" x14ac:dyDescent="0.3">
      <c r="E1564" t="str">
        <f>IFERROR(IF(D1564="","",VLOOKUP(D1564,CadProd!$A:$B,2,0)),"")</f>
        <v/>
      </c>
      <c r="F1564" t="str">
        <f>IFERROR(IF(D1564="","",VLOOKUP(D1564,CadProd!$A:$C,3,0)),"")</f>
        <v/>
      </c>
    </row>
    <row r="1565" spans="5:6" x14ac:dyDescent="0.3">
      <c r="E1565" t="str">
        <f>IFERROR(IF(D1565="","",VLOOKUP(D1565,CadProd!$A:$B,2,0)),"")</f>
        <v/>
      </c>
      <c r="F1565" t="str">
        <f>IFERROR(IF(D1565="","",VLOOKUP(D1565,CadProd!$A:$C,3,0)),"")</f>
        <v/>
      </c>
    </row>
    <row r="1566" spans="5:6" x14ac:dyDescent="0.3">
      <c r="E1566" t="str">
        <f>IFERROR(IF(D1566="","",VLOOKUP(D1566,CadProd!$A:$B,2,0)),"")</f>
        <v/>
      </c>
      <c r="F1566" t="str">
        <f>IFERROR(IF(D1566="","",VLOOKUP(D1566,CadProd!$A:$C,3,0)),"")</f>
        <v/>
      </c>
    </row>
    <row r="1567" spans="5:6" x14ac:dyDescent="0.3">
      <c r="E1567" t="str">
        <f>IFERROR(IF(D1567="","",VLOOKUP(D1567,CadProd!$A:$B,2,0)),"")</f>
        <v/>
      </c>
      <c r="F1567" t="str">
        <f>IFERROR(IF(D1567="","",VLOOKUP(D1567,CadProd!$A:$C,3,0)),"")</f>
        <v/>
      </c>
    </row>
    <row r="1568" spans="5:6" x14ac:dyDescent="0.3">
      <c r="E1568" t="str">
        <f>IFERROR(IF(D1568="","",VLOOKUP(D1568,CadProd!$A:$B,2,0)),"")</f>
        <v/>
      </c>
      <c r="F1568" t="str">
        <f>IFERROR(IF(D1568="","",VLOOKUP(D1568,CadProd!$A:$C,3,0)),"")</f>
        <v/>
      </c>
    </row>
    <row r="1569" spans="5:6" x14ac:dyDescent="0.3">
      <c r="E1569" t="str">
        <f>IFERROR(IF(D1569="","",VLOOKUP(D1569,CadProd!$A:$B,2,0)),"")</f>
        <v/>
      </c>
      <c r="F1569" t="str">
        <f>IFERROR(IF(D1569="","",VLOOKUP(D1569,CadProd!$A:$C,3,0)),"")</f>
        <v/>
      </c>
    </row>
    <row r="1570" spans="5:6" x14ac:dyDescent="0.3">
      <c r="E1570" t="str">
        <f>IFERROR(IF(D1570="","",VLOOKUP(D1570,CadProd!$A:$B,2,0)),"")</f>
        <v/>
      </c>
      <c r="F1570" t="str">
        <f>IFERROR(IF(D1570="","",VLOOKUP(D1570,CadProd!$A:$C,3,0)),"")</f>
        <v/>
      </c>
    </row>
    <row r="1571" spans="5:6" x14ac:dyDescent="0.3">
      <c r="E1571" t="str">
        <f>IFERROR(IF(D1571="","",VLOOKUP(D1571,CadProd!$A:$B,2,0)),"")</f>
        <v/>
      </c>
      <c r="F1571" t="str">
        <f>IFERROR(IF(D1571="","",VLOOKUP(D1571,CadProd!$A:$C,3,0)),"")</f>
        <v/>
      </c>
    </row>
    <row r="1572" spans="5:6" x14ac:dyDescent="0.3">
      <c r="E1572" t="str">
        <f>IFERROR(IF(D1572="","",VLOOKUP(D1572,CadProd!$A:$B,2,0)),"")</f>
        <v/>
      </c>
      <c r="F1572" t="str">
        <f>IFERROR(IF(D1572="","",VLOOKUP(D1572,CadProd!$A:$C,3,0)),"")</f>
        <v/>
      </c>
    </row>
    <row r="1573" spans="5:6" x14ac:dyDescent="0.3">
      <c r="E1573" t="str">
        <f>IFERROR(IF(D1573="","",VLOOKUP(D1573,CadProd!$A:$B,2,0)),"")</f>
        <v/>
      </c>
      <c r="F1573" t="str">
        <f>IFERROR(IF(D1573="","",VLOOKUP(D1573,CadProd!$A:$C,3,0)),"")</f>
        <v/>
      </c>
    </row>
    <row r="1574" spans="5:6" x14ac:dyDescent="0.3">
      <c r="E1574" t="str">
        <f>IFERROR(IF(D1574="","",VLOOKUP(D1574,CadProd!$A:$B,2,0)),"")</f>
        <v/>
      </c>
      <c r="F1574" t="str">
        <f>IFERROR(IF(D1574="","",VLOOKUP(D1574,CadProd!$A:$C,3,0)),"")</f>
        <v/>
      </c>
    </row>
    <row r="1575" spans="5:6" x14ac:dyDescent="0.3">
      <c r="E1575" t="str">
        <f>IFERROR(IF(D1575="","",VLOOKUP(D1575,CadProd!$A:$B,2,0)),"")</f>
        <v/>
      </c>
      <c r="F1575" t="str">
        <f>IFERROR(IF(D1575="","",VLOOKUP(D1575,CadProd!$A:$C,3,0)),"")</f>
        <v/>
      </c>
    </row>
    <row r="1576" spans="5:6" x14ac:dyDescent="0.3">
      <c r="E1576" t="str">
        <f>IFERROR(IF(D1576="","",VLOOKUP(D1576,CadProd!$A:$B,2,0)),"")</f>
        <v/>
      </c>
      <c r="F1576" t="str">
        <f>IFERROR(IF(D1576="","",VLOOKUP(D1576,CadProd!$A:$C,3,0)),"")</f>
        <v/>
      </c>
    </row>
    <row r="1577" spans="5:6" x14ac:dyDescent="0.3">
      <c r="E1577" t="str">
        <f>IFERROR(IF(D1577="","",VLOOKUP(D1577,CadProd!$A:$B,2,0)),"")</f>
        <v/>
      </c>
      <c r="F1577" t="str">
        <f>IFERROR(IF(D1577="","",VLOOKUP(D1577,CadProd!$A:$C,3,0)),"")</f>
        <v/>
      </c>
    </row>
    <row r="1578" spans="5:6" x14ac:dyDescent="0.3">
      <c r="E1578" t="str">
        <f>IFERROR(IF(D1578="","",VLOOKUP(D1578,CadProd!$A:$B,2,0)),"")</f>
        <v/>
      </c>
      <c r="F1578" t="str">
        <f>IFERROR(IF(D1578="","",VLOOKUP(D1578,CadProd!$A:$C,3,0)),"")</f>
        <v/>
      </c>
    </row>
    <row r="1579" spans="5:6" x14ac:dyDescent="0.3">
      <c r="E1579" t="str">
        <f>IFERROR(IF(D1579="","",VLOOKUP(D1579,CadProd!$A:$B,2,0)),"")</f>
        <v/>
      </c>
      <c r="F1579" t="str">
        <f>IFERROR(IF(D1579="","",VLOOKUP(D1579,CadProd!$A:$C,3,0)),"")</f>
        <v/>
      </c>
    </row>
    <row r="1580" spans="5:6" x14ac:dyDescent="0.3">
      <c r="E1580" t="str">
        <f>IFERROR(IF(D1580="","",VLOOKUP(D1580,CadProd!$A:$B,2,0)),"")</f>
        <v/>
      </c>
      <c r="F1580" t="str">
        <f>IFERROR(IF(D1580="","",VLOOKUP(D1580,CadProd!$A:$C,3,0)),"")</f>
        <v/>
      </c>
    </row>
    <row r="1581" spans="5:6" x14ac:dyDescent="0.3">
      <c r="E1581" t="str">
        <f>IFERROR(IF(D1581="","",VLOOKUP(D1581,CadProd!$A:$B,2,0)),"")</f>
        <v/>
      </c>
      <c r="F1581" t="str">
        <f>IFERROR(IF(D1581="","",VLOOKUP(D1581,CadProd!$A:$C,3,0)),"")</f>
        <v/>
      </c>
    </row>
    <row r="1582" spans="5:6" x14ac:dyDescent="0.3">
      <c r="E1582" t="str">
        <f>IFERROR(IF(D1582="","",VLOOKUP(D1582,CadProd!$A:$B,2,0)),"")</f>
        <v/>
      </c>
      <c r="F1582" t="str">
        <f>IFERROR(IF(D1582="","",VLOOKUP(D1582,CadProd!$A:$C,3,0)),"")</f>
        <v/>
      </c>
    </row>
    <row r="1583" spans="5:6" x14ac:dyDescent="0.3">
      <c r="E1583" t="str">
        <f>IFERROR(IF(D1583="","",VLOOKUP(D1583,CadProd!$A:$B,2,0)),"")</f>
        <v/>
      </c>
      <c r="F1583" t="str">
        <f>IFERROR(IF(D1583="","",VLOOKUP(D1583,CadProd!$A:$C,3,0)),"")</f>
        <v/>
      </c>
    </row>
    <row r="1584" spans="5:6" x14ac:dyDescent="0.3">
      <c r="E1584" t="str">
        <f>IFERROR(IF(D1584="","",VLOOKUP(D1584,CadProd!$A:$B,2,0)),"")</f>
        <v/>
      </c>
      <c r="F1584" t="str">
        <f>IFERROR(IF(D1584="","",VLOOKUP(D1584,CadProd!$A:$C,3,0)),"")</f>
        <v/>
      </c>
    </row>
    <row r="1585" spans="5:6" x14ac:dyDescent="0.3">
      <c r="E1585" t="str">
        <f>IFERROR(IF(D1585="","",VLOOKUP(D1585,CadProd!$A:$B,2,0)),"")</f>
        <v/>
      </c>
      <c r="F1585" t="str">
        <f>IFERROR(IF(D1585="","",VLOOKUP(D1585,CadProd!$A:$C,3,0)),"")</f>
        <v/>
      </c>
    </row>
    <row r="1586" spans="5:6" x14ac:dyDescent="0.3">
      <c r="E1586" t="str">
        <f>IFERROR(IF(D1586="","",VLOOKUP(D1586,CadProd!$A:$B,2,0)),"")</f>
        <v/>
      </c>
      <c r="F1586" t="str">
        <f>IFERROR(IF(D1586="","",VLOOKUP(D1586,CadProd!$A:$C,3,0)),"")</f>
        <v/>
      </c>
    </row>
    <row r="1587" spans="5:6" x14ac:dyDescent="0.3">
      <c r="E1587" t="str">
        <f>IFERROR(IF(D1587="","",VLOOKUP(D1587,CadProd!$A:$B,2,0)),"")</f>
        <v/>
      </c>
      <c r="F1587" t="str">
        <f>IFERROR(IF(D1587="","",VLOOKUP(D1587,CadProd!$A:$C,3,0)),"")</f>
        <v/>
      </c>
    </row>
    <row r="1588" spans="5:6" x14ac:dyDescent="0.3">
      <c r="E1588" t="str">
        <f>IFERROR(IF(D1588="","",VLOOKUP(D1588,CadProd!$A:$B,2,0)),"")</f>
        <v/>
      </c>
      <c r="F1588" t="str">
        <f>IFERROR(IF(D1588="","",VLOOKUP(D1588,CadProd!$A:$C,3,0)),"")</f>
        <v/>
      </c>
    </row>
    <row r="1589" spans="5:6" x14ac:dyDescent="0.3">
      <c r="E1589" t="str">
        <f>IFERROR(IF(D1589="","",VLOOKUP(D1589,CadProd!$A:$B,2,0)),"")</f>
        <v/>
      </c>
      <c r="F1589" t="str">
        <f>IFERROR(IF(D1589="","",VLOOKUP(D1589,CadProd!$A:$C,3,0)),"")</f>
        <v/>
      </c>
    </row>
    <row r="1590" spans="5:6" x14ac:dyDescent="0.3">
      <c r="E1590" t="str">
        <f>IFERROR(IF(D1590="","",VLOOKUP(D1590,CadProd!$A:$B,2,0)),"")</f>
        <v/>
      </c>
      <c r="F1590" t="str">
        <f>IFERROR(IF(D1590="","",VLOOKUP(D1590,CadProd!$A:$C,3,0)),"")</f>
        <v/>
      </c>
    </row>
    <row r="1591" spans="5:6" x14ac:dyDescent="0.3">
      <c r="E1591" t="str">
        <f>IFERROR(IF(D1591="","",VLOOKUP(D1591,CadProd!$A:$B,2,0)),"")</f>
        <v/>
      </c>
      <c r="F1591" t="str">
        <f>IFERROR(IF(D1591="","",VLOOKUP(D1591,CadProd!$A:$C,3,0)),"")</f>
        <v/>
      </c>
    </row>
    <row r="1592" spans="5:6" x14ac:dyDescent="0.3">
      <c r="E1592" t="str">
        <f>IFERROR(IF(D1592="","",VLOOKUP(D1592,CadProd!$A:$B,2,0)),"")</f>
        <v/>
      </c>
      <c r="F1592" t="str">
        <f>IFERROR(IF(D1592="","",VLOOKUP(D1592,CadProd!$A:$C,3,0)),"")</f>
        <v/>
      </c>
    </row>
    <row r="1593" spans="5:6" x14ac:dyDescent="0.3">
      <c r="E1593" t="str">
        <f>IFERROR(IF(D1593="","",VLOOKUP(D1593,CadProd!$A:$B,2,0)),"")</f>
        <v/>
      </c>
      <c r="F1593" t="str">
        <f>IFERROR(IF(D1593="","",VLOOKUP(D1593,CadProd!$A:$C,3,0)),"")</f>
        <v/>
      </c>
    </row>
    <row r="1594" spans="5:6" x14ac:dyDescent="0.3">
      <c r="E1594" t="str">
        <f>IFERROR(IF(D1594="","",VLOOKUP(D1594,CadProd!$A:$B,2,0)),"")</f>
        <v/>
      </c>
      <c r="F1594" t="str">
        <f>IFERROR(IF(D1594="","",VLOOKUP(D1594,CadProd!$A:$C,3,0)),"")</f>
        <v/>
      </c>
    </row>
    <row r="1595" spans="5:6" x14ac:dyDescent="0.3">
      <c r="E1595" t="str">
        <f>IFERROR(IF(D1595="","",VLOOKUP(D1595,CadProd!$A:$B,2,0)),"")</f>
        <v/>
      </c>
      <c r="F1595" t="str">
        <f>IFERROR(IF(D1595="","",VLOOKUP(D1595,CadProd!$A:$C,3,0)),"")</f>
        <v/>
      </c>
    </row>
    <row r="1596" spans="5:6" x14ac:dyDescent="0.3">
      <c r="E1596" t="str">
        <f>IFERROR(IF(D1596="","",VLOOKUP(D1596,CadProd!$A:$B,2,0)),"")</f>
        <v/>
      </c>
      <c r="F1596" t="str">
        <f>IFERROR(IF(D1596="","",VLOOKUP(D1596,CadProd!$A:$C,3,0)),"")</f>
        <v/>
      </c>
    </row>
    <row r="1597" spans="5:6" x14ac:dyDescent="0.3">
      <c r="E1597" t="str">
        <f>IFERROR(IF(D1597="","",VLOOKUP(D1597,CadProd!$A:$B,2,0)),"")</f>
        <v/>
      </c>
      <c r="F1597" t="str">
        <f>IFERROR(IF(D1597="","",VLOOKUP(D1597,CadProd!$A:$C,3,0)),"")</f>
        <v/>
      </c>
    </row>
    <row r="1598" spans="5:6" x14ac:dyDescent="0.3">
      <c r="E1598" t="str">
        <f>IFERROR(IF(D1598="","",VLOOKUP(D1598,CadProd!$A:$B,2,0)),"")</f>
        <v/>
      </c>
      <c r="F1598" t="str">
        <f>IFERROR(IF(D1598="","",VLOOKUP(D1598,CadProd!$A:$C,3,0)),"")</f>
        <v/>
      </c>
    </row>
    <row r="1599" spans="5:6" x14ac:dyDescent="0.3">
      <c r="E1599" t="str">
        <f>IFERROR(IF(D1599="","",VLOOKUP(D1599,CadProd!$A:$B,2,0)),"")</f>
        <v/>
      </c>
      <c r="F1599" t="str">
        <f>IFERROR(IF(D1599="","",VLOOKUP(D1599,CadProd!$A:$C,3,0)),"")</f>
        <v/>
      </c>
    </row>
    <row r="1600" spans="5:6" x14ac:dyDescent="0.3">
      <c r="E1600" t="str">
        <f>IFERROR(IF(D1600="","",VLOOKUP(D1600,CadProd!$A:$B,2,0)),"")</f>
        <v/>
      </c>
      <c r="F1600" t="str">
        <f>IFERROR(IF(D1600="","",VLOOKUP(D1600,CadProd!$A:$C,3,0)),"")</f>
        <v/>
      </c>
    </row>
    <row r="1601" spans="5:6" x14ac:dyDescent="0.3">
      <c r="E1601" t="str">
        <f>IFERROR(IF(D1601="","",VLOOKUP(D1601,CadProd!$A:$B,2,0)),"")</f>
        <v/>
      </c>
      <c r="F1601" t="str">
        <f>IFERROR(IF(D1601="","",VLOOKUP(D1601,CadProd!$A:$C,3,0)),"")</f>
        <v/>
      </c>
    </row>
    <row r="1602" spans="5:6" x14ac:dyDescent="0.3">
      <c r="E1602" t="str">
        <f>IFERROR(IF(D1602="","",VLOOKUP(D1602,CadProd!$A:$B,2,0)),"")</f>
        <v/>
      </c>
      <c r="F1602" t="str">
        <f>IFERROR(IF(D1602="","",VLOOKUP(D1602,CadProd!$A:$C,3,0)),"")</f>
        <v/>
      </c>
    </row>
    <row r="1603" spans="5:6" x14ac:dyDescent="0.3">
      <c r="E1603" t="str">
        <f>IFERROR(IF(D1603="","",VLOOKUP(D1603,CadProd!$A:$B,2,0)),"")</f>
        <v/>
      </c>
      <c r="F1603" t="str">
        <f>IFERROR(IF(D1603="","",VLOOKUP(D1603,CadProd!$A:$C,3,0)),"")</f>
        <v/>
      </c>
    </row>
    <row r="1604" spans="5:6" x14ac:dyDescent="0.3">
      <c r="E1604" t="str">
        <f>IFERROR(IF(D1604="","",VLOOKUP(D1604,CadProd!$A:$B,2,0)),"")</f>
        <v/>
      </c>
      <c r="F1604" t="str">
        <f>IFERROR(IF(D1604="","",VLOOKUP(D1604,CadProd!$A:$C,3,0)),"")</f>
        <v/>
      </c>
    </row>
    <row r="1605" spans="5:6" x14ac:dyDescent="0.3">
      <c r="E1605" t="str">
        <f>IFERROR(IF(D1605="","",VLOOKUP(D1605,CadProd!$A:$B,2,0)),"")</f>
        <v/>
      </c>
      <c r="F1605" t="str">
        <f>IFERROR(IF(D1605="","",VLOOKUP(D1605,CadProd!$A:$C,3,0)),"")</f>
        <v/>
      </c>
    </row>
    <row r="1606" spans="5:6" x14ac:dyDescent="0.3">
      <c r="E1606" t="str">
        <f>IFERROR(IF(D1606="","",VLOOKUP(D1606,CadProd!$A:$B,2,0)),"")</f>
        <v/>
      </c>
      <c r="F1606" t="str">
        <f>IFERROR(IF(D1606="","",VLOOKUP(D1606,CadProd!$A:$C,3,0)),"")</f>
        <v/>
      </c>
    </row>
    <row r="1607" spans="5:6" x14ac:dyDescent="0.3">
      <c r="E1607" t="str">
        <f>IFERROR(IF(D1607="","",VLOOKUP(D1607,CadProd!$A:$B,2,0)),"")</f>
        <v/>
      </c>
      <c r="F1607" t="str">
        <f>IFERROR(IF(D1607="","",VLOOKUP(D1607,CadProd!$A:$C,3,0)),"")</f>
        <v/>
      </c>
    </row>
    <row r="1608" spans="5:6" x14ac:dyDescent="0.3">
      <c r="E1608" t="str">
        <f>IFERROR(IF(D1608="","",VLOOKUP(D1608,CadProd!$A:$B,2,0)),"")</f>
        <v/>
      </c>
      <c r="F1608" t="str">
        <f>IFERROR(IF(D1608="","",VLOOKUP(D1608,CadProd!$A:$C,3,0)),"")</f>
        <v/>
      </c>
    </row>
    <row r="1609" spans="5:6" x14ac:dyDescent="0.3">
      <c r="E1609" t="str">
        <f>IFERROR(IF(D1609="","",VLOOKUP(D1609,CadProd!$A:$B,2,0)),"")</f>
        <v/>
      </c>
      <c r="F1609" t="str">
        <f>IFERROR(IF(D1609="","",VLOOKUP(D1609,CadProd!$A:$C,3,0)),"")</f>
        <v/>
      </c>
    </row>
    <row r="1610" spans="5:6" x14ac:dyDescent="0.3">
      <c r="E1610" t="str">
        <f>IFERROR(IF(D1610="","",VLOOKUP(D1610,CadProd!$A:$B,2,0)),"")</f>
        <v/>
      </c>
      <c r="F1610" t="str">
        <f>IFERROR(IF(D1610="","",VLOOKUP(D1610,CadProd!$A:$C,3,0)),"")</f>
        <v/>
      </c>
    </row>
    <row r="1611" spans="5:6" x14ac:dyDescent="0.3">
      <c r="E1611" t="str">
        <f>IFERROR(IF(D1611="","",VLOOKUP(D1611,CadProd!$A:$B,2,0)),"")</f>
        <v/>
      </c>
      <c r="F1611" t="str">
        <f>IFERROR(IF(D1611="","",VLOOKUP(D1611,CadProd!$A:$C,3,0)),"")</f>
        <v/>
      </c>
    </row>
    <row r="1612" spans="5:6" x14ac:dyDescent="0.3">
      <c r="E1612" t="str">
        <f>IFERROR(IF(D1612="","",VLOOKUP(D1612,CadProd!$A:$B,2,0)),"")</f>
        <v/>
      </c>
      <c r="F1612" t="str">
        <f>IFERROR(IF(D1612="","",VLOOKUP(D1612,CadProd!$A:$C,3,0)),"")</f>
        <v/>
      </c>
    </row>
    <row r="1613" spans="5:6" x14ac:dyDescent="0.3">
      <c r="E1613" t="str">
        <f>IFERROR(IF(D1613="","",VLOOKUP(D1613,CadProd!$A:$B,2,0)),"")</f>
        <v/>
      </c>
      <c r="F1613" t="str">
        <f>IFERROR(IF(D1613="","",VLOOKUP(D1613,CadProd!$A:$C,3,0)),"")</f>
        <v/>
      </c>
    </row>
    <row r="1614" spans="5:6" x14ac:dyDescent="0.3">
      <c r="E1614" t="str">
        <f>IFERROR(IF(D1614="","",VLOOKUP(D1614,CadProd!$A:$B,2,0)),"")</f>
        <v/>
      </c>
      <c r="F1614" t="str">
        <f>IFERROR(IF(D1614="","",VLOOKUP(D1614,CadProd!$A:$C,3,0)),"")</f>
        <v/>
      </c>
    </row>
    <row r="1615" spans="5:6" x14ac:dyDescent="0.3">
      <c r="E1615" t="str">
        <f>IFERROR(IF(D1615="","",VLOOKUP(D1615,CadProd!$A:$B,2,0)),"")</f>
        <v/>
      </c>
      <c r="F1615" t="str">
        <f>IFERROR(IF(D1615="","",VLOOKUP(D1615,CadProd!$A:$C,3,0)),"")</f>
        <v/>
      </c>
    </row>
    <row r="1616" spans="5:6" x14ac:dyDescent="0.3">
      <c r="E1616" t="str">
        <f>IFERROR(IF(D1616="","",VLOOKUP(D1616,CadProd!$A:$B,2,0)),"")</f>
        <v/>
      </c>
      <c r="F1616" t="str">
        <f>IFERROR(IF(D1616="","",VLOOKUP(D1616,CadProd!$A:$C,3,0)),"")</f>
        <v/>
      </c>
    </row>
    <row r="1617" spans="5:6" x14ac:dyDescent="0.3">
      <c r="E1617" t="str">
        <f>IFERROR(IF(D1617="","",VLOOKUP(D1617,CadProd!$A:$B,2,0)),"")</f>
        <v/>
      </c>
      <c r="F1617" t="str">
        <f>IFERROR(IF(D1617="","",VLOOKUP(D1617,CadProd!$A:$C,3,0)),"")</f>
        <v/>
      </c>
    </row>
    <row r="1618" spans="5:6" x14ac:dyDescent="0.3">
      <c r="E1618" t="str">
        <f>IFERROR(IF(D1618="","",VLOOKUP(D1618,CadProd!$A:$B,2,0)),"")</f>
        <v/>
      </c>
      <c r="F1618" t="str">
        <f>IFERROR(IF(D1618="","",VLOOKUP(D1618,CadProd!$A:$C,3,0)),"")</f>
        <v/>
      </c>
    </row>
    <row r="1619" spans="5:6" x14ac:dyDescent="0.3">
      <c r="E1619" t="str">
        <f>IFERROR(IF(D1619="","",VLOOKUP(D1619,CadProd!$A:$B,2,0)),"")</f>
        <v/>
      </c>
      <c r="F1619" t="str">
        <f>IFERROR(IF(D1619="","",VLOOKUP(D1619,CadProd!$A:$C,3,0)),"")</f>
        <v/>
      </c>
    </row>
    <row r="1620" spans="5:6" x14ac:dyDescent="0.3">
      <c r="E1620" t="str">
        <f>IFERROR(IF(D1620="","",VLOOKUP(D1620,CadProd!$A:$B,2,0)),"")</f>
        <v/>
      </c>
      <c r="F1620" t="str">
        <f>IFERROR(IF(D1620="","",VLOOKUP(D1620,CadProd!$A:$C,3,0)),"")</f>
        <v/>
      </c>
    </row>
    <row r="1621" spans="5:6" x14ac:dyDescent="0.3">
      <c r="E1621" t="str">
        <f>IFERROR(IF(D1621="","",VLOOKUP(D1621,CadProd!$A:$B,2,0)),"")</f>
        <v/>
      </c>
      <c r="F1621" t="str">
        <f>IFERROR(IF(D1621="","",VLOOKUP(D1621,CadProd!$A:$C,3,0)),"")</f>
        <v/>
      </c>
    </row>
    <row r="1622" spans="5:6" x14ac:dyDescent="0.3">
      <c r="E1622" t="str">
        <f>IFERROR(IF(D1622="","",VLOOKUP(D1622,CadProd!$A:$B,2,0)),"")</f>
        <v/>
      </c>
      <c r="F1622" t="str">
        <f>IFERROR(IF(D1622="","",VLOOKUP(D1622,CadProd!$A:$C,3,0)),"")</f>
        <v/>
      </c>
    </row>
    <row r="1623" spans="5:6" x14ac:dyDescent="0.3">
      <c r="E1623" t="str">
        <f>IFERROR(IF(D1623="","",VLOOKUP(D1623,CadProd!$A:$B,2,0)),"")</f>
        <v/>
      </c>
      <c r="F1623" t="str">
        <f>IFERROR(IF(D1623="","",VLOOKUP(D1623,CadProd!$A:$C,3,0)),"")</f>
        <v/>
      </c>
    </row>
    <row r="1624" spans="5:6" x14ac:dyDescent="0.3">
      <c r="E1624" t="str">
        <f>IFERROR(IF(D1624="","",VLOOKUP(D1624,CadProd!$A:$B,2,0)),"")</f>
        <v/>
      </c>
      <c r="F1624" t="str">
        <f>IFERROR(IF(D1624="","",VLOOKUP(D1624,CadProd!$A:$C,3,0)),"")</f>
        <v/>
      </c>
    </row>
    <row r="1625" spans="5:6" x14ac:dyDescent="0.3">
      <c r="E1625" t="str">
        <f>IFERROR(IF(D1625="","",VLOOKUP(D1625,CadProd!$A:$B,2,0)),"")</f>
        <v/>
      </c>
      <c r="F1625" t="str">
        <f>IFERROR(IF(D1625="","",VLOOKUP(D1625,CadProd!$A:$C,3,0)),"")</f>
        <v/>
      </c>
    </row>
    <row r="1626" spans="5:6" x14ac:dyDescent="0.3">
      <c r="E1626" t="str">
        <f>IFERROR(IF(D1626="","",VLOOKUP(D1626,CadProd!$A:$B,2,0)),"")</f>
        <v/>
      </c>
      <c r="F1626" t="str">
        <f>IFERROR(IF(D1626="","",VLOOKUP(D1626,CadProd!$A:$C,3,0)),"")</f>
        <v/>
      </c>
    </row>
    <row r="1627" spans="5:6" x14ac:dyDescent="0.3">
      <c r="E1627" t="str">
        <f>IFERROR(IF(D1627="","",VLOOKUP(D1627,CadProd!$A:$B,2,0)),"")</f>
        <v/>
      </c>
      <c r="F1627" t="str">
        <f>IFERROR(IF(D1627="","",VLOOKUP(D1627,CadProd!$A:$C,3,0)),"")</f>
        <v/>
      </c>
    </row>
    <row r="1628" spans="5:6" x14ac:dyDescent="0.3">
      <c r="E1628" t="str">
        <f>IFERROR(IF(D1628="","",VLOOKUP(D1628,CadProd!$A:$B,2,0)),"")</f>
        <v/>
      </c>
      <c r="F1628" t="str">
        <f>IFERROR(IF(D1628="","",VLOOKUP(D1628,CadProd!$A:$C,3,0)),"")</f>
        <v/>
      </c>
    </row>
    <row r="1629" spans="5:6" x14ac:dyDescent="0.3">
      <c r="E1629" t="str">
        <f>IFERROR(IF(D1629="","",VLOOKUP(D1629,CadProd!$A:$B,2,0)),"")</f>
        <v/>
      </c>
      <c r="F1629" t="str">
        <f>IFERROR(IF(D1629="","",VLOOKUP(D1629,CadProd!$A:$C,3,0)),"")</f>
        <v/>
      </c>
    </row>
    <row r="1630" spans="5:6" x14ac:dyDescent="0.3">
      <c r="E1630" t="str">
        <f>IFERROR(IF(D1630="","",VLOOKUP(D1630,CadProd!$A:$B,2,0)),"")</f>
        <v/>
      </c>
      <c r="F1630" t="str">
        <f>IFERROR(IF(D1630="","",VLOOKUP(D1630,CadProd!$A:$C,3,0)),"")</f>
        <v/>
      </c>
    </row>
    <row r="1631" spans="5:6" x14ac:dyDescent="0.3">
      <c r="E1631" t="str">
        <f>IFERROR(IF(D1631="","",VLOOKUP(D1631,CadProd!$A:$B,2,0)),"")</f>
        <v/>
      </c>
      <c r="F1631" t="str">
        <f>IFERROR(IF(D1631="","",VLOOKUP(D1631,CadProd!$A:$C,3,0)),"")</f>
        <v/>
      </c>
    </row>
    <row r="1632" spans="5:6" x14ac:dyDescent="0.3">
      <c r="E1632" t="str">
        <f>IFERROR(IF(D1632="","",VLOOKUP(D1632,CadProd!$A:$B,2,0)),"")</f>
        <v/>
      </c>
      <c r="F1632" t="str">
        <f>IFERROR(IF(D1632="","",VLOOKUP(D1632,CadProd!$A:$C,3,0)),"")</f>
        <v/>
      </c>
    </row>
    <row r="1633" spans="5:6" x14ac:dyDescent="0.3">
      <c r="E1633" t="str">
        <f>IFERROR(IF(D1633="","",VLOOKUP(D1633,CadProd!$A:$B,2,0)),"")</f>
        <v/>
      </c>
      <c r="F1633" t="str">
        <f>IFERROR(IF(D1633="","",VLOOKUP(D1633,CadProd!$A:$C,3,0)),"")</f>
        <v/>
      </c>
    </row>
    <row r="1634" spans="5:6" x14ac:dyDescent="0.3">
      <c r="E1634" t="str">
        <f>IFERROR(IF(D1634="","",VLOOKUP(D1634,CadProd!$A:$B,2,0)),"")</f>
        <v/>
      </c>
      <c r="F1634" t="str">
        <f>IFERROR(IF(D1634="","",VLOOKUP(D1634,CadProd!$A:$C,3,0)),"")</f>
        <v/>
      </c>
    </row>
    <row r="1635" spans="5:6" x14ac:dyDescent="0.3">
      <c r="E1635" t="str">
        <f>IFERROR(IF(D1635="","",VLOOKUP(D1635,CadProd!$A:$B,2,0)),"")</f>
        <v/>
      </c>
      <c r="F1635" t="str">
        <f>IFERROR(IF(D1635="","",VLOOKUP(D1635,CadProd!$A:$C,3,0)),"")</f>
        <v/>
      </c>
    </row>
    <row r="1636" spans="5:6" x14ac:dyDescent="0.3">
      <c r="E1636" t="str">
        <f>IFERROR(IF(D1636="","",VLOOKUP(D1636,CadProd!$A:$B,2,0)),"")</f>
        <v/>
      </c>
      <c r="F1636" t="str">
        <f>IFERROR(IF(D1636="","",VLOOKUP(D1636,CadProd!$A:$C,3,0)),"")</f>
        <v/>
      </c>
    </row>
    <row r="1637" spans="5:6" x14ac:dyDescent="0.3">
      <c r="E1637" t="str">
        <f>IFERROR(IF(D1637="","",VLOOKUP(D1637,CadProd!$A:$B,2,0)),"")</f>
        <v/>
      </c>
      <c r="F1637" t="str">
        <f>IFERROR(IF(D1637="","",VLOOKUP(D1637,CadProd!$A:$C,3,0)),"")</f>
        <v/>
      </c>
    </row>
    <row r="1638" spans="5:6" x14ac:dyDescent="0.3">
      <c r="E1638" t="str">
        <f>IFERROR(IF(D1638="","",VLOOKUP(D1638,CadProd!$A:$B,2,0)),"")</f>
        <v/>
      </c>
      <c r="F1638" t="str">
        <f>IFERROR(IF(D1638="","",VLOOKUP(D1638,CadProd!$A:$C,3,0)),"")</f>
        <v/>
      </c>
    </row>
    <row r="1639" spans="5:6" x14ac:dyDescent="0.3">
      <c r="E1639" t="str">
        <f>IFERROR(IF(D1639="","",VLOOKUP(D1639,CadProd!$A:$B,2,0)),"")</f>
        <v/>
      </c>
      <c r="F1639" t="str">
        <f>IFERROR(IF(D1639="","",VLOOKUP(D1639,CadProd!$A:$C,3,0)),"")</f>
        <v/>
      </c>
    </row>
    <row r="1640" spans="5:6" x14ac:dyDescent="0.3">
      <c r="E1640" t="str">
        <f>IFERROR(IF(D1640="","",VLOOKUP(D1640,CadProd!$A:$B,2,0)),"")</f>
        <v/>
      </c>
      <c r="F1640" t="str">
        <f>IFERROR(IF(D1640="","",VLOOKUP(D1640,CadProd!$A:$C,3,0)),"")</f>
        <v/>
      </c>
    </row>
    <row r="1641" spans="5:6" x14ac:dyDescent="0.3">
      <c r="E1641" t="str">
        <f>IFERROR(IF(D1641="","",VLOOKUP(D1641,CadProd!$A:$B,2,0)),"")</f>
        <v/>
      </c>
      <c r="F1641" t="str">
        <f>IFERROR(IF(D1641="","",VLOOKUP(D1641,CadProd!$A:$C,3,0)),"")</f>
        <v/>
      </c>
    </row>
    <row r="1642" spans="5:6" x14ac:dyDescent="0.3">
      <c r="E1642" t="str">
        <f>IFERROR(IF(D1642="","",VLOOKUP(D1642,CadProd!$A:$B,2,0)),"")</f>
        <v/>
      </c>
      <c r="F1642" t="str">
        <f>IFERROR(IF(D1642="","",VLOOKUP(D1642,CadProd!$A:$C,3,0)),"")</f>
        <v/>
      </c>
    </row>
    <row r="1643" spans="5:6" x14ac:dyDescent="0.3">
      <c r="E1643" t="str">
        <f>IFERROR(IF(D1643="","",VLOOKUP(D1643,CadProd!$A:$B,2,0)),"")</f>
        <v/>
      </c>
      <c r="F1643" t="str">
        <f>IFERROR(IF(D1643="","",VLOOKUP(D1643,CadProd!$A:$C,3,0)),"")</f>
        <v/>
      </c>
    </row>
    <row r="1644" spans="5:6" x14ac:dyDescent="0.3">
      <c r="E1644" t="str">
        <f>IFERROR(IF(D1644="","",VLOOKUP(D1644,CadProd!$A:$B,2,0)),"")</f>
        <v/>
      </c>
      <c r="F1644" t="str">
        <f>IFERROR(IF(D1644="","",VLOOKUP(D1644,CadProd!$A:$C,3,0)),"")</f>
        <v/>
      </c>
    </row>
    <row r="1645" spans="5:6" x14ac:dyDescent="0.3">
      <c r="E1645" t="str">
        <f>IFERROR(IF(D1645="","",VLOOKUP(D1645,CadProd!$A:$B,2,0)),"")</f>
        <v/>
      </c>
      <c r="F1645" t="str">
        <f>IFERROR(IF(D1645="","",VLOOKUP(D1645,CadProd!$A:$C,3,0)),"")</f>
        <v/>
      </c>
    </row>
    <row r="1646" spans="5:6" x14ac:dyDescent="0.3">
      <c r="E1646" t="str">
        <f>IFERROR(IF(D1646="","",VLOOKUP(D1646,CadProd!$A:$B,2,0)),"")</f>
        <v/>
      </c>
      <c r="F1646" t="str">
        <f>IFERROR(IF(D1646="","",VLOOKUP(D1646,CadProd!$A:$C,3,0)),"")</f>
        <v/>
      </c>
    </row>
    <row r="1647" spans="5:6" x14ac:dyDescent="0.3">
      <c r="E1647" t="str">
        <f>IFERROR(IF(D1647="","",VLOOKUP(D1647,CadProd!$A:$B,2,0)),"")</f>
        <v/>
      </c>
      <c r="F1647" t="str">
        <f>IFERROR(IF(D1647="","",VLOOKUP(D1647,CadProd!$A:$C,3,0)),"")</f>
        <v/>
      </c>
    </row>
    <row r="1648" spans="5:6" x14ac:dyDescent="0.3">
      <c r="E1648" t="str">
        <f>IFERROR(IF(D1648="","",VLOOKUP(D1648,CadProd!$A:$B,2,0)),"")</f>
        <v/>
      </c>
      <c r="F1648" t="str">
        <f>IFERROR(IF(D1648="","",VLOOKUP(D1648,CadProd!$A:$C,3,0)),"")</f>
        <v/>
      </c>
    </row>
    <row r="1649" spans="5:6" x14ac:dyDescent="0.3">
      <c r="E1649" t="str">
        <f>IFERROR(IF(D1649="","",VLOOKUP(D1649,CadProd!$A:$B,2,0)),"")</f>
        <v/>
      </c>
      <c r="F1649" t="str">
        <f>IFERROR(IF(D1649="","",VLOOKUP(D1649,CadProd!$A:$C,3,0)),"")</f>
        <v/>
      </c>
    </row>
    <row r="1650" spans="5:6" x14ac:dyDescent="0.3">
      <c r="E1650" t="str">
        <f>IFERROR(IF(D1650="","",VLOOKUP(D1650,CadProd!$A:$B,2,0)),"")</f>
        <v/>
      </c>
      <c r="F1650" t="str">
        <f>IFERROR(IF(D1650="","",VLOOKUP(D1650,CadProd!$A:$C,3,0)),"")</f>
        <v/>
      </c>
    </row>
    <row r="1651" spans="5:6" x14ac:dyDescent="0.3">
      <c r="E1651" t="str">
        <f>IFERROR(IF(D1651="","",VLOOKUP(D1651,CadProd!$A:$B,2,0)),"")</f>
        <v/>
      </c>
      <c r="F1651" t="str">
        <f>IFERROR(IF(D1651="","",VLOOKUP(D1651,CadProd!$A:$C,3,0)),"")</f>
        <v/>
      </c>
    </row>
    <row r="1652" spans="5:6" x14ac:dyDescent="0.3">
      <c r="E1652" t="str">
        <f>IFERROR(IF(D1652="","",VLOOKUP(D1652,CadProd!$A:$B,2,0)),"")</f>
        <v/>
      </c>
      <c r="F1652" t="str">
        <f>IFERROR(IF(D1652="","",VLOOKUP(D1652,CadProd!$A:$C,3,0)),"")</f>
        <v/>
      </c>
    </row>
    <row r="1653" spans="5:6" x14ac:dyDescent="0.3">
      <c r="E1653" t="str">
        <f>IFERROR(IF(D1653="","",VLOOKUP(D1653,CadProd!$A:$B,2,0)),"")</f>
        <v/>
      </c>
      <c r="F1653" t="str">
        <f>IFERROR(IF(D1653="","",VLOOKUP(D1653,CadProd!$A:$C,3,0)),"")</f>
        <v/>
      </c>
    </row>
    <row r="1654" spans="5:6" x14ac:dyDescent="0.3">
      <c r="E1654" t="str">
        <f>IFERROR(IF(D1654="","",VLOOKUP(D1654,CadProd!$A:$B,2,0)),"")</f>
        <v/>
      </c>
      <c r="F1654" t="str">
        <f>IFERROR(IF(D1654="","",VLOOKUP(D1654,CadProd!$A:$C,3,0)),"")</f>
        <v/>
      </c>
    </row>
    <row r="1655" spans="5:6" x14ac:dyDescent="0.3">
      <c r="E1655" t="str">
        <f>IFERROR(IF(D1655="","",VLOOKUP(D1655,CadProd!$A:$B,2,0)),"")</f>
        <v/>
      </c>
      <c r="F1655" t="str">
        <f>IFERROR(IF(D1655="","",VLOOKUP(D1655,CadProd!$A:$C,3,0)),"")</f>
        <v/>
      </c>
    </row>
    <row r="1656" spans="5:6" x14ac:dyDescent="0.3">
      <c r="E1656" t="str">
        <f>IFERROR(IF(D1656="","",VLOOKUP(D1656,CadProd!$A:$B,2,0)),"")</f>
        <v/>
      </c>
      <c r="F1656" t="str">
        <f>IFERROR(IF(D1656="","",VLOOKUP(D1656,CadProd!$A:$C,3,0)),"")</f>
        <v/>
      </c>
    </row>
    <row r="1657" spans="5:6" x14ac:dyDescent="0.3">
      <c r="E1657" t="str">
        <f>IFERROR(IF(D1657="","",VLOOKUP(D1657,CadProd!$A:$B,2,0)),"")</f>
        <v/>
      </c>
      <c r="F1657" t="str">
        <f>IFERROR(IF(D1657="","",VLOOKUP(D1657,CadProd!$A:$C,3,0)),"")</f>
        <v/>
      </c>
    </row>
    <row r="1658" spans="5:6" x14ac:dyDescent="0.3">
      <c r="E1658" t="str">
        <f>IFERROR(IF(D1658="","",VLOOKUP(D1658,CadProd!$A:$B,2,0)),"")</f>
        <v/>
      </c>
      <c r="F1658" t="str">
        <f>IFERROR(IF(D1658="","",VLOOKUP(D1658,CadProd!$A:$C,3,0)),"")</f>
        <v/>
      </c>
    </row>
    <row r="1659" spans="5:6" x14ac:dyDescent="0.3">
      <c r="E1659" t="str">
        <f>IFERROR(IF(D1659="","",VLOOKUP(D1659,CadProd!$A:$B,2,0)),"")</f>
        <v/>
      </c>
      <c r="F1659" t="str">
        <f>IFERROR(IF(D1659="","",VLOOKUP(D1659,CadProd!$A:$C,3,0)),"")</f>
        <v/>
      </c>
    </row>
    <row r="1660" spans="5:6" x14ac:dyDescent="0.3">
      <c r="E1660" t="str">
        <f>IFERROR(IF(D1660="","",VLOOKUP(D1660,CadProd!$A:$B,2,0)),"")</f>
        <v/>
      </c>
      <c r="F1660" t="str">
        <f>IFERROR(IF(D1660="","",VLOOKUP(D1660,CadProd!$A:$C,3,0)),"")</f>
        <v/>
      </c>
    </row>
    <row r="1661" spans="5:6" x14ac:dyDescent="0.3">
      <c r="E1661" t="str">
        <f>IFERROR(IF(D1661="","",VLOOKUP(D1661,CadProd!$A:$B,2,0)),"")</f>
        <v/>
      </c>
      <c r="F1661" t="str">
        <f>IFERROR(IF(D1661="","",VLOOKUP(D1661,CadProd!$A:$C,3,0)),"")</f>
        <v/>
      </c>
    </row>
    <row r="1662" spans="5:6" x14ac:dyDescent="0.3">
      <c r="E1662" t="str">
        <f>IFERROR(IF(D1662="","",VLOOKUP(D1662,CadProd!$A:$B,2,0)),"")</f>
        <v/>
      </c>
      <c r="F1662" t="str">
        <f>IFERROR(IF(D1662="","",VLOOKUP(D1662,CadProd!$A:$C,3,0)),"")</f>
        <v/>
      </c>
    </row>
    <row r="1663" spans="5:6" x14ac:dyDescent="0.3">
      <c r="E1663" t="str">
        <f>IFERROR(IF(D1663="","",VLOOKUP(D1663,CadProd!$A:$B,2,0)),"")</f>
        <v/>
      </c>
      <c r="F1663" t="str">
        <f>IFERROR(IF(D1663="","",VLOOKUP(D1663,CadProd!$A:$C,3,0)),"")</f>
        <v/>
      </c>
    </row>
    <row r="1664" spans="5:6" x14ac:dyDescent="0.3">
      <c r="E1664" t="str">
        <f>IFERROR(IF(D1664="","",VLOOKUP(D1664,CadProd!$A:$B,2,0)),"")</f>
        <v/>
      </c>
      <c r="F1664" t="str">
        <f>IFERROR(IF(D1664="","",VLOOKUP(D1664,CadProd!$A:$C,3,0)),"")</f>
        <v/>
      </c>
    </row>
    <row r="1665" spans="5:6" x14ac:dyDescent="0.3">
      <c r="E1665" t="str">
        <f>IFERROR(IF(D1665="","",VLOOKUP(D1665,CadProd!$A:$B,2,0)),"")</f>
        <v/>
      </c>
      <c r="F1665" t="str">
        <f>IFERROR(IF(D1665="","",VLOOKUP(D1665,CadProd!$A:$C,3,0)),"")</f>
        <v/>
      </c>
    </row>
    <row r="1666" spans="5:6" x14ac:dyDescent="0.3">
      <c r="E1666" t="str">
        <f>IFERROR(IF(D1666="","",VLOOKUP(D1666,CadProd!$A:$B,2,0)),"")</f>
        <v/>
      </c>
      <c r="F1666" t="str">
        <f>IFERROR(IF(D1666="","",VLOOKUP(D1666,CadProd!$A:$C,3,0)),"")</f>
        <v/>
      </c>
    </row>
    <row r="1667" spans="5:6" x14ac:dyDescent="0.3">
      <c r="E1667" t="str">
        <f>IFERROR(IF(D1667="","",VLOOKUP(D1667,CadProd!$A:$B,2,0)),"")</f>
        <v/>
      </c>
      <c r="F1667" t="str">
        <f>IFERROR(IF(D1667="","",VLOOKUP(D1667,CadProd!$A:$C,3,0)),"")</f>
        <v/>
      </c>
    </row>
    <row r="1668" spans="5:6" x14ac:dyDescent="0.3">
      <c r="E1668" t="str">
        <f>IFERROR(IF(D1668="","",VLOOKUP(D1668,CadProd!$A:$B,2,0)),"")</f>
        <v/>
      </c>
      <c r="F1668" t="str">
        <f>IFERROR(IF(D1668="","",VLOOKUP(D1668,CadProd!$A:$C,3,0)),"")</f>
        <v/>
      </c>
    </row>
    <row r="1669" spans="5:6" x14ac:dyDescent="0.3">
      <c r="E1669" t="str">
        <f>IFERROR(IF(D1669="","",VLOOKUP(D1669,CadProd!$A:$B,2,0)),"")</f>
        <v/>
      </c>
      <c r="F1669" t="str">
        <f>IFERROR(IF(D1669="","",VLOOKUP(D1669,CadProd!$A:$C,3,0)),"")</f>
        <v/>
      </c>
    </row>
    <row r="1670" spans="5:6" x14ac:dyDescent="0.3">
      <c r="E1670" t="str">
        <f>IFERROR(IF(D1670="","",VLOOKUP(D1670,CadProd!$A:$B,2,0)),"")</f>
        <v/>
      </c>
      <c r="F1670" t="str">
        <f>IFERROR(IF(D1670="","",VLOOKUP(D1670,CadProd!$A:$C,3,0)),"")</f>
        <v/>
      </c>
    </row>
    <row r="1671" spans="5:6" x14ac:dyDescent="0.3">
      <c r="E1671" t="str">
        <f>IFERROR(IF(D1671="","",VLOOKUP(D1671,CadProd!$A:$B,2,0)),"")</f>
        <v/>
      </c>
      <c r="F1671" t="str">
        <f>IFERROR(IF(D1671="","",VLOOKUP(D1671,CadProd!$A:$C,3,0)),"")</f>
        <v/>
      </c>
    </row>
    <row r="1672" spans="5:6" x14ac:dyDescent="0.3">
      <c r="E1672" t="str">
        <f>IFERROR(IF(D1672="","",VLOOKUP(D1672,CadProd!$A:$B,2,0)),"")</f>
        <v/>
      </c>
      <c r="F1672" t="str">
        <f>IFERROR(IF(D1672="","",VLOOKUP(D1672,CadProd!$A:$C,3,0)),"")</f>
        <v/>
      </c>
    </row>
    <row r="1673" spans="5:6" x14ac:dyDescent="0.3">
      <c r="E1673" t="str">
        <f>IFERROR(IF(D1673="","",VLOOKUP(D1673,CadProd!$A:$B,2,0)),"")</f>
        <v/>
      </c>
      <c r="F1673" t="str">
        <f>IFERROR(IF(D1673="","",VLOOKUP(D1673,CadProd!$A:$C,3,0)),"")</f>
        <v/>
      </c>
    </row>
    <row r="1674" spans="5:6" x14ac:dyDescent="0.3">
      <c r="E1674" t="str">
        <f>IFERROR(IF(D1674="","",VLOOKUP(D1674,CadProd!$A:$B,2,0)),"")</f>
        <v/>
      </c>
      <c r="F1674" t="str">
        <f>IFERROR(IF(D1674="","",VLOOKUP(D1674,CadProd!$A:$C,3,0)),"")</f>
        <v/>
      </c>
    </row>
    <row r="1675" spans="5:6" x14ac:dyDescent="0.3">
      <c r="E1675" t="str">
        <f>IFERROR(IF(D1675="","",VLOOKUP(D1675,CadProd!$A:$B,2,0)),"")</f>
        <v/>
      </c>
      <c r="F1675" t="str">
        <f>IFERROR(IF(D1675="","",VLOOKUP(D1675,CadProd!$A:$C,3,0)),"")</f>
        <v/>
      </c>
    </row>
    <row r="1676" spans="5:6" x14ac:dyDescent="0.3">
      <c r="E1676" t="str">
        <f>IFERROR(IF(D1676="","",VLOOKUP(D1676,CadProd!$A:$B,2,0)),"")</f>
        <v/>
      </c>
      <c r="F1676" t="str">
        <f>IFERROR(IF(D1676="","",VLOOKUP(D1676,CadProd!$A:$C,3,0)),"")</f>
        <v/>
      </c>
    </row>
    <row r="1677" spans="5:6" x14ac:dyDescent="0.3">
      <c r="E1677" t="str">
        <f>IFERROR(IF(D1677="","",VLOOKUP(D1677,CadProd!$A:$B,2,0)),"")</f>
        <v/>
      </c>
      <c r="F1677" t="str">
        <f>IFERROR(IF(D1677="","",VLOOKUP(D1677,CadProd!$A:$C,3,0)),"")</f>
        <v/>
      </c>
    </row>
    <row r="1678" spans="5:6" x14ac:dyDescent="0.3">
      <c r="E1678" t="str">
        <f>IFERROR(IF(D1678="","",VLOOKUP(D1678,CadProd!$A:$B,2,0)),"")</f>
        <v/>
      </c>
      <c r="F1678" t="str">
        <f>IFERROR(IF(D1678="","",VLOOKUP(D1678,CadProd!$A:$C,3,0)),"")</f>
        <v/>
      </c>
    </row>
    <row r="1679" spans="5:6" x14ac:dyDescent="0.3">
      <c r="E1679" t="str">
        <f>IFERROR(IF(D1679="","",VLOOKUP(D1679,CadProd!$A:$B,2,0)),"")</f>
        <v/>
      </c>
      <c r="F1679" t="str">
        <f>IFERROR(IF(D1679="","",VLOOKUP(D1679,CadProd!$A:$C,3,0)),"")</f>
        <v/>
      </c>
    </row>
    <row r="1680" spans="5:6" x14ac:dyDescent="0.3">
      <c r="E1680" t="str">
        <f>IFERROR(IF(D1680="","",VLOOKUP(D1680,CadProd!$A:$B,2,0)),"")</f>
        <v/>
      </c>
      <c r="F1680" t="str">
        <f>IFERROR(IF(D1680="","",VLOOKUP(D1680,CadProd!$A:$C,3,0)),"")</f>
        <v/>
      </c>
    </row>
    <row r="1681" spans="5:6" x14ac:dyDescent="0.3">
      <c r="E1681" t="str">
        <f>IFERROR(IF(D1681="","",VLOOKUP(D1681,CadProd!$A:$B,2,0)),"")</f>
        <v/>
      </c>
      <c r="F1681" t="str">
        <f>IFERROR(IF(D1681="","",VLOOKUP(D1681,CadProd!$A:$C,3,0)),"")</f>
        <v/>
      </c>
    </row>
    <row r="1682" spans="5:6" x14ac:dyDescent="0.3">
      <c r="E1682" t="str">
        <f>IFERROR(IF(D1682="","",VLOOKUP(D1682,CadProd!$A:$B,2,0)),"")</f>
        <v/>
      </c>
      <c r="F1682" t="str">
        <f>IFERROR(IF(D1682="","",VLOOKUP(D1682,CadProd!$A:$C,3,0)),"")</f>
        <v/>
      </c>
    </row>
    <row r="1683" spans="5:6" x14ac:dyDescent="0.3">
      <c r="E1683" t="str">
        <f>IFERROR(IF(D1683="","",VLOOKUP(D1683,CadProd!$A:$B,2,0)),"")</f>
        <v/>
      </c>
      <c r="F1683" t="str">
        <f>IFERROR(IF(D1683="","",VLOOKUP(D1683,CadProd!$A:$C,3,0)),"")</f>
        <v/>
      </c>
    </row>
    <row r="1684" spans="5:6" x14ac:dyDescent="0.3">
      <c r="E1684" t="str">
        <f>IFERROR(IF(D1684="","",VLOOKUP(D1684,CadProd!$A:$B,2,0)),"")</f>
        <v/>
      </c>
      <c r="F1684" t="str">
        <f>IFERROR(IF(D1684="","",VLOOKUP(D1684,CadProd!$A:$C,3,0)),"")</f>
        <v/>
      </c>
    </row>
    <row r="1685" spans="5:6" x14ac:dyDescent="0.3">
      <c r="E1685" t="str">
        <f>IFERROR(IF(D1685="","",VLOOKUP(D1685,CadProd!$A:$B,2,0)),"")</f>
        <v/>
      </c>
      <c r="F1685" t="str">
        <f>IFERROR(IF(D1685="","",VLOOKUP(D1685,CadProd!$A:$C,3,0)),"")</f>
        <v/>
      </c>
    </row>
    <row r="1686" spans="5:6" x14ac:dyDescent="0.3">
      <c r="E1686" t="str">
        <f>IFERROR(IF(D1686="","",VLOOKUP(D1686,CadProd!$A:$B,2,0)),"")</f>
        <v/>
      </c>
      <c r="F1686" t="str">
        <f>IFERROR(IF(D1686="","",VLOOKUP(D1686,CadProd!$A:$C,3,0)),"")</f>
        <v/>
      </c>
    </row>
    <row r="1687" spans="5:6" x14ac:dyDescent="0.3">
      <c r="E1687" t="str">
        <f>IFERROR(IF(D1687="","",VLOOKUP(D1687,CadProd!$A:$B,2,0)),"")</f>
        <v/>
      </c>
      <c r="F1687" t="str">
        <f>IFERROR(IF(D1687="","",VLOOKUP(D1687,CadProd!$A:$C,3,0)),"")</f>
        <v/>
      </c>
    </row>
    <row r="1688" spans="5:6" x14ac:dyDescent="0.3">
      <c r="E1688" t="str">
        <f>IFERROR(IF(D1688="","",VLOOKUP(D1688,CadProd!$A:$B,2,0)),"")</f>
        <v/>
      </c>
      <c r="F1688" t="str">
        <f>IFERROR(IF(D1688="","",VLOOKUP(D1688,CadProd!$A:$C,3,0)),"")</f>
        <v/>
      </c>
    </row>
    <row r="1689" spans="5:6" x14ac:dyDescent="0.3">
      <c r="E1689" t="str">
        <f>IFERROR(IF(D1689="","",VLOOKUP(D1689,CadProd!$A:$B,2,0)),"")</f>
        <v/>
      </c>
      <c r="F1689" t="str">
        <f>IFERROR(IF(D1689="","",VLOOKUP(D1689,CadProd!$A:$C,3,0)),"")</f>
        <v/>
      </c>
    </row>
    <row r="1690" spans="5:6" x14ac:dyDescent="0.3">
      <c r="E1690" t="str">
        <f>IFERROR(IF(D1690="","",VLOOKUP(D1690,CadProd!$A:$B,2,0)),"")</f>
        <v/>
      </c>
      <c r="F1690" t="str">
        <f>IFERROR(IF(D1690="","",VLOOKUP(D1690,CadProd!$A:$C,3,0)),"")</f>
        <v/>
      </c>
    </row>
    <row r="1691" spans="5:6" x14ac:dyDescent="0.3">
      <c r="E1691" t="str">
        <f>IFERROR(IF(D1691="","",VLOOKUP(D1691,CadProd!$A:$B,2,0)),"")</f>
        <v/>
      </c>
      <c r="F1691" t="str">
        <f>IFERROR(IF(D1691="","",VLOOKUP(D1691,CadProd!$A:$C,3,0)),"")</f>
        <v/>
      </c>
    </row>
    <row r="1692" spans="5:6" x14ac:dyDescent="0.3">
      <c r="E1692" t="str">
        <f>IFERROR(IF(D1692="","",VLOOKUP(D1692,CadProd!$A:$B,2,0)),"")</f>
        <v/>
      </c>
      <c r="F1692" t="str">
        <f>IFERROR(IF(D1692="","",VLOOKUP(D1692,CadProd!$A:$C,3,0)),"")</f>
        <v/>
      </c>
    </row>
    <row r="1693" spans="5:6" x14ac:dyDescent="0.3">
      <c r="E1693" t="str">
        <f>IFERROR(IF(D1693="","",VLOOKUP(D1693,CadProd!$A:$B,2,0)),"")</f>
        <v/>
      </c>
      <c r="F1693" t="str">
        <f>IFERROR(IF(D1693="","",VLOOKUP(D1693,CadProd!$A:$C,3,0)),"")</f>
        <v/>
      </c>
    </row>
    <row r="1694" spans="5:6" x14ac:dyDescent="0.3">
      <c r="E1694" t="str">
        <f>IFERROR(IF(D1694="","",VLOOKUP(D1694,CadProd!$A:$B,2,0)),"")</f>
        <v/>
      </c>
      <c r="F1694" t="str">
        <f>IFERROR(IF(D1694="","",VLOOKUP(D1694,CadProd!$A:$C,3,0)),"")</f>
        <v/>
      </c>
    </row>
    <row r="1695" spans="5:6" x14ac:dyDescent="0.3">
      <c r="E1695" t="str">
        <f>IFERROR(IF(D1695="","",VLOOKUP(D1695,CadProd!$A:$B,2,0)),"")</f>
        <v/>
      </c>
      <c r="F1695" t="str">
        <f>IFERROR(IF(D1695="","",VLOOKUP(D1695,CadProd!$A:$C,3,0)),"")</f>
        <v/>
      </c>
    </row>
    <row r="1696" spans="5:6" x14ac:dyDescent="0.3">
      <c r="E1696" t="str">
        <f>IFERROR(IF(D1696="","",VLOOKUP(D1696,CadProd!$A:$B,2,0)),"")</f>
        <v/>
      </c>
      <c r="F1696" t="str">
        <f>IFERROR(IF(D1696="","",VLOOKUP(D1696,CadProd!$A:$C,3,0)),"")</f>
        <v/>
      </c>
    </row>
    <row r="1697" spans="5:6" x14ac:dyDescent="0.3">
      <c r="E1697" t="str">
        <f>IFERROR(IF(D1697="","",VLOOKUP(D1697,CadProd!$A:$B,2,0)),"")</f>
        <v/>
      </c>
      <c r="F1697" t="str">
        <f>IFERROR(IF(D1697="","",VLOOKUP(D1697,CadProd!$A:$C,3,0)),"")</f>
        <v/>
      </c>
    </row>
    <row r="1698" spans="5:6" x14ac:dyDescent="0.3">
      <c r="E1698" t="str">
        <f>IFERROR(IF(D1698="","",VLOOKUP(D1698,CadProd!$A:$B,2,0)),"")</f>
        <v/>
      </c>
      <c r="F1698" t="str">
        <f>IFERROR(IF(D1698="","",VLOOKUP(D1698,CadProd!$A:$C,3,0)),"")</f>
        <v/>
      </c>
    </row>
    <row r="1699" spans="5:6" x14ac:dyDescent="0.3">
      <c r="E1699" t="str">
        <f>IFERROR(IF(D1699="","",VLOOKUP(D1699,CadProd!$A:$B,2,0)),"")</f>
        <v/>
      </c>
      <c r="F1699" t="str">
        <f>IFERROR(IF(D1699="","",VLOOKUP(D1699,CadProd!$A:$C,3,0)),"")</f>
        <v/>
      </c>
    </row>
    <row r="1700" spans="5:6" x14ac:dyDescent="0.3">
      <c r="E1700" t="str">
        <f>IFERROR(IF(D1700="","",VLOOKUP(D1700,CadProd!$A:$B,2,0)),"")</f>
        <v/>
      </c>
      <c r="F1700" t="str">
        <f>IFERROR(IF(D1700="","",VLOOKUP(D1700,CadProd!$A:$C,3,0)),"")</f>
        <v/>
      </c>
    </row>
    <row r="1701" spans="5:6" x14ac:dyDescent="0.3">
      <c r="E1701" t="str">
        <f>IFERROR(IF(D1701="","",VLOOKUP(D1701,CadProd!$A:$B,2,0)),"")</f>
        <v/>
      </c>
      <c r="F1701" t="str">
        <f>IFERROR(IF(D1701="","",VLOOKUP(D1701,CadProd!$A:$C,3,0)),"")</f>
        <v/>
      </c>
    </row>
    <row r="1702" spans="5:6" x14ac:dyDescent="0.3">
      <c r="E1702" t="str">
        <f>IFERROR(IF(D1702="","",VLOOKUP(D1702,CadProd!$A:$B,2,0)),"")</f>
        <v/>
      </c>
      <c r="F1702" t="str">
        <f>IFERROR(IF(D1702="","",VLOOKUP(D1702,CadProd!$A:$C,3,0)),"")</f>
        <v/>
      </c>
    </row>
    <row r="1703" spans="5:6" x14ac:dyDescent="0.3">
      <c r="E1703" t="str">
        <f>IFERROR(IF(D1703="","",VLOOKUP(D1703,CadProd!$A:$B,2,0)),"")</f>
        <v/>
      </c>
      <c r="F1703" t="str">
        <f>IFERROR(IF(D1703="","",VLOOKUP(D1703,CadProd!$A:$C,3,0)),"")</f>
        <v/>
      </c>
    </row>
    <row r="1704" spans="5:6" x14ac:dyDescent="0.3">
      <c r="E1704" t="str">
        <f>IFERROR(IF(D1704="","",VLOOKUP(D1704,CadProd!$A:$B,2,0)),"")</f>
        <v/>
      </c>
      <c r="F1704" t="str">
        <f>IFERROR(IF(D1704="","",VLOOKUP(D1704,CadProd!$A:$C,3,0)),"")</f>
        <v/>
      </c>
    </row>
    <row r="1705" spans="5:6" x14ac:dyDescent="0.3">
      <c r="E1705" t="str">
        <f>IFERROR(IF(D1705="","",VLOOKUP(D1705,CadProd!$A:$B,2,0)),"")</f>
        <v/>
      </c>
      <c r="F1705" t="str">
        <f>IFERROR(IF(D1705="","",VLOOKUP(D1705,CadProd!$A:$C,3,0)),"")</f>
        <v/>
      </c>
    </row>
    <row r="1706" spans="5:6" x14ac:dyDescent="0.3">
      <c r="E1706" t="str">
        <f>IFERROR(IF(D1706="","",VLOOKUP(D1706,CadProd!$A:$B,2,0)),"")</f>
        <v/>
      </c>
      <c r="F1706" t="str">
        <f>IFERROR(IF(D1706="","",VLOOKUP(D1706,CadProd!$A:$C,3,0)),"")</f>
        <v/>
      </c>
    </row>
    <row r="1707" spans="5:6" x14ac:dyDescent="0.3">
      <c r="E1707" t="str">
        <f>IFERROR(IF(D1707="","",VLOOKUP(D1707,CadProd!$A:$B,2,0)),"")</f>
        <v/>
      </c>
      <c r="F1707" t="str">
        <f>IFERROR(IF(D1707="","",VLOOKUP(D1707,CadProd!$A:$C,3,0)),"")</f>
        <v/>
      </c>
    </row>
    <row r="1708" spans="5:6" x14ac:dyDescent="0.3">
      <c r="E1708" t="str">
        <f>IFERROR(IF(D1708="","",VLOOKUP(D1708,CadProd!$A:$B,2,0)),"")</f>
        <v/>
      </c>
      <c r="F1708" t="str">
        <f>IFERROR(IF(D1708="","",VLOOKUP(D1708,CadProd!$A:$C,3,0)),"")</f>
        <v/>
      </c>
    </row>
    <row r="1709" spans="5:6" x14ac:dyDescent="0.3">
      <c r="E1709" t="str">
        <f>IFERROR(IF(D1709="","",VLOOKUP(D1709,CadProd!$A:$B,2,0)),"")</f>
        <v/>
      </c>
      <c r="F1709" t="str">
        <f>IFERROR(IF(D1709="","",VLOOKUP(D1709,CadProd!$A:$C,3,0)),"")</f>
        <v/>
      </c>
    </row>
    <row r="1710" spans="5:6" x14ac:dyDescent="0.3">
      <c r="E1710" t="str">
        <f>IFERROR(IF(D1710="","",VLOOKUP(D1710,CadProd!$A:$B,2,0)),"")</f>
        <v/>
      </c>
      <c r="F1710" t="str">
        <f>IFERROR(IF(D1710="","",VLOOKUP(D1710,CadProd!$A:$C,3,0)),"")</f>
        <v/>
      </c>
    </row>
    <row r="1711" spans="5:6" x14ac:dyDescent="0.3">
      <c r="E1711" t="str">
        <f>IFERROR(IF(D1711="","",VLOOKUP(D1711,CadProd!$A:$B,2,0)),"")</f>
        <v/>
      </c>
      <c r="F1711" t="str">
        <f>IFERROR(IF(D1711="","",VLOOKUP(D1711,CadProd!$A:$C,3,0)),"")</f>
        <v/>
      </c>
    </row>
    <row r="1712" spans="5:6" x14ac:dyDescent="0.3">
      <c r="E1712" t="str">
        <f>IFERROR(IF(D1712="","",VLOOKUP(D1712,CadProd!$A:$B,2,0)),"")</f>
        <v/>
      </c>
      <c r="F1712" t="str">
        <f>IFERROR(IF(D1712="","",VLOOKUP(D1712,CadProd!$A:$C,3,0)),"")</f>
        <v/>
      </c>
    </row>
    <row r="1713" spans="5:6" x14ac:dyDescent="0.3">
      <c r="E1713" t="str">
        <f>IFERROR(IF(D1713="","",VLOOKUP(D1713,CadProd!$A:$B,2,0)),"")</f>
        <v/>
      </c>
      <c r="F1713" t="str">
        <f>IFERROR(IF(D1713="","",VLOOKUP(D1713,CadProd!$A:$C,3,0)),"")</f>
        <v/>
      </c>
    </row>
    <row r="1714" spans="5:6" x14ac:dyDescent="0.3">
      <c r="E1714" t="str">
        <f>IFERROR(IF(D1714="","",VLOOKUP(D1714,CadProd!$A:$B,2,0)),"")</f>
        <v/>
      </c>
      <c r="F1714" t="str">
        <f>IFERROR(IF(D1714="","",VLOOKUP(D1714,CadProd!$A:$C,3,0)),"")</f>
        <v/>
      </c>
    </row>
    <row r="1715" spans="5:6" x14ac:dyDescent="0.3">
      <c r="E1715" t="str">
        <f>IFERROR(IF(D1715="","",VLOOKUP(D1715,CadProd!$A:$B,2,0)),"")</f>
        <v/>
      </c>
      <c r="F1715" t="str">
        <f>IFERROR(IF(D1715="","",VLOOKUP(D1715,CadProd!$A:$C,3,0)),"")</f>
        <v/>
      </c>
    </row>
    <row r="1716" spans="5:6" x14ac:dyDescent="0.3">
      <c r="E1716" t="str">
        <f>IFERROR(IF(D1716="","",VLOOKUP(D1716,CadProd!$A:$B,2,0)),"")</f>
        <v/>
      </c>
      <c r="F1716" t="str">
        <f>IFERROR(IF(D1716="","",VLOOKUP(D1716,CadProd!$A:$C,3,0)),"")</f>
        <v/>
      </c>
    </row>
    <row r="1717" spans="5:6" x14ac:dyDescent="0.3">
      <c r="E1717" t="str">
        <f>IFERROR(IF(D1717="","",VLOOKUP(D1717,CadProd!$A:$B,2,0)),"")</f>
        <v/>
      </c>
      <c r="F1717" t="str">
        <f>IFERROR(IF(D1717="","",VLOOKUP(D1717,CadProd!$A:$C,3,0)),"")</f>
        <v/>
      </c>
    </row>
    <row r="1718" spans="5:6" x14ac:dyDescent="0.3">
      <c r="E1718" t="str">
        <f>IFERROR(IF(D1718="","",VLOOKUP(D1718,CadProd!$A:$B,2,0)),"")</f>
        <v/>
      </c>
      <c r="F1718" t="str">
        <f>IFERROR(IF(D1718="","",VLOOKUP(D1718,CadProd!$A:$C,3,0)),"")</f>
        <v/>
      </c>
    </row>
    <row r="1719" spans="5:6" x14ac:dyDescent="0.3">
      <c r="E1719" t="str">
        <f>IFERROR(IF(D1719="","",VLOOKUP(D1719,CadProd!$A:$B,2,0)),"")</f>
        <v/>
      </c>
      <c r="F1719" t="str">
        <f>IFERROR(IF(D1719="","",VLOOKUP(D1719,CadProd!$A:$C,3,0)),"")</f>
        <v/>
      </c>
    </row>
    <row r="1720" spans="5:6" x14ac:dyDescent="0.3">
      <c r="E1720" t="str">
        <f>IFERROR(IF(D1720="","",VLOOKUP(D1720,CadProd!$A:$B,2,0)),"")</f>
        <v/>
      </c>
      <c r="F1720" t="str">
        <f>IFERROR(IF(D1720="","",VLOOKUP(D1720,CadProd!$A:$C,3,0)),"")</f>
        <v/>
      </c>
    </row>
    <row r="1721" spans="5:6" x14ac:dyDescent="0.3">
      <c r="E1721" t="str">
        <f>IFERROR(IF(D1721="","",VLOOKUP(D1721,CadProd!$A:$B,2,0)),"")</f>
        <v/>
      </c>
      <c r="F1721" t="str">
        <f>IFERROR(IF(D1721="","",VLOOKUP(D1721,CadProd!$A:$C,3,0)),"")</f>
        <v/>
      </c>
    </row>
    <row r="1722" spans="5:6" x14ac:dyDescent="0.3">
      <c r="E1722" t="str">
        <f>IFERROR(IF(D1722="","",VLOOKUP(D1722,CadProd!$A:$B,2,0)),"")</f>
        <v/>
      </c>
      <c r="F1722" t="str">
        <f>IFERROR(IF(D1722="","",VLOOKUP(D1722,CadProd!$A:$C,3,0)),"")</f>
        <v/>
      </c>
    </row>
    <row r="1723" spans="5:6" x14ac:dyDescent="0.3">
      <c r="E1723" t="str">
        <f>IFERROR(IF(D1723="","",VLOOKUP(D1723,CadProd!$A:$B,2,0)),"")</f>
        <v/>
      </c>
      <c r="F1723" t="str">
        <f>IFERROR(IF(D1723="","",VLOOKUP(D1723,CadProd!$A:$C,3,0)),"")</f>
        <v/>
      </c>
    </row>
    <row r="1724" spans="5:6" x14ac:dyDescent="0.3">
      <c r="E1724" t="str">
        <f>IFERROR(IF(D1724="","",VLOOKUP(D1724,CadProd!$A:$B,2,0)),"")</f>
        <v/>
      </c>
      <c r="F1724" t="str">
        <f>IFERROR(IF(D1724="","",VLOOKUP(D1724,CadProd!$A:$C,3,0)),"")</f>
        <v/>
      </c>
    </row>
    <row r="1725" spans="5:6" x14ac:dyDescent="0.3">
      <c r="E1725" t="str">
        <f>IFERROR(IF(D1725="","",VLOOKUP(D1725,CadProd!$A:$B,2,0)),"")</f>
        <v/>
      </c>
      <c r="F1725" t="str">
        <f>IFERROR(IF(D1725="","",VLOOKUP(D1725,CadProd!$A:$C,3,0)),"")</f>
        <v/>
      </c>
    </row>
    <row r="1726" spans="5:6" x14ac:dyDescent="0.3">
      <c r="E1726" t="str">
        <f>IFERROR(IF(D1726="","",VLOOKUP(D1726,CadProd!$A:$B,2,0)),"")</f>
        <v/>
      </c>
      <c r="F1726" t="str">
        <f>IFERROR(IF(D1726="","",VLOOKUP(D1726,CadProd!$A:$C,3,0)),"")</f>
        <v/>
      </c>
    </row>
    <row r="1727" spans="5:6" x14ac:dyDescent="0.3">
      <c r="E1727" t="str">
        <f>IFERROR(IF(D1727="","",VLOOKUP(D1727,CadProd!$A:$B,2,0)),"")</f>
        <v/>
      </c>
      <c r="F1727" t="str">
        <f>IFERROR(IF(D1727="","",VLOOKUP(D1727,CadProd!$A:$C,3,0)),"")</f>
        <v/>
      </c>
    </row>
    <row r="1728" spans="5:6" x14ac:dyDescent="0.3">
      <c r="E1728" t="str">
        <f>IFERROR(IF(D1728="","",VLOOKUP(D1728,CadProd!$A:$B,2,0)),"")</f>
        <v/>
      </c>
      <c r="F1728" t="str">
        <f>IFERROR(IF(D1728="","",VLOOKUP(D1728,CadProd!$A:$C,3,0)),"")</f>
        <v/>
      </c>
    </row>
    <row r="1729" spans="5:6" x14ac:dyDescent="0.3">
      <c r="E1729" t="str">
        <f>IFERROR(IF(D1729="","",VLOOKUP(D1729,CadProd!$A:$B,2,0)),"")</f>
        <v/>
      </c>
      <c r="F1729" t="str">
        <f>IFERROR(IF(D1729="","",VLOOKUP(D1729,CadProd!$A:$C,3,0)),"")</f>
        <v/>
      </c>
    </row>
    <row r="1730" spans="5:6" x14ac:dyDescent="0.3">
      <c r="E1730" t="str">
        <f>IFERROR(IF(D1730="","",VLOOKUP(D1730,CadProd!$A:$B,2,0)),"")</f>
        <v/>
      </c>
      <c r="F1730" t="str">
        <f>IFERROR(IF(D1730="","",VLOOKUP(D1730,CadProd!$A:$C,3,0)),"")</f>
        <v/>
      </c>
    </row>
    <row r="1731" spans="5:6" x14ac:dyDescent="0.3">
      <c r="E1731" t="str">
        <f>IFERROR(IF(D1731="","",VLOOKUP(D1731,CadProd!$A:$B,2,0)),"")</f>
        <v/>
      </c>
      <c r="F1731" t="str">
        <f>IFERROR(IF(D1731="","",VLOOKUP(D1731,CadProd!$A:$C,3,0)),"")</f>
        <v/>
      </c>
    </row>
    <row r="1732" spans="5:6" x14ac:dyDescent="0.3">
      <c r="E1732" t="str">
        <f>IFERROR(IF(D1732="","",VLOOKUP(D1732,CadProd!$A:$B,2,0)),"")</f>
        <v/>
      </c>
      <c r="F1732" t="str">
        <f>IFERROR(IF(D1732="","",VLOOKUP(D1732,CadProd!$A:$C,3,0)),"")</f>
        <v/>
      </c>
    </row>
    <row r="1733" spans="5:6" x14ac:dyDescent="0.3">
      <c r="E1733" t="str">
        <f>IFERROR(IF(D1733="","",VLOOKUP(D1733,CadProd!$A:$B,2,0)),"")</f>
        <v/>
      </c>
      <c r="F1733" t="str">
        <f>IFERROR(IF(D1733="","",VLOOKUP(D1733,CadProd!$A:$C,3,0)),"")</f>
        <v/>
      </c>
    </row>
    <row r="1734" spans="5:6" x14ac:dyDescent="0.3">
      <c r="E1734" t="str">
        <f>IFERROR(IF(D1734="","",VLOOKUP(D1734,CadProd!$A:$B,2,0)),"")</f>
        <v/>
      </c>
      <c r="F1734" t="str">
        <f>IFERROR(IF(D1734="","",VLOOKUP(D1734,CadProd!$A:$C,3,0)),"")</f>
        <v/>
      </c>
    </row>
    <row r="1735" spans="5:6" x14ac:dyDescent="0.3">
      <c r="E1735" t="str">
        <f>IFERROR(IF(D1735="","",VLOOKUP(D1735,CadProd!$A:$B,2,0)),"")</f>
        <v/>
      </c>
      <c r="F1735" t="str">
        <f>IFERROR(IF(D1735="","",VLOOKUP(D1735,CadProd!$A:$C,3,0)),"")</f>
        <v/>
      </c>
    </row>
    <row r="1736" spans="5:6" x14ac:dyDescent="0.3">
      <c r="E1736" t="str">
        <f>IFERROR(IF(D1736="","",VLOOKUP(D1736,CadProd!$A:$B,2,0)),"")</f>
        <v/>
      </c>
      <c r="F1736" t="str">
        <f>IFERROR(IF(D1736="","",VLOOKUP(D1736,CadProd!$A:$C,3,0)),"")</f>
        <v/>
      </c>
    </row>
    <row r="1737" spans="5:6" x14ac:dyDescent="0.3">
      <c r="E1737" t="str">
        <f>IFERROR(IF(D1737="","",VLOOKUP(D1737,CadProd!$A:$B,2,0)),"")</f>
        <v/>
      </c>
      <c r="F1737" t="str">
        <f>IFERROR(IF(D1737="","",VLOOKUP(D1737,CadProd!$A:$C,3,0)),"")</f>
        <v/>
      </c>
    </row>
    <row r="1738" spans="5:6" x14ac:dyDescent="0.3">
      <c r="E1738" t="str">
        <f>IFERROR(IF(D1738="","",VLOOKUP(D1738,CadProd!$A:$B,2,0)),"")</f>
        <v/>
      </c>
      <c r="F1738" t="str">
        <f>IFERROR(IF(D1738="","",VLOOKUP(D1738,CadProd!$A:$C,3,0)),"")</f>
        <v/>
      </c>
    </row>
    <row r="1739" spans="5:6" x14ac:dyDescent="0.3">
      <c r="E1739" t="str">
        <f>IFERROR(IF(D1739="","",VLOOKUP(D1739,CadProd!$A:$B,2,0)),"")</f>
        <v/>
      </c>
      <c r="F1739" t="str">
        <f>IFERROR(IF(D1739="","",VLOOKUP(D1739,CadProd!$A:$C,3,0)),"")</f>
        <v/>
      </c>
    </row>
    <row r="1740" spans="5:6" x14ac:dyDescent="0.3">
      <c r="E1740" t="str">
        <f>IFERROR(IF(D1740="","",VLOOKUP(D1740,CadProd!$A:$B,2,0)),"")</f>
        <v/>
      </c>
      <c r="F1740" t="str">
        <f>IFERROR(IF(D1740="","",VLOOKUP(D1740,CadProd!$A:$C,3,0)),"")</f>
        <v/>
      </c>
    </row>
    <row r="1741" spans="5:6" x14ac:dyDescent="0.3">
      <c r="E1741" t="str">
        <f>IFERROR(IF(D1741="","",VLOOKUP(D1741,CadProd!$A:$B,2,0)),"")</f>
        <v/>
      </c>
      <c r="F1741" t="str">
        <f>IFERROR(IF(D1741="","",VLOOKUP(D1741,CadProd!$A:$C,3,0)),"")</f>
        <v/>
      </c>
    </row>
    <row r="1742" spans="5:6" x14ac:dyDescent="0.3">
      <c r="E1742" t="str">
        <f>IFERROR(IF(D1742="","",VLOOKUP(D1742,CadProd!$A:$B,2,0)),"")</f>
        <v/>
      </c>
      <c r="F1742" t="str">
        <f>IFERROR(IF(D1742="","",VLOOKUP(D1742,CadProd!$A:$C,3,0)),"")</f>
        <v/>
      </c>
    </row>
    <row r="1743" spans="5:6" x14ac:dyDescent="0.3">
      <c r="E1743" t="str">
        <f>IFERROR(IF(D1743="","",VLOOKUP(D1743,CadProd!$A:$B,2,0)),"")</f>
        <v/>
      </c>
      <c r="F1743" t="str">
        <f>IFERROR(IF(D1743="","",VLOOKUP(D1743,CadProd!$A:$C,3,0)),"")</f>
        <v/>
      </c>
    </row>
    <row r="1744" spans="5:6" x14ac:dyDescent="0.3">
      <c r="E1744" t="str">
        <f>IFERROR(IF(D1744="","",VLOOKUP(D1744,CadProd!$A:$B,2,0)),"")</f>
        <v/>
      </c>
      <c r="F1744" t="str">
        <f>IFERROR(IF(D1744="","",VLOOKUP(D1744,CadProd!$A:$C,3,0)),"")</f>
        <v/>
      </c>
    </row>
    <row r="1745" spans="5:6" x14ac:dyDescent="0.3">
      <c r="E1745" t="str">
        <f>IFERROR(IF(D1745="","",VLOOKUP(D1745,CadProd!$A:$B,2,0)),"")</f>
        <v/>
      </c>
      <c r="F1745" t="str">
        <f>IFERROR(IF(D1745="","",VLOOKUP(D1745,CadProd!$A:$C,3,0)),"")</f>
        <v/>
      </c>
    </row>
    <row r="1746" spans="5:6" x14ac:dyDescent="0.3">
      <c r="E1746" t="str">
        <f>IFERROR(IF(D1746="","",VLOOKUP(D1746,CadProd!$A:$B,2,0)),"")</f>
        <v/>
      </c>
      <c r="F1746" t="str">
        <f>IFERROR(IF(D1746="","",VLOOKUP(D1746,CadProd!$A:$C,3,0)),"")</f>
        <v/>
      </c>
    </row>
    <row r="1747" spans="5:6" x14ac:dyDescent="0.3">
      <c r="E1747" t="str">
        <f>IFERROR(IF(D1747="","",VLOOKUP(D1747,CadProd!$A:$B,2,0)),"")</f>
        <v/>
      </c>
      <c r="F1747" t="str">
        <f>IFERROR(IF(D1747="","",VLOOKUP(D1747,CadProd!$A:$C,3,0)),"")</f>
        <v/>
      </c>
    </row>
    <row r="1748" spans="5:6" x14ac:dyDescent="0.3">
      <c r="E1748" t="str">
        <f>IFERROR(IF(D1748="","",VLOOKUP(D1748,CadProd!$A:$B,2,0)),"")</f>
        <v/>
      </c>
      <c r="F1748" t="str">
        <f>IFERROR(IF(D1748="","",VLOOKUP(D1748,CadProd!$A:$C,3,0)),"")</f>
        <v/>
      </c>
    </row>
    <row r="1749" spans="5:6" x14ac:dyDescent="0.3">
      <c r="E1749" t="str">
        <f>IFERROR(IF(D1749="","",VLOOKUP(D1749,CadProd!$A:$B,2,0)),"")</f>
        <v/>
      </c>
      <c r="F1749" t="str">
        <f>IFERROR(IF(D1749="","",VLOOKUP(D1749,CadProd!$A:$C,3,0)),"")</f>
        <v/>
      </c>
    </row>
    <row r="1750" spans="5:6" x14ac:dyDescent="0.3">
      <c r="E1750" t="str">
        <f>IFERROR(IF(D1750="","",VLOOKUP(D1750,CadProd!$A:$B,2,0)),"")</f>
        <v/>
      </c>
      <c r="F1750" t="str">
        <f>IFERROR(IF(D1750="","",VLOOKUP(D1750,CadProd!$A:$C,3,0)),"")</f>
        <v/>
      </c>
    </row>
    <row r="1751" spans="5:6" x14ac:dyDescent="0.3">
      <c r="E1751" t="str">
        <f>IFERROR(IF(D1751="","",VLOOKUP(D1751,CadProd!$A:$B,2,0)),"")</f>
        <v/>
      </c>
      <c r="F1751" t="str">
        <f>IFERROR(IF(D1751="","",VLOOKUP(D1751,CadProd!$A:$C,3,0)),"")</f>
        <v/>
      </c>
    </row>
    <row r="1752" spans="5:6" x14ac:dyDescent="0.3">
      <c r="E1752" t="str">
        <f>IFERROR(IF(D1752="","",VLOOKUP(D1752,CadProd!$A:$B,2,0)),"")</f>
        <v/>
      </c>
      <c r="F1752" t="str">
        <f>IFERROR(IF(D1752="","",VLOOKUP(D1752,CadProd!$A:$C,3,0)),"")</f>
        <v/>
      </c>
    </row>
    <row r="1753" spans="5:6" x14ac:dyDescent="0.3">
      <c r="E1753" t="str">
        <f>IFERROR(IF(D1753="","",VLOOKUP(D1753,CadProd!$A:$B,2,0)),"")</f>
        <v/>
      </c>
      <c r="F1753" t="str">
        <f>IFERROR(IF(D1753="","",VLOOKUP(D1753,CadProd!$A:$C,3,0)),"")</f>
        <v/>
      </c>
    </row>
    <row r="1754" spans="5:6" x14ac:dyDescent="0.3">
      <c r="E1754" t="str">
        <f>IFERROR(IF(D1754="","",VLOOKUP(D1754,CadProd!$A:$B,2,0)),"")</f>
        <v/>
      </c>
      <c r="F1754" t="str">
        <f>IFERROR(IF(D1754="","",VLOOKUP(D1754,CadProd!$A:$C,3,0)),"")</f>
        <v/>
      </c>
    </row>
    <row r="1755" spans="5:6" x14ac:dyDescent="0.3">
      <c r="E1755" t="str">
        <f>IFERROR(IF(D1755="","",VLOOKUP(D1755,CadProd!$A:$B,2,0)),"")</f>
        <v/>
      </c>
      <c r="F1755" t="str">
        <f>IFERROR(IF(D1755="","",VLOOKUP(D1755,CadProd!$A:$C,3,0)),"")</f>
        <v/>
      </c>
    </row>
    <row r="1756" spans="5:6" x14ac:dyDescent="0.3">
      <c r="E1756" t="str">
        <f>IFERROR(IF(D1756="","",VLOOKUP(D1756,CadProd!$A:$B,2,0)),"")</f>
        <v/>
      </c>
      <c r="F1756" t="str">
        <f>IFERROR(IF(D1756="","",VLOOKUP(D1756,CadProd!$A:$C,3,0)),"")</f>
        <v/>
      </c>
    </row>
    <row r="1757" spans="5:6" x14ac:dyDescent="0.3">
      <c r="E1757" t="str">
        <f>IFERROR(IF(D1757="","",VLOOKUP(D1757,CadProd!$A:$B,2,0)),"")</f>
        <v/>
      </c>
      <c r="F1757" t="str">
        <f>IFERROR(IF(D1757="","",VLOOKUP(D1757,CadProd!$A:$C,3,0)),"")</f>
        <v/>
      </c>
    </row>
    <row r="1758" spans="5:6" x14ac:dyDescent="0.3">
      <c r="E1758" t="str">
        <f>IFERROR(IF(D1758="","",VLOOKUP(D1758,CadProd!$A:$B,2,0)),"")</f>
        <v/>
      </c>
      <c r="F1758" t="str">
        <f>IFERROR(IF(D1758="","",VLOOKUP(D1758,CadProd!$A:$C,3,0)),"")</f>
        <v/>
      </c>
    </row>
    <row r="1759" spans="5:6" x14ac:dyDescent="0.3">
      <c r="E1759" t="str">
        <f>IFERROR(IF(D1759="","",VLOOKUP(D1759,CadProd!$A:$B,2,0)),"")</f>
        <v/>
      </c>
      <c r="F1759" t="str">
        <f>IFERROR(IF(D1759="","",VLOOKUP(D1759,CadProd!$A:$C,3,0)),"")</f>
        <v/>
      </c>
    </row>
    <row r="1760" spans="5:6" x14ac:dyDescent="0.3">
      <c r="E1760" t="str">
        <f>IFERROR(IF(D1760="","",VLOOKUP(D1760,CadProd!$A:$B,2,0)),"")</f>
        <v/>
      </c>
      <c r="F1760" t="str">
        <f>IFERROR(IF(D1760="","",VLOOKUP(D1760,CadProd!$A:$C,3,0)),"")</f>
        <v/>
      </c>
    </row>
    <row r="1761" spans="5:6" x14ac:dyDescent="0.3">
      <c r="E1761" t="str">
        <f>IFERROR(IF(D1761="","",VLOOKUP(D1761,CadProd!$A:$B,2,0)),"")</f>
        <v/>
      </c>
      <c r="F1761" t="str">
        <f>IFERROR(IF(D1761="","",VLOOKUP(D1761,CadProd!$A:$C,3,0)),"")</f>
        <v/>
      </c>
    </row>
    <row r="1762" spans="5:6" x14ac:dyDescent="0.3">
      <c r="E1762" t="str">
        <f>IFERROR(IF(D1762="","",VLOOKUP(D1762,CadProd!$A:$B,2,0)),"")</f>
        <v/>
      </c>
      <c r="F1762" t="str">
        <f>IFERROR(IF(D1762="","",VLOOKUP(D1762,CadProd!$A:$C,3,0)),"")</f>
        <v/>
      </c>
    </row>
    <row r="1763" spans="5:6" x14ac:dyDescent="0.3">
      <c r="E1763" t="str">
        <f>IFERROR(IF(D1763="","",VLOOKUP(D1763,CadProd!$A:$B,2,0)),"")</f>
        <v/>
      </c>
      <c r="F1763" t="str">
        <f>IFERROR(IF(D1763="","",VLOOKUP(D1763,CadProd!$A:$C,3,0)),"")</f>
        <v/>
      </c>
    </row>
    <row r="1764" spans="5:6" x14ac:dyDescent="0.3">
      <c r="E1764" t="str">
        <f>IFERROR(IF(D1764="","",VLOOKUP(D1764,CadProd!$A:$B,2,0)),"")</f>
        <v/>
      </c>
      <c r="F1764" t="str">
        <f>IFERROR(IF(D1764="","",VLOOKUP(D1764,CadProd!$A:$C,3,0)),"")</f>
        <v/>
      </c>
    </row>
    <row r="1765" spans="5:6" x14ac:dyDescent="0.3">
      <c r="E1765" t="str">
        <f>IFERROR(IF(D1765="","",VLOOKUP(D1765,CadProd!$A:$B,2,0)),"")</f>
        <v/>
      </c>
      <c r="F1765" t="str">
        <f>IFERROR(IF(D1765="","",VLOOKUP(D1765,CadProd!$A:$C,3,0)),"")</f>
        <v/>
      </c>
    </row>
    <row r="1766" spans="5:6" x14ac:dyDescent="0.3">
      <c r="E1766" t="str">
        <f>IFERROR(IF(D1766="","",VLOOKUP(D1766,CadProd!$A:$B,2,0)),"")</f>
        <v/>
      </c>
      <c r="F1766" t="str">
        <f>IFERROR(IF(D1766="","",VLOOKUP(D1766,CadProd!$A:$C,3,0)),"")</f>
        <v/>
      </c>
    </row>
    <row r="1767" spans="5:6" x14ac:dyDescent="0.3">
      <c r="E1767" t="str">
        <f>IFERROR(IF(D1767="","",VLOOKUP(D1767,CadProd!$A:$B,2,0)),"")</f>
        <v/>
      </c>
      <c r="F1767" t="str">
        <f>IFERROR(IF(D1767="","",VLOOKUP(D1767,CadProd!$A:$C,3,0)),"")</f>
        <v/>
      </c>
    </row>
    <row r="1768" spans="5:6" x14ac:dyDescent="0.3">
      <c r="E1768" t="str">
        <f>IFERROR(IF(D1768="","",VLOOKUP(D1768,CadProd!$A:$B,2,0)),"")</f>
        <v/>
      </c>
      <c r="F1768" t="str">
        <f>IFERROR(IF(D1768="","",VLOOKUP(D1768,CadProd!$A:$C,3,0)),"")</f>
        <v/>
      </c>
    </row>
    <row r="1769" spans="5:6" x14ac:dyDescent="0.3">
      <c r="E1769" t="str">
        <f>IFERROR(IF(D1769="","",VLOOKUP(D1769,CadProd!$A:$B,2,0)),"")</f>
        <v/>
      </c>
      <c r="F1769" t="str">
        <f>IFERROR(IF(D1769="","",VLOOKUP(D1769,CadProd!$A:$C,3,0)),"")</f>
        <v/>
      </c>
    </row>
    <row r="1770" spans="5:6" x14ac:dyDescent="0.3">
      <c r="E1770" t="str">
        <f>IFERROR(IF(D1770="","",VLOOKUP(D1770,CadProd!$A:$B,2,0)),"")</f>
        <v/>
      </c>
      <c r="F1770" t="str">
        <f>IFERROR(IF(D1770="","",VLOOKUP(D1770,CadProd!$A:$C,3,0)),"")</f>
        <v/>
      </c>
    </row>
    <row r="1771" spans="5:6" x14ac:dyDescent="0.3">
      <c r="E1771" t="str">
        <f>IFERROR(IF(D1771="","",VLOOKUP(D1771,CadProd!$A:$B,2,0)),"")</f>
        <v/>
      </c>
      <c r="F1771" t="str">
        <f>IFERROR(IF(D1771="","",VLOOKUP(D1771,CadProd!$A:$C,3,0)),"")</f>
        <v/>
      </c>
    </row>
    <row r="1772" spans="5:6" x14ac:dyDescent="0.3">
      <c r="E1772" t="str">
        <f>IFERROR(IF(D1772="","",VLOOKUP(D1772,CadProd!$A:$B,2,0)),"")</f>
        <v/>
      </c>
      <c r="F1772" t="str">
        <f>IFERROR(IF(D1772="","",VLOOKUP(D1772,CadProd!$A:$C,3,0)),"")</f>
        <v/>
      </c>
    </row>
    <row r="1773" spans="5:6" x14ac:dyDescent="0.3">
      <c r="E1773" t="str">
        <f>IFERROR(IF(D1773="","",VLOOKUP(D1773,CadProd!$A:$B,2,0)),"")</f>
        <v/>
      </c>
      <c r="F1773" t="str">
        <f>IFERROR(IF(D1773="","",VLOOKUP(D1773,CadProd!$A:$C,3,0)),"")</f>
        <v/>
      </c>
    </row>
    <row r="1774" spans="5:6" x14ac:dyDescent="0.3">
      <c r="E1774" t="str">
        <f>IFERROR(IF(D1774="","",VLOOKUP(D1774,CadProd!$A:$B,2,0)),"")</f>
        <v/>
      </c>
      <c r="F1774" t="str">
        <f>IFERROR(IF(D1774="","",VLOOKUP(D1774,CadProd!$A:$C,3,0)),"")</f>
        <v/>
      </c>
    </row>
    <row r="1775" spans="5:6" x14ac:dyDescent="0.3">
      <c r="E1775" t="str">
        <f>IFERROR(IF(D1775="","",VLOOKUP(D1775,CadProd!$A:$B,2,0)),"")</f>
        <v/>
      </c>
      <c r="F1775" t="str">
        <f>IFERROR(IF(D1775="","",VLOOKUP(D1775,CadProd!$A:$C,3,0)),"")</f>
        <v/>
      </c>
    </row>
    <row r="1776" spans="5:6" x14ac:dyDescent="0.3">
      <c r="E1776" t="str">
        <f>IFERROR(IF(D1776="","",VLOOKUP(D1776,CadProd!$A:$B,2,0)),"")</f>
        <v/>
      </c>
      <c r="F1776" t="str">
        <f>IFERROR(IF(D1776="","",VLOOKUP(D1776,CadProd!$A:$C,3,0)),"")</f>
        <v/>
      </c>
    </row>
    <row r="1777" spans="5:6" x14ac:dyDescent="0.3">
      <c r="E1777" t="str">
        <f>IFERROR(IF(D1777="","",VLOOKUP(D1777,CadProd!$A:$B,2,0)),"")</f>
        <v/>
      </c>
      <c r="F1777" t="str">
        <f>IFERROR(IF(D1777="","",VLOOKUP(D1777,CadProd!$A:$C,3,0)),"")</f>
        <v/>
      </c>
    </row>
    <row r="1778" spans="5:6" x14ac:dyDescent="0.3">
      <c r="E1778" t="str">
        <f>IFERROR(IF(D1778="","",VLOOKUP(D1778,CadProd!$A:$B,2,0)),"")</f>
        <v/>
      </c>
      <c r="F1778" t="str">
        <f>IFERROR(IF(D1778="","",VLOOKUP(D1778,CadProd!$A:$C,3,0)),"")</f>
        <v/>
      </c>
    </row>
    <row r="1779" spans="5:6" x14ac:dyDescent="0.3">
      <c r="E1779" t="str">
        <f>IFERROR(IF(D1779="","",VLOOKUP(D1779,CadProd!$A:$B,2,0)),"")</f>
        <v/>
      </c>
      <c r="F1779" t="str">
        <f>IFERROR(IF(D1779="","",VLOOKUP(D1779,CadProd!$A:$C,3,0)),"")</f>
        <v/>
      </c>
    </row>
    <row r="1780" spans="5:6" x14ac:dyDescent="0.3">
      <c r="E1780" t="str">
        <f>IFERROR(IF(D1780="","",VLOOKUP(D1780,CadProd!$A:$B,2,0)),"")</f>
        <v/>
      </c>
      <c r="F1780" t="str">
        <f>IFERROR(IF(D1780="","",VLOOKUP(D1780,CadProd!$A:$C,3,0)),"")</f>
        <v/>
      </c>
    </row>
    <row r="1781" spans="5:6" x14ac:dyDescent="0.3">
      <c r="E1781" t="str">
        <f>IFERROR(IF(D1781="","",VLOOKUP(D1781,CadProd!$A:$B,2,0)),"")</f>
        <v/>
      </c>
      <c r="F1781" t="str">
        <f>IFERROR(IF(D1781="","",VLOOKUP(D1781,CadProd!$A:$C,3,0)),"")</f>
        <v/>
      </c>
    </row>
    <row r="1782" spans="5:6" x14ac:dyDescent="0.3">
      <c r="E1782" t="str">
        <f>IFERROR(IF(D1782="","",VLOOKUP(D1782,CadProd!$A:$B,2,0)),"")</f>
        <v/>
      </c>
      <c r="F1782" t="str">
        <f>IFERROR(IF(D1782="","",VLOOKUP(D1782,CadProd!$A:$C,3,0)),"")</f>
        <v/>
      </c>
    </row>
    <row r="1783" spans="5:6" x14ac:dyDescent="0.3">
      <c r="E1783" t="str">
        <f>IFERROR(IF(D1783="","",VLOOKUP(D1783,CadProd!$A:$B,2,0)),"")</f>
        <v/>
      </c>
      <c r="F1783" t="str">
        <f>IFERROR(IF(D1783="","",VLOOKUP(D1783,CadProd!$A:$C,3,0)),"")</f>
        <v/>
      </c>
    </row>
    <row r="1784" spans="5:6" x14ac:dyDescent="0.3">
      <c r="E1784" t="str">
        <f>IFERROR(IF(D1784="","",VLOOKUP(D1784,CadProd!$A:$B,2,0)),"")</f>
        <v/>
      </c>
      <c r="F1784" t="str">
        <f>IFERROR(IF(D1784="","",VLOOKUP(D1784,CadProd!$A:$C,3,0)),"")</f>
        <v/>
      </c>
    </row>
    <row r="1785" spans="5:6" x14ac:dyDescent="0.3">
      <c r="E1785" t="str">
        <f>IFERROR(IF(D1785="","",VLOOKUP(D1785,CadProd!$A:$B,2,0)),"")</f>
        <v/>
      </c>
      <c r="F1785" t="str">
        <f>IFERROR(IF(D1785="","",VLOOKUP(D1785,CadProd!$A:$C,3,0)),"")</f>
        <v/>
      </c>
    </row>
    <row r="1786" spans="5:6" x14ac:dyDescent="0.3">
      <c r="E1786" t="str">
        <f>IFERROR(IF(D1786="","",VLOOKUP(D1786,CadProd!$A:$B,2,0)),"")</f>
        <v/>
      </c>
      <c r="F1786" t="str">
        <f>IFERROR(IF(D1786="","",VLOOKUP(D1786,CadProd!$A:$C,3,0)),"")</f>
        <v/>
      </c>
    </row>
    <row r="1787" spans="5:6" x14ac:dyDescent="0.3">
      <c r="E1787" t="str">
        <f>IFERROR(IF(D1787="","",VLOOKUP(D1787,CadProd!$A:$B,2,0)),"")</f>
        <v/>
      </c>
      <c r="F1787" t="str">
        <f>IFERROR(IF(D1787="","",VLOOKUP(D1787,CadProd!$A:$C,3,0)),"")</f>
        <v/>
      </c>
    </row>
    <row r="1788" spans="5:6" x14ac:dyDescent="0.3">
      <c r="E1788" t="str">
        <f>IFERROR(IF(D1788="","",VLOOKUP(D1788,CadProd!$A:$B,2,0)),"")</f>
        <v/>
      </c>
      <c r="F1788" t="str">
        <f>IFERROR(IF(D1788="","",VLOOKUP(D1788,CadProd!$A:$C,3,0)),"")</f>
        <v/>
      </c>
    </row>
    <row r="1789" spans="5:6" x14ac:dyDescent="0.3">
      <c r="E1789" t="str">
        <f>IFERROR(IF(D1789="","",VLOOKUP(D1789,CadProd!$A:$B,2,0)),"")</f>
        <v/>
      </c>
      <c r="F1789" t="str">
        <f>IFERROR(IF(D1789="","",VLOOKUP(D1789,CadProd!$A:$C,3,0)),"")</f>
        <v/>
      </c>
    </row>
    <row r="1790" spans="5:6" x14ac:dyDescent="0.3">
      <c r="E1790" t="str">
        <f>IFERROR(IF(D1790="","",VLOOKUP(D1790,CadProd!$A:$B,2,0)),"")</f>
        <v/>
      </c>
      <c r="F1790" t="str">
        <f>IFERROR(IF(D1790="","",VLOOKUP(D1790,CadProd!$A:$C,3,0)),"")</f>
        <v/>
      </c>
    </row>
    <row r="1791" spans="5:6" x14ac:dyDescent="0.3">
      <c r="E1791" t="str">
        <f>IFERROR(IF(D1791="","",VLOOKUP(D1791,CadProd!$A:$B,2,0)),"")</f>
        <v/>
      </c>
      <c r="F1791" t="str">
        <f>IFERROR(IF(D1791="","",VLOOKUP(D1791,CadProd!$A:$C,3,0)),"")</f>
        <v/>
      </c>
    </row>
    <row r="1792" spans="5:6" x14ac:dyDescent="0.3">
      <c r="E1792" t="str">
        <f>IFERROR(IF(D1792="","",VLOOKUP(D1792,CadProd!$A:$B,2,0)),"")</f>
        <v/>
      </c>
      <c r="F1792" t="str">
        <f>IFERROR(IF(D1792="","",VLOOKUP(D1792,CadProd!$A:$C,3,0)),"")</f>
        <v/>
      </c>
    </row>
    <row r="1793" spans="5:6" x14ac:dyDescent="0.3">
      <c r="E1793" t="str">
        <f>IFERROR(IF(D1793="","",VLOOKUP(D1793,CadProd!$A:$B,2,0)),"")</f>
        <v/>
      </c>
      <c r="F1793" t="str">
        <f>IFERROR(IF(D1793="","",VLOOKUP(D1793,CadProd!$A:$C,3,0)),"")</f>
        <v/>
      </c>
    </row>
    <row r="1794" spans="5:6" x14ac:dyDescent="0.3">
      <c r="E1794" t="str">
        <f>IFERROR(IF(D1794="","",VLOOKUP(D1794,CadProd!$A:$B,2,0)),"")</f>
        <v/>
      </c>
      <c r="F1794" t="str">
        <f>IFERROR(IF(D1794="","",VLOOKUP(D1794,CadProd!$A:$C,3,0)),"")</f>
        <v/>
      </c>
    </row>
    <row r="1795" spans="5:6" x14ac:dyDescent="0.3">
      <c r="E1795" t="str">
        <f>IFERROR(IF(D1795="","",VLOOKUP(D1795,CadProd!$A:$B,2,0)),"")</f>
        <v/>
      </c>
      <c r="F1795" t="str">
        <f>IFERROR(IF(D1795="","",VLOOKUP(D1795,CadProd!$A:$C,3,0)),"")</f>
        <v/>
      </c>
    </row>
    <row r="1796" spans="5:6" x14ac:dyDescent="0.3">
      <c r="E1796" t="str">
        <f>IFERROR(IF(D1796="","",VLOOKUP(D1796,CadProd!$A:$B,2,0)),"")</f>
        <v/>
      </c>
      <c r="F1796" t="str">
        <f>IFERROR(IF(D1796="","",VLOOKUP(D1796,CadProd!$A:$C,3,0)),"")</f>
        <v/>
      </c>
    </row>
    <row r="1797" spans="5:6" x14ac:dyDescent="0.3">
      <c r="E1797" t="str">
        <f>IFERROR(IF(D1797="","",VLOOKUP(D1797,CadProd!$A:$B,2,0)),"")</f>
        <v/>
      </c>
      <c r="F1797" t="str">
        <f>IFERROR(IF(D1797="","",VLOOKUP(D1797,CadProd!$A:$C,3,0)),"")</f>
        <v/>
      </c>
    </row>
    <row r="1798" spans="5:6" x14ac:dyDescent="0.3">
      <c r="E1798" t="str">
        <f>IFERROR(IF(D1798="","",VLOOKUP(D1798,CadProd!$A:$B,2,0)),"")</f>
        <v/>
      </c>
      <c r="F1798" t="str">
        <f>IFERROR(IF(D1798="","",VLOOKUP(D1798,CadProd!$A:$C,3,0)),"")</f>
        <v/>
      </c>
    </row>
    <row r="1799" spans="5:6" x14ac:dyDescent="0.3">
      <c r="E1799" t="str">
        <f>IFERROR(IF(D1799="","",VLOOKUP(D1799,CadProd!$A:$B,2,0)),"")</f>
        <v/>
      </c>
      <c r="F1799" t="str">
        <f>IFERROR(IF(D1799="","",VLOOKUP(D1799,CadProd!$A:$C,3,0)),"")</f>
        <v/>
      </c>
    </row>
    <row r="1800" spans="5:6" x14ac:dyDescent="0.3">
      <c r="E1800" t="str">
        <f>IFERROR(IF(D1800="","",VLOOKUP(D1800,CadProd!$A:$B,2,0)),"")</f>
        <v/>
      </c>
      <c r="F1800" t="str">
        <f>IFERROR(IF(D1800="","",VLOOKUP(D1800,CadProd!$A:$C,3,0)),"")</f>
        <v/>
      </c>
    </row>
    <row r="1801" spans="5:6" x14ac:dyDescent="0.3">
      <c r="E1801" t="str">
        <f>IFERROR(IF(D1801="","",VLOOKUP(D1801,CadProd!$A:$B,2,0)),"")</f>
        <v/>
      </c>
      <c r="F1801" t="str">
        <f>IFERROR(IF(D1801="","",VLOOKUP(D1801,CadProd!$A:$C,3,0)),"")</f>
        <v/>
      </c>
    </row>
    <row r="1802" spans="5:6" x14ac:dyDescent="0.3">
      <c r="E1802" t="str">
        <f>IFERROR(IF(D1802="","",VLOOKUP(D1802,CadProd!$A:$B,2,0)),"")</f>
        <v/>
      </c>
      <c r="F1802" t="str">
        <f>IFERROR(IF(D1802="","",VLOOKUP(D1802,CadProd!$A:$C,3,0)),"")</f>
        <v/>
      </c>
    </row>
    <row r="1803" spans="5:6" x14ac:dyDescent="0.3">
      <c r="E1803" t="str">
        <f>IFERROR(IF(D1803="","",VLOOKUP(D1803,CadProd!$A:$B,2,0)),"")</f>
        <v/>
      </c>
      <c r="F1803" t="str">
        <f>IFERROR(IF(D1803="","",VLOOKUP(D1803,CadProd!$A:$C,3,0)),"")</f>
        <v/>
      </c>
    </row>
    <row r="1804" spans="5:6" x14ac:dyDescent="0.3">
      <c r="E1804" t="str">
        <f>IFERROR(IF(D1804="","",VLOOKUP(D1804,CadProd!$A:$B,2,0)),"")</f>
        <v/>
      </c>
      <c r="F1804" t="str">
        <f>IFERROR(IF(D1804="","",VLOOKUP(D1804,CadProd!$A:$C,3,0)),"")</f>
        <v/>
      </c>
    </row>
    <row r="1805" spans="5:6" x14ac:dyDescent="0.3">
      <c r="E1805" t="str">
        <f>IFERROR(IF(D1805="","",VLOOKUP(D1805,CadProd!$A:$B,2,0)),"")</f>
        <v/>
      </c>
      <c r="F1805" t="str">
        <f>IFERROR(IF(D1805="","",VLOOKUP(D1805,CadProd!$A:$C,3,0)),"")</f>
        <v/>
      </c>
    </row>
    <row r="1806" spans="5:6" x14ac:dyDescent="0.3">
      <c r="E1806" t="str">
        <f>IFERROR(IF(D1806="","",VLOOKUP(D1806,CadProd!$A:$B,2,0)),"")</f>
        <v/>
      </c>
      <c r="F1806" t="str">
        <f>IFERROR(IF(D1806="","",VLOOKUP(D1806,CadProd!$A:$C,3,0)),"")</f>
        <v/>
      </c>
    </row>
    <row r="1807" spans="5:6" x14ac:dyDescent="0.3">
      <c r="E1807" t="str">
        <f>IFERROR(IF(D1807="","",VLOOKUP(D1807,CadProd!$A:$B,2,0)),"")</f>
        <v/>
      </c>
      <c r="F1807" t="str">
        <f>IFERROR(IF(D1807="","",VLOOKUP(D1807,CadProd!$A:$C,3,0)),"")</f>
        <v/>
      </c>
    </row>
    <row r="1808" spans="5:6" x14ac:dyDescent="0.3">
      <c r="E1808" t="str">
        <f>IFERROR(IF(D1808="","",VLOOKUP(D1808,CadProd!$A:$B,2,0)),"")</f>
        <v/>
      </c>
      <c r="F1808" t="str">
        <f>IFERROR(IF(D1808="","",VLOOKUP(D1808,CadProd!$A:$C,3,0)),"")</f>
        <v/>
      </c>
    </row>
    <row r="1809" spans="5:6" x14ac:dyDescent="0.3">
      <c r="E1809" t="str">
        <f>IFERROR(IF(D1809="","",VLOOKUP(D1809,CadProd!$A:$B,2,0)),"")</f>
        <v/>
      </c>
      <c r="F1809" t="str">
        <f>IFERROR(IF(D1809="","",VLOOKUP(D1809,CadProd!$A:$C,3,0)),"")</f>
        <v/>
      </c>
    </row>
    <row r="1810" spans="5:6" x14ac:dyDescent="0.3">
      <c r="E1810" t="str">
        <f>IFERROR(IF(D1810="","",VLOOKUP(D1810,CadProd!$A:$B,2,0)),"")</f>
        <v/>
      </c>
      <c r="F1810" t="str">
        <f>IFERROR(IF(D1810="","",VLOOKUP(D1810,CadProd!$A:$C,3,0)),"")</f>
        <v/>
      </c>
    </row>
    <row r="1811" spans="5:6" x14ac:dyDescent="0.3">
      <c r="E1811" t="str">
        <f>IFERROR(IF(D1811="","",VLOOKUP(D1811,CadProd!$A:$B,2,0)),"")</f>
        <v/>
      </c>
      <c r="F1811" t="str">
        <f>IFERROR(IF(D1811="","",VLOOKUP(D1811,CadProd!$A:$C,3,0)),"")</f>
        <v/>
      </c>
    </row>
    <row r="1812" spans="5:6" x14ac:dyDescent="0.3">
      <c r="E1812" t="str">
        <f>IFERROR(IF(D1812="","",VLOOKUP(D1812,CadProd!$A:$B,2,0)),"")</f>
        <v/>
      </c>
      <c r="F1812" t="str">
        <f>IFERROR(IF(D1812="","",VLOOKUP(D1812,CadProd!$A:$C,3,0)),"")</f>
        <v/>
      </c>
    </row>
    <row r="1813" spans="5:6" x14ac:dyDescent="0.3">
      <c r="E1813" t="str">
        <f>IFERROR(IF(D1813="","",VLOOKUP(D1813,CadProd!$A:$B,2,0)),"")</f>
        <v/>
      </c>
      <c r="F1813" t="str">
        <f>IFERROR(IF(D1813="","",VLOOKUP(D1813,CadProd!$A:$C,3,0)),"")</f>
        <v/>
      </c>
    </row>
    <row r="1814" spans="5:6" x14ac:dyDescent="0.3">
      <c r="E1814" t="str">
        <f>IFERROR(IF(D1814="","",VLOOKUP(D1814,CadProd!$A:$B,2,0)),"")</f>
        <v/>
      </c>
      <c r="F1814" t="str">
        <f>IFERROR(IF(D1814="","",VLOOKUP(D1814,CadProd!$A:$C,3,0)),"")</f>
        <v/>
      </c>
    </row>
    <row r="1815" spans="5:6" x14ac:dyDescent="0.3">
      <c r="E1815" t="str">
        <f>IFERROR(IF(D1815="","",VLOOKUP(D1815,CadProd!$A:$B,2,0)),"")</f>
        <v/>
      </c>
      <c r="F1815" t="str">
        <f>IFERROR(IF(D1815="","",VLOOKUP(D1815,CadProd!$A:$C,3,0)),"")</f>
        <v/>
      </c>
    </row>
    <row r="1816" spans="5:6" x14ac:dyDescent="0.3">
      <c r="E1816" t="str">
        <f>IFERROR(IF(D1816="","",VLOOKUP(D1816,CadProd!$A:$B,2,0)),"")</f>
        <v/>
      </c>
      <c r="F1816" t="str">
        <f>IFERROR(IF(D1816="","",VLOOKUP(D1816,CadProd!$A:$C,3,0)),"")</f>
        <v/>
      </c>
    </row>
    <row r="1817" spans="5:6" x14ac:dyDescent="0.3">
      <c r="E1817" t="str">
        <f>IFERROR(IF(D1817="","",VLOOKUP(D1817,CadProd!$A:$B,2,0)),"")</f>
        <v/>
      </c>
      <c r="F1817" t="str">
        <f>IFERROR(IF(D1817="","",VLOOKUP(D1817,CadProd!$A:$C,3,0)),"")</f>
        <v/>
      </c>
    </row>
    <row r="1818" spans="5:6" x14ac:dyDescent="0.3">
      <c r="E1818" t="str">
        <f>IFERROR(IF(D1818="","",VLOOKUP(D1818,CadProd!$A:$B,2,0)),"")</f>
        <v/>
      </c>
      <c r="F1818" t="str">
        <f>IFERROR(IF(D1818="","",VLOOKUP(D1818,CadProd!$A:$C,3,0)),"")</f>
        <v/>
      </c>
    </row>
    <row r="1819" spans="5:6" x14ac:dyDescent="0.3">
      <c r="E1819" t="str">
        <f>IFERROR(IF(D1819="","",VLOOKUP(D1819,CadProd!$A:$B,2,0)),"")</f>
        <v/>
      </c>
      <c r="F1819" t="str">
        <f>IFERROR(IF(D1819="","",VLOOKUP(D1819,CadProd!$A:$C,3,0)),"")</f>
        <v/>
      </c>
    </row>
    <row r="1820" spans="5:6" x14ac:dyDescent="0.3">
      <c r="E1820" t="str">
        <f>IFERROR(IF(D1820="","",VLOOKUP(D1820,CadProd!$A:$B,2,0)),"")</f>
        <v/>
      </c>
      <c r="F1820" t="str">
        <f>IFERROR(IF(D1820="","",VLOOKUP(D1820,CadProd!$A:$C,3,0)),"")</f>
        <v/>
      </c>
    </row>
    <row r="1821" spans="5:6" x14ac:dyDescent="0.3">
      <c r="E1821" t="str">
        <f>IFERROR(IF(D1821="","",VLOOKUP(D1821,CadProd!$A:$B,2,0)),"")</f>
        <v/>
      </c>
      <c r="F1821" t="str">
        <f>IFERROR(IF(D1821="","",VLOOKUP(D1821,CadProd!$A:$C,3,0)),"")</f>
        <v/>
      </c>
    </row>
    <row r="1822" spans="5:6" x14ac:dyDescent="0.3">
      <c r="E1822" t="str">
        <f>IFERROR(IF(D1822="","",VLOOKUP(D1822,CadProd!$A:$B,2,0)),"")</f>
        <v/>
      </c>
      <c r="F1822" t="str">
        <f>IFERROR(IF(D1822="","",VLOOKUP(D1822,CadProd!$A:$C,3,0)),"")</f>
        <v/>
      </c>
    </row>
    <row r="1823" spans="5:6" x14ac:dyDescent="0.3">
      <c r="E1823" t="str">
        <f>IFERROR(IF(D1823="","",VLOOKUP(D1823,CadProd!$A:$B,2,0)),"")</f>
        <v/>
      </c>
      <c r="F1823" t="str">
        <f>IFERROR(IF(D1823="","",VLOOKUP(D1823,CadProd!$A:$C,3,0)),"")</f>
        <v/>
      </c>
    </row>
    <row r="1824" spans="5:6" x14ac:dyDescent="0.3">
      <c r="E1824" t="str">
        <f>IFERROR(IF(D1824="","",VLOOKUP(D1824,CadProd!$A:$B,2,0)),"")</f>
        <v/>
      </c>
      <c r="F1824" t="str">
        <f>IFERROR(IF(D1824="","",VLOOKUP(D1824,CadProd!$A:$C,3,0)),"")</f>
        <v/>
      </c>
    </row>
    <row r="1825" spans="5:6" x14ac:dyDescent="0.3">
      <c r="E1825" t="str">
        <f>IFERROR(IF(D1825="","",VLOOKUP(D1825,CadProd!$A:$B,2,0)),"")</f>
        <v/>
      </c>
      <c r="F1825" t="str">
        <f>IFERROR(IF(D1825="","",VLOOKUP(D1825,CadProd!$A:$C,3,0)),"")</f>
        <v/>
      </c>
    </row>
    <row r="1826" spans="5:6" x14ac:dyDescent="0.3">
      <c r="E1826" t="str">
        <f>IFERROR(IF(D1826="","",VLOOKUP(D1826,CadProd!$A:$B,2,0)),"")</f>
        <v/>
      </c>
      <c r="F1826" t="str">
        <f>IFERROR(IF(D1826="","",VLOOKUP(D1826,CadProd!$A:$C,3,0)),"")</f>
        <v/>
      </c>
    </row>
    <row r="1827" spans="5:6" x14ac:dyDescent="0.3">
      <c r="E1827" t="str">
        <f>IFERROR(IF(D1827="","",VLOOKUP(D1827,CadProd!$A:$B,2,0)),"")</f>
        <v/>
      </c>
      <c r="F1827" t="str">
        <f>IFERROR(IF(D1827="","",VLOOKUP(D1827,CadProd!$A:$C,3,0)),"")</f>
        <v/>
      </c>
    </row>
    <row r="1828" spans="5:6" x14ac:dyDescent="0.3">
      <c r="E1828" t="str">
        <f>IFERROR(IF(D1828="","",VLOOKUP(D1828,CadProd!$A:$B,2,0)),"")</f>
        <v/>
      </c>
      <c r="F1828" t="str">
        <f>IFERROR(IF(D1828="","",VLOOKUP(D1828,CadProd!$A:$C,3,0)),"")</f>
        <v/>
      </c>
    </row>
    <row r="1829" spans="5:6" x14ac:dyDescent="0.3">
      <c r="E1829" t="str">
        <f>IFERROR(IF(D1829="","",VLOOKUP(D1829,CadProd!$A:$B,2,0)),"")</f>
        <v/>
      </c>
      <c r="F1829" t="str">
        <f>IFERROR(IF(D1829="","",VLOOKUP(D1829,CadProd!$A:$C,3,0)),"")</f>
        <v/>
      </c>
    </row>
    <row r="1830" spans="5:6" x14ac:dyDescent="0.3">
      <c r="E1830" t="str">
        <f>IFERROR(IF(D1830="","",VLOOKUP(D1830,CadProd!$A:$B,2,0)),"")</f>
        <v/>
      </c>
      <c r="F1830" t="str">
        <f>IFERROR(IF(D1830="","",VLOOKUP(D1830,CadProd!$A:$C,3,0)),"")</f>
        <v/>
      </c>
    </row>
    <row r="1831" spans="5:6" x14ac:dyDescent="0.3">
      <c r="E1831" t="str">
        <f>IFERROR(IF(D1831="","",VLOOKUP(D1831,CadProd!$A:$B,2,0)),"")</f>
        <v/>
      </c>
      <c r="F1831" t="str">
        <f>IFERROR(IF(D1831="","",VLOOKUP(D1831,CadProd!$A:$C,3,0)),"")</f>
        <v/>
      </c>
    </row>
    <row r="1832" spans="5:6" x14ac:dyDescent="0.3">
      <c r="E1832" t="str">
        <f>IFERROR(IF(D1832="","",VLOOKUP(D1832,CadProd!$A:$B,2,0)),"")</f>
        <v/>
      </c>
      <c r="F1832" t="str">
        <f>IFERROR(IF(D1832="","",VLOOKUP(D1832,CadProd!$A:$C,3,0)),"")</f>
        <v/>
      </c>
    </row>
    <row r="1833" spans="5:6" x14ac:dyDescent="0.3">
      <c r="E1833" t="str">
        <f>IFERROR(IF(D1833="","",VLOOKUP(D1833,CadProd!$A:$B,2,0)),"")</f>
        <v/>
      </c>
      <c r="F1833" t="str">
        <f>IFERROR(IF(D1833="","",VLOOKUP(D1833,CadProd!$A:$C,3,0)),"")</f>
        <v/>
      </c>
    </row>
    <row r="1834" spans="5:6" x14ac:dyDescent="0.3">
      <c r="E1834" t="str">
        <f>IFERROR(IF(D1834="","",VLOOKUP(D1834,CadProd!$A:$B,2,0)),"")</f>
        <v/>
      </c>
      <c r="F1834" t="str">
        <f>IFERROR(IF(D1834="","",VLOOKUP(D1834,CadProd!$A:$C,3,0)),"")</f>
        <v/>
      </c>
    </row>
    <row r="1835" spans="5:6" x14ac:dyDescent="0.3">
      <c r="E1835" t="str">
        <f>IFERROR(IF(D1835="","",VLOOKUP(D1835,CadProd!$A:$B,2,0)),"")</f>
        <v/>
      </c>
      <c r="F1835" t="str">
        <f>IFERROR(IF(D1835="","",VLOOKUP(D1835,CadProd!$A:$C,3,0)),"")</f>
        <v/>
      </c>
    </row>
    <row r="1836" spans="5:6" x14ac:dyDescent="0.3">
      <c r="E1836" t="str">
        <f>IFERROR(IF(D1836="","",VLOOKUP(D1836,CadProd!$A:$B,2,0)),"")</f>
        <v/>
      </c>
      <c r="F1836" t="str">
        <f>IFERROR(IF(D1836="","",VLOOKUP(D1836,CadProd!$A:$C,3,0)),"")</f>
        <v/>
      </c>
    </row>
    <row r="1837" spans="5:6" x14ac:dyDescent="0.3">
      <c r="E1837" t="str">
        <f>IFERROR(IF(D1837="","",VLOOKUP(D1837,CadProd!$A:$B,2,0)),"")</f>
        <v/>
      </c>
      <c r="F1837" t="str">
        <f>IFERROR(IF(D1837="","",VLOOKUP(D1837,CadProd!$A:$C,3,0)),"")</f>
        <v/>
      </c>
    </row>
    <row r="1838" spans="5:6" x14ac:dyDescent="0.3">
      <c r="E1838" t="str">
        <f>IFERROR(IF(D1838="","",VLOOKUP(D1838,CadProd!$A:$B,2,0)),"")</f>
        <v/>
      </c>
      <c r="F1838" t="str">
        <f>IFERROR(IF(D1838="","",VLOOKUP(D1838,CadProd!$A:$C,3,0)),"")</f>
        <v/>
      </c>
    </row>
    <row r="1839" spans="5:6" x14ac:dyDescent="0.3">
      <c r="E1839" t="str">
        <f>IFERROR(IF(D1839="","",VLOOKUP(D1839,CadProd!$A:$B,2,0)),"")</f>
        <v/>
      </c>
      <c r="F1839" t="str">
        <f>IFERROR(IF(D1839="","",VLOOKUP(D1839,CadProd!$A:$C,3,0)),"")</f>
        <v/>
      </c>
    </row>
    <row r="1840" spans="5:6" x14ac:dyDescent="0.3">
      <c r="E1840" t="str">
        <f>IFERROR(IF(D1840="","",VLOOKUP(D1840,CadProd!$A:$B,2,0)),"")</f>
        <v/>
      </c>
      <c r="F1840" t="str">
        <f>IFERROR(IF(D1840="","",VLOOKUP(D1840,CadProd!$A:$C,3,0)),"")</f>
        <v/>
      </c>
    </row>
    <row r="1841" spans="5:6" x14ac:dyDescent="0.3">
      <c r="E1841" t="str">
        <f>IFERROR(IF(D1841="","",VLOOKUP(D1841,CadProd!$A:$B,2,0)),"")</f>
        <v/>
      </c>
      <c r="F1841" t="str">
        <f>IFERROR(IF(D1841="","",VLOOKUP(D1841,CadProd!$A:$C,3,0)),"")</f>
        <v/>
      </c>
    </row>
    <row r="1842" spans="5:6" x14ac:dyDescent="0.3">
      <c r="E1842" t="str">
        <f>IFERROR(IF(D1842="","",VLOOKUP(D1842,CadProd!$A:$B,2,0)),"")</f>
        <v/>
      </c>
      <c r="F1842" t="str">
        <f>IFERROR(IF(D1842="","",VLOOKUP(D1842,CadProd!$A:$C,3,0)),"")</f>
        <v/>
      </c>
    </row>
    <row r="1843" spans="5:6" x14ac:dyDescent="0.3">
      <c r="E1843" t="str">
        <f>IFERROR(IF(D1843="","",VLOOKUP(D1843,CadProd!$A:$B,2,0)),"")</f>
        <v/>
      </c>
      <c r="F1843" t="str">
        <f>IFERROR(IF(D1843="","",VLOOKUP(D1843,CadProd!$A:$C,3,0)),"")</f>
        <v/>
      </c>
    </row>
    <row r="1844" spans="5:6" x14ac:dyDescent="0.3">
      <c r="E1844" t="str">
        <f>IFERROR(IF(D1844="","",VLOOKUP(D1844,CadProd!$A:$B,2,0)),"")</f>
        <v/>
      </c>
      <c r="F1844" t="str">
        <f>IFERROR(IF(D1844="","",VLOOKUP(D1844,CadProd!$A:$C,3,0)),"")</f>
        <v/>
      </c>
    </row>
    <row r="1845" spans="5:6" x14ac:dyDescent="0.3">
      <c r="E1845" t="str">
        <f>IFERROR(IF(D1845="","",VLOOKUP(D1845,CadProd!$A:$B,2,0)),"")</f>
        <v/>
      </c>
      <c r="F1845" t="str">
        <f>IFERROR(IF(D1845="","",VLOOKUP(D1845,CadProd!$A:$C,3,0)),"")</f>
        <v/>
      </c>
    </row>
    <row r="1846" spans="5:6" x14ac:dyDescent="0.3">
      <c r="E1846" t="str">
        <f>IFERROR(IF(D1846="","",VLOOKUP(D1846,CadProd!$A:$B,2,0)),"")</f>
        <v/>
      </c>
      <c r="F1846" t="str">
        <f>IFERROR(IF(D1846="","",VLOOKUP(D1846,CadProd!$A:$C,3,0)),"")</f>
        <v/>
      </c>
    </row>
    <row r="1847" spans="5:6" x14ac:dyDescent="0.3">
      <c r="E1847" t="str">
        <f>IFERROR(IF(D1847="","",VLOOKUP(D1847,CadProd!$A:$B,2,0)),"")</f>
        <v/>
      </c>
      <c r="F1847" t="str">
        <f>IFERROR(IF(D1847="","",VLOOKUP(D1847,CadProd!$A:$C,3,0)),"")</f>
        <v/>
      </c>
    </row>
    <row r="1848" spans="5:6" x14ac:dyDescent="0.3">
      <c r="E1848" t="str">
        <f>IFERROR(IF(D1848="","",VLOOKUP(D1848,CadProd!$A:$B,2,0)),"")</f>
        <v/>
      </c>
      <c r="F1848" t="str">
        <f>IFERROR(IF(D1848="","",VLOOKUP(D1848,CadProd!$A:$C,3,0)),"")</f>
        <v/>
      </c>
    </row>
    <row r="1849" spans="5:6" x14ac:dyDescent="0.3">
      <c r="E1849" t="str">
        <f>IFERROR(IF(D1849="","",VLOOKUP(D1849,CadProd!$A:$B,2,0)),"")</f>
        <v/>
      </c>
      <c r="F1849" t="str">
        <f>IFERROR(IF(D1849="","",VLOOKUP(D1849,CadProd!$A:$C,3,0)),"")</f>
        <v/>
      </c>
    </row>
    <row r="1850" spans="5:6" x14ac:dyDescent="0.3">
      <c r="E1850" t="str">
        <f>IFERROR(IF(D1850="","",VLOOKUP(D1850,CadProd!$A:$B,2,0)),"")</f>
        <v/>
      </c>
      <c r="F1850" t="str">
        <f>IFERROR(IF(D1850="","",VLOOKUP(D1850,CadProd!$A:$C,3,0)),"")</f>
        <v/>
      </c>
    </row>
    <row r="1851" spans="5:6" x14ac:dyDescent="0.3">
      <c r="E1851" t="str">
        <f>IFERROR(IF(D1851="","",VLOOKUP(D1851,CadProd!$A:$B,2,0)),"")</f>
        <v/>
      </c>
      <c r="F1851" t="str">
        <f>IFERROR(IF(D1851="","",VLOOKUP(D1851,CadProd!$A:$C,3,0)),"")</f>
        <v/>
      </c>
    </row>
    <row r="1852" spans="5:6" x14ac:dyDescent="0.3">
      <c r="E1852" t="str">
        <f>IFERROR(IF(D1852="","",VLOOKUP(D1852,CadProd!$A:$B,2,0)),"")</f>
        <v/>
      </c>
      <c r="F1852" t="str">
        <f>IFERROR(IF(D1852="","",VLOOKUP(D1852,CadProd!$A:$C,3,0)),"")</f>
        <v/>
      </c>
    </row>
    <row r="1853" spans="5:6" x14ac:dyDescent="0.3">
      <c r="E1853" t="str">
        <f>IFERROR(IF(D1853="","",VLOOKUP(D1853,CadProd!$A:$B,2,0)),"")</f>
        <v/>
      </c>
      <c r="F1853" t="str">
        <f>IFERROR(IF(D1853="","",VLOOKUP(D1853,CadProd!$A:$C,3,0)),"")</f>
        <v/>
      </c>
    </row>
    <row r="1854" spans="5:6" x14ac:dyDescent="0.3">
      <c r="E1854" t="str">
        <f>IFERROR(IF(D1854="","",VLOOKUP(D1854,CadProd!$A:$B,2,0)),"")</f>
        <v/>
      </c>
      <c r="F1854" t="str">
        <f>IFERROR(IF(D1854="","",VLOOKUP(D1854,CadProd!$A:$C,3,0)),"")</f>
        <v/>
      </c>
    </row>
    <row r="1855" spans="5:6" x14ac:dyDescent="0.3">
      <c r="E1855" t="str">
        <f>IFERROR(IF(D1855="","",VLOOKUP(D1855,CadProd!$A:$B,2,0)),"")</f>
        <v/>
      </c>
      <c r="F1855" t="str">
        <f>IFERROR(IF(D1855="","",VLOOKUP(D1855,CadProd!$A:$C,3,0)),"")</f>
        <v/>
      </c>
    </row>
    <row r="1856" spans="5:6" x14ac:dyDescent="0.3">
      <c r="E1856" t="str">
        <f>IFERROR(IF(D1856="","",VLOOKUP(D1856,CadProd!$A:$B,2,0)),"")</f>
        <v/>
      </c>
      <c r="F1856" t="str">
        <f>IFERROR(IF(D1856="","",VLOOKUP(D1856,CadProd!$A:$C,3,0)),"")</f>
        <v/>
      </c>
    </row>
    <row r="1857" spans="5:6" x14ac:dyDescent="0.3">
      <c r="E1857" t="str">
        <f>IFERROR(IF(D1857="","",VLOOKUP(D1857,CadProd!$A:$B,2,0)),"")</f>
        <v/>
      </c>
      <c r="F1857" t="str">
        <f>IFERROR(IF(D1857="","",VLOOKUP(D1857,CadProd!$A:$C,3,0)),"")</f>
        <v/>
      </c>
    </row>
    <row r="1858" spans="5:6" x14ac:dyDescent="0.3">
      <c r="E1858" t="str">
        <f>IFERROR(IF(D1858="","",VLOOKUP(D1858,CadProd!$A:$B,2,0)),"")</f>
        <v/>
      </c>
      <c r="F1858" t="str">
        <f>IFERROR(IF(D1858="","",VLOOKUP(D1858,CadProd!$A:$C,3,0)),"")</f>
        <v/>
      </c>
    </row>
    <row r="1859" spans="5:6" x14ac:dyDescent="0.3">
      <c r="E1859" t="str">
        <f>IFERROR(IF(D1859="","",VLOOKUP(D1859,CadProd!$A:$B,2,0)),"")</f>
        <v/>
      </c>
      <c r="F1859" t="str">
        <f>IFERROR(IF(D1859="","",VLOOKUP(D1859,CadProd!$A:$C,3,0)),"")</f>
        <v/>
      </c>
    </row>
    <row r="1860" spans="5:6" x14ac:dyDescent="0.3">
      <c r="E1860" t="str">
        <f>IFERROR(IF(D1860="","",VLOOKUP(D1860,CadProd!$A:$B,2,0)),"")</f>
        <v/>
      </c>
      <c r="F1860" t="str">
        <f>IFERROR(IF(D1860="","",VLOOKUP(D1860,CadProd!$A:$C,3,0)),"")</f>
        <v/>
      </c>
    </row>
    <row r="1861" spans="5:6" x14ac:dyDescent="0.3">
      <c r="E1861" t="str">
        <f>IFERROR(IF(D1861="","",VLOOKUP(D1861,CadProd!$A:$B,2,0)),"")</f>
        <v/>
      </c>
      <c r="F1861" t="str">
        <f>IFERROR(IF(D1861="","",VLOOKUP(D1861,CadProd!$A:$C,3,0)),"")</f>
        <v/>
      </c>
    </row>
    <row r="1862" spans="5:6" x14ac:dyDescent="0.3">
      <c r="E1862" t="str">
        <f>IFERROR(IF(D1862="","",VLOOKUP(D1862,CadProd!$A:$B,2,0)),"")</f>
        <v/>
      </c>
      <c r="F1862" t="str">
        <f>IFERROR(IF(D1862="","",VLOOKUP(D1862,CadProd!$A:$C,3,0)),"")</f>
        <v/>
      </c>
    </row>
    <row r="1863" spans="5:6" x14ac:dyDescent="0.3">
      <c r="E1863" t="str">
        <f>IFERROR(IF(D1863="","",VLOOKUP(D1863,CadProd!$A:$B,2,0)),"")</f>
        <v/>
      </c>
      <c r="F1863" t="str">
        <f>IFERROR(IF(D1863="","",VLOOKUP(D1863,CadProd!$A:$C,3,0)),"")</f>
        <v/>
      </c>
    </row>
    <row r="1864" spans="5:6" x14ac:dyDescent="0.3">
      <c r="E1864" t="str">
        <f>IFERROR(IF(D1864="","",VLOOKUP(D1864,CadProd!$A:$B,2,0)),"")</f>
        <v/>
      </c>
      <c r="F1864" t="str">
        <f>IFERROR(IF(D1864="","",VLOOKUP(D1864,CadProd!$A:$C,3,0)),"")</f>
        <v/>
      </c>
    </row>
    <row r="1865" spans="5:6" x14ac:dyDescent="0.3">
      <c r="E1865" t="str">
        <f>IFERROR(IF(D1865="","",VLOOKUP(D1865,CadProd!$A:$B,2,0)),"")</f>
        <v/>
      </c>
      <c r="F1865" t="str">
        <f>IFERROR(IF(D1865="","",VLOOKUP(D1865,CadProd!$A:$C,3,0)),"")</f>
        <v/>
      </c>
    </row>
    <row r="1866" spans="5:6" x14ac:dyDescent="0.3">
      <c r="E1866" t="str">
        <f>IFERROR(IF(D1866="","",VLOOKUP(D1866,CadProd!$A:$B,2,0)),"")</f>
        <v/>
      </c>
      <c r="F1866" t="str">
        <f>IFERROR(IF(D1866="","",VLOOKUP(D1866,CadProd!$A:$C,3,0)),"")</f>
        <v/>
      </c>
    </row>
    <row r="1867" spans="5:6" x14ac:dyDescent="0.3">
      <c r="E1867" t="str">
        <f>IFERROR(IF(D1867="","",VLOOKUP(D1867,CadProd!$A:$B,2,0)),"")</f>
        <v/>
      </c>
      <c r="F1867" t="str">
        <f>IFERROR(IF(D1867="","",VLOOKUP(D1867,CadProd!$A:$C,3,0)),"")</f>
        <v/>
      </c>
    </row>
    <row r="1868" spans="5:6" x14ac:dyDescent="0.3">
      <c r="E1868" t="str">
        <f>IFERROR(IF(D1868="","",VLOOKUP(D1868,CadProd!$A:$B,2,0)),"")</f>
        <v/>
      </c>
      <c r="F1868" t="str">
        <f>IFERROR(IF(D1868="","",VLOOKUP(D1868,CadProd!$A:$C,3,0)),"")</f>
        <v/>
      </c>
    </row>
    <row r="1869" spans="5:6" x14ac:dyDescent="0.3">
      <c r="E1869" t="str">
        <f>IFERROR(IF(D1869="","",VLOOKUP(D1869,CadProd!$A:$B,2,0)),"")</f>
        <v/>
      </c>
      <c r="F1869" t="str">
        <f>IFERROR(IF(D1869="","",VLOOKUP(D1869,CadProd!$A:$C,3,0)),"")</f>
        <v/>
      </c>
    </row>
    <row r="1870" spans="5:6" x14ac:dyDescent="0.3">
      <c r="E1870" t="str">
        <f>IFERROR(IF(D1870="","",VLOOKUP(D1870,CadProd!$A:$B,2,0)),"")</f>
        <v/>
      </c>
      <c r="F1870" t="str">
        <f>IFERROR(IF(D1870="","",VLOOKUP(D1870,CadProd!$A:$C,3,0)),"")</f>
        <v/>
      </c>
    </row>
    <row r="1871" spans="5:6" x14ac:dyDescent="0.3">
      <c r="E1871" t="str">
        <f>IFERROR(IF(D1871="","",VLOOKUP(D1871,CadProd!$A:$B,2,0)),"")</f>
        <v/>
      </c>
      <c r="F1871" t="str">
        <f>IFERROR(IF(D1871="","",VLOOKUP(D1871,CadProd!$A:$C,3,0)),"")</f>
        <v/>
      </c>
    </row>
    <row r="1872" spans="5:6" x14ac:dyDescent="0.3">
      <c r="E1872" t="str">
        <f>IFERROR(IF(D1872="","",VLOOKUP(D1872,CadProd!$A:$B,2,0)),"")</f>
        <v/>
      </c>
      <c r="F1872" t="str">
        <f>IFERROR(IF(D1872="","",VLOOKUP(D1872,CadProd!$A:$C,3,0)),"")</f>
        <v/>
      </c>
    </row>
    <row r="1873" spans="5:6" x14ac:dyDescent="0.3">
      <c r="E1873" t="str">
        <f>IFERROR(IF(D1873="","",VLOOKUP(D1873,CadProd!$A:$B,2,0)),"")</f>
        <v/>
      </c>
      <c r="F1873" t="str">
        <f>IFERROR(IF(D1873="","",VLOOKUP(D1873,CadProd!$A:$C,3,0)),"")</f>
        <v/>
      </c>
    </row>
    <row r="1874" spans="5:6" x14ac:dyDescent="0.3">
      <c r="E1874" t="str">
        <f>IFERROR(IF(D1874="","",VLOOKUP(D1874,CadProd!$A:$B,2,0)),"")</f>
        <v/>
      </c>
      <c r="F1874" t="str">
        <f>IFERROR(IF(D1874="","",VLOOKUP(D1874,CadProd!$A:$C,3,0)),"")</f>
        <v/>
      </c>
    </row>
    <row r="1875" spans="5:6" x14ac:dyDescent="0.3">
      <c r="E1875" t="str">
        <f>IFERROR(IF(D1875="","",VLOOKUP(D1875,CadProd!$A:$B,2,0)),"")</f>
        <v/>
      </c>
      <c r="F1875" t="str">
        <f>IFERROR(IF(D1875="","",VLOOKUP(D1875,CadProd!$A:$C,3,0)),"")</f>
        <v/>
      </c>
    </row>
    <row r="1876" spans="5:6" x14ac:dyDescent="0.3">
      <c r="E1876" t="str">
        <f>IFERROR(IF(D1876="","",VLOOKUP(D1876,CadProd!$A:$B,2,0)),"")</f>
        <v/>
      </c>
      <c r="F1876" t="str">
        <f>IFERROR(IF(D1876="","",VLOOKUP(D1876,CadProd!$A:$C,3,0)),"")</f>
        <v/>
      </c>
    </row>
    <row r="1877" spans="5:6" x14ac:dyDescent="0.3">
      <c r="E1877" t="str">
        <f>IFERROR(IF(D1877="","",VLOOKUP(D1877,CadProd!$A:$B,2,0)),"")</f>
        <v/>
      </c>
      <c r="F1877" t="str">
        <f>IFERROR(IF(D1877="","",VLOOKUP(D1877,CadProd!$A:$C,3,0)),"")</f>
        <v/>
      </c>
    </row>
    <row r="1878" spans="5:6" x14ac:dyDescent="0.3">
      <c r="E1878" t="str">
        <f>IFERROR(IF(D1878="","",VLOOKUP(D1878,CadProd!$A:$B,2,0)),"")</f>
        <v/>
      </c>
      <c r="F1878" t="str">
        <f>IFERROR(IF(D1878="","",VLOOKUP(D1878,CadProd!$A:$C,3,0)),"")</f>
        <v/>
      </c>
    </row>
    <row r="1879" spans="5:6" x14ac:dyDescent="0.3">
      <c r="E1879" t="str">
        <f>IFERROR(IF(D1879="","",VLOOKUP(D1879,CadProd!$A:$B,2,0)),"")</f>
        <v/>
      </c>
      <c r="F1879" t="str">
        <f>IFERROR(IF(D1879="","",VLOOKUP(D1879,CadProd!$A:$C,3,0)),"")</f>
        <v/>
      </c>
    </row>
    <row r="1880" spans="5:6" x14ac:dyDescent="0.3">
      <c r="E1880" t="str">
        <f>IFERROR(IF(D1880="","",VLOOKUP(D1880,CadProd!$A:$B,2,0)),"")</f>
        <v/>
      </c>
      <c r="F1880" t="str">
        <f>IFERROR(IF(D1880="","",VLOOKUP(D1880,CadProd!$A:$C,3,0)),"")</f>
        <v/>
      </c>
    </row>
    <row r="1881" spans="5:6" x14ac:dyDescent="0.3">
      <c r="E1881" t="str">
        <f>IFERROR(IF(D1881="","",VLOOKUP(D1881,CadProd!$A:$B,2,0)),"")</f>
        <v/>
      </c>
      <c r="F1881" t="str">
        <f>IFERROR(IF(D1881="","",VLOOKUP(D1881,CadProd!$A:$C,3,0)),"")</f>
        <v/>
      </c>
    </row>
    <row r="1882" spans="5:6" x14ac:dyDescent="0.3">
      <c r="E1882" t="str">
        <f>IFERROR(IF(D1882="","",VLOOKUP(D1882,CadProd!$A:$B,2,0)),"")</f>
        <v/>
      </c>
      <c r="F1882" t="str">
        <f>IFERROR(IF(D1882="","",VLOOKUP(D1882,CadProd!$A:$C,3,0)),"")</f>
        <v/>
      </c>
    </row>
    <row r="1883" spans="5:6" x14ac:dyDescent="0.3">
      <c r="E1883" t="str">
        <f>IFERROR(IF(D1883="","",VLOOKUP(D1883,CadProd!$A:$B,2,0)),"")</f>
        <v/>
      </c>
      <c r="F1883" t="str">
        <f>IFERROR(IF(D1883="","",VLOOKUP(D1883,CadProd!$A:$C,3,0)),"")</f>
        <v/>
      </c>
    </row>
    <row r="1884" spans="5:6" x14ac:dyDescent="0.3">
      <c r="E1884" t="str">
        <f>IFERROR(IF(D1884="","",VLOOKUP(D1884,CadProd!$A:$B,2,0)),"")</f>
        <v/>
      </c>
      <c r="F1884" t="str">
        <f>IFERROR(IF(D1884="","",VLOOKUP(D1884,CadProd!$A:$C,3,0)),"")</f>
        <v/>
      </c>
    </row>
    <row r="1885" spans="5:6" x14ac:dyDescent="0.3">
      <c r="E1885" t="str">
        <f>IFERROR(IF(D1885="","",VLOOKUP(D1885,CadProd!$A:$B,2,0)),"")</f>
        <v/>
      </c>
      <c r="F1885" t="str">
        <f>IFERROR(IF(D1885="","",VLOOKUP(D1885,CadProd!$A:$C,3,0)),"")</f>
        <v/>
      </c>
    </row>
    <row r="1886" spans="5:6" x14ac:dyDescent="0.3">
      <c r="E1886" t="str">
        <f>IFERROR(IF(D1886="","",VLOOKUP(D1886,CadProd!$A:$B,2,0)),"")</f>
        <v/>
      </c>
      <c r="F1886" t="str">
        <f>IFERROR(IF(D1886="","",VLOOKUP(D1886,CadProd!$A:$C,3,0)),"")</f>
        <v/>
      </c>
    </row>
    <row r="1887" spans="5:6" x14ac:dyDescent="0.3">
      <c r="E1887" t="str">
        <f>IFERROR(IF(D1887="","",VLOOKUP(D1887,CadProd!$A:$B,2,0)),"")</f>
        <v/>
      </c>
      <c r="F1887" t="str">
        <f>IFERROR(IF(D1887="","",VLOOKUP(D1887,CadProd!$A:$C,3,0)),"")</f>
        <v/>
      </c>
    </row>
    <row r="1888" spans="5:6" x14ac:dyDescent="0.3">
      <c r="E1888" t="str">
        <f>IFERROR(IF(D1888="","",VLOOKUP(D1888,CadProd!$A:$B,2,0)),"")</f>
        <v/>
      </c>
      <c r="F1888" t="str">
        <f>IFERROR(IF(D1888="","",VLOOKUP(D1888,CadProd!$A:$C,3,0)),"")</f>
        <v/>
      </c>
    </row>
    <row r="1889" spans="5:6" x14ac:dyDescent="0.3">
      <c r="E1889" t="str">
        <f>IFERROR(IF(D1889="","",VLOOKUP(D1889,CadProd!$A:$B,2,0)),"")</f>
        <v/>
      </c>
      <c r="F1889" t="str">
        <f>IFERROR(IF(D1889="","",VLOOKUP(D1889,CadProd!$A:$C,3,0)),"")</f>
        <v/>
      </c>
    </row>
    <row r="1890" spans="5:6" x14ac:dyDescent="0.3">
      <c r="E1890" t="str">
        <f>IFERROR(IF(D1890="","",VLOOKUP(D1890,CadProd!$A:$B,2,0)),"")</f>
        <v/>
      </c>
      <c r="F1890" t="str">
        <f>IFERROR(IF(D1890="","",VLOOKUP(D1890,CadProd!$A:$C,3,0)),"")</f>
        <v/>
      </c>
    </row>
    <row r="1891" spans="5:6" x14ac:dyDescent="0.3">
      <c r="E1891" t="str">
        <f>IFERROR(IF(D1891="","",VLOOKUP(D1891,CadProd!$A:$B,2,0)),"")</f>
        <v/>
      </c>
      <c r="F1891" t="str">
        <f>IFERROR(IF(D1891="","",VLOOKUP(D1891,CadProd!$A:$C,3,0)),"")</f>
        <v/>
      </c>
    </row>
    <row r="1892" spans="5:6" x14ac:dyDescent="0.3">
      <c r="E1892" t="str">
        <f>IFERROR(IF(D1892="","",VLOOKUP(D1892,CadProd!$A:$B,2,0)),"")</f>
        <v/>
      </c>
      <c r="F1892" t="str">
        <f>IFERROR(IF(D1892="","",VLOOKUP(D1892,CadProd!$A:$C,3,0)),"")</f>
        <v/>
      </c>
    </row>
    <row r="1893" spans="5:6" x14ac:dyDescent="0.3">
      <c r="E1893" t="str">
        <f>IFERROR(IF(D1893="","",VLOOKUP(D1893,CadProd!$A:$B,2,0)),"")</f>
        <v/>
      </c>
      <c r="F1893" t="str">
        <f>IFERROR(IF(D1893="","",VLOOKUP(D1893,CadProd!$A:$C,3,0)),"")</f>
        <v/>
      </c>
    </row>
    <row r="1894" spans="5:6" x14ac:dyDescent="0.3">
      <c r="E1894" t="str">
        <f>IFERROR(IF(D1894="","",VLOOKUP(D1894,CadProd!$A:$B,2,0)),"")</f>
        <v/>
      </c>
      <c r="F1894" t="str">
        <f>IFERROR(IF(D1894="","",VLOOKUP(D1894,CadProd!$A:$C,3,0)),"")</f>
        <v/>
      </c>
    </row>
    <row r="1895" spans="5:6" x14ac:dyDescent="0.3">
      <c r="E1895" t="str">
        <f>IFERROR(IF(D1895="","",VLOOKUP(D1895,CadProd!$A:$B,2,0)),"")</f>
        <v/>
      </c>
      <c r="F1895" t="str">
        <f>IFERROR(IF(D1895="","",VLOOKUP(D1895,CadProd!$A:$C,3,0)),"")</f>
        <v/>
      </c>
    </row>
    <row r="1896" spans="5:6" x14ac:dyDescent="0.3">
      <c r="E1896" t="str">
        <f>IFERROR(IF(D1896="","",VLOOKUP(D1896,CadProd!$A:$B,2,0)),"")</f>
        <v/>
      </c>
      <c r="F1896" t="str">
        <f>IFERROR(IF(D1896="","",VLOOKUP(D1896,CadProd!$A:$C,3,0)),"")</f>
        <v/>
      </c>
    </row>
    <row r="1897" spans="5:6" x14ac:dyDescent="0.3">
      <c r="E1897" t="str">
        <f>IFERROR(IF(D1897="","",VLOOKUP(D1897,CadProd!$A:$B,2,0)),"")</f>
        <v/>
      </c>
      <c r="F1897" t="str">
        <f>IFERROR(IF(D1897="","",VLOOKUP(D1897,CadProd!$A:$C,3,0)),"")</f>
        <v/>
      </c>
    </row>
    <row r="1898" spans="5:6" x14ac:dyDescent="0.3">
      <c r="E1898" t="str">
        <f>IFERROR(IF(D1898="","",VLOOKUP(D1898,CadProd!$A:$B,2,0)),"")</f>
        <v/>
      </c>
      <c r="F1898" t="str">
        <f>IFERROR(IF(D1898="","",VLOOKUP(D1898,CadProd!$A:$C,3,0)),"")</f>
        <v/>
      </c>
    </row>
    <row r="1899" spans="5:6" x14ac:dyDescent="0.3">
      <c r="E1899" t="str">
        <f>IFERROR(IF(D1899="","",VLOOKUP(D1899,CadProd!$A:$B,2,0)),"")</f>
        <v/>
      </c>
      <c r="F1899" t="str">
        <f>IFERROR(IF(D1899="","",VLOOKUP(D1899,CadProd!$A:$C,3,0)),"")</f>
        <v/>
      </c>
    </row>
    <row r="1900" spans="5:6" x14ac:dyDescent="0.3">
      <c r="E1900" t="str">
        <f>IFERROR(IF(D1900="","",VLOOKUP(D1900,CadProd!$A:$B,2,0)),"")</f>
        <v/>
      </c>
      <c r="F1900" t="str">
        <f>IFERROR(IF(D1900="","",VLOOKUP(D1900,CadProd!$A:$C,3,0)),"")</f>
        <v/>
      </c>
    </row>
    <row r="1901" spans="5:6" x14ac:dyDescent="0.3">
      <c r="E1901" t="str">
        <f>IFERROR(IF(D1901="","",VLOOKUP(D1901,CadProd!$A:$B,2,0)),"")</f>
        <v/>
      </c>
      <c r="F1901" t="str">
        <f>IFERROR(IF(D1901="","",VLOOKUP(D1901,CadProd!$A:$C,3,0)),"")</f>
        <v/>
      </c>
    </row>
    <row r="1902" spans="5:6" x14ac:dyDescent="0.3">
      <c r="E1902" t="str">
        <f>IFERROR(IF(D1902="","",VLOOKUP(D1902,CadProd!$A:$B,2,0)),"")</f>
        <v/>
      </c>
      <c r="F1902" t="str">
        <f>IFERROR(IF(D1902="","",VLOOKUP(D1902,CadProd!$A:$C,3,0)),"")</f>
        <v/>
      </c>
    </row>
    <row r="1903" spans="5:6" x14ac:dyDescent="0.3">
      <c r="E1903" t="str">
        <f>IFERROR(IF(D1903="","",VLOOKUP(D1903,CadProd!$A:$B,2,0)),"")</f>
        <v/>
      </c>
      <c r="F1903" t="str">
        <f>IFERROR(IF(D1903="","",VLOOKUP(D1903,CadProd!$A:$C,3,0)),"")</f>
        <v/>
      </c>
    </row>
    <row r="1904" spans="5:6" x14ac:dyDescent="0.3">
      <c r="E1904" t="str">
        <f>IFERROR(IF(D1904="","",VLOOKUP(D1904,CadProd!$A:$B,2,0)),"")</f>
        <v/>
      </c>
      <c r="F1904" t="str">
        <f>IFERROR(IF(D1904="","",VLOOKUP(D1904,CadProd!$A:$C,3,0)),"")</f>
        <v/>
      </c>
    </row>
    <row r="1905" spans="5:6" x14ac:dyDescent="0.3">
      <c r="E1905" t="str">
        <f>IFERROR(IF(D1905="","",VLOOKUP(D1905,CadProd!$A:$B,2,0)),"")</f>
        <v/>
      </c>
      <c r="F1905" t="str">
        <f>IFERROR(IF(D1905="","",VLOOKUP(D1905,CadProd!$A:$C,3,0)),"")</f>
        <v/>
      </c>
    </row>
    <row r="1906" spans="5:6" x14ac:dyDescent="0.3">
      <c r="E1906" t="str">
        <f>IFERROR(IF(D1906="","",VLOOKUP(D1906,CadProd!$A:$B,2,0)),"")</f>
        <v/>
      </c>
      <c r="F1906" t="str">
        <f>IFERROR(IF(D1906="","",VLOOKUP(D1906,CadProd!$A:$C,3,0)),"")</f>
        <v/>
      </c>
    </row>
    <row r="1907" spans="5:6" x14ac:dyDescent="0.3">
      <c r="E1907" t="str">
        <f>IFERROR(IF(D1907="","",VLOOKUP(D1907,CadProd!$A:$B,2,0)),"")</f>
        <v/>
      </c>
      <c r="F1907" t="str">
        <f>IFERROR(IF(D1907="","",VLOOKUP(D1907,CadProd!$A:$C,3,0)),"")</f>
        <v/>
      </c>
    </row>
    <row r="1908" spans="5:6" x14ac:dyDescent="0.3">
      <c r="E1908" t="str">
        <f>IFERROR(IF(D1908="","",VLOOKUP(D1908,CadProd!$A:$B,2,0)),"")</f>
        <v/>
      </c>
      <c r="F1908" t="str">
        <f>IFERROR(IF(D1908="","",VLOOKUP(D1908,CadProd!$A:$C,3,0)),"")</f>
        <v/>
      </c>
    </row>
    <row r="1909" spans="5:6" x14ac:dyDescent="0.3">
      <c r="E1909" t="str">
        <f>IFERROR(IF(D1909="","",VLOOKUP(D1909,CadProd!$A:$B,2,0)),"")</f>
        <v/>
      </c>
      <c r="F1909" t="str">
        <f>IFERROR(IF(D1909="","",VLOOKUP(D1909,CadProd!$A:$C,3,0)),"")</f>
        <v/>
      </c>
    </row>
    <row r="1910" spans="5:6" x14ac:dyDescent="0.3">
      <c r="E1910" t="str">
        <f>IFERROR(IF(D1910="","",VLOOKUP(D1910,CadProd!$A:$B,2,0)),"")</f>
        <v/>
      </c>
      <c r="F1910" t="str">
        <f>IFERROR(IF(D1910="","",VLOOKUP(D1910,CadProd!$A:$C,3,0)),"")</f>
        <v/>
      </c>
    </row>
    <row r="1911" spans="5:6" x14ac:dyDescent="0.3">
      <c r="E1911" t="str">
        <f>IFERROR(IF(D1911="","",VLOOKUP(D1911,CadProd!$A:$B,2,0)),"")</f>
        <v/>
      </c>
      <c r="F1911" t="str">
        <f>IFERROR(IF(D1911="","",VLOOKUP(D1911,CadProd!$A:$C,3,0)),"")</f>
        <v/>
      </c>
    </row>
    <row r="1912" spans="5:6" x14ac:dyDescent="0.3">
      <c r="E1912" t="str">
        <f>IFERROR(IF(D1912="","",VLOOKUP(D1912,CadProd!$A:$B,2,0)),"")</f>
        <v/>
      </c>
      <c r="F1912" t="str">
        <f>IFERROR(IF(D1912="","",VLOOKUP(D1912,CadProd!$A:$C,3,0)),"")</f>
        <v/>
      </c>
    </row>
    <row r="1913" spans="5:6" x14ac:dyDescent="0.3">
      <c r="E1913" t="str">
        <f>IFERROR(IF(D1913="","",VLOOKUP(D1913,CadProd!$A:$B,2,0)),"")</f>
        <v/>
      </c>
      <c r="F1913" t="str">
        <f>IFERROR(IF(D1913="","",VLOOKUP(D1913,CadProd!$A:$C,3,0)),"")</f>
        <v/>
      </c>
    </row>
    <row r="1914" spans="5:6" x14ac:dyDescent="0.3">
      <c r="E1914" t="str">
        <f>IFERROR(IF(D1914="","",VLOOKUP(D1914,CadProd!$A:$B,2,0)),"")</f>
        <v/>
      </c>
      <c r="F1914" t="str">
        <f>IFERROR(IF(D1914="","",VLOOKUP(D1914,CadProd!$A:$C,3,0)),"")</f>
        <v/>
      </c>
    </row>
    <row r="1915" spans="5:6" x14ac:dyDescent="0.3">
      <c r="E1915" t="str">
        <f>IFERROR(IF(D1915="","",VLOOKUP(D1915,CadProd!$A:$B,2,0)),"")</f>
        <v/>
      </c>
      <c r="F1915" t="str">
        <f>IFERROR(IF(D1915="","",VLOOKUP(D1915,CadProd!$A:$C,3,0)),"")</f>
        <v/>
      </c>
    </row>
    <row r="1916" spans="5:6" x14ac:dyDescent="0.3">
      <c r="E1916" t="str">
        <f>IFERROR(IF(D1916="","",VLOOKUP(D1916,CadProd!$A:$B,2,0)),"")</f>
        <v/>
      </c>
      <c r="F1916" t="str">
        <f>IFERROR(IF(D1916="","",VLOOKUP(D1916,CadProd!$A:$C,3,0)),"")</f>
        <v/>
      </c>
    </row>
    <row r="1917" spans="5:6" x14ac:dyDescent="0.3">
      <c r="E1917" t="str">
        <f>IFERROR(IF(D1917="","",VLOOKUP(D1917,CadProd!$A:$B,2,0)),"")</f>
        <v/>
      </c>
      <c r="F1917" t="str">
        <f>IFERROR(IF(D1917="","",VLOOKUP(D1917,CadProd!$A:$C,3,0)),"")</f>
        <v/>
      </c>
    </row>
    <row r="1918" spans="5:6" x14ac:dyDescent="0.3">
      <c r="E1918" t="str">
        <f>IFERROR(IF(D1918="","",VLOOKUP(D1918,CadProd!$A:$B,2,0)),"")</f>
        <v/>
      </c>
      <c r="F1918" t="str">
        <f>IFERROR(IF(D1918="","",VLOOKUP(D1918,CadProd!$A:$C,3,0)),"")</f>
        <v/>
      </c>
    </row>
    <row r="1919" spans="5:6" x14ac:dyDescent="0.3">
      <c r="E1919" t="str">
        <f>IFERROR(IF(D1919="","",VLOOKUP(D1919,CadProd!$A:$B,2,0)),"")</f>
        <v/>
      </c>
      <c r="F1919" t="str">
        <f>IFERROR(IF(D1919="","",VLOOKUP(D1919,CadProd!$A:$C,3,0)),"")</f>
        <v/>
      </c>
    </row>
    <row r="1920" spans="5:6" x14ac:dyDescent="0.3">
      <c r="E1920" t="str">
        <f>IFERROR(IF(D1920="","",VLOOKUP(D1920,CadProd!$A:$B,2,0)),"")</f>
        <v/>
      </c>
      <c r="F1920" t="str">
        <f>IFERROR(IF(D1920="","",VLOOKUP(D1920,CadProd!$A:$C,3,0)),"")</f>
        <v/>
      </c>
    </row>
    <row r="1921" spans="5:6" x14ac:dyDescent="0.3">
      <c r="E1921" t="str">
        <f>IFERROR(IF(D1921="","",VLOOKUP(D1921,CadProd!$A:$B,2,0)),"")</f>
        <v/>
      </c>
      <c r="F1921" t="str">
        <f>IFERROR(IF(D1921="","",VLOOKUP(D1921,CadProd!$A:$C,3,0)),"")</f>
        <v/>
      </c>
    </row>
    <row r="1922" spans="5:6" x14ac:dyDescent="0.3">
      <c r="E1922" t="str">
        <f>IFERROR(IF(D1922="","",VLOOKUP(D1922,CadProd!$A:$B,2,0)),"")</f>
        <v/>
      </c>
      <c r="F1922" t="str">
        <f>IFERROR(IF(D1922="","",VLOOKUP(D1922,CadProd!$A:$C,3,0)),"")</f>
        <v/>
      </c>
    </row>
    <row r="1923" spans="5:6" x14ac:dyDescent="0.3">
      <c r="E1923" t="str">
        <f>IFERROR(IF(D1923="","",VLOOKUP(D1923,CadProd!$A:$B,2,0)),"")</f>
        <v/>
      </c>
      <c r="F1923" t="str">
        <f>IFERROR(IF(D1923="","",VLOOKUP(D1923,CadProd!$A:$C,3,0)),"")</f>
        <v/>
      </c>
    </row>
    <row r="1924" spans="5:6" x14ac:dyDescent="0.3">
      <c r="E1924" t="str">
        <f>IFERROR(IF(D1924="","",VLOOKUP(D1924,CadProd!$A:$B,2,0)),"")</f>
        <v/>
      </c>
      <c r="F1924" t="str">
        <f>IFERROR(IF(D1924="","",VLOOKUP(D1924,CadProd!$A:$C,3,0)),"")</f>
        <v/>
      </c>
    </row>
    <row r="1925" spans="5:6" x14ac:dyDescent="0.3">
      <c r="E1925" t="str">
        <f>IFERROR(IF(D1925="","",VLOOKUP(D1925,CadProd!$A:$B,2,0)),"")</f>
        <v/>
      </c>
      <c r="F1925" t="str">
        <f>IFERROR(IF(D1925="","",VLOOKUP(D1925,CadProd!$A:$C,3,0)),"")</f>
        <v/>
      </c>
    </row>
    <row r="1926" spans="5:6" x14ac:dyDescent="0.3">
      <c r="E1926" t="str">
        <f>IFERROR(IF(D1926="","",VLOOKUP(D1926,CadProd!$A:$B,2,0)),"")</f>
        <v/>
      </c>
      <c r="F1926" t="str">
        <f>IFERROR(IF(D1926="","",VLOOKUP(D1926,CadProd!$A:$C,3,0)),"")</f>
        <v/>
      </c>
    </row>
    <row r="1927" spans="5:6" x14ac:dyDescent="0.3">
      <c r="E1927" t="str">
        <f>IFERROR(IF(D1927="","",VLOOKUP(D1927,CadProd!$A:$B,2,0)),"")</f>
        <v/>
      </c>
      <c r="F1927" t="str">
        <f>IFERROR(IF(D1927="","",VLOOKUP(D1927,CadProd!$A:$C,3,0)),"")</f>
        <v/>
      </c>
    </row>
    <row r="1928" spans="5:6" x14ac:dyDescent="0.3">
      <c r="E1928" t="str">
        <f>IFERROR(IF(D1928="","",VLOOKUP(D1928,CadProd!$A:$B,2,0)),"")</f>
        <v/>
      </c>
      <c r="F1928" t="str">
        <f>IFERROR(IF(D1928="","",VLOOKUP(D1928,CadProd!$A:$C,3,0)),"")</f>
        <v/>
      </c>
    </row>
    <row r="1929" spans="5:6" x14ac:dyDescent="0.3">
      <c r="E1929" t="str">
        <f>IFERROR(IF(D1929="","",VLOOKUP(D1929,CadProd!$A:$B,2,0)),"")</f>
        <v/>
      </c>
      <c r="F1929" t="str">
        <f>IFERROR(IF(D1929="","",VLOOKUP(D1929,CadProd!$A:$C,3,0)),"")</f>
        <v/>
      </c>
    </row>
    <row r="1930" spans="5:6" x14ac:dyDescent="0.3">
      <c r="E1930" t="str">
        <f>IFERROR(IF(D1930="","",VLOOKUP(D1930,CadProd!$A:$B,2,0)),"")</f>
        <v/>
      </c>
      <c r="F1930" t="str">
        <f>IFERROR(IF(D1930="","",VLOOKUP(D1930,CadProd!$A:$C,3,0)),"")</f>
        <v/>
      </c>
    </row>
    <row r="1931" spans="5:6" x14ac:dyDescent="0.3">
      <c r="E1931" t="str">
        <f>IFERROR(IF(D1931="","",VLOOKUP(D1931,CadProd!$A:$B,2,0)),"")</f>
        <v/>
      </c>
      <c r="F1931" t="str">
        <f>IFERROR(IF(D1931="","",VLOOKUP(D1931,CadProd!$A:$C,3,0)),"")</f>
        <v/>
      </c>
    </row>
    <row r="1932" spans="5:6" x14ac:dyDescent="0.3">
      <c r="E1932" t="str">
        <f>IFERROR(IF(D1932="","",VLOOKUP(D1932,CadProd!$A:$B,2,0)),"")</f>
        <v/>
      </c>
      <c r="F1932" t="str">
        <f>IFERROR(IF(D1932="","",VLOOKUP(D1932,CadProd!$A:$C,3,0)),"")</f>
        <v/>
      </c>
    </row>
    <row r="1933" spans="5:6" x14ac:dyDescent="0.3">
      <c r="E1933" t="str">
        <f>IFERROR(IF(D1933="","",VLOOKUP(D1933,CadProd!$A:$B,2,0)),"")</f>
        <v/>
      </c>
      <c r="F1933" t="str">
        <f>IFERROR(IF(D1933="","",VLOOKUP(D1933,CadProd!$A:$C,3,0)),"")</f>
        <v/>
      </c>
    </row>
    <row r="1934" spans="5:6" x14ac:dyDescent="0.3">
      <c r="E1934" t="str">
        <f>IFERROR(IF(D1934="","",VLOOKUP(D1934,CadProd!$A:$B,2,0)),"")</f>
        <v/>
      </c>
      <c r="F1934" t="str">
        <f>IFERROR(IF(D1934="","",VLOOKUP(D1934,CadProd!$A:$C,3,0)),"")</f>
        <v/>
      </c>
    </row>
    <row r="1935" spans="5:6" x14ac:dyDescent="0.3">
      <c r="E1935" t="str">
        <f>IFERROR(IF(D1935="","",VLOOKUP(D1935,CadProd!$A:$B,2,0)),"")</f>
        <v/>
      </c>
      <c r="F1935" t="str">
        <f>IFERROR(IF(D1935="","",VLOOKUP(D1935,CadProd!$A:$C,3,0)),"")</f>
        <v/>
      </c>
    </row>
    <row r="1936" spans="5:6" x14ac:dyDescent="0.3">
      <c r="E1936" t="str">
        <f>IFERROR(IF(D1936="","",VLOOKUP(D1936,CadProd!$A:$B,2,0)),"")</f>
        <v/>
      </c>
      <c r="F1936" t="str">
        <f>IFERROR(IF(D1936="","",VLOOKUP(D1936,CadProd!$A:$C,3,0)),"")</f>
        <v/>
      </c>
    </row>
    <row r="1937" spans="5:6" x14ac:dyDescent="0.3">
      <c r="E1937" t="str">
        <f>IFERROR(IF(D1937="","",VLOOKUP(D1937,CadProd!$A:$B,2,0)),"")</f>
        <v/>
      </c>
      <c r="F1937" t="str">
        <f>IFERROR(IF(D1937="","",VLOOKUP(D1937,CadProd!$A:$C,3,0)),"")</f>
        <v/>
      </c>
    </row>
    <row r="1938" spans="5:6" x14ac:dyDescent="0.3">
      <c r="E1938" t="str">
        <f>IFERROR(IF(D1938="","",VLOOKUP(D1938,CadProd!$A:$B,2,0)),"")</f>
        <v/>
      </c>
      <c r="F1938" t="str">
        <f>IFERROR(IF(D1938="","",VLOOKUP(D1938,CadProd!$A:$C,3,0)),"")</f>
        <v/>
      </c>
    </row>
    <row r="1939" spans="5:6" x14ac:dyDescent="0.3">
      <c r="E1939" t="str">
        <f>IFERROR(IF(D1939="","",VLOOKUP(D1939,CadProd!$A:$B,2,0)),"")</f>
        <v/>
      </c>
      <c r="F1939" t="str">
        <f>IFERROR(IF(D1939="","",VLOOKUP(D1939,CadProd!$A:$C,3,0)),"")</f>
        <v/>
      </c>
    </row>
    <row r="1940" spans="5:6" x14ac:dyDescent="0.3">
      <c r="E1940" t="str">
        <f>IFERROR(IF(D1940="","",VLOOKUP(D1940,CadProd!$A:$B,2,0)),"")</f>
        <v/>
      </c>
      <c r="F1940" t="str">
        <f>IFERROR(IF(D1940="","",VLOOKUP(D1940,CadProd!$A:$C,3,0)),"")</f>
        <v/>
      </c>
    </row>
    <row r="1941" spans="5:6" x14ac:dyDescent="0.3">
      <c r="E1941" t="str">
        <f>IFERROR(IF(D1941="","",VLOOKUP(D1941,CadProd!$A:$B,2,0)),"")</f>
        <v/>
      </c>
      <c r="F1941" t="str">
        <f>IFERROR(IF(D1941="","",VLOOKUP(D1941,CadProd!$A:$C,3,0)),"")</f>
        <v/>
      </c>
    </row>
    <row r="1942" spans="5:6" x14ac:dyDescent="0.3">
      <c r="E1942" t="str">
        <f>IFERROR(IF(D1942="","",VLOOKUP(D1942,CadProd!$A:$B,2,0)),"")</f>
        <v/>
      </c>
      <c r="F1942" t="str">
        <f>IFERROR(IF(D1942="","",VLOOKUP(D1942,CadProd!$A:$C,3,0)),"")</f>
        <v/>
      </c>
    </row>
    <row r="1943" spans="5:6" x14ac:dyDescent="0.3">
      <c r="E1943" t="str">
        <f>IFERROR(IF(D1943="","",VLOOKUP(D1943,CadProd!$A:$B,2,0)),"")</f>
        <v/>
      </c>
      <c r="F1943" t="str">
        <f>IFERROR(IF(D1943="","",VLOOKUP(D1943,CadProd!$A:$C,3,0)),"")</f>
        <v/>
      </c>
    </row>
    <row r="1944" spans="5:6" x14ac:dyDescent="0.3">
      <c r="E1944" t="str">
        <f>IFERROR(IF(D1944="","",VLOOKUP(D1944,CadProd!$A:$B,2,0)),"")</f>
        <v/>
      </c>
      <c r="F1944" t="str">
        <f>IFERROR(IF(D1944="","",VLOOKUP(D1944,CadProd!$A:$C,3,0)),"")</f>
        <v/>
      </c>
    </row>
    <row r="1945" spans="5:6" x14ac:dyDescent="0.3">
      <c r="E1945" t="str">
        <f>IFERROR(IF(D1945="","",VLOOKUP(D1945,CadProd!$A:$B,2,0)),"")</f>
        <v/>
      </c>
      <c r="F1945" t="str">
        <f>IFERROR(IF(D1945="","",VLOOKUP(D1945,CadProd!$A:$C,3,0)),"")</f>
        <v/>
      </c>
    </row>
    <row r="1946" spans="5:6" x14ac:dyDescent="0.3">
      <c r="E1946" t="str">
        <f>IFERROR(IF(D1946="","",VLOOKUP(D1946,CadProd!$A:$B,2,0)),"")</f>
        <v/>
      </c>
      <c r="F1946" t="str">
        <f>IFERROR(IF(D1946="","",VLOOKUP(D1946,CadProd!$A:$C,3,0)),"")</f>
        <v/>
      </c>
    </row>
    <row r="1947" spans="5:6" x14ac:dyDescent="0.3">
      <c r="E1947" t="str">
        <f>IFERROR(IF(D1947="","",VLOOKUP(D1947,CadProd!$A:$B,2,0)),"")</f>
        <v/>
      </c>
      <c r="F1947" t="str">
        <f>IFERROR(IF(D1947="","",VLOOKUP(D1947,CadProd!$A:$C,3,0)),"")</f>
        <v/>
      </c>
    </row>
    <row r="1948" spans="5:6" x14ac:dyDescent="0.3">
      <c r="E1948" t="str">
        <f>IFERROR(IF(D1948="","",VLOOKUP(D1948,CadProd!$A:$B,2,0)),"")</f>
        <v/>
      </c>
      <c r="F1948" t="str">
        <f>IFERROR(IF(D1948="","",VLOOKUP(D1948,CadProd!$A:$C,3,0)),"")</f>
        <v/>
      </c>
    </row>
    <row r="1949" spans="5:6" x14ac:dyDescent="0.3">
      <c r="E1949" t="str">
        <f>IFERROR(IF(D1949="","",VLOOKUP(D1949,CadProd!$A:$B,2,0)),"")</f>
        <v/>
      </c>
      <c r="F1949" t="str">
        <f>IFERROR(IF(D1949="","",VLOOKUP(D1949,CadProd!$A:$C,3,0)),"")</f>
        <v/>
      </c>
    </row>
    <row r="1950" spans="5:6" x14ac:dyDescent="0.3">
      <c r="E1950" t="str">
        <f>IFERROR(IF(D1950="","",VLOOKUP(D1950,CadProd!$A:$B,2,0)),"")</f>
        <v/>
      </c>
      <c r="F1950" t="str">
        <f>IFERROR(IF(D1950="","",VLOOKUP(D1950,CadProd!$A:$C,3,0)),"")</f>
        <v/>
      </c>
    </row>
    <row r="1951" spans="5:6" x14ac:dyDescent="0.3">
      <c r="E1951" t="str">
        <f>IFERROR(IF(D1951="","",VLOOKUP(D1951,CadProd!$A:$B,2,0)),"")</f>
        <v/>
      </c>
      <c r="F1951" t="str">
        <f>IFERROR(IF(D1951="","",VLOOKUP(D1951,CadProd!$A:$C,3,0)),"")</f>
        <v/>
      </c>
    </row>
    <row r="1952" spans="5:6" x14ac:dyDescent="0.3">
      <c r="E1952" t="str">
        <f>IFERROR(IF(D1952="","",VLOOKUP(D1952,CadProd!$A:$B,2,0)),"")</f>
        <v/>
      </c>
      <c r="F1952" t="str">
        <f>IFERROR(IF(D1952="","",VLOOKUP(D1952,CadProd!$A:$C,3,0)),"")</f>
        <v/>
      </c>
    </row>
    <row r="1953" spans="5:6" x14ac:dyDescent="0.3">
      <c r="E1953" t="str">
        <f>IFERROR(IF(D1953="","",VLOOKUP(D1953,CadProd!$A:$B,2,0)),"")</f>
        <v/>
      </c>
      <c r="F1953" t="str">
        <f>IFERROR(IF(D1953="","",VLOOKUP(D1953,CadProd!$A:$C,3,0)),"")</f>
        <v/>
      </c>
    </row>
    <row r="1954" spans="5:6" x14ac:dyDescent="0.3">
      <c r="E1954" t="str">
        <f>IFERROR(IF(D1954="","",VLOOKUP(D1954,CadProd!$A:$B,2,0)),"")</f>
        <v/>
      </c>
      <c r="F1954" t="str">
        <f>IFERROR(IF(D1954="","",VLOOKUP(D1954,CadProd!$A:$C,3,0)),"")</f>
        <v/>
      </c>
    </row>
    <row r="1955" spans="5:6" x14ac:dyDescent="0.3">
      <c r="E1955" t="str">
        <f>IFERROR(IF(D1955="","",VLOOKUP(D1955,CadProd!$A:$B,2,0)),"")</f>
        <v/>
      </c>
      <c r="F1955" t="str">
        <f>IFERROR(IF(D1955="","",VLOOKUP(D1955,CadProd!$A:$C,3,0)),"")</f>
        <v/>
      </c>
    </row>
    <row r="1956" spans="5:6" x14ac:dyDescent="0.3">
      <c r="E1956" t="str">
        <f>IFERROR(IF(D1956="","",VLOOKUP(D1956,CadProd!$A:$B,2,0)),"")</f>
        <v/>
      </c>
      <c r="F1956" t="str">
        <f>IFERROR(IF(D1956="","",VLOOKUP(D1956,CadProd!$A:$C,3,0)),"")</f>
        <v/>
      </c>
    </row>
    <row r="1957" spans="5:6" x14ac:dyDescent="0.3">
      <c r="E1957" t="str">
        <f>IFERROR(IF(D1957="","",VLOOKUP(D1957,CadProd!$A:$B,2,0)),"")</f>
        <v/>
      </c>
      <c r="F1957" t="str">
        <f>IFERROR(IF(D1957="","",VLOOKUP(D1957,CadProd!$A:$C,3,0)),"")</f>
        <v/>
      </c>
    </row>
    <row r="1958" spans="5:6" x14ac:dyDescent="0.3">
      <c r="E1958" t="str">
        <f>IFERROR(IF(D1958="","",VLOOKUP(D1958,CadProd!$A:$B,2,0)),"")</f>
        <v/>
      </c>
      <c r="F1958" t="str">
        <f>IFERROR(IF(D1958="","",VLOOKUP(D1958,CadProd!$A:$C,3,0)),"")</f>
        <v/>
      </c>
    </row>
    <row r="1959" spans="5:6" x14ac:dyDescent="0.3">
      <c r="E1959" t="str">
        <f>IFERROR(IF(D1959="","",VLOOKUP(D1959,CadProd!$A:$B,2,0)),"")</f>
        <v/>
      </c>
      <c r="F1959" t="str">
        <f>IFERROR(IF(D1959="","",VLOOKUP(D1959,CadProd!$A:$C,3,0)),"")</f>
        <v/>
      </c>
    </row>
    <row r="1960" spans="5:6" x14ac:dyDescent="0.3">
      <c r="E1960" t="str">
        <f>IFERROR(IF(D1960="","",VLOOKUP(D1960,CadProd!$A:$B,2,0)),"")</f>
        <v/>
      </c>
      <c r="F1960" t="str">
        <f>IFERROR(IF(D1960="","",VLOOKUP(D1960,CadProd!$A:$C,3,0)),"")</f>
        <v/>
      </c>
    </row>
    <row r="1961" spans="5:6" x14ac:dyDescent="0.3">
      <c r="E1961" t="str">
        <f>IFERROR(IF(D1961="","",VLOOKUP(D1961,CadProd!$A:$B,2,0)),"")</f>
        <v/>
      </c>
      <c r="F1961" t="str">
        <f>IFERROR(IF(D1961="","",VLOOKUP(D1961,CadProd!$A:$C,3,0)),"")</f>
        <v/>
      </c>
    </row>
    <row r="1962" spans="5:6" x14ac:dyDescent="0.3">
      <c r="E1962" t="str">
        <f>IFERROR(IF(D1962="","",VLOOKUP(D1962,CadProd!$A:$B,2,0)),"")</f>
        <v/>
      </c>
      <c r="F1962" t="str">
        <f>IFERROR(IF(D1962="","",VLOOKUP(D1962,CadProd!$A:$C,3,0)),"")</f>
        <v/>
      </c>
    </row>
    <row r="1963" spans="5:6" x14ac:dyDescent="0.3">
      <c r="E1963" t="str">
        <f>IFERROR(IF(D1963="","",VLOOKUP(D1963,CadProd!$A:$B,2,0)),"")</f>
        <v/>
      </c>
      <c r="F1963" t="str">
        <f>IFERROR(IF(D1963="","",VLOOKUP(D1963,CadProd!$A:$C,3,0)),"")</f>
        <v/>
      </c>
    </row>
    <row r="1964" spans="5:6" x14ac:dyDescent="0.3">
      <c r="E1964" t="str">
        <f>IFERROR(IF(D1964="","",VLOOKUP(D1964,CadProd!$A:$B,2,0)),"")</f>
        <v/>
      </c>
      <c r="F1964" t="str">
        <f>IFERROR(IF(D1964="","",VLOOKUP(D1964,CadProd!$A:$C,3,0)),"")</f>
        <v/>
      </c>
    </row>
    <row r="1965" spans="5:6" x14ac:dyDescent="0.3">
      <c r="E1965" t="str">
        <f>IFERROR(IF(D1965="","",VLOOKUP(D1965,CadProd!$A:$B,2,0)),"")</f>
        <v/>
      </c>
      <c r="F1965" t="str">
        <f>IFERROR(IF(D1965="","",VLOOKUP(D1965,CadProd!$A:$C,3,0)),"")</f>
        <v/>
      </c>
    </row>
    <row r="1966" spans="5:6" x14ac:dyDescent="0.3">
      <c r="E1966" t="str">
        <f>IFERROR(IF(D1966="","",VLOOKUP(D1966,CadProd!$A:$B,2,0)),"")</f>
        <v/>
      </c>
      <c r="F1966" t="str">
        <f>IFERROR(IF(D1966="","",VLOOKUP(D1966,CadProd!$A:$C,3,0)),"")</f>
        <v/>
      </c>
    </row>
    <row r="1967" spans="5:6" x14ac:dyDescent="0.3">
      <c r="E1967" t="str">
        <f>IFERROR(IF(D1967="","",VLOOKUP(D1967,CadProd!$A:$B,2,0)),"")</f>
        <v/>
      </c>
      <c r="F1967" t="str">
        <f>IFERROR(IF(D1967="","",VLOOKUP(D1967,CadProd!$A:$C,3,0)),"")</f>
        <v/>
      </c>
    </row>
    <row r="1968" spans="5:6" x14ac:dyDescent="0.3">
      <c r="E1968" t="str">
        <f>IFERROR(IF(D1968="","",VLOOKUP(D1968,CadProd!$A:$B,2,0)),"")</f>
        <v/>
      </c>
      <c r="F1968" t="str">
        <f>IFERROR(IF(D1968="","",VLOOKUP(D1968,CadProd!$A:$C,3,0)),"")</f>
        <v/>
      </c>
    </row>
    <row r="1969" spans="5:6" x14ac:dyDescent="0.3">
      <c r="E1969" t="str">
        <f>IFERROR(IF(D1969="","",VLOOKUP(D1969,CadProd!$A:$B,2,0)),"")</f>
        <v/>
      </c>
      <c r="F1969" t="str">
        <f>IFERROR(IF(D1969="","",VLOOKUP(D1969,CadProd!$A:$C,3,0)),"")</f>
        <v/>
      </c>
    </row>
    <row r="1970" spans="5:6" x14ac:dyDescent="0.3">
      <c r="E1970" t="str">
        <f>IFERROR(IF(D1970="","",VLOOKUP(D1970,CadProd!$A:$B,2,0)),"")</f>
        <v/>
      </c>
      <c r="F1970" t="str">
        <f>IFERROR(IF(D1970="","",VLOOKUP(D1970,CadProd!$A:$C,3,0)),"")</f>
        <v/>
      </c>
    </row>
    <row r="1971" spans="5:6" x14ac:dyDescent="0.3">
      <c r="E1971" t="str">
        <f>IFERROR(IF(D1971="","",VLOOKUP(D1971,CadProd!$A:$B,2,0)),"")</f>
        <v/>
      </c>
      <c r="F1971" t="str">
        <f>IFERROR(IF(D1971="","",VLOOKUP(D1971,CadProd!$A:$C,3,0)),"")</f>
        <v/>
      </c>
    </row>
    <row r="1972" spans="5:6" x14ac:dyDescent="0.3">
      <c r="E1972" t="str">
        <f>IFERROR(IF(D1972="","",VLOOKUP(D1972,CadProd!$A:$B,2,0)),"")</f>
        <v/>
      </c>
      <c r="F1972" t="str">
        <f>IFERROR(IF(D1972="","",VLOOKUP(D1972,CadProd!$A:$C,3,0)),"")</f>
        <v/>
      </c>
    </row>
    <row r="1973" spans="5:6" x14ac:dyDescent="0.3">
      <c r="E1973" t="str">
        <f>IFERROR(IF(D1973="","",VLOOKUP(D1973,CadProd!$A:$B,2,0)),"")</f>
        <v/>
      </c>
      <c r="F1973" t="str">
        <f>IFERROR(IF(D1973="","",VLOOKUP(D1973,CadProd!$A:$C,3,0)),"")</f>
        <v/>
      </c>
    </row>
    <row r="1974" spans="5:6" x14ac:dyDescent="0.3">
      <c r="E1974" t="str">
        <f>IFERROR(IF(D1974="","",VLOOKUP(D1974,CadProd!$A:$B,2,0)),"")</f>
        <v/>
      </c>
      <c r="F1974" t="str">
        <f>IFERROR(IF(D1974="","",VLOOKUP(D1974,CadProd!$A:$C,3,0)),"")</f>
        <v/>
      </c>
    </row>
    <row r="1975" spans="5:6" x14ac:dyDescent="0.3">
      <c r="E1975" t="str">
        <f>IFERROR(IF(D1975="","",VLOOKUP(D1975,CadProd!$A:$B,2,0)),"")</f>
        <v/>
      </c>
      <c r="F1975" t="str">
        <f>IFERROR(IF(D1975="","",VLOOKUP(D1975,CadProd!$A:$C,3,0)),"")</f>
        <v/>
      </c>
    </row>
    <row r="1976" spans="5:6" x14ac:dyDescent="0.3">
      <c r="E1976" t="str">
        <f>IFERROR(IF(D1976="","",VLOOKUP(D1976,CadProd!$A:$B,2,0)),"")</f>
        <v/>
      </c>
      <c r="F1976" t="str">
        <f>IFERROR(IF(D1976="","",VLOOKUP(D1976,CadProd!$A:$C,3,0)),"")</f>
        <v/>
      </c>
    </row>
    <row r="1977" spans="5:6" x14ac:dyDescent="0.3">
      <c r="E1977" t="str">
        <f>IFERROR(IF(D1977="","",VLOOKUP(D1977,CadProd!$A:$B,2,0)),"")</f>
        <v/>
      </c>
      <c r="F1977" t="str">
        <f>IFERROR(IF(D1977="","",VLOOKUP(D1977,CadProd!$A:$C,3,0)),"")</f>
        <v/>
      </c>
    </row>
    <row r="1978" spans="5:6" x14ac:dyDescent="0.3">
      <c r="E1978" t="str">
        <f>IFERROR(IF(D1978="","",VLOOKUP(D1978,CadProd!$A:$B,2,0)),"")</f>
        <v/>
      </c>
      <c r="F1978" t="str">
        <f>IFERROR(IF(D1978="","",VLOOKUP(D1978,CadProd!$A:$C,3,0)),"")</f>
        <v/>
      </c>
    </row>
    <row r="1979" spans="5:6" x14ac:dyDescent="0.3">
      <c r="E1979" t="str">
        <f>IFERROR(IF(D1979="","",VLOOKUP(D1979,CadProd!$A:$B,2,0)),"")</f>
        <v/>
      </c>
      <c r="F1979" t="str">
        <f>IFERROR(IF(D1979="","",VLOOKUP(D1979,CadProd!$A:$C,3,0)),"")</f>
        <v/>
      </c>
    </row>
    <row r="1980" spans="5:6" x14ac:dyDescent="0.3">
      <c r="E1980" t="str">
        <f>IFERROR(IF(D1980="","",VLOOKUP(D1980,CadProd!$A:$B,2,0)),"")</f>
        <v/>
      </c>
      <c r="F1980" t="str">
        <f>IFERROR(IF(D1980="","",VLOOKUP(D1980,CadProd!$A:$C,3,0)),"")</f>
        <v/>
      </c>
    </row>
    <row r="1981" spans="5:6" x14ac:dyDescent="0.3">
      <c r="E1981" t="str">
        <f>IFERROR(IF(D1981="","",VLOOKUP(D1981,CadProd!$A:$B,2,0)),"")</f>
        <v/>
      </c>
      <c r="F1981" t="str">
        <f>IFERROR(IF(D1981="","",VLOOKUP(D1981,CadProd!$A:$C,3,0)),"")</f>
        <v/>
      </c>
    </row>
    <row r="1982" spans="5:6" x14ac:dyDescent="0.3">
      <c r="E1982" t="str">
        <f>IFERROR(IF(D1982="","",VLOOKUP(D1982,CadProd!$A:$B,2,0)),"")</f>
        <v/>
      </c>
      <c r="F1982" t="str">
        <f>IFERROR(IF(D1982="","",VLOOKUP(D1982,CadProd!$A:$C,3,0)),"")</f>
        <v/>
      </c>
    </row>
    <row r="1983" spans="5:6" x14ac:dyDescent="0.3">
      <c r="E1983" t="str">
        <f>IFERROR(IF(D1983="","",VLOOKUP(D1983,CadProd!$A:$B,2,0)),"")</f>
        <v/>
      </c>
      <c r="F1983" t="str">
        <f>IFERROR(IF(D1983="","",VLOOKUP(D1983,CadProd!$A:$C,3,0)),"")</f>
        <v/>
      </c>
    </row>
    <row r="1984" spans="5:6" x14ac:dyDescent="0.3">
      <c r="E1984" t="str">
        <f>IFERROR(IF(D1984="","",VLOOKUP(D1984,CadProd!$A:$B,2,0)),"")</f>
        <v/>
      </c>
      <c r="F1984" t="str">
        <f>IFERROR(IF(D1984="","",VLOOKUP(D1984,CadProd!$A:$C,3,0)),"")</f>
        <v/>
      </c>
    </row>
    <row r="1985" spans="5:6" x14ac:dyDescent="0.3">
      <c r="E1985" t="str">
        <f>IFERROR(IF(D1985="","",VLOOKUP(D1985,CadProd!$A:$B,2,0)),"")</f>
        <v/>
      </c>
      <c r="F1985" t="str">
        <f>IFERROR(IF(D1985="","",VLOOKUP(D1985,CadProd!$A:$C,3,0)),"")</f>
        <v/>
      </c>
    </row>
    <row r="1986" spans="5:6" x14ac:dyDescent="0.3">
      <c r="E1986" t="str">
        <f>IFERROR(IF(D1986="","",VLOOKUP(D1986,CadProd!$A:$B,2,0)),"")</f>
        <v/>
      </c>
      <c r="F1986" t="str">
        <f>IFERROR(IF(D1986="","",VLOOKUP(D1986,CadProd!$A:$C,3,0)),"")</f>
        <v/>
      </c>
    </row>
    <row r="1987" spans="5:6" x14ac:dyDescent="0.3">
      <c r="E1987" t="str">
        <f>IFERROR(IF(D1987="","",VLOOKUP(D1987,CadProd!$A:$B,2,0)),"")</f>
        <v/>
      </c>
      <c r="F1987" t="str">
        <f>IFERROR(IF(D1987="","",VLOOKUP(D1987,CadProd!$A:$C,3,0)),"")</f>
        <v/>
      </c>
    </row>
    <row r="1988" spans="5:6" x14ac:dyDescent="0.3">
      <c r="E1988" t="str">
        <f>IFERROR(IF(D1988="","",VLOOKUP(D1988,CadProd!$A:$B,2,0)),"")</f>
        <v/>
      </c>
      <c r="F1988" t="str">
        <f>IFERROR(IF(D1988="","",VLOOKUP(D1988,CadProd!$A:$C,3,0)),"")</f>
        <v/>
      </c>
    </row>
    <row r="1989" spans="5:6" x14ac:dyDescent="0.3">
      <c r="E1989" t="str">
        <f>IFERROR(IF(D1989="","",VLOOKUP(D1989,CadProd!$A:$B,2,0)),"")</f>
        <v/>
      </c>
      <c r="F1989" t="str">
        <f>IFERROR(IF(D1989="","",VLOOKUP(D1989,CadProd!$A:$C,3,0)),"")</f>
        <v/>
      </c>
    </row>
    <row r="1990" spans="5:6" x14ac:dyDescent="0.3">
      <c r="E1990" t="str">
        <f>IFERROR(IF(D1990="","",VLOOKUP(D1990,CadProd!$A:$B,2,0)),"")</f>
        <v/>
      </c>
      <c r="F1990" t="str">
        <f>IFERROR(IF(D1990="","",VLOOKUP(D1990,CadProd!$A:$C,3,0)),"")</f>
        <v/>
      </c>
    </row>
    <row r="1991" spans="5:6" x14ac:dyDescent="0.3">
      <c r="E1991" t="str">
        <f>IFERROR(IF(D1991="","",VLOOKUP(D1991,CadProd!$A:$B,2,0)),"")</f>
        <v/>
      </c>
      <c r="F1991" t="str">
        <f>IFERROR(IF(D1991="","",VLOOKUP(D1991,CadProd!$A:$C,3,0)),"")</f>
        <v/>
      </c>
    </row>
    <row r="1992" spans="5:6" x14ac:dyDescent="0.3">
      <c r="E1992" t="str">
        <f>IFERROR(IF(D1992="","",VLOOKUP(D1992,CadProd!$A:$B,2,0)),"")</f>
        <v/>
      </c>
      <c r="F1992" t="str">
        <f>IFERROR(IF(D1992="","",VLOOKUP(D1992,CadProd!$A:$C,3,0)),"")</f>
        <v/>
      </c>
    </row>
    <row r="1993" spans="5:6" x14ac:dyDescent="0.3">
      <c r="E1993" t="str">
        <f>IFERROR(IF(D1993="","",VLOOKUP(D1993,CadProd!$A:$B,2,0)),"")</f>
        <v/>
      </c>
      <c r="F1993" t="str">
        <f>IFERROR(IF(D1993="","",VLOOKUP(D1993,CadProd!$A:$C,3,0)),"")</f>
        <v/>
      </c>
    </row>
    <row r="1994" spans="5:6" x14ac:dyDescent="0.3">
      <c r="E1994" t="str">
        <f>IFERROR(IF(D1994="","",VLOOKUP(D1994,CadProd!$A:$B,2,0)),"")</f>
        <v/>
      </c>
      <c r="F1994" t="str">
        <f>IFERROR(IF(D1994="","",VLOOKUP(D1994,CadProd!$A:$C,3,0)),"")</f>
        <v/>
      </c>
    </row>
    <row r="1995" spans="5:6" x14ac:dyDescent="0.3">
      <c r="E1995" t="str">
        <f>IFERROR(IF(D1995="","",VLOOKUP(D1995,CadProd!$A:$B,2,0)),"")</f>
        <v/>
      </c>
      <c r="F1995" t="str">
        <f>IFERROR(IF(D1995="","",VLOOKUP(D1995,CadProd!$A:$C,3,0)),"")</f>
        <v/>
      </c>
    </row>
    <row r="1996" spans="5:6" x14ac:dyDescent="0.3">
      <c r="E1996" t="str">
        <f>IFERROR(IF(D1996="","",VLOOKUP(D1996,CadProd!$A:$B,2,0)),"")</f>
        <v/>
      </c>
      <c r="F1996" t="str">
        <f>IFERROR(IF(D1996="","",VLOOKUP(D1996,CadProd!$A:$C,3,0)),"")</f>
        <v/>
      </c>
    </row>
    <row r="1997" spans="5:6" x14ac:dyDescent="0.3">
      <c r="E1997" t="str">
        <f>IFERROR(IF(D1997="","",VLOOKUP(D1997,CadProd!$A:$B,2,0)),"")</f>
        <v/>
      </c>
      <c r="F1997" t="str">
        <f>IFERROR(IF(D1997="","",VLOOKUP(D1997,CadProd!$A:$C,3,0)),"")</f>
        <v/>
      </c>
    </row>
    <row r="1998" spans="5:6" x14ac:dyDescent="0.3">
      <c r="E1998" t="str">
        <f>IFERROR(IF(D1998="","",VLOOKUP(D1998,CadProd!$A:$B,2,0)),"")</f>
        <v/>
      </c>
      <c r="F1998" t="str">
        <f>IFERROR(IF(D1998="","",VLOOKUP(D1998,CadProd!$A:$C,3,0)),"")</f>
        <v/>
      </c>
    </row>
    <row r="1999" spans="5:6" x14ac:dyDescent="0.3">
      <c r="E1999" t="str">
        <f>IFERROR(IF(D1999="","",VLOOKUP(D1999,CadProd!$A:$B,2,0)),"")</f>
        <v/>
      </c>
      <c r="F1999" t="str">
        <f>IFERROR(IF(D1999="","",VLOOKUP(D1999,CadProd!$A:$C,3,0)),"")</f>
        <v/>
      </c>
    </row>
    <row r="2000" spans="5:6" x14ac:dyDescent="0.3">
      <c r="E2000" t="str">
        <f>IFERROR(IF(D2000="","",VLOOKUP(D2000,CadProd!$A:$B,2,0)),"")</f>
        <v/>
      </c>
      <c r="F2000" t="str">
        <f>IFERROR(IF(D2000="","",VLOOKUP(D2000,CadProd!$A:$C,3,0)),"")</f>
        <v/>
      </c>
    </row>
    <row r="2001" spans="5:6" x14ac:dyDescent="0.3">
      <c r="E2001" t="str">
        <f>IFERROR(IF(D2001="","",VLOOKUP(D2001,CadProd!$A:$B,2,0)),"")</f>
        <v/>
      </c>
      <c r="F2001" t="str">
        <f>IFERROR(IF(D2001="","",VLOOKUP(D2001,CadProd!$A:$C,3,0)),"")</f>
        <v/>
      </c>
    </row>
    <row r="2002" spans="5:6" x14ac:dyDescent="0.3">
      <c r="E2002" t="str">
        <f>IFERROR(IF(D2002="","",VLOOKUP(D2002,CadProd!$A:$B,2,0)),"")</f>
        <v/>
      </c>
      <c r="F2002" t="str">
        <f>IFERROR(IF(D2002="","",VLOOKUP(D2002,CadProd!$A:$C,3,0)),"")</f>
        <v/>
      </c>
    </row>
    <row r="2003" spans="5:6" x14ac:dyDescent="0.3">
      <c r="E2003" t="str">
        <f>IFERROR(IF(D2003="","",VLOOKUP(D2003,CadProd!$A:$B,2,0)),"")</f>
        <v/>
      </c>
      <c r="F2003" t="str">
        <f>IFERROR(IF(D2003="","",VLOOKUP(D2003,CadProd!$A:$C,3,0)),"")</f>
        <v/>
      </c>
    </row>
    <row r="2004" spans="5:6" x14ac:dyDescent="0.3">
      <c r="E2004" t="str">
        <f>IFERROR(IF(D2004="","",VLOOKUP(D2004,CadProd!$A:$B,2,0)),"")</f>
        <v/>
      </c>
      <c r="F2004" t="str">
        <f>IFERROR(IF(D2004="","",VLOOKUP(D2004,CadProd!$A:$C,3,0)),"")</f>
        <v/>
      </c>
    </row>
    <row r="2005" spans="5:6" x14ac:dyDescent="0.3">
      <c r="E2005" t="str">
        <f>IFERROR(IF(D2005="","",VLOOKUP(D2005,CadProd!$A:$B,2,0)),"")</f>
        <v/>
      </c>
      <c r="F2005" t="str">
        <f>IFERROR(IF(D2005="","",VLOOKUP(D2005,CadProd!$A:$C,3,0)),"")</f>
        <v/>
      </c>
    </row>
    <row r="2006" spans="5:6" x14ac:dyDescent="0.3">
      <c r="E2006" t="str">
        <f>IFERROR(IF(D2006="","",VLOOKUP(D2006,CadProd!$A:$B,2,0)),"")</f>
        <v/>
      </c>
      <c r="F2006" t="str">
        <f>IFERROR(IF(D2006="","",VLOOKUP(D2006,CadProd!$A:$C,3,0)),"")</f>
        <v/>
      </c>
    </row>
    <row r="2007" spans="5:6" x14ac:dyDescent="0.3">
      <c r="E2007" t="str">
        <f>IFERROR(IF(D2007="","",VLOOKUP(D2007,CadProd!$A:$B,2,0)),"")</f>
        <v/>
      </c>
      <c r="F2007" t="str">
        <f>IFERROR(IF(D2007="","",VLOOKUP(D2007,CadProd!$A:$C,3,0)),"")</f>
        <v/>
      </c>
    </row>
    <row r="2008" spans="5:6" x14ac:dyDescent="0.3">
      <c r="E2008" t="str">
        <f>IFERROR(IF(D2008="","",VLOOKUP(D2008,CadProd!$A:$B,2,0)),"")</f>
        <v/>
      </c>
      <c r="F2008" t="str">
        <f>IFERROR(IF(D2008="","",VLOOKUP(D2008,CadProd!$A:$C,3,0)),"")</f>
        <v/>
      </c>
    </row>
    <row r="2009" spans="5:6" x14ac:dyDescent="0.3">
      <c r="E2009" t="str">
        <f>IFERROR(IF(D2009="","",VLOOKUP(D2009,CadProd!$A:$B,2,0)),"")</f>
        <v/>
      </c>
      <c r="F2009" t="str">
        <f>IFERROR(IF(D2009="","",VLOOKUP(D2009,CadProd!$A:$C,3,0)),"")</f>
        <v/>
      </c>
    </row>
    <row r="2010" spans="5:6" x14ac:dyDescent="0.3">
      <c r="E2010" t="str">
        <f>IFERROR(IF(D2010="","",VLOOKUP(D2010,CadProd!$A:$B,2,0)),"")</f>
        <v/>
      </c>
      <c r="F2010" t="str">
        <f>IFERROR(IF(D2010="","",VLOOKUP(D2010,CadProd!$A:$C,3,0)),"")</f>
        <v/>
      </c>
    </row>
    <row r="2011" spans="5:6" x14ac:dyDescent="0.3">
      <c r="E2011" t="str">
        <f>IFERROR(IF(D2011="","",VLOOKUP(D2011,CadProd!$A:$B,2,0)),"")</f>
        <v/>
      </c>
      <c r="F2011" t="str">
        <f>IFERROR(IF(D2011="","",VLOOKUP(D2011,CadProd!$A:$C,3,0)),"")</f>
        <v/>
      </c>
    </row>
    <row r="2012" spans="5:6" x14ac:dyDescent="0.3">
      <c r="E2012" t="str">
        <f>IFERROR(IF(D2012="","",VLOOKUP(D2012,CadProd!$A:$B,2,0)),"")</f>
        <v/>
      </c>
      <c r="F2012" t="str">
        <f>IFERROR(IF(D2012="","",VLOOKUP(D2012,CadProd!$A:$C,3,0)),"")</f>
        <v/>
      </c>
    </row>
    <row r="2013" spans="5:6" x14ac:dyDescent="0.3">
      <c r="E2013" t="str">
        <f>IFERROR(IF(D2013="","",VLOOKUP(D2013,CadProd!$A:$B,2,0)),"")</f>
        <v/>
      </c>
      <c r="F2013" t="str">
        <f>IFERROR(IF(D2013="","",VLOOKUP(D2013,CadProd!$A:$C,3,0)),"")</f>
        <v/>
      </c>
    </row>
    <row r="2014" spans="5:6" x14ac:dyDescent="0.3">
      <c r="E2014" t="str">
        <f>IFERROR(IF(D2014="","",VLOOKUP(D2014,CadProd!$A:$B,2,0)),"")</f>
        <v/>
      </c>
      <c r="F2014" t="str">
        <f>IFERROR(IF(D2014="","",VLOOKUP(D2014,CadProd!$A:$C,3,0)),"")</f>
        <v/>
      </c>
    </row>
    <row r="2015" spans="5:6" x14ac:dyDescent="0.3">
      <c r="E2015" t="str">
        <f>IFERROR(IF(D2015="","",VLOOKUP(D2015,CadProd!$A:$B,2,0)),"")</f>
        <v/>
      </c>
      <c r="F2015" t="str">
        <f>IFERROR(IF(D2015="","",VLOOKUP(D2015,CadProd!$A:$C,3,0)),"")</f>
        <v/>
      </c>
    </row>
    <row r="2016" spans="5:6" x14ac:dyDescent="0.3">
      <c r="E2016" t="str">
        <f>IFERROR(IF(D2016="","",VLOOKUP(D2016,CadProd!$A:$B,2,0)),"")</f>
        <v/>
      </c>
      <c r="F2016" t="str">
        <f>IFERROR(IF(D2016="","",VLOOKUP(D2016,CadProd!$A:$C,3,0)),"")</f>
        <v/>
      </c>
    </row>
    <row r="2017" spans="5:6" x14ac:dyDescent="0.3">
      <c r="E2017" t="str">
        <f>IFERROR(IF(D2017="","",VLOOKUP(D2017,CadProd!$A:$B,2,0)),"")</f>
        <v/>
      </c>
      <c r="F2017" t="str">
        <f>IFERROR(IF(D2017="","",VLOOKUP(D2017,CadProd!$A:$C,3,0)),"")</f>
        <v/>
      </c>
    </row>
    <row r="2018" spans="5:6" x14ac:dyDescent="0.3">
      <c r="E2018" t="str">
        <f>IFERROR(IF(D2018="","",VLOOKUP(D2018,CadProd!$A:$B,2,0)),"")</f>
        <v/>
      </c>
      <c r="F2018" t="str">
        <f>IFERROR(IF(D2018="","",VLOOKUP(D2018,CadProd!$A:$C,3,0)),"")</f>
        <v/>
      </c>
    </row>
    <row r="2019" spans="5:6" x14ac:dyDescent="0.3">
      <c r="E2019" t="str">
        <f>IFERROR(IF(D2019="","",VLOOKUP(D2019,CadProd!$A:$B,2,0)),"")</f>
        <v/>
      </c>
      <c r="F2019" t="str">
        <f>IFERROR(IF(D2019="","",VLOOKUP(D2019,CadProd!$A:$C,3,0)),"")</f>
        <v/>
      </c>
    </row>
    <row r="2020" spans="5:6" x14ac:dyDescent="0.3">
      <c r="E2020" t="str">
        <f>IFERROR(IF(D2020="","",VLOOKUP(D2020,CadProd!$A:$B,2,0)),"")</f>
        <v/>
      </c>
      <c r="F2020" t="str">
        <f>IFERROR(IF(D2020="","",VLOOKUP(D2020,CadProd!$A:$C,3,0)),"")</f>
        <v/>
      </c>
    </row>
    <row r="2021" spans="5:6" x14ac:dyDescent="0.3">
      <c r="E2021" t="str">
        <f>IFERROR(IF(D2021="","",VLOOKUP(D2021,CadProd!$A:$B,2,0)),"")</f>
        <v/>
      </c>
      <c r="F2021" t="str">
        <f>IFERROR(IF(D2021="","",VLOOKUP(D2021,CadProd!$A:$C,3,0)),"")</f>
        <v/>
      </c>
    </row>
    <row r="2022" spans="5:6" x14ac:dyDescent="0.3">
      <c r="E2022" t="str">
        <f>IFERROR(IF(D2022="","",VLOOKUP(D2022,CadProd!$A:$B,2,0)),"")</f>
        <v/>
      </c>
      <c r="F2022" t="str">
        <f>IFERROR(IF(D2022="","",VLOOKUP(D2022,CadProd!$A:$C,3,0)),"")</f>
        <v/>
      </c>
    </row>
    <row r="2023" spans="5:6" x14ac:dyDescent="0.3">
      <c r="E2023" t="str">
        <f>IFERROR(IF(D2023="","",VLOOKUP(D2023,CadProd!$A:$B,2,0)),"")</f>
        <v/>
      </c>
      <c r="F2023" t="str">
        <f>IFERROR(IF(D2023="","",VLOOKUP(D2023,CadProd!$A:$C,3,0)),"")</f>
        <v/>
      </c>
    </row>
    <row r="2024" spans="5:6" x14ac:dyDescent="0.3">
      <c r="E2024" t="str">
        <f>IFERROR(IF(D2024="","",VLOOKUP(D2024,CadProd!$A:$B,2,0)),"")</f>
        <v/>
      </c>
      <c r="F2024" t="str">
        <f>IFERROR(IF(D2024="","",VLOOKUP(D2024,CadProd!$A:$C,3,0)),"")</f>
        <v/>
      </c>
    </row>
    <row r="2025" spans="5:6" x14ac:dyDescent="0.3">
      <c r="E2025" t="str">
        <f>IFERROR(IF(D2025="","",VLOOKUP(D2025,CadProd!$A:$B,2,0)),"")</f>
        <v/>
      </c>
      <c r="F2025" t="str">
        <f>IFERROR(IF(D2025="","",VLOOKUP(D2025,CadProd!$A:$C,3,0)),"")</f>
        <v/>
      </c>
    </row>
    <row r="2026" spans="5:6" x14ac:dyDescent="0.3">
      <c r="E2026" t="str">
        <f>IFERROR(IF(D2026="","",VLOOKUP(D2026,CadProd!$A:$B,2,0)),"")</f>
        <v/>
      </c>
      <c r="F2026" t="str">
        <f>IFERROR(IF(D2026="","",VLOOKUP(D2026,CadProd!$A:$C,3,0)),"")</f>
        <v/>
      </c>
    </row>
    <row r="2027" spans="5:6" x14ac:dyDescent="0.3">
      <c r="E2027" t="str">
        <f>IFERROR(IF(D2027="","",VLOOKUP(D2027,CadProd!$A:$B,2,0)),"")</f>
        <v/>
      </c>
      <c r="F2027" t="str">
        <f>IFERROR(IF(D2027="","",VLOOKUP(D2027,CadProd!$A:$C,3,0)),"")</f>
        <v/>
      </c>
    </row>
    <row r="2028" spans="5:6" x14ac:dyDescent="0.3">
      <c r="E2028" t="str">
        <f>IFERROR(IF(D2028="","",VLOOKUP(D2028,CadProd!$A:$B,2,0)),"")</f>
        <v/>
      </c>
      <c r="F2028" t="str">
        <f>IFERROR(IF(D2028="","",VLOOKUP(D2028,CadProd!$A:$C,3,0)),"")</f>
        <v/>
      </c>
    </row>
    <row r="2029" spans="5:6" x14ac:dyDescent="0.3">
      <c r="E2029" t="str">
        <f>IFERROR(IF(D2029="","",VLOOKUP(D2029,CadProd!$A:$B,2,0)),"")</f>
        <v/>
      </c>
      <c r="F2029" t="str">
        <f>IFERROR(IF(D2029="","",VLOOKUP(D2029,CadProd!$A:$C,3,0)),"")</f>
        <v/>
      </c>
    </row>
    <row r="2030" spans="5:6" x14ac:dyDescent="0.3">
      <c r="E2030" t="str">
        <f>IFERROR(IF(D2030="","",VLOOKUP(D2030,CadProd!$A:$B,2,0)),"")</f>
        <v/>
      </c>
      <c r="F2030" t="str">
        <f>IFERROR(IF(D2030="","",VLOOKUP(D2030,CadProd!$A:$C,3,0)),"")</f>
        <v/>
      </c>
    </row>
    <row r="2031" spans="5:6" x14ac:dyDescent="0.3">
      <c r="E2031" t="str">
        <f>IFERROR(IF(D2031="","",VLOOKUP(D2031,CadProd!$A:$B,2,0)),"")</f>
        <v/>
      </c>
      <c r="F2031" t="str">
        <f>IFERROR(IF(D2031="","",VLOOKUP(D2031,CadProd!$A:$C,3,0)),"")</f>
        <v/>
      </c>
    </row>
    <row r="2032" spans="5:6" x14ac:dyDescent="0.3">
      <c r="E2032" t="str">
        <f>IFERROR(IF(D2032="","",VLOOKUP(D2032,CadProd!$A:$B,2,0)),"")</f>
        <v/>
      </c>
      <c r="F2032" t="str">
        <f>IFERROR(IF(D2032="","",VLOOKUP(D2032,CadProd!$A:$C,3,0)),"")</f>
        <v/>
      </c>
    </row>
    <row r="2033" spans="5:6" x14ac:dyDescent="0.3">
      <c r="E2033" t="str">
        <f>IFERROR(IF(D2033="","",VLOOKUP(D2033,CadProd!$A:$B,2,0)),"")</f>
        <v/>
      </c>
      <c r="F2033" t="str">
        <f>IFERROR(IF(D2033="","",VLOOKUP(D2033,CadProd!$A:$C,3,0)),"")</f>
        <v/>
      </c>
    </row>
    <row r="2034" spans="5:6" x14ac:dyDescent="0.3">
      <c r="E2034" t="str">
        <f>IFERROR(IF(D2034="","",VLOOKUP(D2034,CadProd!$A:$B,2,0)),"")</f>
        <v/>
      </c>
      <c r="F2034" t="str">
        <f>IFERROR(IF(D2034="","",VLOOKUP(D2034,CadProd!$A:$C,3,0)),"")</f>
        <v/>
      </c>
    </row>
    <row r="2035" spans="5:6" x14ac:dyDescent="0.3">
      <c r="E2035" t="str">
        <f>IFERROR(IF(D2035="","",VLOOKUP(D2035,CadProd!$A:$B,2,0)),"")</f>
        <v/>
      </c>
      <c r="F2035" t="str">
        <f>IFERROR(IF(D2035="","",VLOOKUP(D2035,CadProd!$A:$C,3,0)),"")</f>
        <v/>
      </c>
    </row>
    <row r="2036" spans="5:6" x14ac:dyDescent="0.3">
      <c r="E2036" t="str">
        <f>IFERROR(IF(D2036="","",VLOOKUP(D2036,CadProd!$A:$B,2,0)),"")</f>
        <v/>
      </c>
      <c r="F2036" t="str">
        <f>IFERROR(IF(D2036="","",VLOOKUP(D2036,CadProd!$A:$C,3,0)),"")</f>
        <v/>
      </c>
    </row>
    <row r="2037" spans="5:6" x14ac:dyDescent="0.3">
      <c r="E2037" t="str">
        <f>IFERROR(IF(D2037="","",VLOOKUP(D2037,CadProd!$A:$B,2,0)),"")</f>
        <v/>
      </c>
      <c r="F2037" t="str">
        <f>IFERROR(IF(D2037="","",VLOOKUP(D2037,CadProd!$A:$C,3,0)),"")</f>
        <v/>
      </c>
    </row>
    <row r="2038" spans="5:6" x14ac:dyDescent="0.3">
      <c r="E2038" t="str">
        <f>IFERROR(IF(D2038="","",VLOOKUP(D2038,CadProd!$A:$B,2,0)),"")</f>
        <v/>
      </c>
      <c r="F2038" t="str">
        <f>IFERROR(IF(D2038="","",VLOOKUP(D2038,CadProd!$A:$C,3,0)),"")</f>
        <v/>
      </c>
    </row>
    <row r="2039" spans="5:6" x14ac:dyDescent="0.3">
      <c r="E2039" t="str">
        <f>IFERROR(IF(D2039="","",VLOOKUP(D2039,CadProd!$A:$B,2,0)),"")</f>
        <v/>
      </c>
      <c r="F2039" t="str">
        <f>IFERROR(IF(D2039="","",VLOOKUP(D2039,CadProd!$A:$C,3,0)),"")</f>
        <v/>
      </c>
    </row>
    <row r="2040" spans="5:6" x14ac:dyDescent="0.3">
      <c r="E2040" t="str">
        <f>IFERROR(IF(D2040="","",VLOOKUP(D2040,CadProd!$A:$B,2,0)),"")</f>
        <v/>
      </c>
      <c r="F2040" t="str">
        <f>IFERROR(IF(D2040="","",VLOOKUP(D2040,CadProd!$A:$C,3,0)),"")</f>
        <v/>
      </c>
    </row>
    <row r="2041" spans="5:6" x14ac:dyDescent="0.3">
      <c r="E2041" t="str">
        <f>IFERROR(IF(D2041="","",VLOOKUP(D2041,CadProd!$A:$B,2,0)),"")</f>
        <v/>
      </c>
      <c r="F2041" t="str">
        <f>IFERROR(IF(D2041="","",VLOOKUP(D2041,CadProd!$A:$C,3,0)),"")</f>
        <v/>
      </c>
    </row>
    <row r="2042" spans="5:6" x14ac:dyDescent="0.3">
      <c r="E2042" t="str">
        <f>IFERROR(IF(D2042="","",VLOOKUP(D2042,CadProd!$A:$B,2,0)),"")</f>
        <v/>
      </c>
      <c r="F2042" t="str">
        <f>IFERROR(IF(D2042="","",VLOOKUP(D2042,CadProd!$A:$C,3,0)),"")</f>
        <v/>
      </c>
    </row>
    <row r="2043" spans="5:6" x14ac:dyDescent="0.3">
      <c r="E2043" t="str">
        <f>IFERROR(IF(D2043="","",VLOOKUP(D2043,CadProd!$A:$B,2,0)),"")</f>
        <v/>
      </c>
      <c r="F2043" t="str">
        <f>IFERROR(IF(D2043="","",VLOOKUP(D2043,CadProd!$A:$C,3,0)),"")</f>
        <v/>
      </c>
    </row>
    <row r="2044" spans="5:6" x14ac:dyDescent="0.3">
      <c r="E2044" t="str">
        <f>IFERROR(IF(D2044="","",VLOOKUP(D2044,CadProd!$A:$B,2,0)),"")</f>
        <v/>
      </c>
      <c r="F2044" t="str">
        <f>IFERROR(IF(D2044="","",VLOOKUP(D2044,CadProd!$A:$C,3,0)),"")</f>
        <v/>
      </c>
    </row>
    <row r="2045" spans="5:6" x14ac:dyDescent="0.3">
      <c r="E2045" t="str">
        <f>IFERROR(IF(D2045="","",VLOOKUP(D2045,CadProd!$A:$B,2,0)),"")</f>
        <v/>
      </c>
      <c r="F2045" t="str">
        <f>IFERROR(IF(D2045="","",VLOOKUP(D2045,CadProd!$A:$C,3,0)),"")</f>
        <v/>
      </c>
    </row>
    <row r="2046" spans="5:6" x14ac:dyDescent="0.3">
      <c r="E2046" t="str">
        <f>IFERROR(IF(D2046="","",VLOOKUP(D2046,CadProd!$A:$B,2,0)),"")</f>
        <v/>
      </c>
      <c r="F2046" t="str">
        <f>IFERROR(IF(D2046="","",VLOOKUP(D2046,CadProd!$A:$C,3,0)),"")</f>
        <v/>
      </c>
    </row>
    <row r="2047" spans="5:6" x14ac:dyDescent="0.3">
      <c r="E2047" t="str">
        <f>IFERROR(IF(D2047="","",VLOOKUP(D2047,CadProd!$A:$B,2,0)),"")</f>
        <v/>
      </c>
      <c r="F2047" t="str">
        <f>IFERROR(IF(D2047="","",VLOOKUP(D2047,CadProd!$A:$C,3,0)),"")</f>
        <v/>
      </c>
    </row>
    <row r="2048" spans="5:6" x14ac:dyDescent="0.3">
      <c r="E2048" t="str">
        <f>IFERROR(IF(D2048="","",VLOOKUP(D2048,CadProd!$A:$B,2,0)),"")</f>
        <v/>
      </c>
      <c r="F2048" t="str">
        <f>IFERROR(IF(D2048="","",VLOOKUP(D2048,CadProd!$A:$C,3,0)),"")</f>
        <v/>
      </c>
    </row>
    <row r="2049" spans="5:6" x14ac:dyDescent="0.3">
      <c r="E2049" t="str">
        <f>IFERROR(IF(D2049="","",VLOOKUP(D2049,CadProd!$A:$B,2,0)),"")</f>
        <v/>
      </c>
      <c r="F2049" t="str">
        <f>IFERROR(IF(D2049="","",VLOOKUP(D2049,CadProd!$A:$C,3,0)),"")</f>
        <v/>
      </c>
    </row>
    <row r="2050" spans="5:6" x14ac:dyDescent="0.3">
      <c r="E2050" t="str">
        <f>IFERROR(IF(D2050="","",VLOOKUP(D2050,CadProd!$A:$B,2,0)),"")</f>
        <v/>
      </c>
      <c r="F2050" t="str">
        <f>IFERROR(IF(D2050="","",VLOOKUP(D2050,CadProd!$A:$C,3,0)),"")</f>
        <v/>
      </c>
    </row>
    <row r="2051" spans="5:6" x14ac:dyDescent="0.3">
      <c r="E2051" t="str">
        <f>IFERROR(IF(D2051="","",VLOOKUP(D2051,CadProd!$A:$B,2,0)),"")</f>
        <v/>
      </c>
      <c r="F2051" t="str">
        <f>IFERROR(IF(D2051="","",VLOOKUP(D2051,CadProd!$A:$C,3,0)),"")</f>
        <v/>
      </c>
    </row>
    <row r="2052" spans="5:6" x14ac:dyDescent="0.3">
      <c r="E2052" t="str">
        <f>IFERROR(IF(D2052="","",VLOOKUP(D2052,CadProd!$A:$B,2,0)),"")</f>
        <v/>
      </c>
      <c r="F2052" t="str">
        <f>IFERROR(IF(D2052="","",VLOOKUP(D2052,CadProd!$A:$C,3,0)),"")</f>
        <v/>
      </c>
    </row>
    <row r="2053" spans="5:6" x14ac:dyDescent="0.3">
      <c r="E2053" t="str">
        <f>IFERROR(IF(D2053="","",VLOOKUP(D2053,CadProd!$A:$B,2,0)),"")</f>
        <v/>
      </c>
      <c r="F2053" t="str">
        <f>IFERROR(IF(D2053="","",VLOOKUP(D2053,CadProd!$A:$C,3,0)),"")</f>
        <v/>
      </c>
    </row>
    <row r="2054" spans="5:6" x14ac:dyDescent="0.3">
      <c r="E2054" t="str">
        <f>IFERROR(IF(D2054="","",VLOOKUP(D2054,CadProd!$A:$B,2,0)),"")</f>
        <v/>
      </c>
      <c r="F2054" t="str">
        <f>IFERROR(IF(D2054="","",VLOOKUP(D2054,CadProd!$A:$C,3,0)),"")</f>
        <v/>
      </c>
    </row>
    <row r="2055" spans="5:6" x14ac:dyDescent="0.3">
      <c r="E2055" t="str">
        <f>IFERROR(IF(D2055="","",VLOOKUP(D2055,CadProd!$A:$B,2,0)),"")</f>
        <v/>
      </c>
      <c r="F2055" t="str">
        <f>IFERROR(IF(D2055="","",VLOOKUP(D2055,CadProd!$A:$C,3,0)),"")</f>
        <v/>
      </c>
    </row>
    <row r="2056" spans="5:6" x14ac:dyDescent="0.3">
      <c r="E2056" t="str">
        <f>IFERROR(IF(D2056="","",VLOOKUP(D2056,CadProd!$A:$B,2,0)),"")</f>
        <v/>
      </c>
      <c r="F2056" t="str">
        <f>IFERROR(IF(D2056="","",VLOOKUP(D2056,CadProd!$A:$C,3,0)),"")</f>
        <v/>
      </c>
    </row>
    <row r="2057" spans="5:6" x14ac:dyDescent="0.3">
      <c r="E2057" t="str">
        <f>IFERROR(IF(D2057="","",VLOOKUP(D2057,CadProd!$A:$B,2,0)),"")</f>
        <v/>
      </c>
      <c r="F2057" t="str">
        <f>IFERROR(IF(D2057="","",VLOOKUP(D2057,CadProd!$A:$C,3,0)),"")</f>
        <v/>
      </c>
    </row>
    <row r="2058" spans="5:6" x14ac:dyDescent="0.3">
      <c r="E2058" t="str">
        <f>IFERROR(IF(D2058="","",VLOOKUP(D2058,CadProd!$A:$B,2,0)),"")</f>
        <v/>
      </c>
      <c r="F2058" t="str">
        <f>IFERROR(IF(D2058="","",VLOOKUP(D2058,CadProd!$A:$C,3,0)),"")</f>
        <v/>
      </c>
    </row>
    <row r="2059" spans="5:6" x14ac:dyDescent="0.3">
      <c r="E2059" t="str">
        <f>IFERROR(IF(D2059="","",VLOOKUP(D2059,CadProd!$A:$B,2,0)),"")</f>
        <v/>
      </c>
      <c r="F2059" t="str">
        <f>IFERROR(IF(D2059="","",VLOOKUP(D2059,CadProd!$A:$C,3,0)),"")</f>
        <v/>
      </c>
    </row>
    <row r="2060" spans="5:6" x14ac:dyDescent="0.3">
      <c r="E2060" t="str">
        <f>IFERROR(IF(D2060="","",VLOOKUP(D2060,CadProd!$A:$B,2,0)),"")</f>
        <v/>
      </c>
      <c r="F2060" t="str">
        <f>IFERROR(IF(D2060="","",VLOOKUP(D2060,CadProd!$A:$C,3,0)),"")</f>
        <v/>
      </c>
    </row>
    <row r="2061" spans="5:6" x14ac:dyDescent="0.3">
      <c r="E2061" t="str">
        <f>IFERROR(IF(D2061="","",VLOOKUP(D2061,CadProd!$A:$B,2,0)),"")</f>
        <v/>
      </c>
      <c r="F2061" t="str">
        <f>IFERROR(IF(D2061="","",VLOOKUP(D2061,CadProd!$A:$C,3,0)),"")</f>
        <v/>
      </c>
    </row>
    <row r="2062" spans="5:6" x14ac:dyDescent="0.3">
      <c r="E2062" t="str">
        <f>IFERROR(IF(D2062="","",VLOOKUP(D2062,CadProd!$A:$B,2,0)),"")</f>
        <v/>
      </c>
      <c r="F2062" t="str">
        <f>IFERROR(IF(D2062="","",VLOOKUP(D2062,CadProd!$A:$C,3,0)),"")</f>
        <v/>
      </c>
    </row>
    <row r="2063" spans="5:6" x14ac:dyDescent="0.3">
      <c r="E2063" t="str">
        <f>IFERROR(IF(D2063="","",VLOOKUP(D2063,CadProd!$A:$B,2,0)),"")</f>
        <v/>
      </c>
      <c r="F2063" t="str">
        <f>IFERROR(IF(D2063="","",VLOOKUP(D2063,CadProd!$A:$C,3,0)),"")</f>
        <v/>
      </c>
    </row>
    <row r="2064" spans="5:6" x14ac:dyDescent="0.3">
      <c r="E2064" t="str">
        <f>IFERROR(IF(D2064="","",VLOOKUP(D2064,CadProd!$A:$B,2,0)),"")</f>
        <v/>
      </c>
      <c r="F2064" t="str">
        <f>IFERROR(IF(D2064="","",VLOOKUP(D2064,CadProd!$A:$C,3,0)),"")</f>
        <v/>
      </c>
    </row>
    <row r="2065" spans="5:6" x14ac:dyDescent="0.3">
      <c r="E2065" t="str">
        <f>IFERROR(IF(D2065="","",VLOOKUP(D2065,CadProd!$A:$B,2,0)),"")</f>
        <v/>
      </c>
      <c r="F2065" t="str">
        <f>IFERROR(IF(D2065="","",VLOOKUP(D2065,CadProd!$A:$C,3,0)),"")</f>
        <v/>
      </c>
    </row>
    <row r="2066" spans="5:6" x14ac:dyDescent="0.3">
      <c r="E2066" t="str">
        <f>IFERROR(IF(D2066="","",VLOOKUP(D2066,CadProd!$A:$B,2,0)),"")</f>
        <v/>
      </c>
      <c r="F2066" t="str">
        <f>IFERROR(IF(D2066="","",VLOOKUP(D2066,CadProd!$A:$C,3,0)),"")</f>
        <v/>
      </c>
    </row>
    <row r="2067" spans="5:6" x14ac:dyDescent="0.3">
      <c r="E2067" t="str">
        <f>IFERROR(IF(D2067="","",VLOOKUP(D2067,CadProd!$A:$B,2,0)),"")</f>
        <v/>
      </c>
      <c r="F2067" t="str">
        <f>IFERROR(IF(D2067="","",VLOOKUP(D2067,CadProd!$A:$C,3,0)),"")</f>
        <v/>
      </c>
    </row>
    <row r="2068" spans="5:6" x14ac:dyDescent="0.3">
      <c r="E2068" t="str">
        <f>IFERROR(IF(D2068="","",VLOOKUP(D2068,CadProd!$A:$B,2,0)),"")</f>
        <v/>
      </c>
      <c r="F2068" t="str">
        <f>IFERROR(IF(D2068="","",VLOOKUP(D2068,CadProd!$A:$C,3,0)),"")</f>
        <v/>
      </c>
    </row>
    <row r="2069" spans="5:6" x14ac:dyDescent="0.3">
      <c r="E2069" t="str">
        <f>IFERROR(IF(D2069="","",VLOOKUP(D2069,CadProd!$A:$B,2,0)),"")</f>
        <v/>
      </c>
      <c r="F2069" t="str">
        <f>IFERROR(IF(D2069="","",VLOOKUP(D2069,CadProd!$A:$C,3,0)),"")</f>
        <v/>
      </c>
    </row>
    <row r="2070" spans="5:6" x14ac:dyDescent="0.3">
      <c r="E2070" t="str">
        <f>IFERROR(IF(D2070="","",VLOOKUP(D2070,CadProd!$A:$B,2,0)),"")</f>
        <v/>
      </c>
      <c r="F2070" t="str">
        <f>IFERROR(IF(D2070="","",VLOOKUP(D2070,CadProd!$A:$C,3,0)),"")</f>
        <v/>
      </c>
    </row>
    <row r="2071" spans="5:6" x14ac:dyDescent="0.3">
      <c r="E2071" t="str">
        <f>IFERROR(IF(D2071="","",VLOOKUP(D2071,CadProd!$A:$B,2,0)),"")</f>
        <v/>
      </c>
      <c r="F2071" t="str">
        <f>IFERROR(IF(D2071="","",VLOOKUP(D2071,CadProd!$A:$C,3,0)),"")</f>
        <v/>
      </c>
    </row>
    <row r="2072" spans="5:6" x14ac:dyDescent="0.3">
      <c r="E2072" t="str">
        <f>IFERROR(IF(D2072="","",VLOOKUP(D2072,CadProd!$A:$B,2,0)),"")</f>
        <v/>
      </c>
      <c r="F2072" t="str">
        <f>IFERROR(IF(D2072="","",VLOOKUP(D2072,CadProd!$A:$C,3,0)),"")</f>
        <v/>
      </c>
    </row>
    <row r="2073" spans="5:6" x14ac:dyDescent="0.3">
      <c r="E2073" t="str">
        <f>IFERROR(IF(D2073="","",VLOOKUP(D2073,CadProd!$A:$B,2,0)),"")</f>
        <v/>
      </c>
      <c r="F2073" t="str">
        <f>IFERROR(IF(D2073="","",VLOOKUP(D2073,CadProd!$A:$C,3,0)),"")</f>
        <v/>
      </c>
    </row>
    <row r="2074" spans="5:6" x14ac:dyDescent="0.3">
      <c r="E2074" t="str">
        <f>IFERROR(IF(D2074="","",VLOOKUP(D2074,CadProd!$A:$B,2,0)),"")</f>
        <v/>
      </c>
      <c r="F2074" t="str">
        <f>IFERROR(IF(D2074="","",VLOOKUP(D2074,CadProd!$A:$C,3,0)),"")</f>
        <v/>
      </c>
    </row>
    <row r="2075" spans="5:6" x14ac:dyDescent="0.3">
      <c r="E2075" t="str">
        <f>IFERROR(IF(D2075="","",VLOOKUP(D2075,CadProd!$A:$B,2,0)),"")</f>
        <v/>
      </c>
      <c r="F2075" t="str">
        <f>IFERROR(IF(D2075="","",VLOOKUP(D2075,CadProd!$A:$C,3,0)),"")</f>
        <v/>
      </c>
    </row>
    <row r="2076" spans="5:6" x14ac:dyDescent="0.3">
      <c r="E2076" t="str">
        <f>IFERROR(IF(D2076="","",VLOOKUP(D2076,CadProd!$A:$B,2,0)),"")</f>
        <v/>
      </c>
      <c r="F2076" t="str">
        <f>IFERROR(IF(D2076="","",VLOOKUP(D2076,CadProd!$A:$C,3,0)),"")</f>
        <v/>
      </c>
    </row>
    <row r="2077" spans="5:6" x14ac:dyDescent="0.3">
      <c r="E2077" t="str">
        <f>IFERROR(IF(D2077="","",VLOOKUP(D2077,CadProd!$A:$B,2,0)),"")</f>
        <v/>
      </c>
      <c r="F2077" t="str">
        <f>IFERROR(IF(D2077="","",VLOOKUP(D2077,CadProd!$A:$C,3,0)),"")</f>
        <v/>
      </c>
    </row>
    <row r="2078" spans="5:6" x14ac:dyDescent="0.3">
      <c r="E2078" t="str">
        <f>IFERROR(IF(D2078="","",VLOOKUP(D2078,CadProd!$A:$B,2,0)),"")</f>
        <v/>
      </c>
      <c r="F2078" t="str">
        <f>IFERROR(IF(D2078="","",VLOOKUP(D2078,CadProd!$A:$C,3,0)),"")</f>
        <v/>
      </c>
    </row>
    <row r="2079" spans="5:6" x14ac:dyDescent="0.3">
      <c r="E2079" t="str">
        <f>IFERROR(IF(D2079="","",VLOOKUP(D2079,CadProd!$A:$B,2,0)),"")</f>
        <v/>
      </c>
      <c r="F2079" t="str">
        <f>IFERROR(IF(D2079="","",VLOOKUP(D2079,CadProd!$A:$C,3,0)),"")</f>
        <v/>
      </c>
    </row>
    <row r="2080" spans="5:6" x14ac:dyDescent="0.3">
      <c r="E2080" t="str">
        <f>IFERROR(IF(D2080="","",VLOOKUP(D2080,CadProd!$A:$B,2,0)),"")</f>
        <v/>
      </c>
      <c r="F2080" t="str">
        <f>IFERROR(IF(D2080="","",VLOOKUP(D2080,CadProd!$A:$C,3,0)),"")</f>
        <v/>
      </c>
    </row>
    <row r="2081" spans="5:6" x14ac:dyDescent="0.3">
      <c r="E2081" t="str">
        <f>IFERROR(IF(D2081="","",VLOOKUP(D2081,CadProd!$A:$B,2,0)),"")</f>
        <v/>
      </c>
      <c r="F2081" t="str">
        <f>IFERROR(IF(D2081="","",VLOOKUP(D2081,CadProd!$A:$C,3,0)),"")</f>
        <v/>
      </c>
    </row>
    <row r="2082" spans="5:6" x14ac:dyDescent="0.3">
      <c r="E2082" t="str">
        <f>IFERROR(IF(D2082="","",VLOOKUP(D2082,CadProd!$A:$B,2,0)),"")</f>
        <v/>
      </c>
      <c r="F2082" t="str">
        <f>IFERROR(IF(D2082="","",VLOOKUP(D2082,CadProd!$A:$C,3,0)),"")</f>
        <v/>
      </c>
    </row>
    <row r="2083" spans="5:6" x14ac:dyDescent="0.3">
      <c r="E2083" t="str">
        <f>IFERROR(IF(D2083="","",VLOOKUP(D2083,CadProd!$A:$B,2,0)),"")</f>
        <v/>
      </c>
      <c r="F2083" t="str">
        <f>IFERROR(IF(D2083="","",VLOOKUP(D2083,CadProd!$A:$C,3,0)),"")</f>
        <v/>
      </c>
    </row>
    <row r="2084" spans="5:6" x14ac:dyDescent="0.3">
      <c r="E2084" t="str">
        <f>IFERROR(IF(D2084="","",VLOOKUP(D2084,CadProd!$A:$B,2,0)),"")</f>
        <v/>
      </c>
      <c r="F2084" t="str">
        <f>IFERROR(IF(D2084="","",VLOOKUP(D2084,CadProd!$A:$C,3,0)),"")</f>
        <v/>
      </c>
    </row>
    <row r="2085" spans="5:6" x14ac:dyDescent="0.3">
      <c r="E2085" t="str">
        <f>IFERROR(IF(D2085="","",VLOOKUP(D2085,CadProd!$A:$B,2,0)),"")</f>
        <v/>
      </c>
      <c r="F2085" t="str">
        <f>IFERROR(IF(D2085="","",VLOOKUP(D2085,CadProd!$A:$C,3,0)),"")</f>
        <v/>
      </c>
    </row>
    <row r="2086" spans="5:6" x14ac:dyDescent="0.3">
      <c r="E2086" t="str">
        <f>IFERROR(IF(D2086="","",VLOOKUP(D2086,CadProd!$A:$B,2,0)),"")</f>
        <v/>
      </c>
      <c r="F2086" t="str">
        <f>IFERROR(IF(D2086="","",VLOOKUP(D2086,CadProd!$A:$C,3,0)),"")</f>
        <v/>
      </c>
    </row>
    <row r="2087" spans="5:6" x14ac:dyDescent="0.3">
      <c r="E2087" t="str">
        <f>IFERROR(IF(D2087="","",VLOOKUP(D2087,CadProd!$A:$B,2,0)),"")</f>
        <v/>
      </c>
      <c r="F2087" t="str">
        <f>IFERROR(IF(D2087="","",VLOOKUP(D2087,CadProd!$A:$C,3,0)),"")</f>
        <v/>
      </c>
    </row>
    <row r="2088" spans="5:6" x14ac:dyDescent="0.3">
      <c r="E2088" t="str">
        <f>IFERROR(IF(D2088="","",VLOOKUP(D2088,CadProd!$A:$B,2,0)),"")</f>
        <v/>
      </c>
      <c r="F2088" t="str">
        <f>IFERROR(IF(D2088="","",VLOOKUP(D2088,CadProd!$A:$C,3,0)),"")</f>
        <v/>
      </c>
    </row>
    <row r="2089" spans="5:6" x14ac:dyDescent="0.3">
      <c r="E2089" t="str">
        <f>IFERROR(IF(D2089="","",VLOOKUP(D2089,CadProd!$A:$B,2,0)),"")</f>
        <v/>
      </c>
      <c r="F2089" t="str">
        <f>IFERROR(IF(D2089="","",VLOOKUP(D2089,CadProd!$A:$C,3,0)),"")</f>
        <v/>
      </c>
    </row>
    <row r="2090" spans="5:6" x14ac:dyDescent="0.3">
      <c r="E2090" t="str">
        <f>IFERROR(IF(D2090="","",VLOOKUP(D2090,CadProd!$A:$B,2,0)),"")</f>
        <v/>
      </c>
      <c r="F2090" t="str">
        <f>IFERROR(IF(D2090="","",VLOOKUP(D2090,CadProd!$A:$C,3,0)),"")</f>
        <v/>
      </c>
    </row>
    <row r="2091" spans="5:6" x14ac:dyDescent="0.3">
      <c r="E2091" t="str">
        <f>IFERROR(IF(D2091="","",VLOOKUP(D2091,CadProd!$A:$B,2,0)),"")</f>
        <v/>
      </c>
      <c r="F2091" t="str">
        <f>IFERROR(IF(D2091="","",VLOOKUP(D2091,CadProd!$A:$C,3,0)),"")</f>
        <v/>
      </c>
    </row>
    <row r="2092" spans="5:6" x14ac:dyDescent="0.3">
      <c r="E2092" t="str">
        <f>IFERROR(IF(D2092="","",VLOOKUP(D2092,CadProd!$A:$B,2,0)),"")</f>
        <v/>
      </c>
      <c r="F2092" t="str">
        <f>IFERROR(IF(D2092="","",VLOOKUP(D2092,CadProd!$A:$C,3,0)),"")</f>
        <v/>
      </c>
    </row>
    <row r="2093" spans="5:6" x14ac:dyDescent="0.3">
      <c r="E2093" t="str">
        <f>IFERROR(IF(D2093="","",VLOOKUP(D2093,CadProd!$A:$B,2,0)),"")</f>
        <v/>
      </c>
      <c r="F2093" t="str">
        <f>IFERROR(IF(D2093="","",VLOOKUP(D2093,CadProd!$A:$C,3,0)),"")</f>
        <v/>
      </c>
    </row>
    <row r="2094" spans="5:6" x14ac:dyDescent="0.3">
      <c r="E2094" t="str">
        <f>IFERROR(IF(D2094="","",VLOOKUP(D2094,CadProd!$A:$B,2,0)),"")</f>
        <v/>
      </c>
      <c r="F2094" t="str">
        <f>IFERROR(IF(D2094="","",VLOOKUP(D2094,CadProd!$A:$C,3,0)),"")</f>
        <v/>
      </c>
    </row>
    <row r="2095" spans="5:6" x14ac:dyDescent="0.3">
      <c r="E2095" t="str">
        <f>IFERROR(IF(D2095="","",VLOOKUP(D2095,CadProd!$A:$B,2,0)),"")</f>
        <v/>
      </c>
      <c r="F2095" t="str">
        <f>IFERROR(IF(D2095="","",VLOOKUP(D2095,CadProd!$A:$C,3,0)),"")</f>
        <v/>
      </c>
    </row>
    <row r="2096" spans="5:6" x14ac:dyDescent="0.3">
      <c r="E2096" t="str">
        <f>IFERROR(IF(D2096="","",VLOOKUP(D2096,CadProd!$A:$B,2,0)),"")</f>
        <v/>
      </c>
      <c r="F2096" t="str">
        <f>IFERROR(IF(D2096="","",VLOOKUP(D2096,CadProd!$A:$C,3,0)),"")</f>
        <v/>
      </c>
    </row>
    <row r="2097" spans="5:6" x14ac:dyDescent="0.3">
      <c r="E2097" t="str">
        <f>IFERROR(IF(D2097="","",VLOOKUP(D2097,CadProd!$A:$B,2,0)),"")</f>
        <v/>
      </c>
      <c r="F2097" t="str">
        <f>IFERROR(IF(D2097="","",VLOOKUP(D2097,CadProd!$A:$C,3,0)),"")</f>
        <v/>
      </c>
    </row>
    <row r="2098" spans="5:6" x14ac:dyDescent="0.3">
      <c r="E2098" t="str">
        <f>IFERROR(IF(D2098="","",VLOOKUP(D2098,CadProd!$A:$B,2,0)),"")</f>
        <v/>
      </c>
      <c r="F2098" t="str">
        <f>IFERROR(IF(D2098="","",VLOOKUP(D2098,CadProd!$A:$C,3,0)),"")</f>
        <v/>
      </c>
    </row>
    <row r="2099" spans="5:6" x14ac:dyDescent="0.3">
      <c r="E2099" t="str">
        <f>IFERROR(IF(D2099="","",VLOOKUP(D2099,CadProd!$A:$B,2,0)),"")</f>
        <v/>
      </c>
      <c r="F2099" t="str">
        <f>IFERROR(IF(D2099="","",VLOOKUP(D2099,CadProd!$A:$C,3,0)),"")</f>
        <v/>
      </c>
    </row>
    <row r="2100" spans="5:6" x14ac:dyDescent="0.3">
      <c r="E2100" t="str">
        <f>IFERROR(IF(D2100="","",VLOOKUP(D2100,CadProd!$A:$B,2,0)),"")</f>
        <v/>
      </c>
      <c r="F2100" t="str">
        <f>IFERROR(IF(D2100="","",VLOOKUP(D2100,CadProd!$A:$C,3,0)),"")</f>
        <v/>
      </c>
    </row>
    <row r="2101" spans="5:6" x14ac:dyDescent="0.3">
      <c r="E2101" t="str">
        <f>IFERROR(IF(D2101="","",VLOOKUP(D2101,CadProd!$A:$B,2,0)),"")</f>
        <v/>
      </c>
      <c r="F2101" t="str">
        <f>IFERROR(IF(D2101="","",VLOOKUP(D2101,CadProd!$A:$C,3,0)),"")</f>
        <v/>
      </c>
    </row>
    <row r="2102" spans="5:6" x14ac:dyDescent="0.3">
      <c r="E2102" t="str">
        <f>IFERROR(IF(D2102="","",VLOOKUP(D2102,CadProd!$A:$B,2,0)),"")</f>
        <v/>
      </c>
      <c r="F2102" t="str">
        <f>IFERROR(IF(D2102="","",VLOOKUP(D2102,CadProd!$A:$C,3,0)),"")</f>
        <v/>
      </c>
    </row>
    <row r="2103" spans="5:6" x14ac:dyDescent="0.3">
      <c r="E2103" t="str">
        <f>IFERROR(IF(D2103="","",VLOOKUP(D2103,CadProd!$A:$B,2,0)),"")</f>
        <v/>
      </c>
      <c r="F2103" t="str">
        <f>IFERROR(IF(D2103="","",VLOOKUP(D2103,CadProd!$A:$C,3,0)),"")</f>
        <v/>
      </c>
    </row>
    <row r="2104" spans="5:6" x14ac:dyDescent="0.3">
      <c r="E2104" t="str">
        <f>IFERROR(IF(D2104="","",VLOOKUP(D2104,CadProd!$A:$B,2,0)),"")</f>
        <v/>
      </c>
      <c r="F2104" t="str">
        <f>IFERROR(IF(D2104="","",VLOOKUP(D2104,CadProd!$A:$C,3,0)),"")</f>
        <v/>
      </c>
    </row>
    <row r="2105" spans="5:6" x14ac:dyDescent="0.3">
      <c r="E2105" t="str">
        <f>IFERROR(IF(D2105="","",VLOOKUP(D2105,CadProd!$A:$B,2,0)),"")</f>
        <v/>
      </c>
      <c r="F2105" t="str">
        <f>IFERROR(IF(D2105="","",VLOOKUP(D2105,CadProd!$A:$C,3,0)),"")</f>
        <v/>
      </c>
    </row>
    <row r="2106" spans="5:6" x14ac:dyDescent="0.3">
      <c r="E2106" t="str">
        <f>IFERROR(IF(D2106="","",VLOOKUP(D2106,CadProd!$A:$B,2,0)),"")</f>
        <v/>
      </c>
      <c r="F2106" t="str">
        <f>IFERROR(IF(D2106="","",VLOOKUP(D2106,CadProd!$A:$C,3,0)),"")</f>
        <v/>
      </c>
    </row>
    <row r="2107" spans="5:6" x14ac:dyDescent="0.3">
      <c r="E2107" t="str">
        <f>IFERROR(IF(D2107="","",VLOOKUP(D2107,CadProd!$A:$B,2,0)),"")</f>
        <v/>
      </c>
      <c r="F2107" t="str">
        <f>IFERROR(IF(D2107="","",VLOOKUP(D2107,CadProd!$A:$C,3,0)),"")</f>
        <v/>
      </c>
    </row>
    <row r="2108" spans="5:6" x14ac:dyDescent="0.3">
      <c r="E2108" t="str">
        <f>IFERROR(IF(D2108="","",VLOOKUP(D2108,CadProd!$A:$B,2,0)),"")</f>
        <v/>
      </c>
      <c r="F2108" t="str">
        <f>IFERROR(IF(D2108="","",VLOOKUP(D2108,CadProd!$A:$C,3,0)),"")</f>
        <v/>
      </c>
    </row>
    <row r="2109" spans="5:6" x14ac:dyDescent="0.3">
      <c r="E2109" t="str">
        <f>IFERROR(IF(D2109="","",VLOOKUP(D2109,CadProd!$A:$B,2,0)),"")</f>
        <v/>
      </c>
      <c r="F2109" t="str">
        <f>IFERROR(IF(D2109="","",VLOOKUP(D2109,CadProd!$A:$C,3,0)),"")</f>
        <v/>
      </c>
    </row>
    <row r="2110" spans="5:6" x14ac:dyDescent="0.3">
      <c r="E2110" t="str">
        <f>IFERROR(IF(D2110="","",VLOOKUP(D2110,CadProd!$A:$B,2,0)),"")</f>
        <v/>
      </c>
      <c r="F2110" t="str">
        <f>IFERROR(IF(D2110="","",VLOOKUP(D2110,CadProd!$A:$C,3,0)),"")</f>
        <v/>
      </c>
    </row>
    <row r="2111" spans="5:6" x14ac:dyDescent="0.3">
      <c r="E2111" t="str">
        <f>IFERROR(IF(D2111="","",VLOOKUP(D2111,CadProd!$A:$B,2,0)),"")</f>
        <v/>
      </c>
      <c r="F2111" t="str">
        <f>IFERROR(IF(D2111="","",VLOOKUP(D2111,CadProd!$A:$C,3,0)),"")</f>
        <v/>
      </c>
    </row>
    <row r="2112" spans="5:6" x14ac:dyDescent="0.3">
      <c r="E2112" t="str">
        <f>IFERROR(IF(D2112="","",VLOOKUP(D2112,CadProd!$A:$B,2,0)),"")</f>
        <v/>
      </c>
      <c r="F2112" t="str">
        <f>IFERROR(IF(D2112="","",VLOOKUP(D2112,CadProd!$A:$C,3,0)),"")</f>
        <v/>
      </c>
    </row>
    <row r="2113" spans="5:6" x14ac:dyDescent="0.3">
      <c r="E2113" t="str">
        <f>IFERROR(IF(D2113="","",VLOOKUP(D2113,CadProd!$A:$B,2,0)),"")</f>
        <v/>
      </c>
      <c r="F2113" t="str">
        <f>IFERROR(IF(D2113="","",VLOOKUP(D2113,CadProd!$A:$C,3,0)),"")</f>
        <v/>
      </c>
    </row>
    <row r="2114" spans="5:6" x14ac:dyDescent="0.3">
      <c r="E2114" t="str">
        <f>IFERROR(IF(D2114="","",VLOOKUP(D2114,CadProd!$A:$B,2,0)),"")</f>
        <v/>
      </c>
      <c r="F2114" t="str">
        <f>IFERROR(IF(D2114="","",VLOOKUP(D2114,CadProd!$A:$C,3,0)),"")</f>
        <v/>
      </c>
    </row>
    <row r="2115" spans="5:6" x14ac:dyDescent="0.3">
      <c r="E2115" t="str">
        <f>IFERROR(IF(D2115="","",VLOOKUP(D2115,CadProd!$A:$B,2,0)),"")</f>
        <v/>
      </c>
      <c r="F2115" t="str">
        <f>IFERROR(IF(D2115="","",VLOOKUP(D2115,CadProd!$A:$C,3,0)),"")</f>
        <v/>
      </c>
    </row>
    <row r="2116" spans="5:6" x14ac:dyDescent="0.3">
      <c r="E2116" t="str">
        <f>IFERROR(IF(D2116="","",VLOOKUP(D2116,CadProd!$A:$B,2,0)),"")</f>
        <v/>
      </c>
      <c r="F2116" t="str">
        <f>IFERROR(IF(D2116="","",VLOOKUP(D2116,CadProd!$A:$C,3,0)),"")</f>
        <v/>
      </c>
    </row>
    <row r="2117" spans="5:6" x14ac:dyDescent="0.3">
      <c r="E2117" t="str">
        <f>IFERROR(IF(D2117="","",VLOOKUP(D2117,CadProd!$A:$B,2,0)),"")</f>
        <v/>
      </c>
      <c r="F2117" t="str">
        <f>IFERROR(IF(D2117="","",VLOOKUP(D2117,CadProd!$A:$C,3,0)),"")</f>
        <v/>
      </c>
    </row>
    <row r="2118" spans="5:6" x14ac:dyDescent="0.3">
      <c r="E2118" t="str">
        <f>IFERROR(IF(D2118="","",VLOOKUP(D2118,CadProd!$A:$B,2,0)),"")</f>
        <v/>
      </c>
      <c r="F2118" t="str">
        <f>IFERROR(IF(D2118="","",VLOOKUP(D2118,CadProd!$A:$C,3,0)),"")</f>
        <v/>
      </c>
    </row>
    <row r="2119" spans="5:6" x14ac:dyDescent="0.3">
      <c r="E2119" t="str">
        <f>IFERROR(IF(D2119="","",VLOOKUP(D2119,CadProd!$A:$B,2,0)),"")</f>
        <v/>
      </c>
      <c r="F2119" t="str">
        <f>IFERROR(IF(D2119="","",VLOOKUP(D2119,CadProd!$A:$C,3,0)),"")</f>
        <v/>
      </c>
    </row>
    <row r="2120" spans="5:6" x14ac:dyDescent="0.3">
      <c r="E2120" t="str">
        <f>IFERROR(IF(D2120="","",VLOOKUP(D2120,CadProd!$A:$B,2,0)),"")</f>
        <v/>
      </c>
      <c r="F2120" t="str">
        <f>IFERROR(IF(D2120="","",VLOOKUP(D2120,CadProd!$A:$C,3,0)),"")</f>
        <v/>
      </c>
    </row>
    <row r="2121" spans="5:6" x14ac:dyDescent="0.3">
      <c r="E2121" t="str">
        <f>IFERROR(IF(D2121="","",VLOOKUP(D2121,CadProd!$A:$B,2,0)),"")</f>
        <v/>
      </c>
      <c r="F2121" t="str">
        <f>IFERROR(IF(D2121="","",VLOOKUP(D2121,CadProd!$A:$C,3,0)),"")</f>
        <v/>
      </c>
    </row>
    <row r="2122" spans="5:6" x14ac:dyDescent="0.3">
      <c r="E2122" t="str">
        <f>IFERROR(IF(D2122="","",VLOOKUP(D2122,CadProd!$A:$B,2,0)),"")</f>
        <v/>
      </c>
      <c r="F2122" t="str">
        <f>IFERROR(IF(D2122="","",VLOOKUP(D2122,CadProd!$A:$C,3,0)),"")</f>
        <v/>
      </c>
    </row>
    <row r="2123" spans="5:6" x14ac:dyDescent="0.3">
      <c r="E2123" t="str">
        <f>IFERROR(IF(D2123="","",VLOOKUP(D2123,CadProd!$A:$B,2,0)),"")</f>
        <v/>
      </c>
      <c r="F2123" t="str">
        <f>IFERROR(IF(D2123="","",VLOOKUP(D2123,CadProd!$A:$C,3,0)),"")</f>
        <v/>
      </c>
    </row>
    <row r="2124" spans="5:6" x14ac:dyDescent="0.3">
      <c r="E2124" t="str">
        <f>IFERROR(IF(D2124="","",VLOOKUP(D2124,CadProd!$A:$B,2,0)),"")</f>
        <v/>
      </c>
      <c r="F2124" t="str">
        <f>IFERROR(IF(D2124="","",VLOOKUP(D2124,CadProd!$A:$C,3,0)),"")</f>
        <v/>
      </c>
    </row>
    <row r="2125" spans="5:6" x14ac:dyDescent="0.3">
      <c r="E2125" t="str">
        <f>IFERROR(IF(D2125="","",VLOOKUP(D2125,CadProd!$A:$B,2,0)),"")</f>
        <v/>
      </c>
      <c r="F2125" t="str">
        <f>IFERROR(IF(D2125="","",VLOOKUP(D2125,CadProd!$A:$C,3,0)),"")</f>
        <v/>
      </c>
    </row>
    <row r="2126" spans="5:6" x14ac:dyDescent="0.3">
      <c r="E2126" t="str">
        <f>IFERROR(IF(D2126="","",VLOOKUP(D2126,CadProd!$A:$B,2,0)),"")</f>
        <v/>
      </c>
      <c r="F2126" t="str">
        <f>IFERROR(IF(D2126="","",VLOOKUP(D2126,CadProd!$A:$C,3,0)),"")</f>
        <v/>
      </c>
    </row>
    <row r="2127" spans="5:6" x14ac:dyDescent="0.3">
      <c r="E2127" t="str">
        <f>IFERROR(IF(D2127="","",VLOOKUP(D2127,CadProd!$A:$B,2,0)),"")</f>
        <v/>
      </c>
      <c r="F2127" t="str">
        <f>IFERROR(IF(D2127="","",VLOOKUP(D2127,CadProd!$A:$C,3,0)),"")</f>
        <v/>
      </c>
    </row>
    <row r="2128" spans="5:6" x14ac:dyDescent="0.3">
      <c r="E2128" t="str">
        <f>IFERROR(IF(D2128="","",VLOOKUP(D2128,CadProd!$A:$B,2,0)),"")</f>
        <v/>
      </c>
      <c r="F2128" t="str">
        <f>IFERROR(IF(D2128="","",VLOOKUP(D2128,CadProd!$A:$C,3,0)),"")</f>
        <v/>
      </c>
    </row>
    <row r="2129" spans="5:6" x14ac:dyDescent="0.3">
      <c r="E2129" t="str">
        <f>IFERROR(IF(D2129="","",VLOOKUP(D2129,CadProd!$A:$B,2,0)),"")</f>
        <v/>
      </c>
      <c r="F2129" t="str">
        <f>IFERROR(IF(D2129="","",VLOOKUP(D2129,CadProd!$A:$C,3,0)),"")</f>
        <v/>
      </c>
    </row>
    <row r="2130" spans="5:6" x14ac:dyDescent="0.3">
      <c r="E2130" t="str">
        <f>IFERROR(IF(D2130="","",VLOOKUP(D2130,CadProd!$A:$B,2,0)),"")</f>
        <v/>
      </c>
      <c r="F2130" t="str">
        <f>IFERROR(IF(D2130="","",VLOOKUP(D2130,CadProd!$A:$C,3,0)),"")</f>
        <v/>
      </c>
    </row>
    <row r="2131" spans="5:6" x14ac:dyDescent="0.3">
      <c r="E2131" t="str">
        <f>IFERROR(IF(D2131="","",VLOOKUP(D2131,CadProd!$A:$B,2,0)),"")</f>
        <v/>
      </c>
      <c r="F2131" t="str">
        <f>IFERROR(IF(D2131="","",VLOOKUP(D2131,CadProd!$A:$C,3,0)),"")</f>
        <v/>
      </c>
    </row>
    <row r="2132" spans="5:6" x14ac:dyDescent="0.3">
      <c r="E2132" t="str">
        <f>IFERROR(IF(D2132="","",VLOOKUP(D2132,CadProd!$A:$B,2,0)),"")</f>
        <v/>
      </c>
      <c r="F2132" t="str">
        <f>IFERROR(IF(D2132="","",VLOOKUP(D2132,CadProd!$A:$C,3,0)),"")</f>
        <v/>
      </c>
    </row>
    <row r="2133" spans="5:6" x14ac:dyDescent="0.3">
      <c r="E2133" t="str">
        <f>IFERROR(IF(D2133="","",VLOOKUP(D2133,CadProd!$A:$B,2,0)),"")</f>
        <v/>
      </c>
      <c r="F2133" t="str">
        <f>IFERROR(IF(D2133="","",VLOOKUP(D2133,CadProd!$A:$C,3,0)),"")</f>
        <v/>
      </c>
    </row>
    <row r="2134" spans="5:6" x14ac:dyDescent="0.3">
      <c r="E2134" t="str">
        <f>IFERROR(IF(D2134="","",VLOOKUP(D2134,CadProd!$A:$B,2,0)),"")</f>
        <v/>
      </c>
      <c r="F2134" t="str">
        <f>IFERROR(IF(D2134="","",VLOOKUP(D2134,CadProd!$A:$C,3,0)),"")</f>
        <v/>
      </c>
    </row>
    <row r="2135" spans="5:6" x14ac:dyDescent="0.3">
      <c r="E2135" t="str">
        <f>IFERROR(IF(D2135="","",VLOOKUP(D2135,CadProd!$A:$B,2,0)),"")</f>
        <v/>
      </c>
      <c r="F2135" t="str">
        <f>IFERROR(IF(D2135="","",VLOOKUP(D2135,CadProd!$A:$C,3,0)),"")</f>
        <v/>
      </c>
    </row>
    <row r="2136" spans="5:6" x14ac:dyDescent="0.3">
      <c r="E2136" t="str">
        <f>IFERROR(IF(D2136="","",VLOOKUP(D2136,CadProd!$A:$B,2,0)),"")</f>
        <v/>
      </c>
      <c r="F2136" t="str">
        <f>IFERROR(IF(D2136="","",VLOOKUP(D2136,CadProd!$A:$C,3,0)),"")</f>
        <v/>
      </c>
    </row>
    <row r="2137" spans="5:6" x14ac:dyDescent="0.3">
      <c r="E2137" t="str">
        <f>IFERROR(IF(D2137="","",VLOOKUP(D2137,CadProd!$A:$B,2,0)),"")</f>
        <v/>
      </c>
      <c r="F2137" t="str">
        <f>IFERROR(IF(D2137="","",VLOOKUP(D2137,CadProd!$A:$C,3,0)),"")</f>
        <v/>
      </c>
    </row>
    <row r="2138" spans="5:6" x14ac:dyDescent="0.3">
      <c r="E2138" t="str">
        <f>IFERROR(IF(D2138="","",VLOOKUP(D2138,CadProd!$A:$B,2,0)),"")</f>
        <v/>
      </c>
      <c r="F2138" t="str">
        <f>IFERROR(IF(D2138="","",VLOOKUP(D2138,CadProd!$A:$C,3,0)),"")</f>
        <v/>
      </c>
    </row>
    <row r="2139" spans="5:6" x14ac:dyDescent="0.3">
      <c r="E2139" t="str">
        <f>IFERROR(IF(D2139="","",VLOOKUP(D2139,CadProd!$A:$B,2,0)),"")</f>
        <v/>
      </c>
      <c r="F2139" t="str">
        <f>IFERROR(IF(D2139="","",VLOOKUP(D2139,CadProd!$A:$C,3,0)),"")</f>
        <v/>
      </c>
    </row>
    <row r="2140" spans="5:6" x14ac:dyDescent="0.3">
      <c r="E2140" t="str">
        <f>IFERROR(IF(D2140="","",VLOOKUP(D2140,CadProd!$A:$B,2,0)),"")</f>
        <v/>
      </c>
      <c r="F2140" t="str">
        <f>IFERROR(IF(D2140="","",VLOOKUP(D2140,CadProd!$A:$C,3,0)),"")</f>
        <v/>
      </c>
    </row>
    <row r="2141" spans="5:6" x14ac:dyDescent="0.3">
      <c r="E2141" t="str">
        <f>IFERROR(IF(D2141="","",VLOOKUP(D2141,CadProd!$A:$B,2,0)),"")</f>
        <v/>
      </c>
      <c r="F2141" t="str">
        <f>IFERROR(IF(D2141="","",VLOOKUP(D2141,CadProd!$A:$C,3,0)),"")</f>
        <v/>
      </c>
    </row>
    <row r="2142" spans="5:6" x14ac:dyDescent="0.3">
      <c r="E2142" t="str">
        <f>IFERROR(IF(D2142="","",VLOOKUP(D2142,CadProd!$A:$B,2,0)),"")</f>
        <v/>
      </c>
      <c r="F2142" t="str">
        <f>IFERROR(IF(D2142="","",VLOOKUP(D2142,CadProd!$A:$C,3,0)),"")</f>
        <v/>
      </c>
    </row>
    <row r="2143" spans="5:6" x14ac:dyDescent="0.3">
      <c r="E2143" t="str">
        <f>IFERROR(IF(D2143="","",VLOOKUP(D2143,CadProd!$A:$B,2,0)),"")</f>
        <v/>
      </c>
      <c r="F2143" t="str">
        <f>IFERROR(IF(D2143="","",VLOOKUP(D2143,CadProd!$A:$C,3,0)),"")</f>
        <v/>
      </c>
    </row>
    <row r="2144" spans="5:6" x14ac:dyDescent="0.3">
      <c r="E2144" t="str">
        <f>IFERROR(IF(D2144="","",VLOOKUP(D2144,CadProd!$A:$B,2,0)),"")</f>
        <v/>
      </c>
      <c r="F2144" t="str">
        <f>IFERROR(IF(D2144="","",VLOOKUP(D2144,CadProd!$A:$C,3,0)),"")</f>
        <v/>
      </c>
    </row>
    <row r="2145" spans="5:6" x14ac:dyDescent="0.3">
      <c r="E2145" t="str">
        <f>IFERROR(IF(D2145="","",VLOOKUP(D2145,CadProd!$A:$B,2,0)),"")</f>
        <v/>
      </c>
      <c r="F2145" t="str">
        <f>IFERROR(IF(D2145="","",VLOOKUP(D2145,CadProd!$A:$C,3,0)),"")</f>
        <v/>
      </c>
    </row>
    <row r="2146" spans="5:6" x14ac:dyDescent="0.3">
      <c r="E2146" t="str">
        <f>IFERROR(IF(D2146="","",VLOOKUP(D2146,CadProd!$A:$B,2,0)),"")</f>
        <v/>
      </c>
      <c r="F2146" t="str">
        <f>IFERROR(IF(D2146="","",VLOOKUP(D2146,CadProd!$A:$C,3,0)),"")</f>
        <v/>
      </c>
    </row>
    <row r="2147" spans="5:6" x14ac:dyDescent="0.3">
      <c r="E2147" t="str">
        <f>IFERROR(IF(D2147="","",VLOOKUP(D2147,CadProd!$A:$B,2,0)),"")</f>
        <v/>
      </c>
      <c r="F2147" t="str">
        <f>IFERROR(IF(D2147="","",VLOOKUP(D2147,CadProd!$A:$C,3,0)),"")</f>
        <v/>
      </c>
    </row>
    <row r="2148" spans="5:6" x14ac:dyDescent="0.3">
      <c r="E2148" t="str">
        <f>IFERROR(IF(D2148="","",VLOOKUP(D2148,CadProd!$A:$B,2,0)),"")</f>
        <v/>
      </c>
      <c r="F2148" t="str">
        <f>IFERROR(IF(D2148="","",VLOOKUP(D2148,CadProd!$A:$C,3,0)),"")</f>
        <v/>
      </c>
    </row>
    <row r="2149" spans="5:6" x14ac:dyDescent="0.3">
      <c r="E2149" t="str">
        <f>IFERROR(IF(D2149="","",VLOOKUP(D2149,CadProd!$A:$B,2,0)),"")</f>
        <v/>
      </c>
      <c r="F2149" t="str">
        <f>IFERROR(IF(D2149="","",VLOOKUP(D2149,CadProd!$A:$C,3,0)),"")</f>
        <v/>
      </c>
    </row>
    <row r="2150" spans="5:6" x14ac:dyDescent="0.3">
      <c r="E2150" t="str">
        <f>IFERROR(IF(D2150="","",VLOOKUP(D2150,CadProd!$A:$B,2,0)),"")</f>
        <v/>
      </c>
      <c r="F2150" t="str">
        <f>IFERROR(IF(D2150="","",VLOOKUP(D2150,CadProd!$A:$C,3,0)),"")</f>
        <v/>
      </c>
    </row>
    <row r="2151" spans="5:6" x14ac:dyDescent="0.3">
      <c r="E2151" t="str">
        <f>IFERROR(IF(D2151="","",VLOOKUP(D2151,CadProd!$A:$B,2,0)),"")</f>
        <v/>
      </c>
      <c r="F2151" t="str">
        <f>IFERROR(IF(D2151="","",VLOOKUP(D2151,CadProd!$A:$C,3,0)),"")</f>
        <v/>
      </c>
    </row>
    <row r="2152" spans="5:6" x14ac:dyDescent="0.3">
      <c r="E2152" t="str">
        <f>IFERROR(IF(D2152="","",VLOOKUP(D2152,CadProd!$A:$B,2,0)),"")</f>
        <v/>
      </c>
      <c r="F2152" t="str">
        <f>IFERROR(IF(D2152="","",VLOOKUP(D2152,CadProd!$A:$C,3,0)),"")</f>
        <v/>
      </c>
    </row>
    <row r="2153" spans="5:6" x14ac:dyDescent="0.3">
      <c r="E2153" t="str">
        <f>IFERROR(IF(D2153="","",VLOOKUP(D2153,CadProd!$A:$B,2,0)),"")</f>
        <v/>
      </c>
      <c r="F2153" t="str">
        <f>IFERROR(IF(D2153="","",VLOOKUP(D2153,CadProd!$A:$C,3,0)),"")</f>
        <v/>
      </c>
    </row>
    <row r="2154" spans="5:6" x14ac:dyDescent="0.3">
      <c r="E2154" t="str">
        <f>IFERROR(IF(D2154="","",VLOOKUP(D2154,CadProd!$A:$B,2,0)),"")</f>
        <v/>
      </c>
      <c r="F2154" t="str">
        <f>IFERROR(IF(D2154="","",VLOOKUP(D2154,CadProd!$A:$C,3,0)),"")</f>
        <v/>
      </c>
    </row>
    <row r="2155" spans="5:6" x14ac:dyDescent="0.3">
      <c r="E2155" t="str">
        <f>IFERROR(IF(D2155="","",VLOOKUP(D2155,CadProd!$A:$B,2,0)),"")</f>
        <v/>
      </c>
      <c r="F2155" t="str">
        <f>IFERROR(IF(D2155="","",VLOOKUP(D2155,CadProd!$A:$C,3,0)),"")</f>
        <v/>
      </c>
    </row>
    <row r="2156" spans="5:6" x14ac:dyDescent="0.3">
      <c r="E2156" t="str">
        <f>IFERROR(IF(D2156="","",VLOOKUP(D2156,CadProd!$A:$B,2,0)),"")</f>
        <v/>
      </c>
      <c r="F2156" t="str">
        <f>IFERROR(IF(D2156="","",VLOOKUP(D2156,CadProd!$A:$C,3,0)),"")</f>
        <v/>
      </c>
    </row>
    <row r="2157" spans="5:6" x14ac:dyDescent="0.3">
      <c r="E2157" t="str">
        <f>IFERROR(IF(D2157="","",VLOOKUP(D2157,CadProd!$A:$B,2,0)),"")</f>
        <v/>
      </c>
      <c r="F2157" t="str">
        <f>IFERROR(IF(D2157="","",VLOOKUP(D2157,CadProd!$A:$C,3,0)),"")</f>
        <v/>
      </c>
    </row>
    <row r="2158" spans="5:6" x14ac:dyDescent="0.3">
      <c r="E2158" t="str">
        <f>IFERROR(IF(D2158="","",VLOOKUP(D2158,CadProd!$A:$B,2,0)),"")</f>
        <v/>
      </c>
      <c r="F2158" t="str">
        <f>IFERROR(IF(D2158="","",VLOOKUP(D2158,CadProd!$A:$C,3,0)),"")</f>
        <v/>
      </c>
    </row>
    <row r="2159" spans="5:6" x14ac:dyDescent="0.3">
      <c r="E2159" t="str">
        <f>IFERROR(IF(D2159="","",VLOOKUP(D2159,CadProd!$A:$B,2,0)),"")</f>
        <v/>
      </c>
      <c r="F2159" t="str">
        <f>IFERROR(IF(D2159="","",VLOOKUP(D2159,CadProd!$A:$C,3,0)),"")</f>
        <v/>
      </c>
    </row>
    <row r="2160" spans="5:6" x14ac:dyDescent="0.3">
      <c r="E2160" t="str">
        <f>IFERROR(IF(D2160="","",VLOOKUP(D2160,CadProd!$A:$B,2,0)),"")</f>
        <v/>
      </c>
      <c r="F2160" t="str">
        <f>IFERROR(IF(D2160="","",VLOOKUP(D2160,CadProd!$A:$C,3,0)),"")</f>
        <v/>
      </c>
    </row>
    <row r="2161" spans="5:6" x14ac:dyDescent="0.3">
      <c r="E2161" t="str">
        <f>IFERROR(IF(D2161="","",VLOOKUP(D2161,CadProd!$A:$B,2,0)),"")</f>
        <v/>
      </c>
      <c r="F2161" t="str">
        <f>IFERROR(IF(D2161="","",VLOOKUP(D2161,CadProd!$A:$C,3,0)),"")</f>
        <v/>
      </c>
    </row>
    <row r="2162" spans="5:6" x14ac:dyDescent="0.3">
      <c r="E2162" t="str">
        <f>IFERROR(IF(D2162="","",VLOOKUP(D2162,CadProd!$A:$B,2,0)),"")</f>
        <v/>
      </c>
      <c r="F2162" t="str">
        <f>IFERROR(IF(D2162="","",VLOOKUP(D2162,CadProd!$A:$C,3,0)),"")</f>
        <v/>
      </c>
    </row>
    <row r="2163" spans="5:6" x14ac:dyDescent="0.3">
      <c r="E2163" t="str">
        <f>IFERROR(IF(D2163="","",VLOOKUP(D2163,CadProd!$A:$B,2,0)),"")</f>
        <v/>
      </c>
      <c r="F2163" t="str">
        <f>IFERROR(IF(D2163="","",VLOOKUP(D2163,CadProd!$A:$C,3,0)),"")</f>
        <v/>
      </c>
    </row>
    <row r="2164" spans="5:6" x14ac:dyDescent="0.3">
      <c r="E2164" t="str">
        <f>IFERROR(IF(D2164="","",VLOOKUP(D2164,CadProd!$A:$B,2,0)),"")</f>
        <v/>
      </c>
      <c r="F2164" t="str">
        <f>IFERROR(IF(D2164="","",VLOOKUP(D2164,CadProd!$A:$C,3,0)),"")</f>
        <v/>
      </c>
    </row>
    <row r="2165" spans="5:6" x14ac:dyDescent="0.3">
      <c r="E2165" t="str">
        <f>IFERROR(IF(D2165="","",VLOOKUP(D2165,CadProd!$A:$B,2,0)),"")</f>
        <v/>
      </c>
      <c r="F2165" t="str">
        <f>IFERROR(IF(D2165="","",VLOOKUP(D2165,CadProd!$A:$C,3,0)),"")</f>
        <v/>
      </c>
    </row>
    <row r="2166" spans="5:6" x14ac:dyDescent="0.3">
      <c r="E2166" t="str">
        <f>IFERROR(IF(D2166="","",VLOOKUP(D2166,CadProd!$A:$B,2,0)),"")</f>
        <v/>
      </c>
      <c r="F2166" t="str">
        <f>IFERROR(IF(D2166="","",VLOOKUP(D2166,CadProd!$A:$C,3,0)),"")</f>
        <v/>
      </c>
    </row>
    <row r="2167" spans="5:6" x14ac:dyDescent="0.3">
      <c r="E2167" t="str">
        <f>IFERROR(IF(D2167="","",VLOOKUP(D2167,CadProd!$A:$B,2,0)),"")</f>
        <v/>
      </c>
      <c r="F2167" t="str">
        <f>IFERROR(IF(D2167="","",VLOOKUP(D2167,CadProd!$A:$C,3,0)),"")</f>
        <v/>
      </c>
    </row>
    <row r="2168" spans="5:6" x14ac:dyDescent="0.3">
      <c r="E2168" t="str">
        <f>IFERROR(IF(D2168="","",VLOOKUP(D2168,CadProd!$A:$B,2,0)),"")</f>
        <v/>
      </c>
      <c r="F2168" t="str">
        <f>IFERROR(IF(D2168="","",VLOOKUP(D2168,CadProd!$A:$C,3,0)),"")</f>
        <v/>
      </c>
    </row>
    <row r="2169" spans="5:6" x14ac:dyDescent="0.3">
      <c r="E2169" t="str">
        <f>IFERROR(IF(D2169="","",VLOOKUP(D2169,CadProd!$A:$B,2,0)),"")</f>
        <v/>
      </c>
      <c r="F2169" t="str">
        <f>IFERROR(IF(D2169="","",VLOOKUP(D2169,CadProd!$A:$C,3,0)),"")</f>
        <v/>
      </c>
    </row>
    <row r="2170" spans="5:6" x14ac:dyDescent="0.3">
      <c r="E2170" t="str">
        <f>IFERROR(IF(D2170="","",VLOOKUP(D2170,CadProd!$A:$B,2,0)),"")</f>
        <v/>
      </c>
      <c r="F2170" t="str">
        <f>IFERROR(IF(D2170="","",VLOOKUP(D2170,CadProd!$A:$C,3,0)),"")</f>
        <v/>
      </c>
    </row>
    <row r="2171" spans="5:6" x14ac:dyDescent="0.3">
      <c r="E2171" t="str">
        <f>IFERROR(IF(D2171="","",VLOOKUP(D2171,CadProd!$A:$B,2,0)),"")</f>
        <v/>
      </c>
      <c r="F2171" t="str">
        <f>IFERROR(IF(D2171="","",VLOOKUP(D2171,CadProd!$A:$C,3,0)),"")</f>
        <v/>
      </c>
    </row>
    <row r="2172" spans="5:6" x14ac:dyDescent="0.3">
      <c r="E2172" t="str">
        <f>IFERROR(IF(D2172="","",VLOOKUP(D2172,CadProd!$A:$B,2,0)),"")</f>
        <v/>
      </c>
      <c r="F2172" t="str">
        <f>IFERROR(IF(D2172="","",VLOOKUP(D2172,CadProd!$A:$C,3,0)),"")</f>
        <v/>
      </c>
    </row>
    <row r="2173" spans="5:6" x14ac:dyDescent="0.3">
      <c r="E2173" t="str">
        <f>IFERROR(IF(D2173="","",VLOOKUP(D2173,CadProd!$A:$B,2,0)),"")</f>
        <v/>
      </c>
      <c r="F2173" t="str">
        <f>IFERROR(IF(D2173="","",VLOOKUP(D2173,CadProd!$A:$C,3,0)),"")</f>
        <v/>
      </c>
    </row>
    <row r="2174" spans="5:6" x14ac:dyDescent="0.3">
      <c r="E2174" t="str">
        <f>IFERROR(IF(D2174="","",VLOOKUP(D2174,CadProd!$A:$B,2,0)),"")</f>
        <v/>
      </c>
      <c r="F2174" t="str">
        <f>IFERROR(IF(D2174="","",VLOOKUP(D2174,CadProd!$A:$C,3,0)),"")</f>
        <v/>
      </c>
    </row>
    <row r="2175" spans="5:6" x14ac:dyDescent="0.3">
      <c r="E2175" t="str">
        <f>IFERROR(IF(D2175="","",VLOOKUP(D2175,CadProd!$A:$B,2,0)),"")</f>
        <v/>
      </c>
      <c r="F2175" t="str">
        <f>IFERROR(IF(D2175="","",VLOOKUP(D2175,CadProd!$A:$C,3,0)),"")</f>
        <v/>
      </c>
    </row>
    <row r="2176" spans="5:6" x14ac:dyDescent="0.3">
      <c r="E2176" t="str">
        <f>IFERROR(IF(D2176="","",VLOOKUP(D2176,CadProd!$A:$B,2,0)),"")</f>
        <v/>
      </c>
      <c r="F2176" t="str">
        <f>IFERROR(IF(D2176="","",VLOOKUP(D2176,CadProd!$A:$C,3,0)),"")</f>
        <v/>
      </c>
    </row>
    <row r="2177" spans="5:6" x14ac:dyDescent="0.3">
      <c r="E2177" t="str">
        <f>IFERROR(IF(D2177="","",VLOOKUP(D2177,CadProd!$A:$B,2,0)),"")</f>
        <v/>
      </c>
      <c r="F2177" t="str">
        <f>IFERROR(IF(D2177="","",VLOOKUP(D2177,CadProd!$A:$C,3,0)),"")</f>
        <v/>
      </c>
    </row>
    <row r="2178" spans="5:6" x14ac:dyDescent="0.3">
      <c r="E2178" t="str">
        <f>IFERROR(IF(D2178="","",VLOOKUP(D2178,CadProd!$A:$B,2,0)),"")</f>
        <v/>
      </c>
      <c r="F2178" t="str">
        <f>IFERROR(IF(D2178="","",VLOOKUP(D2178,CadProd!$A:$C,3,0)),"")</f>
        <v/>
      </c>
    </row>
    <row r="2179" spans="5:6" x14ac:dyDescent="0.3">
      <c r="E2179" t="str">
        <f>IFERROR(IF(D2179="","",VLOOKUP(D2179,CadProd!$A:$B,2,0)),"")</f>
        <v/>
      </c>
      <c r="F2179" t="str">
        <f>IFERROR(IF(D2179="","",VLOOKUP(D2179,CadProd!$A:$C,3,0)),"")</f>
        <v/>
      </c>
    </row>
    <row r="2180" spans="5:6" x14ac:dyDescent="0.3">
      <c r="E2180" t="str">
        <f>IFERROR(IF(D2180="","",VLOOKUP(D2180,CadProd!$A:$B,2,0)),"")</f>
        <v/>
      </c>
      <c r="F2180" t="str">
        <f>IFERROR(IF(D2180="","",VLOOKUP(D2180,CadProd!$A:$C,3,0)),"")</f>
        <v/>
      </c>
    </row>
    <row r="2181" spans="5:6" x14ac:dyDescent="0.3">
      <c r="E2181" t="str">
        <f>IFERROR(IF(D2181="","",VLOOKUP(D2181,CadProd!$A:$B,2,0)),"")</f>
        <v/>
      </c>
      <c r="F2181" t="str">
        <f>IFERROR(IF(D2181="","",VLOOKUP(D2181,CadProd!$A:$C,3,0)),"")</f>
        <v/>
      </c>
    </row>
    <row r="2182" spans="5:6" x14ac:dyDescent="0.3">
      <c r="E2182" t="str">
        <f>IFERROR(IF(D2182="","",VLOOKUP(D2182,CadProd!$A:$B,2,0)),"")</f>
        <v/>
      </c>
      <c r="F2182" t="str">
        <f>IFERROR(IF(D2182="","",VLOOKUP(D2182,CadProd!$A:$C,3,0)),"")</f>
        <v/>
      </c>
    </row>
    <row r="2183" spans="5:6" x14ac:dyDescent="0.3">
      <c r="E2183" t="str">
        <f>IFERROR(IF(D2183="","",VLOOKUP(D2183,CadProd!$A:$B,2,0)),"")</f>
        <v/>
      </c>
      <c r="F2183" t="str">
        <f>IFERROR(IF(D2183="","",VLOOKUP(D2183,CadProd!$A:$C,3,0)),"")</f>
        <v/>
      </c>
    </row>
    <row r="2184" spans="5:6" x14ac:dyDescent="0.3">
      <c r="E2184" t="str">
        <f>IFERROR(IF(D2184="","",VLOOKUP(D2184,CadProd!$A:$B,2,0)),"")</f>
        <v/>
      </c>
      <c r="F2184" t="str">
        <f>IFERROR(IF(D2184="","",VLOOKUP(D2184,CadProd!$A:$C,3,0)),"")</f>
        <v/>
      </c>
    </row>
    <row r="2185" spans="5:6" x14ac:dyDescent="0.3">
      <c r="E2185" t="str">
        <f>IFERROR(IF(D2185="","",VLOOKUP(D2185,CadProd!$A:$B,2,0)),"")</f>
        <v/>
      </c>
      <c r="F2185" t="str">
        <f>IFERROR(IF(D2185="","",VLOOKUP(D2185,CadProd!$A:$C,3,0)),"")</f>
        <v/>
      </c>
    </row>
    <row r="2186" spans="5:6" x14ac:dyDescent="0.3">
      <c r="E2186" t="str">
        <f>IFERROR(IF(D2186="","",VLOOKUP(D2186,CadProd!$A:$B,2,0)),"")</f>
        <v/>
      </c>
      <c r="F2186" t="str">
        <f>IFERROR(IF(D2186="","",VLOOKUP(D2186,CadProd!$A:$C,3,0)),"")</f>
        <v/>
      </c>
    </row>
    <row r="2187" spans="5:6" x14ac:dyDescent="0.3">
      <c r="E2187" t="str">
        <f>IFERROR(IF(D2187="","",VLOOKUP(D2187,CadProd!$A:$B,2,0)),"")</f>
        <v/>
      </c>
      <c r="F2187" t="str">
        <f>IFERROR(IF(D2187="","",VLOOKUP(D2187,CadProd!$A:$C,3,0)),"")</f>
        <v/>
      </c>
    </row>
    <row r="2188" spans="5:6" x14ac:dyDescent="0.3">
      <c r="E2188" t="str">
        <f>IFERROR(IF(D2188="","",VLOOKUP(D2188,CadProd!$A:$B,2,0)),"")</f>
        <v/>
      </c>
      <c r="F2188" t="str">
        <f>IFERROR(IF(D2188="","",VLOOKUP(D2188,CadProd!$A:$C,3,0)),"")</f>
        <v/>
      </c>
    </row>
    <row r="2189" spans="5:6" x14ac:dyDescent="0.3">
      <c r="E2189" t="str">
        <f>IFERROR(IF(D2189="","",VLOOKUP(D2189,CadProd!$A:$B,2,0)),"")</f>
        <v/>
      </c>
      <c r="F2189" t="str">
        <f>IFERROR(IF(D2189="","",VLOOKUP(D2189,CadProd!$A:$C,3,0)),"")</f>
        <v/>
      </c>
    </row>
    <row r="2190" spans="5:6" x14ac:dyDescent="0.3">
      <c r="E2190" t="str">
        <f>IFERROR(IF(D2190="","",VLOOKUP(D2190,CadProd!$A:$B,2,0)),"")</f>
        <v/>
      </c>
      <c r="F2190" t="str">
        <f>IFERROR(IF(D2190="","",VLOOKUP(D2190,CadProd!$A:$C,3,0)),"")</f>
        <v/>
      </c>
    </row>
    <row r="2191" spans="5:6" x14ac:dyDescent="0.3">
      <c r="E2191" t="str">
        <f>IFERROR(IF(D2191="","",VLOOKUP(D2191,CadProd!$A:$B,2,0)),"")</f>
        <v/>
      </c>
      <c r="F2191" t="str">
        <f>IFERROR(IF(D2191="","",VLOOKUP(D2191,CadProd!$A:$C,3,0)),"")</f>
        <v/>
      </c>
    </row>
    <row r="2192" spans="5:6" x14ac:dyDescent="0.3">
      <c r="E2192" t="str">
        <f>IFERROR(IF(D2192="","",VLOOKUP(D2192,CadProd!$A:$B,2,0)),"")</f>
        <v/>
      </c>
      <c r="F2192" t="str">
        <f>IFERROR(IF(D2192="","",VLOOKUP(D2192,CadProd!$A:$C,3,0)),"")</f>
        <v/>
      </c>
    </row>
    <row r="2193" spans="5:6" x14ac:dyDescent="0.3">
      <c r="E2193" t="str">
        <f>IFERROR(IF(D2193="","",VLOOKUP(D2193,CadProd!$A:$B,2,0)),"")</f>
        <v/>
      </c>
      <c r="F2193" t="str">
        <f>IFERROR(IF(D2193="","",VLOOKUP(D2193,CadProd!$A:$C,3,0)),"")</f>
        <v/>
      </c>
    </row>
    <row r="2194" spans="5:6" x14ac:dyDescent="0.3">
      <c r="E2194" t="str">
        <f>IFERROR(IF(D2194="","",VLOOKUP(D2194,CadProd!$A:$B,2,0)),"")</f>
        <v/>
      </c>
      <c r="F2194" t="str">
        <f>IFERROR(IF(D2194="","",VLOOKUP(D2194,CadProd!$A:$C,3,0)),"")</f>
        <v/>
      </c>
    </row>
    <row r="2195" spans="5:6" x14ac:dyDescent="0.3">
      <c r="E2195" t="str">
        <f>IFERROR(IF(D2195="","",VLOOKUP(D2195,CadProd!$A:$B,2,0)),"")</f>
        <v/>
      </c>
      <c r="F2195" t="str">
        <f>IFERROR(IF(D2195="","",VLOOKUP(D2195,CadProd!$A:$C,3,0)),"")</f>
        <v/>
      </c>
    </row>
    <row r="2196" spans="5:6" x14ac:dyDescent="0.3">
      <c r="E2196" t="str">
        <f>IFERROR(IF(D2196="","",VLOOKUP(D2196,CadProd!$A:$B,2,0)),"")</f>
        <v/>
      </c>
      <c r="F2196" t="str">
        <f>IFERROR(IF(D2196="","",VLOOKUP(D2196,CadProd!$A:$C,3,0)),"")</f>
        <v/>
      </c>
    </row>
    <row r="2197" spans="5:6" x14ac:dyDescent="0.3">
      <c r="E2197" t="str">
        <f>IFERROR(IF(D2197="","",VLOOKUP(D2197,CadProd!$A:$B,2,0)),"")</f>
        <v/>
      </c>
      <c r="F2197" t="str">
        <f>IFERROR(IF(D2197="","",VLOOKUP(D2197,CadProd!$A:$C,3,0)),"")</f>
        <v/>
      </c>
    </row>
    <row r="2198" spans="5:6" x14ac:dyDescent="0.3">
      <c r="E2198" t="str">
        <f>IFERROR(IF(D2198="","",VLOOKUP(D2198,CadProd!$A:$B,2,0)),"")</f>
        <v/>
      </c>
      <c r="F2198" t="str">
        <f>IFERROR(IF(D2198="","",VLOOKUP(D2198,CadProd!$A:$C,3,0)),"")</f>
        <v/>
      </c>
    </row>
    <row r="2199" spans="5:6" x14ac:dyDescent="0.3">
      <c r="E2199" t="str">
        <f>IFERROR(IF(D2199="","",VLOOKUP(D2199,CadProd!$A:$B,2,0)),"")</f>
        <v/>
      </c>
      <c r="F2199" t="str">
        <f>IFERROR(IF(D2199="","",VLOOKUP(D2199,CadProd!$A:$C,3,0)),"")</f>
        <v/>
      </c>
    </row>
    <row r="2200" spans="5:6" x14ac:dyDescent="0.3">
      <c r="E2200" t="str">
        <f>IFERROR(IF(D2200="","",VLOOKUP(D2200,CadProd!$A:$B,2,0)),"")</f>
        <v/>
      </c>
      <c r="F2200" t="str">
        <f>IFERROR(IF(D2200="","",VLOOKUP(D2200,CadProd!$A:$C,3,0)),"")</f>
        <v/>
      </c>
    </row>
    <row r="2201" spans="5:6" x14ac:dyDescent="0.3">
      <c r="E2201" t="str">
        <f>IFERROR(IF(D2201="","",VLOOKUP(D2201,CadProd!$A:$B,2,0)),"")</f>
        <v/>
      </c>
      <c r="F2201" t="str">
        <f>IFERROR(IF(D2201="","",VLOOKUP(D2201,CadProd!$A:$C,3,0)),"")</f>
        <v/>
      </c>
    </row>
    <row r="2202" spans="5:6" x14ac:dyDescent="0.3">
      <c r="E2202" t="str">
        <f>IFERROR(IF(D2202="","",VLOOKUP(D2202,CadProd!$A:$B,2,0)),"")</f>
        <v/>
      </c>
      <c r="F2202" t="str">
        <f>IFERROR(IF(D2202="","",VLOOKUP(D2202,CadProd!$A:$C,3,0)),"")</f>
        <v/>
      </c>
    </row>
    <row r="2203" spans="5:6" x14ac:dyDescent="0.3">
      <c r="E2203" t="str">
        <f>IFERROR(IF(D2203="","",VLOOKUP(D2203,CadProd!$A:$B,2,0)),"")</f>
        <v/>
      </c>
      <c r="F2203" t="str">
        <f>IFERROR(IF(D2203="","",VLOOKUP(D2203,CadProd!$A:$C,3,0)),"")</f>
        <v/>
      </c>
    </row>
    <row r="2204" spans="5:6" x14ac:dyDescent="0.3">
      <c r="E2204" t="str">
        <f>IFERROR(IF(D2204="","",VLOOKUP(D2204,CadProd!$A:$B,2,0)),"")</f>
        <v/>
      </c>
      <c r="F2204" t="str">
        <f>IFERROR(IF(D2204="","",VLOOKUP(D2204,CadProd!$A:$C,3,0)),"")</f>
        <v/>
      </c>
    </row>
    <row r="2205" spans="5:6" x14ac:dyDescent="0.3">
      <c r="E2205" t="str">
        <f>IFERROR(IF(D2205="","",VLOOKUP(D2205,CadProd!$A:$B,2,0)),"")</f>
        <v/>
      </c>
      <c r="F2205" t="str">
        <f>IFERROR(IF(D2205="","",VLOOKUP(D2205,CadProd!$A:$C,3,0)),"")</f>
        <v/>
      </c>
    </row>
    <row r="2206" spans="5:6" x14ac:dyDescent="0.3">
      <c r="E2206" t="str">
        <f>IFERROR(IF(D2206="","",VLOOKUP(D2206,CadProd!$A:$B,2,0)),"")</f>
        <v/>
      </c>
      <c r="F2206" t="str">
        <f>IFERROR(IF(D2206="","",VLOOKUP(D2206,CadProd!$A:$C,3,0)),"")</f>
        <v/>
      </c>
    </row>
    <row r="2207" spans="5:6" x14ac:dyDescent="0.3">
      <c r="E2207" t="str">
        <f>IFERROR(IF(D2207="","",VLOOKUP(D2207,CadProd!$A:$B,2,0)),"")</f>
        <v/>
      </c>
      <c r="F2207" t="str">
        <f>IFERROR(IF(D2207="","",VLOOKUP(D2207,CadProd!$A:$C,3,0)),"")</f>
        <v/>
      </c>
    </row>
    <row r="2208" spans="5:6" x14ac:dyDescent="0.3">
      <c r="E2208" t="str">
        <f>IFERROR(IF(D2208="","",VLOOKUP(D2208,CadProd!$A:$B,2,0)),"")</f>
        <v/>
      </c>
      <c r="F2208" t="str">
        <f>IFERROR(IF(D2208="","",VLOOKUP(D2208,CadProd!$A:$C,3,0)),"")</f>
        <v/>
      </c>
    </row>
    <row r="2209" spans="5:6" x14ac:dyDescent="0.3">
      <c r="E2209" t="str">
        <f>IFERROR(IF(D2209="","",VLOOKUP(D2209,CadProd!$A:$B,2,0)),"")</f>
        <v/>
      </c>
      <c r="F2209" t="str">
        <f>IFERROR(IF(D2209="","",VLOOKUP(D2209,CadProd!$A:$C,3,0)),"")</f>
        <v/>
      </c>
    </row>
    <row r="2210" spans="5:6" x14ac:dyDescent="0.3">
      <c r="E2210" t="str">
        <f>IFERROR(IF(D2210="","",VLOOKUP(D2210,CadProd!$A:$B,2,0)),"")</f>
        <v/>
      </c>
      <c r="F2210" t="str">
        <f>IFERROR(IF(D2210="","",VLOOKUP(D2210,CadProd!$A:$C,3,0)),"")</f>
        <v/>
      </c>
    </row>
    <row r="2211" spans="5:6" x14ac:dyDescent="0.3">
      <c r="E2211" t="str">
        <f>IFERROR(IF(D2211="","",VLOOKUP(D2211,CadProd!$A:$B,2,0)),"")</f>
        <v/>
      </c>
      <c r="F2211" t="str">
        <f>IFERROR(IF(D2211="","",VLOOKUP(D2211,CadProd!$A:$C,3,0)),"")</f>
        <v/>
      </c>
    </row>
    <row r="2212" spans="5:6" x14ac:dyDescent="0.3">
      <c r="E2212" t="str">
        <f>IFERROR(IF(D2212="","",VLOOKUP(D2212,CadProd!$A:$B,2,0)),"")</f>
        <v/>
      </c>
      <c r="F2212" t="str">
        <f>IFERROR(IF(D2212="","",VLOOKUP(D2212,CadProd!$A:$C,3,0)),"")</f>
        <v/>
      </c>
    </row>
    <row r="2213" spans="5:6" x14ac:dyDescent="0.3">
      <c r="E2213" t="str">
        <f>IFERROR(IF(D2213="","",VLOOKUP(D2213,CadProd!$A:$B,2,0)),"")</f>
        <v/>
      </c>
      <c r="F2213" t="str">
        <f>IFERROR(IF(D2213="","",VLOOKUP(D2213,CadProd!$A:$C,3,0)),"")</f>
        <v/>
      </c>
    </row>
    <row r="2214" spans="5:6" x14ac:dyDescent="0.3">
      <c r="E2214" t="str">
        <f>IFERROR(IF(D2214="","",VLOOKUP(D2214,CadProd!$A:$B,2,0)),"")</f>
        <v/>
      </c>
      <c r="F2214" t="str">
        <f>IFERROR(IF(D2214="","",VLOOKUP(D2214,CadProd!$A:$C,3,0)),"")</f>
        <v/>
      </c>
    </row>
    <row r="2215" spans="5:6" x14ac:dyDescent="0.3">
      <c r="E2215" t="str">
        <f>IFERROR(IF(D2215="","",VLOOKUP(D2215,CadProd!$A:$B,2,0)),"")</f>
        <v/>
      </c>
      <c r="F2215" t="str">
        <f>IFERROR(IF(D2215="","",VLOOKUP(D2215,CadProd!$A:$C,3,0)),"")</f>
        <v/>
      </c>
    </row>
    <row r="2216" spans="5:6" x14ac:dyDescent="0.3">
      <c r="E2216" t="str">
        <f>IFERROR(IF(D2216="","",VLOOKUP(D2216,CadProd!$A:$B,2,0)),"")</f>
        <v/>
      </c>
      <c r="F2216" t="str">
        <f>IFERROR(IF(D2216="","",VLOOKUP(D2216,CadProd!$A:$C,3,0)),"")</f>
        <v/>
      </c>
    </row>
    <row r="2217" spans="5:6" x14ac:dyDescent="0.3">
      <c r="E2217" t="str">
        <f>IFERROR(IF(D2217="","",VLOOKUP(D2217,CadProd!$A:$B,2,0)),"")</f>
        <v/>
      </c>
      <c r="F2217" t="str">
        <f>IFERROR(IF(D2217="","",VLOOKUP(D2217,CadProd!$A:$C,3,0)),"")</f>
        <v/>
      </c>
    </row>
    <row r="2218" spans="5:6" x14ac:dyDescent="0.3">
      <c r="E2218" t="str">
        <f>IFERROR(IF(D2218="","",VLOOKUP(D2218,CadProd!$A:$B,2,0)),"")</f>
        <v/>
      </c>
      <c r="F2218" t="str">
        <f>IFERROR(IF(D2218="","",VLOOKUP(D2218,CadProd!$A:$C,3,0)),"")</f>
        <v/>
      </c>
    </row>
    <row r="2219" spans="5:6" x14ac:dyDescent="0.3">
      <c r="E2219" t="str">
        <f>IFERROR(IF(D2219="","",VLOOKUP(D2219,CadProd!$A:$B,2,0)),"")</f>
        <v/>
      </c>
      <c r="F2219" t="str">
        <f>IFERROR(IF(D2219="","",VLOOKUP(D2219,CadProd!$A:$C,3,0)),"")</f>
        <v/>
      </c>
    </row>
    <row r="2220" spans="5:6" x14ac:dyDescent="0.3">
      <c r="E2220" t="str">
        <f>IFERROR(IF(D2220="","",VLOOKUP(D2220,CadProd!$A:$B,2,0)),"")</f>
        <v/>
      </c>
      <c r="F2220" t="str">
        <f>IFERROR(IF(D2220="","",VLOOKUP(D2220,CadProd!$A:$C,3,0)),"")</f>
        <v/>
      </c>
    </row>
    <row r="2221" spans="5:6" x14ac:dyDescent="0.3">
      <c r="E2221" t="str">
        <f>IFERROR(IF(D2221="","",VLOOKUP(D2221,CadProd!$A:$B,2,0)),"")</f>
        <v/>
      </c>
      <c r="F2221" t="str">
        <f>IFERROR(IF(D2221="","",VLOOKUP(D2221,CadProd!$A:$C,3,0)),"")</f>
        <v/>
      </c>
    </row>
    <row r="2222" spans="5:6" x14ac:dyDescent="0.3">
      <c r="E2222" t="str">
        <f>IFERROR(IF(D2222="","",VLOOKUP(D2222,CadProd!$A:$B,2,0)),"")</f>
        <v/>
      </c>
      <c r="F2222" t="str">
        <f>IFERROR(IF(D2222="","",VLOOKUP(D2222,CadProd!$A:$C,3,0)),"")</f>
        <v/>
      </c>
    </row>
    <row r="2223" spans="5:6" x14ac:dyDescent="0.3">
      <c r="E2223" t="str">
        <f>IFERROR(IF(D2223="","",VLOOKUP(D2223,CadProd!$A:$B,2,0)),"")</f>
        <v/>
      </c>
      <c r="F2223" t="str">
        <f>IFERROR(IF(D2223="","",VLOOKUP(D2223,CadProd!$A:$C,3,0)),"")</f>
        <v/>
      </c>
    </row>
    <row r="2224" spans="5:6" x14ac:dyDescent="0.3">
      <c r="E2224" t="str">
        <f>IFERROR(IF(D2224="","",VLOOKUP(D2224,CadProd!$A:$B,2,0)),"")</f>
        <v/>
      </c>
      <c r="F2224" t="str">
        <f>IFERROR(IF(D2224="","",VLOOKUP(D2224,CadProd!$A:$C,3,0)),"")</f>
        <v/>
      </c>
    </row>
    <row r="2225" spans="5:6" x14ac:dyDescent="0.3">
      <c r="E2225" t="str">
        <f>IFERROR(IF(D2225="","",VLOOKUP(D2225,CadProd!$A:$B,2,0)),"")</f>
        <v/>
      </c>
      <c r="F2225" t="str">
        <f>IFERROR(IF(D2225="","",VLOOKUP(D2225,CadProd!$A:$C,3,0)),"")</f>
        <v/>
      </c>
    </row>
    <row r="2226" spans="5:6" x14ac:dyDescent="0.3">
      <c r="E2226" t="str">
        <f>IFERROR(IF(D2226="","",VLOOKUP(D2226,CadProd!$A:$B,2,0)),"")</f>
        <v/>
      </c>
      <c r="F2226" t="str">
        <f>IFERROR(IF(D2226="","",VLOOKUP(D2226,CadProd!$A:$C,3,0)),"")</f>
        <v/>
      </c>
    </row>
    <row r="2227" spans="5:6" x14ac:dyDescent="0.3">
      <c r="E2227" t="str">
        <f>IFERROR(IF(D2227="","",VLOOKUP(D2227,CadProd!$A:$B,2,0)),"")</f>
        <v/>
      </c>
      <c r="F2227" t="str">
        <f>IFERROR(IF(D2227="","",VLOOKUP(D2227,CadProd!$A:$C,3,0)),"")</f>
        <v/>
      </c>
    </row>
    <row r="2228" spans="5:6" x14ac:dyDescent="0.3">
      <c r="E2228" t="str">
        <f>IFERROR(IF(D2228="","",VLOOKUP(D2228,CadProd!$A:$B,2,0)),"")</f>
        <v/>
      </c>
      <c r="F2228" t="str">
        <f>IFERROR(IF(D2228="","",VLOOKUP(D2228,CadProd!$A:$C,3,0)),"")</f>
        <v/>
      </c>
    </row>
    <row r="2229" spans="5:6" x14ac:dyDescent="0.3">
      <c r="E2229" t="str">
        <f>IFERROR(IF(D2229="","",VLOOKUP(D2229,CadProd!$A:$B,2,0)),"")</f>
        <v/>
      </c>
      <c r="F2229" t="str">
        <f>IFERROR(IF(D2229="","",VLOOKUP(D2229,CadProd!$A:$C,3,0)),"")</f>
        <v/>
      </c>
    </row>
    <row r="2230" spans="5:6" x14ac:dyDescent="0.3">
      <c r="E2230" t="str">
        <f>IFERROR(IF(D2230="","",VLOOKUP(D2230,CadProd!$A:$B,2,0)),"")</f>
        <v/>
      </c>
      <c r="F2230" t="str">
        <f>IFERROR(IF(D2230="","",VLOOKUP(D2230,CadProd!$A:$C,3,0)),"")</f>
        <v/>
      </c>
    </row>
    <row r="2231" spans="5:6" x14ac:dyDescent="0.3">
      <c r="E2231" t="str">
        <f>IFERROR(IF(D2231="","",VLOOKUP(D2231,CadProd!$A:$B,2,0)),"")</f>
        <v/>
      </c>
      <c r="F2231" t="str">
        <f>IFERROR(IF(D2231="","",VLOOKUP(D2231,CadProd!$A:$C,3,0)),"")</f>
        <v/>
      </c>
    </row>
    <row r="2232" spans="5:6" x14ac:dyDescent="0.3">
      <c r="E2232" t="str">
        <f>IFERROR(IF(D2232="","",VLOOKUP(D2232,CadProd!$A:$B,2,0)),"")</f>
        <v/>
      </c>
      <c r="F2232" t="str">
        <f>IFERROR(IF(D2232="","",VLOOKUP(D2232,CadProd!$A:$C,3,0)),"")</f>
        <v/>
      </c>
    </row>
    <row r="2233" spans="5:6" x14ac:dyDescent="0.3">
      <c r="E2233" t="str">
        <f>IFERROR(IF(D2233="","",VLOOKUP(D2233,CadProd!$A:$B,2,0)),"")</f>
        <v/>
      </c>
      <c r="F2233" t="str">
        <f>IFERROR(IF(D2233="","",VLOOKUP(D2233,CadProd!$A:$C,3,0)),"")</f>
        <v/>
      </c>
    </row>
    <row r="2234" spans="5:6" x14ac:dyDescent="0.3">
      <c r="E2234" t="str">
        <f>IFERROR(IF(D2234="","",VLOOKUP(D2234,CadProd!$A:$B,2,0)),"")</f>
        <v/>
      </c>
      <c r="F2234" t="str">
        <f>IFERROR(IF(D2234="","",VLOOKUP(D2234,CadProd!$A:$C,3,0)),"")</f>
        <v/>
      </c>
    </row>
    <row r="2235" spans="5:6" x14ac:dyDescent="0.3">
      <c r="E2235" t="str">
        <f>IFERROR(IF(D2235="","",VLOOKUP(D2235,CadProd!$A:$B,2,0)),"")</f>
        <v/>
      </c>
      <c r="F2235" t="str">
        <f>IFERROR(IF(D2235="","",VLOOKUP(D2235,CadProd!$A:$C,3,0)),"")</f>
        <v/>
      </c>
    </row>
    <row r="2236" spans="5:6" x14ac:dyDescent="0.3">
      <c r="E2236" t="str">
        <f>IFERROR(IF(D2236="","",VLOOKUP(D2236,CadProd!$A:$B,2,0)),"")</f>
        <v/>
      </c>
      <c r="F2236" t="str">
        <f>IFERROR(IF(D2236="","",VLOOKUP(D2236,CadProd!$A:$C,3,0)),"")</f>
        <v/>
      </c>
    </row>
    <row r="2237" spans="5:6" x14ac:dyDescent="0.3">
      <c r="E2237" t="str">
        <f>IFERROR(IF(D2237="","",VLOOKUP(D2237,CadProd!$A:$B,2,0)),"")</f>
        <v/>
      </c>
      <c r="F2237" t="str">
        <f>IFERROR(IF(D2237="","",VLOOKUP(D2237,CadProd!$A:$C,3,0)),"")</f>
        <v/>
      </c>
    </row>
    <row r="2238" spans="5:6" x14ac:dyDescent="0.3">
      <c r="E2238" t="str">
        <f>IFERROR(IF(D2238="","",VLOOKUP(D2238,CadProd!$A:$B,2,0)),"")</f>
        <v/>
      </c>
      <c r="F2238" t="str">
        <f>IFERROR(IF(D2238="","",VLOOKUP(D2238,CadProd!$A:$C,3,0)),"")</f>
        <v/>
      </c>
    </row>
    <row r="2239" spans="5:6" x14ac:dyDescent="0.3">
      <c r="E2239" t="str">
        <f>IFERROR(IF(D2239="","",VLOOKUP(D2239,CadProd!$A:$B,2,0)),"")</f>
        <v/>
      </c>
      <c r="F2239" t="str">
        <f>IFERROR(IF(D2239="","",VLOOKUP(D2239,CadProd!$A:$C,3,0)),"")</f>
        <v/>
      </c>
    </row>
    <row r="2240" spans="5:6" x14ac:dyDescent="0.3">
      <c r="E2240" t="str">
        <f>IFERROR(IF(D2240="","",VLOOKUP(D2240,CadProd!$A:$B,2,0)),"")</f>
        <v/>
      </c>
      <c r="F2240" t="str">
        <f>IFERROR(IF(D2240="","",VLOOKUP(D2240,CadProd!$A:$C,3,0)),"")</f>
        <v/>
      </c>
    </row>
    <row r="2241" spans="5:6" x14ac:dyDescent="0.3">
      <c r="E2241" t="str">
        <f>IFERROR(IF(D2241="","",VLOOKUP(D2241,CadProd!$A:$B,2,0)),"")</f>
        <v/>
      </c>
      <c r="F2241" t="str">
        <f>IFERROR(IF(D2241="","",VLOOKUP(D2241,CadProd!$A:$C,3,0)),"")</f>
        <v/>
      </c>
    </row>
    <row r="2242" spans="5:6" x14ac:dyDescent="0.3">
      <c r="E2242" t="str">
        <f>IFERROR(IF(D2242="","",VLOOKUP(D2242,CadProd!$A:$B,2,0)),"")</f>
        <v/>
      </c>
      <c r="F2242" t="str">
        <f>IFERROR(IF(D2242="","",VLOOKUP(D2242,CadProd!$A:$C,3,0)),"")</f>
        <v/>
      </c>
    </row>
    <row r="2243" spans="5:6" x14ac:dyDescent="0.3">
      <c r="E2243" t="str">
        <f>IFERROR(IF(D2243="","",VLOOKUP(D2243,CadProd!$A:$B,2,0)),"")</f>
        <v/>
      </c>
      <c r="F2243" t="str">
        <f>IFERROR(IF(D2243="","",VLOOKUP(D2243,CadProd!$A:$C,3,0)),"")</f>
        <v/>
      </c>
    </row>
    <row r="2244" spans="5:6" x14ac:dyDescent="0.3">
      <c r="E2244" t="str">
        <f>IFERROR(IF(D2244="","",VLOOKUP(D2244,CadProd!$A:$B,2,0)),"")</f>
        <v/>
      </c>
      <c r="F2244" t="str">
        <f>IFERROR(IF(D2244="","",VLOOKUP(D2244,CadProd!$A:$C,3,0)),"")</f>
        <v/>
      </c>
    </row>
    <row r="2245" spans="5:6" x14ac:dyDescent="0.3">
      <c r="E2245" t="str">
        <f>IFERROR(IF(D2245="","",VLOOKUP(D2245,CadProd!$A:$B,2,0)),"")</f>
        <v/>
      </c>
      <c r="F2245" t="str">
        <f>IFERROR(IF(D2245="","",VLOOKUP(D2245,CadProd!$A:$C,3,0)),"")</f>
        <v/>
      </c>
    </row>
    <row r="2246" spans="5:6" x14ac:dyDescent="0.3">
      <c r="E2246" t="str">
        <f>IFERROR(IF(D2246="","",VLOOKUP(D2246,CadProd!$A:$B,2,0)),"")</f>
        <v/>
      </c>
      <c r="F2246" t="str">
        <f>IFERROR(IF(D2246="","",VLOOKUP(D2246,CadProd!$A:$C,3,0)),"")</f>
        <v/>
      </c>
    </row>
    <row r="2247" spans="5:6" x14ac:dyDescent="0.3">
      <c r="E2247" t="str">
        <f>IFERROR(IF(D2247="","",VLOOKUP(D2247,CadProd!$A:$B,2,0)),"")</f>
        <v/>
      </c>
      <c r="F2247" t="str">
        <f>IFERROR(IF(D2247="","",VLOOKUP(D2247,CadProd!$A:$C,3,0)),"")</f>
        <v/>
      </c>
    </row>
    <row r="2248" spans="5:6" x14ac:dyDescent="0.3">
      <c r="E2248" t="str">
        <f>IFERROR(IF(D2248="","",VLOOKUP(D2248,CadProd!$A:$B,2,0)),"")</f>
        <v/>
      </c>
      <c r="F2248" t="str">
        <f>IFERROR(IF(D2248="","",VLOOKUP(D2248,CadProd!$A:$C,3,0)),"")</f>
        <v/>
      </c>
    </row>
    <row r="2249" spans="5:6" x14ac:dyDescent="0.3">
      <c r="E2249" t="str">
        <f>IFERROR(IF(D2249="","",VLOOKUP(D2249,CadProd!$A:$B,2,0)),"")</f>
        <v/>
      </c>
      <c r="F2249" t="str">
        <f>IFERROR(IF(D2249="","",VLOOKUP(D2249,CadProd!$A:$C,3,0)),"")</f>
        <v/>
      </c>
    </row>
    <row r="2250" spans="5:6" x14ac:dyDescent="0.3">
      <c r="E2250" t="str">
        <f>IFERROR(IF(D2250="","",VLOOKUP(D2250,CadProd!$A:$B,2,0)),"")</f>
        <v/>
      </c>
      <c r="F2250" t="str">
        <f>IFERROR(IF(D2250="","",VLOOKUP(D2250,CadProd!$A:$C,3,0)),"")</f>
        <v/>
      </c>
    </row>
    <row r="2251" spans="5:6" x14ac:dyDescent="0.3">
      <c r="E2251" t="str">
        <f>IFERROR(IF(D2251="","",VLOOKUP(D2251,CadProd!$A:$B,2,0)),"")</f>
        <v/>
      </c>
      <c r="F2251" t="str">
        <f>IFERROR(IF(D2251="","",VLOOKUP(D2251,CadProd!$A:$C,3,0)),"")</f>
        <v/>
      </c>
    </row>
    <row r="2252" spans="5:6" x14ac:dyDescent="0.3">
      <c r="E2252" t="str">
        <f>IFERROR(IF(D2252="","",VLOOKUP(D2252,CadProd!$A:$B,2,0)),"")</f>
        <v/>
      </c>
      <c r="F2252" t="str">
        <f>IFERROR(IF(D2252="","",VLOOKUP(D2252,CadProd!$A:$C,3,0)),"")</f>
        <v/>
      </c>
    </row>
    <row r="2253" spans="5:6" x14ac:dyDescent="0.3">
      <c r="E2253" t="str">
        <f>IFERROR(IF(D2253="","",VLOOKUP(D2253,CadProd!$A:$B,2,0)),"")</f>
        <v/>
      </c>
      <c r="F2253" t="str">
        <f>IFERROR(IF(D2253="","",VLOOKUP(D2253,CadProd!$A:$C,3,0)),"")</f>
        <v/>
      </c>
    </row>
    <row r="2254" spans="5:6" x14ac:dyDescent="0.3">
      <c r="E2254" t="str">
        <f>IFERROR(IF(D2254="","",VLOOKUP(D2254,CadProd!$A:$B,2,0)),"")</f>
        <v/>
      </c>
      <c r="F2254" t="str">
        <f>IFERROR(IF(D2254="","",VLOOKUP(D2254,CadProd!$A:$C,3,0)),"")</f>
        <v/>
      </c>
    </row>
    <row r="2255" spans="5:6" x14ac:dyDescent="0.3">
      <c r="E2255" t="str">
        <f>IFERROR(IF(D2255="","",VLOOKUP(D2255,CadProd!$A:$B,2,0)),"")</f>
        <v/>
      </c>
      <c r="F2255" t="str">
        <f>IFERROR(IF(D2255="","",VLOOKUP(D2255,CadProd!$A:$C,3,0)),"")</f>
        <v/>
      </c>
    </row>
    <row r="2256" spans="5:6" x14ac:dyDescent="0.3">
      <c r="E2256" t="str">
        <f>IFERROR(IF(D2256="","",VLOOKUP(D2256,CadProd!$A:$B,2,0)),"")</f>
        <v/>
      </c>
      <c r="F2256" t="str">
        <f>IFERROR(IF(D2256="","",VLOOKUP(D2256,CadProd!$A:$C,3,0)),"")</f>
        <v/>
      </c>
    </row>
    <row r="2257" spans="5:6" x14ac:dyDescent="0.3">
      <c r="E2257" t="str">
        <f>IFERROR(IF(D2257="","",VLOOKUP(D2257,CadProd!$A:$B,2,0)),"")</f>
        <v/>
      </c>
      <c r="F2257" t="str">
        <f>IFERROR(IF(D2257="","",VLOOKUP(D2257,CadProd!$A:$C,3,0)),"")</f>
        <v/>
      </c>
    </row>
    <row r="2258" spans="5:6" x14ac:dyDescent="0.3">
      <c r="E2258" t="str">
        <f>IFERROR(IF(D2258="","",VLOOKUP(D2258,CadProd!$A:$B,2,0)),"")</f>
        <v/>
      </c>
      <c r="F2258" t="str">
        <f>IFERROR(IF(D2258="","",VLOOKUP(D2258,CadProd!$A:$C,3,0)),"")</f>
        <v/>
      </c>
    </row>
    <row r="2259" spans="5:6" x14ac:dyDescent="0.3">
      <c r="E2259" t="str">
        <f>IFERROR(IF(D2259="","",VLOOKUP(D2259,CadProd!$A:$B,2,0)),"")</f>
        <v/>
      </c>
      <c r="F2259" t="str">
        <f>IFERROR(IF(D2259="","",VLOOKUP(D2259,CadProd!$A:$C,3,0)),"")</f>
        <v/>
      </c>
    </row>
    <row r="2260" spans="5:6" x14ac:dyDescent="0.3">
      <c r="E2260" t="str">
        <f>IFERROR(IF(D2260="","",VLOOKUP(D2260,CadProd!$A:$B,2,0)),"")</f>
        <v/>
      </c>
      <c r="F2260" t="str">
        <f>IFERROR(IF(D2260="","",VLOOKUP(D2260,CadProd!$A:$C,3,0)),"")</f>
        <v/>
      </c>
    </row>
    <row r="2261" spans="5:6" x14ac:dyDescent="0.3">
      <c r="E2261" t="str">
        <f>IFERROR(IF(D2261="","",VLOOKUP(D2261,CadProd!$A:$B,2,0)),"")</f>
        <v/>
      </c>
      <c r="F2261" t="str">
        <f>IFERROR(IF(D2261="","",VLOOKUP(D2261,CadProd!$A:$C,3,0)),"")</f>
        <v/>
      </c>
    </row>
    <row r="2262" spans="5:6" x14ac:dyDescent="0.3">
      <c r="E2262" t="str">
        <f>IFERROR(IF(D2262="","",VLOOKUP(D2262,CadProd!$A:$B,2,0)),"")</f>
        <v/>
      </c>
      <c r="F2262" t="str">
        <f>IFERROR(IF(D2262="","",VLOOKUP(D2262,CadProd!$A:$C,3,0)),"")</f>
        <v/>
      </c>
    </row>
    <row r="2263" spans="5:6" x14ac:dyDescent="0.3">
      <c r="E2263" t="str">
        <f>IFERROR(IF(D2263="","",VLOOKUP(D2263,CadProd!$A:$B,2,0)),"")</f>
        <v/>
      </c>
      <c r="F2263" t="str">
        <f>IFERROR(IF(D2263="","",VLOOKUP(D2263,CadProd!$A:$C,3,0)),"")</f>
        <v/>
      </c>
    </row>
    <row r="2264" spans="5:6" x14ac:dyDescent="0.3">
      <c r="E2264" t="str">
        <f>IFERROR(IF(D2264="","",VLOOKUP(D2264,CadProd!$A:$B,2,0)),"")</f>
        <v/>
      </c>
      <c r="F2264" t="str">
        <f>IFERROR(IF(D2264="","",VLOOKUP(D2264,CadProd!$A:$C,3,0)),"")</f>
        <v/>
      </c>
    </row>
    <row r="2265" spans="5:6" x14ac:dyDescent="0.3">
      <c r="E2265" t="str">
        <f>IFERROR(IF(D2265="","",VLOOKUP(D2265,CadProd!$A:$B,2,0)),"")</f>
        <v/>
      </c>
      <c r="F2265" t="str">
        <f>IFERROR(IF(D2265="","",VLOOKUP(D2265,CadProd!$A:$C,3,0)),"")</f>
        <v/>
      </c>
    </row>
    <row r="2266" spans="5:6" x14ac:dyDescent="0.3">
      <c r="E2266" t="str">
        <f>IFERROR(IF(D2266="","",VLOOKUP(D2266,CadProd!$A:$B,2,0)),"")</f>
        <v/>
      </c>
      <c r="F2266" t="str">
        <f>IFERROR(IF(D2266="","",VLOOKUP(D2266,CadProd!$A:$C,3,0)),"")</f>
        <v/>
      </c>
    </row>
    <row r="2267" spans="5:6" x14ac:dyDescent="0.3">
      <c r="E2267" t="str">
        <f>IFERROR(IF(D2267="","",VLOOKUP(D2267,CadProd!$A:$B,2,0)),"")</f>
        <v/>
      </c>
      <c r="F2267" t="str">
        <f>IFERROR(IF(D2267="","",VLOOKUP(D2267,CadProd!$A:$C,3,0)),"")</f>
        <v/>
      </c>
    </row>
    <row r="2268" spans="5:6" x14ac:dyDescent="0.3">
      <c r="E2268" t="str">
        <f>IFERROR(IF(D2268="","",VLOOKUP(D2268,CadProd!$A:$B,2,0)),"")</f>
        <v/>
      </c>
      <c r="F2268" t="str">
        <f>IFERROR(IF(D2268="","",VLOOKUP(D2268,CadProd!$A:$C,3,0)),"")</f>
        <v/>
      </c>
    </row>
    <row r="2269" spans="5:6" x14ac:dyDescent="0.3">
      <c r="E2269" t="str">
        <f>IFERROR(IF(D2269="","",VLOOKUP(D2269,CadProd!$A:$B,2,0)),"")</f>
        <v/>
      </c>
      <c r="F2269" t="str">
        <f>IFERROR(IF(D2269="","",VLOOKUP(D2269,CadProd!$A:$C,3,0)),"")</f>
        <v/>
      </c>
    </row>
    <row r="2270" spans="5:6" x14ac:dyDescent="0.3">
      <c r="E2270" t="str">
        <f>IFERROR(IF(D2270="","",VLOOKUP(D2270,CadProd!$A:$B,2,0)),"")</f>
        <v/>
      </c>
      <c r="F2270" t="str">
        <f>IFERROR(IF(D2270="","",VLOOKUP(D2270,CadProd!$A:$C,3,0)),"")</f>
        <v/>
      </c>
    </row>
    <row r="2271" spans="5:6" x14ac:dyDescent="0.3">
      <c r="E2271" t="str">
        <f>IFERROR(IF(D2271="","",VLOOKUP(D2271,CadProd!$A:$B,2,0)),"")</f>
        <v/>
      </c>
      <c r="F2271" t="str">
        <f>IFERROR(IF(D2271="","",VLOOKUP(D2271,CadProd!$A:$C,3,0)),"")</f>
        <v/>
      </c>
    </row>
    <row r="2272" spans="5:6" x14ac:dyDescent="0.3">
      <c r="E2272" t="str">
        <f>IFERROR(IF(D2272="","",VLOOKUP(D2272,CadProd!$A:$B,2,0)),"")</f>
        <v/>
      </c>
      <c r="F2272" t="str">
        <f>IFERROR(IF(D2272="","",VLOOKUP(D2272,CadProd!$A:$C,3,0)),"")</f>
        <v/>
      </c>
    </row>
    <row r="2273" spans="5:6" x14ac:dyDescent="0.3">
      <c r="E2273" t="str">
        <f>IFERROR(IF(D2273="","",VLOOKUP(D2273,CadProd!$A:$B,2,0)),"")</f>
        <v/>
      </c>
      <c r="F2273" t="str">
        <f>IFERROR(IF(D2273="","",VLOOKUP(D2273,CadProd!$A:$C,3,0)),"")</f>
        <v/>
      </c>
    </row>
    <row r="2274" spans="5:6" x14ac:dyDescent="0.3">
      <c r="E2274" t="str">
        <f>IFERROR(IF(D2274="","",VLOOKUP(D2274,CadProd!$A:$B,2,0)),"")</f>
        <v/>
      </c>
      <c r="F2274" t="str">
        <f>IFERROR(IF(D2274="","",VLOOKUP(D2274,CadProd!$A:$C,3,0)),"")</f>
        <v/>
      </c>
    </row>
    <row r="2275" spans="5:6" x14ac:dyDescent="0.3">
      <c r="E2275" t="str">
        <f>IFERROR(IF(D2275="","",VLOOKUP(D2275,CadProd!$A:$B,2,0)),"")</f>
        <v/>
      </c>
      <c r="F2275" t="str">
        <f>IFERROR(IF(D2275="","",VLOOKUP(D2275,CadProd!$A:$C,3,0)),"")</f>
        <v/>
      </c>
    </row>
    <row r="2276" spans="5:6" x14ac:dyDescent="0.3">
      <c r="E2276" t="str">
        <f>IFERROR(IF(D2276="","",VLOOKUP(D2276,CadProd!$A:$B,2,0)),"")</f>
        <v/>
      </c>
      <c r="F2276" t="str">
        <f>IFERROR(IF(D2276="","",VLOOKUP(D2276,CadProd!$A:$C,3,0)),"")</f>
        <v/>
      </c>
    </row>
    <row r="2277" spans="5:6" x14ac:dyDescent="0.3">
      <c r="E2277" t="str">
        <f>IFERROR(IF(D2277="","",VLOOKUP(D2277,CadProd!$A:$B,2,0)),"")</f>
        <v/>
      </c>
      <c r="F2277" t="str">
        <f>IFERROR(IF(D2277="","",VLOOKUP(D2277,CadProd!$A:$C,3,0)),"")</f>
        <v/>
      </c>
    </row>
    <row r="2278" spans="5:6" x14ac:dyDescent="0.3">
      <c r="E2278" t="str">
        <f>IFERROR(IF(D2278="","",VLOOKUP(D2278,CadProd!$A:$B,2,0)),"")</f>
        <v/>
      </c>
      <c r="F2278" t="str">
        <f>IFERROR(IF(D2278="","",VLOOKUP(D2278,CadProd!$A:$C,3,0)),"")</f>
        <v/>
      </c>
    </row>
    <row r="2279" spans="5:6" x14ac:dyDescent="0.3">
      <c r="E2279" t="str">
        <f>IFERROR(IF(D2279="","",VLOOKUP(D2279,CadProd!$A:$B,2,0)),"")</f>
        <v/>
      </c>
      <c r="F2279" t="str">
        <f>IFERROR(IF(D2279="","",VLOOKUP(D2279,CadProd!$A:$C,3,0)),"")</f>
        <v/>
      </c>
    </row>
    <row r="2280" spans="5:6" x14ac:dyDescent="0.3">
      <c r="E2280" t="str">
        <f>IFERROR(IF(D2280="","",VLOOKUP(D2280,CadProd!$A:$B,2,0)),"")</f>
        <v/>
      </c>
      <c r="F2280" t="str">
        <f>IFERROR(IF(D2280="","",VLOOKUP(D2280,CadProd!$A:$C,3,0)),"")</f>
        <v/>
      </c>
    </row>
    <row r="2281" spans="5:6" x14ac:dyDescent="0.3">
      <c r="E2281" t="str">
        <f>IFERROR(IF(D2281="","",VLOOKUP(D2281,CadProd!$A:$B,2,0)),"")</f>
        <v/>
      </c>
      <c r="F2281" t="str">
        <f>IFERROR(IF(D2281="","",VLOOKUP(D2281,CadProd!$A:$C,3,0)),"")</f>
        <v/>
      </c>
    </row>
    <row r="2282" spans="5:6" x14ac:dyDescent="0.3">
      <c r="E2282" t="str">
        <f>IFERROR(IF(D2282="","",VLOOKUP(D2282,CadProd!$A:$B,2,0)),"")</f>
        <v/>
      </c>
      <c r="F2282" t="str">
        <f>IFERROR(IF(D2282="","",VLOOKUP(D2282,CadProd!$A:$C,3,0)),"")</f>
        <v/>
      </c>
    </row>
    <row r="2283" spans="5:6" x14ac:dyDescent="0.3">
      <c r="E2283" t="str">
        <f>IFERROR(IF(D2283="","",VLOOKUP(D2283,CadProd!$A:$B,2,0)),"")</f>
        <v/>
      </c>
      <c r="F2283" t="str">
        <f>IFERROR(IF(D2283="","",VLOOKUP(D2283,CadProd!$A:$C,3,0)),"")</f>
        <v/>
      </c>
    </row>
    <row r="2284" spans="5:6" x14ac:dyDescent="0.3">
      <c r="E2284" t="str">
        <f>IFERROR(IF(D2284="","",VLOOKUP(D2284,CadProd!$A:$B,2,0)),"")</f>
        <v/>
      </c>
      <c r="F2284" t="str">
        <f>IFERROR(IF(D2284="","",VLOOKUP(D2284,CadProd!$A:$C,3,0)),"")</f>
        <v/>
      </c>
    </row>
    <row r="2285" spans="5:6" x14ac:dyDescent="0.3">
      <c r="E2285" t="str">
        <f>IFERROR(IF(D2285="","",VLOOKUP(D2285,CadProd!$A:$B,2,0)),"")</f>
        <v/>
      </c>
      <c r="F2285" t="str">
        <f>IFERROR(IF(D2285="","",VLOOKUP(D2285,CadProd!$A:$C,3,0)),"")</f>
        <v/>
      </c>
    </row>
    <row r="2286" spans="5:6" x14ac:dyDescent="0.3">
      <c r="E2286" t="str">
        <f>IFERROR(IF(D2286="","",VLOOKUP(D2286,CadProd!$A:$B,2,0)),"")</f>
        <v/>
      </c>
      <c r="F2286" t="str">
        <f>IFERROR(IF(D2286="","",VLOOKUP(D2286,CadProd!$A:$C,3,0)),"")</f>
        <v/>
      </c>
    </row>
    <row r="2287" spans="5:6" x14ac:dyDescent="0.3">
      <c r="E2287" t="str">
        <f>IFERROR(IF(D2287="","",VLOOKUP(D2287,CadProd!$A:$B,2,0)),"")</f>
        <v/>
      </c>
      <c r="F2287" t="str">
        <f>IFERROR(IF(D2287="","",VLOOKUP(D2287,CadProd!$A:$C,3,0)),"")</f>
        <v/>
      </c>
    </row>
    <row r="2288" spans="5:6" x14ac:dyDescent="0.3">
      <c r="E2288" t="str">
        <f>IFERROR(IF(D2288="","",VLOOKUP(D2288,CadProd!$A:$B,2,0)),"")</f>
        <v/>
      </c>
      <c r="F2288" t="str">
        <f>IFERROR(IF(D2288="","",VLOOKUP(D2288,CadProd!$A:$C,3,0)),"")</f>
        <v/>
      </c>
    </row>
    <row r="2289" spans="5:6" x14ac:dyDescent="0.3">
      <c r="E2289" t="str">
        <f>IFERROR(IF(D2289="","",VLOOKUP(D2289,CadProd!$A:$B,2,0)),"")</f>
        <v/>
      </c>
      <c r="F2289" t="str">
        <f>IFERROR(IF(D2289="","",VLOOKUP(D2289,CadProd!$A:$C,3,0)),"")</f>
        <v/>
      </c>
    </row>
    <row r="2290" spans="5:6" x14ac:dyDescent="0.3">
      <c r="E2290" t="str">
        <f>IFERROR(IF(D2290="","",VLOOKUP(D2290,CadProd!$A:$B,2,0)),"")</f>
        <v/>
      </c>
      <c r="F2290" t="str">
        <f>IFERROR(IF(D2290="","",VLOOKUP(D2290,CadProd!$A:$C,3,0)),"")</f>
        <v/>
      </c>
    </row>
    <row r="2291" spans="5:6" x14ac:dyDescent="0.3">
      <c r="E2291" t="str">
        <f>IFERROR(IF(D2291="","",VLOOKUP(D2291,CadProd!$A:$B,2,0)),"")</f>
        <v/>
      </c>
      <c r="F2291" t="str">
        <f>IFERROR(IF(D2291="","",VLOOKUP(D2291,CadProd!$A:$C,3,0)),"")</f>
        <v/>
      </c>
    </row>
    <row r="2292" spans="5:6" x14ac:dyDescent="0.3">
      <c r="E2292" t="str">
        <f>IFERROR(IF(D2292="","",VLOOKUP(D2292,CadProd!$A:$B,2,0)),"")</f>
        <v/>
      </c>
      <c r="F2292" t="str">
        <f>IFERROR(IF(D2292="","",VLOOKUP(D2292,CadProd!$A:$C,3,0)),"")</f>
        <v/>
      </c>
    </row>
    <row r="2293" spans="5:6" x14ac:dyDescent="0.3">
      <c r="E2293" t="str">
        <f>IFERROR(IF(D2293="","",VLOOKUP(D2293,CadProd!$A:$B,2,0)),"")</f>
        <v/>
      </c>
      <c r="F2293" t="str">
        <f>IFERROR(IF(D2293="","",VLOOKUP(D2293,CadProd!$A:$C,3,0)),"")</f>
        <v/>
      </c>
    </row>
    <row r="2294" spans="5:6" x14ac:dyDescent="0.3">
      <c r="E2294" t="str">
        <f>IFERROR(IF(D2294="","",VLOOKUP(D2294,CadProd!$A:$B,2,0)),"")</f>
        <v/>
      </c>
      <c r="F2294" t="str">
        <f>IFERROR(IF(D2294="","",VLOOKUP(D2294,CadProd!$A:$C,3,0)),"")</f>
        <v/>
      </c>
    </row>
    <row r="2295" spans="5:6" x14ac:dyDescent="0.3">
      <c r="E2295" t="str">
        <f>IFERROR(IF(D2295="","",VLOOKUP(D2295,CadProd!$A:$B,2,0)),"")</f>
        <v/>
      </c>
      <c r="F2295" t="str">
        <f>IFERROR(IF(D2295="","",VLOOKUP(D2295,CadProd!$A:$C,3,0)),"")</f>
        <v/>
      </c>
    </row>
    <row r="2296" spans="5:6" x14ac:dyDescent="0.3">
      <c r="E2296" t="str">
        <f>IFERROR(IF(D2296="","",VLOOKUP(D2296,CadProd!$A:$B,2,0)),"")</f>
        <v/>
      </c>
      <c r="F2296" t="str">
        <f>IFERROR(IF(D2296="","",VLOOKUP(D2296,CadProd!$A:$C,3,0)),"")</f>
        <v/>
      </c>
    </row>
    <row r="2297" spans="5:6" x14ac:dyDescent="0.3">
      <c r="E2297" t="str">
        <f>IFERROR(IF(D2297="","",VLOOKUP(D2297,CadProd!$A:$B,2,0)),"")</f>
        <v/>
      </c>
      <c r="F2297" t="str">
        <f>IFERROR(IF(D2297="","",VLOOKUP(D2297,CadProd!$A:$C,3,0)),"")</f>
        <v/>
      </c>
    </row>
    <row r="2298" spans="5:6" x14ac:dyDescent="0.3">
      <c r="E2298" t="str">
        <f>IFERROR(IF(D2298="","",VLOOKUP(D2298,CadProd!$A:$B,2,0)),"")</f>
        <v/>
      </c>
      <c r="F2298" t="str">
        <f>IFERROR(IF(D2298="","",VLOOKUP(D2298,CadProd!$A:$C,3,0)),"")</f>
        <v/>
      </c>
    </row>
    <row r="2299" spans="5:6" x14ac:dyDescent="0.3">
      <c r="E2299" t="str">
        <f>IFERROR(IF(D2299="","",VLOOKUP(D2299,CadProd!$A:$B,2,0)),"")</f>
        <v/>
      </c>
      <c r="F2299" t="str">
        <f>IFERROR(IF(D2299="","",VLOOKUP(D2299,CadProd!$A:$C,3,0)),"")</f>
        <v/>
      </c>
    </row>
    <row r="2300" spans="5:6" x14ac:dyDescent="0.3">
      <c r="E2300" t="str">
        <f>IFERROR(IF(D2300="","",VLOOKUP(D2300,CadProd!$A:$B,2,0)),"")</f>
        <v/>
      </c>
      <c r="F2300" t="str">
        <f>IFERROR(IF(D2300="","",VLOOKUP(D2300,CadProd!$A:$C,3,0)),"")</f>
        <v/>
      </c>
    </row>
    <row r="2301" spans="5:6" x14ac:dyDescent="0.3">
      <c r="E2301" t="str">
        <f>IFERROR(IF(D2301="","",VLOOKUP(D2301,CadProd!$A:$B,2,0)),"")</f>
        <v/>
      </c>
      <c r="F2301" t="str">
        <f>IFERROR(IF(D2301="","",VLOOKUP(D2301,CadProd!$A:$C,3,0)),"")</f>
        <v/>
      </c>
    </row>
    <row r="2302" spans="5:6" x14ac:dyDescent="0.3">
      <c r="E2302" t="str">
        <f>IFERROR(IF(D2302="","",VLOOKUP(D2302,CadProd!$A:$B,2,0)),"")</f>
        <v/>
      </c>
      <c r="F2302" t="str">
        <f>IFERROR(IF(D2302="","",VLOOKUP(D2302,CadProd!$A:$C,3,0)),"")</f>
        <v/>
      </c>
    </row>
    <row r="2303" spans="5:6" x14ac:dyDescent="0.3">
      <c r="E2303" t="str">
        <f>IFERROR(IF(D2303="","",VLOOKUP(D2303,CadProd!$A:$B,2,0)),"")</f>
        <v/>
      </c>
      <c r="F2303" t="str">
        <f>IFERROR(IF(D2303="","",VLOOKUP(D2303,CadProd!$A:$C,3,0)),"")</f>
        <v/>
      </c>
    </row>
    <row r="2304" spans="5:6" x14ac:dyDescent="0.3">
      <c r="E2304" t="str">
        <f>IFERROR(IF(D2304="","",VLOOKUP(D2304,CadProd!$A:$B,2,0)),"")</f>
        <v/>
      </c>
      <c r="F2304" t="str">
        <f>IFERROR(IF(D2304="","",VLOOKUP(D2304,CadProd!$A:$C,3,0)),"")</f>
        <v/>
      </c>
    </row>
    <row r="2305" spans="5:6" x14ac:dyDescent="0.3">
      <c r="E2305" t="str">
        <f>IFERROR(IF(D2305="","",VLOOKUP(D2305,CadProd!$A:$B,2,0)),"")</f>
        <v/>
      </c>
      <c r="F2305" t="str">
        <f>IFERROR(IF(D2305="","",VLOOKUP(D2305,CadProd!$A:$C,3,0)),"")</f>
        <v/>
      </c>
    </row>
    <row r="2306" spans="5:6" x14ac:dyDescent="0.3">
      <c r="E2306" t="str">
        <f>IFERROR(IF(D2306="","",VLOOKUP(D2306,CadProd!$A:$B,2,0)),"")</f>
        <v/>
      </c>
      <c r="F2306" t="str">
        <f>IFERROR(IF(D2306="","",VLOOKUP(D2306,CadProd!$A:$C,3,0)),"")</f>
        <v/>
      </c>
    </row>
    <row r="2307" spans="5:6" x14ac:dyDescent="0.3">
      <c r="E2307" t="str">
        <f>IFERROR(IF(D2307="","",VLOOKUP(D2307,CadProd!$A:$B,2,0)),"")</f>
        <v/>
      </c>
      <c r="F2307" t="str">
        <f>IFERROR(IF(D2307="","",VLOOKUP(D2307,CadProd!$A:$C,3,0)),"")</f>
        <v/>
      </c>
    </row>
    <row r="2308" spans="5:6" x14ac:dyDescent="0.3">
      <c r="E2308" t="str">
        <f>IFERROR(IF(D2308="","",VLOOKUP(D2308,CadProd!$A:$B,2,0)),"")</f>
        <v/>
      </c>
      <c r="F2308" t="str">
        <f>IFERROR(IF(D2308="","",VLOOKUP(D2308,CadProd!$A:$C,3,0)),"")</f>
        <v/>
      </c>
    </row>
    <row r="2309" spans="5:6" x14ac:dyDescent="0.3">
      <c r="E2309" t="str">
        <f>IFERROR(IF(D2309="","",VLOOKUP(D2309,CadProd!$A:$B,2,0)),"")</f>
        <v/>
      </c>
      <c r="F2309" t="str">
        <f>IFERROR(IF(D2309="","",VLOOKUP(D2309,CadProd!$A:$C,3,0)),"")</f>
        <v/>
      </c>
    </row>
    <row r="2310" spans="5:6" x14ac:dyDescent="0.3">
      <c r="E2310" t="str">
        <f>IFERROR(IF(D2310="","",VLOOKUP(D2310,CadProd!$A:$B,2,0)),"")</f>
        <v/>
      </c>
      <c r="F2310" t="str">
        <f>IFERROR(IF(D2310="","",VLOOKUP(D2310,CadProd!$A:$C,3,0)),"")</f>
        <v/>
      </c>
    </row>
    <row r="2311" spans="5:6" x14ac:dyDescent="0.3">
      <c r="E2311" t="str">
        <f>IFERROR(IF(D2311="","",VLOOKUP(D2311,CadProd!$A:$B,2,0)),"")</f>
        <v/>
      </c>
      <c r="F2311" t="str">
        <f>IFERROR(IF(D2311="","",VLOOKUP(D2311,CadProd!$A:$C,3,0)),"")</f>
        <v/>
      </c>
    </row>
    <row r="2312" spans="5:6" x14ac:dyDescent="0.3">
      <c r="E2312" t="str">
        <f>IFERROR(IF(D2312="","",VLOOKUP(D2312,CadProd!$A:$B,2,0)),"")</f>
        <v/>
      </c>
      <c r="F2312" t="str">
        <f>IFERROR(IF(D2312="","",VLOOKUP(D2312,CadProd!$A:$C,3,0)),"")</f>
        <v/>
      </c>
    </row>
    <row r="2313" spans="5:6" x14ac:dyDescent="0.3">
      <c r="E2313" t="str">
        <f>IFERROR(IF(D2313="","",VLOOKUP(D2313,CadProd!$A:$B,2,0)),"")</f>
        <v/>
      </c>
      <c r="F2313" t="str">
        <f>IFERROR(IF(D2313="","",VLOOKUP(D2313,CadProd!$A:$C,3,0)),"")</f>
        <v/>
      </c>
    </row>
    <row r="2314" spans="5:6" x14ac:dyDescent="0.3">
      <c r="E2314" t="str">
        <f>IFERROR(IF(D2314="","",VLOOKUP(D2314,CadProd!$A:$B,2,0)),"")</f>
        <v/>
      </c>
      <c r="F2314" t="str">
        <f>IFERROR(IF(D2314="","",VLOOKUP(D2314,CadProd!$A:$C,3,0)),"")</f>
        <v/>
      </c>
    </row>
    <row r="2315" spans="5:6" x14ac:dyDescent="0.3">
      <c r="E2315" t="str">
        <f>IFERROR(IF(D2315="","",VLOOKUP(D2315,CadProd!$A:$B,2,0)),"")</f>
        <v/>
      </c>
      <c r="F2315" t="str">
        <f>IFERROR(IF(D2315="","",VLOOKUP(D2315,CadProd!$A:$C,3,0)),"")</f>
        <v/>
      </c>
    </row>
    <row r="2316" spans="5:6" x14ac:dyDescent="0.3">
      <c r="E2316" t="str">
        <f>IFERROR(IF(D2316="","",VLOOKUP(D2316,CadProd!$A:$B,2,0)),"")</f>
        <v/>
      </c>
      <c r="F2316" t="str">
        <f>IFERROR(IF(D2316="","",VLOOKUP(D2316,CadProd!$A:$C,3,0)),"")</f>
        <v/>
      </c>
    </row>
    <row r="2317" spans="5:6" x14ac:dyDescent="0.3">
      <c r="E2317" t="str">
        <f>IFERROR(IF(D2317="","",VLOOKUP(D2317,CadProd!$A:$B,2,0)),"")</f>
        <v/>
      </c>
      <c r="F2317" t="str">
        <f>IFERROR(IF(D2317="","",VLOOKUP(D2317,CadProd!$A:$C,3,0)),"")</f>
        <v/>
      </c>
    </row>
    <row r="2318" spans="5:6" x14ac:dyDescent="0.3">
      <c r="E2318" t="str">
        <f>IFERROR(IF(D2318="","",VLOOKUP(D2318,CadProd!$A:$B,2,0)),"")</f>
        <v/>
      </c>
      <c r="F2318" t="str">
        <f>IFERROR(IF(D2318="","",VLOOKUP(D2318,CadProd!$A:$C,3,0)),"")</f>
        <v/>
      </c>
    </row>
    <row r="2319" spans="5:6" x14ac:dyDescent="0.3">
      <c r="E2319" t="str">
        <f>IFERROR(IF(D2319="","",VLOOKUP(D2319,CadProd!$A:$B,2,0)),"")</f>
        <v/>
      </c>
      <c r="F2319" t="str">
        <f>IFERROR(IF(D2319="","",VLOOKUP(D2319,CadProd!$A:$C,3,0)),"")</f>
        <v/>
      </c>
    </row>
    <row r="2320" spans="5:6" x14ac:dyDescent="0.3">
      <c r="E2320" t="str">
        <f>IFERROR(IF(D2320="","",VLOOKUP(D2320,CadProd!$A:$B,2,0)),"")</f>
        <v/>
      </c>
      <c r="F2320" t="str">
        <f>IFERROR(IF(D2320="","",VLOOKUP(D2320,CadProd!$A:$C,3,0)),"")</f>
        <v/>
      </c>
    </row>
    <row r="2321" spans="5:6" x14ac:dyDescent="0.3">
      <c r="E2321" t="str">
        <f>IFERROR(IF(D2321="","",VLOOKUP(D2321,CadProd!$A:$B,2,0)),"")</f>
        <v/>
      </c>
      <c r="F2321" t="str">
        <f>IFERROR(IF(D2321="","",VLOOKUP(D2321,CadProd!$A:$C,3,0)),"")</f>
        <v/>
      </c>
    </row>
    <row r="2322" spans="5:6" x14ac:dyDescent="0.3">
      <c r="E2322" t="str">
        <f>IFERROR(IF(D2322="","",VLOOKUP(D2322,CadProd!$A:$B,2,0)),"")</f>
        <v/>
      </c>
      <c r="F2322" t="str">
        <f>IFERROR(IF(D2322="","",VLOOKUP(D2322,CadProd!$A:$C,3,0)),"")</f>
        <v/>
      </c>
    </row>
    <row r="2323" spans="5:6" x14ac:dyDescent="0.3">
      <c r="E2323" t="str">
        <f>IFERROR(IF(D2323="","",VLOOKUP(D2323,CadProd!$A:$B,2,0)),"")</f>
        <v/>
      </c>
      <c r="F2323" t="str">
        <f>IFERROR(IF(D2323="","",VLOOKUP(D2323,CadProd!$A:$C,3,0)),"")</f>
        <v/>
      </c>
    </row>
    <row r="2324" spans="5:6" x14ac:dyDescent="0.3">
      <c r="E2324" t="str">
        <f>IFERROR(IF(D2324="","",VLOOKUP(D2324,CadProd!$A:$B,2,0)),"")</f>
        <v/>
      </c>
      <c r="F2324" t="str">
        <f>IFERROR(IF(D2324="","",VLOOKUP(D2324,CadProd!$A:$C,3,0)),"")</f>
        <v/>
      </c>
    </row>
    <row r="2325" spans="5:6" x14ac:dyDescent="0.3">
      <c r="E2325" t="str">
        <f>IFERROR(IF(D2325="","",VLOOKUP(D2325,CadProd!$A:$B,2,0)),"")</f>
        <v/>
      </c>
      <c r="F2325" t="str">
        <f>IFERROR(IF(D2325="","",VLOOKUP(D2325,CadProd!$A:$C,3,0)),"")</f>
        <v/>
      </c>
    </row>
    <row r="2326" spans="5:6" x14ac:dyDescent="0.3">
      <c r="E2326" t="str">
        <f>IFERROR(IF(D2326="","",VLOOKUP(D2326,CadProd!$A:$B,2,0)),"")</f>
        <v/>
      </c>
      <c r="F2326" t="str">
        <f>IFERROR(IF(D2326="","",VLOOKUP(D2326,CadProd!$A:$C,3,0)),"")</f>
        <v/>
      </c>
    </row>
    <row r="2327" spans="5:6" x14ac:dyDescent="0.3">
      <c r="E2327" t="str">
        <f>IFERROR(IF(D2327="","",VLOOKUP(D2327,CadProd!$A:$B,2,0)),"")</f>
        <v/>
      </c>
      <c r="F2327" t="str">
        <f>IFERROR(IF(D2327="","",VLOOKUP(D2327,CadProd!$A:$C,3,0)),"")</f>
        <v/>
      </c>
    </row>
    <row r="2328" spans="5:6" x14ac:dyDescent="0.3">
      <c r="E2328" t="str">
        <f>IFERROR(IF(D2328="","",VLOOKUP(D2328,CadProd!$A:$B,2,0)),"")</f>
        <v/>
      </c>
      <c r="F2328" t="str">
        <f>IFERROR(IF(D2328="","",VLOOKUP(D2328,CadProd!$A:$C,3,0)),"")</f>
        <v/>
      </c>
    </row>
    <row r="2329" spans="5:6" x14ac:dyDescent="0.3">
      <c r="E2329" t="str">
        <f>IFERROR(IF(D2329="","",VLOOKUP(D2329,CadProd!$A:$B,2,0)),"")</f>
        <v/>
      </c>
      <c r="F2329" t="str">
        <f>IFERROR(IF(D2329="","",VLOOKUP(D2329,CadProd!$A:$C,3,0)),"")</f>
        <v/>
      </c>
    </row>
    <row r="2330" spans="5:6" x14ac:dyDescent="0.3">
      <c r="E2330" t="str">
        <f>IFERROR(IF(D2330="","",VLOOKUP(D2330,CadProd!$A:$B,2,0)),"")</f>
        <v/>
      </c>
      <c r="F2330" t="str">
        <f>IFERROR(IF(D2330="","",VLOOKUP(D2330,CadProd!$A:$C,3,0)),"")</f>
        <v/>
      </c>
    </row>
    <row r="2331" spans="5:6" x14ac:dyDescent="0.3">
      <c r="E2331" t="str">
        <f>IFERROR(IF(D2331="","",VLOOKUP(D2331,CadProd!$A:$B,2,0)),"")</f>
        <v/>
      </c>
      <c r="F2331" t="str">
        <f>IFERROR(IF(D2331="","",VLOOKUP(D2331,CadProd!$A:$C,3,0)),"")</f>
        <v/>
      </c>
    </row>
    <row r="2332" spans="5:6" x14ac:dyDescent="0.3">
      <c r="E2332" t="str">
        <f>IFERROR(IF(D2332="","",VLOOKUP(D2332,CadProd!$A:$B,2,0)),"")</f>
        <v/>
      </c>
      <c r="F2332" t="str">
        <f>IFERROR(IF(D2332="","",VLOOKUP(D2332,CadProd!$A:$C,3,0)),"")</f>
        <v/>
      </c>
    </row>
    <row r="2333" spans="5:6" x14ac:dyDescent="0.3">
      <c r="E2333" t="str">
        <f>IFERROR(IF(D2333="","",VLOOKUP(D2333,CadProd!$A:$B,2,0)),"")</f>
        <v/>
      </c>
      <c r="F2333" t="str">
        <f>IFERROR(IF(D2333="","",VLOOKUP(D2333,CadProd!$A:$C,3,0)),"")</f>
        <v/>
      </c>
    </row>
    <row r="2334" spans="5:6" x14ac:dyDescent="0.3">
      <c r="E2334" t="str">
        <f>IFERROR(IF(D2334="","",VLOOKUP(D2334,CadProd!$A:$B,2,0)),"")</f>
        <v/>
      </c>
      <c r="F2334" t="str">
        <f>IFERROR(IF(D2334="","",VLOOKUP(D2334,CadProd!$A:$C,3,0)),"")</f>
        <v/>
      </c>
    </row>
    <row r="2335" spans="5:6" x14ac:dyDescent="0.3">
      <c r="E2335" t="str">
        <f>IFERROR(IF(D2335="","",VLOOKUP(D2335,CadProd!$A:$B,2,0)),"")</f>
        <v/>
      </c>
      <c r="F2335" t="str">
        <f>IFERROR(IF(D2335="","",VLOOKUP(D2335,CadProd!$A:$C,3,0)),"")</f>
        <v/>
      </c>
    </row>
    <row r="2336" spans="5:6" x14ac:dyDescent="0.3">
      <c r="E2336" t="str">
        <f>IFERROR(IF(D2336="","",VLOOKUP(D2336,CadProd!$A:$B,2,0)),"")</f>
        <v/>
      </c>
      <c r="F2336" t="str">
        <f>IFERROR(IF(D2336="","",VLOOKUP(D2336,CadProd!$A:$C,3,0)),"")</f>
        <v/>
      </c>
    </row>
    <row r="2337" spans="5:6" x14ac:dyDescent="0.3">
      <c r="E2337" t="str">
        <f>IFERROR(IF(D2337="","",VLOOKUP(D2337,CadProd!$A:$B,2,0)),"")</f>
        <v/>
      </c>
      <c r="F2337" t="str">
        <f>IFERROR(IF(D2337="","",VLOOKUP(D2337,CadProd!$A:$C,3,0)),"")</f>
        <v/>
      </c>
    </row>
    <row r="2338" spans="5:6" x14ac:dyDescent="0.3">
      <c r="E2338" t="str">
        <f>IFERROR(IF(D2338="","",VLOOKUP(D2338,CadProd!$A:$B,2,0)),"")</f>
        <v/>
      </c>
      <c r="F2338" t="str">
        <f>IFERROR(IF(D2338="","",VLOOKUP(D2338,CadProd!$A:$C,3,0)),"")</f>
        <v/>
      </c>
    </row>
    <row r="2339" spans="5:6" x14ac:dyDescent="0.3">
      <c r="E2339" t="str">
        <f>IFERROR(IF(D2339="","",VLOOKUP(D2339,CadProd!$A:$B,2,0)),"")</f>
        <v/>
      </c>
      <c r="F2339" t="str">
        <f>IFERROR(IF(D2339="","",VLOOKUP(D2339,CadProd!$A:$C,3,0)),"")</f>
        <v/>
      </c>
    </row>
    <row r="2340" spans="5:6" x14ac:dyDescent="0.3">
      <c r="E2340" t="str">
        <f>IFERROR(IF(D2340="","",VLOOKUP(D2340,CadProd!$A:$B,2,0)),"")</f>
        <v/>
      </c>
      <c r="F2340" t="str">
        <f>IFERROR(IF(D2340="","",VLOOKUP(D2340,CadProd!$A:$C,3,0)),"")</f>
        <v/>
      </c>
    </row>
    <row r="2341" spans="5:6" x14ac:dyDescent="0.3">
      <c r="E2341" t="str">
        <f>IFERROR(IF(D2341="","",VLOOKUP(D2341,CadProd!$A:$B,2,0)),"")</f>
        <v/>
      </c>
      <c r="F2341" t="str">
        <f>IFERROR(IF(D2341="","",VLOOKUP(D2341,CadProd!$A:$C,3,0)),"")</f>
        <v/>
      </c>
    </row>
    <row r="2342" spans="5:6" x14ac:dyDescent="0.3">
      <c r="E2342" t="str">
        <f>IFERROR(IF(D2342="","",VLOOKUP(D2342,CadProd!$A:$B,2,0)),"")</f>
        <v/>
      </c>
      <c r="F2342" t="str">
        <f>IFERROR(IF(D2342="","",VLOOKUP(D2342,CadProd!$A:$C,3,0)),"")</f>
        <v/>
      </c>
    </row>
    <row r="2343" spans="5:6" x14ac:dyDescent="0.3">
      <c r="E2343" t="str">
        <f>IFERROR(IF(D2343="","",VLOOKUP(D2343,CadProd!$A:$B,2,0)),"")</f>
        <v/>
      </c>
      <c r="F2343" t="str">
        <f>IFERROR(IF(D2343="","",VLOOKUP(D2343,CadProd!$A:$C,3,0)),"")</f>
        <v/>
      </c>
    </row>
    <row r="2344" spans="5:6" x14ac:dyDescent="0.3">
      <c r="E2344" t="str">
        <f>IFERROR(IF(D2344="","",VLOOKUP(D2344,CadProd!$A:$B,2,0)),"")</f>
        <v/>
      </c>
      <c r="F2344" t="str">
        <f>IFERROR(IF(D2344="","",VLOOKUP(D2344,CadProd!$A:$C,3,0)),"")</f>
        <v/>
      </c>
    </row>
    <row r="2345" spans="5:6" x14ac:dyDescent="0.3">
      <c r="E2345" t="str">
        <f>IFERROR(IF(D2345="","",VLOOKUP(D2345,CadProd!$A:$B,2,0)),"")</f>
        <v/>
      </c>
      <c r="F2345" t="str">
        <f>IFERROR(IF(D2345="","",VLOOKUP(D2345,CadProd!$A:$C,3,0)),"")</f>
        <v/>
      </c>
    </row>
    <row r="2346" spans="5:6" x14ac:dyDescent="0.3">
      <c r="E2346" t="str">
        <f>IFERROR(IF(D2346="","",VLOOKUP(D2346,CadProd!$A:$B,2,0)),"")</f>
        <v/>
      </c>
      <c r="F2346" t="str">
        <f>IFERROR(IF(D2346="","",VLOOKUP(D2346,CadProd!$A:$C,3,0)),"")</f>
        <v/>
      </c>
    </row>
    <row r="2347" spans="5:6" x14ac:dyDescent="0.3">
      <c r="E2347" t="str">
        <f>IFERROR(IF(D2347="","",VLOOKUP(D2347,CadProd!$A:$B,2,0)),"")</f>
        <v/>
      </c>
      <c r="F2347" t="str">
        <f>IFERROR(IF(D2347="","",VLOOKUP(D2347,CadProd!$A:$C,3,0)),"")</f>
        <v/>
      </c>
    </row>
    <row r="2348" spans="5:6" x14ac:dyDescent="0.3">
      <c r="E2348" t="str">
        <f>IFERROR(IF(D2348="","",VLOOKUP(D2348,CadProd!$A:$B,2,0)),"")</f>
        <v/>
      </c>
      <c r="F2348" t="str">
        <f>IFERROR(IF(D2348="","",VLOOKUP(D2348,CadProd!$A:$C,3,0)),"")</f>
        <v/>
      </c>
    </row>
    <row r="2349" spans="5:6" x14ac:dyDescent="0.3">
      <c r="E2349" t="str">
        <f>IFERROR(IF(D2349="","",VLOOKUP(D2349,CadProd!$A:$B,2,0)),"")</f>
        <v/>
      </c>
      <c r="F2349" t="str">
        <f>IFERROR(IF(D2349="","",VLOOKUP(D2349,CadProd!$A:$C,3,0)),"")</f>
        <v/>
      </c>
    </row>
    <row r="2350" spans="5:6" x14ac:dyDescent="0.3">
      <c r="E2350" t="str">
        <f>IFERROR(IF(D2350="","",VLOOKUP(D2350,CadProd!$A:$B,2,0)),"")</f>
        <v/>
      </c>
      <c r="F2350" t="str">
        <f>IFERROR(IF(D2350="","",VLOOKUP(D2350,CadProd!$A:$C,3,0)),"")</f>
        <v/>
      </c>
    </row>
    <row r="2351" spans="5:6" x14ac:dyDescent="0.3">
      <c r="E2351" t="str">
        <f>IFERROR(IF(D2351="","",VLOOKUP(D2351,CadProd!$A:$B,2,0)),"")</f>
        <v/>
      </c>
      <c r="F2351" t="str">
        <f>IFERROR(IF(D2351="","",VLOOKUP(D2351,CadProd!$A:$C,3,0)),"")</f>
        <v/>
      </c>
    </row>
    <row r="2352" spans="5:6" x14ac:dyDescent="0.3">
      <c r="E2352" t="str">
        <f>IFERROR(IF(D2352="","",VLOOKUP(D2352,CadProd!$A:$B,2,0)),"")</f>
        <v/>
      </c>
      <c r="F2352" t="str">
        <f>IFERROR(IF(D2352="","",VLOOKUP(D2352,CadProd!$A:$C,3,0)),"")</f>
        <v/>
      </c>
    </row>
    <row r="2353" spans="5:6" x14ac:dyDescent="0.3">
      <c r="E2353" t="str">
        <f>IFERROR(IF(D2353="","",VLOOKUP(D2353,CadProd!$A:$B,2,0)),"")</f>
        <v/>
      </c>
      <c r="F2353" t="str">
        <f>IFERROR(IF(D2353="","",VLOOKUP(D2353,CadProd!$A:$C,3,0)),"")</f>
        <v/>
      </c>
    </row>
    <row r="2354" spans="5:6" x14ac:dyDescent="0.3">
      <c r="E2354" t="str">
        <f>IFERROR(IF(D2354="","",VLOOKUP(D2354,CadProd!$A:$B,2,0)),"")</f>
        <v/>
      </c>
      <c r="F2354" t="str">
        <f>IFERROR(IF(D2354="","",VLOOKUP(D2354,CadProd!$A:$C,3,0)),"")</f>
        <v/>
      </c>
    </row>
    <row r="2355" spans="5:6" x14ac:dyDescent="0.3">
      <c r="E2355" t="str">
        <f>IFERROR(IF(D2355="","",VLOOKUP(D2355,CadProd!$A:$B,2,0)),"")</f>
        <v/>
      </c>
      <c r="F2355" t="str">
        <f>IFERROR(IF(D2355="","",VLOOKUP(D2355,CadProd!$A:$C,3,0)),"")</f>
        <v/>
      </c>
    </row>
    <row r="2356" spans="5:6" x14ac:dyDescent="0.3">
      <c r="E2356" t="str">
        <f>IFERROR(IF(D2356="","",VLOOKUP(D2356,CadProd!$A:$B,2,0)),"")</f>
        <v/>
      </c>
      <c r="F2356" t="str">
        <f>IFERROR(IF(D2356="","",VLOOKUP(D2356,CadProd!$A:$C,3,0)),"")</f>
        <v/>
      </c>
    </row>
    <row r="2357" spans="5:6" x14ac:dyDescent="0.3">
      <c r="E2357" t="str">
        <f>IFERROR(IF(D2357="","",VLOOKUP(D2357,CadProd!$A:$B,2,0)),"")</f>
        <v/>
      </c>
      <c r="F2357" t="str">
        <f>IFERROR(IF(D2357="","",VLOOKUP(D2357,CadProd!$A:$C,3,0)),"")</f>
        <v/>
      </c>
    </row>
    <row r="2358" spans="5:6" x14ac:dyDescent="0.3">
      <c r="E2358" t="str">
        <f>IFERROR(IF(D2358="","",VLOOKUP(D2358,CadProd!$A:$B,2,0)),"")</f>
        <v/>
      </c>
      <c r="F2358" t="str">
        <f>IFERROR(IF(D2358="","",VLOOKUP(D2358,CadProd!$A:$C,3,0)),"")</f>
        <v/>
      </c>
    </row>
    <row r="2359" spans="5:6" x14ac:dyDescent="0.3">
      <c r="E2359" t="str">
        <f>IFERROR(IF(D2359="","",VLOOKUP(D2359,CadProd!$A:$B,2,0)),"")</f>
        <v/>
      </c>
      <c r="F2359" t="str">
        <f>IFERROR(IF(D2359="","",VLOOKUP(D2359,CadProd!$A:$C,3,0)),"")</f>
        <v/>
      </c>
    </row>
    <row r="2360" spans="5:6" x14ac:dyDescent="0.3">
      <c r="E2360" t="str">
        <f>IFERROR(IF(D2360="","",VLOOKUP(D2360,CadProd!$A:$B,2,0)),"")</f>
        <v/>
      </c>
      <c r="F2360" t="str">
        <f>IFERROR(IF(D2360="","",VLOOKUP(D2360,CadProd!$A:$C,3,0)),"")</f>
        <v/>
      </c>
    </row>
    <row r="2361" spans="5:6" x14ac:dyDescent="0.3">
      <c r="E2361" t="str">
        <f>IFERROR(IF(D2361="","",VLOOKUP(D2361,CadProd!$A:$B,2,0)),"")</f>
        <v/>
      </c>
      <c r="F2361" t="str">
        <f>IFERROR(IF(D2361="","",VLOOKUP(D2361,CadProd!$A:$C,3,0)),"")</f>
        <v/>
      </c>
    </row>
    <row r="2362" spans="5:6" x14ac:dyDescent="0.3">
      <c r="E2362" t="str">
        <f>IFERROR(IF(D2362="","",VLOOKUP(D2362,CadProd!$A:$B,2,0)),"")</f>
        <v/>
      </c>
      <c r="F2362" t="str">
        <f>IFERROR(IF(D2362="","",VLOOKUP(D2362,CadProd!$A:$C,3,0)),"")</f>
        <v/>
      </c>
    </row>
    <row r="2363" spans="5:6" x14ac:dyDescent="0.3">
      <c r="E2363" t="str">
        <f>IFERROR(IF(D2363="","",VLOOKUP(D2363,CadProd!$A:$B,2,0)),"")</f>
        <v/>
      </c>
      <c r="F2363" t="str">
        <f>IFERROR(IF(D2363="","",VLOOKUP(D2363,CadProd!$A:$C,3,0)),"")</f>
        <v/>
      </c>
    </row>
    <row r="2364" spans="5:6" x14ac:dyDescent="0.3">
      <c r="E2364" t="str">
        <f>IFERROR(IF(D2364="","",VLOOKUP(D2364,CadProd!$A:$B,2,0)),"")</f>
        <v/>
      </c>
      <c r="F2364" t="str">
        <f>IFERROR(IF(D2364="","",VLOOKUP(D2364,CadProd!$A:$C,3,0)),"")</f>
        <v/>
      </c>
    </row>
    <row r="2365" spans="5:6" x14ac:dyDescent="0.3">
      <c r="E2365" t="str">
        <f>IFERROR(IF(D2365="","",VLOOKUP(D2365,CadProd!$A:$B,2,0)),"")</f>
        <v/>
      </c>
      <c r="F2365" t="str">
        <f>IFERROR(IF(D2365="","",VLOOKUP(D2365,CadProd!$A:$C,3,0)),"")</f>
        <v/>
      </c>
    </row>
    <row r="2366" spans="5:6" x14ac:dyDescent="0.3">
      <c r="E2366" t="str">
        <f>IFERROR(IF(D2366="","",VLOOKUP(D2366,CadProd!$A:$B,2,0)),"")</f>
        <v/>
      </c>
      <c r="F2366" t="str">
        <f>IFERROR(IF(D2366="","",VLOOKUP(D2366,CadProd!$A:$C,3,0)),"")</f>
        <v/>
      </c>
    </row>
    <row r="2367" spans="5:6" x14ac:dyDescent="0.3">
      <c r="E2367" t="str">
        <f>IFERROR(IF(D2367="","",VLOOKUP(D2367,CadProd!$A:$B,2,0)),"")</f>
        <v/>
      </c>
      <c r="F2367" t="str">
        <f>IFERROR(IF(D2367="","",VLOOKUP(D2367,CadProd!$A:$C,3,0)),"")</f>
        <v/>
      </c>
    </row>
    <row r="2368" spans="5:6" x14ac:dyDescent="0.3">
      <c r="E2368" t="str">
        <f>IFERROR(IF(D2368="","",VLOOKUP(D2368,CadProd!$A:$B,2,0)),"")</f>
        <v/>
      </c>
      <c r="F2368" t="str">
        <f>IFERROR(IF(D2368="","",VLOOKUP(D2368,CadProd!$A:$C,3,0)),"")</f>
        <v/>
      </c>
    </row>
    <row r="2369" spans="5:6" x14ac:dyDescent="0.3">
      <c r="E2369" t="str">
        <f>IFERROR(IF(D2369="","",VLOOKUP(D2369,CadProd!$A:$B,2,0)),"")</f>
        <v/>
      </c>
      <c r="F2369" t="str">
        <f>IFERROR(IF(D2369="","",VLOOKUP(D2369,CadProd!$A:$C,3,0)),"")</f>
        <v/>
      </c>
    </row>
    <row r="2370" spans="5:6" x14ac:dyDescent="0.3">
      <c r="E2370" t="str">
        <f>IFERROR(IF(D2370="","",VLOOKUP(D2370,CadProd!$A:$B,2,0)),"")</f>
        <v/>
      </c>
      <c r="F2370" t="str">
        <f>IFERROR(IF(D2370="","",VLOOKUP(D2370,CadProd!$A:$C,3,0)),"")</f>
        <v/>
      </c>
    </row>
    <row r="2371" spans="5:6" x14ac:dyDescent="0.3">
      <c r="E2371" t="str">
        <f>IFERROR(IF(D2371="","",VLOOKUP(D2371,CadProd!$A:$B,2,0)),"")</f>
        <v/>
      </c>
      <c r="F2371" t="str">
        <f>IFERROR(IF(D2371="","",VLOOKUP(D2371,CadProd!$A:$C,3,0)),"")</f>
        <v/>
      </c>
    </row>
    <row r="2372" spans="5:6" x14ac:dyDescent="0.3">
      <c r="E2372" t="str">
        <f>IFERROR(IF(D2372="","",VLOOKUP(D2372,CadProd!$A:$B,2,0)),"")</f>
        <v/>
      </c>
      <c r="F2372" t="str">
        <f>IFERROR(IF(D2372="","",VLOOKUP(D2372,CadProd!$A:$C,3,0)),"")</f>
        <v/>
      </c>
    </row>
    <row r="2373" spans="5:6" x14ac:dyDescent="0.3">
      <c r="E2373" t="str">
        <f>IFERROR(IF(D2373="","",VLOOKUP(D2373,CadProd!$A:$B,2,0)),"")</f>
        <v/>
      </c>
      <c r="F2373" t="str">
        <f>IFERROR(IF(D2373="","",VLOOKUP(D2373,CadProd!$A:$C,3,0)),"")</f>
        <v/>
      </c>
    </row>
    <row r="2374" spans="5:6" x14ac:dyDescent="0.3">
      <c r="E2374" t="str">
        <f>IFERROR(IF(D2374="","",VLOOKUP(D2374,CadProd!$A:$B,2,0)),"")</f>
        <v/>
      </c>
      <c r="F2374" t="str">
        <f>IFERROR(IF(D2374="","",VLOOKUP(D2374,CadProd!$A:$C,3,0)),"")</f>
        <v/>
      </c>
    </row>
    <row r="2375" spans="5:6" x14ac:dyDescent="0.3">
      <c r="E2375" t="str">
        <f>IFERROR(IF(D2375="","",VLOOKUP(D2375,CadProd!$A:$B,2,0)),"")</f>
        <v/>
      </c>
      <c r="F2375" t="str">
        <f>IFERROR(IF(D2375="","",VLOOKUP(D2375,CadProd!$A:$C,3,0)),"")</f>
        <v/>
      </c>
    </row>
    <row r="2376" spans="5:6" x14ac:dyDescent="0.3">
      <c r="E2376" t="str">
        <f>IFERROR(IF(D2376="","",VLOOKUP(D2376,CadProd!$A:$B,2,0)),"")</f>
        <v/>
      </c>
      <c r="F2376" t="str">
        <f>IFERROR(IF(D2376="","",VLOOKUP(D2376,CadProd!$A:$C,3,0)),"")</f>
        <v/>
      </c>
    </row>
    <row r="2377" spans="5:6" x14ac:dyDescent="0.3">
      <c r="E2377" t="str">
        <f>IFERROR(IF(D2377="","",VLOOKUP(D2377,CadProd!$A:$B,2,0)),"")</f>
        <v/>
      </c>
      <c r="F2377" t="str">
        <f>IFERROR(IF(D2377="","",VLOOKUP(D2377,CadProd!$A:$C,3,0)),"")</f>
        <v/>
      </c>
    </row>
    <row r="2378" spans="5:6" x14ac:dyDescent="0.3">
      <c r="E2378" t="str">
        <f>IFERROR(IF(D2378="","",VLOOKUP(D2378,CadProd!$A:$B,2,0)),"")</f>
        <v/>
      </c>
      <c r="F2378" t="str">
        <f>IFERROR(IF(D2378="","",VLOOKUP(D2378,CadProd!$A:$C,3,0)),"")</f>
        <v/>
      </c>
    </row>
    <row r="2379" spans="5:6" x14ac:dyDescent="0.3">
      <c r="E2379" t="str">
        <f>IFERROR(IF(D2379="","",VLOOKUP(D2379,CadProd!$A:$B,2,0)),"")</f>
        <v/>
      </c>
      <c r="F2379" t="str">
        <f>IFERROR(IF(D2379="","",VLOOKUP(D2379,CadProd!$A:$C,3,0)),"")</f>
        <v/>
      </c>
    </row>
    <row r="2380" spans="5:6" x14ac:dyDescent="0.3">
      <c r="E2380" t="str">
        <f>IFERROR(IF(D2380="","",VLOOKUP(D2380,CadProd!$A:$B,2,0)),"")</f>
        <v/>
      </c>
      <c r="F2380" t="str">
        <f>IFERROR(IF(D2380="","",VLOOKUP(D2380,CadProd!$A:$C,3,0)),"")</f>
        <v/>
      </c>
    </row>
    <row r="2381" spans="5:6" x14ac:dyDescent="0.3">
      <c r="E2381" t="str">
        <f>IFERROR(IF(D2381="","",VLOOKUP(D2381,CadProd!$A:$B,2,0)),"")</f>
        <v/>
      </c>
      <c r="F2381" t="str">
        <f>IFERROR(IF(D2381="","",VLOOKUP(D2381,CadProd!$A:$C,3,0)),"")</f>
        <v/>
      </c>
    </row>
    <row r="2382" spans="5:6" x14ac:dyDescent="0.3">
      <c r="E2382" t="str">
        <f>IFERROR(IF(D2382="","",VLOOKUP(D2382,CadProd!$A:$B,2,0)),"")</f>
        <v/>
      </c>
      <c r="F2382" t="str">
        <f>IFERROR(IF(D2382="","",VLOOKUP(D2382,CadProd!$A:$C,3,0)),"")</f>
        <v/>
      </c>
    </row>
    <row r="2383" spans="5:6" x14ac:dyDescent="0.3">
      <c r="E2383" t="str">
        <f>IFERROR(IF(D2383="","",VLOOKUP(D2383,CadProd!$A:$B,2,0)),"")</f>
        <v/>
      </c>
      <c r="F2383" t="str">
        <f>IFERROR(IF(D2383="","",VLOOKUP(D2383,CadProd!$A:$C,3,0)),"")</f>
        <v/>
      </c>
    </row>
    <row r="2384" spans="5:6" x14ac:dyDescent="0.3">
      <c r="E2384" t="str">
        <f>IFERROR(IF(D2384="","",VLOOKUP(D2384,CadProd!$A:$B,2,0)),"")</f>
        <v/>
      </c>
      <c r="F2384" t="str">
        <f>IFERROR(IF(D2384="","",VLOOKUP(D2384,CadProd!$A:$C,3,0)),"")</f>
        <v/>
      </c>
    </row>
    <row r="2385" spans="5:6" x14ac:dyDescent="0.3">
      <c r="E2385" t="str">
        <f>IFERROR(IF(D2385="","",VLOOKUP(D2385,CadProd!$A:$B,2,0)),"")</f>
        <v/>
      </c>
      <c r="F2385" t="str">
        <f>IFERROR(IF(D2385="","",VLOOKUP(D2385,CadProd!$A:$C,3,0)),"")</f>
        <v/>
      </c>
    </row>
    <row r="2386" spans="5:6" x14ac:dyDescent="0.3">
      <c r="E2386" t="str">
        <f>IFERROR(IF(D2386="","",VLOOKUP(D2386,CadProd!$A:$B,2,0)),"")</f>
        <v/>
      </c>
      <c r="F2386" t="str">
        <f>IFERROR(IF(D2386="","",VLOOKUP(D2386,CadProd!$A:$C,3,0)),"")</f>
        <v/>
      </c>
    </row>
    <row r="2387" spans="5:6" x14ac:dyDescent="0.3">
      <c r="E2387" t="str">
        <f>IFERROR(IF(D2387="","",VLOOKUP(D2387,CadProd!$A:$B,2,0)),"")</f>
        <v/>
      </c>
      <c r="F2387" t="str">
        <f>IFERROR(IF(D2387="","",VLOOKUP(D2387,CadProd!$A:$C,3,0)),"")</f>
        <v/>
      </c>
    </row>
    <row r="2388" spans="5:6" x14ac:dyDescent="0.3">
      <c r="E2388" t="str">
        <f>IFERROR(IF(D2388="","",VLOOKUP(D2388,CadProd!$A:$B,2,0)),"")</f>
        <v/>
      </c>
      <c r="F2388" t="str">
        <f>IFERROR(IF(D2388="","",VLOOKUP(D2388,CadProd!$A:$C,3,0)),"")</f>
        <v/>
      </c>
    </row>
    <row r="2389" spans="5:6" x14ac:dyDescent="0.3">
      <c r="E2389" t="str">
        <f>IFERROR(IF(D2389="","",VLOOKUP(D2389,CadProd!$A:$B,2,0)),"")</f>
        <v/>
      </c>
      <c r="F2389" t="str">
        <f>IFERROR(IF(D2389="","",VLOOKUP(D2389,CadProd!$A:$C,3,0)),"")</f>
        <v/>
      </c>
    </row>
    <row r="2390" spans="5:6" x14ac:dyDescent="0.3">
      <c r="E2390" t="str">
        <f>IFERROR(IF(D2390="","",VLOOKUP(D2390,CadProd!$A:$B,2,0)),"")</f>
        <v/>
      </c>
      <c r="F2390" t="str">
        <f>IFERROR(IF(D2390="","",VLOOKUP(D2390,CadProd!$A:$C,3,0)),"")</f>
        <v/>
      </c>
    </row>
    <row r="2391" spans="5:6" x14ac:dyDescent="0.3">
      <c r="E2391" t="str">
        <f>IFERROR(IF(D2391="","",VLOOKUP(D2391,CadProd!$A:$B,2,0)),"")</f>
        <v/>
      </c>
      <c r="F2391" t="str">
        <f>IFERROR(IF(D2391="","",VLOOKUP(D2391,CadProd!$A:$C,3,0)),"")</f>
        <v/>
      </c>
    </row>
    <row r="2392" spans="5:6" x14ac:dyDescent="0.3">
      <c r="E2392" t="str">
        <f>IFERROR(IF(D2392="","",VLOOKUP(D2392,CadProd!$A:$B,2,0)),"")</f>
        <v/>
      </c>
      <c r="F2392" t="str">
        <f>IFERROR(IF(D2392="","",VLOOKUP(D2392,CadProd!$A:$C,3,0)),"")</f>
        <v/>
      </c>
    </row>
    <row r="2393" spans="5:6" x14ac:dyDescent="0.3">
      <c r="E2393" t="str">
        <f>IFERROR(IF(D2393="","",VLOOKUP(D2393,CadProd!$A:$B,2,0)),"")</f>
        <v/>
      </c>
      <c r="F2393" t="str">
        <f>IFERROR(IF(D2393="","",VLOOKUP(D2393,CadProd!$A:$C,3,0)),"")</f>
        <v/>
      </c>
    </row>
    <row r="2394" spans="5:6" x14ac:dyDescent="0.3">
      <c r="E2394" t="str">
        <f>IFERROR(IF(D2394="","",VLOOKUP(D2394,CadProd!$A:$B,2,0)),"")</f>
        <v/>
      </c>
      <c r="F2394" t="str">
        <f>IFERROR(IF(D2394="","",VLOOKUP(D2394,CadProd!$A:$C,3,0)),"")</f>
        <v/>
      </c>
    </row>
    <row r="2395" spans="5:6" x14ac:dyDescent="0.3">
      <c r="E2395" t="str">
        <f>IFERROR(IF(D2395="","",VLOOKUP(D2395,CadProd!$A:$B,2,0)),"")</f>
        <v/>
      </c>
      <c r="F2395" t="str">
        <f>IFERROR(IF(D2395="","",VLOOKUP(D2395,CadProd!$A:$C,3,0)),"")</f>
        <v/>
      </c>
    </row>
    <row r="2396" spans="5:6" x14ac:dyDescent="0.3">
      <c r="E2396" t="str">
        <f>IFERROR(IF(D2396="","",VLOOKUP(D2396,CadProd!$A:$B,2,0)),"")</f>
        <v/>
      </c>
      <c r="F2396" t="str">
        <f>IFERROR(IF(D2396="","",VLOOKUP(D2396,CadProd!$A:$C,3,0)),"")</f>
        <v/>
      </c>
    </row>
    <row r="2397" spans="5:6" x14ac:dyDescent="0.3">
      <c r="E2397" t="str">
        <f>IFERROR(IF(D2397="","",VLOOKUP(D2397,CadProd!$A:$B,2,0)),"")</f>
        <v/>
      </c>
      <c r="F2397" t="str">
        <f>IFERROR(IF(D2397="","",VLOOKUP(D2397,CadProd!$A:$C,3,0)),"")</f>
        <v/>
      </c>
    </row>
    <row r="2398" spans="5:6" x14ac:dyDescent="0.3">
      <c r="E2398" t="str">
        <f>IFERROR(IF(D2398="","",VLOOKUP(D2398,CadProd!$A:$B,2,0)),"")</f>
        <v/>
      </c>
      <c r="F2398" t="str">
        <f>IFERROR(IF(D2398="","",VLOOKUP(D2398,CadProd!$A:$C,3,0)),"")</f>
        <v/>
      </c>
    </row>
    <row r="2399" spans="5:6" x14ac:dyDescent="0.3">
      <c r="E2399" t="str">
        <f>IFERROR(IF(D2399="","",VLOOKUP(D2399,CadProd!$A:$B,2,0)),"")</f>
        <v/>
      </c>
      <c r="F2399" t="str">
        <f>IFERROR(IF(D2399="","",VLOOKUP(D2399,CadProd!$A:$C,3,0)),"")</f>
        <v/>
      </c>
    </row>
    <row r="2400" spans="5:6" x14ac:dyDescent="0.3">
      <c r="E2400" t="str">
        <f>IFERROR(IF(D2400="","",VLOOKUP(D2400,CadProd!$A:$B,2,0)),"")</f>
        <v/>
      </c>
      <c r="F2400" t="str">
        <f>IFERROR(IF(D2400="","",VLOOKUP(D2400,CadProd!$A:$C,3,0)),"")</f>
        <v/>
      </c>
    </row>
    <row r="2401" spans="5:6" x14ac:dyDescent="0.3">
      <c r="E2401" t="str">
        <f>IFERROR(IF(D2401="","",VLOOKUP(D2401,CadProd!$A:$B,2,0)),"")</f>
        <v/>
      </c>
      <c r="F2401" t="str">
        <f>IFERROR(IF(D2401="","",VLOOKUP(D2401,CadProd!$A:$C,3,0)),"")</f>
        <v/>
      </c>
    </row>
    <row r="2402" spans="5:6" x14ac:dyDescent="0.3">
      <c r="E2402" t="str">
        <f>IFERROR(IF(D2402="","",VLOOKUP(D2402,CadProd!$A:$B,2,0)),"")</f>
        <v/>
      </c>
      <c r="F2402" t="str">
        <f>IFERROR(IF(D2402="","",VLOOKUP(D2402,CadProd!$A:$C,3,0)),"")</f>
        <v/>
      </c>
    </row>
    <row r="2403" spans="5:6" x14ac:dyDescent="0.3">
      <c r="E2403" t="str">
        <f>IFERROR(IF(D2403="","",VLOOKUP(D2403,CadProd!$A:$B,2,0)),"")</f>
        <v/>
      </c>
      <c r="F2403" t="str">
        <f>IFERROR(IF(D2403="","",VLOOKUP(D2403,CadProd!$A:$C,3,0)),"")</f>
        <v/>
      </c>
    </row>
    <row r="2404" spans="5:6" x14ac:dyDescent="0.3">
      <c r="E2404" t="str">
        <f>IFERROR(IF(D2404="","",VLOOKUP(D2404,CadProd!$A:$B,2,0)),"")</f>
        <v/>
      </c>
      <c r="F2404" t="str">
        <f>IFERROR(IF(D2404="","",VLOOKUP(D2404,CadProd!$A:$C,3,0)),"")</f>
        <v/>
      </c>
    </row>
    <row r="2405" spans="5:6" x14ac:dyDescent="0.3">
      <c r="E2405" t="str">
        <f>IFERROR(IF(D2405="","",VLOOKUP(D2405,CadProd!$A:$B,2,0)),"")</f>
        <v/>
      </c>
      <c r="F2405" t="str">
        <f>IFERROR(IF(D2405="","",VLOOKUP(D2405,CadProd!$A:$C,3,0)),"")</f>
        <v/>
      </c>
    </row>
    <row r="2406" spans="5:6" x14ac:dyDescent="0.3">
      <c r="E2406" t="str">
        <f>IFERROR(IF(D2406="","",VLOOKUP(D2406,CadProd!$A:$B,2,0)),"")</f>
        <v/>
      </c>
      <c r="F2406" t="str">
        <f>IFERROR(IF(D2406="","",VLOOKUP(D2406,CadProd!$A:$C,3,0)),"")</f>
        <v/>
      </c>
    </row>
    <row r="2407" spans="5:6" x14ac:dyDescent="0.3">
      <c r="E2407" t="str">
        <f>IFERROR(IF(D2407="","",VLOOKUP(D2407,CadProd!$A:$B,2,0)),"")</f>
        <v/>
      </c>
      <c r="F2407" t="str">
        <f>IFERROR(IF(D2407="","",VLOOKUP(D2407,CadProd!$A:$C,3,0)),"")</f>
        <v/>
      </c>
    </row>
    <row r="2408" spans="5:6" x14ac:dyDescent="0.3">
      <c r="E2408" t="str">
        <f>IFERROR(IF(D2408="","",VLOOKUP(D2408,CadProd!$A:$B,2,0)),"")</f>
        <v/>
      </c>
      <c r="F2408" t="str">
        <f>IFERROR(IF(D2408="","",VLOOKUP(D2408,CadProd!$A:$C,3,0)),"")</f>
        <v/>
      </c>
    </row>
    <row r="2409" spans="5:6" x14ac:dyDescent="0.3">
      <c r="E2409" t="str">
        <f>IFERROR(IF(D2409="","",VLOOKUP(D2409,CadProd!$A:$B,2,0)),"")</f>
        <v/>
      </c>
      <c r="F2409" t="str">
        <f>IFERROR(IF(D2409="","",VLOOKUP(D2409,CadProd!$A:$C,3,0)),"")</f>
        <v/>
      </c>
    </row>
    <row r="2410" spans="5:6" x14ac:dyDescent="0.3">
      <c r="E2410" t="str">
        <f>IFERROR(IF(D2410="","",VLOOKUP(D2410,CadProd!$A:$B,2,0)),"")</f>
        <v/>
      </c>
      <c r="F2410" t="str">
        <f>IFERROR(IF(D2410="","",VLOOKUP(D2410,CadProd!$A:$C,3,0)),"")</f>
        <v/>
      </c>
    </row>
    <row r="2411" spans="5:6" x14ac:dyDescent="0.3">
      <c r="E2411" t="str">
        <f>IFERROR(IF(D2411="","",VLOOKUP(D2411,CadProd!$A:$B,2,0)),"")</f>
        <v/>
      </c>
      <c r="F2411" t="str">
        <f>IFERROR(IF(D2411="","",VLOOKUP(D2411,CadProd!$A:$C,3,0)),"")</f>
        <v/>
      </c>
    </row>
    <row r="2412" spans="5:6" x14ac:dyDescent="0.3">
      <c r="E2412" t="str">
        <f>IFERROR(IF(D2412="","",VLOOKUP(D2412,CadProd!$A:$B,2,0)),"")</f>
        <v/>
      </c>
      <c r="F2412" t="str">
        <f>IFERROR(IF(D2412="","",VLOOKUP(D2412,CadProd!$A:$C,3,0)),"")</f>
        <v/>
      </c>
    </row>
    <row r="2413" spans="5:6" x14ac:dyDescent="0.3">
      <c r="E2413" t="str">
        <f>IFERROR(IF(D2413="","",VLOOKUP(D2413,CadProd!$A:$B,2,0)),"")</f>
        <v/>
      </c>
      <c r="F2413" t="str">
        <f>IFERROR(IF(D2413="","",VLOOKUP(D2413,CadProd!$A:$C,3,0)),"")</f>
        <v/>
      </c>
    </row>
    <row r="2414" spans="5:6" x14ac:dyDescent="0.3">
      <c r="E2414" t="str">
        <f>IFERROR(IF(D2414="","",VLOOKUP(D2414,CadProd!$A:$B,2,0)),"")</f>
        <v/>
      </c>
      <c r="F2414" t="str">
        <f>IFERROR(IF(D2414="","",VLOOKUP(D2414,CadProd!$A:$C,3,0)),"")</f>
        <v/>
      </c>
    </row>
    <row r="2415" spans="5:6" x14ac:dyDescent="0.3">
      <c r="E2415" t="str">
        <f>IFERROR(IF(D2415="","",VLOOKUP(D2415,CadProd!$A:$B,2,0)),"")</f>
        <v/>
      </c>
      <c r="F2415" t="str">
        <f>IFERROR(IF(D2415="","",VLOOKUP(D2415,CadProd!$A:$C,3,0)),"")</f>
        <v/>
      </c>
    </row>
    <row r="2416" spans="5:6" x14ac:dyDescent="0.3">
      <c r="E2416" t="str">
        <f>IFERROR(IF(D2416="","",VLOOKUP(D2416,CadProd!$A:$B,2,0)),"")</f>
        <v/>
      </c>
      <c r="F2416" t="str">
        <f>IFERROR(IF(D2416="","",VLOOKUP(D2416,CadProd!$A:$C,3,0)),"")</f>
        <v/>
      </c>
    </row>
    <row r="2417" spans="5:6" x14ac:dyDescent="0.3">
      <c r="E2417" t="str">
        <f>IFERROR(IF(D2417="","",VLOOKUP(D2417,CadProd!$A:$B,2,0)),"")</f>
        <v/>
      </c>
      <c r="F2417" t="str">
        <f>IFERROR(IF(D2417="","",VLOOKUP(D2417,CadProd!$A:$C,3,0)),"")</f>
        <v/>
      </c>
    </row>
    <row r="2418" spans="5:6" x14ac:dyDescent="0.3">
      <c r="E2418" t="str">
        <f>IFERROR(IF(D2418="","",VLOOKUP(D2418,CadProd!$A:$B,2,0)),"")</f>
        <v/>
      </c>
      <c r="F2418" t="str">
        <f>IFERROR(IF(D2418="","",VLOOKUP(D2418,CadProd!$A:$C,3,0)),"")</f>
        <v/>
      </c>
    </row>
    <row r="2419" spans="5:6" x14ac:dyDescent="0.3">
      <c r="E2419" t="str">
        <f>IFERROR(IF(D2419="","",VLOOKUP(D2419,CadProd!$A:$B,2,0)),"")</f>
        <v/>
      </c>
      <c r="F2419" t="str">
        <f>IFERROR(IF(D2419="","",VLOOKUP(D2419,CadProd!$A:$C,3,0)),"")</f>
        <v/>
      </c>
    </row>
    <row r="2420" spans="5:6" x14ac:dyDescent="0.3">
      <c r="E2420" t="str">
        <f>IFERROR(IF(D2420="","",VLOOKUP(D2420,CadProd!$A:$B,2,0)),"")</f>
        <v/>
      </c>
      <c r="F2420" t="str">
        <f>IFERROR(IF(D2420="","",VLOOKUP(D2420,CadProd!$A:$C,3,0)),"")</f>
        <v/>
      </c>
    </row>
    <row r="2421" spans="5:6" x14ac:dyDescent="0.3">
      <c r="E2421" t="str">
        <f>IFERROR(IF(D2421="","",VLOOKUP(D2421,CadProd!$A:$B,2,0)),"")</f>
        <v/>
      </c>
      <c r="F2421" t="str">
        <f>IFERROR(IF(D2421="","",VLOOKUP(D2421,CadProd!$A:$C,3,0)),"")</f>
        <v/>
      </c>
    </row>
    <row r="2422" spans="5:6" x14ac:dyDescent="0.3">
      <c r="E2422" t="str">
        <f>IFERROR(IF(D2422="","",VLOOKUP(D2422,CadProd!$A:$B,2,0)),"")</f>
        <v/>
      </c>
      <c r="F2422" t="str">
        <f>IFERROR(IF(D2422="","",VLOOKUP(D2422,CadProd!$A:$C,3,0)),"")</f>
        <v/>
      </c>
    </row>
    <row r="2423" spans="5:6" x14ac:dyDescent="0.3">
      <c r="E2423" t="str">
        <f>IFERROR(IF(D2423="","",VLOOKUP(D2423,CadProd!$A:$B,2,0)),"")</f>
        <v/>
      </c>
      <c r="F2423" t="str">
        <f>IFERROR(IF(D2423="","",VLOOKUP(D2423,CadProd!$A:$C,3,0)),"")</f>
        <v/>
      </c>
    </row>
    <row r="2424" spans="5:6" x14ac:dyDescent="0.3">
      <c r="E2424" t="str">
        <f>IFERROR(IF(D2424="","",VLOOKUP(D2424,CadProd!$A:$B,2,0)),"")</f>
        <v/>
      </c>
      <c r="F2424" t="str">
        <f>IFERROR(IF(D2424="","",VLOOKUP(D2424,CadProd!$A:$C,3,0)),"")</f>
        <v/>
      </c>
    </row>
    <row r="2425" spans="5:6" x14ac:dyDescent="0.3">
      <c r="E2425" t="str">
        <f>IFERROR(IF(D2425="","",VLOOKUP(D2425,CadProd!$A:$B,2,0)),"")</f>
        <v/>
      </c>
      <c r="F2425" t="str">
        <f>IFERROR(IF(D2425="","",VLOOKUP(D2425,CadProd!$A:$C,3,0)),"")</f>
        <v/>
      </c>
    </row>
    <row r="2426" spans="5:6" x14ac:dyDescent="0.3">
      <c r="E2426" t="str">
        <f>IFERROR(IF(D2426="","",VLOOKUP(D2426,CadProd!$A:$B,2,0)),"")</f>
        <v/>
      </c>
      <c r="F2426" t="str">
        <f>IFERROR(IF(D2426="","",VLOOKUP(D2426,CadProd!$A:$C,3,0)),"")</f>
        <v/>
      </c>
    </row>
    <row r="2427" spans="5:6" x14ac:dyDescent="0.3">
      <c r="E2427" t="str">
        <f>IFERROR(IF(D2427="","",VLOOKUP(D2427,CadProd!$A:$B,2,0)),"")</f>
        <v/>
      </c>
      <c r="F2427" t="str">
        <f>IFERROR(IF(D2427="","",VLOOKUP(D2427,CadProd!$A:$C,3,0)),"")</f>
        <v/>
      </c>
    </row>
    <row r="2428" spans="5:6" x14ac:dyDescent="0.3">
      <c r="E2428" t="str">
        <f>IFERROR(IF(D2428="","",VLOOKUP(D2428,CadProd!$A:$B,2,0)),"")</f>
        <v/>
      </c>
      <c r="F2428" t="str">
        <f>IFERROR(IF(D2428="","",VLOOKUP(D2428,CadProd!$A:$C,3,0)),"")</f>
        <v/>
      </c>
    </row>
    <row r="2429" spans="5:6" x14ac:dyDescent="0.3">
      <c r="E2429" t="str">
        <f>IFERROR(IF(D2429="","",VLOOKUP(D2429,CadProd!$A:$B,2,0)),"")</f>
        <v/>
      </c>
      <c r="F2429" t="str">
        <f>IFERROR(IF(D2429="","",VLOOKUP(D2429,CadProd!$A:$C,3,0)),"")</f>
        <v/>
      </c>
    </row>
    <row r="2430" spans="5:6" x14ac:dyDescent="0.3">
      <c r="E2430" t="str">
        <f>IFERROR(IF(D2430="","",VLOOKUP(D2430,CadProd!$A:$B,2,0)),"")</f>
        <v/>
      </c>
      <c r="F2430" t="str">
        <f>IFERROR(IF(D2430="","",VLOOKUP(D2430,CadProd!$A:$C,3,0)),"")</f>
        <v/>
      </c>
    </row>
    <row r="2431" spans="5:6" x14ac:dyDescent="0.3">
      <c r="E2431" t="str">
        <f>IFERROR(IF(D2431="","",VLOOKUP(D2431,CadProd!$A:$B,2,0)),"")</f>
        <v/>
      </c>
      <c r="F2431" t="str">
        <f>IFERROR(IF(D2431="","",VLOOKUP(D2431,CadProd!$A:$C,3,0)),"")</f>
        <v/>
      </c>
    </row>
    <row r="2432" spans="5:6" x14ac:dyDescent="0.3">
      <c r="E2432" t="str">
        <f>IFERROR(IF(D2432="","",VLOOKUP(D2432,CadProd!$A:$B,2,0)),"")</f>
        <v/>
      </c>
      <c r="F2432" t="str">
        <f>IFERROR(IF(D2432="","",VLOOKUP(D2432,CadProd!$A:$C,3,0)),"")</f>
        <v/>
      </c>
    </row>
    <row r="2433" spans="5:6" x14ac:dyDescent="0.3">
      <c r="E2433" t="str">
        <f>IFERROR(IF(D2433="","",VLOOKUP(D2433,CadProd!$A:$B,2,0)),"")</f>
        <v/>
      </c>
      <c r="F2433" t="str">
        <f>IFERROR(IF(D2433="","",VLOOKUP(D2433,CadProd!$A:$C,3,0)),"")</f>
        <v/>
      </c>
    </row>
    <row r="2434" spans="5:6" x14ac:dyDescent="0.3">
      <c r="E2434" t="str">
        <f>IFERROR(IF(D2434="","",VLOOKUP(D2434,CadProd!$A:$B,2,0)),"")</f>
        <v/>
      </c>
      <c r="F2434" t="str">
        <f>IFERROR(IF(D2434="","",VLOOKUP(D2434,CadProd!$A:$C,3,0)),"")</f>
        <v/>
      </c>
    </row>
    <row r="2435" spans="5:6" x14ac:dyDescent="0.3">
      <c r="E2435" t="str">
        <f>IFERROR(IF(D2435="","",VLOOKUP(D2435,CadProd!$A:$B,2,0)),"")</f>
        <v/>
      </c>
      <c r="F2435" t="str">
        <f>IFERROR(IF(D2435="","",VLOOKUP(D2435,CadProd!$A:$C,3,0)),"")</f>
        <v/>
      </c>
    </row>
    <row r="2436" spans="5:6" x14ac:dyDescent="0.3">
      <c r="E2436" t="str">
        <f>IFERROR(IF(D2436="","",VLOOKUP(D2436,CadProd!$A:$B,2,0)),"")</f>
        <v/>
      </c>
      <c r="F2436" t="str">
        <f>IFERROR(IF(D2436="","",VLOOKUP(D2436,CadProd!$A:$C,3,0)),"")</f>
        <v/>
      </c>
    </row>
    <row r="2437" spans="5:6" x14ac:dyDescent="0.3">
      <c r="E2437" t="str">
        <f>IFERROR(IF(D2437="","",VLOOKUP(D2437,CadProd!$A:$B,2,0)),"")</f>
        <v/>
      </c>
      <c r="F2437" t="str">
        <f>IFERROR(IF(D2437="","",VLOOKUP(D2437,CadProd!$A:$C,3,0)),"")</f>
        <v/>
      </c>
    </row>
    <row r="2438" spans="5:6" x14ac:dyDescent="0.3">
      <c r="E2438" t="str">
        <f>IFERROR(IF(D2438="","",VLOOKUP(D2438,CadProd!$A:$B,2,0)),"")</f>
        <v/>
      </c>
      <c r="F2438" t="str">
        <f>IFERROR(IF(D2438="","",VLOOKUP(D2438,CadProd!$A:$C,3,0)),"")</f>
        <v/>
      </c>
    </row>
    <row r="2439" spans="5:6" x14ac:dyDescent="0.3">
      <c r="E2439" t="str">
        <f>IFERROR(IF(D2439="","",VLOOKUP(D2439,CadProd!$A:$B,2,0)),"")</f>
        <v/>
      </c>
      <c r="F2439" t="str">
        <f>IFERROR(IF(D2439="","",VLOOKUP(D2439,CadProd!$A:$C,3,0)),"")</f>
        <v/>
      </c>
    </row>
    <row r="2440" spans="5:6" x14ac:dyDescent="0.3">
      <c r="E2440" t="str">
        <f>IFERROR(IF(D2440="","",VLOOKUP(D2440,CadProd!$A:$B,2,0)),"")</f>
        <v/>
      </c>
      <c r="F2440" t="str">
        <f>IFERROR(IF(D2440="","",VLOOKUP(D2440,CadProd!$A:$C,3,0)),"")</f>
        <v/>
      </c>
    </row>
    <row r="2441" spans="5:6" x14ac:dyDescent="0.3">
      <c r="E2441" t="str">
        <f>IFERROR(IF(D2441="","",VLOOKUP(D2441,CadProd!$A:$B,2,0)),"")</f>
        <v/>
      </c>
      <c r="F2441" t="str">
        <f>IFERROR(IF(D2441="","",VLOOKUP(D2441,CadProd!$A:$C,3,0)),"")</f>
        <v/>
      </c>
    </row>
    <row r="2442" spans="5:6" x14ac:dyDescent="0.3">
      <c r="E2442" t="str">
        <f>IFERROR(IF(D2442="","",VLOOKUP(D2442,CadProd!$A:$B,2,0)),"")</f>
        <v/>
      </c>
      <c r="F2442" t="str">
        <f>IFERROR(IF(D2442="","",VLOOKUP(D2442,CadProd!$A:$C,3,0)),"")</f>
        <v/>
      </c>
    </row>
    <row r="2443" spans="5:6" x14ac:dyDescent="0.3">
      <c r="E2443" t="str">
        <f>IFERROR(IF(D2443="","",VLOOKUP(D2443,CadProd!$A:$B,2,0)),"")</f>
        <v/>
      </c>
      <c r="F2443" t="str">
        <f>IFERROR(IF(D2443="","",VLOOKUP(D2443,CadProd!$A:$C,3,0)),"")</f>
        <v/>
      </c>
    </row>
    <row r="2444" spans="5:6" x14ac:dyDescent="0.3">
      <c r="E2444" t="str">
        <f>IFERROR(IF(D2444="","",VLOOKUP(D2444,CadProd!$A:$B,2,0)),"")</f>
        <v/>
      </c>
      <c r="F2444" t="str">
        <f>IFERROR(IF(D2444="","",VLOOKUP(D2444,CadProd!$A:$C,3,0)),"")</f>
        <v/>
      </c>
    </row>
    <row r="2445" spans="5:6" x14ac:dyDescent="0.3">
      <c r="E2445" t="str">
        <f>IFERROR(IF(D2445="","",VLOOKUP(D2445,CadProd!$A:$B,2,0)),"")</f>
        <v/>
      </c>
      <c r="F2445" t="str">
        <f>IFERROR(IF(D2445="","",VLOOKUP(D2445,CadProd!$A:$C,3,0)),"")</f>
        <v/>
      </c>
    </row>
    <row r="2446" spans="5:6" x14ac:dyDescent="0.3">
      <c r="E2446" t="str">
        <f>IFERROR(IF(D2446="","",VLOOKUP(D2446,CadProd!$A:$B,2,0)),"")</f>
        <v/>
      </c>
      <c r="F2446" t="str">
        <f>IFERROR(IF(D2446="","",VLOOKUP(D2446,CadProd!$A:$C,3,0)),"")</f>
        <v/>
      </c>
    </row>
    <row r="2447" spans="5:6" x14ac:dyDescent="0.3">
      <c r="E2447" t="str">
        <f>IFERROR(IF(D2447="","",VLOOKUP(D2447,CadProd!$A:$B,2,0)),"")</f>
        <v/>
      </c>
      <c r="F2447" t="str">
        <f>IFERROR(IF(D2447="","",VLOOKUP(D2447,CadProd!$A:$C,3,0)),"")</f>
        <v/>
      </c>
    </row>
    <row r="2448" spans="5:6" x14ac:dyDescent="0.3">
      <c r="E2448" t="str">
        <f>IFERROR(IF(D2448="","",VLOOKUP(D2448,CadProd!$A:$B,2,0)),"")</f>
        <v/>
      </c>
      <c r="F2448" t="str">
        <f>IFERROR(IF(D2448="","",VLOOKUP(D2448,CadProd!$A:$C,3,0)),"")</f>
        <v/>
      </c>
    </row>
    <row r="2449" spans="5:6" x14ac:dyDescent="0.3">
      <c r="E2449" t="str">
        <f>IFERROR(IF(D2449="","",VLOOKUP(D2449,CadProd!$A:$B,2,0)),"")</f>
        <v/>
      </c>
      <c r="F2449" t="str">
        <f>IFERROR(IF(D2449="","",VLOOKUP(D2449,CadProd!$A:$C,3,0)),"")</f>
        <v/>
      </c>
    </row>
    <row r="2450" spans="5:6" x14ac:dyDescent="0.3">
      <c r="E2450" t="str">
        <f>IFERROR(IF(D2450="","",VLOOKUP(D2450,CadProd!$A:$B,2,0)),"")</f>
        <v/>
      </c>
      <c r="F2450" t="str">
        <f>IFERROR(IF(D2450="","",VLOOKUP(D2450,CadProd!$A:$C,3,0)),"")</f>
        <v/>
      </c>
    </row>
    <row r="2451" spans="5:6" x14ac:dyDescent="0.3">
      <c r="E2451" t="str">
        <f>IFERROR(IF(D2451="","",VLOOKUP(D2451,CadProd!$A:$B,2,0)),"")</f>
        <v/>
      </c>
      <c r="F2451" t="str">
        <f>IFERROR(IF(D2451="","",VLOOKUP(D2451,CadProd!$A:$C,3,0)),"")</f>
        <v/>
      </c>
    </row>
    <row r="2452" spans="5:6" x14ac:dyDescent="0.3">
      <c r="E2452" t="str">
        <f>IFERROR(IF(D2452="","",VLOOKUP(D2452,CadProd!$A:$B,2,0)),"")</f>
        <v/>
      </c>
      <c r="F2452" t="str">
        <f>IFERROR(IF(D2452="","",VLOOKUP(D2452,CadProd!$A:$C,3,0)),"")</f>
        <v/>
      </c>
    </row>
    <row r="2453" spans="5:6" x14ac:dyDescent="0.3">
      <c r="E2453" t="str">
        <f>IFERROR(IF(D2453="","",VLOOKUP(D2453,CadProd!$A:$B,2,0)),"")</f>
        <v/>
      </c>
      <c r="F2453" t="str">
        <f>IFERROR(IF(D2453="","",VLOOKUP(D2453,CadProd!$A:$C,3,0)),"")</f>
        <v/>
      </c>
    </row>
    <row r="2454" spans="5:6" x14ac:dyDescent="0.3">
      <c r="E2454" t="str">
        <f>IFERROR(IF(D2454="","",VLOOKUP(D2454,CadProd!$A:$B,2,0)),"")</f>
        <v/>
      </c>
      <c r="F2454" t="str">
        <f>IFERROR(IF(D2454="","",VLOOKUP(D2454,CadProd!$A:$C,3,0)),"")</f>
        <v/>
      </c>
    </row>
    <row r="2455" spans="5:6" x14ac:dyDescent="0.3">
      <c r="E2455" t="str">
        <f>IFERROR(IF(D2455="","",VLOOKUP(D2455,CadProd!$A:$B,2,0)),"")</f>
        <v/>
      </c>
      <c r="F2455" t="str">
        <f>IFERROR(IF(D2455="","",VLOOKUP(D2455,CadProd!$A:$C,3,0)),"")</f>
        <v/>
      </c>
    </row>
    <row r="2456" spans="5:6" x14ac:dyDescent="0.3">
      <c r="E2456" t="str">
        <f>IFERROR(IF(D2456="","",VLOOKUP(D2456,CadProd!$A:$B,2,0)),"")</f>
        <v/>
      </c>
      <c r="F2456" t="str">
        <f>IFERROR(IF(D2456="","",VLOOKUP(D2456,CadProd!$A:$C,3,0)),"")</f>
        <v/>
      </c>
    </row>
    <row r="2457" spans="5:6" x14ac:dyDescent="0.3">
      <c r="E2457" t="str">
        <f>IFERROR(IF(D2457="","",VLOOKUP(D2457,CadProd!$A:$B,2,0)),"")</f>
        <v/>
      </c>
      <c r="F2457" t="str">
        <f>IFERROR(IF(D2457="","",VLOOKUP(D2457,CadProd!$A:$C,3,0)),"")</f>
        <v/>
      </c>
    </row>
    <row r="2458" spans="5:6" x14ac:dyDescent="0.3">
      <c r="E2458" t="str">
        <f>IFERROR(IF(D2458="","",VLOOKUP(D2458,CadProd!$A:$B,2,0)),"")</f>
        <v/>
      </c>
      <c r="F2458" t="str">
        <f>IFERROR(IF(D2458="","",VLOOKUP(D2458,CadProd!$A:$C,3,0)),"")</f>
        <v/>
      </c>
    </row>
    <row r="2459" spans="5:6" x14ac:dyDescent="0.3">
      <c r="E2459" t="str">
        <f>IFERROR(IF(D2459="","",VLOOKUP(D2459,CadProd!$A:$B,2,0)),"")</f>
        <v/>
      </c>
      <c r="F2459" t="str">
        <f>IFERROR(IF(D2459="","",VLOOKUP(D2459,CadProd!$A:$C,3,0)),"")</f>
        <v/>
      </c>
    </row>
    <row r="2460" spans="5:6" x14ac:dyDescent="0.3">
      <c r="E2460" t="str">
        <f>IFERROR(IF(D2460="","",VLOOKUP(D2460,CadProd!$A:$B,2,0)),"")</f>
        <v/>
      </c>
      <c r="F2460" t="str">
        <f>IFERROR(IF(D2460="","",VLOOKUP(D2460,CadProd!$A:$C,3,0)),"")</f>
        <v/>
      </c>
    </row>
    <row r="2461" spans="5:6" x14ac:dyDescent="0.3">
      <c r="E2461" t="str">
        <f>IFERROR(IF(D2461="","",VLOOKUP(D2461,CadProd!$A:$B,2,0)),"")</f>
        <v/>
      </c>
      <c r="F2461" t="str">
        <f>IFERROR(IF(D2461="","",VLOOKUP(D2461,CadProd!$A:$C,3,0)),"")</f>
        <v/>
      </c>
    </row>
    <row r="2462" spans="5:6" x14ac:dyDescent="0.3">
      <c r="E2462" t="str">
        <f>IFERROR(IF(D2462="","",VLOOKUP(D2462,CadProd!$A:$B,2,0)),"")</f>
        <v/>
      </c>
      <c r="F2462" t="str">
        <f>IFERROR(IF(D2462="","",VLOOKUP(D2462,CadProd!$A:$C,3,0)),"")</f>
        <v/>
      </c>
    </row>
    <row r="2463" spans="5:6" x14ac:dyDescent="0.3">
      <c r="E2463" t="str">
        <f>IFERROR(IF(D2463="","",VLOOKUP(D2463,CadProd!$A:$B,2,0)),"")</f>
        <v/>
      </c>
      <c r="F2463" t="str">
        <f>IFERROR(IF(D2463="","",VLOOKUP(D2463,CadProd!$A:$C,3,0)),"")</f>
        <v/>
      </c>
    </row>
    <row r="2464" spans="5:6" x14ac:dyDescent="0.3">
      <c r="E2464" t="str">
        <f>IFERROR(IF(D2464="","",VLOOKUP(D2464,CadProd!$A:$B,2,0)),"")</f>
        <v/>
      </c>
      <c r="F2464" t="str">
        <f>IFERROR(IF(D2464="","",VLOOKUP(D2464,CadProd!$A:$C,3,0)),"")</f>
        <v/>
      </c>
    </row>
    <row r="2465" spans="5:6" x14ac:dyDescent="0.3">
      <c r="E2465" t="str">
        <f>IFERROR(IF(D2465="","",VLOOKUP(D2465,CadProd!$A:$B,2,0)),"")</f>
        <v/>
      </c>
      <c r="F2465" t="str">
        <f>IFERROR(IF(D2465="","",VLOOKUP(D2465,CadProd!$A:$C,3,0)),"")</f>
        <v/>
      </c>
    </row>
    <row r="2466" spans="5:6" x14ac:dyDescent="0.3">
      <c r="E2466" t="str">
        <f>IFERROR(IF(D2466="","",VLOOKUP(D2466,CadProd!$A:$B,2,0)),"")</f>
        <v/>
      </c>
      <c r="F2466" t="str">
        <f>IFERROR(IF(D2466="","",VLOOKUP(D2466,CadProd!$A:$C,3,0)),"")</f>
        <v/>
      </c>
    </row>
    <row r="2467" spans="5:6" x14ac:dyDescent="0.3">
      <c r="E2467" t="str">
        <f>IFERROR(IF(D2467="","",VLOOKUP(D2467,CadProd!$A:$B,2,0)),"")</f>
        <v/>
      </c>
      <c r="F2467" t="str">
        <f>IFERROR(IF(D2467="","",VLOOKUP(D2467,CadProd!$A:$C,3,0)),"")</f>
        <v/>
      </c>
    </row>
    <row r="2468" spans="5:6" x14ac:dyDescent="0.3">
      <c r="E2468" t="str">
        <f>IFERROR(IF(D2468="","",VLOOKUP(D2468,CadProd!$A:$B,2,0)),"")</f>
        <v/>
      </c>
      <c r="F2468" t="str">
        <f>IFERROR(IF(D2468="","",VLOOKUP(D2468,CadProd!$A:$C,3,0)),"")</f>
        <v/>
      </c>
    </row>
    <row r="2469" spans="5:6" x14ac:dyDescent="0.3">
      <c r="E2469" t="str">
        <f>IFERROR(IF(D2469="","",VLOOKUP(D2469,CadProd!$A:$B,2,0)),"")</f>
        <v/>
      </c>
      <c r="F2469" t="str">
        <f>IFERROR(IF(D2469="","",VLOOKUP(D2469,CadProd!$A:$C,3,0)),"")</f>
        <v/>
      </c>
    </row>
    <row r="2470" spans="5:6" x14ac:dyDescent="0.3">
      <c r="E2470" t="str">
        <f>IFERROR(IF(D2470="","",VLOOKUP(D2470,CadProd!$A:$B,2,0)),"")</f>
        <v/>
      </c>
      <c r="F2470" t="str">
        <f>IFERROR(IF(D2470="","",VLOOKUP(D2470,CadProd!$A:$C,3,0)),"")</f>
        <v/>
      </c>
    </row>
    <row r="2471" spans="5:6" x14ac:dyDescent="0.3">
      <c r="E2471" t="str">
        <f>IFERROR(IF(D2471="","",VLOOKUP(D2471,CadProd!$A:$B,2,0)),"")</f>
        <v/>
      </c>
      <c r="F2471" t="str">
        <f>IFERROR(IF(D2471="","",VLOOKUP(D2471,CadProd!$A:$C,3,0)),"")</f>
        <v/>
      </c>
    </row>
    <row r="2472" spans="5:6" x14ac:dyDescent="0.3">
      <c r="E2472" t="str">
        <f>IFERROR(IF(D2472="","",VLOOKUP(D2472,CadProd!$A:$B,2,0)),"")</f>
        <v/>
      </c>
      <c r="F2472" t="str">
        <f>IFERROR(IF(D2472="","",VLOOKUP(D2472,CadProd!$A:$C,3,0)),"")</f>
        <v/>
      </c>
    </row>
    <row r="2473" spans="5:6" x14ac:dyDescent="0.3">
      <c r="E2473" t="str">
        <f>IFERROR(IF(D2473="","",VLOOKUP(D2473,CadProd!$A:$B,2,0)),"")</f>
        <v/>
      </c>
      <c r="F2473" t="str">
        <f>IFERROR(IF(D2473="","",VLOOKUP(D2473,CadProd!$A:$C,3,0)),"")</f>
        <v/>
      </c>
    </row>
    <row r="2474" spans="5:6" x14ac:dyDescent="0.3">
      <c r="E2474" t="str">
        <f>IFERROR(IF(D2474="","",VLOOKUP(D2474,CadProd!$A:$B,2,0)),"")</f>
        <v/>
      </c>
      <c r="F2474" t="str">
        <f>IFERROR(IF(D2474="","",VLOOKUP(D2474,CadProd!$A:$C,3,0)),"")</f>
        <v/>
      </c>
    </row>
    <row r="2475" spans="5:6" x14ac:dyDescent="0.3">
      <c r="E2475" t="str">
        <f>IFERROR(IF(D2475="","",VLOOKUP(D2475,CadProd!$A:$B,2,0)),"")</f>
        <v/>
      </c>
      <c r="F2475" t="str">
        <f>IFERROR(IF(D2475="","",VLOOKUP(D2475,CadProd!$A:$C,3,0)),"")</f>
        <v/>
      </c>
    </row>
    <row r="2476" spans="5:6" x14ac:dyDescent="0.3">
      <c r="E2476" t="str">
        <f>IFERROR(IF(D2476="","",VLOOKUP(D2476,CadProd!$A:$B,2,0)),"")</f>
        <v/>
      </c>
      <c r="F2476" t="str">
        <f>IFERROR(IF(D2476="","",VLOOKUP(D2476,CadProd!$A:$C,3,0)),"")</f>
        <v/>
      </c>
    </row>
    <row r="2477" spans="5:6" x14ac:dyDescent="0.3">
      <c r="E2477" t="str">
        <f>IFERROR(IF(D2477="","",VLOOKUP(D2477,CadProd!$A:$B,2,0)),"")</f>
        <v/>
      </c>
      <c r="F2477" t="str">
        <f>IFERROR(IF(D2477="","",VLOOKUP(D2477,CadProd!$A:$C,3,0)),"")</f>
        <v/>
      </c>
    </row>
    <row r="2478" spans="5:6" x14ac:dyDescent="0.3">
      <c r="E2478" t="str">
        <f>IFERROR(IF(D2478="","",VLOOKUP(D2478,CadProd!$A:$B,2,0)),"")</f>
        <v/>
      </c>
      <c r="F2478" t="str">
        <f>IFERROR(IF(D2478="","",VLOOKUP(D2478,CadProd!$A:$C,3,0)),"")</f>
        <v/>
      </c>
    </row>
    <row r="2479" spans="5:6" x14ac:dyDescent="0.3">
      <c r="E2479" t="str">
        <f>IFERROR(IF(D2479="","",VLOOKUP(D2479,CadProd!$A:$B,2,0)),"")</f>
        <v/>
      </c>
      <c r="F2479" t="str">
        <f>IFERROR(IF(D2479="","",VLOOKUP(D2479,CadProd!$A:$C,3,0)),"")</f>
        <v/>
      </c>
    </row>
    <row r="2480" spans="5:6" x14ac:dyDescent="0.3">
      <c r="E2480" t="str">
        <f>IFERROR(IF(D2480="","",VLOOKUP(D2480,CadProd!$A:$B,2,0)),"")</f>
        <v/>
      </c>
      <c r="F2480" t="str">
        <f>IFERROR(IF(D2480="","",VLOOKUP(D2480,CadProd!$A:$C,3,0)),"")</f>
        <v/>
      </c>
    </row>
    <row r="2481" spans="5:6" x14ac:dyDescent="0.3">
      <c r="E2481" t="str">
        <f>IFERROR(IF(D2481="","",VLOOKUP(D2481,CadProd!$A:$B,2,0)),"")</f>
        <v/>
      </c>
      <c r="F2481" t="str">
        <f>IFERROR(IF(D2481="","",VLOOKUP(D2481,CadProd!$A:$C,3,0)),"")</f>
        <v/>
      </c>
    </row>
    <row r="2482" spans="5:6" x14ac:dyDescent="0.3">
      <c r="E2482" t="str">
        <f>IFERROR(IF(D2482="","",VLOOKUP(D2482,CadProd!$A:$B,2,0)),"")</f>
        <v/>
      </c>
      <c r="F2482" t="str">
        <f>IFERROR(IF(D2482="","",VLOOKUP(D2482,CadProd!$A:$C,3,0)),"")</f>
        <v/>
      </c>
    </row>
    <row r="2483" spans="5:6" x14ac:dyDescent="0.3">
      <c r="E2483" t="str">
        <f>IFERROR(IF(D2483="","",VLOOKUP(D2483,CadProd!$A:$B,2,0)),"")</f>
        <v/>
      </c>
      <c r="F2483" t="str">
        <f>IFERROR(IF(D2483="","",VLOOKUP(D2483,CadProd!$A:$C,3,0)),"")</f>
        <v/>
      </c>
    </row>
    <row r="2484" spans="5:6" x14ac:dyDescent="0.3">
      <c r="E2484" t="str">
        <f>IFERROR(IF(D2484="","",VLOOKUP(D2484,CadProd!$A:$B,2,0)),"")</f>
        <v/>
      </c>
      <c r="F2484" t="str">
        <f>IFERROR(IF(D2484="","",VLOOKUP(D2484,CadProd!$A:$C,3,0)),"")</f>
        <v/>
      </c>
    </row>
    <row r="2485" spans="5:6" x14ac:dyDescent="0.3">
      <c r="E2485" t="str">
        <f>IFERROR(IF(D2485="","",VLOOKUP(D2485,CadProd!$A:$B,2,0)),"")</f>
        <v/>
      </c>
      <c r="F2485" t="str">
        <f>IFERROR(IF(D2485="","",VLOOKUP(D2485,CadProd!$A:$C,3,0)),"")</f>
        <v/>
      </c>
    </row>
    <row r="2486" spans="5:6" x14ac:dyDescent="0.3">
      <c r="E2486" t="str">
        <f>IFERROR(IF(D2486="","",VLOOKUP(D2486,CadProd!$A:$B,2,0)),"")</f>
        <v/>
      </c>
      <c r="F2486" t="str">
        <f>IFERROR(IF(D2486="","",VLOOKUP(D2486,CadProd!$A:$C,3,0)),"")</f>
        <v/>
      </c>
    </row>
    <row r="2487" spans="5:6" x14ac:dyDescent="0.3">
      <c r="E2487" t="str">
        <f>IFERROR(IF(D2487="","",VLOOKUP(D2487,CadProd!$A:$B,2,0)),"")</f>
        <v/>
      </c>
      <c r="F2487" t="str">
        <f>IFERROR(IF(D2487="","",VLOOKUP(D2487,CadProd!$A:$C,3,0)),"")</f>
        <v/>
      </c>
    </row>
    <row r="2488" spans="5:6" x14ac:dyDescent="0.3">
      <c r="E2488" t="str">
        <f>IFERROR(IF(D2488="","",VLOOKUP(D2488,CadProd!$A:$B,2,0)),"")</f>
        <v/>
      </c>
      <c r="F2488" t="str">
        <f>IFERROR(IF(D2488="","",VLOOKUP(D2488,CadProd!$A:$C,3,0)),"")</f>
        <v/>
      </c>
    </row>
    <row r="2489" spans="5:6" x14ac:dyDescent="0.3">
      <c r="E2489" t="str">
        <f>IFERROR(IF(D2489="","",VLOOKUP(D2489,CadProd!$A:$B,2,0)),"")</f>
        <v/>
      </c>
      <c r="F2489" t="str">
        <f>IFERROR(IF(D2489="","",VLOOKUP(D2489,CadProd!$A:$C,3,0)),"")</f>
        <v/>
      </c>
    </row>
    <row r="2490" spans="5:6" x14ac:dyDescent="0.3">
      <c r="E2490" t="str">
        <f>IFERROR(IF(D2490="","",VLOOKUP(D2490,CadProd!$A:$B,2,0)),"")</f>
        <v/>
      </c>
      <c r="F2490" t="str">
        <f>IFERROR(IF(D2490="","",VLOOKUP(D2490,CadProd!$A:$C,3,0)),"")</f>
        <v/>
      </c>
    </row>
    <row r="2491" spans="5:6" x14ac:dyDescent="0.3">
      <c r="E2491" t="str">
        <f>IFERROR(IF(D2491="","",VLOOKUP(D2491,CadProd!$A:$B,2,0)),"")</f>
        <v/>
      </c>
      <c r="F2491" t="str">
        <f>IFERROR(IF(D2491="","",VLOOKUP(D2491,CadProd!$A:$C,3,0)),"")</f>
        <v/>
      </c>
    </row>
    <row r="2492" spans="5:6" x14ac:dyDescent="0.3">
      <c r="E2492" t="str">
        <f>IFERROR(IF(D2492="","",VLOOKUP(D2492,CadProd!$A:$B,2,0)),"")</f>
        <v/>
      </c>
      <c r="F2492" t="str">
        <f>IFERROR(IF(D2492="","",VLOOKUP(D2492,CadProd!$A:$C,3,0)),"")</f>
        <v/>
      </c>
    </row>
    <row r="2493" spans="5:6" x14ac:dyDescent="0.3">
      <c r="E2493" t="str">
        <f>IFERROR(IF(D2493="","",VLOOKUP(D2493,CadProd!$A:$B,2,0)),"")</f>
        <v/>
      </c>
      <c r="F2493" t="str">
        <f>IFERROR(IF(D2493="","",VLOOKUP(D2493,CadProd!$A:$C,3,0)),"")</f>
        <v/>
      </c>
    </row>
    <row r="2494" spans="5:6" x14ac:dyDescent="0.3">
      <c r="E2494" t="str">
        <f>IFERROR(IF(D2494="","",VLOOKUP(D2494,CadProd!$A:$B,2,0)),"")</f>
        <v/>
      </c>
      <c r="F2494" t="str">
        <f>IFERROR(IF(D2494="","",VLOOKUP(D2494,CadProd!$A:$C,3,0)),"")</f>
        <v/>
      </c>
    </row>
    <row r="2495" spans="5:6" x14ac:dyDescent="0.3">
      <c r="E2495" t="str">
        <f>IFERROR(IF(D2495="","",VLOOKUP(D2495,CadProd!$A:$B,2,0)),"")</f>
        <v/>
      </c>
      <c r="F2495" t="str">
        <f>IFERROR(IF(D2495="","",VLOOKUP(D2495,CadProd!$A:$C,3,0)),"")</f>
        <v/>
      </c>
    </row>
    <row r="2496" spans="5:6" x14ac:dyDescent="0.3">
      <c r="E2496" t="str">
        <f>IFERROR(IF(D2496="","",VLOOKUP(D2496,CadProd!$A:$B,2,0)),"")</f>
        <v/>
      </c>
      <c r="F2496" t="str">
        <f>IFERROR(IF(D2496="","",VLOOKUP(D2496,CadProd!$A:$C,3,0)),"")</f>
        <v/>
      </c>
    </row>
    <row r="2497" spans="5:6" x14ac:dyDescent="0.3">
      <c r="E2497" t="str">
        <f>IFERROR(IF(D2497="","",VLOOKUP(D2497,CadProd!$A:$B,2,0)),"")</f>
        <v/>
      </c>
      <c r="F2497" t="str">
        <f>IFERROR(IF(D2497="","",VLOOKUP(D2497,CadProd!$A:$C,3,0)),"")</f>
        <v/>
      </c>
    </row>
    <row r="2498" spans="5:6" x14ac:dyDescent="0.3">
      <c r="E2498" t="str">
        <f>IFERROR(IF(D2498="","",VLOOKUP(D2498,CadProd!$A:$B,2,0)),"")</f>
        <v/>
      </c>
      <c r="F2498" t="str">
        <f>IFERROR(IF(D2498="","",VLOOKUP(D2498,CadProd!$A:$C,3,0)),"")</f>
        <v/>
      </c>
    </row>
    <row r="2499" spans="5:6" x14ac:dyDescent="0.3">
      <c r="E2499" t="str">
        <f>IFERROR(IF(D2499="","",VLOOKUP(D2499,CadProd!$A:$B,2,0)),"")</f>
        <v/>
      </c>
      <c r="F2499" t="str">
        <f>IFERROR(IF(D2499="","",VLOOKUP(D2499,CadProd!$A:$C,3,0)),"")</f>
        <v/>
      </c>
    </row>
    <row r="2500" spans="5:6" x14ac:dyDescent="0.3">
      <c r="E2500" t="str">
        <f>IFERROR(IF(D2500="","",VLOOKUP(D2500,CadProd!$A:$B,2,0)),"")</f>
        <v/>
      </c>
      <c r="F2500" t="str">
        <f>IFERROR(IF(D2500="","",VLOOKUP(D2500,CadProd!$A:$C,3,0)),"")</f>
        <v/>
      </c>
    </row>
    <row r="2501" spans="5:6" x14ac:dyDescent="0.3">
      <c r="E2501" t="str">
        <f>IFERROR(IF(D2501="","",VLOOKUP(D2501,CadProd!$A:$B,2,0)),"")</f>
        <v/>
      </c>
      <c r="F2501" t="str">
        <f>IFERROR(IF(D2501="","",VLOOKUP(D2501,CadProd!$A:$C,3,0)),"")</f>
        <v/>
      </c>
    </row>
    <row r="2502" spans="5:6" x14ac:dyDescent="0.3">
      <c r="E2502" t="str">
        <f>IFERROR(IF(D2502="","",VLOOKUP(D2502,CadProd!$A:$B,2,0)),"")</f>
        <v/>
      </c>
      <c r="F2502" t="str">
        <f>IFERROR(IF(D2502="","",VLOOKUP(D2502,CadProd!$A:$C,3,0)),"")</f>
        <v/>
      </c>
    </row>
    <row r="2503" spans="5:6" x14ac:dyDescent="0.3">
      <c r="E2503" t="str">
        <f>IFERROR(IF(D2503="","",VLOOKUP(D2503,CadProd!$A:$B,2,0)),"")</f>
        <v/>
      </c>
      <c r="F2503" t="str">
        <f>IFERROR(IF(D2503="","",VLOOKUP(D2503,CadProd!$A:$C,3,0)),"")</f>
        <v/>
      </c>
    </row>
    <row r="2504" spans="5:6" x14ac:dyDescent="0.3">
      <c r="E2504" t="str">
        <f>IFERROR(IF(D2504="","",VLOOKUP(D2504,CadProd!$A:$B,2,0)),"")</f>
        <v/>
      </c>
      <c r="F2504" t="str">
        <f>IFERROR(IF(D2504="","",VLOOKUP(D2504,CadProd!$A:$C,3,0)),"")</f>
        <v/>
      </c>
    </row>
    <row r="2505" spans="5:6" x14ac:dyDescent="0.3">
      <c r="E2505" t="str">
        <f>IFERROR(IF(D2505="","",VLOOKUP(D2505,CadProd!$A:$B,2,0)),"")</f>
        <v/>
      </c>
      <c r="F2505" t="str">
        <f>IFERROR(IF(D2505="","",VLOOKUP(D2505,CadProd!$A:$C,3,0)),"")</f>
        <v/>
      </c>
    </row>
    <row r="2506" spans="5:6" x14ac:dyDescent="0.3">
      <c r="E2506" t="str">
        <f>IFERROR(IF(D2506="","",VLOOKUP(D2506,CadProd!$A:$B,2,0)),"")</f>
        <v/>
      </c>
      <c r="F2506" t="str">
        <f>IFERROR(IF(D2506="","",VLOOKUP(D2506,CadProd!$A:$C,3,0)),"")</f>
        <v/>
      </c>
    </row>
    <row r="2507" spans="5:6" x14ac:dyDescent="0.3">
      <c r="E2507" t="str">
        <f>IFERROR(IF(D2507="","",VLOOKUP(D2507,CadProd!$A:$B,2,0)),"")</f>
        <v/>
      </c>
      <c r="F2507" t="str">
        <f>IFERROR(IF(D2507="","",VLOOKUP(D2507,CadProd!$A:$C,3,0)),"")</f>
        <v/>
      </c>
    </row>
    <row r="2508" spans="5:6" x14ac:dyDescent="0.3">
      <c r="E2508" t="str">
        <f>IFERROR(IF(D2508="","",VLOOKUP(D2508,CadProd!$A:$B,2,0)),"")</f>
        <v/>
      </c>
      <c r="F2508" t="str">
        <f>IFERROR(IF(D2508="","",VLOOKUP(D2508,CadProd!$A:$C,3,0)),"")</f>
        <v/>
      </c>
    </row>
    <row r="2509" spans="5:6" x14ac:dyDescent="0.3">
      <c r="E2509" t="str">
        <f>IFERROR(IF(D2509="","",VLOOKUP(D2509,CadProd!$A:$B,2,0)),"")</f>
        <v/>
      </c>
      <c r="F2509" t="str">
        <f>IFERROR(IF(D2509="","",VLOOKUP(D2509,CadProd!$A:$C,3,0)),"")</f>
        <v/>
      </c>
    </row>
    <row r="2510" spans="5:6" x14ac:dyDescent="0.3">
      <c r="E2510" t="str">
        <f>IFERROR(IF(D2510="","",VLOOKUP(D2510,CadProd!$A:$B,2,0)),"")</f>
        <v/>
      </c>
      <c r="F2510" t="str">
        <f>IFERROR(IF(D2510="","",VLOOKUP(D2510,CadProd!$A:$C,3,0)),"")</f>
        <v/>
      </c>
    </row>
    <row r="2511" spans="5:6" x14ac:dyDescent="0.3">
      <c r="E2511" t="str">
        <f>IFERROR(IF(D2511="","",VLOOKUP(D2511,CadProd!$A:$B,2,0)),"")</f>
        <v/>
      </c>
      <c r="F2511" t="str">
        <f>IFERROR(IF(D2511="","",VLOOKUP(D2511,CadProd!$A:$C,3,0)),"")</f>
        <v/>
      </c>
    </row>
    <row r="2512" spans="5:6" x14ac:dyDescent="0.3">
      <c r="E2512" t="str">
        <f>IFERROR(IF(D2512="","",VLOOKUP(D2512,CadProd!$A:$B,2,0)),"")</f>
        <v/>
      </c>
      <c r="F2512" t="str">
        <f>IFERROR(IF(D2512="","",VLOOKUP(D2512,CadProd!$A:$C,3,0)),"")</f>
        <v/>
      </c>
    </row>
    <row r="2513" spans="5:6" x14ac:dyDescent="0.3">
      <c r="E2513" t="str">
        <f>IFERROR(IF(D2513="","",VLOOKUP(D2513,CadProd!$A:$B,2,0)),"")</f>
        <v/>
      </c>
      <c r="F2513" t="str">
        <f>IFERROR(IF(D2513="","",VLOOKUP(D2513,CadProd!$A:$C,3,0)),"")</f>
        <v/>
      </c>
    </row>
    <row r="2514" spans="5:6" x14ac:dyDescent="0.3">
      <c r="E2514" t="str">
        <f>IFERROR(IF(D2514="","",VLOOKUP(D2514,CadProd!$A:$B,2,0)),"")</f>
        <v/>
      </c>
      <c r="F2514" t="str">
        <f>IFERROR(IF(D2514="","",VLOOKUP(D2514,CadProd!$A:$C,3,0)),"")</f>
        <v/>
      </c>
    </row>
    <row r="2515" spans="5:6" x14ac:dyDescent="0.3">
      <c r="E2515" t="str">
        <f>IFERROR(IF(D2515="","",VLOOKUP(D2515,CadProd!$A:$B,2,0)),"")</f>
        <v/>
      </c>
      <c r="F2515" t="str">
        <f>IFERROR(IF(D2515="","",VLOOKUP(D2515,CadProd!$A:$C,3,0)),"")</f>
        <v/>
      </c>
    </row>
    <row r="2516" spans="5:6" x14ac:dyDescent="0.3">
      <c r="E2516" t="str">
        <f>IFERROR(IF(D2516="","",VLOOKUP(D2516,CadProd!$A:$B,2,0)),"")</f>
        <v/>
      </c>
      <c r="F2516" t="str">
        <f>IFERROR(IF(D2516="","",VLOOKUP(D2516,CadProd!$A:$C,3,0)),"")</f>
        <v/>
      </c>
    </row>
    <row r="2517" spans="5:6" x14ac:dyDescent="0.3">
      <c r="E2517" t="str">
        <f>IFERROR(IF(D2517="","",VLOOKUP(D2517,CadProd!$A:$B,2,0)),"")</f>
        <v/>
      </c>
      <c r="F2517" t="str">
        <f>IFERROR(IF(D2517="","",VLOOKUP(D2517,CadProd!$A:$C,3,0)),"")</f>
        <v/>
      </c>
    </row>
    <row r="2518" spans="5:6" x14ac:dyDescent="0.3">
      <c r="E2518" t="str">
        <f>IFERROR(IF(D2518="","",VLOOKUP(D2518,CadProd!$A:$B,2,0)),"")</f>
        <v/>
      </c>
      <c r="F2518" t="str">
        <f>IFERROR(IF(D2518="","",VLOOKUP(D2518,CadProd!$A:$C,3,0)),"")</f>
        <v/>
      </c>
    </row>
    <row r="2519" spans="5:6" x14ac:dyDescent="0.3">
      <c r="E2519" t="str">
        <f>IFERROR(IF(D2519="","",VLOOKUP(D2519,CadProd!$A:$B,2,0)),"")</f>
        <v/>
      </c>
      <c r="F2519" t="str">
        <f>IFERROR(IF(D2519="","",VLOOKUP(D2519,CadProd!$A:$C,3,0)),"")</f>
        <v/>
      </c>
    </row>
    <row r="2520" spans="5:6" x14ac:dyDescent="0.3">
      <c r="E2520" t="str">
        <f>IFERROR(IF(D2520="","",VLOOKUP(D2520,CadProd!$A:$B,2,0)),"")</f>
        <v/>
      </c>
      <c r="F2520" t="str">
        <f>IFERROR(IF(D2520="","",VLOOKUP(D2520,CadProd!$A:$C,3,0)),"")</f>
        <v/>
      </c>
    </row>
    <row r="2521" spans="5:6" x14ac:dyDescent="0.3">
      <c r="E2521" t="str">
        <f>IFERROR(IF(D2521="","",VLOOKUP(D2521,CadProd!$A:$B,2,0)),"")</f>
        <v/>
      </c>
      <c r="F2521" t="str">
        <f>IFERROR(IF(D2521="","",VLOOKUP(D2521,CadProd!$A:$C,3,0)),"")</f>
        <v/>
      </c>
    </row>
    <row r="2522" spans="5:6" x14ac:dyDescent="0.3">
      <c r="E2522" t="str">
        <f>IFERROR(IF(D2522="","",VLOOKUP(D2522,CadProd!$A:$B,2,0)),"")</f>
        <v/>
      </c>
      <c r="F2522" t="str">
        <f>IFERROR(IF(D2522="","",VLOOKUP(D2522,CadProd!$A:$C,3,0)),"")</f>
        <v/>
      </c>
    </row>
    <row r="2523" spans="5:6" x14ac:dyDescent="0.3">
      <c r="E2523" t="str">
        <f>IFERROR(IF(D2523="","",VLOOKUP(D2523,CadProd!$A:$B,2,0)),"")</f>
        <v/>
      </c>
      <c r="F2523" t="str">
        <f>IFERROR(IF(D2523="","",VLOOKUP(D2523,CadProd!$A:$C,3,0)),"")</f>
        <v/>
      </c>
    </row>
    <row r="2524" spans="5:6" x14ac:dyDescent="0.3">
      <c r="E2524" t="str">
        <f>IFERROR(IF(D2524="","",VLOOKUP(D2524,CadProd!$A:$B,2,0)),"")</f>
        <v/>
      </c>
      <c r="F2524" t="str">
        <f>IFERROR(IF(D2524="","",VLOOKUP(D2524,CadProd!$A:$C,3,0)),"")</f>
        <v/>
      </c>
    </row>
    <row r="2525" spans="5:6" x14ac:dyDescent="0.3">
      <c r="E2525" t="str">
        <f>IFERROR(IF(D2525="","",VLOOKUP(D2525,CadProd!$A:$B,2,0)),"")</f>
        <v/>
      </c>
      <c r="F2525" t="str">
        <f>IFERROR(IF(D2525="","",VLOOKUP(D2525,CadProd!$A:$C,3,0)),"")</f>
        <v/>
      </c>
    </row>
    <row r="2526" spans="5:6" x14ac:dyDescent="0.3">
      <c r="E2526" t="str">
        <f>IFERROR(IF(D2526="","",VLOOKUP(D2526,CadProd!$A:$B,2,0)),"")</f>
        <v/>
      </c>
      <c r="F2526" t="str">
        <f>IFERROR(IF(D2526="","",VLOOKUP(D2526,CadProd!$A:$C,3,0)),"")</f>
        <v/>
      </c>
    </row>
    <row r="2527" spans="5:6" x14ac:dyDescent="0.3">
      <c r="E2527" t="str">
        <f>IFERROR(IF(D2527="","",VLOOKUP(D2527,CadProd!$A:$B,2,0)),"")</f>
        <v/>
      </c>
      <c r="F2527" t="str">
        <f>IFERROR(IF(D2527="","",VLOOKUP(D2527,CadProd!$A:$C,3,0)),"")</f>
        <v/>
      </c>
    </row>
    <row r="2528" spans="5:6" x14ac:dyDescent="0.3">
      <c r="E2528" t="str">
        <f>IFERROR(IF(D2528="","",VLOOKUP(D2528,CadProd!$A:$B,2,0)),"")</f>
        <v/>
      </c>
      <c r="F2528" t="str">
        <f>IFERROR(IF(D2528="","",VLOOKUP(D2528,CadProd!$A:$C,3,0)),"")</f>
        <v/>
      </c>
    </row>
    <row r="2529" spans="5:6" x14ac:dyDescent="0.3">
      <c r="E2529" t="str">
        <f>IFERROR(IF(D2529="","",VLOOKUP(D2529,CadProd!$A:$B,2,0)),"")</f>
        <v/>
      </c>
      <c r="F2529" t="str">
        <f>IFERROR(IF(D2529="","",VLOOKUP(D2529,CadProd!$A:$C,3,0)),"")</f>
        <v/>
      </c>
    </row>
    <row r="2530" spans="5:6" x14ac:dyDescent="0.3">
      <c r="E2530" t="str">
        <f>IFERROR(IF(D2530="","",VLOOKUP(D2530,CadProd!$A:$B,2,0)),"")</f>
        <v/>
      </c>
      <c r="F2530" t="str">
        <f>IFERROR(IF(D2530="","",VLOOKUP(D2530,CadProd!$A:$C,3,0)),"")</f>
        <v/>
      </c>
    </row>
    <row r="2531" spans="5:6" x14ac:dyDescent="0.3">
      <c r="E2531" t="str">
        <f>IFERROR(IF(D2531="","",VLOOKUP(D2531,CadProd!$A:$B,2,0)),"")</f>
        <v/>
      </c>
      <c r="F2531" t="str">
        <f>IFERROR(IF(D2531="","",VLOOKUP(D2531,CadProd!$A:$C,3,0)),"")</f>
        <v/>
      </c>
    </row>
    <row r="2532" spans="5:6" x14ac:dyDescent="0.3">
      <c r="E2532" t="str">
        <f>IFERROR(IF(D2532="","",VLOOKUP(D2532,CadProd!$A:$B,2,0)),"")</f>
        <v/>
      </c>
      <c r="F2532" t="str">
        <f>IFERROR(IF(D2532="","",VLOOKUP(D2532,CadProd!$A:$C,3,0)),"")</f>
        <v/>
      </c>
    </row>
    <row r="2533" spans="5:6" x14ac:dyDescent="0.3">
      <c r="E2533" t="str">
        <f>IFERROR(IF(D2533="","",VLOOKUP(D2533,CadProd!$A:$B,2,0)),"")</f>
        <v/>
      </c>
      <c r="F2533" t="str">
        <f>IFERROR(IF(D2533="","",VLOOKUP(D2533,CadProd!$A:$C,3,0)),"")</f>
        <v/>
      </c>
    </row>
    <row r="2534" spans="5:6" x14ac:dyDescent="0.3">
      <c r="E2534" t="str">
        <f>IFERROR(IF(D2534="","",VLOOKUP(D2534,CadProd!$A:$B,2,0)),"")</f>
        <v/>
      </c>
      <c r="F2534" t="str">
        <f>IFERROR(IF(D2534="","",VLOOKUP(D2534,CadProd!$A:$C,3,0)),"")</f>
        <v/>
      </c>
    </row>
    <row r="2535" spans="5:6" x14ac:dyDescent="0.3">
      <c r="E2535" t="str">
        <f>IFERROR(IF(D2535="","",VLOOKUP(D2535,CadProd!$A:$B,2,0)),"")</f>
        <v/>
      </c>
      <c r="F2535" t="str">
        <f>IFERROR(IF(D2535="","",VLOOKUP(D2535,CadProd!$A:$C,3,0)),"")</f>
        <v/>
      </c>
    </row>
    <row r="2536" spans="5:6" x14ac:dyDescent="0.3">
      <c r="E2536" t="str">
        <f>IFERROR(IF(D2536="","",VLOOKUP(D2536,CadProd!$A:$B,2,0)),"")</f>
        <v/>
      </c>
      <c r="F2536" t="str">
        <f>IFERROR(IF(D2536="","",VLOOKUP(D2536,CadProd!$A:$C,3,0)),"")</f>
        <v/>
      </c>
    </row>
    <row r="2537" spans="5:6" x14ac:dyDescent="0.3">
      <c r="E2537" t="str">
        <f>IFERROR(IF(D2537="","",VLOOKUP(D2537,CadProd!$A:$B,2,0)),"")</f>
        <v/>
      </c>
      <c r="F2537" t="str">
        <f>IFERROR(IF(D2537="","",VLOOKUP(D2537,CadProd!$A:$C,3,0)),"")</f>
        <v/>
      </c>
    </row>
    <row r="2538" spans="5:6" x14ac:dyDescent="0.3">
      <c r="E2538" t="str">
        <f>IFERROR(IF(D2538="","",VLOOKUP(D2538,CadProd!$A:$B,2,0)),"")</f>
        <v/>
      </c>
      <c r="F2538" t="str">
        <f>IFERROR(IF(D2538="","",VLOOKUP(D2538,CadProd!$A:$C,3,0)),"")</f>
        <v/>
      </c>
    </row>
    <row r="2539" spans="5:6" x14ac:dyDescent="0.3">
      <c r="E2539" t="str">
        <f>IFERROR(IF(D2539="","",VLOOKUP(D2539,CadProd!$A:$B,2,0)),"")</f>
        <v/>
      </c>
      <c r="F2539" t="str">
        <f>IFERROR(IF(D2539="","",VLOOKUP(D2539,CadProd!$A:$C,3,0)),"")</f>
        <v/>
      </c>
    </row>
    <row r="2540" spans="5:6" x14ac:dyDescent="0.3">
      <c r="E2540" t="str">
        <f>IFERROR(IF(D2540="","",VLOOKUP(D2540,CadProd!$A:$B,2,0)),"")</f>
        <v/>
      </c>
      <c r="F2540" t="str">
        <f>IFERROR(IF(D2540="","",VLOOKUP(D2540,CadProd!$A:$C,3,0)),"")</f>
        <v/>
      </c>
    </row>
    <row r="2541" spans="5:6" x14ac:dyDescent="0.3">
      <c r="E2541" t="str">
        <f>IFERROR(IF(D2541="","",VLOOKUP(D2541,CadProd!$A:$B,2,0)),"")</f>
        <v/>
      </c>
      <c r="F2541" t="str">
        <f>IFERROR(IF(D2541="","",VLOOKUP(D2541,CadProd!$A:$C,3,0)),"")</f>
        <v/>
      </c>
    </row>
    <row r="2542" spans="5:6" x14ac:dyDescent="0.3">
      <c r="E2542" t="str">
        <f>IFERROR(IF(D2542="","",VLOOKUP(D2542,CadProd!$A:$B,2,0)),"")</f>
        <v/>
      </c>
      <c r="F2542" t="str">
        <f>IFERROR(IF(D2542="","",VLOOKUP(D2542,CadProd!$A:$C,3,0)),"")</f>
        <v/>
      </c>
    </row>
    <row r="2543" spans="5:6" x14ac:dyDescent="0.3">
      <c r="E2543" t="str">
        <f>IFERROR(IF(D2543="","",VLOOKUP(D2543,CadProd!$A:$B,2,0)),"")</f>
        <v/>
      </c>
      <c r="F2543" t="str">
        <f>IFERROR(IF(D2543="","",VLOOKUP(D2543,CadProd!$A:$C,3,0)),"")</f>
        <v/>
      </c>
    </row>
    <row r="2544" spans="5:6" x14ac:dyDescent="0.3">
      <c r="E2544" t="str">
        <f>IFERROR(IF(D2544="","",VLOOKUP(D2544,CadProd!$A:$B,2,0)),"")</f>
        <v/>
      </c>
      <c r="F2544" t="str">
        <f>IFERROR(IF(D2544="","",VLOOKUP(D2544,CadProd!$A:$C,3,0)),"")</f>
        <v/>
      </c>
    </row>
    <row r="2545" spans="5:6" x14ac:dyDescent="0.3">
      <c r="E2545" t="str">
        <f>IFERROR(IF(D2545="","",VLOOKUP(D2545,CadProd!$A:$B,2,0)),"")</f>
        <v/>
      </c>
      <c r="F2545" t="str">
        <f>IFERROR(IF(D2545="","",VLOOKUP(D2545,CadProd!$A:$C,3,0)),"")</f>
        <v/>
      </c>
    </row>
    <row r="2546" spans="5:6" x14ac:dyDescent="0.3">
      <c r="E2546" t="str">
        <f>IFERROR(IF(D2546="","",VLOOKUP(D2546,CadProd!$A:$B,2,0)),"")</f>
        <v/>
      </c>
      <c r="F2546" t="str">
        <f>IFERROR(IF(D2546="","",VLOOKUP(D2546,CadProd!$A:$C,3,0)),"")</f>
        <v/>
      </c>
    </row>
    <row r="2547" spans="5:6" x14ac:dyDescent="0.3">
      <c r="E2547" t="str">
        <f>IFERROR(IF(D2547="","",VLOOKUP(D2547,CadProd!$A:$B,2,0)),"")</f>
        <v/>
      </c>
      <c r="F2547" t="str">
        <f>IFERROR(IF(D2547="","",VLOOKUP(D2547,CadProd!$A:$C,3,0)),"")</f>
        <v/>
      </c>
    </row>
    <row r="2548" spans="5:6" x14ac:dyDescent="0.3">
      <c r="E2548" t="str">
        <f>IFERROR(IF(D2548="","",VLOOKUP(D2548,CadProd!$A:$B,2,0)),"")</f>
        <v/>
      </c>
      <c r="F2548" t="str">
        <f>IFERROR(IF(D2548="","",VLOOKUP(D2548,CadProd!$A:$C,3,0)),"")</f>
        <v/>
      </c>
    </row>
    <row r="2549" spans="5:6" x14ac:dyDescent="0.3">
      <c r="E2549" t="str">
        <f>IFERROR(IF(D2549="","",VLOOKUP(D2549,CadProd!$A:$B,2,0)),"")</f>
        <v/>
      </c>
      <c r="F2549" t="str">
        <f>IFERROR(IF(D2549="","",VLOOKUP(D2549,CadProd!$A:$C,3,0)),"")</f>
        <v/>
      </c>
    </row>
    <row r="2550" spans="5:6" x14ac:dyDescent="0.3">
      <c r="E2550" t="str">
        <f>IFERROR(IF(D2550="","",VLOOKUP(D2550,CadProd!$A:$B,2,0)),"")</f>
        <v/>
      </c>
      <c r="F2550" t="str">
        <f>IFERROR(IF(D2550="","",VLOOKUP(D2550,CadProd!$A:$C,3,0)),"")</f>
        <v/>
      </c>
    </row>
    <row r="2551" spans="5:6" x14ac:dyDescent="0.3">
      <c r="E2551" t="str">
        <f>IFERROR(IF(D2551="","",VLOOKUP(D2551,CadProd!$A:$B,2,0)),"")</f>
        <v/>
      </c>
      <c r="F2551" t="str">
        <f>IFERROR(IF(D2551="","",VLOOKUP(D2551,CadProd!$A:$C,3,0)),"")</f>
        <v/>
      </c>
    </row>
    <row r="2552" spans="5:6" x14ac:dyDescent="0.3">
      <c r="E2552" t="str">
        <f>IFERROR(IF(D2552="","",VLOOKUP(D2552,CadProd!$A:$B,2,0)),"")</f>
        <v/>
      </c>
      <c r="F2552" t="str">
        <f>IFERROR(IF(D2552="","",VLOOKUP(D2552,CadProd!$A:$C,3,0)),"")</f>
        <v/>
      </c>
    </row>
    <row r="2553" spans="5:6" x14ac:dyDescent="0.3">
      <c r="E2553" t="str">
        <f>IFERROR(IF(D2553="","",VLOOKUP(D2553,CadProd!$A:$B,2,0)),"")</f>
        <v/>
      </c>
      <c r="F2553" t="str">
        <f>IFERROR(IF(D2553="","",VLOOKUP(D2553,CadProd!$A:$C,3,0)),"")</f>
        <v/>
      </c>
    </row>
    <row r="2554" spans="5:6" x14ac:dyDescent="0.3">
      <c r="E2554" t="str">
        <f>IFERROR(IF(D2554="","",VLOOKUP(D2554,CadProd!$A:$B,2,0)),"")</f>
        <v/>
      </c>
      <c r="F2554" t="str">
        <f>IFERROR(IF(D2554="","",VLOOKUP(D2554,CadProd!$A:$C,3,0)),"")</f>
        <v/>
      </c>
    </row>
    <row r="2555" spans="5:6" x14ac:dyDescent="0.3">
      <c r="E2555" t="str">
        <f>IFERROR(IF(D2555="","",VLOOKUP(D2555,CadProd!$A:$B,2,0)),"")</f>
        <v/>
      </c>
      <c r="F2555" t="str">
        <f>IFERROR(IF(D2555="","",VLOOKUP(D2555,CadProd!$A:$C,3,0)),"")</f>
        <v/>
      </c>
    </row>
    <row r="2556" spans="5:6" x14ac:dyDescent="0.3">
      <c r="E2556" t="str">
        <f>IFERROR(IF(D2556="","",VLOOKUP(D2556,CadProd!$A:$B,2,0)),"")</f>
        <v/>
      </c>
      <c r="F2556" t="str">
        <f>IFERROR(IF(D2556="","",VLOOKUP(D2556,CadProd!$A:$C,3,0)),"")</f>
        <v/>
      </c>
    </row>
    <row r="2557" spans="5:6" x14ac:dyDescent="0.3">
      <c r="E2557" t="str">
        <f>IFERROR(IF(D2557="","",VLOOKUP(D2557,CadProd!$A:$B,2,0)),"")</f>
        <v/>
      </c>
      <c r="F2557" t="str">
        <f>IFERROR(IF(D2557="","",VLOOKUP(D2557,CadProd!$A:$C,3,0)),"")</f>
        <v/>
      </c>
    </row>
    <row r="2558" spans="5:6" x14ac:dyDescent="0.3">
      <c r="E2558" t="str">
        <f>IFERROR(IF(D2558="","",VLOOKUP(D2558,CadProd!$A:$B,2,0)),"")</f>
        <v/>
      </c>
      <c r="F2558" t="str">
        <f>IFERROR(IF(D2558="","",VLOOKUP(D2558,CadProd!$A:$C,3,0)),"")</f>
        <v/>
      </c>
    </row>
    <row r="2559" spans="5:6" x14ac:dyDescent="0.3">
      <c r="E2559" t="str">
        <f>IFERROR(IF(D2559="","",VLOOKUP(D2559,CadProd!$A:$B,2,0)),"")</f>
        <v/>
      </c>
      <c r="F2559" t="str">
        <f>IFERROR(IF(D2559="","",VLOOKUP(D2559,CadProd!$A:$C,3,0)),"")</f>
        <v/>
      </c>
    </row>
    <row r="2560" spans="5:6" x14ac:dyDescent="0.3">
      <c r="E2560" t="str">
        <f>IFERROR(IF(D2560="","",VLOOKUP(D2560,CadProd!$A:$B,2,0)),"")</f>
        <v/>
      </c>
      <c r="F2560" t="str">
        <f>IFERROR(IF(D2560="","",VLOOKUP(D2560,CadProd!$A:$C,3,0)),"")</f>
        <v/>
      </c>
    </row>
    <row r="2561" spans="5:6" x14ac:dyDescent="0.3">
      <c r="E2561" t="str">
        <f>IFERROR(IF(D2561="","",VLOOKUP(D2561,CadProd!$A:$B,2,0)),"")</f>
        <v/>
      </c>
      <c r="F2561" t="str">
        <f>IFERROR(IF(D2561="","",VLOOKUP(D2561,CadProd!$A:$C,3,0)),"")</f>
        <v/>
      </c>
    </row>
    <row r="2562" spans="5:6" x14ac:dyDescent="0.3">
      <c r="E2562" t="str">
        <f>IFERROR(IF(D2562="","",VLOOKUP(D2562,CadProd!$A:$B,2,0)),"")</f>
        <v/>
      </c>
      <c r="F2562" t="str">
        <f>IFERROR(IF(D2562="","",VLOOKUP(D2562,CadProd!$A:$C,3,0)),"")</f>
        <v/>
      </c>
    </row>
    <row r="2563" spans="5:6" x14ac:dyDescent="0.3">
      <c r="E2563" t="str">
        <f>IFERROR(IF(D2563="","",VLOOKUP(D2563,CadProd!$A:$B,2,0)),"")</f>
        <v/>
      </c>
      <c r="F2563" t="str">
        <f>IFERROR(IF(D2563="","",VLOOKUP(D2563,CadProd!$A:$C,3,0)),"")</f>
        <v/>
      </c>
    </row>
    <row r="2564" spans="5:6" x14ac:dyDescent="0.3">
      <c r="E2564" t="str">
        <f>IFERROR(IF(D2564="","",VLOOKUP(D2564,CadProd!$A:$B,2,0)),"")</f>
        <v/>
      </c>
      <c r="F2564" t="str">
        <f>IFERROR(IF(D2564="","",VLOOKUP(D2564,CadProd!$A:$C,3,0)),"")</f>
        <v/>
      </c>
    </row>
    <row r="2565" spans="5:6" x14ac:dyDescent="0.3">
      <c r="E2565" t="str">
        <f>IFERROR(IF(D2565="","",VLOOKUP(D2565,CadProd!$A:$B,2,0)),"")</f>
        <v/>
      </c>
      <c r="F2565" t="str">
        <f>IFERROR(IF(D2565="","",VLOOKUP(D2565,CadProd!$A:$C,3,0)),"")</f>
        <v/>
      </c>
    </row>
    <row r="2566" spans="5:6" x14ac:dyDescent="0.3">
      <c r="E2566" t="str">
        <f>IFERROR(IF(D2566="","",VLOOKUP(D2566,CadProd!$A:$B,2,0)),"")</f>
        <v/>
      </c>
      <c r="F2566" t="str">
        <f>IFERROR(IF(D2566="","",VLOOKUP(D2566,CadProd!$A:$C,3,0)),"")</f>
        <v/>
      </c>
    </row>
    <row r="2567" spans="5:6" x14ac:dyDescent="0.3">
      <c r="E2567" t="str">
        <f>IFERROR(IF(D2567="","",VLOOKUP(D2567,CadProd!$A:$B,2,0)),"")</f>
        <v/>
      </c>
      <c r="F2567" t="str">
        <f>IFERROR(IF(D2567="","",VLOOKUP(D2567,CadProd!$A:$C,3,0)),"")</f>
        <v/>
      </c>
    </row>
    <row r="2568" spans="5:6" x14ac:dyDescent="0.3">
      <c r="E2568" t="str">
        <f>IFERROR(IF(D2568="","",VLOOKUP(D2568,CadProd!$A:$B,2,0)),"")</f>
        <v/>
      </c>
      <c r="F2568" t="str">
        <f>IFERROR(IF(D2568="","",VLOOKUP(D2568,CadProd!$A:$C,3,0)),"")</f>
        <v/>
      </c>
    </row>
    <row r="2569" spans="5:6" x14ac:dyDescent="0.3">
      <c r="E2569" t="str">
        <f>IFERROR(IF(D2569="","",VLOOKUP(D2569,CadProd!$A:$B,2,0)),"")</f>
        <v/>
      </c>
      <c r="F2569" t="str">
        <f>IFERROR(IF(D2569="","",VLOOKUP(D2569,CadProd!$A:$C,3,0)),"")</f>
        <v/>
      </c>
    </row>
    <row r="2570" spans="5:6" x14ac:dyDescent="0.3">
      <c r="E2570" t="str">
        <f>IFERROR(IF(D2570="","",VLOOKUP(D2570,CadProd!$A:$B,2,0)),"")</f>
        <v/>
      </c>
      <c r="F2570" t="str">
        <f>IFERROR(IF(D2570="","",VLOOKUP(D2570,CadProd!$A:$C,3,0)),"")</f>
        <v/>
      </c>
    </row>
    <row r="2571" spans="5:6" x14ac:dyDescent="0.3">
      <c r="E2571" t="str">
        <f>IFERROR(IF(D2571="","",VLOOKUP(D2571,CadProd!$A:$B,2,0)),"")</f>
        <v/>
      </c>
      <c r="F2571" t="str">
        <f>IFERROR(IF(D2571="","",VLOOKUP(D2571,CadProd!$A:$C,3,0)),"")</f>
        <v/>
      </c>
    </row>
    <row r="2572" spans="5:6" x14ac:dyDescent="0.3">
      <c r="E2572" t="str">
        <f>IFERROR(IF(D2572="","",VLOOKUP(D2572,CadProd!$A:$B,2,0)),"")</f>
        <v/>
      </c>
      <c r="F2572" t="str">
        <f>IFERROR(IF(D2572="","",VLOOKUP(D2572,CadProd!$A:$C,3,0)),"")</f>
        <v/>
      </c>
    </row>
    <row r="2573" spans="5:6" x14ac:dyDescent="0.3">
      <c r="E2573" t="str">
        <f>IFERROR(IF(D2573="","",VLOOKUP(D2573,CadProd!$A:$B,2,0)),"")</f>
        <v/>
      </c>
      <c r="F2573" t="str">
        <f>IFERROR(IF(D2573="","",VLOOKUP(D2573,CadProd!$A:$C,3,0)),"")</f>
        <v/>
      </c>
    </row>
    <row r="2574" spans="5:6" x14ac:dyDescent="0.3">
      <c r="E2574" t="str">
        <f>IFERROR(IF(D2574="","",VLOOKUP(D2574,CadProd!$A:$B,2,0)),"")</f>
        <v/>
      </c>
      <c r="F2574" t="str">
        <f>IFERROR(IF(D2574="","",VLOOKUP(D2574,CadProd!$A:$C,3,0)),"")</f>
        <v/>
      </c>
    </row>
    <row r="2575" spans="5:6" x14ac:dyDescent="0.3">
      <c r="E2575" t="str">
        <f>IFERROR(IF(D2575="","",VLOOKUP(D2575,CadProd!$A:$B,2,0)),"")</f>
        <v/>
      </c>
      <c r="F2575" t="str">
        <f>IFERROR(IF(D2575="","",VLOOKUP(D2575,CadProd!$A:$C,3,0)),"")</f>
        <v/>
      </c>
    </row>
    <row r="2576" spans="5:6" x14ac:dyDescent="0.3">
      <c r="E2576" t="str">
        <f>IFERROR(IF(D2576="","",VLOOKUP(D2576,CadProd!$A:$B,2,0)),"")</f>
        <v/>
      </c>
      <c r="F2576" t="str">
        <f>IFERROR(IF(D2576="","",VLOOKUP(D2576,CadProd!$A:$C,3,0)),"")</f>
        <v/>
      </c>
    </row>
    <row r="2577" spans="5:6" x14ac:dyDescent="0.3">
      <c r="E2577" t="str">
        <f>IFERROR(IF(D2577="","",VLOOKUP(D2577,CadProd!$A:$B,2,0)),"")</f>
        <v/>
      </c>
      <c r="F2577" t="str">
        <f>IFERROR(IF(D2577="","",VLOOKUP(D2577,CadProd!$A:$C,3,0)),"")</f>
        <v/>
      </c>
    </row>
    <row r="2578" spans="5:6" x14ac:dyDescent="0.3">
      <c r="E2578" t="str">
        <f>IFERROR(IF(D2578="","",VLOOKUP(D2578,CadProd!$A:$B,2,0)),"")</f>
        <v/>
      </c>
      <c r="F2578" t="str">
        <f>IFERROR(IF(D2578="","",VLOOKUP(D2578,CadProd!$A:$C,3,0)),"")</f>
        <v/>
      </c>
    </row>
    <row r="2579" spans="5:6" x14ac:dyDescent="0.3">
      <c r="E2579" t="str">
        <f>IFERROR(IF(D2579="","",VLOOKUP(D2579,CadProd!$A:$B,2,0)),"")</f>
        <v/>
      </c>
      <c r="F2579" t="str">
        <f>IFERROR(IF(D2579="","",VLOOKUP(D2579,CadProd!$A:$C,3,0)),"")</f>
        <v/>
      </c>
    </row>
    <row r="2580" spans="5:6" x14ac:dyDescent="0.3">
      <c r="E2580" t="str">
        <f>IFERROR(IF(D2580="","",VLOOKUP(D2580,CadProd!$A:$B,2,0)),"")</f>
        <v/>
      </c>
      <c r="F2580" t="str">
        <f>IFERROR(IF(D2580="","",VLOOKUP(D2580,CadProd!$A:$C,3,0)),"")</f>
        <v/>
      </c>
    </row>
    <row r="2581" spans="5:6" x14ac:dyDescent="0.3">
      <c r="E2581" t="str">
        <f>IFERROR(IF(D2581="","",VLOOKUP(D2581,CadProd!$A:$B,2,0)),"")</f>
        <v/>
      </c>
      <c r="F2581" t="str">
        <f>IFERROR(IF(D2581="","",VLOOKUP(D2581,CadProd!$A:$C,3,0)),"")</f>
        <v/>
      </c>
    </row>
    <row r="2582" spans="5:6" x14ac:dyDescent="0.3">
      <c r="E2582" t="str">
        <f>IFERROR(IF(D2582="","",VLOOKUP(D2582,CadProd!$A:$B,2,0)),"")</f>
        <v/>
      </c>
      <c r="F2582" t="str">
        <f>IFERROR(IF(D2582="","",VLOOKUP(D2582,CadProd!$A:$C,3,0)),"")</f>
        <v/>
      </c>
    </row>
    <row r="2583" spans="5:6" x14ac:dyDescent="0.3">
      <c r="E2583" t="str">
        <f>IFERROR(IF(D2583="","",VLOOKUP(D2583,CadProd!$A:$B,2,0)),"")</f>
        <v/>
      </c>
      <c r="F2583" t="str">
        <f>IFERROR(IF(D2583="","",VLOOKUP(D2583,CadProd!$A:$C,3,0)),"")</f>
        <v/>
      </c>
    </row>
    <row r="2584" spans="5:6" x14ac:dyDescent="0.3">
      <c r="E2584" t="str">
        <f>IFERROR(IF(D2584="","",VLOOKUP(D2584,CadProd!$A:$B,2,0)),"")</f>
        <v/>
      </c>
      <c r="F2584" t="str">
        <f>IFERROR(IF(D2584="","",VLOOKUP(D2584,CadProd!$A:$C,3,0)),"")</f>
        <v/>
      </c>
    </row>
    <row r="2585" spans="5:6" x14ac:dyDescent="0.3">
      <c r="E2585" t="str">
        <f>IFERROR(IF(D2585="","",VLOOKUP(D2585,CadProd!$A:$B,2,0)),"")</f>
        <v/>
      </c>
      <c r="F2585" t="str">
        <f>IFERROR(IF(D2585="","",VLOOKUP(D2585,CadProd!$A:$C,3,0)),"")</f>
        <v/>
      </c>
    </row>
    <row r="2586" spans="5:6" x14ac:dyDescent="0.3">
      <c r="E2586" t="str">
        <f>IFERROR(IF(D2586="","",VLOOKUP(D2586,CadProd!$A:$B,2,0)),"")</f>
        <v/>
      </c>
      <c r="F2586" t="str">
        <f>IFERROR(IF(D2586="","",VLOOKUP(D2586,CadProd!$A:$C,3,0)),"")</f>
        <v/>
      </c>
    </row>
    <row r="2587" spans="5:6" x14ac:dyDescent="0.3">
      <c r="E2587" t="str">
        <f>IFERROR(IF(D2587="","",VLOOKUP(D2587,CadProd!$A:$B,2,0)),"")</f>
        <v/>
      </c>
      <c r="F2587" t="str">
        <f>IFERROR(IF(D2587="","",VLOOKUP(D2587,CadProd!$A:$C,3,0)),"")</f>
        <v/>
      </c>
    </row>
    <row r="2588" spans="5:6" x14ac:dyDescent="0.3">
      <c r="E2588" t="str">
        <f>IFERROR(IF(D2588="","",VLOOKUP(D2588,CadProd!$A:$B,2,0)),"")</f>
        <v/>
      </c>
      <c r="F2588" t="str">
        <f>IFERROR(IF(D2588="","",VLOOKUP(D2588,CadProd!$A:$C,3,0)),"")</f>
        <v/>
      </c>
    </row>
    <row r="2589" spans="5:6" x14ac:dyDescent="0.3">
      <c r="E2589" t="str">
        <f>IFERROR(IF(D2589="","",VLOOKUP(D2589,CadProd!$A:$B,2,0)),"")</f>
        <v/>
      </c>
      <c r="F2589" t="str">
        <f>IFERROR(IF(D2589="","",VLOOKUP(D2589,CadProd!$A:$C,3,0)),"")</f>
        <v/>
      </c>
    </row>
    <row r="2590" spans="5:6" x14ac:dyDescent="0.3">
      <c r="E2590" t="str">
        <f>IFERROR(IF(D2590="","",VLOOKUP(D2590,CadProd!$A:$B,2,0)),"")</f>
        <v/>
      </c>
      <c r="F2590" t="str">
        <f>IFERROR(IF(D2590="","",VLOOKUP(D2590,CadProd!$A:$C,3,0)),"")</f>
        <v/>
      </c>
    </row>
    <row r="2591" spans="5:6" x14ac:dyDescent="0.3">
      <c r="E2591" t="str">
        <f>IFERROR(IF(D2591="","",VLOOKUP(D2591,CadProd!$A:$B,2,0)),"")</f>
        <v/>
      </c>
      <c r="F2591" t="str">
        <f>IFERROR(IF(D2591="","",VLOOKUP(D2591,CadProd!$A:$C,3,0)),"")</f>
        <v/>
      </c>
    </row>
    <row r="2592" spans="5:6" x14ac:dyDescent="0.3">
      <c r="E2592" t="str">
        <f>IFERROR(IF(D2592="","",VLOOKUP(D2592,CadProd!$A:$B,2,0)),"")</f>
        <v/>
      </c>
      <c r="F2592" t="str">
        <f>IFERROR(IF(D2592="","",VLOOKUP(D2592,CadProd!$A:$C,3,0)),"")</f>
        <v/>
      </c>
    </row>
    <row r="2593" spans="5:6" x14ac:dyDescent="0.3">
      <c r="E2593" t="str">
        <f>IFERROR(IF(D2593="","",VLOOKUP(D2593,CadProd!$A:$B,2,0)),"")</f>
        <v/>
      </c>
      <c r="F2593" t="str">
        <f>IFERROR(IF(D2593="","",VLOOKUP(D2593,CadProd!$A:$C,3,0)),"")</f>
        <v/>
      </c>
    </row>
    <row r="2594" spans="5:6" x14ac:dyDescent="0.3">
      <c r="E2594" t="str">
        <f>IFERROR(IF(D2594="","",VLOOKUP(D2594,CadProd!$A:$B,2,0)),"")</f>
        <v/>
      </c>
      <c r="F2594" t="str">
        <f>IFERROR(IF(D2594="","",VLOOKUP(D2594,CadProd!$A:$C,3,0)),"")</f>
        <v/>
      </c>
    </row>
    <row r="2595" spans="5:6" x14ac:dyDescent="0.3">
      <c r="E2595" t="str">
        <f>IFERROR(IF(D2595="","",VLOOKUP(D2595,CadProd!$A:$B,2,0)),"")</f>
        <v/>
      </c>
      <c r="F2595" t="str">
        <f>IFERROR(IF(D2595="","",VLOOKUP(D2595,CadProd!$A:$C,3,0)),"")</f>
        <v/>
      </c>
    </row>
    <row r="2596" spans="5:6" x14ac:dyDescent="0.3">
      <c r="E2596" t="str">
        <f>IFERROR(IF(D2596="","",VLOOKUP(D2596,CadProd!$A:$B,2,0)),"")</f>
        <v/>
      </c>
      <c r="F2596" t="str">
        <f>IFERROR(IF(D2596="","",VLOOKUP(D2596,CadProd!$A:$C,3,0)),"")</f>
        <v/>
      </c>
    </row>
    <row r="2597" spans="5:6" x14ac:dyDescent="0.3">
      <c r="E2597" t="str">
        <f>IFERROR(IF(D2597="","",VLOOKUP(D2597,CadProd!$A:$B,2,0)),"")</f>
        <v/>
      </c>
      <c r="F2597" t="str">
        <f>IFERROR(IF(D2597="","",VLOOKUP(D2597,CadProd!$A:$C,3,0)),"")</f>
        <v/>
      </c>
    </row>
    <row r="2598" spans="5:6" x14ac:dyDescent="0.3">
      <c r="E2598" t="str">
        <f>IFERROR(IF(D2598="","",VLOOKUP(D2598,CadProd!$A:$B,2,0)),"")</f>
        <v/>
      </c>
      <c r="F2598" t="str">
        <f>IFERROR(IF(D2598="","",VLOOKUP(D2598,CadProd!$A:$C,3,0)),"")</f>
        <v/>
      </c>
    </row>
    <row r="2599" spans="5:6" x14ac:dyDescent="0.3">
      <c r="E2599" t="str">
        <f>IFERROR(IF(D2599="","",VLOOKUP(D2599,CadProd!$A:$B,2,0)),"")</f>
        <v/>
      </c>
      <c r="F2599" t="str">
        <f>IFERROR(IF(D2599="","",VLOOKUP(D2599,CadProd!$A:$C,3,0)),"")</f>
        <v/>
      </c>
    </row>
    <row r="2600" spans="5:6" x14ac:dyDescent="0.3">
      <c r="E2600" t="str">
        <f>IFERROR(IF(D2600="","",VLOOKUP(D2600,CadProd!$A:$B,2,0)),"")</f>
        <v/>
      </c>
      <c r="F2600" t="str">
        <f>IFERROR(IF(D2600="","",VLOOKUP(D2600,CadProd!$A:$C,3,0)),"")</f>
        <v/>
      </c>
    </row>
    <row r="2601" spans="5:6" x14ac:dyDescent="0.3">
      <c r="E2601" t="str">
        <f>IFERROR(IF(D2601="","",VLOOKUP(D2601,CadProd!$A:$B,2,0)),"")</f>
        <v/>
      </c>
      <c r="F2601" t="str">
        <f>IFERROR(IF(D2601="","",VLOOKUP(D2601,CadProd!$A:$C,3,0)),"")</f>
        <v/>
      </c>
    </row>
    <row r="2602" spans="5:6" x14ac:dyDescent="0.3">
      <c r="E2602" t="str">
        <f>IFERROR(IF(D2602="","",VLOOKUP(D2602,CadProd!$A:$B,2,0)),"")</f>
        <v/>
      </c>
      <c r="F2602" t="str">
        <f>IFERROR(IF(D2602="","",VLOOKUP(D2602,CadProd!$A:$C,3,0)),"")</f>
        <v/>
      </c>
    </row>
    <row r="2603" spans="5:6" x14ac:dyDescent="0.3">
      <c r="E2603" t="str">
        <f>IFERROR(IF(D2603="","",VLOOKUP(D2603,CadProd!$A:$B,2,0)),"")</f>
        <v/>
      </c>
      <c r="F2603" t="str">
        <f>IFERROR(IF(D2603="","",VLOOKUP(D2603,CadProd!$A:$C,3,0)),"")</f>
        <v/>
      </c>
    </row>
    <row r="2604" spans="5:6" x14ac:dyDescent="0.3">
      <c r="E2604" t="str">
        <f>IFERROR(IF(D2604="","",VLOOKUP(D2604,CadProd!$A:$B,2,0)),"")</f>
        <v/>
      </c>
      <c r="F2604" t="str">
        <f>IFERROR(IF(D2604="","",VLOOKUP(D2604,CadProd!$A:$C,3,0)),"")</f>
        <v/>
      </c>
    </row>
    <row r="2605" spans="5:6" x14ac:dyDescent="0.3">
      <c r="E2605" t="str">
        <f>IFERROR(IF(D2605="","",VLOOKUP(D2605,CadProd!$A:$B,2,0)),"")</f>
        <v/>
      </c>
      <c r="F2605" t="str">
        <f>IFERROR(IF(D2605="","",VLOOKUP(D2605,CadProd!$A:$C,3,0)),"")</f>
        <v/>
      </c>
    </row>
    <row r="2606" spans="5:6" x14ac:dyDescent="0.3">
      <c r="E2606" t="str">
        <f>IFERROR(IF(D2606="","",VLOOKUP(D2606,CadProd!$A:$B,2,0)),"")</f>
        <v/>
      </c>
      <c r="F2606" t="str">
        <f>IFERROR(IF(D2606="","",VLOOKUP(D2606,CadProd!$A:$C,3,0)),"")</f>
        <v/>
      </c>
    </row>
    <row r="2607" spans="5:6" x14ac:dyDescent="0.3">
      <c r="E2607" t="str">
        <f>IFERROR(IF(D2607="","",VLOOKUP(D2607,CadProd!$A:$B,2,0)),"")</f>
        <v/>
      </c>
      <c r="F2607" t="str">
        <f>IFERROR(IF(D2607="","",VLOOKUP(D2607,CadProd!$A:$C,3,0)),"")</f>
        <v/>
      </c>
    </row>
    <row r="2608" spans="5:6" x14ac:dyDescent="0.3">
      <c r="E2608" t="str">
        <f>IFERROR(IF(D2608="","",VLOOKUP(D2608,CadProd!$A:$B,2,0)),"")</f>
        <v/>
      </c>
      <c r="F2608" t="str">
        <f>IFERROR(IF(D2608="","",VLOOKUP(D2608,CadProd!$A:$C,3,0)),"")</f>
        <v/>
      </c>
    </row>
    <row r="2609" spans="5:6" x14ac:dyDescent="0.3">
      <c r="E2609" t="str">
        <f>IFERROR(IF(D2609="","",VLOOKUP(D2609,CadProd!$A:$B,2,0)),"")</f>
        <v/>
      </c>
      <c r="F2609" t="str">
        <f>IFERROR(IF(D2609="","",VLOOKUP(D2609,CadProd!$A:$C,3,0)),"")</f>
        <v/>
      </c>
    </row>
    <row r="2610" spans="5:6" x14ac:dyDescent="0.3">
      <c r="E2610" t="str">
        <f>IFERROR(IF(D2610="","",VLOOKUP(D2610,CadProd!$A:$B,2,0)),"")</f>
        <v/>
      </c>
      <c r="F2610" t="str">
        <f>IFERROR(IF(D2610="","",VLOOKUP(D2610,CadProd!$A:$C,3,0)),"")</f>
        <v/>
      </c>
    </row>
    <row r="2611" spans="5:6" x14ac:dyDescent="0.3">
      <c r="E2611" t="str">
        <f>IFERROR(IF(D2611="","",VLOOKUP(D2611,CadProd!$A:$B,2,0)),"")</f>
        <v/>
      </c>
      <c r="F2611" t="str">
        <f>IFERROR(IF(D2611="","",VLOOKUP(D2611,CadProd!$A:$C,3,0)),"")</f>
        <v/>
      </c>
    </row>
    <row r="2612" spans="5:6" x14ac:dyDescent="0.3">
      <c r="E2612" t="str">
        <f>IFERROR(IF(D2612="","",VLOOKUP(D2612,CadProd!$A:$B,2,0)),"")</f>
        <v/>
      </c>
      <c r="F2612" t="str">
        <f>IFERROR(IF(D2612="","",VLOOKUP(D2612,CadProd!$A:$C,3,0)),"")</f>
        <v/>
      </c>
    </row>
    <row r="2613" spans="5:6" x14ac:dyDescent="0.3">
      <c r="E2613" t="str">
        <f>IFERROR(IF(D2613="","",VLOOKUP(D2613,CadProd!$A:$B,2,0)),"")</f>
        <v/>
      </c>
      <c r="F2613" t="str">
        <f>IFERROR(IF(D2613="","",VLOOKUP(D2613,CadProd!$A:$C,3,0)),"")</f>
        <v/>
      </c>
    </row>
    <row r="2614" spans="5:6" x14ac:dyDescent="0.3">
      <c r="E2614" t="str">
        <f>IFERROR(IF(D2614="","",VLOOKUP(D2614,CadProd!$A:$B,2,0)),"")</f>
        <v/>
      </c>
      <c r="F2614" t="str">
        <f>IFERROR(IF(D2614="","",VLOOKUP(D2614,CadProd!$A:$C,3,0)),"")</f>
        <v/>
      </c>
    </row>
    <row r="2615" spans="5:6" x14ac:dyDescent="0.3">
      <c r="E2615" t="str">
        <f>IFERROR(IF(D2615="","",VLOOKUP(D2615,CadProd!$A:$B,2,0)),"")</f>
        <v/>
      </c>
      <c r="F2615" t="str">
        <f>IFERROR(IF(D2615="","",VLOOKUP(D2615,CadProd!$A:$C,3,0)),"")</f>
        <v/>
      </c>
    </row>
    <row r="2616" spans="5:6" x14ac:dyDescent="0.3">
      <c r="E2616" t="str">
        <f>IFERROR(IF(D2616="","",VLOOKUP(D2616,CadProd!$A:$B,2,0)),"")</f>
        <v/>
      </c>
      <c r="F2616" t="str">
        <f>IFERROR(IF(D2616="","",VLOOKUP(D2616,CadProd!$A:$C,3,0)),"")</f>
        <v/>
      </c>
    </row>
    <row r="2617" spans="5:6" x14ac:dyDescent="0.3">
      <c r="E2617" t="str">
        <f>IFERROR(IF(D2617="","",VLOOKUP(D2617,CadProd!$A:$B,2,0)),"")</f>
        <v/>
      </c>
      <c r="F2617" t="str">
        <f>IFERROR(IF(D2617="","",VLOOKUP(D2617,CadProd!$A:$C,3,0)),"")</f>
        <v/>
      </c>
    </row>
    <row r="2618" spans="5:6" x14ac:dyDescent="0.3">
      <c r="E2618" t="str">
        <f>IFERROR(IF(D2618="","",VLOOKUP(D2618,CadProd!$A:$B,2,0)),"")</f>
        <v/>
      </c>
      <c r="F2618" t="str">
        <f>IFERROR(IF(D2618="","",VLOOKUP(D2618,CadProd!$A:$C,3,0)),"")</f>
        <v/>
      </c>
    </row>
    <row r="2619" spans="5:6" x14ac:dyDescent="0.3">
      <c r="E2619" t="str">
        <f>IFERROR(IF(D2619="","",VLOOKUP(D2619,CadProd!$A:$B,2,0)),"")</f>
        <v/>
      </c>
      <c r="F2619" t="str">
        <f>IFERROR(IF(D2619="","",VLOOKUP(D2619,CadProd!$A:$C,3,0)),"")</f>
        <v/>
      </c>
    </row>
    <row r="2620" spans="5:6" x14ac:dyDescent="0.3">
      <c r="E2620" t="str">
        <f>IFERROR(IF(D2620="","",VLOOKUP(D2620,CadProd!$A:$B,2,0)),"")</f>
        <v/>
      </c>
      <c r="F2620" t="str">
        <f>IFERROR(IF(D2620="","",VLOOKUP(D2620,CadProd!$A:$C,3,0)),"")</f>
        <v/>
      </c>
    </row>
    <row r="2621" spans="5:6" x14ac:dyDescent="0.3">
      <c r="E2621" t="str">
        <f>IFERROR(IF(D2621="","",VLOOKUP(D2621,CadProd!$A:$B,2,0)),"")</f>
        <v/>
      </c>
      <c r="F2621" t="str">
        <f>IFERROR(IF(D2621="","",VLOOKUP(D2621,CadProd!$A:$C,3,0)),"")</f>
        <v/>
      </c>
    </row>
    <row r="2622" spans="5:6" x14ac:dyDescent="0.3">
      <c r="E2622" t="str">
        <f>IFERROR(IF(D2622="","",VLOOKUP(D2622,CadProd!$A:$B,2,0)),"")</f>
        <v/>
      </c>
      <c r="F2622" t="str">
        <f>IFERROR(IF(D2622="","",VLOOKUP(D2622,CadProd!$A:$C,3,0)),"")</f>
        <v/>
      </c>
    </row>
    <row r="2623" spans="5:6" x14ac:dyDescent="0.3">
      <c r="E2623" t="str">
        <f>IFERROR(IF(D2623="","",VLOOKUP(D2623,CadProd!$A:$B,2,0)),"")</f>
        <v/>
      </c>
      <c r="F2623" t="str">
        <f>IFERROR(IF(D2623="","",VLOOKUP(D2623,CadProd!$A:$C,3,0)),"")</f>
        <v/>
      </c>
    </row>
    <row r="2624" spans="5:6" x14ac:dyDescent="0.3">
      <c r="E2624" t="str">
        <f>IFERROR(IF(D2624="","",VLOOKUP(D2624,CadProd!$A:$B,2,0)),"")</f>
        <v/>
      </c>
      <c r="F2624" t="str">
        <f>IFERROR(IF(D2624="","",VLOOKUP(D2624,CadProd!$A:$C,3,0)),"")</f>
        <v/>
      </c>
    </row>
    <row r="2625" spans="5:6" x14ac:dyDescent="0.3">
      <c r="E2625" t="str">
        <f>IFERROR(IF(D2625="","",VLOOKUP(D2625,CadProd!$A:$B,2,0)),"")</f>
        <v/>
      </c>
      <c r="F2625" t="str">
        <f>IFERROR(IF(D2625="","",VLOOKUP(D2625,CadProd!$A:$C,3,0)),"")</f>
        <v/>
      </c>
    </row>
    <row r="2626" spans="5:6" x14ac:dyDescent="0.3">
      <c r="E2626" t="str">
        <f>IFERROR(IF(D2626="","",VLOOKUP(D2626,CadProd!$A:$B,2,0)),"")</f>
        <v/>
      </c>
      <c r="F2626" t="str">
        <f>IFERROR(IF(D2626="","",VLOOKUP(D2626,CadProd!$A:$C,3,0)),"")</f>
        <v/>
      </c>
    </row>
    <row r="2627" spans="5:6" x14ac:dyDescent="0.3">
      <c r="E2627" t="str">
        <f>IFERROR(IF(D2627="","",VLOOKUP(D2627,CadProd!$A:$B,2,0)),"")</f>
        <v/>
      </c>
      <c r="F2627" t="str">
        <f>IFERROR(IF(D2627="","",VLOOKUP(D2627,CadProd!$A:$C,3,0)),"")</f>
        <v/>
      </c>
    </row>
    <row r="2628" spans="5:6" x14ac:dyDescent="0.3">
      <c r="E2628" t="str">
        <f>IFERROR(IF(D2628="","",VLOOKUP(D2628,CadProd!$A:$B,2,0)),"")</f>
        <v/>
      </c>
      <c r="F2628" t="str">
        <f>IFERROR(IF(D2628="","",VLOOKUP(D2628,CadProd!$A:$C,3,0)),"")</f>
        <v/>
      </c>
    </row>
    <row r="2629" spans="5:6" x14ac:dyDescent="0.3">
      <c r="E2629" t="str">
        <f>IFERROR(IF(D2629="","",VLOOKUP(D2629,CadProd!$A:$B,2,0)),"")</f>
        <v/>
      </c>
      <c r="F2629" t="str">
        <f>IFERROR(IF(D2629="","",VLOOKUP(D2629,CadProd!$A:$C,3,0)),"")</f>
        <v/>
      </c>
    </row>
    <row r="2630" spans="5:6" x14ac:dyDescent="0.3">
      <c r="E2630" t="str">
        <f>IFERROR(IF(D2630="","",VLOOKUP(D2630,CadProd!$A:$B,2,0)),"")</f>
        <v/>
      </c>
      <c r="F2630" t="str">
        <f>IFERROR(IF(D2630="","",VLOOKUP(D2630,CadProd!$A:$C,3,0)),"")</f>
        <v/>
      </c>
    </row>
    <row r="2631" spans="5:6" x14ac:dyDescent="0.3">
      <c r="E2631" t="str">
        <f>IFERROR(IF(D2631="","",VLOOKUP(D2631,CadProd!$A:$B,2,0)),"")</f>
        <v/>
      </c>
      <c r="F2631" t="str">
        <f>IFERROR(IF(D2631="","",VLOOKUP(D2631,CadProd!$A:$C,3,0)),"")</f>
        <v/>
      </c>
    </row>
    <row r="2632" spans="5:6" x14ac:dyDescent="0.3">
      <c r="E2632" t="str">
        <f>IFERROR(IF(D2632="","",VLOOKUP(D2632,CadProd!$A:$B,2,0)),"")</f>
        <v/>
      </c>
      <c r="F2632" t="str">
        <f>IFERROR(IF(D2632="","",VLOOKUP(D2632,CadProd!$A:$C,3,0)),"")</f>
        <v/>
      </c>
    </row>
    <row r="2633" spans="5:6" x14ac:dyDescent="0.3">
      <c r="E2633" t="str">
        <f>IFERROR(IF(D2633="","",VLOOKUP(D2633,CadProd!$A:$B,2,0)),"")</f>
        <v/>
      </c>
      <c r="F2633" t="str">
        <f>IFERROR(IF(D2633="","",VLOOKUP(D2633,CadProd!$A:$C,3,0)),"")</f>
        <v/>
      </c>
    </row>
    <row r="2634" spans="5:6" x14ac:dyDescent="0.3">
      <c r="E2634" t="str">
        <f>IFERROR(IF(D2634="","",VLOOKUP(D2634,CadProd!$A:$B,2,0)),"")</f>
        <v/>
      </c>
      <c r="F2634" t="str">
        <f>IFERROR(IF(D2634="","",VLOOKUP(D2634,CadProd!$A:$C,3,0)),"")</f>
        <v/>
      </c>
    </row>
    <row r="2635" spans="5:6" x14ac:dyDescent="0.3">
      <c r="E2635" t="str">
        <f>IFERROR(IF(D2635="","",VLOOKUP(D2635,CadProd!$A:$B,2,0)),"")</f>
        <v/>
      </c>
      <c r="F2635" t="str">
        <f>IFERROR(IF(D2635="","",VLOOKUP(D2635,CadProd!$A:$C,3,0)),"")</f>
        <v/>
      </c>
    </row>
    <row r="2636" spans="5:6" x14ac:dyDescent="0.3">
      <c r="E2636" t="str">
        <f>IFERROR(IF(D2636="","",VLOOKUP(D2636,CadProd!$A:$B,2,0)),"")</f>
        <v/>
      </c>
      <c r="F2636" t="str">
        <f>IFERROR(IF(D2636="","",VLOOKUP(D2636,CadProd!$A:$C,3,0)),"")</f>
        <v/>
      </c>
    </row>
    <row r="2637" spans="5:6" x14ac:dyDescent="0.3">
      <c r="E2637" t="str">
        <f>IFERROR(IF(D2637="","",VLOOKUP(D2637,CadProd!$A:$B,2,0)),"")</f>
        <v/>
      </c>
      <c r="F2637" t="str">
        <f>IFERROR(IF(D2637="","",VLOOKUP(D2637,CadProd!$A:$C,3,0)),"")</f>
        <v/>
      </c>
    </row>
    <row r="2638" spans="5:6" x14ac:dyDescent="0.3">
      <c r="E2638" t="str">
        <f>IFERROR(IF(D2638="","",VLOOKUP(D2638,CadProd!$A:$B,2,0)),"")</f>
        <v/>
      </c>
      <c r="F2638" t="str">
        <f>IFERROR(IF(D2638="","",VLOOKUP(D2638,CadProd!$A:$C,3,0)),"")</f>
        <v/>
      </c>
    </row>
    <row r="2639" spans="5:6" x14ac:dyDescent="0.3">
      <c r="E2639" t="str">
        <f>IFERROR(IF(D2639="","",VLOOKUP(D2639,CadProd!$A:$B,2,0)),"")</f>
        <v/>
      </c>
      <c r="F2639" t="str">
        <f>IFERROR(IF(D2639="","",VLOOKUP(D2639,CadProd!$A:$C,3,0)),"")</f>
        <v/>
      </c>
    </row>
    <row r="2640" spans="5:6" x14ac:dyDescent="0.3">
      <c r="E2640" t="str">
        <f>IFERROR(IF(D2640="","",VLOOKUP(D2640,CadProd!$A:$B,2,0)),"")</f>
        <v/>
      </c>
      <c r="F2640" t="str">
        <f>IFERROR(IF(D2640="","",VLOOKUP(D2640,CadProd!$A:$C,3,0)),"")</f>
        <v/>
      </c>
    </row>
    <row r="2641" spans="5:6" x14ac:dyDescent="0.3">
      <c r="E2641" t="str">
        <f>IFERROR(IF(D2641="","",VLOOKUP(D2641,CadProd!$A:$B,2,0)),"")</f>
        <v/>
      </c>
      <c r="F2641" t="str">
        <f>IFERROR(IF(D2641="","",VLOOKUP(D2641,CadProd!$A:$C,3,0)),"")</f>
        <v/>
      </c>
    </row>
    <row r="2642" spans="5:6" x14ac:dyDescent="0.3">
      <c r="E2642" t="str">
        <f>IFERROR(IF(D2642="","",VLOOKUP(D2642,CadProd!$A:$B,2,0)),"")</f>
        <v/>
      </c>
      <c r="F2642" t="str">
        <f>IFERROR(IF(D2642="","",VLOOKUP(D2642,CadProd!$A:$C,3,0)),"")</f>
        <v/>
      </c>
    </row>
    <row r="2643" spans="5:6" x14ac:dyDescent="0.3">
      <c r="E2643" t="str">
        <f>IFERROR(IF(D2643="","",VLOOKUP(D2643,CadProd!$A:$B,2,0)),"")</f>
        <v/>
      </c>
      <c r="F2643" t="str">
        <f>IFERROR(IF(D2643="","",VLOOKUP(D2643,CadProd!$A:$C,3,0)),"")</f>
        <v/>
      </c>
    </row>
    <row r="2644" spans="5:6" x14ac:dyDescent="0.3">
      <c r="E2644" t="str">
        <f>IFERROR(IF(D2644="","",VLOOKUP(D2644,CadProd!$A:$B,2,0)),"")</f>
        <v/>
      </c>
      <c r="F2644" t="str">
        <f>IFERROR(IF(D2644="","",VLOOKUP(D2644,CadProd!$A:$C,3,0)),"")</f>
        <v/>
      </c>
    </row>
    <row r="2645" spans="5:6" x14ac:dyDescent="0.3">
      <c r="E2645" t="str">
        <f>IFERROR(IF(D2645="","",VLOOKUP(D2645,CadProd!$A:$B,2,0)),"")</f>
        <v/>
      </c>
      <c r="F2645" t="str">
        <f>IFERROR(IF(D2645="","",VLOOKUP(D2645,CadProd!$A:$C,3,0)),"")</f>
        <v/>
      </c>
    </row>
    <row r="2646" spans="5:6" x14ac:dyDescent="0.3">
      <c r="E2646" t="str">
        <f>IFERROR(IF(D2646="","",VLOOKUP(D2646,CadProd!$A:$B,2,0)),"")</f>
        <v/>
      </c>
      <c r="F2646" t="str">
        <f>IFERROR(IF(D2646="","",VLOOKUP(D2646,CadProd!$A:$C,3,0)),"")</f>
        <v/>
      </c>
    </row>
    <row r="2647" spans="5:6" x14ac:dyDescent="0.3">
      <c r="E2647" t="str">
        <f>IFERROR(IF(D2647="","",VLOOKUP(D2647,CadProd!$A:$B,2,0)),"")</f>
        <v/>
      </c>
      <c r="F2647" t="str">
        <f>IFERROR(IF(D2647="","",VLOOKUP(D2647,CadProd!$A:$C,3,0)),"")</f>
        <v/>
      </c>
    </row>
    <row r="2648" spans="5:6" x14ac:dyDescent="0.3">
      <c r="E2648" t="str">
        <f>IFERROR(IF(D2648="","",VLOOKUP(D2648,CadProd!$A:$B,2,0)),"")</f>
        <v/>
      </c>
      <c r="F2648" t="str">
        <f>IFERROR(IF(D2648="","",VLOOKUP(D2648,CadProd!$A:$C,3,0)),"")</f>
        <v/>
      </c>
    </row>
    <row r="2649" spans="5:6" x14ac:dyDescent="0.3">
      <c r="E2649" t="str">
        <f>IFERROR(IF(D2649="","",VLOOKUP(D2649,CadProd!$A:$B,2,0)),"")</f>
        <v/>
      </c>
      <c r="F2649" t="str">
        <f>IFERROR(IF(D2649="","",VLOOKUP(D2649,CadProd!$A:$C,3,0)),"")</f>
        <v/>
      </c>
    </row>
    <row r="2650" spans="5:6" x14ac:dyDescent="0.3">
      <c r="E2650" t="str">
        <f>IFERROR(IF(D2650="","",VLOOKUP(D2650,CadProd!$A:$B,2,0)),"")</f>
        <v/>
      </c>
      <c r="F2650" t="str">
        <f>IFERROR(IF(D2650="","",VLOOKUP(D2650,CadProd!$A:$C,3,0)),"")</f>
        <v/>
      </c>
    </row>
    <row r="2651" spans="5:6" x14ac:dyDescent="0.3">
      <c r="E2651" t="str">
        <f>IFERROR(IF(D2651="","",VLOOKUP(D2651,CadProd!$A:$B,2,0)),"")</f>
        <v/>
      </c>
      <c r="F2651" t="str">
        <f>IFERROR(IF(D2651="","",VLOOKUP(D2651,CadProd!$A:$C,3,0)),"")</f>
        <v/>
      </c>
    </row>
    <row r="2652" spans="5:6" x14ac:dyDescent="0.3">
      <c r="E2652" t="str">
        <f>IFERROR(IF(D2652="","",VLOOKUP(D2652,CadProd!$A:$B,2,0)),"")</f>
        <v/>
      </c>
      <c r="F2652" t="str">
        <f>IFERROR(IF(D2652="","",VLOOKUP(D2652,CadProd!$A:$C,3,0)),"")</f>
        <v/>
      </c>
    </row>
    <row r="2653" spans="5:6" x14ac:dyDescent="0.3">
      <c r="E2653" t="str">
        <f>IFERROR(IF(D2653="","",VLOOKUP(D2653,CadProd!$A:$B,2,0)),"")</f>
        <v/>
      </c>
      <c r="F2653" t="str">
        <f>IFERROR(IF(D2653="","",VLOOKUP(D2653,CadProd!$A:$C,3,0)),"")</f>
        <v/>
      </c>
    </row>
    <row r="2654" spans="5:6" x14ac:dyDescent="0.3">
      <c r="E2654" t="str">
        <f>IFERROR(IF(D2654="","",VLOOKUP(D2654,CadProd!$A:$B,2,0)),"")</f>
        <v/>
      </c>
      <c r="F2654" t="str">
        <f>IFERROR(IF(D2654="","",VLOOKUP(D2654,CadProd!$A:$C,3,0)),"")</f>
        <v/>
      </c>
    </row>
    <row r="2655" spans="5:6" x14ac:dyDescent="0.3">
      <c r="E2655" t="str">
        <f>IFERROR(IF(D2655="","",VLOOKUP(D2655,CadProd!$A:$B,2,0)),"")</f>
        <v/>
      </c>
      <c r="F2655" t="str">
        <f>IFERROR(IF(D2655="","",VLOOKUP(D2655,CadProd!$A:$C,3,0)),"")</f>
        <v/>
      </c>
    </row>
    <row r="2656" spans="5:6" x14ac:dyDescent="0.3">
      <c r="E2656" t="str">
        <f>IFERROR(IF(D2656="","",VLOOKUP(D2656,CadProd!$A:$B,2,0)),"")</f>
        <v/>
      </c>
      <c r="F2656" t="str">
        <f>IFERROR(IF(D2656="","",VLOOKUP(D2656,CadProd!$A:$C,3,0)),"")</f>
        <v/>
      </c>
    </row>
    <row r="2657" spans="5:6" x14ac:dyDescent="0.3">
      <c r="E2657" t="str">
        <f>IFERROR(IF(D2657="","",VLOOKUP(D2657,CadProd!$A:$B,2,0)),"")</f>
        <v/>
      </c>
      <c r="F2657" t="str">
        <f>IFERROR(IF(D2657="","",VLOOKUP(D2657,CadProd!$A:$C,3,0)),"")</f>
        <v/>
      </c>
    </row>
    <row r="2658" spans="5:6" x14ac:dyDescent="0.3">
      <c r="E2658" t="str">
        <f>IFERROR(IF(D2658="","",VLOOKUP(D2658,CadProd!$A:$B,2,0)),"")</f>
        <v/>
      </c>
      <c r="F2658" t="str">
        <f>IFERROR(IF(D2658="","",VLOOKUP(D2658,CadProd!$A:$C,3,0)),"")</f>
        <v/>
      </c>
    </row>
    <row r="2659" spans="5:6" x14ac:dyDescent="0.3">
      <c r="E2659" t="str">
        <f>IFERROR(IF(D2659="","",VLOOKUP(D2659,CadProd!$A:$B,2,0)),"")</f>
        <v/>
      </c>
      <c r="F2659" t="str">
        <f>IFERROR(IF(D2659="","",VLOOKUP(D2659,CadProd!$A:$C,3,0)),"")</f>
        <v/>
      </c>
    </row>
    <row r="2660" spans="5:6" x14ac:dyDescent="0.3">
      <c r="E2660" t="str">
        <f>IFERROR(IF(D2660="","",VLOOKUP(D2660,CadProd!$A:$B,2,0)),"")</f>
        <v/>
      </c>
      <c r="F2660" t="str">
        <f>IFERROR(IF(D2660="","",VLOOKUP(D2660,CadProd!$A:$C,3,0)),"")</f>
        <v/>
      </c>
    </row>
    <row r="2661" spans="5:6" x14ac:dyDescent="0.3">
      <c r="E2661" t="str">
        <f>IFERROR(IF(D2661="","",VLOOKUP(D2661,CadProd!$A:$B,2,0)),"")</f>
        <v/>
      </c>
      <c r="F2661" t="str">
        <f>IFERROR(IF(D2661="","",VLOOKUP(D2661,CadProd!$A:$C,3,0)),"")</f>
        <v/>
      </c>
    </row>
    <row r="2662" spans="5:6" x14ac:dyDescent="0.3">
      <c r="E2662" t="str">
        <f>IFERROR(IF(D2662="","",VLOOKUP(D2662,CadProd!$A:$B,2,0)),"")</f>
        <v/>
      </c>
      <c r="F2662" t="str">
        <f>IFERROR(IF(D2662="","",VLOOKUP(D2662,CadProd!$A:$C,3,0)),"")</f>
        <v/>
      </c>
    </row>
    <row r="2663" spans="5:6" x14ac:dyDescent="0.3">
      <c r="E2663" t="str">
        <f>IFERROR(IF(D2663="","",VLOOKUP(D2663,CadProd!$A:$B,2,0)),"")</f>
        <v/>
      </c>
      <c r="F2663" t="str">
        <f>IFERROR(IF(D2663="","",VLOOKUP(D2663,CadProd!$A:$C,3,0)),"")</f>
        <v/>
      </c>
    </row>
    <row r="2664" spans="5:6" x14ac:dyDescent="0.3">
      <c r="E2664" t="str">
        <f>IFERROR(IF(D2664="","",VLOOKUP(D2664,CadProd!$A:$B,2,0)),"")</f>
        <v/>
      </c>
      <c r="F2664" t="str">
        <f>IFERROR(IF(D2664="","",VLOOKUP(D2664,CadProd!$A:$C,3,0)),"")</f>
        <v/>
      </c>
    </row>
    <row r="2665" spans="5:6" x14ac:dyDescent="0.3">
      <c r="E2665" t="str">
        <f>IFERROR(IF(D2665="","",VLOOKUP(D2665,CadProd!$A:$B,2,0)),"")</f>
        <v/>
      </c>
      <c r="F2665" t="str">
        <f>IFERROR(IF(D2665="","",VLOOKUP(D2665,CadProd!$A:$C,3,0)),"")</f>
        <v/>
      </c>
    </row>
    <row r="2666" spans="5:6" x14ac:dyDescent="0.3">
      <c r="E2666" t="str">
        <f>IFERROR(IF(D2666="","",VLOOKUP(D2666,CadProd!$A:$B,2,0)),"")</f>
        <v/>
      </c>
      <c r="F2666" t="str">
        <f>IFERROR(IF(D2666="","",VLOOKUP(D2666,CadProd!$A:$C,3,0)),"")</f>
        <v/>
      </c>
    </row>
    <row r="2667" spans="5:6" x14ac:dyDescent="0.3">
      <c r="E2667" t="str">
        <f>IFERROR(IF(D2667="","",VLOOKUP(D2667,CadProd!$A:$B,2,0)),"")</f>
        <v/>
      </c>
      <c r="F2667" t="str">
        <f>IFERROR(IF(D2667="","",VLOOKUP(D2667,CadProd!$A:$C,3,0)),"")</f>
        <v/>
      </c>
    </row>
    <row r="2668" spans="5:6" x14ac:dyDescent="0.3">
      <c r="E2668" t="str">
        <f>IFERROR(IF(D2668="","",VLOOKUP(D2668,CadProd!$A:$B,2,0)),"")</f>
        <v/>
      </c>
      <c r="F2668" t="str">
        <f>IFERROR(IF(D2668="","",VLOOKUP(D2668,CadProd!$A:$C,3,0)),"")</f>
        <v/>
      </c>
    </row>
    <row r="2669" spans="5:6" x14ac:dyDescent="0.3">
      <c r="E2669" t="str">
        <f>IFERROR(IF(D2669="","",VLOOKUP(D2669,CadProd!$A:$B,2,0)),"")</f>
        <v/>
      </c>
      <c r="F2669" t="str">
        <f>IFERROR(IF(D2669="","",VLOOKUP(D2669,CadProd!$A:$C,3,0)),"")</f>
        <v/>
      </c>
    </row>
    <row r="2670" spans="5:6" x14ac:dyDescent="0.3">
      <c r="E2670" t="str">
        <f>IFERROR(IF(D2670="","",VLOOKUP(D2670,CadProd!$A:$B,2,0)),"")</f>
        <v/>
      </c>
      <c r="F2670" t="str">
        <f>IFERROR(IF(D2670="","",VLOOKUP(D2670,CadProd!$A:$C,3,0)),"")</f>
        <v/>
      </c>
    </row>
    <row r="2671" spans="5:6" x14ac:dyDescent="0.3">
      <c r="E2671" t="str">
        <f>IFERROR(IF(D2671="","",VLOOKUP(D2671,CadProd!$A:$B,2,0)),"")</f>
        <v/>
      </c>
      <c r="F2671" t="str">
        <f>IFERROR(IF(D2671="","",VLOOKUP(D2671,CadProd!$A:$C,3,0)),"")</f>
        <v/>
      </c>
    </row>
    <row r="2672" spans="5:6" x14ac:dyDescent="0.3">
      <c r="E2672" t="str">
        <f>IFERROR(IF(D2672="","",VLOOKUP(D2672,CadProd!$A:$B,2,0)),"")</f>
        <v/>
      </c>
      <c r="F2672" t="str">
        <f>IFERROR(IF(D2672="","",VLOOKUP(D2672,CadProd!$A:$C,3,0)),"")</f>
        <v/>
      </c>
    </row>
    <row r="2673" spans="5:6" x14ac:dyDescent="0.3">
      <c r="E2673" t="str">
        <f>IFERROR(IF(D2673="","",VLOOKUP(D2673,CadProd!$A:$B,2,0)),"")</f>
        <v/>
      </c>
      <c r="F2673" t="str">
        <f>IFERROR(IF(D2673="","",VLOOKUP(D2673,CadProd!$A:$C,3,0)),"")</f>
        <v/>
      </c>
    </row>
    <row r="2674" spans="5:6" x14ac:dyDescent="0.3">
      <c r="E2674" t="str">
        <f>IFERROR(IF(D2674="","",VLOOKUP(D2674,CadProd!$A:$B,2,0)),"")</f>
        <v/>
      </c>
      <c r="F2674" t="str">
        <f>IFERROR(IF(D2674="","",VLOOKUP(D2674,CadProd!$A:$C,3,0)),"")</f>
        <v/>
      </c>
    </row>
    <row r="2675" spans="5:6" x14ac:dyDescent="0.3">
      <c r="E2675" t="str">
        <f>IFERROR(IF(D2675="","",VLOOKUP(D2675,CadProd!$A:$B,2,0)),"")</f>
        <v/>
      </c>
      <c r="F2675" t="str">
        <f>IFERROR(IF(D2675="","",VLOOKUP(D2675,CadProd!$A:$C,3,0)),"")</f>
        <v/>
      </c>
    </row>
    <row r="2676" spans="5:6" x14ac:dyDescent="0.3">
      <c r="E2676" t="str">
        <f>IFERROR(IF(D2676="","",VLOOKUP(D2676,CadProd!$A:$B,2,0)),"")</f>
        <v/>
      </c>
      <c r="F2676" t="str">
        <f>IFERROR(IF(D2676="","",VLOOKUP(D2676,CadProd!$A:$C,3,0)),"")</f>
        <v/>
      </c>
    </row>
    <row r="2677" spans="5:6" x14ac:dyDescent="0.3">
      <c r="E2677" t="str">
        <f>IFERROR(IF(D2677="","",VLOOKUP(D2677,CadProd!$A:$B,2,0)),"")</f>
        <v/>
      </c>
      <c r="F2677" t="str">
        <f>IFERROR(IF(D2677="","",VLOOKUP(D2677,CadProd!$A:$C,3,0)),"")</f>
        <v/>
      </c>
    </row>
    <row r="2678" spans="5:6" x14ac:dyDescent="0.3">
      <c r="E2678" t="str">
        <f>IFERROR(IF(D2678="","",VLOOKUP(D2678,CadProd!$A:$B,2,0)),"")</f>
        <v/>
      </c>
      <c r="F2678" t="str">
        <f>IFERROR(IF(D2678="","",VLOOKUP(D2678,CadProd!$A:$C,3,0)),"")</f>
        <v/>
      </c>
    </row>
    <row r="2679" spans="5:6" x14ac:dyDescent="0.3">
      <c r="E2679" t="str">
        <f>IFERROR(IF(D2679="","",VLOOKUP(D2679,CadProd!$A:$B,2,0)),"")</f>
        <v/>
      </c>
      <c r="F2679" t="str">
        <f>IFERROR(IF(D2679="","",VLOOKUP(D2679,CadProd!$A:$C,3,0)),"")</f>
        <v/>
      </c>
    </row>
    <row r="2680" spans="5:6" x14ac:dyDescent="0.3">
      <c r="E2680" t="str">
        <f>IFERROR(IF(D2680="","",VLOOKUP(D2680,CadProd!$A:$B,2,0)),"")</f>
        <v/>
      </c>
      <c r="F2680" t="str">
        <f>IFERROR(IF(D2680="","",VLOOKUP(D2680,CadProd!$A:$C,3,0)),"")</f>
        <v/>
      </c>
    </row>
    <row r="2681" spans="5:6" x14ac:dyDescent="0.3">
      <c r="E2681" t="str">
        <f>IFERROR(IF(D2681="","",VLOOKUP(D2681,CadProd!$A:$B,2,0)),"")</f>
        <v/>
      </c>
      <c r="F2681" t="str">
        <f>IFERROR(IF(D2681="","",VLOOKUP(D2681,CadProd!$A:$C,3,0)),"")</f>
        <v/>
      </c>
    </row>
    <row r="2682" spans="5:6" x14ac:dyDescent="0.3">
      <c r="E2682" t="str">
        <f>IFERROR(IF(D2682="","",VLOOKUP(D2682,CadProd!$A:$B,2,0)),"")</f>
        <v/>
      </c>
      <c r="F2682" t="str">
        <f>IFERROR(IF(D2682="","",VLOOKUP(D2682,CadProd!$A:$C,3,0)),"")</f>
        <v/>
      </c>
    </row>
    <row r="2683" spans="5:6" x14ac:dyDescent="0.3">
      <c r="E2683" t="str">
        <f>IFERROR(IF(D2683="","",VLOOKUP(D2683,CadProd!$A:$B,2,0)),"")</f>
        <v/>
      </c>
      <c r="F2683" t="str">
        <f>IFERROR(IF(D2683="","",VLOOKUP(D2683,CadProd!$A:$C,3,0)),"")</f>
        <v/>
      </c>
    </row>
    <row r="2684" spans="5:6" x14ac:dyDescent="0.3">
      <c r="E2684" t="str">
        <f>IFERROR(IF(D2684="","",VLOOKUP(D2684,CadProd!$A:$B,2,0)),"")</f>
        <v/>
      </c>
      <c r="F2684" t="str">
        <f>IFERROR(IF(D2684="","",VLOOKUP(D2684,CadProd!$A:$C,3,0)),"")</f>
        <v/>
      </c>
    </row>
    <row r="2685" spans="5:6" x14ac:dyDescent="0.3">
      <c r="E2685" t="str">
        <f>IFERROR(IF(D2685="","",VLOOKUP(D2685,CadProd!$A:$B,2,0)),"")</f>
        <v/>
      </c>
      <c r="F2685" t="str">
        <f>IFERROR(IF(D2685="","",VLOOKUP(D2685,CadProd!$A:$C,3,0)),"")</f>
        <v/>
      </c>
    </row>
    <row r="2686" spans="5:6" x14ac:dyDescent="0.3">
      <c r="E2686" t="str">
        <f>IFERROR(IF(D2686="","",VLOOKUP(D2686,CadProd!$A:$B,2,0)),"")</f>
        <v/>
      </c>
      <c r="F2686" t="str">
        <f>IFERROR(IF(D2686="","",VLOOKUP(D2686,CadProd!$A:$C,3,0)),"")</f>
        <v/>
      </c>
    </row>
    <row r="2687" spans="5:6" x14ac:dyDescent="0.3">
      <c r="E2687" t="str">
        <f>IFERROR(IF(D2687="","",VLOOKUP(D2687,CadProd!$A:$B,2,0)),"")</f>
        <v/>
      </c>
      <c r="F2687" t="str">
        <f>IFERROR(IF(D2687="","",VLOOKUP(D2687,CadProd!$A:$C,3,0)),"")</f>
        <v/>
      </c>
    </row>
    <row r="2688" spans="5:6" x14ac:dyDescent="0.3">
      <c r="E2688" t="str">
        <f>IFERROR(IF(D2688="","",VLOOKUP(D2688,CadProd!$A:$B,2,0)),"")</f>
        <v/>
      </c>
      <c r="F2688" t="str">
        <f>IFERROR(IF(D2688="","",VLOOKUP(D2688,CadProd!$A:$C,3,0)),"")</f>
        <v/>
      </c>
    </row>
    <row r="2689" spans="5:6" x14ac:dyDescent="0.3">
      <c r="E2689" t="str">
        <f>IFERROR(IF(D2689="","",VLOOKUP(D2689,CadProd!$A:$B,2,0)),"")</f>
        <v/>
      </c>
      <c r="F2689" t="str">
        <f>IFERROR(IF(D2689="","",VLOOKUP(D2689,CadProd!$A:$C,3,0)),"")</f>
        <v/>
      </c>
    </row>
    <row r="2690" spans="5:6" x14ac:dyDescent="0.3">
      <c r="E2690" t="str">
        <f>IFERROR(IF(D2690="","",VLOOKUP(D2690,CadProd!$A:$B,2,0)),"")</f>
        <v/>
      </c>
      <c r="F2690" t="str">
        <f>IFERROR(IF(D2690="","",VLOOKUP(D2690,CadProd!$A:$C,3,0)),"")</f>
        <v/>
      </c>
    </row>
    <row r="2691" spans="5:6" x14ac:dyDescent="0.3">
      <c r="E2691" t="str">
        <f>IFERROR(IF(D2691="","",VLOOKUP(D2691,CadProd!$A:$B,2,0)),"")</f>
        <v/>
      </c>
      <c r="F2691" t="str">
        <f>IFERROR(IF(D2691="","",VLOOKUP(D2691,CadProd!$A:$C,3,0)),"")</f>
        <v/>
      </c>
    </row>
    <row r="2692" spans="5:6" x14ac:dyDescent="0.3">
      <c r="E2692" t="str">
        <f>IFERROR(IF(D2692="","",VLOOKUP(D2692,CadProd!$A:$B,2,0)),"")</f>
        <v/>
      </c>
      <c r="F2692" t="str">
        <f>IFERROR(IF(D2692="","",VLOOKUP(D2692,CadProd!$A:$C,3,0)),"")</f>
        <v/>
      </c>
    </row>
    <row r="2693" spans="5:6" x14ac:dyDescent="0.3">
      <c r="E2693" t="str">
        <f>IFERROR(IF(D2693="","",VLOOKUP(D2693,CadProd!$A:$B,2,0)),"")</f>
        <v/>
      </c>
      <c r="F2693" t="str">
        <f>IFERROR(IF(D2693="","",VLOOKUP(D2693,CadProd!$A:$C,3,0)),"")</f>
        <v/>
      </c>
    </row>
    <row r="2694" spans="5:6" x14ac:dyDescent="0.3">
      <c r="E2694" t="str">
        <f>IFERROR(IF(D2694="","",VLOOKUP(D2694,CadProd!$A:$B,2,0)),"")</f>
        <v/>
      </c>
      <c r="F2694" t="str">
        <f>IFERROR(IF(D2694="","",VLOOKUP(D2694,CadProd!$A:$C,3,0)),"")</f>
        <v/>
      </c>
    </row>
    <row r="2695" spans="5:6" x14ac:dyDescent="0.3">
      <c r="E2695" t="str">
        <f>IFERROR(IF(D2695="","",VLOOKUP(D2695,CadProd!$A:$B,2,0)),"")</f>
        <v/>
      </c>
      <c r="F2695" t="str">
        <f>IFERROR(IF(D2695="","",VLOOKUP(D2695,CadProd!$A:$C,3,0)),"")</f>
        <v/>
      </c>
    </row>
    <row r="2696" spans="5:6" x14ac:dyDescent="0.3">
      <c r="E2696" t="str">
        <f>IFERROR(IF(D2696="","",VLOOKUP(D2696,CadProd!$A:$B,2,0)),"")</f>
        <v/>
      </c>
      <c r="F2696" t="str">
        <f>IFERROR(IF(D2696="","",VLOOKUP(D2696,CadProd!$A:$C,3,0)),"")</f>
        <v/>
      </c>
    </row>
    <row r="2697" spans="5:6" x14ac:dyDescent="0.3">
      <c r="E2697" t="str">
        <f>IFERROR(IF(D2697="","",VLOOKUP(D2697,CadProd!$A:$B,2,0)),"")</f>
        <v/>
      </c>
      <c r="F2697" t="str">
        <f>IFERROR(IF(D2697="","",VLOOKUP(D2697,CadProd!$A:$C,3,0)),"")</f>
        <v/>
      </c>
    </row>
    <row r="2698" spans="5:6" x14ac:dyDescent="0.3">
      <c r="E2698" t="str">
        <f>IFERROR(IF(D2698="","",VLOOKUP(D2698,CadProd!$A:$B,2,0)),"")</f>
        <v/>
      </c>
      <c r="F2698" t="str">
        <f>IFERROR(IF(D2698="","",VLOOKUP(D2698,CadProd!$A:$C,3,0)),"")</f>
        <v/>
      </c>
    </row>
    <row r="2699" spans="5:6" x14ac:dyDescent="0.3">
      <c r="E2699" t="str">
        <f>IFERROR(IF(D2699="","",VLOOKUP(D2699,CadProd!$A:$B,2,0)),"")</f>
        <v/>
      </c>
      <c r="F2699" t="str">
        <f>IFERROR(IF(D2699="","",VLOOKUP(D2699,CadProd!$A:$C,3,0)),"")</f>
        <v/>
      </c>
    </row>
    <row r="2700" spans="5:6" x14ac:dyDescent="0.3">
      <c r="E2700" t="str">
        <f>IFERROR(IF(D2700="","",VLOOKUP(D2700,CadProd!$A:$B,2,0)),"")</f>
        <v/>
      </c>
      <c r="F2700" t="str">
        <f>IFERROR(IF(D2700="","",VLOOKUP(D2700,CadProd!$A:$C,3,0)),"")</f>
        <v/>
      </c>
    </row>
    <row r="2701" spans="5:6" x14ac:dyDescent="0.3">
      <c r="E2701" t="str">
        <f>IFERROR(IF(D2701="","",VLOOKUP(D2701,CadProd!$A:$B,2,0)),"")</f>
        <v/>
      </c>
      <c r="F2701" t="str">
        <f>IFERROR(IF(D2701="","",VLOOKUP(D2701,CadProd!$A:$C,3,0)),"")</f>
        <v/>
      </c>
    </row>
    <row r="2702" spans="5:6" x14ac:dyDescent="0.3">
      <c r="E2702" t="str">
        <f>IFERROR(IF(D2702="","",VLOOKUP(D2702,CadProd!$A:$B,2,0)),"")</f>
        <v/>
      </c>
      <c r="F2702" t="str">
        <f>IFERROR(IF(D2702="","",VLOOKUP(D2702,CadProd!$A:$C,3,0)),"")</f>
        <v/>
      </c>
    </row>
    <row r="2703" spans="5:6" x14ac:dyDescent="0.3">
      <c r="E2703" t="str">
        <f>IFERROR(IF(D2703="","",VLOOKUP(D2703,CadProd!$A:$B,2,0)),"")</f>
        <v/>
      </c>
      <c r="F2703" t="str">
        <f>IFERROR(IF(D2703="","",VLOOKUP(D2703,CadProd!$A:$C,3,0)),"")</f>
        <v/>
      </c>
    </row>
    <row r="2704" spans="5:6" x14ac:dyDescent="0.3">
      <c r="E2704" t="str">
        <f>IFERROR(IF(D2704="","",VLOOKUP(D2704,CadProd!$A:$B,2,0)),"")</f>
        <v/>
      </c>
      <c r="F2704" t="str">
        <f>IFERROR(IF(D2704="","",VLOOKUP(D2704,CadProd!$A:$C,3,0)),"")</f>
        <v/>
      </c>
    </row>
    <row r="2705" spans="5:6" x14ac:dyDescent="0.3">
      <c r="E2705" t="str">
        <f>IFERROR(IF(D2705="","",VLOOKUP(D2705,CadProd!$A:$B,2,0)),"")</f>
        <v/>
      </c>
      <c r="F2705" t="str">
        <f>IFERROR(IF(D2705="","",VLOOKUP(D2705,CadProd!$A:$C,3,0)),"")</f>
        <v/>
      </c>
    </row>
    <row r="2706" spans="5:6" x14ac:dyDescent="0.3">
      <c r="E2706" t="str">
        <f>IFERROR(IF(D2706="","",VLOOKUP(D2706,CadProd!$A:$B,2,0)),"")</f>
        <v/>
      </c>
      <c r="F2706" t="str">
        <f>IFERROR(IF(D2706="","",VLOOKUP(D2706,CadProd!$A:$C,3,0)),"")</f>
        <v/>
      </c>
    </row>
    <row r="2707" spans="5:6" x14ac:dyDescent="0.3">
      <c r="E2707" t="str">
        <f>IFERROR(IF(D2707="","",VLOOKUP(D2707,CadProd!$A:$B,2,0)),"")</f>
        <v/>
      </c>
      <c r="F2707" t="str">
        <f>IFERROR(IF(D2707="","",VLOOKUP(D2707,CadProd!$A:$C,3,0)),"")</f>
        <v/>
      </c>
    </row>
    <row r="2708" spans="5:6" x14ac:dyDescent="0.3">
      <c r="E2708" t="str">
        <f>IFERROR(IF(D2708="","",VLOOKUP(D2708,CadProd!$A:$B,2,0)),"")</f>
        <v/>
      </c>
      <c r="F2708" t="str">
        <f>IFERROR(IF(D2708="","",VLOOKUP(D2708,CadProd!$A:$C,3,0)),"")</f>
        <v/>
      </c>
    </row>
    <row r="2709" spans="5:6" x14ac:dyDescent="0.3">
      <c r="E2709" t="str">
        <f>IFERROR(IF(D2709="","",VLOOKUP(D2709,CadProd!$A:$B,2,0)),"")</f>
        <v/>
      </c>
      <c r="F2709" t="str">
        <f>IFERROR(IF(D2709="","",VLOOKUP(D2709,CadProd!$A:$C,3,0)),"")</f>
        <v/>
      </c>
    </row>
    <row r="2710" spans="5:6" x14ac:dyDescent="0.3">
      <c r="E2710" t="str">
        <f>IFERROR(IF(D2710="","",VLOOKUP(D2710,CadProd!$A:$B,2,0)),"")</f>
        <v/>
      </c>
      <c r="F2710" t="str">
        <f>IFERROR(IF(D2710="","",VLOOKUP(D2710,CadProd!$A:$C,3,0)),"")</f>
        <v/>
      </c>
    </row>
    <row r="2711" spans="5:6" x14ac:dyDescent="0.3">
      <c r="E2711" t="str">
        <f>IFERROR(IF(D2711="","",VLOOKUP(D2711,CadProd!$A:$B,2,0)),"")</f>
        <v/>
      </c>
      <c r="F2711" t="str">
        <f>IFERROR(IF(D2711="","",VLOOKUP(D2711,CadProd!$A:$C,3,0)),"")</f>
        <v/>
      </c>
    </row>
    <row r="2712" spans="5:6" x14ac:dyDescent="0.3">
      <c r="E2712" t="str">
        <f>IFERROR(IF(D2712="","",VLOOKUP(D2712,CadProd!$A:$B,2,0)),"")</f>
        <v/>
      </c>
      <c r="F2712" t="str">
        <f>IFERROR(IF(D2712="","",VLOOKUP(D2712,CadProd!$A:$C,3,0)),"")</f>
        <v/>
      </c>
    </row>
    <row r="2713" spans="5:6" x14ac:dyDescent="0.3">
      <c r="E2713" t="str">
        <f>IFERROR(IF(D2713="","",VLOOKUP(D2713,CadProd!$A:$B,2,0)),"")</f>
        <v/>
      </c>
      <c r="F2713" t="str">
        <f>IFERROR(IF(D2713="","",VLOOKUP(D2713,CadProd!$A:$C,3,0)),"")</f>
        <v/>
      </c>
    </row>
    <row r="2714" spans="5:6" x14ac:dyDescent="0.3">
      <c r="E2714" t="str">
        <f>IFERROR(IF(D2714="","",VLOOKUP(D2714,CadProd!$A:$B,2,0)),"")</f>
        <v/>
      </c>
      <c r="F2714" t="str">
        <f>IFERROR(IF(D2714="","",VLOOKUP(D2714,CadProd!$A:$C,3,0)),"")</f>
        <v/>
      </c>
    </row>
    <row r="2715" spans="5:6" x14ac:dyDescent="0.3">
      <c r="E2715" t="str">
        <f>IFERROR(IF(D2715="","",VLOOKUP(D2715,CadProd!$A:$B,2,0)),"")</f>
        <v/>
      </c>
      <c r="F2715" t="str">
        <f>IFERROR(IF(D2715="","",VLOOKUP(D2715,CadProd!$A:$C,3,0)),"")</f>
        <v/>
      </c>
    </row>
    <row r="2716" spans="5:6" x14ac:dyDescent="0.3">
      <c r="E2716" t="str">
        <f>IFERROR(IF(D2716="","",VLOOKUP(D2716,CadProd!$A:$B,2,0)),"")</f>
        <v/>
      </c>
      <c r="F2716" t="str">
        <f>IFERROR(IF(D2716="","",VLOOKUP(D2716,CadProd!$A:$C,3,0)),"")</f>
        <v/>
      </c>
    </row>
    <row r="2717" spans="5:6" x14ac:dyDescent="0.3">
      <c r="E2717" t="str">
        <f>IFERROR(IF(D2717="","",VLOOKUP(D2717,CadProd!$A:$B,2,0)),"")</f>
        <v/>
      </c>
      <c r="F2717" t="str">
        <f>IFERROR(IF(D2717="","",VLOOKUP(D2717,CadProd!$A:$C,3,0)),"")</f>
        <v/>
      </c>
    </row>
    <row r="2718" spans="5:6" x14ac:dyDescent="0.3">
      <c r="E2718" t="str">
        <f>IFERROR(IF(D2718="","",VLOOKUP(D2718,CadProd!$A:$B,2,0)),"")</f>
        <v/>
      </c>
      <c r="F2718" t="str">
        <f>IFERROR(IF(D2718="","",VLOOKUP(D2718,CadProd!$A:$C,3,0)),"")</f>
        <v/>
      </c>
    </row>
    <row r="2719" spans="5:6" x14ac:dyDescent="0.3">
      <c r="E2719" t="str">
        <f>IFERROR(IF(D2719="","",VLOOKUP(D2719,CadProd!$A:$B,2,0)),"")</f>
        <v/>
      </c>
      <c r="F2719" t="str">
        <f>IFERROR(IF(D2719="","",VLOOKUP(D2719,CadProd!$A:$C,3,0)),"")</f>
        <v/>
      </c>
    </row>
    <row r="2720" spans="5:6" x14ac:dyDescent="0.3">
      <c r="E2720" t="str">
        <f>IFERROR(IF(D2720="","",VLOOKUP(D2720,CadProd!$A:$B,2,0)),"")</f>
        <v/>
      </c>
      <c r="F2720" t="str">
        <f>IFERROR(IF(D2720="","",VLOOKUP(D2720,CadProd!$A:$C,3,0)),"")</f>
        <v/>
      </c>
    </row>
    <row r="2721" spans="5:6" x14ac:dyDescent="0.3">
      <c r="E2721" t="str">
        <f>IFERROR(IF(D2721="","",VLOOKUP(D2721,CadProd!$A:$B,2,0)),"")</f>
        <v/>
      </c>
      <c r="F2721" t="str">
        <f>IFERROR(IF(D2721="","",VLOOKUP(D2721,CadProd!$A:$C,3,0)),"")</f>
        <v/>
      </c>
    </row>
    <row r="2722" spans="5:6" x14ac:dyDescent="0.3">
      <c r="E2722" t="str">
        <f>IFERROR(IF(D2722="","",VLOOKUP(D2722,CadProd!$A:$B,2,0)),"")</f>
        <v/>
      </c>
      <c r="F2722" t="str">
        <f>IFERROR(IF(D2722="","",VLOOKUP(D2722,CadProd!$A:$C,3,0)),"")</f>
        <v/>
      </c>
    </row>
    <row r="2723" spans="5:6" x14ac:dyDescent="0.3">
      <c r="E2723" t="str">
        <f>IFERROR(IF(D2723="","",VLOOKUP(D2723,CadProd!$A:$B,2,0)),"")</f>
        <v/>
      </c>
      <c r="F2723" t="str">
        <f>IFERROR(IF(D2723="","",VLOOKUP(D2723,CadProd!$A:$C,3,0)),"")</f>
        <v/>
      </c>
    </row>
    <row r="2724" spans="5:6" x14ac:dyDescent="0.3">
      <c r="E2724" t="str">
        <f>IFERROR(IF(D2724="","",VLOOKUP(D2724,CadProd!$A:$B,2,0)),"")</f>
        <v/>
      </c>
      <c r="F2724" t="str">
        <f>IFERROR(IF(D2724="","",VLOOKUP(D2724,CadProd!$A:$C,3,0)),"")</f>
        <v/>
      </c>
    </row>
    <row r="2725" spans="5:6" x14ac:dyDescent="0.3">
      <c r="E2725" t="str">
        <f>IFERROR(IF(D2725="","",VLOOKUP(D2725,CadProd!$A:$B,2,0)),"")</f>
        <v/>
      </c>
      <c r="F2725" t="str">
        <f>IFERROR(IF(D2725="","",VLOOKUP(D2725,CadProd!$A:$C,3,0)),"")</f>
        <v/>
      </c>
    </row>
    <row r="2726" spans="5:6" x14ac:dyDescent="0.3">
      <c r="E2726" t="str">
        <f>IFERROR(IF(D2726="","",VLOOKUP(D2726,CadProd!$A:$B,2,0)),"")</f>
        <v/>
      </c>
      <c r="F2726" t="str">
        <f>IFERROR(IF(D2726="","",VLOOKUP(D2726,CadProd!$A:$C,3,0)),"")</f>
        <v/>
      </c>
    </row>
    <row r="2727" spans="5:6" x14ac:dyDescent="0.3">
      <c r="E2727" t="str">
        <f>IFERROR(IF(D2727="","",VLOOKUP(D2727,CadProd!$A:$B,2,0)),"")</f>
        <v/>
      </c>
      <c r="F2727" t="str">
        <f>IFERROR(IF(D2727="","",VLOOKUP(D2727,CadProd!$A:$C,3,0)),"")</f>
        <v/>
      </c>
    </row>
    <row r="2728" spans="5:6" x14ac:dyDescent="0.3">
      <c r="E2728" t="str">
        <f>IFERROR(IF(D2728="","",VLOOKUP(D2728,CadProd!$A:$B,2,0)),"")</f>
        <v/>
      </c>
      <c r="F2728" t="str">
        <f>IFERROR(IF(D2728="","",VLOOKUP(D2728,CadProd!$A:$C,3,0)),"")</f>
        <v/>
      </c>
    </row>
    <row r="2729" spans="5:6" x14ac:dyDescent="0.3">
      <c r="E2729" t="str">
        <f>IFERROR(IF(D2729="","",VLOOKUP(D2729,CadProd!$A:$B,2,0)),"")</f>
        <v/>
      </c>
      <c r="F2729" t="str">
        <f>IFERROR(IF(D2729="","",VLOOKUP(D2729,CadProd!$A:$C,3,0)),"")</f>
        <v/>
      </c>
    </row>
    <row r="2730" spans="5:6" x14ac:dyDescent="0.3">
      <c r="E2730" t="str">
        <f>IFERROR(IF(D2730="","",VLOOKUP(D2730,CadProd!$A:$B,2,0)),"")</f>
        <v/>
      </c>
      <c r="F2730" t="str">
        <f>IFERROR(IF(D2730="","",VLOOKUP(D2730,CadProd!$A:$C,3,0)),"")</f>
        <v/>
      </c>
    </row>
    <row r="2731" spans="5:6" x14ac:dyDescent="0.3">
      <c r="E2731" t="str">
        <f>IFERROR(IF(D2731="","",VLOOKUP(D2731,CadProd!$A:$B,2,0)),"")</f>
        <v/>
      </c>
      <c r="F2731" t="str">
        <f>IFERROR(IF(D2731="","",VLOOKUP(D2731,CadProd!$A:$C,3,0)),"")</f>
        <v/>
      </c>
    </row>
    <row r="2732" spans="5:6" x14ac:dyDescent="0.3">
      <c r="E2732" t="str">
        <f>IFERROR(IF(D2732="","",VLOOKUP(D2732,CadProd!$A:$B,2,0)),"")</f>
        <v/>
      </c>
      <c r="F2732" t="str">
        <f>IFERROR(IF(D2732="","",VLOOKUP(D2732,CadProd!$A:$C,3,0)),"")</f>
        <v/>
      </c>
    </row>
    <row r="2733" spans="5:6" x14ac:dyDescent="0.3">
      <c r="E2733" t="str">
        <f>IFERROR(IF(D2733="","",VLOOKUP(D2733,CadProd!$A:$B,2,0)),"")</f>
        <v/>
      </c>
      <c r="F2733" t="str">
        <f>IFERROR(IF(D2733="","",VLOOKUP(D2733,CadProd!$A:$C,3,0)),"")</f>
        <v/>
      </c>
    </row>
    <row r="2734" spans="5:6" x14ac:dyDescent="0.3">
      <c r="E2734" t="str">
        <f>IFERROR(IF(D2734="","",VLOOKUP(D2734,CadProd!$A:$B,2,0)),"")</f>
        <v/>
      </c>
      <c r="F2734" t="str">
        <f>IFERROR(IF(D2734="","",VLOOKUP(D2734,CadProd!$A:$C,3,0)),"")</f>
        <v/>
      </c>
    </row>
    <row r="2735" spans="5:6" x14ac:dyDescent="0.3">
      <c r="E2735" t="str">
        <f>IFERROR(IF(D2735="","",VLOOKUP(D2735,CadProd!$A:$B,2,0)),"")</f>
        <v/>
      </c>
      <c r="F2735" t="str">
        <f>IFERROR(IF(D2735="","",VLOOKUP(D2735,CadProd!$A:$C,3,0)),"")</f>
        <v/>
      </c>
    </row>
    <row r="2736" spans="5:6" x14ac:dyDescent="0.3">
      <c r="E2736" t="str">
        <f>IFERROR(IF(D2736="","",VLOOKUP(D2736,CadProd!$A:$B,2,0)),"")</f>
        <v/>
      </c>
      <c r="F2736" t="str">
        <f>IFERROR(IF(D2736="","",VLOOKUP(D2736,CadProd!$A:$C,3,0)),"")</f>
        <v/>
      </c>
    </row>
    <row r="2737" spans="5:6" x14ac:dyDescent="0.3">
      <c r="E2737" t="str">
        <f>IFERROR(IF(D2737="","",VLOOKUP(D2737,CadProd!$A:$B,2,0)),"")</f>
        <v/>
      </c>
      <c r="F2737" t="str">
        <f>IFERROR(IF(D2737="","",VLOOKUP(D2737,CadProd!$A:$C,3,0)),"")</f>
        <v/>
      </c>
    </row>
    <row r="2738" spans="5:6" x14ac:dyDescent="0.3">
      <c r="E2738" t="str">
        <f>IFERROR(IF(D2738="","",VLOOKUP(D2738,CadProd!$A:$B,2,0)),"")</f>
        <v/>
      </c>
      <c r="F2738" t="str">
        <f>IFERROR(IF(D2738="","",VLOOKUP(D2738,CadProd!$A:$C,3,0)),"")</f>
        <v/>
      </c>
    </row>
    <row r="2739" spans="5:6" x14ac:dyDescent="0.3">
      <c r="E2739" t="str">
        <f>IFERROR(IF(D2739="","",VLOOKUP(D2739,CadProd!$A:$B,2,0)),"")</f>
        <v/>
      </c>
      <c r="F2739" t="str">
        <f>IFERROR(IF(D2739="","",VLOOKUP(D2739,CadProd!$A:$C,3,0)),"")</f>
        <v/>
      </c>
    </row>
    <row r="2740" spans="5:6" x14ac:dyDescent="0.3">
      <c r="E2740" t="str">
        <f>IFERROR(IF(D2740="","",VLOOKUP(D2740,CadProd!$A:$B,2,0)),"")</f>
        <v/>
      </c>
      <c r="F2740" t="str">
        <f>IFERROR(IF(D2740="","",VLOOKUP(D2740,CadProd!$A:$C,3,0)),"")</f>
        <v/>
      </c>
    </row>
    <row r="2741" spans="5:6" x14ac:dyDescent="0.3">
      <c r="E2741" t="str">
        <f>IFERROR(IF(D2741="","",VLOOKUP(D2741,CadProd!$A:$B,2,0)),"")</f>
        <v/>
      </c>
      <c r="F2741" t="str">
        <f>IFERROR(IF(D2741="","",VLOOKUP(D2741,CadProd!$A:$C,3,0)),"")</f>
        <v/>
      </c>
    </row>
    <row r="2742" spans="5:6" x14ac:dyDescent="0.3">
      <c r="E2742" t="str">
        <f>IFERROR(IF(D2742="","",VLOOKUP(D2742,CadProd!$A:$B,2,0)),"")</f>
        <v/>
      </c>
      <c r="F2742" t="str">
        <f>IFERROR(IF(D2742="","",VLOOKUP(D2742,CadProd!$A:$C,3,0)),"")</f>
        <v/>
      </c>
    </row>
    <row r="2743" spans="5:6" x14ac:dyDescent="0.3">
      <c r="E2743" t="str">
        <f>IFERROR(IF(D2743="","",VLOOKUP(D2743,CadProd!$A:$B,2,0)),"")</f>
        <v/>
      </c>
      <c r="F2743" t="str">
        <f>IFERROR(IF(D2743="","",VLOOKUP(D2743,CadProd!$A:$C,3,0)),"")</f>
        <v/>
      </c>
    </row>
    <row r="2744" spans="5:6" x14ac:dyDescent="0.3">
      <c r="E2744" t="str">
        <f>IFERROR(IF(D2744="","",VLOOKUP(D2744,CadProd!$A:$B,2,0)),"")</f>
        <v/>
      </c>
      <c r="F2744" t="str">
        <f>IFERROR(IF(D2744="","",VLOOKUP(D2744,CadProd!$A:$C,3,0)),"")</f>
        <v/>
      </c>
    </row>
    <row r="2745" spans="5:6" x14ac:dyDescent="0.3">
      <c r="E2745" t="str">
        <f>IFERROR(IF(D2745="","",VLOOKUP(D2745,CadProd!$A:$B,2,0)),"")</f>
        <v/>
      </c>
      <c r="F2745" t="str">
        <f>IFERROR(IF(D2745="","",VLOOKUP(D2745,CadProd!$A:$C,3,0)),"")</f>
        <v/>
      </c>
    </row>
    <row r="2746" spans="5:6" x14ac:dyDescent="0.3">
      <c r="E2746" t="str">
        <f>IFERROR(IF(D2746="","",VLOOKUP(D2746,CadProd!$A:$B,2,0)),"")</f>
        <v/>
      </c>
      <c r="F2746" t="str">
        <f>IFERROR(IF(D2746="","",VLOOKUP(D2746,CadProd!$A:$C,3,0)),"")</f>
        <v/>
      </c>
    </row>
    <row r="2747" spans="5:6" x14ac:dyDescent="0.3">
      <c r="E2747" t="str">
        <f>IFERROR(IF(D2747="","",VLOOKUP(D2747,CadProd!$A:$B,2,0)),"")</f>
        <v/>
      </c>
      <c r="F2747" t="str">
        <f>IFERROR(IF(D2747="","",VLOOKUP(D2747,CadProd!$A:$C,3,0)),"")</f>
        <v/>
      </c>
    </row>
    <row r="2748" spans="5:6" x14ac:dyDescent="0.3">
      <c r="E2748" t="str">
        <f>IFERROR(IF(D2748="","",VLOOKUP(D2748,CadProd!$A:$B,2,0)),"")</f>
        <v/>
      </c>
      <c r="F2748" t="str">
        <f>IFERROR(IF(D2748="","",VLOOKUP(D2748,CadProd!$A:$C,3,0)),"")</f>
        <v/>
      </c>
    </row>
    <row r="2749" spans="5:6" x14ac:dyDescent="0.3">
      <c r="E2749" t="str">
        <f>IFERROR(IF(D2749="","",VLOOKUP(D2749,CadProd!$A:$B,2,0)),"")</f>
        <v/>
      </c>
      <c r="F2749" t="str">
        <f>IFERROR(IF(D2749="","",VLOOKUP(D2749,CadProd!$A:$C,3,0)),"")</f>
        <v/>
      </c>
    </row>
    <row r="2750" spans="5:6" x14ac:dyDescent="0.3">
      <c r="E2750" t="str">
        <f>IFERROR(IF(D2750="","",VLOOKUP(D2750,CadProd!$A:$B,2,0)),"")</f>
        <v/>
      </c>
      <c r="F2750" t="str">
        <f>IFERROR(IF(D2750="","",VLOOKUP(D2750,CadProd!$A:$C,3,0)),"")</f>
        <v/>
      </c>
    </row>
    <row r="2751" spans="5:6" x14ac:dyDescent="0.3">
      <c r="E2751" t="str">
        <f>IFERROR(IF(D2751="","",VLOOKUP(D2751,CadProd!$A:$B,2,0)),"")</f>
        <v/>
      </c>
      <c r="F2751" t="str">
        <f>IFERROR(IF(D2751="","",VLOOKUP(D2751,CadProd!$A:$C,3,0)),"")</f>
        <v/>
      </c>
    </row>
    <row r="2752" spans="5:6" x14ac:dyDescent="0.3">
      <c r="E2752" t="str">
        <f>IFERROR(IF(D2752="","",VLOOKUP(D2752,CadProd!$A:$B,2,0)),"")</f>
        <v/>
      </c>
      <c r="F2752" t="str">
        <f>IFERROR(IF(D2752="","",VLOOKUP(D2752,CadProd!$A:$C,3,0)),"")</f>
        <v/>
      </c>
    </row>
    <row r="2753" spans="5:6" x14ac:dyDescent="0.3">
      <c r="E2753" t="str">
        <f>IFERROR(IF(D2753="","",VLOOKUP(D2753,CadProd!$A:$B,2,0)),"")</f>
        <v/>
      </c>
      <c r="F2753" t="str">
        <f>IFERROR(IF(D2753="","",VLOOKUP(D2753,CadProd!$A:$C,3,0)),"")</f>
        <v/>
      </c>
    </row>
    <row r="2754" spans="5:6" x14ac:dyDescent="0.3">
      <c r="E2754" t="str">
        <f>IFERROR(IF(D2754="","",VLOOKUP(D2754,CadProd!$A:$B,2,0)),"")</f>
        <v/>
      </c>
      <c r="F2754" t="str">
        <f>IFERROR(IF(D2754="","",VLOOKUP(D2754,CadProd!$A:$C,3,0)),"")</f>
        <v/>
      </c>
    </row>
    <row r="2755" spans="5:6" x14ac:dyDescent="0.3">
      <c r="E2755" t="str">
        <f>IFERROR(IF(D2755="","",VLOOKUP(D2755,CadProd!$A:$B,2,0)),"")</f>
        <v/>
      </c>
      <c r="F2755" t="str">
        <f>IFERROR(IF(D2755="","",VLOOKUP(D2755,CadProd!$A:$C,3,0)),"")</f>
        <v/>
      </c>
    </row>
    <row r="2756" spans="5:6" x14ac:dyDescent="0.3">
      <c r="E2756" t="str">
        <f>IFERROR(IF(D2756="","",VLOOKUP(D2756,CadProd!$A:$B,2,0)),"")</f>
        <v/>
      </c>
      <c r="F2756" t="str">
        <f>IFERROR(IF(D2756="","",VLOOKUP(D2756,CadProd!$A:$C,3,0)),"")</f>
        <v/>
      </c>
    </row>
    <row r="2757" spans="5:6" x14ac:dyDescent="0.3">
      <c r="E2757" t="str">
        <f>IFERROR(IF(D2757="","",VLOOKUP(D2757,CadProd!$A:$B,2,0)),"")</f>
        <v/>
      </c>
      <c r="F2757" t="str">
        <f>IFERROR(IF(D2757="","",VLOOKUP(D2757,CadProd!$A:$C,3,0)),"")</f>
        <v/>
      </c>
    </row>
    <row r="2758" spans="5:6" x14ac:dyDescent="0.3">
      <c r="E2758" t="str">
        <f>IFERROR(IF(D2758="","",VLOOKUP(D2758,CadProd!$A:$B,2,0)),"")</f>
        <v/>
      </c>
      <c r="F2758" t="str">
        <f>IFERROR(IF(D2758="","",VLOOKUP(D2758,CadProd!$A:$C,3,0)),"")</f>
        <v/>
      </c>
    </row>
    <row r="2759" spans="5:6" x14ac:dyDescent="0.3">
      <c r="E2759" t="str">
        <f>IFERROR(IF(D2759="","",VLOOKUP(D2759,CadProd!$A:$B,2,0)),"")</f>
        <v/>
      </c>
      <c r="F2759" t="str">
        <f>IFERROR(IF(D2759="","",VLOOKUP(D2759,CadProd!$A:$C,3,0)),"")</f>
        <v/>
      </c>
    </row>
    <row r="2760" spans="5:6" x14ac:dyDescent="0.3">
      <c r="E2760" t="str">
        <f>IFERROR(IF(D2760="","",VLOOKUP(D2760,CadProd!$A:$B,2,0)),"")</f>
        <v/>
      </c>
      <c r="F2760" t="str">
        <f>IFERROR(IF(D2760="","",VLOOKUP(D2760,CadProd!$A:$C,3,0)),"")</f>
        <v/>
      </c>
    </row>
    <row r="2761" spans="5:6" x14ac:dyDescent="0.3">
      <c r="E2761" t="str">
        <f>IFERROR(IF(D2761="","",VLOOKUP(D2761,CadProd!$A:$B,2,0)),"")</f>
        <v/>
      </c>
      <c r="F2761" t="str">
        <f>IFERROR(IF(D2761="","",VLOOKUP(D2761,CadProd!$A:$C,3,0)),"")</f>
        <v/>
      </c>
    </row>
    <row r="2762" spans="5:6" x14ac:dyDescent="0.3">
      <c r="E2762" t="str">
        <f>IFERROR(IF(D2762="","",VLOOKUP(D2762,CadProd!$A:$B,2,0)),"")</f>
        <v/>
      </c>
      <c r="F2762" t="str">
        <f>IFERROR(IF(D2762="","",VLOOKUP(D2762,CadProd!$A:$C,3,0)),"")</f>
        <v/>
      </c>
    </row>
    <row r="2763" spans="5:6" x14ac:dyDescent="0.3">
      <c r="E2763" t="str">
        <f>IFERROR(IF(D2763="","",VLOOKUP(D2763,CadProd!$A:$B,2,0)),"")</f>
        <v/>
      </c>
      <c r="F2763" t="str">
        <f>IFERROR(IF(D2763="","",VLOOKUP(D2763,CadProd!$A:$C,3,0)),"")</f>
        <v/>
      </c>
    </row>
    <row r="2764" spans="5:6" x14ac:dyDescent="0.3">
      <c r="E2764" t="str">
        <f>IFERROR(IF(D2764="","",VLOOKUP(D2764,CadProd!$A:$B,2,0)),"")</f>
        <v/>
      </c>
      <c r="F2764" t="str">
        <f>IFERROR(IF(D2764="","",VLOOKUP(D2764,CadProd!$A:$C,3,0)),"")</f>
        <v/>
      </c>
    </row>
    <row r="2765" spans="5:6" x14ac:dyDescent="0.3">
      <c r="E2765" t="str">
        <f>IFERROR(IF(D2765="","",VLOOKUP(D2765,CadProd!$A:$B,2,0)),"")</f>
        <v/>
      </c>
      <c r="F2765" t="str">
        <f>IFERROR(IF(D2765="","",VLOOKUP(D2765,CadProd!$A:$C,3,0)),"")</f>
        <v/>
      </c>
    </row>
    <row r="2766" spans="5:6" x14ac:dyDescent="0.3">
      <c r="E2766" t="str">
        <f>IFERROR(IF(D2766="","",VLOOKUP(D2766,CadProd!$A:$B,2,0)),"")</f>
        <v/>
      </c>
      <c r="F2766" t="str">
        <f>IFERROR(IF(D2766="","",VLOOKUP(D2766,CadProd!$A:$C,3,0)),"")</f>
        <v/>
      </c>
    </row>
    <row r="2767" spans="5:6" x14ac:dyDescent="0.3">
      <c r="E2767" t="str">
        <f>IFERROR(IF(D2767="","",VLOOKUP(D2767,CadProd!$A:$B,2,0)),"")</f>
        <v/>
      </c>
      <c r="F2767" t="str">
        <f>IFERROR(IF(D2767="","",VLOOKUP(D2767,CadProd!$A:$C,3,0)),"")</f>
        <v/>
      </c>
    </row>
    <row r="2768" spans="5:6" x14ac:dyDescent="0.3">
      <c r="E2768" t="str">
        <f>IFERROR(IF(D2768="","",VLOOKUP(D2768,CadProd!$A:$B,2,0)),"")</f>
        <v/>
      </c>
      <c r="F2768" t="str">
        <f>IFERROR(IF(D2768="","",VLOOKUP(D2768,CadProd!$A:$C,3,0)),"")</f>
        <v/>
      </c>
    </row>
    <row r="2769" spans="5:6" x14ac:dyDescent="0.3">
      <c r="E2769" t="str">
        <f>IFERROR(IF(D2769="","",VLOOKUP(D2769,CadProd!$A:$B,2,0)),"")</f>
        <v/>
      </c>
      <c r="F2769" t="str">
        <f>IFERROR(IF(D2769="","",VLOOKUP(D2769,CadProd!$A:$C,3,0)),"")</f>
        <v/>
      </c>
    </row>
    <row r="2770" spans="5:6" x14ac:dyDescent="0.3">
      <c r="E2770" t="str">
        <f>IFERROR(IF(D2770="","",VLOOKUP(D2770,CadProd!$A:$B,2,0)),"")</f>
        <v/>
      </c>
      <c r="F2770" t="str">
        <f>IFERROR(IF(D2770="","",VLOOKUP(D2770,CadProd!$A:$C,3,0)),"")</f>
        <v/>
      </c>
    </row>
    <row r="2771" spans="5:6" x14ac:dyDescent="0.3">
      <c r="E2771" t="str">
        <f>IFERROR(IF(D2771="","",VLOOKUP(D2771,CadProd!$A:$B,2,0)),"")</f>
        <v/>
      </c>
      <c r="F2771" t="str">
        <f>IFERROR(IF(D2771="","",VLOOKUP(D2771,CadProd!$A:$C,3,0)),"")</f>
        <v/>
      </c>
    </row>
    <row r="2772" spans="5:6" x14ac:dyDescent="0.3">
      <c r="E2772" t="str">
        <f>IFERROR(IF(D2772="","",VLOOKUP(D2772,CadProd!$A:$B,2,0)),"")</f>
        <v/>
      </c>
      <c r="F2772" t="str">
        <f>IFERROR(IF(D2772="","",VLOOKUP(D2772,CadProd!$A:$C,3,0)),"")</f>
        <v/>
      </c>
    </row>
    <row r="2773" spans="5:6" x14ac:dyDescent="0.3">
      <c r="E2773" t="str">
        <f>IFERROR(IF(D2773="","",VLOOKUP(D2773,CadProd!$A:$B,2,0)),"")</f>
        <v/>
      </c>
      <c r="F2773" t="str">
        <f>IFERROR(IF(D2773="","",VLOOKUP(D2773,CadProd!$A:$C,3,0)),"")</f>
        <v/>
      </c>
    </row>
    <row r="2774" spans="5:6" x14ac:dyDescent="0.3">
      <c r="E2774" t="str">
        <f>IFERROR(IF(D2774="","",VLOOKUP(D2774,CadProd!$A:$B,2,0)),"")</f>
        <v/>
      </c>
      <c r="F2774" t="str">
        <f>IFERROR(IF(D2774="","",VLOOKUP(D2774,CadProd!$A:$C,3,0)),"")</f>
        <v/>
      </c>
    </row>
    <row r="2775" spans="5:6" x14ac:dyDescent="0.3">
      <c r="E2775" t="str">
        <f>IFERROR(IF(D2775="","",VLOOKUP(D2775,CadProd!$A:$B,2,0)),"")</f>
        <v/>
      </c>
      <c r="F2775" t="str">
        <f>IFERROR(IF(D2775="","",VLOOKUP(D2775,CadProd!$A:$C,3,0)),"")</f>
        <v/>
      </c>
    </row>
    <row r="2776" spans="5:6" x14ac:dyDescent="0.3">
      <c r="E2776" t="str">
        <f>IFERROR(IF(D2776="","",VLOOKUP(D2776,CadProd!$A:$B,2,0)),"")</f>
        <v/>
      </c>
      <c r="F2776" t="str">
        <f>IFERROR(IF(D2776="","",VLOOKUP(D2776,CadProd!$A:$C,3,0)),"")</f>
        <v/>
      </c>
    </row>
    <row r="2777" spans="5:6" x14ac:dyDescent="0.3">
      <c r="E2777" t="str">
        <f>IFERROR(IF(D2777="","",VLOOKUP(D2777,CadProd!$A:$B,2,0)),"")</f>
        <v/>
      </c>
      <c r="F2777" t="str">
        <f>IFERROR(IF(D2777="","",VLOOKUP(D2777,CadProd!$A:$C,3,0)),"")</f>
        <v/>
      </c>
    </row>
    <row r="2778" spans="5:6" x14ac:dyDescent="0.3">
      <c r="E2778" t="str">
        <f>IFERROR(IF(D2778="","",VLOOKUP(D2778,CadProd!$A:$B,2,0)),"")</f>
        <v/>
      </c>
      <c r="F2778" t="str">
        <f>IFERROR(IF(D2778="","",VLOOKUP(D2778,CadProd!$A:$C,3,0)),"")</f>
        <v/>
      </c>
    </row>
    <row r="2779" spans="5:6" x14ac:dyDescent="0.3">
      <c r="E2779" t="str">
        <f>IFERROR(IF(D2779="","",VLOOKUP(D2779,CadProd!$A:$B,2,0)),"")</f>
        <v/>
      </c>
      <c r="F2779" t="str">
        <f>IFERROR(IF(D2779="","",VLOOKUP(D2779,CadProd!$A:$C,3,0)),"")</f>
        <v/>
      </c>
    </row>
    <row r="2780" spans="5:6" x14ac:dyDescent="0.3">
      <c r="E2780" t="str">
        <f>IFERROR(IF(D2780="","",VLOOKUP(D2780,CadProd!$A:$B,2,0)),"")</f>
        <v/>
      </c>
      <c r="F2780" t="str">
        <f>IFERROR(IF(D2780="","",VLOOKUP(D2780,CadProd!$A:$C,3,0)),"")</f>
        <v/>
      </c>
    </row>
    <row r="2781" spans="5:6" x14ac:dyDescent="0.3">
      <c r="E2781" t="str">
        <f>IFERROR(IF(D2781="","",VLOOKUP(D2781,CadProd!$A:$B,2,0)),"")</f>
        <v/>
      </c>
      <c r="F2781" t="str">
        <f>IFERROR(IF(D2781="","",VLOOKUP(D2781,CadProd!$A:$C,3,0)),"")</f>
        <v/>
      </c>
    </row>
    <row r="2782" spans="5:6" x14ac:dyDescent="0.3">
      <c r="E2782" t="str">
        <f>IFERROR(IF(D2782="","",VLOOKUP(D2782,CadProd!$A:$B,2,0)),"")</f>
        <v/>
      </c>
      <c r="F2782" t="str">
        <f>IFERROR(IF(D2782="","",VLOOKUP(D2782,CadProd!$A:$C,3,0)),"")</f>
        <v/>
      </c>
    </row>
    <row r="2783" spans="5:6" x14ac:dyDescent="0.3">
      <c r="E2783" t="str">
        <f>IFERROR(IF(D2783="","",VLOOKUP(D2783,CadProd!$A:$B,2,0)),"")</f>
        <v/>
      </c>
      <c r="F2783" t="str">
        <f>IFERROR(IF(D2783="","",VLOOKUP(D2783,CadProd!$A:$C,3,0)),"")</f>
        <v/>
      </c>
    </row>
    <row r="2784" spans="5:6" x14ac:dyDescent="0.3">
      <c r="E2784" t="str">
        <f>IFERROR(IF(D2784="","",VLOOKUP(D2784,CadProd!$A:$B,2,0)),"")</f>
        <v/>
      </c>
      <c r="F2784" t="str">
        <f>IFERROR(IF(D2784="","",VLOOKUP(D2784,CadProd!$A:$C,3,0)),"")</f>
        <v/>
      </c>
    </row>
    <row r="2785" spans="5:6" x14ac:dyDescent="0.3">
      <c r="E2785" t="str">
        <f>IFERROR(IF(D2785="","",VLOOKUP(D2785,CadProd!$A:$B,2,0)),"")</f>
        <v/>
      </c>
      <c r="F2785" t="str">
        <f>IFERROR(IF(D2785="","",VLOOKUP(D2785,CadProd!$A:$C,3,0)),"")</f>
        <v/>
      </c>
    </row>
    <row r="2786" spans="5:6" x14ac:dyDescent="0.3">
      <c r="E2786" t="str">
        <f>IFERROR(IF(D2786="","",VLOOKUP(D2786,CadProd!$A:$B,2,0)),"")</f>
        <v/>
      </c>
      <c r="F2786" t="str">
        <f>IFERROR(IF(D2786="","",VLOOKUP(D2786,CadProd!$A:$C,3,0)),"")</f>
        <v/>
      </c>
    </row>
    <row r="2787" spans="5:6" x14ac:dyDescent="0.3">
      <c r="E2787" t="str">
        <f>IFERROR(IF(D2787="","",VLOOKUP(D2787,CadProd!$A:$B,2,0)),"")</f>
        <v/>
      </c>
      <c r="F2787" t="str">
        <f>IFERROR(IF(D2787="","",VLOOKUP(D2787,CadProd!$A:$C,3,0)),"")</f>
        <v/>
      </c>
    </row>
    <row r="2788" spans="5:6" x14ac:dyDescent="0.3">
      <c r="E2788" t="str">
        <f>IFERROR(IF(D2788="","",VLOOKUP(D2788,CadProd!$A:$B,2,0)),"")</f>
        <v/>
      </c>
      <c r="F2788" t="str">
        <f>IFERROR(IF(D2788="","",VLOOKUP(D2788,CadProd!$A:$C,3,0)),"")</f>
        <v/>
      </c>
    </row>
    <row r="2789" spans="5:6" x14ac:dyDescent="0.3">
      <c r="E2789" t="str">
        <f>IFERROR(IF(D2789="","",VLOOKUP(D2789,CadProd!$A:$B,2,0)),"")</f>
        <v/>
      </c>
      <c r="F2789" t="str">
        <f>IFERROR(IF(D2789="","",VLOOKUP(D2789,CadProd!$A:$C,3,0)),"")</f>
        <v/>
      </c>
    </row>
    <row r="2790" spans="5:6" x14ac:dyDescent="0.3">
      <c r="E2790" t="str">
        <f>IFERROR(IF(D2790="","",VLOOKUP(D2790,CadProd!$A:$B,2,0)),"")</f>
        <v/>
      </c>
      <c r="F2790" t="str">
        <f>IFERROR(IF(D2790="","",VLOOKUP(D2790,CadProd!$A:$C,3,0)),"")</f>
        <v/>
      </c>
    </row>
    <row r="2791" spans="5:6" x14ac:dyDescent="0.3">
      <c r="E2791" t="str">
        <f>IFERROR(IF(D2791="","",VLOOKUP(D2791,CadProd!$A:$B,2,0)),"")</f>
        <v/>
      </c>
      <c r="F2791" t="str">
        <f>IFERROR(IF(D2791="","",VLOOKUP(D2791,CadProd!$A:$C,3,0)),"")</f>
        <v/>
      </c>
    </row>
    <row r="2792" spans="5:6" x14ac:dyDescent="0.3">
      <c r="E2792" t="str">
        <f>IFERROR(IF(D2792="","",VLOOKUP(D2792,CadProd!$A:$B,2,0)),"")</f>
        <v/>
      </c>
      <c r="F2792" t="str">
        <f>IFERROR(IF(D2792="","",VLOOKUP(D2792,CadProd!$A:$C,3,0)),"")</f>
        <v/>
      </c>
    </row>
    <row r="2793" spans="5:6" x14ac:dyDescent="0.3">
      <c r="E2793" t="str">
        <f>IFERROR(IF(D2793="","",VLOOKUP(D2793,CadProd!$A:$B,2,0)),"")</f>
        <v/>
      </c>
      <c r="F2793" t="str">
        <f>IFERROR(IF(D2793="","",VLOOKUP(D2793,CadProd!$A:$C,3,0)),"")</f>
        <v/>
      </c>
    </row>
    <row r="2794" spans="5:6" x14ac:dyDescent="0.3">
      <c r="E2794" t="str">
        <f>IFERROR(IF(D2794="","",VLOOKUP(D2794,CadProd!$A:$B,2,0)),"")</f>
        <v/>
      </c>
      <c r="F2794" t="str">
        <f>IFERROR(IF(D2794="","",VLOOKUP(D2794,CadProd!$A:$C,3,0)),"")</f>
        <v/>
      </c>
    </row>
    <row r="2795" spans="5:6" x14ac:dyDescent="0.3">
      <c r="E2795" t="str">
        <f>IFERROR(IF(D2795="","",VLOOKUP(D2795,CadProd!$A:$B,2,0)),"")</f>
        <v/>
      </c>
      <c r="F2795" t="str">
        <f>IFERROR(IF(D2795="","",VLOOKUP(D2795,CadProd!$A:$C,3,0)),"")</f>
        <v/>
      </c>
    </row>
    <row r="2796" spans="5:6" x14ac:dyDescent="0.3">
      <c r="E2796" t="str">
        <f>IFERROR(IF(D2796="","",VLOOKUP(D2796,CadProd!$A:$B,2,0)),"")</f>
        <v/>
      </c>
      <c r="F2796" t="str">
        <f>IFERROR(IF(D2796="","",VLOOKUP(D2796,CadProd!$A:$C,3,0)),"")</f>
        <v/>
      </c>
    </row>
    <row r="2797" spans="5:6" x14ac:dyDescent="0.3">
      <c r="E2797" t="str">
        <f>IFERROR(IF(D2797="","",VLOOKUP(D2797,CadProd!$A:$B,2,0)),"")</f>
        <v/>
      </c>
      <c r="F2797" t="str">
        <f>IFERROR(IF(D2797="","",VLOOKUP(D2797,CadProd!$A:$C,3,0)),"")</f>
        <v/>
      </c>
    </row>
    <row r="2798" spans="5:6" x14ac:dyDescent="0.3">
      <c r="E2798" t="str">
        <f>IFERROR(IF(D2798="","",VLOOKUP(D2798,CadProd!$A:$B,2,0)),"")</f>
        <v/>
      </c>
      <c r="F2798" t="str">
        <f>IFERROR(IF(D2798="","",VLOOKUP(D2798,CadProd!$A:$C,3,0)),"")</f>
        <v/>
      </c>
    </row>
    <row r="2799" spans="5:6" x14ac:dyDescent="0.3">
      <c r="E2799" t="str">
        <f>IFERROR(IF(D2799="","",VLOOKUP(D2799,CadProd!$A:$B,2,0)),"")</f>
        <v/>
      </c>
      <c r="F2799" t="str">
        <f>IFERROR(IF(D2799="","",VLOOKUP(D2799,CadProd!$A:$C,3,0)),"")</f>
        <v/>
      </c>
    </row>
    <row r="2800" spans="5:6" x14ac:dyDescent="0.3">
      <c r="E2800" t="str">
        <f>IFERROR(IF(D2800="","",VLOOKUP(D2800,CadProd!$A:$B,2,0)),"")</f>
        <v/>
      </c>
      <c r="F2800" t="str">
        <f>IFERROR(IF(D2800="","",VLOOKUP(D2800,CadProd!$A:$C,3,0)),"")</f>
        <v/>
      </c>
    </row>
    <row r="2801" spans="5:6" x14ac:dyDescent="0.3">
      <c r="E2801" t="str">
        <f>IFERROR(IF(D2801="","",VLOOKUP(D2801,CadProd!$A:$B,2,0)),"")</f>
        <v/>
      </c>
      <c r="F2801" t="str">
        <f>IFERROR(IF(D2801="","",VLOOKUP(D2801,CadProd!$A:$C,3,0)),"")</f>
        <v/>
      </c>
    </row>
    <row r="2802" spans="5:6" x14ac:dyDescent="0.3">
      <c r="E2802" t="str">
        <f>IFERROR(IF(D2802="","",VLOOKUP(D2802,CadProd!$A:$B,2,0)),"")</f>
        <v/>
      </c>
      <c r="F2802" t="str">
        <f>IFERROR(IF(D2802="","",VLOOKUP(D2802,CadProd!$A:$C,3,0)),"")</f>
        <v/>
      </c>
    </row>
    <row r="2803" spans="5:6" x14ac:dyDescent="0.3">
      <c r="E2803" t="str">
        <f>IFERROR(IF(D2803="","",VLOOKUP(D2803,CadProd!$A:$B,2,0)),"")</f>
        <v/>
      </c>
      <c r="F2803" t="str">
        <f>IFERROR(IF(D2803="","",VLOOKUP(D2803,CadProd!$A:$C,3,0)),"")</f>
        <v/>
      </c>
    </row>
    <row r="2804" spans="5:6" x14ac:dyDescent="0.3">
      <c r="E2804" t="str">
        <f>IFERROR(IF(D2804="","",VLOOKUP(D2804,CadProd!$A:$B,2,0)),"")</f>
        <v/>
      </c>
      <c r="F2804" t="str">
        <f>IFERROR(IF(D2804="","",VLOOKUP(D2804,CadProd!$A:$C,3,0)),"")</f>
        <v/>
      </c>
    </row>
    <row r="2805" spans="5:6" x14ac:dyDescent="0.3">
      <c r="E2805" t="str">
        <f>IFERROR(IF(D2805="","",VLOOKUP(D2805,CadProd!$A:$B,2,0)),"")</f>
        <v/>
      </c>
      <c r="F2805" t="str">
        <f>IFERROR(IF(D2805="","",VLOOKUP(D2805,CadProd!$A:$C,3,0)),"")</f>
        <v/>
      </c>
    </row>
    <row r="2806" spans="5:6" x14ac:dyDescent="0.3">
      <c r="E2806" t="str">
        <f>IFERROR(IF(D2806="","",VLOOKUP(D2806,CadProd!$A:$B,2,0)),"")</f>
        <v/>
      </c>
      <c r="F2806" t="str">
        <f>IFERROR(IF(D2806="","",VLOOKUP(D2806,CadProd!$A:$C,3,0)),"")</f>
        <v/>
      </c>
    </row>
    <row r="2807" spans="5:6" x14ac:dyDescent="0.3">
      <c r="E2807" t="str">
        <f>IFERROR(IF(D2807="","",VLOOKUP(D2807,CadProd!$A:$B,2,0)),"")</f>
        <v/>
      </c>
      <c r="F2807" t="str">
        <f>IFERROR(IF(D2807="","",VLOOKUP(D2807,CadProd!$A:$C,3,0)),"")</f>
        <v/>
      </c>
    </row>
    <row r="2808" spans="5:6" x14ac:dyDescent="0.3">
      <c r="E2808" t="str">
        <f>IFERROR(IF(D2808="","",VLOOKUP(D2808,CadProd!$A:$B,2,0)),"")</f>
        <v/>
      </c>
      <c r="F2808" t="str">
        <f>IFERROR(IF(D2808="","",VLOOKUP(D2808,CadProd!$A:$C,3,0)),"")</f>
        <v/>
      </c>
    </row>
    <row r="2809" spans="5:6" x14ac:dyDescent="0.3">
      <c r="E2809" t="str">
        <f>IFERROR(IF(D2809="","",VLOOKUP(D2809,CadProd!$A:$B,2,0)),"")</f>
        <v/>
      </c>
      <c r="F2809" t="str">
        <f>IFERROR(IF(D2809="","",VLOOKUP(D2809,CadProd!$A:$C,3,0)),"")</f>
        <v/>
      </c>
    </row>
    <row r="2810" spans="5:6" x14ac:dyDescent="0.3">
      <c r="E2810" t="str">
        <f>IFERROR(IF(D2810="","",VLOOKUP(D2810,CadProd!$A:$B,2,0)),"")</f>
        <v/>
      </c>
      <c r="F2810" t="str">
        <f>IFERROR(IF(D2810="","",VLOOKUP(D2810,CadProd!$A:$C,3,0)),"")</f>
        <v/>
      </c>
    </row>
    <row r="2811" spans="5:6" x14ac:dyDescent="0.3">
      <c r="E2811" t="str">
        <f>IFERROR(IF(D2811="","",VLOOKUP(D2811,CadProd!$A:$B,2,0)),"")</f>
        <v/>
      </c>
      <c r="F2811" t="str">
        <f>IFERROR(IF(D2811="","",VLOOKUP(D2811,CadProd!$A:$C,3,0)),"")</f>
        <v/>
      </c>
    </row>
    <row r="2812" spans="5:6" x14ac:dyDescent="0.3">
      <c r="E2812" t="str">
        <f>IFERROR(IF(D2812="","",VLOOKUP(D2812,CadProd!$A:$B,2,0)),"")</f>
        <v/>
      </c>
      <c r="F2812" t="str">
        <f>IFERROR(IF(D2812="","",VLOOKUP(D2812,CadProd!$A:$C,3,0)),"")</f>
        <v/>
      </c>
    </row>
    <row r="2813" spans="5:6" x14ac:dyDescent="0.3">
      <c r="E2813" t="str">
        <f>IFERROR(IF(D2813="","",VLOOKUP(D2813,CadProd!$A:$B,2,0)),"")</f>
        <v/>
      </c>
      <c r="F2813" t="str">
        <f>IFERROR(IF(D2813="","",VLOOKUP(D2813,CadProd!$A:$C,3,0)),"")</f>
        <v/>
      </c>
    </row>
    <row r="2814" spans="5:6" x14ac:dyDescent="0.3">
      <c r="E2814" t="str">
        <f>IFERROR(IF(D2814="","",VLOOKUP(D2814,CadProd!$A:$B,2,0)),"")</f>
        <v/>
      </c>
      <c r="F2814" t="str">
        <f>IFERROR(IF(D2814="","",VLOOKUP(D2814,CadProd!$A:$C,3,0)),"")</f>
        <v/>
      </c>
    </row>
    <row r="2815" spans="5:6" x14ac:dyDescent="0.3">
      <c r="E2815" t="str">
        <f>IFERROR(IF(D2815="","",VLOOKUP(D2815,CadProd!$A:$B,2,0)),"")</f>
        <v/>
      </c>
      <c r="F2815" t="str">
        <f>IFERROR(IF(D2815="","",VLOOKUP(D2815,CadProd!$A:$C,3,0)),"")</f>
        <v/>
      </c>
    </row>
    <row r="2816" spans="5:6" x14ac:dyDescent="0.3">
      <c r="E2816" t="str">
        <f>IFERROR(IF(D2816="","",VLOOKUP(D2816,CadProd!$A:$B,2,0)),"")</f>
        <v/>
      </c>
      <c r="F2816" t="str">
        <f>IFERROR(IF(D2816="","",VLOOKUP(D2816,CadProd!$A:$C,3,0)),"")</f>
        <v/>
      </c>
    </row>
    <row r="2817" spans="5:6" x14ac:dyDescent="0.3">
      <c r="E2817" t="str">
        <f>IFERROR(IF(D2817="","",VLOOKUP(D2817,CadProd!$A:$B,2,0)),"")</f>
        <v/>
      </c>
      <c r="F2817" t="str">
        <f>IFERROR(IF(D2817="","",VLOOKUP(D2817,CadProd!$A:$C,3,0)),"")</f>
        <v/>
      </c>
    </row>
    <row r="2818" spans="5:6" x14ac:dyDescent="0.3">
      <c r="E2818" t="str">
        <f>IFERROR(IF(D2818="","",VLOOKUP(D2818,CadProd!$A:$B,2,0)),"")</f>
        <v/>
      </c>
      <c r="F2818" t="str">
        <f>IFERROR(IF(D2818="","",VLOOKUP(D2818,CadProd!$A:$C,3,0)),"")</f>
        <v/>
      </c>
    </row>
    <row r="2819" spans="5:6" x14ac:dyDescent="0.3">
      <c r="E2819" t="str">
        <f>IFERROR(IF(D2819="","",VLOOKUP(D2819,CadProd!$A:$B,2,0)),"")</f>
        <v/>
      </c>
      <c r="F2819" t="str">
        <f>IFERROR(IF(D2819="","",VLOOKUP(D2819,CadProd!$A:$C,3,0)),"")</f>
        <v/>
      </c>
    </row>
    <row r="2820" spans="5:6" x14ac:dyDescent="0.3">
      <c r="E2820" t="str">
        <f>IFERROR(IF(D2820="","",VLOOKUP(D2820,CadProd!$A:$B,2,0)),"")</f>
        <v/>
      </c>
      <c r="F2820" t="str">
        <f>IFERROR(IF(D2820="","",VLOOKUP(D2820,CadProd!$A:$C,3,0)),"")</f>
        <v/>
      </c>
    </row>
    <row r="2821" spans="5:6" x14ac:dyDescent="0.3">
      <c r="E2821" t="str">
        <f>IFERROR(IF(D2821="","",VLOOKUP(D2821,CadProd!$A:$B,2,0)),"")</f>
        <v/>
      </c>
      <c r="F2821" t="str">
        <f>IFERROR(IF(D2821="","",VLOOKUP(D2821,CadProd!$A:$C,3,0)),"")</f>
        <v/>
      </c>
    </row>
    <row r="2822" spans="5:6" x14ac:dyDescent="0.3">
      <c r="E2822" t="str">
        <f>IFERROR(IF(D2822="","",VLOOKUP(D2822,CadProd!$A:$B,2,0)),"")</f>
        <v/>
      </c>
      <c r="F2822" t="str">
        <f>IFERROR(IF(D2822="","",VLOOKUP(D2822,CadProd!$A:$C,3,0)),"")</f>
        <v/>
      </c>
    </row>
    <row r="2823" spans="5:6" x14ac:dyDescent="0.3">
      <c r="E2823" t="str">
        <f>IFERROR(IF(D2823="","",VLOOKUP(D2823,CadProd!$A:$B,2,0)),"")</f>
        <v/>
      </c>
      <c r="F2823" t="str">
        <f>IFERROR(IF(D2823="","",VLOOKUP(D2823,CadProd!$A:$C,3,0)),"")</f>
        <v/>
      </c>
    </row>
    <row r="2824" spans="5:6" x14ac:dyDescent="0.3">
      <c r="E2824" t="str">
        <f>IFERROR(IF(D2824="","",VLOOKUP(D2824,CadProd!$A:$B,2,0)),"")</f>
        <v/>
      </c>
      <c r="F2824" t="str">
        <f>IFERROR(IF(D2824="","",VLOOKUP(D2824,CadProd!$A:$C,3,0)),"")</f>
        <v/>
      </c>
    </row>
    <row r="2825" spans="5:6" x14ac:dyDescent="0.3">
      <c r="E2825" t="str">
        <f>IFERROR(IF(D2825="","",VLOOKUP(D2825,CadProd!$A:$B,2,0)),"")</f>
        <v/>
      </c>
      <c r="F2825" t="str">
        <f>IFERROR(IF(D2825="","",VLOOKUP(D2825,CadProd!$A:$C,3,0)),"")</f>
        <v/>
      </c>
    </row>
    <row r="2826" spans="5:6" x14ac:dyDescent="0.3">
      <c r="E2826" t="str">
        <f>IFERROR(IF(D2826="","",VLOOKUP(D2826,CadProd!$A:$B,2,0)),"")</f>
        <v/>
      </c>
      <c r="F2826" t="str">
        <f>IFERROR(IF(D2826="","",VLOOKUP(D2826,CadProd!$A:$C,3,0)),"")</f>
        <v/>
      </c>
    </row>
    <row r="2827" spans="5:6" x14ac:dyDescent="0.3">
      <c r="E2827" t="str">
        <f>IFERROR(IF(D2827="","",VLOOKUP(D2827,CadProd!$A:$B,2,0)),"")</f>
        <v/>
      </c>
      <c r="F2827" t="str">
        <f>IFERROR(IF(D2827="","",VLOOKUP(D2827,CadProd!$A:$C,3,0)),"")</f>
        <v/>
      </c>
    </row>
    <row r="2828" spans="5:6" x14ac:dyDescent="0.3">
      <c r="E2828" t="str">
        <f>IFERROR(IF(D2828="","",VLOOKUP(D2828,CadProd!$A:$B,2,0)),"")</f>
        <v/>
      </c>
      <c r="F2828" t="str">
        <f>IFERROR(IF(D2828="","",VLOOKUP(D2828,CadProd!$A:$C,3,0)),"")</f>
        <v/>
      </c>
    </row>
    <row r="2829" spans="5:6" x14ac:dyDescent="0.3">
      <c r="E2829" t="str">
        <f>IFERROR(IF(D2829="","",VLOOKUP(D2829,CadProd!$A:$B,2,0)),"")</f>
        <v/>
      </c>
      <c r="F2829" t="str">
        <f>IFERROR(IF(D2829="","",VLOOKUP(D2829,CadProd!$A:$C,3,0)),"")</f>
        <v/>
      </c>
    </row>
    <row r="2830" spans="5:6" x14ac:dyDescent="0.3">
      <c r="E2830" t="str">
        <f>IFERROR(IF(D2830="","",VLOOKUP(D2830,CadProd!$A:$B,2,0)),"")</f>
        <v/>
      </c>
      <c r="F2830" t="str">
        <f>IFERROR(IF(D2830="","",VLOOKUP(D2830,CadProd!$A:$C,3,0)),"")</f>
        <v/>
      </c>
    </row>
    <row r="2831" spans="5:6" x14ac:dyDescent="0.3">
      <c r="E2831" t="str">
        <f>IFERROR(IF(D2831="","",VLOOKUP(D2831,CadProd!$A:$B,2,0)),"")</f>
        <v/>
      </c>
      <c r="F2831" t="str">
        <f>IFERROR(IF(D2831="","",VLOOKUP(D2831,CadProd!$A:$C,3,0)),"")</f>
        <v/>
      </c>
    </row>
    <row r="2832" spans="5:6" x14ac:dyDescent="0.3">
      <c r="E2832" t="str">
        <f>IFERROR(IF(D2832="","",VLOOKUP(D2832,CadProd!$A:$B,2,0)),"")</f>
        <v/>
      </c>
      <c r="F2832" t="str">
        <f>IFERROR(IF(D2832="","",VLOOKUP(D2832,CadProd!$A:$C,3,0)),"")</f>
        <v/>
      </c>
    </row>
    <row r="2833" spans="5:6" x14ac:dyDescent="0.3">
      <c r="E2833" t="str">
        <f>IFERROR(IF(D2833="","",VLOOKUP(D2833,CadProd!$A:$B,2,0)),"")</f>
        <v/>
      </c>
      <c r="F2833" t="str">
        <f>IFERROR(IF(D2833="","",VLOOKUP(D2833,CadProd!$A:$C,3,0)),"")</f>
        <v/>
      </c>
    </row>
    <row r="2834" spans="5:6" x14ac:dyDescent="0.3">
      <c r="E2834" t="str">
        <f>IFERROR(IF(D2834="","",VLOOKUP(D2834,CadProd!$A:$B,2,0)),"")</f>
        <v/>
      </c>
      <c r="F2834" t="str">
        <f>IFERROR(IF(D2834="","",VLOOKUP(D2834,CadProd!$A:$C,3,0)),"")</f>
        <v/>
      </c>
    </row>
    <row r="2835" spans="5:6" x14ac:dyDescent="0.3">
      <c r="E2835" t="str">
        <f>IFERROR(IF(D2835="","",VLOOKUP(D2835,CadProd!$A:$B,2,0)),"")</f>
        <v/>
      </c>
      <c r="F2835" t="str">
        <f>IFERROR(IF(D2835="","",VLOOKUP(D2835,CadProd!$A:$C,3,0)),"")</f>
        <v/>
      </c>
    </row>
    <row r="2836" spans="5:6" x14ac:dyDescent="0.3">
      <c r="E2836" t="str">
        <f>IFERROR(IF(D2836="","",VLOOKUP(D2836,CadProd!$A:$B,2,0)),"")</f>
        <v/>
      </c>
      <c r="F2836" t="str">
        <f>IFERROR(IF(D2836="","",VLOOKUP(D2836,CadProd!$A:$C,3,0)),"")</f>
        <v/>
      </c>
    </row>
    <row r="2837" spans="5:6" x14ac:dyDescent="0.3">
      <c r="E2837" t="str">
        <f>IFERROR(IF(D2837="","",VLOOKUP(D2837,CadProd!$A:$B,2,0)),"")</f>
        <v/>
      </c>
      <c r="F2837" t="str">
        <f>IFERROR(IF(D2837="","",VLOOKUP(D2837,CadProd!$A:$C,3,0)),"")</f>
        <v/>
      </c>
    </row>
    <row r="2838" spans="5:6" x14ac:dyDescent="0.3">
      <c r="E2838" t="str">
        <f>IFERROR(IF(D2838="","",VLOOKUP(D2838,CadProd!$A:$B,2,0)),"")</f>
        <v/>
      </c>
      <c r="F2838" t="str">
        <f>IFERROR(IF(D2838="","",VLOOKUP(D2838,CadProd!$A:$C,3,0)),"")</f>
        <v/>
      </c>
    </row>
    <row r="2839" spans="5:6" x14ac:dyDescent="0.3">
      <c r="E2839" t="str">
        <f>IFERROR(IF(D2839="","",VLOOKUP(D2839,CadProd!$A:$B,2,0)),"")</f>
        <v/>
      </c>
      <c r="F2839" t="str">
        <f>IFERROR(IF(D2839="","",VLOOKUP(D2839,CadProd!$A:$C,3,0)),"")</f>
        <v/>
      </c>
    </row>
    <row r="2840" spans="5:6" x14ac:dyDescent="0.3">
      <c r="E2840" t="str">
        <f>IFERROR(IF(D2840="","",VLOOKUP(D2840,CadProd!$A:$B,2,0)),"")</f>
        <v/>
      </c>
      <c r="F2840" t="str">
        <f>IFERROR(IF(D2840="","",VLOOKUP(D2840,CadProd!$A:$C,3,0)),"")</f>
        <v/>
      </c>
    </row>
    <row r="2841" spans="5:6" x14ac:dyDescent="0.3">
      <c r="E2841" t="str">
        <f>IFERROR(IF(D2841="","",VLOOKUP(D2841,CadProd!$A:$B,2,0)),"")</f>
        <v/>
      </c>
      <c r="F2841" t="str">
        <f>IFERROR(IF(D2841="","",VLOOKUP(D2841,CadProd!$A:$C,3,0)),"")</f>
        <v/>
      </c>
    </row>
    <row r="2842" spans="5:6" x14ac:dyDescent="0.3">
      <c r="E2842" t="str">
        <f>IFERROR(IF(D2842="","",VLOOKUP(D2842,CadProd!$A:$B,2,0)),"")</f>
        <v/>
      </c>
      <c r="F2842" t="str">
        <f>IFERROR(IF(D2842="","",VLOOKUP(D2842,CadProd!$A:$C,3,0)),"")</f>
        <v/>
      </c>
    </row>
    <row r="2843" spans="5:6" x14ac:dyDescent="0.3">
      <c r="E2843" t="str">
        <f>IFERROR(IF(D2843="","",VLOOKUP(D2843,CadProd!$A:$B,2,0)),"")</f>
        <v/>
      </c>
      <c r="F2843" t="str">
        <f>IFERROR(IF(D2843="","",VLOOKUP(D2843,CadProd!$A:$C,3,0)),"")</f>
        <v/>
      </c>
    </row>
    <row r="2844" spans="5:6" x14ac:dyDescent="0.3">
      <c r="E2844" t="str">
        <f>IFERROR(IF(D2844="","",VLOOKUP(D2844,CadProd!$A:$B,2,0)),"")</f>
        <v/>
      </c>
      <c r="F2844" t="str">
        <f>IFERROR(IF(D2844="","",VLOOKUP(D2844,CadProd!$A:$C,3,0)),"")</f>
        <v/>
      </c>
    </row>
    <row r="2845" spans="5:6" x14ac:dyDescent="0.3">
      <c r="E2845" t="str">
        <f>IFERROR(IF(D2845="","",VLOOKUP(D2845,CadProd!$A:$B,2,0)),"")</f>
        <v/>
      </c>
      <c r="F2845" t="str">
        <f>IFERROR(IF(D2845="","",VLOOKUP(D2845,CadProd!$A:$C,3,0)),"")</f>
        <v/>
      </c>
    </row>
    <row r="2846" spans="5:6" x14ac:dyDescent="0.3">
      <c r="E2846" t="str">
        <f>IFERROR(IF(D2846="","",VLOOKUP(D2846,CadProd!$A:$B,2,0)),"")</f>
        <v/>
      </c>
      <c r="F2846" t="str">
        <f>IFERROR(IF(D2846="","",VLOOKUP(D2846,CadProd!$A:$C,3,0)),"")</f>
        <v/>
      </c>
    </row>
    <row r="2847" spans="5:6" x14ac:dyDescent="0.3">
      <c r="E2847" t="str">
        <f>IFERROR(IF(D2847="","",VLOOKUP(D2847,CadProd!$A:$B,2,0)),"")</f>
        <v/>
      </c>
      <c r="F2847" t="str">
        <f>IFERROR(IF(D2847="","",VLOOKUP(D2847,CadProd!$A:$C,3,0)),"")</f>
        <v/>
      </c>
    </row>
    <row r="2848" spans="5:6" x14ac:dyDescent="0.3">
      <c r="E2848" t="str">
        <f>IFERROR(IF(D2848="","",VLOOKUP(D2848,CadProd!$A:$B,2,0)),"")</f>
        <v/>
      </c>
      <c r="F2848" t="str">
        <f>IFERROR(IF(D2848="","",VLOOKUP(D2848,CadProd!$A:$C,3,0)),"")</f>
        <v/>
      </c>
    </row>
    <row r="2849" spans="5:6" x14ac:dyDescent="0.3">
      <c r="E2849" t="str">
        <f>IFERROR(IF(D2849="","",VLOOKUP(D2849,CadProd!$A:$B,2,0)),"")</f>
        <v/>
      </c>
      <c r="F2849" t="str">
        <f>IFERROR(IF(D2849="","",VLOOKUP(D2849,CadProd!$A:$C,3,0)),"")</f>
        <v/>
      </c>
    </row>
    <row r="2850" spans="5:6" x14ac:dyDescent="0.3">
      <c r="E2850" t="str">
        <f>IFERROR(IF(D2850="","",VLOOKUP(D2850,CadProd!$A:$B,2,0)),"")</f>
        <v/>
      </c>
      <c r="F2850" t="str">
        <f>IFERROR(IF(D2850="","",VLOOKUP(D2850,CadProd!$A:$C,3,0)),"")</f>
        <v/>
      </c>
    </row>
    <row r="2851" spans="5:6" x14ac:dyDescent="0.3">
      <c r="E2851" t="str">
        <f>IFERROR(IF(D2851="","",VLOOKUP(D2851,CadProd!$A:$B,2,0)),"")</f>
        <v/>
      </c>
      <c r="F2851" t="str">
        <f>IFERROR(IF(D2851="","",VLOOKUP(D2851,CadProd!$A:$C,3,0)),"")</f>
        <v/>
      </c>
    </row>
    <row r="2852" spans="5:6" x14ac:dyDescent="0.3">
      <c r="E2852" t="str">
        <f>IFERROR(IF(D2852="","",VLOOKUP(D2852,CadProd!$A:$B,2,0)),"")</f>
        <v/>
      </c>
      <c r="F2852" t="str">
        <f>IFERROR(IF(D2852="","",VLOOKUP(D2852,CadProd!$A:$C,3,0)),"")</f>
        <v/>
      </c>
    </row>
    <row r="2853" spans="5:6" x14ac:dyDescent="0.3">
      <c r="E2853" t="str">
        <f>IFERROR(IF(D2853="","",VLOOKUP(D2853,CadProd!$A:$B,2,0)),"")</f>
        <v/>
      </c>
      <c r="F2853" t="str">
        <f>IFERROR(IF(D2853="","",VLOOKUP(D2853,CadProd!$A:$C,3,0)),"")</f>
        <v/>
      </c>
    </row>
    <row r="2854" spans="5:6" x14ac:dyDescent="0.3">
      <c r="E2854" t="str">
        <f>IFERROR(IF(D2854="","",VLOOKUP(D2854,CadProd!$A:$B,2,0)),"")</f>
        <v/>
      </c>
      <c r="F2854" t="str">
        <f>IFERROR(IF(D2854="","",VLOOKUP(D2854,CadProd!$A:$C,3,0)),"")</f>
        <v/>
      </c>
    </row>
    <row r="2855" spans="5:6" x14ac:dyDescent="0.3">
      <c r="E2855" t="str">
        <f>IFERROR(IF(D2855="","",VLOOKUP(D2855,CadProd!$A:$B,2,0)),"")</f>
        <v/>
      </c>
      <c r="F2855" t="str">
        <f>IFERROR(IF(D2855="","",VLOOKUP(D2855,CadProd!$A:$C,3,0)),"")</f>
        <v/>
      </c>
    </row>
    <row r="2856" spans="5:6" x14ac:dyDescent="0.3">
      <c r="E2856" t="str">
        <f>IFERROR(IF(D2856="","",VLOOKUP(D2856,CadProd!$A:$B,2,0)),"")</f>
        <v/>
      </c>
      <c r="F2856" t="str">
        <f>IFERROR(IF(D2856="","",VLOOKUP(D2856,CadProd!$A:$C,3,0)),"")</f>
        <v/>
      </c>
    </row>
    <row r="2857" spans="5:6" x14ac:dyDescent="0.3">
      <c r="E2857" t="str">
        <f>IFERROR(IF(D2857="","",VLOOKUP(D2857,CadProd!$A:$B,2,0)),"")</f>
        <v/>
      </c>
      <c r="F2857" t="str">
        <f>IFERROR(IF(D2857="","",VLOOKUP(D2857,CadProd!$A:$C,3,0)),"")</f>
        <v/>
      </c>
    </row>
    <row r="2858" spans="5:6" x14ac:dyDescent="0.3">
      <c r="E2858" t="str">
        <f>IFERROR(IF(D2858="","",VLOOKUP(D2858,CadProd!$A:$B,2,0)),"")</f>
        <v/>
      </c>
      <c r="F2858" t="str">
        <f>IFERROR(IF(D2858="","",VLOOKUP(D2858,CadProd!$A:$C,3,0)),"")</f>
        <v/>
      </c>
    </row>
    <row r="2859" spans="5:6" x14ac:dyDescent="0.3">
      <c r="E2859" t="str">
        <f>IFERROR(IF(D2859="","",VLOOKUP(D2859,CadProd!$A:$B,2,0)),"")</f>
        <v/>
      </c>
      <c r="F2859" t="str">
        <f>IFERROR(IF(D2859="","",VLOOKUP(D2859,CadProd!$A:$C,3,0)),"")</f>
        <v/>
      </c>
    </row>
    <row r="2860" spans="5:6" x14ac:dyDescent="0.3">
      <c r="E2860" t="str">
        <f>IFERROR(IF(D2860="","",VLOOKUP(D2860,CadProd!$A:$B,2,0)),"")</f>
        <v/>
      </c>
      <c r="F2860" t="str">
        <f>IFERROR(IF(D2860="","",VLOOKUP(D2860,CadProd!$A:$C,3,0)),"")</f>
        <v/>
      </c>
    </row>
    <row r="2861" spans="5:6" x14ac:dyDescent="0.3">
      <c r="E2861" t="str">
        <f>IFERROR(IF(D2861="","",VLOOKUP(D2861,CadProd!$A:$B,2,0)),"")</f>
        <v/>
      </c>
      <c r="F2861" t="str">
        <f>IFERROR(IF(D2861="","",VLOOKUP(D2861,CadProd!$A:$C,3,0)),"")</f>
        <v/>
      </c>
    </row>
    <row r="2862" spans="5:6" x14ac:dyDescent="0.3">
      <c r="E2862" t="str">
        <f>IFERROR(IF(D2862="","",VLOOKUP(D2862,CadProd!$A:$B,2,0)),"")</f>
        <v/>
      </c>
      <c r="F2862" t="str">
        <f>IFERROR(IF(D2862="","",VLOOKUP(D2862,CadProd!$A:$C,3,0)),"")</f>
        <v/>
      </c>
    </row>
    <row r="2863" spans="5:6" x14ac:dyDescent="0.3">
      <c r="E2863" t="str">
        <f>IFERROR(IF(D2863="","",VLOOKUP(D2863,CadProd!$A:$B,2,0)),"")</f>
        <v/>
      </c>
      <c r="F2863" t="str">
        <f>IFERROR(IF(D2863="","",VLOOKUP(D2863,CadProd!$A:$C,3,0)),"")</f>
        <v/>
      </c>
    </row>
    <row r="2864" spans="5:6" x14ac:dyDescent="0.3">
      <c r="E2864" t="str">
        <f>IFERROR(IF(D2864="","",VLOOKUP(D2864,CadProd!$A:$B,2,0)),"")</f>
        <v/>
      </c>
      <c r="F2864" t="str">
        <f>IFERROR(IF(D2864="","",VLOOKUP(D2864,CadProd!$A:$C,3,0)),"")</f>
        <v/>
      </c>
    </row>
    <row r="2865" spans="5:6" x14ac:dyDescent="0.3">
      <c r="E2865" t="str">
        <f>IFERROR(IF(D2865="","",VLOOKUP(D2865,CadProd!$A:$B,2,0)),"")</f>
        <v/>
      </c>
      <c r="F2865" t="str">
        <f>IFERROR(IF(D2865="","",VLOOKUP(D2865,CadProd!$A:$C,3,0)),"")</f>
        <v/>
      </c>
    </row>
    <row r="2866" spans="5:6" x14ac:dyDescent="0.3">
      <c r="E2866" t="str">
        <f>IFERROR(IF(D2866="","",VLOOKUP(D2866,CadProd!$A:$B,2,0)),"")</f>
        <v/>
      </c>
      <c r="F2866" t="str">
        <f>IFERROR(IF(D2866="","",VLOOKUP(D2866,CadProd!$A:$C,3,0)),"")</f>
        <v/>
      </c>
    </row>
    <row r="2867" spans="5:6" x14ac:dyDescent="0.3">
      <c r="E2867" t="str">
        <f>IFERROR(IF(D2867="","",VLOOKUP(D2867,CadProd!$A:$B,2,0)),"")</f>
        <v/>
      </c>
      <c r="F2867" t="str">
        <f>IFERROR(IF(D2867="","",VLOOKUP(D2867,CadProd!$A:$C,3,0)),"")</f>
        <v/>
      </c>
    </row>
    <row r="2868" spans="5:6" x14ac:dyDescent="0.3">
      <c r="E2868" t="str">
        <f>IFERROR(IF(D2868="","",VLOOKUP(D2868,CadProd!$A:$B,2,0)),"")</f>
        <v/>
      </c>
      <c r="F2868" t="str">
        <f>IFERROR(IF(D2868="","",VLOOKUP(D2868,CadProd!$A:$C,3,0)),"")</f>
        <v/>
      </c>
    </row>
    <row r="2869" spans="5:6" x14ac:dyDescent="0.3">
      <c r="E2869" t="str">
        <f>IFERROR(IF(D2869="","",VLOOKUP(D2869,CadProd!$A:$B,2,0)),"")</f>
        <v/>
      </c>
      <c r="F2869" t="str">
        <f>IFERROR(IF(D2869="","",VLOOKUP(D2869,CadProd!$A:$C,3,0)),"")</f>
        <v/>
      </c>
    </row>
    <row r="2870" spans="5:6" x14ac:dyDescent="0.3">
      <c r="E2870" t="str">
        <f>IFERROR(IF(D2870="","",VLOOKUP(D2870,CadProd!$A:$B,2,0)),"")</f>
        <v/>
      </c>
      <c r="F2870" t="str">
        <f>IFERROR(IF(D2870="","",VLOOKUP(D2870,CadProd!$A:$C,3,0)),"")</f>
        <v/>
      </c>
    </row>
    <row r="2871" spans="5:6" x14ac:dyDescent="0.3">
      <c r="E2871" t="str">
        <f>IFERROR(IF(D2871="","",VLOOKUP(D2871,CadProd!$A:$B,2,0)),"")</f>
        <v/>
      </c>
      <c r="F2871" t="str">
        <f>IFERROR(IF(D2871="","",VLOOKUP(D2871,CadProd!$A:$C,3,0)),"")</f>
        <v/>
      </c>
    </row>
    <row r="2872" spans="5:6" x14ac:dyDescent="0.3">
      <c r="E2872" t="str">
        <f>IFERROR(IF(D2872="","",VLOOKUP(D2872,CadProd!$A:$B,2,0)),"")</f>
        <v/>
      </c>
      <c r="F2872" t="str">
        <f>IFERROR(IF(D2872="","",VLOOKUP(D2872,CadProd!$A:$C,3,0)),"")</f>
        <v/>
      </c>
    </row>
    <row r="2873" spans="5:6" x14ac:dyDescent="0.3">
      <c r="E2873" t="str">
        <f>IFERROR(IF(D2873="","",VLOOKUP(D2873,CadProd!$A:$B,2,0)),"")</f>
        <v/>
      </c>
      <c r="F2873" t="str">
        <f>IFERROR(IF(D2873="","",VLOOKUP(D2873,CadProd!$A:$C,3,0)),"")</f>
        <v/>
      </c>
    </row>
    <row r="2874" spans="5:6" x14ac:dyDescent="0.3">
      <c r="E2874" t="str">
        <f>IFERROR(IF(D2874="","",VLOOKUP(D2874,CadProd!$A:$B,2,0)),"")</f>
        <v/>
      </c>
      <c r="F2874" t="str">
        <f>IFERROR(IF(D2874="","",VLOOKUP(D2874,CadProd!$A:$C,3,0)),"")</f>
        <v/>
      </c>
    </row>
    <row r="2875" spans="5:6" x14ac:dyDescent="0.3">
      <c r="E2875" t="str">
        <f>IFERROR(IF(D2875="","",VLOOKUP(D2875,CadProd!$A:$B,2,0)),"")</f>
        <v/>
      </c>
      <c r="F2875" t="str">
        <f>IFERROR(IF(D2875="","",VLOOKUP(D2875,CadProd!$A:$C,3,0)),"")</f>
        <v/>
      </c>
    </row>
    <row r="2876" spans="5:6" x14ac:dyDescent="0.3">
      <c r="E2876" t="str">
        <f>IFERROR(IF(D2876="","",VLOOKUP(D2876,CadProd!$A:$B,2,0)),"")</f>
        <v/>
      </c>
      <c r="F2876" t="str">
        <f>IFERROR(IF(D2876="","",VLOOKUP(D2876,CadProd!$A:$C,3,0)),"")</f>
        <v/>
      </c>
    </row>
    <row r="2877" spans="5:6" x14ac:dyDescent="0.3">
      <c r="E2877" t="str">
        <f>IFERROR(IF(D2877="","",VLOOKUP(D2877,CadProd!$A:$B,2,0)),"")</f>
        <v/>
      </c>
      <c r="F2877" t="str">
        <f>IFERROR(IF(D2877="","",VLOOKUP(D2877,CadProd!$A:$C,3,0)),"")</f>
        <v/>
      </c>
    </row>
    <row r="2878" spans="5:6" x14ac:dyDescent="0.3">
      <c r="E2878" t="str">
        <f>IFERROR(IF(D2878="","",VLOOKUP(D2878,CadProd!$A:$B,2,0)),"")</f>
        <v/>
      </c>
      <c r="F2878" t="str">
        <f>IFERROR(IF(D2878="","",VLOOKUP(D2878,CadProd!$A:$C,3,0)),"")</f>
        <v/>
      </c>
    </row>
    <row r="2879" spans="5:6" x14ac:dyDescent="0.3">
      <c r="E2879" t="str">
        <f>IFERROR(IF(D2879="","",VLOOKUP(D2879,CadProd!$A:$B,2,0)),"")</f>
        <v/>
      </c>
      <c r="F2879" t="str">
        <f>IFERROR(IF(D2879="","",VLOOKUP(D2879,CadProd!$A:$C,3,0)),"")</f>
        <v/>
      </c>
    </row>
    <row r="2880" spans="5:6" x14ac:dyDescent="0.3">
      <c r="E2880" t="str">
        <f>IFERROR(IF(D2880="","",VLOOKUP(D2880,CadProd!$A:$B,2,0)),"")</f>
        <v/>
      </c>
      <c r="F2880" t="str">
        <f>IFERROR(IF(D2880="","",VLOOKUP(D2880,CadProd!$A:$C,3,0)),"")</f>
        <v/>
      </c>
    </row>
    <row r="2881" spans="5:6" x14ac:dyDescent="0.3">
      <c r="E2881" t="str">
        <f>IFERROR(IF(D2881="","",VLOOKUP(D2881,CadProd!$A:$B,2,0)),"")</f>
        <v/>
      </c>
      <c r="F2881" t="str">
        <f>IFERROR(IF(D2881="","",VLOOKUP(D2881,CadProd!$A:$C,3,0)),"")</f>
        <v/>
      </c>
    </row>
    <row r="2882" spans="5:6" x14ac:dyDescent="0.3">
      <c r="E2882" t="str">
        <f>IFERROR(IF(D2882="","",VLOOKUP(D2882,CadProd!$A:$B,2,0)),"")</f>
        <v/>
      </c>
      <c r="F2882" t="str">
        <f>IFERROR(IF(D2882="","",VLOOKUP(D2882,CadProd!$A:$C,3,0)),"")</f>
        <v/>
      </c>
    </row>
    <row r="2883" spans="5:6" x14ac:dyDescent="0.3">
      <c r="E2883" t="str">
        <f>IFERROR(IF(D2883="","",VLOOKUP(D2883,CadProd!$A:$B,2,0)),"")</f>
        <v/>
      </c>
      <c r="F2883" t="str">
        <f>IFERROR(IF(D2883="","",VLOOKUP(D2883,CadProd!$A:$C,3,0)),"")</f>
        <v/>
      </c>
    </row>
    <row r="2884" spans="5:6" x14ac:dyDescent="0.3">
      <c r="E2884" t="str">
        <f>IFERROR(IF(D2884="","",VLOOKUP(D2884,CadProd!$A:$B,2,0)),"")</f>
        <v/>
      </c>
      <c r="F2884" t="str">
        <f>IFERROR(IF(D2884="","",VLOOKUP(D2884,CadProd!$A:$C,3,0)),"")</f>
        <v/>
      </c>
    </row>
    <row r="2885" spans="5:6" x14ac:dyDescent="0.3">
      <c r="E2885" t="str">
        <f>IFERROR(IF(D2885="","",VLOOKUP(D2885,CadProd!$A:$B,2,0)),"")</f>
        <v/>
      </c>
      <c r="F2885" t="str">
        <f>IFERROR(IF(D2885="","",VLOOKUP(D2885,CadProd!$A:$C,3,0)),"")</f>
        <v/>
      </c>
    </row>
    <row r="2886" spans="5:6" x14ac:dyDescent="0.3">
      <c r="E2886" t="str">
        <f>IFERROR(IF(D2886="","",VLOOKUP(D2886,CadProd!$A:$B,2,0)),"")</f>
        <v/>
      </c>
      <c r="F2886" t="str">
        <f>IFERROR(IF(D2886="","",VLOOKUP(D2886,CadProd!$A:$C,3,0)),"")</f>
        <v/>
      </c>
    </row>
    <row r="2887" spans="5:6" x14ac:dyDescent="0.3">
      <c r="E2887" t="str">
        <f>IFERROR(IF(D2887="","",VLOOKUP(D2887,CadProd!$A:$B,2,0)),"")</f>
        <v/>
      </c>
      <c r="F2887" t="str">
        <f>IFERROR(IF(D2887="","",VLOOKUP(D2887,CadProd!$A:$C,3,0)),"")</f>
        <v/>
      </c>
    </row>
    <row r="2888" spans="5:6" x14ac:dyDescent="0.3">
      <c r="E2888" t="str">
        <f>IFERROR(IF(D2888="","",VLOOKUP(D2888,CadProd!$A:$B,2,0)),"")</f>
        <v/>
      </c>
      <c r="F2888" t="str">
        <f>IFERROR(IF(D2888="","",VLOOKUP(D2888,CadProd!$A:$C,3,0)),"")</f>
        <v/>
      </c>
    </row>
    <row r="2889" spans="5:6" x14ac:dyDescent="0.3">
      <c r="E2889" t="str">
        <f>IFERROR(IF(D2889="","",VLOOKUP(D2889,CadProd!$A:$B,2,0)),"")</f>
        <v/>
      </c>
      <c r="F2889" t="str">
        <f>IFERROR(IF(D2889="","",VLOOKUP(D2889,CadProd!$A:$C,3,0)),"")</f>
        <v/>
      </c>
    </row>
    <row r="2890" spans="5:6" x14ac:dyDescent="0.3">
      <c r="E2890" t="str">
        <f>IFERROR(IF(D2890="","",VLOOKUP(D2890,CadProd!$A:$B,2,0)),"")</f>
        <v/>
      </c>
      <c r="F2890" t="str">
        <f>IFERROR(IF(D2890="","",VLOOKUP(D2890,CadProd!$A:$C,3,0)),"")</f>
        <v/>
      </c>
    </row>
    <row r="2891" spans="5:6" x14ac:dyDescent="0.3">
      <c r="E2891" t="str">
        <f>IFERROR(IF(D2891="","",VLOOKUP(D2891,CadProd!$A:$B,2,0)),"")</f>
        <v/>
      </c>
      <c r="F2891" t="str">
        <f>IFERROR(IF(D2891="","",VLOOKUP(D2891,CadProd!$A:$C,3,0)),"")</f>
        <v/>
      </c>
    </row>
    <row r="2892" spans="5:6" x14ac:dyDescent="0.3">
      <c r="E2892" t="str">
        <f>IFERROR(IF(D2892="","",VLOOKUP(D2892,CadProd!$A:$B,2,0)),"")</f>
        <v/>
      </c>
      <c r="F2892" t="str">
        <f>IFERROR(IF(D2892="","",VLOOKUP(D2892,CadProd!$A:$C,3,0)),"")</f>
        <v/>
      </c>
    </row>
    <row r="2893" spans="5:6" x14ac:dyDescent="0.3">
      <c r="E2893" t="str">
        <f>IFERROR(IF(D2893="","",VLOOKUP(D2893,CadProd!$A:$B,2,0)),"")</f>
        <v/>
      </c>
      <c r="F2893" t="str">
        <f>IFERROR(IF(D2893="","",VLOOKUP(D2893,CadProd!$A:$C,3,0)),"")</f>
        <v/>
      </c>
    </row>
    <row r="2894" spans="5:6" x14ac:dyDescent="0.3">
      <c r="E2894" t="str">
        <f>IFERROR(IF(D2894="","",VLOOKUP(D2894,CadProd!$A:$B,2,0)),"")</f>
        <v/>
      </c>
      <c r="F2894" t="str">
        <f>IFERROR(IF(D2894="","",VLOOKUP(D2894,CadProd!$A:$C,3,0)),"")</f>
        <v/>
      </c>
    </row>
    <row r="2895" spans="5:6" x14ac:dyDescent="0.3">
      <c r="E2895" t="str">
        <f>IFERROR(IF(D2895="","",VLOOKUP(D2895,CadProd!$A:$B,2,0)),"")</f>
        <v/>
      </c>
      <c r="F2895" t="str">
        <f>IFERROR(IF(D2895="","",VLOOKUP(D2895,CadProd!$A:$C,3,0)),"")</f>
        <v/>
      </c>
    </row>
    <row r="2896" spans="5:6" x14ac:dyDescent="0.3">
      <c r="E2896" t="str">
        <f>IFERROR(IF(D2896="","",VLOOKUP(D2896,CadProd!$A:$B,2,0)),"")</f>
        <v/>
      </c>
      <c r="F2896" t="str">
        <f>IFERROR(IF(D2896="","",VLOOKUP(D2896,CadProd!$A:$C,3,0)),"")</f>
        <v/>
      </c>
    </row>
    <row r="2897" spans="5:6" x14ac:dyDescent="0.3">
      <c r="E2897" t="str">
        <f>IFERROR(IF(D2897="","",VLOOKUP(D2897,CadProd!$A:$B,2,0)),"")</f>
        <v/>
      </c>
      <c r="F2897" t="str">
        <f>IFERROR(IF(D2897="","",VLOOKUP(D2897,CadProd!$A:$C,3,0)),"")</f>
        <v/>
      </c>
    </row>
    <row r="2898" spans="5:6" x14ac:dyDescent="0.3">
      <c r="E2898" t="str">
        <f>IFERROR(IF(D2898="","",VLOOKUP(D2898,CadProd!$A:$B,2,0)),"")</f>
        <v/>
      </c>
      <c r="F2898" t="str">
        <f>IFERROR(IF(D2898="","",VLOOKUP(D2898,CadProd!$A:$C,3,0)),"")</f>
        <v/>
      </c>
    </row>
    <row r="2899" spans="5:6" x14ac:dyDescent="0.3">
      <c r="E2899" t="str">
        <f>IFERROR(IF(D2899="","",VLOOKUP(D2899,CadProd!$A:$B,2,0)),"")</f>
        <v/>
      </c>
      <c r="F2899" t="str">
        <f>IFERROR(IF(D2899="","",VLOOKUP(D2899,CadProd!$A:$C,3,0)),"")</f>
        <v/>
      </c>
    </row>
    <row r="2900" spans="5:6" x14ac:dyDescent="0.3">
      <c r="E2900" t="str">
        <f>IFERROR(IF(D2900="","",VLOOKUP(D2900,CadProd!$A:$B,2,0)),"")</f>
        <v/>
      </c>
      <c r="F2900" t="str">
        <f>IFERROR(IF(D2900="","",VLOOKUP(D2900,CadProd!$A:$C,3,0)),"")</f>
        <v/>
      </c>
    </row>
    <row r="2901" spans="5:6" x14ac:dyDescent="0.3">
      <c r="E2901" t="str">
        <f>IFERROR(IF(D2901="","",VLOOKUP(D2901,CadProd!$A:$B,2,0)),"")</f>
        <v/>
      </c>
      <c r="F2901" t="str">
        <f>IFERROR(IF(D2901="","",VLOOKUP(D2901,CadProd!$A:$C,3,0)),"")</f>
        <v/>
      </c>
    </row>
    <row r="2902" spans="5:6" x14ac:dyDescent="0.3">
      <c r="E2902" t="str">
        <f>IFERROR(IF(D2902="","",VLOOKUP(D2902,CadProd!$A:$B,2,0)),"")</f>
        <v/>
      </c>
      <c r="F2902" t="str">
        <f>IFERROR(IF(D2902="","",VLOOKUP(D2902,CadProd!$A:$C,3,0)),"")</f>
        <v/>
      </c>
    </row>
    <row r="2903" spans="5:6" x14ac:dyDescent="0.3">
      <c r="E2903" t="str">
        <f>IFERROR(IF(D2903="","",VLOOKUP(D2903,CadProd!$A:$B,2,0)),"")</f>
        <v/>
      </c>
      <c r="F2903" t="str">
        <f>IFERROR(IF(D2903="","",VLOOKUP(D2903,CadProd!$A:$C,3,0)),"")</f>
        <v/>
      </c>
    </row>
    <row r="2904" spans="5:6" x14ac:dyDescent="0.3">
      <c r="E2904" t="str">
        <f>IFERROR(IF(D2904="","",VLOOKUP(D2904,CadProd!$A:$B,2,0)),"")</f>
        <v/>
      </c>
      <c r="F2904" t="str">
        <f>IFERROR(IF(D2904="","",VLOOKUP(D2904,CadProd!$A:$C,3,0)),"")</f>
        <v/>
      </c>
    </row>
    <row r="2905" spans="5:6" x14ac:dyDescent="0.3">
      <c r="E2905" t="str">
        <f>IFERROR(IF(D2905="","",VLOOKUP(D2905,CadProd!$A:$B,2,0)),"")</f>
        <v/>
      </c>
      <c r="F2905" t="str">
        <f>IFERROR(IF(D2905="","",VLOOKUP(D2905,CadProd!$A:$C,3,0)),"")</f>
        <v/>
      </c>
    </row>
    <row r="2906" spans="5:6" x14ac:dyDescent="0.3">
      <c r="E2906" t="str">
        <f>IFERROR(IF(D2906="","",VLOOKUP(D2906,CadProd!$A:$B,2,0)),"")</f>
        <v/>
      </c>
      <c r="F2906" t="str">
        <f>IFERROR(IF(D2906="","",VLOOKUP(D2906,CadProd!$A:$C,3,0)),"")</f>
        <v/>
      </c>
    </row>
    <row r="2907" spans="5:6" x14ac:dyDescent="0.3">
      <c r="E2907" t="str">
        <f>IFERROR(IF(D2907="","",VLOOKUP(D2907,CadProd!$A:$B,2,0)),"")</f>
        <v/>
      </c>
      <c r="F2907" t="str">
        <f>IFERROR(IF(D2907="","",VLOOKUP(D2907,CadProd!$A:$C,3,0)),"")</f>
        <v/>
      </c>
    </row>
    <row r="2908" spans="5:6" x14ac:dyDescent="0.3">
      <c r="E2908" t="str">
        <f>IFERROR(IF(D2908="","",VLOOKUP(D2908,CadProd!$A:$B,2,0)),"")</f>
        <v/>
      </c>
      <c r="F2908" t="str">
        <f>IFERROR(IF(D2908="","",VLOOKUP(D2908,CadProd!$A:$C,3,0)),"")</f>
        <v/>
      </c>
    </row>
    <row r="2909" spans="5:6" x14ac:dyDescent="0.3">
      <c r="E2909" t="str">
        <f>IFERROR(IF(D2909="","",VLOOKUP(D2909,CadProd!$A:$B,2,0)),"")</f>
        <v/>
      </c>
      <c r="F2909" t="str">
        <f>IFERROR(IF(D2909="","",VLOOKUP(D2909,CadProd!$A:$C,3,0)),"")</f>
        <v/>
      </c>
    </row>
    <row r="2910" spans="5:6" x14ac:dyDescent="0.3">
      <c r="E2910" t="str">
        <f>IFERROR(IF(D2910="","",VLOOKUP(D2910,CadProd!$A:$B,2,0)),"")</f>
        <v/>
      </c>
      <c r="F2910" t="str">
        <f>IFERROR(IF(D2910="","",VLOOKUP(D2910,CadProd!$A:$C,3,0)),"")</f>
        <v/>
      </c>
    </row>
    <row r="2911" spans="5:6" x14ac:dyDescent="0.3">
      <c r="E2911" t="str">
        <f>IFERROR(IF(D2911="","",VLOOKUP(D2911,CadProd!$A:$B,2,0)),"")</f>
        <v/>
      </c>
      <c r="F2911" t="str">
        <f>IFERROR(IF(D2911="","",VLOOKUP(D2911,CadProd!$A:$C,3,0)),"")</f>
        <v/>
      </c>
    </row>
    <row r="2912" spans="5:6" x14ac:dyDescent="0.3">
      <c r="E2912" t="str">
        <f>IFERROR(IF(D2912="","",VLOOKUP(D2912,CadProd!$A:$B,2,0)),"")</f>
        <v/>
      </c>
      <c r="F2912" t="str">
        <f>IFERROR(IF(D2912="","",VLOOKUP(D2912,CadProd!$A:$C,3,0)),"")</f>
        <v/>
      </c>
    </row>
    <row r="2913" spans="5:6" x14ac:dyDescent="0.3">
      <c r="E2913" t="str">
        <f>IFERROR(IF(D2913="","",VLOOKUP(D2913,CadProd!$A:$B,2,0)),"")</f>
        <v/>
      </c>
      <c r="F2913" t="str">
        <f>IFERROR(IF(D2913="","",VLOOKUP(D2913,CadProd!$A:$C,3,0)),"")</f>
        <v/>
      </c>
    </row>
    <row r="2914" spans="5:6" x14ac:dyDescent="0.3">
      <c r="E2914" t="str">
        <f>IFERROR(IF(D2914="","",VLOOKUP(D2914,CadProd!$A:$B,2,0)),"")</f>
        <v/>
      </c>
      <c r="F2914" t="str">
        <f>IFERROR(IF(D2914="","",VLOOKUP(D2914,CadProd!$A:$C,3,0)),"")</f>
        <v/>
      </c>
    </row>
    <row r="2915" spans="5:6" x14ac:dyDescent="0.3">
      <c r="E2915" t="str">
        <f>IFERROR(IF(D2915="","",VLOOKUP(D2915,CadProd!$A:$B,2,0)),"")</f>
        <v/>
      </c>
      <c r="F2915" t="str">
        <f>IFERROR(IF(D2915="","",VLOOKUP(D2915,CadProd!$A:$C,3,0)),"")</f>
        <v/>
      </c>
    </row>
    <row r="2916" spans="5:6" x14ac:dyDescent="0.3">
      <c r="E2916" t="str">
        <f>IFERROR(IF(D2916="","",VLOOKUP(D2916,CadProd!$A:$B,2,0)),"")</f>
        <v/>
      </c>
      <c r="F2916" t="str">
        <f>IFERROR(IF(D2916="","",VLOOKUP(D2916,CadProd!$A:$C,3,0)),"")</f>
        <v/>
      </c>
    </row>
    <row r="2917" spans="5:6" x14ac:dyDescent="0.3">
      <c r="E2917" t="str">
        <f>IFERROR(IF(D2917="","",VLOOKUP(D2917,CadProd!$A:$B,2,0)),"")</f>
        <v/>
      </c>
      <c r="F2917" t="str">
        <f>IFERROR(IF(D2917="","",VLOOKUP(D2917,CadProd!$A:$C,3,0)),"")</f>
        <v/>
      </c>
    </row>
    <row r="2918" spans="5:6" x14ac:dyDescent="0.3">
      <c r="E2918" t="str">
        <f>IFERROR(IF(D2918="","",VLOOKUP(D2918,CadProd!$A:$B,2,0)),"")</f>
        <v/>
      </c>
      <c r="F2918" t="str">
        <f>IFERROR(IF(D2918="","",VLOOKUP(D2918,CadProd!$A:$C,3,0)),"")</f>
        <v/>
      </c>
    </row>
    <row r="2919" spans="5:6" x14ac:dyDescent="0.3">
      <c r="E2919" t="str">
        <f>IFERROR(IF(D2919="","",VLOOKUP(D2919,CadProd!$A:$B,2,0)),"")</f>
        <v/>
      </c>
      <c r="F2919" t="str">
        <f>IFERROR(IF(D2919="","",VLOOKUP(D2919,CadProd!$A:$C,3,0)),"")</f>
        <v/>
      </c>
    </row>
    <row r="2920" spans="5:6" x14ac:dyDescent="0.3">
      <c r="E2920" t="str">
        <f>IFERROR(IF(D2920="","",VLOOKUP(D2920,CadProd!$A:$B,2,0)),"")</f>
        <v/>
      </c>
      <c r="F2920" t="str">
        <f>IFERROR(IF(D2920="","",VLOOKUP(D2920,CadProd!$A:$C,3,0)),"")</f>
        <v/>
      </c>
    </row>
    <row r="2921" spans="5:6" x14ac:dyDescent="0.3">
      <c r="E2921" t="str">
        <f>IFERROR(IF(D2921="","",VLOOKUP(D2921,CadProd!$A:$B,2,0)),"")</f>
        <v/>
      </c>
      <c r="F2921" t="str">
        <f>IFERROR(IF(D2921="","",VLOOKUP(D2921,CadProd!$A:$C,3,0)),"")</f>
        <v/>
      </c>
    </row>
    <row r="2922" spans="5:6" x14ac:dyDescent="0.3">
      <c r="E2922" t="str">
        <f>IFERROR(IF(D2922="","",VLOOKUP(D2922,CadProd!$A:$B,2,0)),"")</f>
        <v/>
      </c>
      <c r="F2922" t="str">
        <f>IFERROR(IF(D2922="","",VLOOKUP(D2922,CadProd!$A:$C,3,0)),"")</f>
        <v/>
      </c>
    </row>
    <row r="2923" spans="5:6" x14ac:dyDescent="0.3">
      <c r="E2923" t="str">
        <f>IFERROR(IF(D2923="","",VLOOKUP(D2923,CadProd!$A:$B,2,0)),"")</f>
        <v/>
      </c>
      <c r="F2923" t="str">
        <f>IFERROR(IF(D2923="","",VLOOKUP(D2923,CadProd!$A:$C,3,0)),"")</f>
        <v/>
      </c>
    </row>
    <row r="2924" spans="5:6" x14ac:dyDescent="0.3">
      <c r="E2924" t="str">
        <f>IFERROR(IF(D2924="","",VLOOKUP(D2924,CadProd!$A:$B,2,0)),"")</f>
        <v/>
      </c>
      <c r="F2924" t="str">
        <f>IFERROR(IF(D2924="","",VLOOKUP(D2924,CadProd!$A:$C,3,0)),"")</f>
        <v/>
      </c>
    </row>
    <row r="2925" spans="5:6" x14ac:dyDescent="0.3">
      <c r="E2925" t="str">
        <f>IFERROR(IF(D2925="","",VLOOKUP(D2925,CadProd!$A:$B,2,0)),"")</f>
        <v/>
      </c>
      <c r="F2925" t="str">
        <f>IFERROR(IF(D2925="","",VLOOKUP(D2925,CadProd!$A:$C,3,0)),"")</f>
        <v/>
      </c>
    </row>
    <row r="2926" spans="5:6" x14ac:dyDescent="0.3">
      <c r="E2926" t="str">
        <f>IFERROR(IF(D2926="","",VLOOKUP(D2926,CadProd!$A:$B,2,0)),"")</f>
        <v/>
      </c>
      <c r="F2926" t="str">
        <f>IFERROR(IF(D2926="","",VLOOKUP(D2926,CadProd!$A:$C,3,0)),"")</f>
        <v/>
      </c>
    </row>
    <row r="2927" spans="5:6" x14ac:dyDescent="0.3">
      <c r="E2927" t="str">
        <f>IFERROR(IF(D2927="","",VLOOKUP(D2927,CadProd!$A:$B,2,0)),"")</f>
        <v/>
      </c>
      <c r="F2927" t="str">
        <f>IFERROR(IF(D2927="","",VLOOKUP(D2927,CadProd!$A:$C,3,0)),"")</f>
        <v/>
      </c>
    </row>
    <row r="2928" spans="5:6" x14ac:dyDescent="0.3">
      <c r="E2928" t="str">
        <f>IFERROR(IF(D2928="","",VLOOKUP(D2928,CadProd!$A:$B,2,0)),"")</f>
        <v/>
      </c>
      <c r="F2928" t="str">
        <f>IFERROR(IF(D2928="","",VLOOKUP(D2928,CadProd!$A:$C,3,0)),"")</f>
        <v/>
      </c>
    </row>
    <row r="2929" spans="5:6" x14ac:dyDescent="0.3">
      <c r="E2929" t="str">
        <f>IFERROR(IF(D2929="","",VLOOKUP(D2929,CadProd!$A:$B,2,0)),"")</f>
        <v/>
      </c>
      <c r="F2929" t="str">
        <f>IFERROR(IF(D2929="","",VLOOKUP(D2929,CadProd!$A:$C,3,0)),"")</f>
        <v/>
      </c>
    </row>
    <row r="2930" spans="5:6" x14ac:dyDescent="0.3">
      <c r="E2930" t="str">
        <f>IFERROR(IF(D2930="","",VLOOKUP(D2930,CadProd!$A:$B,2,0)),"")</f>
        <v/>
      </c>
      <c r="F2930" t="str">
        <f>IFERROR(IF(D2930="","",VLOOKUP(D2930,CadProd!$A:$C,3,0)),"")</f>
        <v/>
      </c>
    </row>
    <row r="2931" spans="5:6" x14ac:dyDescent="0.3">
      <c r="E2931" t="str">
        <f>IFERROR(IF(D2931="","",VLOOKUP(D2931,CadProd!$A:$B,2,0)),"")</f>
        <v/>
      </c>
      <c r="F2931" t="str">
        <f>IFERROR(IF(D2931="","",VLOOKUP(D2931,CadProd!$A:$C,3,0)),"")</f>
        <v/>
      </c>
    </row>
    <row r="2932" spans="5:6" x14ac:dyDescent="0.3">
      <c r="E2932" t="str">
        <f>IFERROR(IF(D2932="","",VLOOKUP(D2932,CadProd!$A:$B,2,0)),"")</f>
        <v/>
      </c>
      <c r="F2932" t="str">
        <f>IFERROR(IF(D2932="","",VLOOKUP(D2932,CadProd!$A:$C,3,0)),"")</f>
        <v/>
      </c>
    </row>
    <row r="2933" spans="5:6" x14ac:dyDescent="0.3">
      <c r="E2933" t="str">
        <f>IFERROR(IF(D2933="","",VLOOKUP(D2933,CadProd!$A:$B,2,0)),"")</f>
        <v/>
      </c>
      <c r="F2933" t="str">
        <f>IFERROR(IF(D2933="","",VLOOKUP(D2933,CadProd!$A:$C,3,0)),"")</f>
        <v/>
      </c>
    </row>
    <row r="2934" spans="5:6" x14ac:dyDescent="0.3">
      <c r="E2934" t="str">
        <f>IFERROR(IF(D2934="","",VLOOKUP(D2934,CadProd!$A:$B,2,0)),"")</f>
        <v/>
      </c>
      <c r="F2934" t="str">
        <f>IFERROR(IF(D2934="","",VLOOKUP(D2934,CadProd!$A:$C,3,0)),"")</f>
        <v/>
      </c>
    </row>
    <row r="2935" spans="5:6" x14ac:dyDescent="0.3">
      <c r="E2935" t="str">
        <f>IFERROR(IF(D2935="","",VLOOKUP(D2935,CadProd!$A:$B,2,0)),"")</f>
        <v/>
      </c>
      <c r="F2935" t="str">
        <f>IFERROR(IF(D2935="","",VLOOKUP(D2935,CadProd!$A:$C,3,0)),"")</f>
        <v/>
      </c>
    </row>
    <row r="2936" spans="5:6" x14ac:dyDescent="0.3">
      <c r="E2936" t="str">
        <f>IFERROR(IF(D2936="","",VLOOKUP(D2936,CadProd!$A:$B,2,0)),"")</f>
        <v/>
      </c>
      <c r="F2936" t="str">
        <f>IFERROR(IF(D2936="","",VLOOKUP(D2936,CadProd!$A:$C,3,0)),"")</f>
        <v/>
      </c>
    </row>
    <row r="2937" spans="5:6" x14ac:dyDescent="0.3">
      <c r="E2937" t="str">
        <f>IFERROR(IF(D2937="","",VLOOKUP(D2937,CadProd!$A:$B,2,0)),"")</f>
        <v/>
      </c>
      <c r="F2937" t="str">
        <f>IFERROR(IF(D2937="","",VLOOKUP(D2937,CadProd!$A:$C,3,0)),"")</f>
        <v/>
      </c>
    </row>
    <row r="2938" spans="5:6" x14ac:dyDescent="0.3">
      <c r="E2938" t="str">
        <f>IFERROR(IF(D2938="","",VLOOKUP(D2938,CadProd!$A:$B,2,0)),"")</f>
        <v/>
      </c>
      <c r="F2938" t="str">
        <f>IFERROR(IF(D2938="","",VLOOKUP(D2938,CadProd!$A:$C,3,0)),"")</f>
        <v/>
      </c>
    </row>
    <row r="2939" spans="5:6" x14ac:dyDescent="0.3">
      <c r="E2939" t="str">
        <f>IFERROR(IF(D2939="","",VLOOKUP(D2939,CadProd!$A:$B,2,0)),"")</f>
        <v/>
      </c>
      <c r="F2939" t="str">
        <f>IFERROR(IF(D2939="","",VLOOKUP(D2939,CadProd!$A:$C,3,0)),"")</f>
        <v/>
      </c>
    </row>
    <row r="2940" spans="5:6" x14ac:dyDescent="0.3">
      <c r="E2940" t="str">
        <f>IFERROR(IF(D2940="","",VLOOKUP(D2940,CadProd!$A:$B,2,0)),"")</f>
        <v/>
      </c>
      <c r="F2940" t="str">
        <f>IFERROR(IF(D2940="","",VLOOKUP(D2940,CadProd!$A:$C,3,0)),"")</f>
        <v/>
      </c>
    </row>
    <row r="2941" spans="5:6" x14ac:dyDescent="0.3">
      <c r="E2941" t="str">
        <f>IFERROR(IF(D2941="","",VLOOKUP(D2941,CadProd!$A:$B,2,0)),"")</f>
        <v/>
      </c>
      <c r="F2941" t="str">
        <f>IFERROR(IF(D2941="","",VLOOKUP(D2941,CadProd!$A:$C,3,0)),"")</f>
        <v/>
      </c>
    </row>
    <row r="2942" spans="5:6" x14ac:dyDescent="0.3">
      <c r="E2942" t="str">
        <f>IFERROR(IF(D2942="","",VLOOKUP(D2942,CadProd!$A:$B,2,0)),"")</f>
        <v/>
      </c>
      <c r="F2942" t="str">
        <f>IFERROR(IF(D2942="","",VLOOKUP(D2942,CadProd!$A:$C,3,0)),"")</f>
        <v/>
      </c>
    </row>
    <row r="2943" spans="5:6" x14ac:dyDescent="0.3">
      <c r="E2943" t="str">
        <f>IFERROR(IF(D2943="","",VLOOKUP(D2943,CadProd!$A:$B,2,0)),"")</f>
        <v/>
      </c>
      <c r="F2943" t="str">
        <f>IFERROR(IF(D2943="","",VLOOKUP(D2943,CadProd!$A:$C,3,0)),"")</f>
        <v/>
      </c>
    </row>
    <row r="2944" spans="5:6" x14ac:dyDescent="0.3">
      <c r="E2944" t="str">
        <f>IFERROR(IF(D2944="","",VLOOKUP(D2944,CadProd!$A:$B,2,0)),"")</f>
        <v/>
      </c>
      <c r="F2944" t="str">
        <f>IFERROR(IF(D2944="","",VLOOKUP(D2944,CadProd!$A:$C,3,0)),"")</f>
        <v/>
      </c>
    </row>
    <row r="2945" spans="5:6" x14ac:dyDescent="0.3">
      <c r="E2945" t="str">
        <f>IFERROR(IF(D2945="","",VLOOKUP(D2945,CadProd!$A:$B,2,0)),"")</f>
        <v/>
      </c>
      <c r="F2945" t="str">
        <f>IFERROR(IF(D2945="","",VLOOKUP(D2945,CadProd!$A:$C,3,0)),"")</f>
        <v/>
      </c>
    </row>
    <row r="2946" spans="5:6" x14ac:dyDescent="0.3">
      <c r="E2946" t="str">
        <f>IFERROR(IF(D2946="","",VLOOKUP(D2946,CadProd!$A:$B,2,0)),"")</f>
        <v/>
      </c>
      <c r="F2946" t="str">
        <f>IFERROR(IF(D2946="","",VLOOKUP(D2946,CadProd!$A:$C,3,0)),"")</f>
        <v/>
      </c>
    </row>
    <row r="2947" spans="5:6" x14ac:dyDescent="0.3">
      <c r="E2947" t="str">
        <f>IFERROR(IF(D2947="","",VLOOKUP(D2947,CadProd!$A:$B,2,0)),"")</f>
        <v/>
      </c>
      <c r="F2947" t="str">
        <f>IFERROR(IF(D2947="","",VLOOKUP(D2947,CadProd!$A:$C,3,0)),"")</f>
        <v/>
      </c>
    </row>
    <row r="2948" spans="5:6" x14ac:dyDescent="0.3">
      <c r="E2948" t="str">
        <f>IFERROR(IF(D2948="","",VLOOKUP(D2948,CadProd!$A:$B,2,0)),"")</f>
        <v/>
      </c>
      <c r="F2948" t="str">
        <f>IFERROR(IF(D2948="","",VLOOKUP(D2948,CadProd!$A:$C,3,0)),"")</f>
        <v/>
      </c>
    </row>
    <row r="2949" spans="5:6" x14ac:dyDescent="0.3">
      <c r="E2949" t="str">
        <f>IFERROR(IF(D2949="","",VLOOKUP(D2949,CadProd!$A:$B,2,0)),"")</f>
        <v/>
      </c>
      <c r="F2949" t="str">
        <f>IFERROR(IF(D2949="","",VLOOKUP(D2949,CadProd!$A:$C,3,0)),"")</f>
        <v/>
      </c>
    </row>
    <row r="2950" spans="5:6" x14ac:dyDescent="0.3">
      <c r="E2950" t="str">
        <f>IFERROR(IF(D2950="","",VLOOKUP(D2950,CadProd!$A:$B,2,0)),"")</f>
        <v/>
      </c>
      <c r="F2950" t="str">
        <f>IFERROR(IF(D2950="","",VLOOKUP(D2950,CadProd!$A:$C,3,0)),"")</f>
        <v/>
      </c>
    </row>
    <row r="2951" spans="5:6" x14ac:dyDescent="0.3">
      <c r="E2951" t="str">
        <f>IFERROR(IF(D2951="","",VLOOKUP(D2951,CadProd!$A:$B,2,0)),"")</f>
        <v/>
      </c>
      <c r="F2951" t="str">
        <f>IFERROR(IF(D2951="","",VLOOKUP(D2951,CadProd!$A:$C,3,0)),"")</f>
        <v/>
      </c>
    </row>
    <row r="2952" spans="5:6" x14ac:dyDescent="0.3">
      <c r="E2952" t="str">
        <f>IFERROR(IF(D2952="","",VLOOKUP(D2952,CadProd!$A:$B,2,0)),"")</f>
        <v/>
      </c>
      <c r="F2952" t="str">
        <f>IFERROR(IF(D2952="","",VLOOKUP(D2952,CadProd!$A:$C,3,0)),"")</f>
        <v/>
      </c>
    </row>
    <row r="2953" spans="5:6" x14ac:dyDescent="0.3">
      <c r="E2953" t="str">
        <f>IFERROR(IF(D2953="","",VLOOKUP(D2953,CadProd!$A:$B,2,0)),"")</f>
        <v/>
      </c>
      <c r="F2953" t="str">
        <f>IFERROR(IF(D2953="","",VLOOKUP(D2953,CadProd!$A:$C,3,0)),"")</f>
        <v/>
      </c>
    </row>
    <row r="2954" spans="5:6" x14ac:dyDescent="0.3">
      <c r="E2954" t="str">
        <f>IFERROR(IF(D2954="","",VLOOKUP(D2954,CadProd!$A:$B,2,0)),"")</f>
        <v/>
      </c>
      <c r="F2954" t="str">
        <f>IFERROR(IF(D2954="","",VLOOKUP(D2954,CadProd!$A:$C,3,0)),"")</f>
        <v/>
      </c>
    </row>
    <row r="2955" spans="5:6" x14ac:dyDescent="0.3">
      <c r="E2955" t="str">
        <f>IFERROR(IF(D2955="","",VLOOKUP(D2955,CadProd!$A:$B,2,0)),"")</f>
        <v/>
      </c>
      <c r="F2955" t="str">
        <f>IFERROR(IF(D2955="","",VLOOKUP(D2955,CadProd!$A:$C,3,0)),"")</f>
        <v/>
      </c>
    </row>
    <row r="2956" spans="5:6" x14ac:dyDescent="0.3">
      <c r="E2956" t="str">
        <f>IFERROR(IF(D2956="","",VLOOKUP(D2956,CadProd!$A:$B,2,0)),"")</f>
        <v/>
      </c>
      <c r="F2956" t="str">
        <f>IFERROR(IF(D2956="","",VLOOKUP(D2956,CadProd!$A:$C,3,0)),"")</f>
        <v/>
      </c>
    </row>
    <row r="2957" spans="5:6" x14ac:dyDescent="0.3">
      <c r="E2957" t="str">
        <f>IFERROR(IF(D2957="","",VLOOKUP(D2957,CadProd!$A:$B,2,0)),"")</f>
        <v/>
      </c>
      <c r="F2957" t="str">
        <f>IFERROR(IF(D2957="","",VLOOKUP(D2957,CadProd!$A:$C,3,0)),"")</f>
        <v/>
      </c>
    </row>
    <row r="2958" spans="5:6" x14ac:dyDescent="0.3">
      <c r="E2958" t="str">
        <f>IFERROR(IF(D2958="","",VLOOKUP(D2958,CadProd!$A:$B,2,0)),"")</f>
        <v/>
      </c>
      <c r="F2958" t="str">
        <f>IFERROR(IF(D2958="","",VLOOKUP(D2958,CadProd!$A:$C,3,0)),"")</f>
        <v/>
      </c>
    </row>
    <row r="2959" spans="5:6" x14ac:dyDescent="0.3">
      <c r="E2959" t="str">
        <f>IFERROR(IF(D2959="","",VLOOKUP(D2959,CadProd!$A:$B,2,0)),"")</f>
        <v/>
      </c>
      <c r="F2959" t="str">
        <f>IFERROR(IF(D2959="","",VLOOKUP(D2959,CadProd!$A:$C,3,0)),"")</f>
        <v/>
      </c>
    </row>
    <row r="2960" spans="5:6" x14ac:dyDescent="0.3">
      <c r="E2960" t="str">
        <f>IFERROR(IF(D2960="","",VLOOKUP(D2960,CadProd!$A:$B,2,0)),"")</f>
        <v/>
      </c>
      <c r="F2960" t="str">
        <f>IFERROR(IF(D2960="","",VLOOKUP(D2960,CadProd!$A:$C,3,0)),"")</f>
        <v/>
      </c>
    </row>
    <row r="2961" spans="5:6" x14ac:dyDescent="0.3">
      <c r="E2961" t="str">
        <f>IFERROR(IF(D2961="","",VLOOKUP(D2961,CadProd!$A:$B,2,0)),"")</f>
        <v/>
      </c>
      <c r="F2961" t="str">
        <f>IFERROR(IF(D2961="","",VLOOKUP(D2961,CadProd!$A:$C,3,0)),"")</f>
        <v/>
      </c>
    </row>
    <row r="2962" spans="5:6" x14ac:dyDescent="0.3">
      <c r="E2962" t="str">
        <f>IFERROR(IF(D2962="","",VLOOKUP(D2962,CadProd!$A:$B,2,0)),"")</f>
        <v/>
      </c>
      <c r="F2962" t="str">
        <f>IFERROR(IF(D2962="","",VLOOKUP(D2962,CadProd!$A:$C,3,0)),"")</f>
        <v/>
      </c>
    </row>
    <row r="2963" spans="5:6" x14ac:dyDescent="0.3">
      <c r="E2963" t="str">
        <f>IFERROR(IF(D2963="","",VLOOKUP(D2963,CadProd!$A:$B,2,0)),"")</f>
        <v/>
      </c>
      <c r="F2963" t="str">
        <f>IFERROR(IF(D2963="","",VLOOKUP(D2963,CadProd!$A:$C,3,0)),"")</f>
        <v/>
      </c>
    </row>
    <row r="2964" spans="5:6" x14ac:dyDescent="0.3">
      <c r="E2964" t="str">
        <f>IFERROR(IF(D2964="","",VLOOKUP(D2964,CadProd!$A:$B,2,0)),"")</f>
        <v/>
      </c>
      <c r="F2964" t="str">
        <f>IFERROR(IF(D2964="","",VLOOKUP(D2964,CadProd!$A:$C,3,0)),"")</f>
        <v/>
      </c>
    </row>
    <row r="2965" spans="5:6" x14ac:dyDescent="0.3">
      <c r="E2965" t="str">
        <f>IFERROR(IF(D2965="","",VLOOKUP(D2965,CadProd!$A:$B,2,0)),"")</f>
        <v/>
      </c>
      <c r="F2965" t="str">
        <f>IFERROR(IF(D2965="","",VLOOKUP(D2965,CadProd!$A:$C,3,0)),"")</f>
        <v/>
      </c>
    </row>
    <row r="2966" spans="5:6" x14ac:dyDescent="0.3">
      <c r="E2966" t="str">
        <f>IFERROR(IF(D2966="","",VLOOKUP(D2966,CadProd!$A:$B,2,0)),"")</f>
        <v/>
      </c>
      <c r="F2966" t="str">
        <f>IFERROR(IF(D2966="","",VLOOKUP(D2966,CadProd!$A:$C,3,0)),"")</f>
        <v/>
      </c>
    </row>
    <row r="2967" spans="5:6" x14ac:dyDescent="0.3">
      <c r="E2967" t="str">
        <f>IFERROR(IF(D2967="","",VLOOKUP(D2967,CadProd!$A:$B,2,0)),"")</f>
        <v/>
      </c>
      <c r="F2967" t="str">
        <f>IFERROR(IF(D2967="","",VLOOKUP(D2967,CadProd!$A:$C,3,0)),"")</f>
        <v/>
      </c>
    </row>
    <row r="2968" spans="5:6" x14ac:dyDescent="0.3">
      <c r="E2968" t="str">
        <f>IFERROR(IF(D2968="","",VLOOKUP(D2968,CadProd!$A:$B,2,0)),"")</f>
        <v/>
      </c>
      <c r="F2968" t="str">
        <f>IFERROR(IF(D2968="","",VLOOKUP(D2968,CadProd!$A:$C,3,0)),"")</f>
        <v/>
      </c>
    </row>
    <row r="2969" spans="5:6" x14ac:dyDescent="0.3">
      <c r="E2969" t="str">
        <f>IFERROR(IF(D2969="","",VLOOKUP(D2969,CadProd!$A:$B,2,0)),"")</f>
        <v/>
      </c>
      <c r="F2969" t="str">
        <f>IFERROR(IF(D2969="","",VLOOKUP(D2969,CadProd!$A:$C,3,0)),"")</f>
        <v/>
      </c>
    </row>
    <row r="2970" spans="5:6" x14ac:dyDescent="0.3">
      <c r="E2970" t="str">
        <f>IFERROR(IF(D2970="","",VLOOKUP(D2970,CadProd!$A:$B,2,0)),"")</f>
        <v/>
      </c>
      <c r="F2970" t="str">
        <f>IFERROR(IF(D2970="","",VLOOKUP(D2970,CadProd!$A:$C,3,0)),"")</f>
        <v/>
      </c>
    </row>
    <row r="2971" spans="5:6" x14ac:dyDescent="0.3">
      <c r="E2971" t="str">
        <f>IFERROR(IF(D2971="","",VLOOKUP(D2971,CadProd!$A:$B,2,0)),"")</f>
        <v/>
      </c>
      <c r="F2971" t="str">
        <f>IFERROR(IF(D2971="","",VLOOKUP(D2971,CadProd!$A:$C,3,0)),"")</f>
        <v/>
      </c>
    </row>
    <row r="2972" spans="5:6" x14ac:dyDescent="0.3">
      <c r="E2972" t="str">
        <f>IFERROR(IF(D2972="","",VLOOKUP(D2972,CadProd!$A:$B,2,0)),"")</f>
        <v/>
      </c>
      <c r="F2972" t="str">
        <f>IFERROR(IF(D2972="","",VLOOKUP(D2972,CadProd!$A:$C,3,0)),"")</f>
        <v/>
      </c>
    </row>
    <row r="2973" spans="5:6" x14ac:dyDescent="0.3">
      <c r="E2973" t="str">
        <f>IFERROR(IF(D2973="","",VLOOKUP(D2973,CadProd!$A:$B,2,0)),"")</f>
        <v/>
      </c>
      <c r="F2973" t="str">
        <f>IFERROR(IF(D2973="","",VLOOKUP(D2973,CadProd!$A:$C,3,0)),"")</f>
        <v/>
      </c>
    </row>
    <row r="2974" spans="5:6" x14ac:dyDescent="0.3">
      <c r="E2974" t="str">
        <f>IFERROR(IF(D2974="","",VLOOKUP(D2974,CadProd!$A:$B,2,0)),"")</f>
        <v/>
      </c>
      <c r="F2974" t="str">
        <f>IFERROR(IF(D2974="","",VLOOKUP(D2974,CadProd!$A:$C,3,0)),"")</f>
        <v/>
      </c>
    </row>
    <row r="2975" spans="5:6" x14ac:dyDescent="0.3">
      <c r="E2975" t="str">
        <f>IFERROR(IF(D2975="","",VLOOKUP(D2975,CadProd!$A:$B,2,0)),"")</f>
        <v/>
      </c>
      <c r="F2975" t="str">
        <f>IFERROR(IF(D2975="","",VLOOKUP(D2975,CadProd!$A:$C,3,0)),"")</f>
        <v/>
      </c>
    </row>
    <row r="2976" spans="5:6" x14ac:dyDescent="0.3">
      <c r="E2976" t="str">
        <f>IFERROR(IF(D2976="","",VLOOKUP(D2976,CadProd!$A:$B,2,0)),"")</f>
        <v/>
      </c>
      <c r="F2976" t="str">
        <f>IFERROR(IF(D2976="","",VLOOKUP(D2976,CadProd!$A:$C,3,0)),"")</f>
        <v/>
      </c>
    </row>
    <row r="2977" spans="5:6" x14ac:dyDescent="0.3">
      <c r="E2977" t="str">
        <f>IFERROR(IF(D2977="","",VLOOKUP(D2977,CadProd!$A:$B,2,0)),"")</f>
        <v/>
      </c>
      <c r="F2977" t="str">
        <f>IFERROR(IF(D2977="","",VLOOKUP(D2977,CadProd!$A:$C,3,0)),"")</f>
        <v/>
      </c>
    </row>
    <row r="2978" spans="5:6" x14ac:dyDescent="0.3">
      <c r="E2978" t="str">
        <f>IFERROR(IF(D2978="","",VLOOKUP(D2978,CadProd!$A:$B,2,0)),"")</f>
        <v/>
      </c>
      <c r="F2978" t="str">
        <f>IFERROR(IF(D2978="","",VLOOKUP(D2978,CadProd!$A:$C,3,0)),"")</f>
        <v/>
      </c>
    </row>
    <row r="2979" spans="5:6" x14ac:dyDescent="0.3">
      <c r="E2979" t="str">
        <f>IFERROR(IF(D2979="","",VLOOKUP(D2979,CadProd!$A:$B,2,0)),"")</f>
        <v/>
      </c>
      <c r="F2979" t="str">
        <f>IFERROR(IF(D2979="","",VLOOKUP(D2979,CadProd!$A:$C,3,0)),"")</f>
        <v/>
      </c>
    </row>
    <row r="2980" spans="5:6" x14ac:dyDescent="0.3">
      <c r="E2980" t="str">
        <f>IFERROR(IF(D2980="","",VLOOKUP(D2980,CadProd!$A:$B,2,0)),"")</f>
        <v/>
      </c>
      <c r="F2980" t="str">
        <f>IFERROR(IF(D2980="","",VLOOKUP(D2980,CadProd!$A:$C,3,0)),"")</f>
        <v/>
      </c>
    </row>
    <row r="2981" spans="5:6" x14ac:dyDescent="0.3">
      <c r="E2981" t="str">
        <f>IFERROR(IF(D2981="","",VLOOKUP(D2981,CadProd!$A:$B,2,0)),"")</f>
        <v/>
      </c>
      <c r="F2981" t="str">
        <f>IFERROR(IF(D2981="","",VLOOKUP(D2981,CadProd!$A:$C,3,0)),"")</f>
        <v/>
      </c>
    </row>
    <row r="2982" spans="5:6" x14ac:dyDescent="0.3">
      <c r="E2982" t="str">
        <f>IFERROR(IF(D2982="","",VLOOKUP(D2982,CadProd!$A:$B,2,0)),"")</f>
        <v/>
      </c>
      <c r="F2982" t="str">
        <f>IFERROR(IF(D2982="","",VLOOKUP(D2982,CadProd!$A:$C,3,0)),"")</f>
        <v/>
      </c>
    </row>
    <row r="2983" spans="5:6" x14ac:dyDescent="0.3">
      <c r="E2983" t="str">
        <f>IFERROR(IF(D2983="","",VLOOKUP(D2983,CadProd!$A:$B,2,0)),"")</f>
        <v/>
      </c>
      <c r="F2983" t="str">
        <f>IFERROR(IF(D2983="","",VLOOKUP(D2983,CadProd!$A:$C,3,0)),"")</f>
        <v/>
      </c>
    </row>
    <row r="2984" spans="5:6" x14ac:dyDescent="0.3">
      <c r="E2984" t="str">
        <f>IFERROR(IF(D2984="","",VLOOKUP(D2984,CadProd!$A:$B,2,0)),"")</f>
        <v/>
      </c>
      <c r="F2984" t="str">
        <f>IFERROR(IF(D2984="","",VLOOKUP(D2984,CadProd!$A:$C,3,0)),"")</f>
        <v/>
      </c>
    </row>
    <row r="2985" spans="5:6" x14ac:dyDescent="0.3">
      <c r="E2985" t="str">
        <f>IFERROR(IF(D2985="","",VLOOKUP(D2985,CadProd!$A:$B,2,0)),"")</f>
        <v/>
      </c>
      <c r="F2985" t="str">
        <f>IFERROR(IF(D2985="","",VLOOKUP(D2985,CadProd!$A:$C,3,0)),"")</f>
        <v/>
      </c>
    </row>
    <row r="2986" spans="5:6" x14ac:dyDescent="0.3">
      <c r="E2986" t="str">
        <f>IFERROR(IF(D2986="","",VLOOKUP(D2986,CadProd!$A:$B,2,0)),"")</f>
        <v/>
      </c>
      <c r="F2986" t="str">
        <f>IFERROR(IF(D2986="","",VLOOKUP(D2986,CadProd!$A:$C,3,0)),"")</f>
        <v/>
      </c>
    </row>
    <row r="2987" spans="5:6" x14ac:dyDescent="0.3">
      <c r="E2987" t="str">
        <f>IFERROR(IF(D2987="","",VLOOKUP(D2987,CadProd!$A:$B,2,0)),"")</f>
        <v/>
      </c>
      <c r="F2987" t="str">
        <f>IFERROR(IF(D2987="","",VLOOKUP(D2987,CadProd!$A:$C,3,0)),"")</f>
        <v/>
      </c>
    </row>
    <row r="2988" spans="5:6" x14ac:dyDescent="0.3">
      <c r="E2988" t="str">
        <f>IFERROR(IF(D2988="","",VLOOKUP(D2988,CadProd!$A:$B,2,0)),"")</f>
        <v/>
      </c>
      <c r="F2988" t="str">
        <f>IFERROR(IF(D2988="","",VLOOKUP(D2988,CadProd!$A:$C,3,0)),"")</f>
        <v/>
      </c>
    </row>
    <row r="2989" spans="5:6" x14ac:dyDescent="0.3">
      <c r="E2989" t="str">
        <f>IFERROR(IF(D2989="","",VLOOKUP(D2989,CadProd!$A:$B,2,0)),"")</f>
        <v/>
      </c>
      <c r="F2989" t="str">
        <f>IFERROR(IF(D2989="","",VLOOKUP(D2989,CadProd!$A:$C,3,0)),"")</f>
        <v/>
      </c>
    </row>
    <row r="2990" spans="5:6" x14ac:dyDescent="0.3">
      <c r="E2990" t="str">
        <f>IFERROR(IF(D2990="","",VLOOKUP(D2990,CadProd!$A:$B,2,0)),"")</f>
        <v/>
      </c>
      <c r="F2990" t="str">
        <f>IFERROR(IF(D2990="","",VLOOKUP(D2990,CadProd!$A:$C,3,0)),"")</f>
        <v/>
      </c>
    </row>
    <row r="2991" spans="5:6" x14ac:dyDescent="0.3">
      <c r="E2991" t="str">
        <f>IFERROR(IF(D2991="","",VLOOKUP(D2991,CadProd!$A:$B,2,0)),"")</f>
        <v/>
      </c>
      <c r="F2991" t="str">
        <f>IFERROR(IF(D2991="","",VLOOKUP(D2991,CadProd!$A:$C,3,0)),"")</f>
        <v/>
      </c>
    </row>
    <row r="2992" spans="5:6" x14ac:dyDescent="0.3">
      <c r="E2992" t="str">
        <f>IFERROR(IF(D2992="","",VLOOKUP(D2992,CadProd!$A:$B,2,0)),"")</f>
        <v/>
      </c>
      <c r="F2992" t="str">
        <f>IFERROR(IF(D2992="","",VLOOKUP(D2992,CadProd!$A:$C,3,0)),"")</f>
        <v/>
      </c>
    </row>
    <row r="2993" spans="5:6" x14ac:dyDescent="0.3">
      <c r="E2993" t="str">
        <f>IFERROR(IF(D2993="","",VLOOKUP(D2993,CadProd!$A:$B,2,0)),"")</f>
        <v/>
      </c>
      <c r="F2993" t="str">
        <f>IFERROR(IF(D2993="","",VLOOKUP(D2993,CadProd!$A:$C,3,0)),"")</f>
        <v/>
      </c>
    </row>
    <row r="2994" spans="5:6" x14ac:dyDescent="0.3">
      <c r="E2994" t="str">
        <f>IFERROR(IF(D2994="","",VLOOKUP(D2994,CadProd!$A:$B,2,0)),"")</f>
        <v/>
      </c>
      <c r="F2994" t="str">
        <f>IFERROR(IF(D2994="","",VLOOKUP(D2994,CadProd!$A:$C,3,0)),"")</f>
        <v/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8EBD9-CC33-45F9-9C3F-6EA835AD6F79}">
  <sheetPr codeName="Planilha9"/>
  <dimension ref="A1:AB90"/>
  <sheetViews>
    <sheetView workbookViewId="0">
      <selection activeCell="A2" sqref="A2:N1048576"/>
    </sheetView>
  </sheetViews>
  <sheetFormatPr defaultRowHeight="14.4" x14ac:dyDescent="0.3"/>
  <cols>
    <col min="1" max="1" width="6.88671875" bestFit="1" customWidth="1"/>
    <col min="3" max="3" width="32.21875" customWidth="1"/>
    <col min="4" max="4" width="11" bestFit="1" customWidth="1"/>
    <col min="5" max="5" width="17" bestFit="1" customWidth="1"/>
    <col min="6" max="6" width="26.77734375" customWidth="1"/>
    <col min="8" max="8" width="11.88671875" style="1" bestFit="1" customWidth="1"/>
    <col min="9" max="9" width="12.5546875" style="1" bestFit="1" customWidth="1"/>
    <col min="10" max="10" width="13.21875" style="3" bestFit="1" customWidth="1"/>
    <col min="11" max="11" width="13.21875" style="2" bestFit="1" customWidth="1"/>
    <col min="12" max="12" width="13.21875" style="2" customWidth="1"/>
    <col min="13" max="13" width="4.5546875" bestFit="1" customWidth="1"/>
    <col min="14" max="14" width="5" bestFit="1" customWidth="1"/>
    <col min="15" max="22" width="13.21875" customWidth="1"/>
    <col min="24" max="24" width="12.33203125" bestFit="1" customWidth="1"/>
    <col min="25" max="25" width="4.77734375" customWidth="1"/>
    <col min="27" max="27" width="12.77734375" bestFit="1" customWidth="1"/>
    <col min="28" max="28" width="10.33203125" bestFit="1" customWidth="1"/>
  </cols>
  <sheetData>
    <row r="1" spans="1:28" x14ac:dyDescent="0.3">
      <c r="A1" t="s">
        <v>44</v>
      </c>
      <c r="B1" t="s">
        <v>0</v>
      </c>
      <c r="C1" t="s">
        <v>12</v>
      </c>
      <c r="D1" t="s">
        <v>0</v>
      </c>
      <c r="E1" t="s">
        <v>38</v>
      </c>
      <c r="F1" t="s">
        <v>1</v>
      </c>
      <c r="G1" t="s">
        <v>3</v>
      </c>
      <c r="H1" t="s">
        <v>2</v>
      </c>
      <c r="I1" t="s">
        <v>9</v>
      </c>
      <c r="J1" t="s">
        <v>11</v>
      </c>
      <c r="K1" t="s">
        <v>4</v>
      </c>
      <c r="L1" t="s">
        <v>6</v>
      </c>
      <c r="M1" t="s">
        <v>7</v>
      </c>
      <c r="N1" t="s">
        <v>8</v>
      </c>
      <c r="P1" t="s">
        <v>10</v>
      </c>
      <c r="Q1">
        <f>SUM(G2:G1048576)</f>
        <v>0</v>
      </c>
      <c r="S1" t="s">
        <v>9</v>
      </c>
      <c r="T1" s="5">
        <f>SUM(I2:I1048576)</f>
        <v>0</v>
      </c>
      <c r="X1" t="s">
        <v>10</v>
      </c>
      <c r="Y1">
        <f>SUM(G2:G1048576)</f>
        <v>0</v>
      </c>
      <c r="AA1" t="s">
        <v>9</v>
      </c>
      <c r="AB1" s="5">
        <f>SUM(I2:I1048576)</f>
        <v>0</v>
      </c>
    </row>
    <row r="2" spans="1:28" x14ac:dyDescent="0.3">
      <c r="W2" t="str">
        <f t="shared" ref="W2:W23" si="0">TRIM(J2)</f>
        <v/>
      </c>
    </row>
    <row r="3" spans="1:28" x14ac:dyDescent="0.3">
      <c r="W3" t="str">
        <f t="shared" si="0"/>
        <v/>
      </c>
    </row>
    <row r="4" spans="1:28" x14ac:dyDescent="0.3">
      <c r="W4" t="str">
        <f t="shared" si="0"/>
        <v/>
      </c>
    </row>
    <row r="5" spans="1:28" x14ac:dyDescent="0.3">
      <c r="W5" t="str">
        <f t="shared" si="0"/>
        <v/>
      </c>
    </row>
    <row r="6" spans="1:28" x14ac:dyDescent="0.3">
      <c r="W6" t="str">
        <f t="shared" si="0"/>
        <v/>
      </c>
    </row>
    <row r="7" spans="1:28" x14ac:dyDescent="0.3">
      <c r="W7" t="str">
        <f t="shared" si="0"/>
        <v/>
      </c>
    </row>
    <row r="8" spans="1:28" x14ac:dyDescent="0.3">
      <c r="W8" t="str">
        <f t="shared" si="0"/>
        <v/>
      </c>
    </row>
    <row r="9" spans="1:28" x14ac:dyDescent="0.3">
      <c r="W9" t="str">
        <f t="shared" si="0"/>
        <v/>
      </c>
    </row>
    <row r="10" spans="1:28" x14ac:dyDescent="0.3">
      <c r="W10" t="str">
        <f t="shared" si="0"/>
        <v/>
      </c>
    </row>
    <row r="11" spans="1:28" x14ac:dyDescent="0.3">
      <c r="W11" t="str">
        <f t="shared" si="0"/>
        <v/>
      </c>
    </row>
    <row r="12" spans="1:28" x14ac:dyDescent="0.3">
      <c r="W12" t="str">
        <f t="shared" si="0"/>
        <v/>
      </c>
    </row>
    <row r="13" spans="1:28" x14ac:dyDescent="0.3">
      <c r="W13" t="str">
        <f t="shared" si="0"/>
        <v/>
      </c>
    </row>
    <row r="14" spans="1:28" x14ac:dyDescent="0.3">
      <c r="W14" t="str">
        <f t="shared" si="0"/>
        <v/>
      </c>
    </row>
    <row r="15" spans="1:28" x14ac:dyDescent="0.3">
      <c r="W15" t="str">
        <f t="shared" si="0"/>
        <v/>
      </c>
    </row>
    <row r="16" spans="1:28" x14ac:dyDescent="0.3">
      <c r="W16" t="str">
        <f t="shared" si="0"/>
        <v/>
      </c>
    </row>
    <row r="17" spans="23:23" x14ac:dyDescent="0.3">
      <c r="W17" t="str">
        <f t="shared" si="0"/>
        <v/>
      </c>
    </row>
    <row r="18" spans="23:23" x14ac:dyDescent="0.3">
      <c r="W18" t="str">
        <f t="shared" si="0"/>
        <v/>
      </c>
    </row>
    <row r="19" spans="23:23" x14ac:dyDescent="0.3">
      <c r="W19" t="str">
        <f t="shared" si="0"/>
        <v/>
      </c>
    </row>
    <row r="20" spans="23:23" x14ac:dyDescent="0.3">
      <c r="W20" t="str">
        <f t="shared" si="0"/>
        <v/>
      </c>
    </row>
    <row r="21" spans="23:23" x14ac:dyDescent="0.3">
      <c r="W21" t="str">
        <f t="shared" si="0"/>
        <v/>
      </c>
    </row>
    <row r="22" spans="23:23" x14ac:dyDescent="0.3">
      <c r="W22" t="str">
        <f t="shared" si="0"/>
        <v/>
      </c>
    </row>
    <row r="23" spans="23:23" x14ac:dyDescent="0.3">
      <c r="W23" t="str">
        <f t="shared" si="0"/>
        <v/>
      </c>
    </row>
    <row r="24" spans="23:23" x14ac:dyDescent="0.3">
      <c r="W24" t="str">
        <f t="shared" ref="W24:W52" si="1">TRIM(J24)</f>
        <v/>
      </c>
    </row>
    <row r="25" spans="23:23" x14ac:dyDescent="0.3">
      <c r="W25" t="str">
        <f t="shared" si="1"/>
        <v/>
      </c>
    </row>
    <row r="26" spans="23:23" x14ac:dyDescent="0.3">
      <c r="W26" t="str">
        <f t="shared" si="1"/>
        <v/>
      </c>
    </row>
    <row r="27" spans="23:23" x14ac:dyDescent="0.3">
      <c r="W27" t="str">
        <f t="shared" si="1"/>
        <v/>
      </c>
    </row>
    <row r="28" spans="23:23" x14ac:dyDescent="0.3">
      <c r="W28" t="str">
        <f t="shared" si="1"/>
        <v/>
      </c>
    </row>
    <row r="29" spans="23:23" x14ac:dyDescent="0.3">
      <c r="W29" t="str">
        <f t="shared" si="1"/>
        <v/>
      </c>
    </row>
    <row r="30" spans="23:23" x14ac:dyDescent="0.3">
      <c r="W30" t="str">
        <f t="shared" si="1"/>
        <v/>
      </c>
    </row>
    <row r="31" spans="23:23" x14ac:dyDescent="0.3">
      <c r="W31" t="str">
        <f t="shared" si="1"/>
        <v/>
      </c>
    </row>
    <row r="32" spans="23:23" x14ac:dyDescent="0.3">
      <c r="W32" t="str">
        <f t="shared" si="1"/>
        <v/>
      </c>
    </row>
    <row r="33" spans="23:23" x14ac:dyDescent="0.3">
      <c r="W33" t="str">
        <f t="shared" si="1"/>
        <v/>
      </c>
    </row>
    <row r="34" spans="23:23" x14ac:dyDescent="0.3">
      <c r="W34" t="str">
        <f t="shared" si="1"/>
        <v/>
      </c>
    </row>
    <row r="35" spans="23:23" x14ac:dyDescent="0.3">
      <c r="W35" t="str">
        <f t="shared" si="1"/>
        <v/>
      </c>
    </row>
    <row r="36" spans="23:23" x14ac:dyDescent="0.3">
      <c r="W36" t="str">
        <f t="shared" si="1"/>
        <v/>
      </c>
    </row>
    <row r="37" spans="23:23" x14ac:dyDescent="0.3">
      <c r="W37" t="str">
        <f t="shared" si="1"/>
        <v/>
      </c>
    </row>
    <row r="38" spans="23:23" x14ac:dyDescent="0.3">
      <c r="W38" t="str">
        <f t="shared" si="1"/>
        <v/>
      </c>
    </row>
    <row r="39" spans="23:23" x14ac:dyDescent="0.3">
      <c r="W39" t="str">
        <f t="shared" si="1"/>
        <v/>
      </c>
    </row>
    <row r="40" spans="23:23" x14ac:dyDescent="0.3">
      <c r="W40" t="str">
        <f t="shared" si="1"/>
        <v/>
      </c>
    </row>
    <row r="41" spans="23:23" x14ac:dyDescent="0.3">
      <c r="W41" t="str">
        <f t="shared" si="1"/>
        <v/>
      </c>
    </row>
    <row r="42" spans="23:23" x14ac:dyDescent="0.3">
      <c r="W42" t="str">
        <f t="shared" si="1"/>
        <v/>
      </c>
    </row>
    <row r="43" spans="23:23" x14ac:dyDescent="0.3">
      <c r="W43" t="str">
        <f t="shared" si="1"/>
        <v/>
      </c>
    </row>
    <row r="44" spans="23:23" x14ac:dyDescent="0.3">
      <c r="W44" t="str">
        <f t="shared" si="1"/>
        <v/>
      </c>
    </row>
    <row r="45" spans="23:23" x14ac:dyDescent="0.3">
      <c r="W45" t="str">
        <f t="shared" si="1"/>
        <v/>
      </c>
    </row>
    <row r="46" spans="23:23" x14ac:dyDescent="0.3">
      <c r="W46" t="str">
        <f t="shared" si="1"/>
        <v/>
      </c>
    </row>
    <row r="47" spans="23:23" x14ac:dyDescent="0.3">
      <c r="W47" t="str">
        <f t="shared" si="1"/>
        <v/>
      </c>
    </row>
    <row r="48" spans="23:23" x14ac:dyDescent="0.3">
      <c r="W48" t="str">
        <f t="shared" si="1"/>
        <v/>
      </c>
    </row>
    <row r="49" spans="23:23" x14ac:dyDescent="0.3">
      <c r="W49" t="str">
        <f t="shared" si="1"/>
        <v/>
      </c>
    </row>
    <row r="50" spans="23:23" x14ac:dyDescent="0.3">
      <c r="W50" t="str">
        <f t="shared" si="1"/>
        <v/>
      </c>
    </row>
    <row r="51" spans="23:23" x14ac:dyDescent="0.3">
      <c r="W51" t="str">
        <f t="shared" si="1"/>
        <v/>
      </c>
    </row>
    <row r="52" spans="23:23" x14ac:dyDescent="0.3">
      <c r="W52" t="str">
        <f t="shared" si="1"/>
        <v/>
      </c>
    </row>
    <row r="53" spans="23:23" x14ac:dyDescent="0.3">
      <c r="W53" t="str">
        <f t="shared" ref="W53:W90" si="2">TRIM(J53)</f>
        <v/>
      </c>
    </row>
    <row r="54" spans="23:23" x14ac:dyDescent="0.3">
      <c r="W54" t="str">
        <f t="shared" si="2"/>
        <v/>
      </c>
    </row>
    <row r="55" spans="23:23" x14ac:dyDescent="0.3">
      <c r="W55" t="str">
        <f t="shared" si="2"/>
        <v/>
      </c>
    </row>
    <row r="56" spans="23:23" x14ac:dyDescent="0.3">
      <c r="W56" t="str">
        <f t="shared" si="2"/>
        <v/>
      </c>
    </row>
    <row r="57" spans="23:23" x14ac:dyDescent="0.3">
      <c r="W57" t="str">
        <f t="shared" si="2"/>
        <v/>
      </c>
    </row>
    <row r="58" spans="23:23" x14ac:dyDescent="0.3">
      <c r="W58" t="str">
        <f t="shared" si="2"/>
        <v/>
      </c>
    </row>
    <row r="59" spans="23:23" x14ac:dyDescent="0.3">
      <c r="W59" t="str">
        <f t="shared" si="2"/>
        <v/>
      </c>
    </row>
    <row r="60" spans="23:23" x14ac:dyDescent="0.3">
      <c r="W60" t="str">
        <f t="shared" si="2"/>
        <v/>
      </c>
    </row>
    <row r="61" spans="23:23" x14ac:dyDescent="0.3">
      <c r="W61" t="str">
        <f t="shared" si="2"/>
        <v/>
      </c>
    </row>
    <row r="62" spans="23:23" x14ac:dyDescent="0.3">
      <c r="W62" t="str">
        <f t="shared" si="2"/>
        <v/>
      </c>
    </row>
    <row r="63" spans="23:23" x14ac:dyDescent="0.3">
      <c r="W63" t="str">
        <f t="shared" si="2"/>
        <v/>
      </c>
    </row>
    <row r="64" spans="23:23" x14ac:dyDescent="0.3">
      <c r="W64" t="str">
        <f t="shared" si="2"/>
        <v/>
      </c>
    </row>
    <row r="65" spans="23:23" x14ac:dyDescent="0.3">
      <c r="W65" t="str">
        <f t="shared" si="2"/>
        <v/>
      </c>
    </row>
    <row r="66" spans="23:23" x14ac:dyDescent="0.3">
      <c r="W66" t="str">
        <f t="shared" si="2"/>
        <v/>
      </c>
    </row>
    <row r="67" spans="23:23" x14ac:dyDescent="0.3">
      <c r="W67" t="str">
        <f t="shared" si="2"/>
        <v/>
      </c>
    </row>
    <row r="68" spans="23:23" x14ac:dyDescent="0.3">
      <c r="W68" t="str">
        <f t="shared" si="2"/>
        <v/>
      </c>
    </row>
    <row r="69" spans="23:23" x14ac:dyDescent="0.3">
      <c r="W69" t="str">
        <f t="shared" si="2"/>
        <v/>
      </c>
    </row>
    <row r="70" spans="23:23" x14ac:dyDescent="0.3">
      <c r="W70" t="str">
        <f t="shared" si="2"/>
        <v/>
      </c>
    </row>
    <row r="71" spans="23:23" x14ac:dyDescent="0.3">
      <c r="W71" t="str">
        <f t="shared" si="2"/>
        <v/>
      </c>
    </row>
    <row r="72" spans="23:23" x14ac:dyDescent="0.3">
      <c r="W72" t="str">
        <f t="shared" si="2"/>
        <v/>
      </c>
    </row>
    <row r="73" spans="23:23" x14ac:dyDescent="0.3">
      <c r="W73" t="str">
        <f t="shared" si="2"/>
        <v/>
      </c>
    </row>
    <row r="74" spans="23:23" x14ac:dyDescent="0.3">
      <c r="W74" t="str">
        <f t="shared" si="2"/>
        <v/>
      </c>
    </row>
    <row r="75" spans="23:23" x14ac:dyDescent="0.3">
      <c r="W75" t="str">
        <f t="shared" si="2"/>
        <v/>
      </c>
    </row>
    <row r="76" spans="23:23" x14ac:dyDescent="0.3">
      <c r="W76" t="str">
        <f t="shared" si="2"/>
        <v/>
      </c>
    </row>
    <row r="77" spans="23:23" x14ac:dyDescent="0.3">
      <c r="W77" t="str">
        <f t="shared" si="2"/>
        <v/>
      </c>
    </row>
    <row r="78" spans="23:23" x14ac:dyDescent="0.3">
      <c r="W78" t="str">
        <f t="shared" si="2"/>
        <v/>
      </c>
    </row>
    <row r="79" spans="23:23" x14ac:dyDescent="0.3">
      <c r="W79" t="str">
        <f t="shared" si="2"/>
        <v/>
      </c>
    </row>
    <row r="80" spans="23:23" x14ac:dyDescent="0.3">
      <c r="W80" t="str">
        <f t="shared" si="2"/>
        <v/>
      </c>
    </row>
    <row r="81" spans="23:23" x14ac:dyDescent="0.3">
      <c r="W81" t="str">
        <f t="shared" si="2"/>
        <v/>
      </c>
    </row>
    <row r="82" spans="23:23" x14ac:dyDescent="0.3">
      <c r="W82" t="str">
        <f t="shared" si="2"/>
        <v/>
      </c>
    </row>
    <row r="83" spans="23:23" x14ac:dyDescent="0.3">
      <c r="W83" t="str">
        <f t="shared" si="2"/>
        <v/>
      </c>
    </row>
    <row r="84" spans="23:23" x14ac:dyDescent="0.3">
      <c r="W84" t="str">
        <f t="shared" si="2"/>
        <v/>
      </c>
    </row>
    <row r="85" spans="23:23" x14ac:dyDescent="0.3">
      <c r="W85" t="str">
        <f t="shared" si="2"/>
        <v/>
      </c>
    </row>
    <row r="86" spans="23:23" x14ac:dyDescent="0.3">
      <c r="W86" t="str">
        <f t="shared" si="2"/>
        <v/>
      </c>
    </row>
    <row r="87" spans="23:23" x14ac:dyDescent="0.3">
      <c r="W87" t="str">
        <f t="shared" si="2"/>
        <v/>
      </c>
    </row>
    <row r="88" spans="23:23" x14ac:dyDescent="0.3">
      <c r="W88" t="str">
        <f t="shared" si="2"/>
        <v/>
      </c>
    </row>
    <row r="89" spans="23:23" x14ac:dyDescent="0.3">
      <c r="W89" t="str">
        <f t="shared" si="2"/>
        <v/>
      </c>
    </row>
    <row r="90" spans="23:23" x14ac:dyDescent="0.3">
      <c r="W90" t="str">
        <f t="shared" si="2"/>
        <v/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FD8BD-328A-485A-928B-7A4483F4756D}">
  <sheetPr codeName="Planilha32">
    <pageSetUpPr fitToPage="1"/>
  </sheetPr>
  <dimension ref="A1:M43"/>
  <sheetViews>
    <sheetView workbookViewId="0">
      <selection activeCell="H6" sqref="H6"/>
    </sheetView>
  </sheetViews>
  <sheetFormatPr defaultColWidth="0" defaultRowHeight="14.4" zeroHeight="1" x14ac:dyDescent="0.3"/>
  <cols>
    <col min="1" max="2" width="0.88671875" customWidth="1"/>
    <col min="3" max="3" width="9.5546875" customWidth="1"/>
    <col min="4" max="4" width="23.88671875" customWidth="1"/>
    <col min="5" max="5" width="44.44140625" customWidth="1"/>
    <col min="6" max="6" width="8.88671875" customWidth="1"/>
    <col min="7" max="7" width="11.77734375" customWidth="1"/>
    <col min="8" max="8" width="14" bestFit="1" customWidth="1"/>
    <col min="9" max="10" width="0.88671875" customWidth="1"/>
    <col min="11" max="13" width="0" hidden="1" customWidth="1"/>
    <col min="14" max="16384" width="8.88671875" hidden="1"/>
  </cols>
  <sheetData>
    <row r="1" spans="2:9" ht="4.5" customHeight="1" x14ac:dyDescent="0.3"/>
    <row r="2" spans="2:9" ht="4.5" customHeight="1" x14ac:dyDescent="0.3">
      <c r="B2" s="8"/>
      <c r="C2" s="9"/>
      <c r="D2" s="9"/>
      <c r="E2" s="9"/>
      <c r="F2" s="9"/>
      <c r="G2" s="9"/>
      <c r="H2" s="9"/>
      <c r="I2" s="27"/>
    </row>
    <row r="3" spans="2:9" ht="18" x14ac:dyDescent="0.35">
      <c r="B3" s="10"/>
      <c r="C3" s="17" t="s">
        <v>49</v>
      </c>
      <c r="D3" s="32">
        <v>2</v>
      </c>
      <c r="E3" s="47">
        <f ca="1">NOW()</f>
        <v>45019.801071412039</v>
      </c>
      <c r="F3" s="47"/>
      <c r="G3" s="47"/>
      <c r="H3" s="47"/>
      <c r="I3" s="28"/>
    </row>
    <row r="4" spans="2:9" ht="4.5" customHeight="1" x14ac:dyDescent="0.3">
      <c r="B4" s="10"/>
      <c r="I4" s="28"/>
    </row>
    <row r="5" spans="2:9" x14ac:dyDescent="0.3">
      <c r="B5" s="10"/>
      <c r="C5" s="11" t="s">
        <v>0</v>
      </c>
      <c r="D5" s="12" t="s">
        <v>56</v>
      </c>
      <c r="E5" s="9"/>
      <c r="F5" s="9"/>
      <c r="G5" s="9"/>
      <c r="H5" s="41" t="s">
        <v>57</v>
      </c>
      <c r="I5" s="28"/>
    </row>
    <row r="6" spans="2:9" x14ac:dyDescent="0.3">
      <c r="B6" s="10"/>
      <c r="C6" s="14">
        <v>2</v>
      </c>
      <c r="D6" s="45" t="str">
        <f>IFERROR(VLOOKUP(C6,CadForn!$A:$B,2,0),"")</f>
        <v/>
      </c>
      <c r="E6" s="45"/>
      <c r="F6" s="45"/>
      <c r="G6" s="45"/>
      <c r="H6" s="28" t="s">
        <v>58</v>
      </c>
      <c r="I6" s="28"/>
    </row>
    <row r="7" spans="2:9" ht="4.5" customHeight="1" x14ac:dyDescent="0.3">
      <c r="B7" s="10"/>
      <c r="C7" s="10"/>
      <c r="H7" s="28"/>
      <c r="I7" s="28"/>
    </row>
    <row r="8" spans="2:9" x14ac:dyDescent="0.3">
      <c r="B8" s="10"/>
      <c r="C8" s="13" t="str">
        <f>IFERROR(IF(C6="","",VLOOKUP(C6,CadForn!$A:$C,3,0)),"")</f>
        <v/>
      </c>
      <c r="E8" s="15" t="s">
        <v>48</v>
      </c>
      <c r="H8" s="28"/>
      <c r="I8" s="28"/>
    </row>
    <row r="9" spans="2:9" x14ac:dyDescent="0.3">
      <c r="B9" s="10"/>
      <c r="C9" s="10" t="str">
        <f>IFERROR(VLOOKUP(C6,CadForn!$A:$D,4,0),"")</f>
        <v/>
      </c>
      <c r="E9" t="str">
        <f>IFERROR(VLOOKUP(C6,CadForn!$A:$E,5,0),"")</f>
        <v/>
      </c>
      <c r="H9" s="28"/>
      <c r="I9" s="28"/>
    </row>
    <row r="10" spans="2:9" ht="4.5" customHeight="1" x14ac:dyDescent="0.3">
      <c r="B10" s="10"/>
      <c r="C10" s="10"/>
      <c r="H10" s="28"/>
      <c r="I10" s="28"/>
    </row>
    <row r="11" spans="2:9" x14ac:dyDescent="0.3">
      <c r="B11" s="10"/>
      <c r="C11" s="13" t="s">
        <v>47</v>
      </c>
      <c r="H11" s="28"/>
      <c r="I11" s="28"/>
    </row>
    <row r="12" spans="2:9" ht="43.2" customHeight="1" x14ac:dyDescent="0.3">
      <c r="B12" s="10"/>
      <c r="C12" s="42" t="str">
        <f>IFERROR(VLOOKUP(C6,CadForn!$A:$F,6,0),"")</f>
        <v/>
      </c>
      <c r="D12" s="43"/>
      <c r="E12" s="43"/>
      <c r="F12" s="43"/>
      <c r="G12" s="43"/>
      <c r="H12" s="44"/>
      <c r="I12" s="28"/>
    </row>
    <row r="13" spans="2:9" x14ac:dyDescent="0.3">
      <c r="B13" s="10"/>
      <c r="C13" s="19" t="s">
        <v>0</v>
      </c>
      <c r="D13" s="19" t="s">
        <v>38</v>
      </c>
      <c r="E13" s="19" t="s">
        <v>1</v>
      </c>
      <c r="F13" s="19" t="s">
        <v>3</v>
      </c>
      <c r="G13" s="19" t="s">
        <v>2</v>
      </c>
      <c r="H13" s="19" t="s">
        <v>5</v>
      </c>
      <c r="I13" s="28"/>
    </row>
    <row r="14" spans="2:9" x14ac:dyDescent="0.3">
      <c r="B14" s="10"/>
      <c r="C14" s="33">
        <v>5</v>
      </c>
      <c r="D14" s="9" t="s">
        <v>60</v>
      </c>
      <c r="E14" s="9" t="s">
        <v>67</v>
      </c>
      <c r="F14" s="36">
        <v>22</v>
      </c>
      <c r="G14" s="20">
        <v>35</v>
      </c>
      <c r="H14" s="21">
        <f>IFERROR(IF(F14="","",F14*G14),0)</f>
        <v>770</v>
      </c>
      <c r="I14" s="28"/>
    </row>
    <row r="15" spans="2:9" x14ac:dyDescent="0.3">
      <c r="B15" s="10"/>
      <c r="C15" s="14">
        <v>2</v>
      </c>
      <c r="D15" t="s">
        <v>59</v>
      </c>
      <c r="E15" t="s">
        <v>62</v>
      </c>
      <c r="F15" s="37">
        <v>30</v>
      </c>
      <c r="G15" s="22">
        <v>17</v>
      </c>
      <c r="H15" s="23">
        <f t="shared" ref="H15:H30" si="0">IFERROR(IF(F15="","",F15*G15),0)</f>
        <v>510</v>
      </c>
      <c r="I15" s="28"/>
    </row>
    <row r="16" spans="2:9" x14ac:dyDescent="0.3">
      <c r="B16" s="10"/>
      <c r="C16" s="14">
        <v>3</v>
      </c>
      <c r="D16" t="s">
        <v>59</v>
      </c>
      <c r="E16" t="s">
        <v>65</v>
      </c>
      <c r="F16" s="37">
        <v>45</v>
      </c>
      <c r="G16" s="22">
        <v>22</v>
      </c>
      <c r="H16" s="23">
        <f t="shared" si="0"/>
        <v>990</v>
      </c>
      <c r="I16" s="28"/>
    </row>
    <row r="17" spans="2:9" x14ac:dyDescent="0.3">
      <c r="B17" s="10"/>
      <c r="C17" s="14">
        <v>6</v>
      </c>
      <c r="D17" t="s">
        <v>60</v>
      </c>
      <c r="E17" t="s">
        <v>68</v>
      </c>
      <c r="F17" s="37">
        <v>700</v>
      </c>
      <c r="G17" s="22">
        <v>10</v>
      </c>
      <c r="H17" s="23">
        <f t="shared" si="0"/>
        <v>7000</v>
      </c>
      <c r="I17" s="28"/>
    </row>
    <row r="18" spans="2:9" x14ac:dyDescent="0.3">
      <c r="B18" s="10"/>
      <c r="C18" s="14" t="str">
        <f>IFERROR(IF(TempEntrada!D5="","",TempEntrada!D5),"")</f>
        <v/>
      </c>
      <c r="D18" t="str">
        <f>IFERROR(IF(TempEntrada!E5="","",TempEntrada!E5),"")</f>
        <v/>
      </c>
      <c r="E18" t="str">
        <f>IFERROR(IF(TempEntrada!F5="","",TempEntrada!F5),"")</f>
        <v/>
      </c>
      <c r="F18" s="37" t="str">
        <f>IFERROR(IF(TempEntrada!G5="","",TempEntrada!G5),"")</f>
        <v/>
      </c>
      <c r="G18" s="22" t="str">
        <f>IFERROR(IF(TempEntrada!H5="","",TempEntrada!H5),"")</f>
        <v/>
      </c>
      <c r="H18" s="23" t="str">
        <f t="shared" si="0"/>
        <v/>
      </c>
      <c r="I18" s="28"/>
    </row>
    <row r="19" spans="2:9" x14ac:dyDescent="0.3">
      <c r="B19" s="10"/>
      <c r="C19" s="14" t="str">
        <f>IFERROR(IF(TempEntrada!D6="","",TempEntrada!D6),"")</f>
        <v/>
      </c>
      <c r="D19" t="str">
        <f>IFERROR(IF(TempEntrada!E6="","",TempEntrada!E6),"")</f>
        <v/>
      </c>
      <c r="E19" t="str">
        <f>IFERROR(IF(TempEntrada!F6="","",TempEntrada!F6),"")</f>
        <v/>
      </c>
      <c r="F19" s="37" t="str">
        <f>IFERROR(IF(TempEntrada!G6="","",TempEntrada!G6),"")</f>
        <v/>
      </c>
      <c r="G19" s="22" t="str">
        <f>IFERROR(IF(TempEntrada!H6="","",TempEntrada!H6),"")</f>
        <v/>
      </c>
      <c r="H19" s="23" t="str">
        <f t="shared" si="0"/>
        <v/>
      </c>
      <c r="I19" s="28"/>
    </row>
    <row r="20" spans="2:9" x14ac:dyDescent="0.3">
      <c r="B20" s="10"/>
      <c r="C20" s="14" t="str">
        <f>IFERROR(IF(TempEntrada!D7="","",TempEntrada!D7),"")</f>
        <v/>
      </c>
      <c r="D20" t="str">
        <f>IFERROR(IF(TempEntrada!E7="","",TempEntrada!E7),"")</f>
        <v/>
      </c>
      <c r="E20" t="str">
        <f>IFERROR(IF(TempEntrada!F7="","",TempEntrada!F7),"")</f>
        <v/>
      </c>
      <c r="F20" s="37" t="str">
        <f>IFERROR(IF(TempEntrada!G7="","",TempEntrada!G7),"")</f>
        <v/>
      </c>
      <c r="G20" s="22" t="str">
        <f>IFERROR(IF(TempEntrada!H7="","",TempEntrada!H7),"")</f>
        <v/>
      </c>
      <c r="H20" s="23" t="str">
        <f t="shared" si="0"/>
        <v/>
      </c>
      <c r="I20" s="28"/>
    </row>
    <row r="21" spans="2:9" x14ac:dyDescent="0.3">
      <c r="B21" s="10"/>
      <c r="C21" s="14" t="str">
        <f>IFERROR(IF(TempEntrada!D8="","",TempEntrada!D8),"")</f>
        <v/>
      </c>
      <c r="D21" t="str">
        <f>IFERROR(IF(TempEntrada!E8="","",TempEntrada!E8),"")</f>
        <v/>
      </c>
      <c r="E21" t="str">
        <f>IFERROR(IF(TempEntrada!F8="","",TempEntrada!F8),"")</f>
        <v/>
      </c>
      <c r="F21" s="37" t="str">
        <f>IFERROR(IF(TempEntrada!G8="","",TempEntrada!G8),"")</f>
        <v/>
      </c>
      <c r="G21" s="22" t="str">
        <f>IFERROR(IF(TempEntrada!H8="","",TempEntrada!H8),"")</f>
        <v/>
      </c>
      <c r="H21" s="23" t="str">
        <f t="shared" si="0"/>
        <v/>
      </c>
      <c r="I21" s="28"/>
    </row>
    <row r="22" spans="2:9" x14ac:dyDescent="0.3">
      <c r="B22" s="10"/>
      <c r="C22" s="14" t="str">
        <f>IFERROR(IF(TempEntrada!D9="","",TempEntrada!D9),"")</f>
        <v/>
      </c>
      <c r="D22" t="str">
        <f>IFERROR(IF(TempEntrada!E9="","",TempEntrada!E9),"")</f>
        <v/>
      </c>
      <c r="E22" t="str">
        <f>IFERROR(IF(TempEntrada!F9="","",TempEntrada!F9),"")</f>
        <v/>
      </c>
      <c r="F22" s="37" t="str">
        <f>IFERROR(IF(TempEntrada!G9="","",TempEntrada!G9),"")</f>
        <v/>
      </c>
      <c r="G22" s="22" t="str">
        <f>IFERROR(IF(TempEntrada!H9="","",TempEntrada!H9),"")</f>
        <v/>
      </c>
      <c r="H22" s="23" t="str">
        <f t="shared" si="0"/>
        <v/>
      </c>
      <c r="I22" s="28"/>
    </row>
    <row r="23" spans="2:9" x14ac:dyDescent="0.3">
      <c r="B23" s="10"/>
      <c r="C23" s="14" t="str">
        <f>IFERROR(IF(TempEntrada!D10="","",TempEntrada!D10),"")</f>
        <v/>
      </c>
      <c r="D23" t="str">
        <f>IFERROR(IF(TempEntrada!E10="","",TempEntrada!E10),"")</f>
        <v/>
      </c>
      <c r="E23" t="str">
        <f>IFERROR(IF(TempEntrada!F10="","",TempEntrada!F10),"")</f>
        <v/>
      </c>
      <c r="F23" s="37" t="str">
        <f>IFERROR(IF(TempEntrada!G10="","",TempEntrada!G10),"")</f>
        <v/>
      </c>
      <c r="G23" s="22" t="str">
        <f>IFERROR(IF(TempEntrada!H10="","",TempEntrada!H10),"")</f>
        <v/>
      </c>
      <c r="H23" s="23" t="str">
        <f t="shared" si="0"/>
        <v/>
      </c>
      <c r="I23" s="28"/>
    </row>
    <row r="24" spans="2:9" x14ac:dyDescent="0.3">
      <c r="B24" s="10"/>
      <c r="C24" s="14" t="str">
        <f>IFERROR(IF(TempEntrada!D11="","",TempEntrada!D11),"")</f>
        <v/>
      </c>
      <c r="D24" t="str">
        <f>IFERROR(IF(TempEntrada!E11="","",TempEntrada!E11),"")</f>
        <v/>
      </c>
      <c r="E24" t="str">
        <f>IFERROR(IF(TempEntrada!F11="","",TempEntrada!F11),"")</f>
        <v/>
      </c>
      <c r="F24" s="37" t="str">
        <f>IFERROR(IF(TempEntrada!G11="","",TempEntrada!G11),"")</f>
        <v/>
      </c>
      <c r="G24" s="22" t="str">
        <f>IFERROR(IF(TempEntrada!H11="","",TempEntrada!H11),"")</f>
        <v/>
      </c>
      <c r="H24" s="23" t="str">
        <f t="shared" si="0"/>
        <v/>
      </c>
      <c r="I24" s="28"/>
    </row>
    <row r="25" spans="2:9" x14ac:dyDescent="0.3">
      <c r="B25" s="10"/>
      <c r="C25" s="14" t="str">
        <f>IFERROR(IF(TempEntrada!D12="","",TempEntrada!D12),"")</f>
        <v/>
      </c>
      <c r="D25" t="str">
        <f>IFERROR(IF(TempEntrada!E12="","",TempEntrada!E12),"")</f>
        <v/>
      </c>
      <c r="E25" t="str">
        <f>IFERROR(IF(TempEntrada!F12="","",TempEntrada!F12),"")</f>
        <v/>
      </c>
      <c r="F25" s="37" t="str">
        <f>IFERROR(IF(TempEntrada!G12="","",TempEntrada!G12),"")</f>
        <v/>
      </c>
      <c r="G25" s="22" t="str">
        <f>IFERROR(IF(TempEntrada!H12="","",TempEntrada!H12),"")</f>
        <v/>
      </c>
      <c r="H25" s="23" t="str">
        <f>IFERROR(IF(F25="","",F25*G25),0)</f>
        <v/>
      </c>
      <c r="I25" s="28"/>
    </row>
    <row r="26" spans="2:9" x14ac:dyDescent="0.3">
      <c r="B26" s="10"/>
      <c r="C26" s="14" t="str">
        <f>IFERROR(IF(TempEntrada!D13="","",TempEntrada!D13),"")</f>
        <v/>
      </c>
      <c r="D26" t="str">
        <f>IFERROR(IF(TempEntrada!E13="","",TempEntrada!E13),"")</f>
        <v/>
      </c>
      <c r="E26" t="str">
        <f>IFERROR(IF(TempEntrada!F13="","",TempEntrada!F13),"")</f>
        <v/>
      </c>
      <c r="F26" s="37" t="str">
        <f>IFERROR(IF(TempEntrada!G13="","",TempEntrada!G13),"")</f>
        <v/>
      </c>
      <c r="G26" s="22" t="str">
        <f>IFERROR(IF(TempEntrada!H13="","",TempEntrada!H13),"")</f>
        <v/>
      </c>
      <c r="H26" s="23" t="str">
        <f t="shared" si="0"/>
        <v/>
      </c>
      <c r="I26" s="28"/>
    </row>
    <row r="27" spans="2:9" x14ac:dyDescent="0.3">
      <c r="B27" s="10"/>
      <c r="C27" s="14" t="str">
        <f>IFERROR(IF(TempEntrada!D14="","",TempEntrada!D14),"")</f>
        <v/>
      </c>
      <c r="D27" t="str">
        <f>IFERROR(IF(TempEntrada!E14="","",TempEntrada!E14),"")</f>
        <v/>
      </c>
      <c r="E27" t="str">
        <f>IFERROR(IF(TempEntrada!F14="","",TempEntrada!F14),"")</f>
        <v/>
      </c>
      <c r="F27" s="37" t="str">
        <f>IFERROR(IF(TempEntrada!G14="","",TempEntrada!G14),"")</f>
        <v/>
      </c>
      <c r="G27" s="22" t="str">
        <f>IFERROR(IF(TempEntrada!H14="","",TempEntrada!H14),"")</f>
        <v/>
      </c>
      <c r="H27" s="23" t="str">
        <f t="shared" si="0"/>
        <v/>
      </c>
      <c r="I27" s="28"/>
    </row>
    <row r="28" spans="2:9" x14ac:dyDescent="0.3">
      <c r="B28" s="10"/>
      <c r="C28" s="14" t="str">
        <f>IFERROR(IF(TempEntrada!D15="","",TempEntrada!D15),"")</f>
        <v/>
      </c>
      <c r="D28" t="str">
        <f>IFERROR(IF(TempEntrada!E15="","",TempEntrada!E15),"")</f>
        <v/>
      </c>
      <c r="E28" t="str">
        <f>IFERROR(IF(TempEntrada!F15="","",TempEntrada!F15),"")</f>
        <v/>
      </c>
      <c r="F28" s="37" t="str">
        <f>IFERROR(IF(TempEntrada!G15="","",TempEntrada!G15),"")</f>
        <v/>
      </c>
      <c r="G28" s="22" t="str">
        <f>IFERROR(IF(TempEntrada!H15="","",TempEntrada!H15),"")</f>
        <v/>
      </c>
      <c r="H28" s="23" t="str">
        <f t="shared" si="0"/>
        <v/>
      </c>
      <c r="I28" s="28"/>
    </row>
    <row r="29" spans="2:9" x14ac:dyDescent="0.3">
      <c r="B29" s="10"/>
      <c r="C29" s="14" t="str">
        <f>IFERROR(IF(TempEntrada!D16="","",TempEntrada!D16),"")</f>
        <v/>
      </c>
      <c r="D29" t="str">
        <f>IFERROR(IF(TempEntrada!E16="","",TempEntrada!E16),"")</f>
        <v/>
      </c>
      <c r="E29" t="str">
        <f>IFERROR(IF(TempEntrada!F16="","",TempEntrada!F16),"")</f>
        <v/>
      </c>
      <c r="F29" s="37" t="str">
        <f>IFERROR(IF(TempEntrada!G16="","",TempEntrada!G16),"")</f>
        <v/>
      </c>
      <c r="G29" s="22" t="str">
        <f>IFERROR(IF(TempEntrada!H16="","",TempEntrada!H16),"")</f>
        <v/>
      </c>
      <c r="H29" s="23" t="str">
        <f t="shared" si="0"/>
        <v/>
      </c>
      <c r="I29" s="28"/>
    </row>
    <row r="30" spans="2:9" x14ac:dyDescent="0.3">
      <c r="B30" s="10"/>
      <c r="C30" s="34" t="str">
        <f>IFERROR(IF(TempEntrada!D17="","",TempEntrada!D17),"")</f>
        <v/>
      </c>
      <c r="D30" s="16" t="str">
        <f>IFERROR(IF(TempEntrada!E17="","",TempEntrada!E17),"")</f>
        <v/>
      </c>
      <c r="E30" s="16" t="str">
        <f>IFERROR(IF(TempEntrada!F17="","",TempEntrada!F17),"")</f>
        <v/>
      </c>
      <c r="F30" s="38" t="str">
        <f>IFERROR(IF(TempEntrada!G17="","",TempEntrada!G17),"")</f>
        <v/>
      </c>
      <c r="G30" s="18" t="str">
        <f>IFERROR(IF(TempEntrada!H17="","",TempEntrada!H17),"")</f>
        <v/>
      </c>
      <c r="H30" s="25" t="str">
        <f t="shared" si="0"/>
        <v/>
      </c>
      <c r="I30" s="28"/>
    </row>
    <row r="31" spans="2:9" ht="4.5" customHeight="1" x14ac:dyDescent="0.3">
      <c r="B31" s="10"/>
      <c r="I31" s="28"/>
    </row>
    <row r="32" spans="2:9" x14ac:dyDescent="0.3">
      <c r="B32" s="10"/>
      <c r="C32" s="15"/>
      <c r="D32" s="29"/>
      <c r="E32" s="29" t="s">
        <v>50</v>
      </c>
      <c r="F32" s="35">
        <f>SUM(F14:F30)</f>
        <v>797</v>
      </c>
      <c r="G32" s="29" t="s">
        <v>51</v>
      </c>
      <c r="H32" s="26">
        <f>SUM(H14:H30)</f>
        <v>9270</v>
      </c>
      <c r="I32" s="28"/>
    </row>
    <row r="33" spans="2:9" ht="4.5" customHeight="1" x14ac:dyDescent="0.3">
      <c r="B33" s="10"/>
      <c r="I33" s="28"/>
    </row>
    <row r="34" spans="2:9" x14ac:dyDescent="0.3">
      <c r="B34" s="10"/>
      <c r="I34" s="28"/>
    </row>
    <row r="35" spans="2:9" x14ac:dyDescent="0.3">
      <c r="B35" s="10"/>
      <c r="I35" s="28"/>
    </row>
    <row r="36" spans="2:9" ht="15" thickBot="1" x14ac:dyDescent="0.35">
      <c r="B36" s="10"/>
      <c r="E36" s="31"/>
      <c r="F36" s="31"/>
      <c r="G36" s="31"/>
      <c r="H36" s="31"/>
      <c r="I36" s="28"/>
    </row>
    <row r="37" spans="2:9" ht="15" thickTop="1" x14ac:dyDescent="0.3">
      <c r="B37" s="10"/>
      <c r="H37" s="29" t="s">
        <v>52</v>
      </c>
      <c r="I37" s="28"/>
    </row>
    <row r="38" spans="2:9" x14ac:dyDescent="0.3">
      <c r="B38" s="10"/>
      <c r="I38" s="28"/>
    </row>
    <row r="39" spans="2:9" x14ac:dyDescent="0.3">
      <c r="B39" s="10"/>
      <c r="I39" s="28"/>
    </row>
    <row r="40" spans="2:9" ht="15" thickBot="1" x14ac:dyDescent="0.35">
      <c r="B40" s="10"/>
      <c r="E40" s="31"/>
      <c r="F40" s="31"/>
      <c r="G40" s="31"/>
      <c r="H40" s="31"/>
      <c r="I40" s="28"/>
    </row>
    <row r="41" spans="2:9" ht="15" thickTop="1" x14ac:dyDescent="0.3">
      <c r="B41" s="10"/>
      <c r="H41" s="29" t="s">
        <v>53</v>
      </c>
      <c r="I41" s="28"/>
    </row>
    <row r="42" spans="2:9" x14ac:dyDescent="0.3">
      <c r="B42" s="24"/>
      <c r="C42" s="16"/>
      <c r="D42" s="16"/>
      <c r="E42" s="16"/>
      <c r="F42" s="16"/>
      <c r="G42" s="16"/>
      <c r="H42" s="16"/>
      <c r="I42" s="30"/>
    </row>
    <row r="43" spans="2:9" ht="4.5" customHeight="1" x14ac:dyDescent="0.3"/>
  </sheetData>
  <mergeCells count="3">
    <mergeCell ref="E3:H3"/>
    <mergeCell ref="C12:H12"/>
    <mergeCell ref="D6:G6"/>
  </mergeCells>
  <pageMargins left="0.511811024" right="0.511811024" top="0.78740157499999996" bottom="0.78740157499999996" header="0.31496062000000002" footer="0.31496062000000002"/>
  <pageSetup scale="82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046F9-069D-4013-A2F1-1A0A8AD1F140}">
  <sheetPr codeName="Planilha11"/>
  <dimension ref="A1:R2976"/>
  <sheetViews>
    <sheetView workbookViewId="0">
      <selection activeCell="A2" sqref="A2:L2"/>
    </sheetView>
  </sheetViews>
  <sheetFormatPr defaultRowHeight="14.4" x14ac:dyDescent="0.3"/>
  <cols>
    <col min="3" max="3" width="32.21875" customWidth="1"/>
    <col min="4" max="4" width="11" bestFit="1" customWidth="1"/>
    <col min="5" max="5" width="12.33203125" bestFit="1" customWidth="1"/>
    <col min="6" max="6" width="26.77734375" customWidth="1"/>
    <col min="8" max="8" width="11.88671875" style="1" bestFit="1" customWidth="1"/>
    <col min="9" max="9" width="12.44140625" style="1" bestFit="1" customWidth="1"/>
    <col min="10" max="10" width="13.21875" style="3" bestFit="1" customWidth="1"/>
    <col min="11" max="11" width="13.21875" style="2" bestFit="1" customWidth="1"/>
    <col min="12" max="13" width="13.21875" customWidth="1"/>
    <col min="14" max="14" width="12.33203125" bestFit="1" customWidth="1"/>
    <col min="15" max="15" width="4.77734375" customWidth="1"/>
    <col min="17" max="17" width="12.77734375" bestFit="1" customWidth="1"/>
    <col min="18" max="18" width="10.33203125" bestFit="1" customWidth="1"/>
  </cols>
  <sheetData>
    <row r="1" spans="1:18" x14ac:dyDescent="0.3">
      <c r="A1" t="s">
        <v>44</v>
      </c>
      <c r="B1" t="s">
        <v>0</v>
      </c>
      <c r="C1" t="s">
        <v>12</v>
      </c>
      <c r="D1" t="s">
        <v>0</v>
      </c>
      <c r="E1" t="s">
        <v>38</v>
      </c>
      <c r="F1" t="s">
        <v>1</v>
      </c>
      <c r="G1" t="s">
        <v>3</v>
      </c>
      <c r="H1" t="s">
        <v>2</v>
      </c>
      <c r="I1" t="s">
        <v>9</v>
      </c>
      <c r="J1" t="s">
        <v>11</v>
      </c>
      <c r="K1" t="s">
        <v>4</v>
      </c>
      <c r="L1" t="s">
        <v>6</v>
      </c>
      <c r="N1" t="s">
        <v>10</v>
      </c>
      <c r="O1">
        <f>SUM(TempMovSaida!G2:G1048576)</f>
        <v>0</v>
      </c>
      <c r="Q1" t="s">
        <v>9</v>
      </c>
      <c r="R1" s="5">
        <f>SUM(TempMovSaida!I2:I1048576)</f>
        <v>0</v>
      </c>
    </row>
    <row r="11" spans="1:18" x14ac:dyDescent="0.3">
      <c r="E11" t="str">
        <f>IFERROR(IF(D11="","",VLOOKUP(D11,CadProd!$A:$B,2,0)),"")</f>
        <v/>
      </c>
      <c r="F11" t="str">
        <f>IFERROR(IF(D11="","",VLOOKUP(D11,CadProd!$A:$C,3,0)),"")</f>
        <v/>
      </c>
      <c r="I11" s="1" t="str">
        <f t="shared" ref="I11:I65" si="0">IFERROR(IF(D11="","",H11*G11),"")</f>
        <v/>
      </c>
    </row>
    <row r="12" spans="1:18" x14ac:dyDescent="0.3">
      <c r="E12" t="str">
        <f>IFERROR(IF(D12="","",VLOOKUP(D12,CadProd!$A:$B,2,0)),"")</f>
        <v/>
      </c>
      <c r="F12" t="str">
        <f>IFERROR(IF(D12="","",VLOOKUP(D12,CadProd!$A:$C,3,0)),"")</f>
        <v/>
      </c>
      <c r="I12" s="1" t="str">
        <f t="shared" si="0"/>
        <v/>
      </c>
    </row>
    <row r="13" spans="1:18" x14ac:dyDescent="0.3">
      <c r="E13" t="str">
        <f>IFERROR(IF(D13="","",VLOOKUP(D13,CadProd!$A:$B,2,0)),"")</f>
        <v/>
      </c>
      <c r="F13" t="str">
        <f>IFERROR(IF(D13="","",VLOOKUP(D13,CadProd!$A:$C,3,0)),"")</f>
        <v/>
      </c>
      <c r="I13" s="1" t="str">
        <f t="shared" si="0"/>
        <v/>
      </c>
    </row>
    <row r="14" spans="1:18" x14ac:dyDescent="0.3">
      <c r="E14" t="str">
        <f>IFERROR(IF(D14="","",VLOOKUP(D14,CadProd!$A:$B,2,0)),"")</f>
        <v/>
      </c>
      <c r="F14" t="str">
        <f>IFERROR(IF(D14="","",VLOOKUP(D14,CadProd!$A:$C,3,0)),"")</f>
        <v/>
      </c>
      <c r="I14" s="1" t="str">
        <f t="shared" si="0"/>
        <v/>
      </c>
    </row>
    <row r="15" spans="1:18" x14ac:dyDescent="0.3">
      <c r="E15" t="str">
        <f>IFERROR(IF(D15="","",VLOOKUP(D15,CadProd!$A:$B,2,0)),"")</f>
        <v/>
      </c>
      <c r="F15" t="str">
        <f>IFERROR(IF(D15="","",VLOOKUP(D15,CadProd!$A:$C,3,0)),"")</f>
        <v/>
      </c>
      <c r="I15" s="1" t="str">
        <f t="shared" si="0"/>
        <v/>
      </c>
    </row>
    <row r="16" spans="1:18" x14ac:dyDescent="0.3">
      <c r="E16" t="str">
        <f>IFERROR(IF(D16="","",VLOOKUP(D16,CadProd!$A:$B,2,0)),"")</f>
        <v/>
      </c>
      <c r="F16" t="str">
        <f>IFERROR(IF(D16="","",VLOOKUP(D16,CadProd!$A:$C,3,0)),"")</f>
        <v/>
      </c>
      <c r="I16" s="1" t="str">
        <f t="shared" si="0"/>
        <v/>
      </c>
    </row>
    <row r="17" spans="5:9" x14ac:dyDescent="0.3">
      <c r="E17" t="str">
        <f>IFERROR(IF(D17="","",VLOOKUP(D17,CadProd!$A:$B,2,0)),"")</f>
        <v/>
      </c>
      <c r="F17" t="str">
        <f>IFERROR(IF(D17="","",VLOOKUP(D17,CadProd!$A:$C,3,0)),"")</f>
        <v/>
      </c>
      <c r="I17" s="1" t="str">
        <f t="shared" si="0"/>
        <v/>
      </c>
    </row>
    <row r="18" spans="5:9" x14ac:dyDescent="0.3">
      <c r="E18" t="str">
        <f>IFERROR(IF(D18="","",VLOOKUP(D18,CadProd!$A:$B,2,0)),"")</f>
        <v/>
      </c>
      <c r="F18" t="str">
        <f>IFERROR(IF(D18="","",VLOOKUP(D18,CadProd!$A:$C,3,0)),"")</f>
        <v/>
      </c>
      <c r="I18" s="1" t="str">
        <f t="shared" si="0"/>
        <v/>
      </c>
    </row>
    <row r="19" spans="5:9" x14ac:dyDescent="0.3">
      <c r="E19" t="str">
        <f>IFERROR(IF(D19="","",VLOOKUP(D19,CadProd!$A:$B,2,0)),"")</f>
        <v/>
      </c>
      <c r="F19" t="str">
        <f>IFERROR(IF(D19="","",VLOOKUP(D19,CadProd!$A:$C,3,0)),"")</f>
        <v/>
      </c>
      <c r="I19" s="1" t="str">
        <f t="shared" si="0"/>
        <v/>
      </c>
    </row>
    <row r="20" spans="5:9" x14ac:dyDescent="0.3">
      <c r="E20" t="str">
        <f>IFERROR(IF(D20="","",VLOOKUP(D20,CadProd!$A:$B,2,0)),"")</f>
        <v/>
      </c>
      <c r="F20" t="str">
        <f>IFERROR(IF(D20="","",VLOOKUP(D20,CadProd!$A:$C,3,0)),"")</f>
        <v/>
      </c>
      <c r="I20" s="1" t="str">
        <f t="shared" si="0"/>
        <v/>
      </c>
    </row>
    <row r="21" spans="5:9" x14ac:dyDescent="0.3">
      <c r="E21" t="str">
        <f>IFERROR(IF(D21="","",VLOOKUP(D21,CadProd!$A:$B,2,0)),"")</f>
        <v/>
      </c>
      <c r="F21" t="str">
        <f>IFERROR(IF(D21="","",VLOOKUP(D21,CadProd!$A:$C,3,0)),"")</f>
        <v/>
      </c>
      <c r="I21" s="1" t="str">
        <f t="shared" si="0"/>
        <v/>
      </c>
    </row>
    <row r="22" spans="5:9" x14ac:dyDescent="0.3">
      <c r="E22" t="str">
        <f>IFERROR(IF(D22="","",VLOOKUP(D22,CadProd!$A:$B,2,0)),"")</f>
        <v/>
      </c>
      <c r="F22" t="str">
        <f>IFERROR(IF(D22="","",VLOOKUP(D22,CadProd!$A:$C,3,0)),"")</f>
        <v/>
      </c>
      <c r="I22" s="1" t="str">
        <f t="shared" si="0"/>
        <v/>
      </c>
    </row>
    <row r="23" spans="5:9" x14ac:dyDescent="0.3">
      <c r="E23" t="str">
        <f>IFERROR(IF(D23="","",VLOOKUP(D23,CadProd!$A:$B,2,0)),"")</f>
        <v/>
      </c>
      <c r="F23" t="str">
        <f>IFERROR(IF(D23="","",VLOOKUP(D23,CadProd!$A:$C,3,0)),"")</f>
        <v/>
      </c>
      <c r="I23" s="1" t="str">
        <f t="shared" si="0"/>
        <v/>
      </c>
    </row>
    <row r="24" spans="5:9" x14ac:dyDescent="0.3">
      <c r="E24" t="str">
        <f>IFERROR(IF(D24="","",VLOOKUP(D24,CadProd!$A:$B,2,0)),"")</f>
        <v/>
      </c>
      <c r="F24" t="str">
        <f>IFERROR(IF(D24="","",VLOOKUP(D24,CadProd!$A:$C,3,0)),"")</f>
        <v/>
      </c>
      <c r="I24" s="1" t="str">
        <f t="shared" si="0"/>
        <v/>
      </c>
    </row>
    <row r="25" spans="5:9" x14ac:dyDescent="0.3">
      <c r="E25" t="str">
        <f>IFERROR(IF(D25="","",VLOOKUP(D25,CadProd!$A:$B,2,0)),"")</f>
        <v/>
      </c>
      <c r="F25" t="str">
        <f>IFERROR(IF(D25="","",VLOOKUP(D25,CadProd!$A:$C,3,0)),"")</f>
        <v/>
      </c>
      <c r="I25" s="1" t="str">
        <f t="shared" si="0"/>
        <v/>
      </c>
    </row>
    <row r="26" spans="5:9" x14ac:dyDescent="0.3">
      <c r="E26" t="str">
        <f>IFERROR(IF(D26="","",VLOOKUP(D26,CadProd!$A:$B,2,0)),"")</f>
        <v/>
      </c>
      <c r="F26" t="str">
        <f>IFERROR(IF(D26="","",VLOOKUP(D26,CadProd!$A:$C,3,0)),"")</f>
        <v/>
      </c>
      <c r="I26" s="1" t="str">
        <f t="shared" si="0"/>
        <v/>
      </c>
    </row>
    <row r="27" spans="5:9" x14ac:dyDescent="0.3">
      <c r="E27" t="str">
        <f>IFERROR(IF(D27="","",VLOOKUP(D27,CadProd!$A:$B,2,0)),"")</f>
        <v/>
      </c>
      <c r="F27" t="str">
        <f>IFERROR(IF(D27="","",VLOOKUP(D27,CadProd!$A:$C,3,0)),"")</f>
        <v/>
      </c>
      <c r="I27" s="1" t="str">
        <f t="shared" si="0"/>
        <v/>
      </c>
    </row>
    <row r="28" spans="5:9" x14ac:dyDescent="0.3">
      <c r="E28" t="str">
        <f>IFERROR(IF(D28="","",VLOOKUP(D28,CadProd!$A:$B,2,0)),"")</f>
        <v/>
      </c>
      <c r="F28" t="str">
        <f>IFERROR(IF(D28="","",VLOOKUP(D28,CadProd!$A:$C,3,0)),"")</f>
        <v/>
      </c>
      <c r="I28" s="1" t="str">
        <f t="shared" si="0"/>
        <v/>
      </c>
    </row>
    <row r="29" spans="5:9" x14ac:dyDescent="0.3">
      <c r="E29" t="str">
        <f>IFERROR(IF(D29="","",VLOOKUP(D29,CadProd!$A:$B,2,0)),"")</f>
        <v/>
      </c>
      <c r="F29" t="str">
        <f>IFERROR(IF(D29="","",VLOOKUP(D29,CadProd!$A:$C,3,0)),"")</f>
        <v/>
      </c>
      <c r="I29" s="1" t="str">
        <f t="shared" si="0"/>
        <v/>
      </c>
    </row>
    <row r="30" spans="5:9" x14ac:dyDescent="0.3">
      <c r="E30" t="str">
        <f>IFERROR(IF(D30="","",VLOOKUP(D30,CadProd!$A:$B,2,0)),"")</f>
        <v/>
      </c>
      <c r="F30" t="str">
        <f>IFERROR(IF(D30="","",VLOOKUP(D30,CadProd!$A:$C,3,0)),"")</f>
        <v/>
      </c>
      <c r="I30" s="1" t="str">
        <f t="shared" si="0"/>
        <v/>
      </c>
    </row>
    <row r="31" spans="5:9" x14ac:dyDescent="0.3">
      <c r="E31" t="str">
        <f>IFERROR(IF(D31="","",VLOOKUP(D31,CadProd!$A:$B,2,0)),"")</f>
        <v/>
      </c>
      <c r="F31" t="str">
        <f>IFERROR(IF(D31="","",VLOOKUP(D31,CadProd!$A:$C,3,0)),"")</f>
        <v/>
      </c>
      <c r="I31" s="1" t="str">
        <f t="shared" si="0"/>
        <v/>
      </c>
    </row>
    <row r="32" spans="5:9" x14ac:dyDescent="0.3">
      <c r="E32" t="str">
        <f>IFERROR(IF(D32="","",VLOOKUP(D32,CadProd!$A:$B,2,0)),"")</f>
        <v/>
      </c>
      <c r="F32" t="str">
        <f>IFERROR(IF(D32="","",VLOOKUP(D32,CadProd!$A:$C,3,0)),"")</f>
        <v/>
      </c>
      <c r="I32" s="1" t="str">
        <f t="shared" si="0"/>
        <v/>
      </c>
    </row>
    <row r="33" spans="5:9" x14ac:dyDescent="0.3">
      <c r="E33" t="str">
        <f>IFERROR(IF(D33="","",VLOOKUP(D33,CadProd!$A:$B,2,0)),"")</f>
        <v/>
      </c>
      <c r="F33" t="str">
        <f>IFERROR(IF(D33="","",VLOOKUP(D33,CadProd!$A:$C,3,0)),"")</f>
        <v/>
      </c>
      <c r="I33" s="1" t="str">
        <f t="shared" si="0"/>
        <v/>
      </c>
    </row>
    <row r="34" spans="5:9" x14ac:dyDescent="0.3">
      <c r="E34" t="str">
        <f>IFERROR(IF(D34="","",VLOOKUP(D34,CadProd!$A:$B,2,0)),"")</f>
        <v/>
      </c>
      <c r="F34" t="str">
        <f>IFERROR(IF(D34="","",VLOOKUP(D34,CadProd!$A:$C,3,0)),"")</f>
        <v/>
      </c>
      <c r="I34" s="1" t="str">
        <f t="shared" si="0"/>
        <v/>
      </c>
    </row>
    <row r="35" spans="5:9" x14ac:dyDescent="0.3">
      <c r="E35" t="str">
        <f>IFERROR(IF(D35="","",VLOOKUP(D35,CadProd!$A:$B,2,0)),"")</f>
        <v/>
      </c>
      <c r="F35" t="str">
        <f>IFERROR(IF(D35="","",VLOOKUP(D35,CadProd!$A:$C,3,0)),"")</f>
        <v/>
      </c>
      <c r="I35" s="1" t="str">
        <f t="shared" si="0"/>
        <v/>
      </c>
    </row>
    <row r="36" spans="5:9" x14ac:dyDescent="0.3">
      <c r="E36" t="str">
        <f>IFERROR(IF(D36="","",VLOOKUP(D36,CadProd!$A:$B,2,0)),"")</f>
        <v/>
      </c>
      <c r="F36" t="str">
        <f>IFERROR(IF(D36="","",VLOOKUP(D36,CadProd!$A:$C,3,0)),"")</f>
        <v/>
      </c>
      <c r="I36" s="1" t="str">
        <f t="shared" si="0"/>
        <v/>
      </c>
    </row>
    <row r="37" spans="5:9" x14ac:dyDescent="0.3">
      <c r="E37" t="str">
        <f>IFERROR(IF(D37="","",VLOOKUP(D37,CadProd!$A:$B,2,0)),"")</f>
        <v/>
      </c>
      <c r="F37" t="str">
        <f>IFERROR(IF(D37="","",VLOOKUP(D37,CadProd!$A:$C,3,0)),"")</f>
        <v/>
      </c>
      <c r="I37" s="1" t="str">
        <f t="shared" si="0"/>
        <v/>
      </c>
    </row>
    <row r="38" spans="5:9" x14ac:dyDescent="0.3">
      <c r="E38" t="str">
        <f>IFERROR(IF(D38="","",VLOOKUP(D38,CadProd!$A:$B,2,0)),"")</f>
        <v/>
      </c>
      <c r="F38" t="str">
        <f>IFERROR(IF(D38="","",VLOOKUP(D38,CadProd!$A:$C,3,0)),"")</f>
        <v/>
      </c>
      <c r="I38" s="1" t="str">
        <f t="shared" si="0"/>
        <v/>
      </c>
    </row>
    <row r="39" spans="5:9" x14ac:dyDescent="0.3">
      <c r="E39" t="str">
        <f>IFERROR(IF(D39="","",VLOOKUP(D39,CadProd!$A:$B,2,0)),"")</f>
        <v/>
      </c>
      <c r="F39" t="str">
        <f>IFERROR(IF(D39="","",VLOOKUP(D39,CadProd!$A:$C,3,0)),"")</f>
        <v/>
      </c>
      <c r="I39" s="1" t="str">
        <f t="shared" si="0"/>
        <v/>
      </c>
    </row>
    <row r="40" spans="5:9" x14ac:dyDescent="0.3">
      <c r="E40" t="str">
        <f>IFERROR(IF(D40="","",VLOOKUP(D40,CadProd!$A:$B,2,0)),"")</f>
        <v/>
      </c>
      <c r="F40" t="str">
        <f>IFERROR(IF(D40="","",VLOOKUP(D40,CadProd!$A:$C,3,0)),"")</f>
        <v/>
      </c>
      <c r="I40" s="1" t="str">
        <f t="shared" si="0"/>
        <v/>
      </c>
    </row>
    <row r="41" spans="5:9" x14ac:dyDescent="0.3">
      <c r="E41" t="str">
        <f>IFERROR(IF(D41="","",VLOOKUP(D41,CadProd!$A:$B,2,0)),"")</f>
        <v/>
      </c>
      <c r="F41" t="str">
        <f>IFERROR(IF(D41="","",VLOOKUP(D41,CadProd!$A:$C,3,0)),"")</f>
        <v/>
      </c>
      <c r="I41" s="1" t="str">
        <f t="shared" si="0"/>
        <v/>
      </c>
    </row>
    <row r="42" spans="5:9" x14ac:dyDescent="0.3">
      <c r="E42" t="str">
        <f>IFERROR(IF(D42="","",VLOOKUP(D42,CadProd!$A:$B,2,0)),"")</f>
        <v/>
      </c>
      <c r="F42" t="str">
        <f>IFERROR(IF(D42="","",VLOOKUP(D42,CadProd!$A:$C,3,0)),"")</f>
        <v/>
      </c>
      <c r="I42" s="1" t="str">
        <f t="shared" si="0"/>
        <v/>
      </c>
    </row>
    <row r="43" spans="5:9" x14ac:dyDescent="0.3">
      <c r="E43" t="str">
        <f>IFERROR(IF(D43="","",VLOOKUP(D43,CadProd!$A:$B,2,0)),"")</f>
        <v/>
      </c>
      <c r="F43" t="str">
        <f>IFERROR(IF(D43="","",VLOOKUP(D43,CadProd!$A:$C,3,0)),"")</f>
        <v/>
      </c>
      <c r="I43" s="1" t="str">
        <f t="shared" si="0"/>
        <v/>
      </c>
    </row>
    <row r="44" spans="5:9" x14ac:dyDescent="0.3">
      <c r="E44" t="str">
        <f>IFERROR(IF(D44="","",VLOOKUP(D44,CadProd!$A:$B,2,0)),"")</f>
        <v/>
      </c>
      <c r="F44" t="str">
        <f>IFERROR(IF(D44="","",VLOOKUP(D44,CadProd!$A:$C,3,0)),"")</f>
        <v/>
      </c>
      <c r="I44" s="1" t="str">
        <f t="shared" si="0"/>
        <v/>
      </c>
    </row>
    <row r="45" spans="5:9" x14ac:dyDescent="0.3">
      <c r="E45" t="str">
        <f>IFERROR(IF(D45="","",VLOOKUP(D45,CadProd!$A:$B,2,0)),"")</f>
        <v/>
      </c>
      <c r="F45" t="str">
        <f>IFERROR(IF(D45="","",VLOOKUP(D45,CadProd!$A:$C,3,0)),"")</f>
        <v/>
      </c>
      <c r="I45" s="1" t="str">
        <f t="shared" si="0"/>
        <v/>
      </c>
    </row>
    <row r="46" spans="5:9" x14ac:dyDescent="0.3">
      <c r="E46" t="str">
        <f>IFERROR(IF(D46="","",VLOOKUP(D46,CadProd!$A:$B,2,0)),"")</f>
        <v/>
      </c>
      <c r="F46" t="str">
        <f>IFERROR(IF(D46="","",VLOOKUP(D46,CadProd!$A:$C,3,0)),"")</f>
        <v/>
      </c>
      <c r="I46" s="1" t="str">
        <f t="shared" si="0"/>
        <v/>
      </c>
    </row>
    <row r="47" spans="5:9" x14ac:dyDescent="0.3">
      <c r="E47" t="str">
        <f>IFERROR(IF(D47="","",VLOOKUP(D47,CadProd!$A:$B,2,0)),"")</f>
        <v/>
      </c>
      <c r="F47" t="str">
        <f>IFERROR(IF(D47="","",VLOOKUP(D47,CadProd!$A:$C,3,0)),"")</f>
        <v/>
      </c>
      <c r="I47" s="1" t="str">
        <f t="shared" si="0"/>
        <v/>
      </c>
    </row>
    <row r="48" spans="5:9" x14ac:dyDescent="0.3">
      <c r="E48" t="str">
        <f>IFERROR(IF(D48="","",VLOOKUP(D48,CadProd!$A:$B,2,0)),"")</f>
        <v/>
      </c>
      <c r="F48" t="str">
        <f>IFERROR(IF(D48="","",VLOOKUP(D48,CadProd!$A:$C,3,0)),"")</f>
        <v/>
      </c>
      <c r="I48" s="1" t="str">
        <f t="shared" si="0"/>
        <v/>
      </c>
    </row>
    <row r="49" spans="5:9" x14ac:dyDescent="0.3">
      <c r="E49" t="str">
        <f>IFERROR(IF(D49="","",VLOOKUP(D49,CadProd!$A:$B,2,0)),"")</f>
        <v/>
      </c>
      <c r="F49" t="str">
        <f>IFERROR(IF(D49="","",VLOOKUP(D49,CadProd!$A:$C,3,0)),"")</f>
        <v/>
      </c>
      <c r="I49" s="1" t="str">
        <f t="shared" si="0"/>
        <v/>
      </c>
    </row>
    <row r="50" spans="5:9" x14ac:dyDescent="0.3">
      <c r="E50" t="str">
        <f>IFERROR(IF(D50="","",VLOOKUP(D50,CadProd!$A:$B,2,0)),"")</f>
        <v/>
      </c>
      <c r="F50" t="str">
        <f>IFERROR(IF(D50="","",VLOOKUP(D50,CadProd!$A:$C,3,0)),"")</f>
        <v/>
      </c>
      <c r="I50" s="1" t="str">
        <f t="shared" si="0"/>
        <v/>
      </c>
    </row>
    <row r="51" spans="5:9" x14ac:dyDescent="0.3">
      <c r="E51" t="str">
        <f>IFERROR(IF(D51="","",VLOOKUP(D51,CadProd!$A:$B,2,0)),"")</f>
        <v/>
      </c>
      <c r="F51" t="str">
        <f>IFERROR(IF(D51="","",VLOOKUP(D51,CadProd!$A:$C,3,0)),"")</f>
        <v/>
      </c>
      <c r="I51" s="1" t="str">
        <f t="shared" si="0"/>
        <v/>
      </c>
    </row>
    <row r="52" spans="5:9" x14ac:dyDescent="0.3">
      <c r="E52" t="str">
        <f>IFERROR(IF(D52="","",VLOOKUP(D52,CadProd!$A:$B,2,0)),"")</f>
        <v/>
      </c>
      <c r="F52" t="str">
        <f>IFERROR(IF(D52="","",VLOOKUP(D52,CadProd!$A:$C,3,0)),"")</f>
        <v/>
      </c>
      <c r="I52" s="1" t="str">
        <f t="shared" si="0"/>
        <v/>
      </c>
    </row>
    <row r="53" spans="5:9" x14ac:dyDescent="0.3">
      <c r="E53" t="str">
        <f>IFERROR(IF(D53="","",VLOOKUP(D53,CadProd!$A:$B,2,0)),"")</f>
        <v/>
      </c>
      <c r="F53" t="str">
        <f>IFERROR(IF(D53="","",VLOOKUP(D53,CadProd!$A:$C,3,0)),"")</f>
        <v/>
      </c>
      <c r="I53" s="1" t="str">
        <f t="shared" si="0"/>
        <v/>
      </c>
    </row>
    <row r="54" spans="5:9" x14ac:dyDescent="0.3">
      <c r="E54" t="str">
        <f>IFERROR(IF(D54="","",VLOOKUP(D54,CadProd!$A:$B,2,0)),"")</f>
        <v/>
      </c>
      <c r="F54" t="str">
        <f>IFERROR(IF(D54="","",VLOOKUP(D54,CadProd!$A:$C,3,0)),"")</f>
        <v/>
      </c>
      <c r="I54" s="1" t="str">
        <f t="shared" si="0"/>
        <v/>
      </c>
    </row>
    <row r="55" spans="5:9" x14ac:dyDescent="0.3">
      <c r="E55" t="str">
        <f>IFERROR(IF(D55="","",VLOOKUP(D55,CadProd!$A:$B,2,0)),"")</f>
        <v/>
      </c>
      <c r="F55" t="str">
        <f>IFERROR(IF(D55="","",VLOOKUP(D55,CadProd!$A:$C,3,0)),"")</f>
        <v/>
      </c>
      <c r="I55" s="1" t="str">
        <f t="shared" si="0"/>
        <v/>
      </c>
    </row>
    <row r="56" spans="5:9" x14ac:dyDescent="0.3">
      <c r="E56" t="str">
        <f>IFERROR(IF(D56="","",VLOOKUP(D56,CadProd!$A:$B,2,0)),"")</f>
        <v/>
      </c>
      <c r="F56" t="str">
        <f>IFERROR(IF(D56="","",VLOOKUP(D56,CadProd!$A:$C,3,0)),"")</f>
        <v/>
      </c>
      <c r="I56" s="1" t="str">
        <f t="shared" si="0"/>
        <v/>
      </c>
    </row>
    <row r="57" spans="5:9" x14ac:dyDescent="0.3">
      <c r="E57" t="str">
        <f>IFERROR(IF(D57="","",VLOOKUP(D57,CadProd!$A:$B,2,0)),"")</f>
        <v/>
      </c>
      <c r="F57" t="str">
        <f>IFERROR(IF(D57="","",VLOOKUP(D57,CadProd!$A:$C,3,0)),"")</f>
        <v/>
      </c>
      <c r="I57" s="1" t="str">
        <f t="shared" si="0"/>
        <v/>
      </c>
    </row>
    <row r="58" spans="5:9" x14ac:dyDescent="0.3">
      <c r="E58" t="str">
        <f>IFERROR(IF(D58="","",VLOOKUP(D58,CadProd!$A:$B,2,0)),"")</f>
        <v/>
      </c>
      <c r="F58" t="str">
        <f>IFERROR(IF(D58="","",VLOOKUP(D58,CadProd!$A:$C,3,0)),"")</f>
        <v/>
      </c>
      <c r="I58" s="1" t="str">
        <f t="shared" si="0"/>
        <v/>
      </c>
    </row>
    <row r="59" spans="5:9" x14ac:dyDescent="0.3">
      <c r="E59" t="str">
        <f>IFERROR(IF(D59="","",VLOOKUP(D59,CadProd!$A:$B,2,0)),"")</f>
        <v/>
      </c>
      <c r="F59" t="str">
        <f>IFERROR(IF(D59="","",VLOOKUP(D59,CadProd!$A:$C,3,0)),"")</f>
        <v/>
      </c>
      <c r="I59" s="1" t="str">
        <f t="shared" si="0"/>
        <v/>
      </c>
    </row>
    <row r="60" spans="5:9" x14ac:dyDescent="0.3">
      <c r="E60" t="str">
        <f>IFERROR(IF(D60="","",VLOOKUP(D60,CadProd!$A:$B,2,0)),"")</f>
        <v/>
      </c>
      <c r="F60" t="str">
        <f>IFERROR(IF(D60="","",VLOOKUP(D60,CadProd!$A:$C,3,0)),"")</f>
        <v/>
      </c>
      <c r="I60" s="1" t="str">
        <f t="shared" si="0"/>
        <v/>
      </c>
    </row>
    <row r="61" spans="5:9" x14ac:dyDescent="0.3">
      <c r="E61" t="str">
        <f>IFERROR(IF(D61="","",VLOOKUP(D61,CadProd!$A:$B,2,0)),"")</f>
        <v/>
      </c>
      <c r="F61" t="str">
        <f>IFERROR(IF(D61="","",VLOOKUP(D61,CadProd!$A:$C,3,0)),"")</f>
        <v/>
      </c>
      <c r="I61" s="1" t="str">
        <f t="shared" si="0"/>
        <v/>
      </c>
    </row>
    <row r="62" spans="5:9" x14ac:dyDescent="0.3">
      <c r="E62" t="str">
        <f>IFERROR(IF(D62="","",VLOOKUP(D62,CadProd!$A:$B,2,0)),"")</f>
        <v/>
      </c>
      <c r="F62" t="str">
        <f>IFERROR(IF(D62="","",VLOOKUP(D62,CadProd!$A:$C,3,0)),"")</f>
        <v/>
      </c>
      <c r="I62" s="1" t="str">
        <f t="shared" si="0"/>
        <v/>
      </c>
    </row>
    <row r="63" spans="5:9" x14ac:dyDescent="0.3">
      <c r="E63" t="str">
        <f>IFERROR(IF(D63="","",VLOOKUP(D63,CadProd!$A:$B,2,0)),"")</f>
        <v/>
      </c>
      <c r="F63" t="str">
        <f>IFERROR(IF(D63="","",VLOOKUP(D63,CadProd!$A:$C,3,0)),"")</f>
        <v/>
      </c>
      <c r="I63" s="1" t="str">
        <f t="shared" si="0"/>
        <v/>
      </c>
    </row>
    <row r="64" spans="5:9" x14ac:dyDescent="0.3">
      <c r="E64" t="str">
        <f>IFERROR(IF(D64="","",VLOOKUP(D64,CadProd!$A:$B,2,0)),"")</f>
        <v/>
      </c>
      <c r="F64" t="str">
        <f>IFERROR(IF(D64="","",VLOOKUP(D64,CadProd!$A:$C,3,0)),"")</f>
        <v/>
      </c>
      <c r="I64" s="1" t="str">
        <f t="shared" si="0"/>
        <v/>
      </c>
    </row>
    <row r="65" spans="5:9" x14ac:dyDescent="0.3">
      <c r="E65" t="str">
        <f>IFERROR(IF(D65="","",VLOOKUP(D65,CadProd!$A:$B,2,0)),"")</f>
        <v/>
      </c>
      <c r="F65" t="str">
        <f>IFERROR(IF(D65="","",VLOOKUP(D65,CadProd!$A:$C,3,0)),"")</f>
        <v/>
      </c>
      <c r="I65" s="1" t="str">
        <f t="shared" si="0"/>
        <v/>
      </c>
    </row>
    <row r="66" spans="5:9" x14ac:dyDescent="0.3">
      <c r="E66" t="str">
        <f>IFERROR(IF(D66="","",VLOOKUP(D66,CadProd!$A:$B,2,0)),"")</f>
        <v/>
      </c>
      <c r="F66" t="str">
        <f>IFERROR(IF(D66="","",VLOOKUP(D66,CadProd!$A:$C,3,0)),"")</f>
        <v/>
      </c>
      <c r="I66" s="1" t="str">
        <f t="shared" ref="I66:I129" si="1">IFERROR(IF(D66="","",H66*G66),"")</f>
        <v/>
      </c>
    </row>
    <row r="67" spans="5:9" x14ac:dyDescent="0.3">
      <c r="E67" t="str">
        <f>IFERROR(IF(D67="","",VLOOKUP(D67,CadProd!$A:$B,2,0)),"")</f>
        <v/>
      </c>
      <c r="F67" t="str">
        <f>IFERROR(IF(D67="","",VLOOKUP(D67,CadProd!$A:$C,3,0)),"")</f>
        <v/>
      </c>
      <c r="I67" s="1" t="str">
        <f t="shared" si="1"/>
        <v/>
      </c>
    </row>
    <row r="68" spans="5:9" x14ac:dyDescent="0.3">
      <c r="E68" t="str">
        <f>IFERROR(IF(D68="","",VLOOKUP(D68,CadProd!$A:$B,2,0)),"")</f>
        <v/>
      </c>
      <c r="F68" t="str">
        <f>IFERROR(IF(D68="","",VLOOKUP(D68,CadProd!$A:$C,3,0)),"")</f>
        <v/>
      </c>
      <c r="I68" s="1" t="str">
        <f t="shared" si="1"/>
        <v/>
      </c>
    </row>
    <row r="69" spans="5:9" x14ac:dyDescent="0.3">
      <c r="E69" t="str">
        <f>IFERROR(IF(D69="","",VLOOKUP(D69,CadProd!$A:$B,2,0)),"")</f>
        <v/>
      </c>
      <c r="F69" t="str">
        <f>IFERROR(IF(D69="","",VLOOKUP(D69,CadProd!$A:$C,3,0)),"")</f>
        <v/>
      </c>
      <c r="I69" s="1" t="str">
        <f t="shared" si="1"/>
        <v/>
      </c>
    </row>
    <row r="70" spans="5:9" x14ac:dyDescent="0.3">
      <c r="E70" t="str">
        <f>IFERROR(IF(D70="","",VLOOKUP(D70,CadProd!$A:$B,2,0)),"")</f>
        <v/>
      </c>
      <c r="F70" t="str">
        <f>IFERROR(IF(D70="","",VLOOKUP(D70,CadProd!$A:$C,3,0)),"")</f>
        <v/>
      </c>
      <c r="I70" s="1" t="str">
        <f t="shared" si="1"/>
        <v/>
      </c>
    </row>
    <row r="71" spans="5:9" x14ac:dyDescent="0.3">
      <c r="E71" t="str">
        <f>IFERROR(IF(D71="","",VLOOKUP(D71,CadProd!$A:$B,2,0)),"")</f>
        <v/>
      </c>
      <c r="F71" t="str">
        <f>IFERROR(IF(D71="","",VLOOKUP(D71,CadProd!$A:$C,3,0)),"")</f>
        <v/>
      </c>
      <c r="I71" s="1" t="str">
        <f t="shared" si="1"/>
        <v/>
      </c>
    </row>
    <row r="72" spans="5:9" x14ac:dyDescent="0.3">
      <c r="E72" t="str">
        <f>IFERROR(IF(D72="","",VLOOKUP(D72,CadProd!$A:$B,2,0)),"")</f>
        <v/>
      </c>
      <c r="F72" t="str">
        <f>IFERROR(IF(D72="","",VLOOKUP(D72,CadProd!$A:$C,3,0)),"")</f>
        <v/>
      </c>
      <c r="I72" s="1" t="str">
        <f t="shared" si="1"/>
        <v/>
      </c>
    </row>
    <row r="73" spans="5:9" x14ac:dyDescent="0.3">
      <c r="E73" t="str">
        <f>IFERROR(IF(D73="","",VLOOKUP(D73,CadProd!$A:$B,2,0)),"")</f>
        <v/>
      </c>
      <c r="F73" t="str">
        <f>IFERROR(IF(D73="","",VLOOKUP(D73,CadProd!$A:$C,3,0)),"")</f>
        <v/>
      </c>
      <c r="I73" s="1" t="str">
        <f t="shared" si="1"/>
        <v/>
      </c>
    </row>
    <row r="74" spans="5:9" x14ac:dyDescent="0.3">
      <c r="E74" t="str">
        <f>IFERROR(IF(D74="","",VLOOKUP(D74,CadProd!$A:$B,2,0)),"")</f>
        <v/>
      </c>
      <c r="F74" t="str">
        <f>IFERROR(IF(D74="","",VLOOKUP(D74,CadProd!$A:$C,3,0)),"")</f>
        <v/>
      </c>
      <c r="I74" s="1" t="str">
        <f t="shared" si="1"/>
        <v/>
      </c>
    </row>
    <row r="75" spans="5:9" x14ac:dyDescent="0.3">
      <c r="E75" t="str">
        <f>IFERROR(IF(D75="","",VLOOKUP(D75,CadProd!$A:$B,2,0)),"")</f>
        <v/>
      </c>
      <c r="F75" t="str">
        <f>IFERROR(IF(D75="","",VLOOKUP(D75,CadProd!$A:$C,3,0)),"")</f>
        <v/>
      </c>
      <c r="I75" s="1" t="str">
        <f t="shared" si="1"/>
        <v/>
      </c>
    </row>
    <row r="76" spans="5:9" x14ac:dyDescent="0.3">
      <c r="E76" t="str">
        <f>IFERROR(IF(D76="","",VLOOKUP(D76,CadProd!$A:$B,2,0)),"")</f>
        <v/>
      </c>
      <c r="F76" t="str">
        <f>IFERROR(IF(D76="","",VLOOKUP(D76,CadProd!$A:$C,3,0)),"")</f>
        <v/>
      </c>
      <c r="I76" s="1" t="str">
        <f t="shared" si="1"/>
        <v/>
      </c>
    </row>
    <row r="77" spans="5:9" x14ac:dyDescent="0.3">
      <c r="E77" t="str">
        <f>IFERROR(IF(D77="","",VLOOKUP(D77,CadProd!$A:$B,2,0)),"")</f>
        <v/>
      </c>
      <c r="F77" t="str">
        <f>IFERROR(IF(D77="","",VLOOKUP(D77,CadProd!$A:$C,3,0)),"")</f>
        <v/>
      </c>
      <c r="I77" s="1" t="str">
        <f t="shared" si="1"/>
        <v/>
      </c>
    </row>
    <row r="78" spans="5:9" x14ac:dyDescent="0.3">
      <c r="E78" t="str">
        <f>IFERROR(IF(D78="","",VLOOKUP(D78,CadProd!$A:$B,2,0)),"")</f>
        <v/>
      </c>
      <c r="F78" t="str">
        <f>IFERROR(IF(D78="","",VLOOKUP(D78,CadProd!$A:$C,3,0)),"")</f>
        <v/>
      </c>
      <c r="I78" s="1" t="str">
        <f t="shared" si="1"/>
        <v/>
      </c>
    </row>
    <row r="79" spans="5:9" x14ac:dyDescent="0.3">
      <c r="E79" t="str">
        <f>IFERROR(IF(D79="","",VLOOKUP(D79,CadProd!$A:$B,2,0)),"")</f>
        <v/>
      </c>
      <c r="F79" t="str">
        <f>IFERROR(IF(D79="","",VLOOKUP(D79,CadProd!$A:$C,3,0)),"")</f>
        <v/>
      </c>
      <c r="I79" s="1" t="str">
        <f t="shared" si="1"/>
        <v/>
      </c>
    </row>
    <row r="80" spans="5:9" x14ac:dyDescent="0.3">
      <c r="E80" t="str">
        <f>IFERROR(IF(D80="","",VLOOKUP(D80,CadProd!$A:$B,2,0)),"")</f>
        <v/>
      </c>
      <c r="F80" t="str">
        <f>IFERROR(IF(D80="","",VLOOKUP(D80,CadProd!$A:$C,3,0)),"")</f>
        <v/>
      </c>
      <c r="I80" s="1" t="str">
        <f t="shared" si="1"/>
        <v/>
      </c>
    </row>
    <row r="81" spans="5:9" x14ac:dyDescent="0.3">
      <c r="E81" t="str">
        <f>IFERROR(IF(D81="","",VLOOKUP(D81,CadProd!$A:$B,2,0)),"")</f>
        <v/>
      </c>
      <c r="F81" t="str">
        <f>IFERROR(IF(D81="","",VLOOKUP(D81,CadProd!$A:$C,3,0)),"")</f>
        <v/>
      </c>
      <c r="I81" s="1" t="str">
        <f t="shared" si="1"/>
        <v/>
      </c>
    </row>
    <row r="82" spans="5:9" x14ac:dyDescent="0.3">
      <c r="E82" t="str">
        <f>IFERROR(IF(D82="","",VLOOKUP(D82,CadProd!$A:$B,2,0)),"")</f>
        <v/>
      </c>
      <c r="F82" t="str">
        <f>IFERROR(IF(D82="","",VLOOKUP(D82,CadProd!$A:$C,3,0)),"")</f>
        <v/>
      </c>
      <c r="I82" s="1" t="str">
        <f t="shared" si="1"/>
        <v/>
      </c>
    </row>
    <row r="83" spans="5:9" x14ac:dyDescent="0.3">
      <c r="E83" t="str">
        <f>IFERROR(IF(D83="","",VLOOKUP(D83,CadProd!$A:$B,2,0)),"")</f>
        <v/>
      </c>
      <c r="F83" t="str">
        <f>IFERROR(IF(D83="","",VLOOKUP(D83,CadProd!$A:$C,3,0)),"")</f>
        <v/>
      </c>
      <c r="I83" s="1" t="str">
        <f t="shared" si="1"/>
        <v/>
      </c>
    </row>
    <row r="84" spans="5:9" x14ac:dyDescent="0.3">
      <c r="E84" t="str">
        <f>IFERROR(IF(D84="","",VLOOKUP(D84,CadProd!$A:$B,2,0)),"")</f>
        <v/>
      </c>
      <c r="F84" t="str">
        <f>IFERROR(IF(D84="","",VLOOKUP(D84,CadProd!$A:$C,3,0)),"")</f>
        <v/>
      </c>
      <c r="I84" s="1" t="str">
        <f t="shared" si="1"/>
        <v/>
      </c>
    </row>
    <row r="85" spans="5:9" x14ac:dyDescent="0.3">
      <c r="E85" t="str">
        <f>IFERROR(IF(D85="","",VLOOKUP(D85,CadProd!$A:$B,2,0)),"")</f>
        <v/>
      </c>
      <c r="F85" t="str">
        <f>IFERROR(IF(D85="","",VLOOKUP(D85,CadProd!$A:$C,3,0)),"")</f>
        <v/>
      </c>
      <c r="I85" s="1" t="str">
        <f t="shared" si="1"/>
        <v/>
      </c>
    </row>
    <row r="86" spans="5:9" x14ac:dyDescent="0.3">
      <c r="E86" t="str">
        <f>IFERROR(IF(D86="","",VLOOKUP(D86,CadProd!$A:$B,2,0)),"")</f>
        <v/>
      </c>
      <c r="F86" t="str">
        <f>IFERROR(IF(D86="","",VLOOKUP(D86,CadProd!$A:$C,3,0)),"")</f>
        <v/>
      </c>
      <c r="I86" s="1" t="str">
        <f t="shared" si="1"/>
        <v/>
      </c>
    </row>
    <row r="87" spans="5:9" x14ac:dyDescent="0.3">
      <c r="E87" t="str">
        <f>IFERROR(IF(D87="","",VLOOKUP(D87,CadProd!$A:$B,2,0)),"")</f>
        <v/>
      </c>
      <c r="F87" t="str">
        <f>IFERROR(IF(D87="","",VLOOKUP(D87,CadProd!$A:$C,3,0)),"")</f>
        <v/>
      </c>
      <c r="I87" s="1" t="str">
        <f t="shared" si="1"/>
        <v/>
      </c>
    </row>
    <row r="88" spans="5:9" x14ac:dyDescent="0.3">
      <c r="E88" t="str">
        <f>IFERROR(IF(D88="","",VLOOKUP(D88,CadProd!$A:$B,2,0)),"")</f>
        <v/>
      </c>
      <c r="F88" t="str">
        <f>IFERROR(IF(D88="","",VLOOKUP(D88,CadProd!$A:$C,3,0)),"")</f>
        <v/>
      </c>
      <c r="I88" s="1" t="str">
        <f t="shared" si="1"/>
        <v/>
      </c>
    </row>
    <row r="89" spans="5:9" x14ac:dyDescent="0.3">
      <c r="E89" t="str">
        <f>IFERROR(IF(D89="","",VLOOKUP(D89,CadProd!$A:$B,2,0)),"")</f>
        <v/>
      </c>
      <c r="F89" t="str">
        <f>IFERROR(IF(D89="","",VLOOKUP(D89,CadProd!$A:$C,3,0)),"")</f>
        <v/>
      </c>
      <c r="I89" s="1" t="str">
        <f t="shared" si="1"/>
        <v/>
      </c>
    </row>
    <row r="90" spans="5:9" x14ac:dyDescent="0.3">
      <c r="E90" t="str">
        <f>IFERROR(IF(D90="","",VLOOKUP(D90,CadProd!$A:$B,2,0)),"")</f>
        <v/>
      </c>
      <c r="F90" t="str">
        <f>IFERROR(IF(D90="","",VLOOKUP(D90,CadProd!$A:$C,3,0)),"")</f>
        <v/>
      </c>
      <c r="I90" s="1" t="str">
        <f t="shared" si="1"/>
        <v/>
      </c>
    </row>
    <row r="91" spans="5:9" x14ac:dyDescent="0.3">
      <c r="E91" t="str">
        <f>IFERROR(IF(D91="","",VLOOKUP(D91,CadProd!$A:$B,2,0)),"")</f>
        <v/>
      </c>
      <c r="F91" t="str">
        <f>IFERROR(IF(D91="","",VLOOKUP(D91,CadProd!$A:$C,3,0)),"")</f>
        <v/>
      </c>
      <c r="I91" s="1" t="str">
        <f t="shared" si="1"/>
        <v/>
      </c>
    </row>
    <row r="92" spans="5:9" x14ac:dyDescent="0.3">
      <c r="E92" t="str">
        <f>IFERROR(IF(D92="","",VLOOKUP(D92,CadProd!$A:$B,2,0)),"")</f>
        <v/>
      </c>
      <c r="F92" t="str">
        <f>IFERROR(IF(D92="","",VLOOKUP(D92,CadProd!$A:$C,3,0)),"")</f>
        <v/>
      </c>
      <c r="I92" s="1" t="str">
        <f t="shared" si="1"/>
        <v/>
      </c>
    </row>
    <row r="93" spans="5:9" x14ac:dyDescent="0.3">
      <c r="E93" t="str">
        <f>IFERROR(IF(D93="","",VLOOKUP(D93,CadProd!$A:$B,2,0)),"")</f>
        <v/>
      </c>
      <c r="F93" t="str">
        <f>IFERROR(IF(D93="","",VLOOKUP(D93,CadProd!$A:$C,3,0)),"")</f>
        <v/>
      </c>
      <c r="I93" s="1" t="str">
        <f t="shared" si="1"/>
        <v/>
      </c>
    </row>
    <row r="94" spans="5:9" x14ac:dyDescent="0.3">
      <c r="E94" t="str">
        <f>IFERROR(IF(D94="","",VLOOKUP(D94,CadProd!$A:$B,2,0)),"")</f>
        <v/>
      </c>
      <c r="F94" t="str">
        <f>IFERROR(IF(D94="","",VLOOKUP(D94,CadProd!$A:$C,3,0)),"")</f>
        <v/>
      </c>
      <c r="I94" s="1" t="str">
        <f t="shared" si="1"/>
        <v/>
      </c>
    </row>
    <row r="95" spans="5:9" x14ac:dyDescent="0.3">
      <c r="E95" t="str">
        <f>IFERROR(IF(D95="","",VLOOKUP(D95,CadProd!$A:$B,2,0)),"")</f>
        <v/>
      </c>
      <c r="F95" t="str">
        <f>IFERROR(IF(D95="","",VLOOKUP(D95,CadProd!$A:$C,3,0)),"")</f>
        <v/>
      </c>
      <c r="I95" s="1" t="str">
        <f t="shared" si="1"/>
        <v/>
      </c>
    </row>
    <row r="96" spans="5:9" x14ac:dyDescent="0.3">
      <c r="E96" t="str">
        <f>IFERROR(IF(D96="","",VLOOKUP(D96,CadProd!$A:$B,2,0)),"")</f>
        <v/>
      </c>
      <c r="F96" t="str">
        <f>IFERROR(IF(D96="","",VLOOKUP(D96,CadProd!$A:$C,3,0)),"")</f>
        <v/>
      </c>
      <c r="I96" s="1" t="str">
        <f t="shared" si="1"/>
        <v/>
      </c>
    </row>
    <row r="97" spans="5:9" x14ac:dyDescent="0.3">
      <c r="E97" t="str">
        <f>IFERROR(IF(D97="","",VLOOKUP(D97,CadProd!$A:$B,2,0)),"")</f>
        <v/>
      </c>
      <c r="F97" t="str">
        <f>IFERROR(IF(D97="","",VLOOKUP(D97,CadProd!$A:$C,3,0)),"")</f>
        <v/>
      </c>
      <c r="I97" s="1" t="str">
        <f t="shared" si="1"/>
        <v/>
      </c>
    </row>
    <row r="98" spans="5:9" x14ac:dyDescent="0.3">
      <c r="E98" t="str">
        <f>IFERROR(IF(D98="","",VLOOKUP(D98,CadProd!$A:$B,2,0)),"")</f>
        <v/>
      </c>
      <c r="F98" t="str">
        <f>IFERROR(IF(D98="","",VLOOKUP(D98,CadProd!$A:$C,3,0)),"")</f>
        <v/>
      </c>
      <c r="I98" s="1" t="str">
        <f t="shared" si="1"/>
        <v/>
      </c>
    </row>
    <row r="99" spans="5:9" x14ac:dyDescent="0.3">
      <c r="E99" t="str">
        <f>IFERROR(IF(D99="","",VLOOKUP(D99,CadProd!$A:$B,2,0)),"")</f>
        <v/>
      </c>
      <c r="F99" t="str">
        <f>IFERROR(IF(D99="","",VLOOKUP(D99,CadProd!$A:$C,3,0)),"")</f>
        <v/>
      </c>
      <c r="I99" s="1" t="str">
        <f t="shared" si="1"/>
        <v/>
      </c>
    </row>
    <row r="100" spans="5:9" x14ac:dyDescent="0.3">
      <c r="E100" t="str">
        <f>IFERROR(IF(D100="","",VLOOKUP(D100,CadProd!$A:$B,2,0)),"")</f>
        <v/>
      </c>
      <c r="F100" t="str">
        <f>IFERROR(IF(D100="","",VLOOKUP(D100,CadProd!$A:$C,3,0)),"")</f>
        <v/>
      </c>
      <c r="I100" s="1" t="str">
        <f t="shared" si="1"/>
        <v/>
      </c>
    </row>
    <row r="101" spans="5:9" x14ac:dyDescent="0.3">
      <c r="E101" t="str">
        <f>IFERROR(IF(D101="","",VLOOKUP(D101,CadProd!$A:$B,2,0)),"")</f>
        <v/>
      </c>
      <c r="F101" t="str">
        <f>IFERROR(IF(D101="","",VLOOKUP(D101,CadProd!$A:$C,3,0)),"")</f>
        <v/>
      </c>
      <c r="I101" s="1" t="str">
        <f t="shared" si="1"/>
        <v/>
      </c>
    </row>
    <row r="102" spans="5:9" x14ac:dyDescent="0.3">
      <c r="E102" t="str">
        <f>IFERROR(IF(D102="","",VLOOKUP(D102,CadProd!$A:$B,2,0)),"")</f>
        <v/>
      </c>
      <c r="F102" t="str">
        <f>IFERROR(IF(D102="","",VLOOKUP(D102,CadProd!$A:$C,3,0)),"")</f>
        <v/>
      </c>
      <c r="I102" s="1" t="str">
        <f t="shared" si="1"/>
        <v/>
      </c>
    </row>
    <row r="103" spans="5:9" x14ac:dyDescent="0.3">
      <c r="E103" t="str">
        <f>IFERROR(IF(D103="","",VLOOKUP(D103,CadProd!$A:$B,2,0)),"")</f>
        <v/>
      </c>
      <c r="F103" t="str">
        <f>IFERROR(IF(D103="","",VLOOKUP(D103,CadProd!$A:$C,3,0)),"")</f>
        <v/>
      </c>
      <c r="I103" s="1" t="str">
        <f t="shared" si="1"/>
        <v/>
      </c>
    </row>
    <row r="104" spans="5:9" x14ac:dyDescent="0.3">
      <c r="E104" t="str">
        <f>IFERROR(IF(D104="","",VLOOKUP(D104,CadProd!$A:$B,2,0)),"")</f>
        <v/>
      </c>
      <c r="F104" t="str">
        <f>IFERROR(IF(D104="","",VLOOKUP(D104,CadProd!$A:$C,3,0)),"")</f>
        <v/>
      </c>
      <c r="I104" s="1" t="str">
        <f t="shared" si="1"/>
        <v/>
      </c>
    </row>
    <row r="105" spans="5:9" x14ac:dyDescent="0.3">
      <c r="E105" t="str">
        <f>IFERROR(IF(D105="","",VLOOKUP(D105,CadProd!$A:$B,2,0)),"")</f>
        <v/>
      </c>
      <c r="F105" t="str">
        <f>IFERROR(IF(D105="","",VLOOKUP(D105,CadProd!$A:$C,3,0)),"")</f>
        <v/>
      </c>
      <c r="I105" s="1" t="str">
        <f t="shared" si="1"/>
        <v/>
      </c>
    </row>
    <row r="106" spans="5:9" x14ac:dyDescent="0.3">
      <c r="E106" t="str">
        <f>IFERROR(IF(D106="","",VLOOKUP(D106,CadProd!$A:$B,2,0)),"")</f>
        <v/>
      </c>
      <c r="F106" t="str">
        <f>IFERROR(IF(D106="","",VLOOKUP(D106,CadProd!$A:$C,3,0)),"")</f>
        <v/>
      </c>
      <c r="I106" s="1" t="str">
        <f t="shared" si="1"/>
        <v/>
      </c>
    </row>
    <row r="107" spans="5:9" x14ac:dyDescent="0.3">
      <c r="E107" t="str">
        <f>IFERROR(IF(D107="","",VLOOKUP(D107,CadProd!$A:$B,2,0)),"")</f>
        <v/>
      </c>
      <c r="F107" t="str">
        <f>IFERROR(IF(D107="","",VLOOKUP(D107,CadProd!$A:$C,3,0)),"")</f>
        <v/>
      </c>
      <c r="I107" s="1" t="str">
        <f t="shared" si="1"/>
        <v/>
      </c>
    </row>
    <row r="108" spans="5:9" x14ac:dyDescent="0.3">
      <c r="E108" t="str">
        <f>IFERROR(IF(D108="","",VLOOKUP(D108,CadProd!$A:$B,2,0)),"")</f>
        <v/>
      </c>
      <c r="F108" t="str">
        <f>IFERROR(IF(D108="","",VLOOKUP(D108,CadProd!$A:$C,3,0)),"")</f>
        <v/>
      </c>
      <c r="I108" s="1" t="str">
        <f t="shared" si="1"/>
        <v/>
      </c>
    </row>
    <row r="109" spans="5:9" x14ac:dyDescent="0.3">
      <c r="E109" t="str">
        <f>IFERROR(IF(D109="","",VLOOKUP(D109,CadProd!$A:$B,2,0)),"")</f>
        <v/>
      </c>
      <c r="F109" t="str">
        <f>IFERROR(IF(D109="","",VLOOKUP(D109,CadProd!$A:$C,3,0)),"")</f>
        <v/>
      </c>
      <c r="I109" s="1" t="str">
        <f t="shared" si="1"/>
        <v/>
      </c>
    </row>
    <row r="110" spans="5:9" x14ac:dyDescent="0.3">
      <c r="E110" t="str">
        <f>IFERROR(IF(D110="","",VLOOKUP(D110,CadProd!$A:$B,2,0)),"")</f>
        <v/>
      </c>
      <c r="F110" t="str">
        <f>IFERROR(IF(D110="","",VLOOKUP(D110,CadProd!$A:$C,3,0)),"")</f>
        <v/>
      </c>
      <c r="I110" s="1" t="str">
        <f t="shared" si="1"/>
        <v/>
      </c>
    </row>
    <row r="111" spans="5:9" x14ac:dyDescent="0.3">
      <c r="E111" t="str">
        <f>IFERROR(IF(D111="","",VLOOKUP(D111,CadProd!$A:$B,2,0)),"")</f>
        <v/>
      </c>
      <c r="F111" t="str">
        <f>IFERROR(IF(D111="","",VLOOKUP(D111,CadProd!$A:$C,3,0)),"")</f>
        <v/>
      </c>
      <c r="I111" s="1" t="str">
        <f t="shared" si="1"/>
        <v/>
      </c>
    </row>
    <row r="112" spans="5:9" x14ac:dyDescent="0.3">
      <c r="E112" t="str">
        <f>IFERROR(IF(D112="","",VLOOKUP(D112,CadProd!$A:$B,2,0)),"")</f>
        <v/>
      </c>
      <c r="F112" t="str">
        <f>IFERROR(IF(D112="","",VLOOKUP(D112,CadProd!$A:$C,3,0)),"")</f>
        <v/>
      </c>
      <c r="I112" s="1" t="str">
        <f t="shared" si="1"/>
        <v/>
      </c>
    </row>
    <row r="113" spans="5:9" x14ac:dyDescent="0.3">
      <c r="E113" t="str">
        <f>IFERROR(IF(D113="","",VLOOKUP(D113,CadProd!$A:$B,2,0)),"")</f>
        <v/>
      </c>
      <c r="F113" t="str">
        <f>IFERROR(IF(D113="","",VLOOKUP(D113,CadProd!$A:$C,3,0)),"")</f>
        <v/>
      </c>
      <c r="I113" s="1" t="str">
        <f t="shared" si="1"/>
        <v/>
      </c>
    </row>
    <row r="114" spans="5:9" x14ac:dyDescent="0.3">
      <c r="E114" t="str">
        <f>IFERROR(IF(D114="","",VLOOKUP(D114,CadProd!$A:$B,2,0)),"")</f>
        <v/>
      </c>
      <c r="F114" t="str">
        <f>IFERROR(IF(D114="","",VLOOKUP(D114,CadProd!$A:$C,3,0)),"")</f>
        <v/>
      </c>
      <c r="I114" s="1" t="str">
        <f t="shared" si="1"/>
        <v/>
      </c>
    </row>
    <row r="115" spans="5:9" x14ac:dyDescent="0.3">
      <c r="E115" t="str">
        <f>IFERROR(IF(D115="","",VLOOKUP(D115,CadProd!$A:$B,2,0)),"")</f>
        <v/>
      </c>
      <c r="F115" t="str">
        <f>IFERROR(IF(D115="","",VLOOKUP(D115,CadProd!$A:$C,3,0)),"")</f>
        <v/>
      </c>
      <c r="I115" s="1" t="str">
        <f t="shared" si="1"/>
        <v/>
      </c>
    </row>
    <row r="116" spans="5:9" x14ac:dyDescent="0.3">
      <c r="E116" t="str">
        <f>IFERROR(IF(D116="","",VLOOKUP(D116,CadProd!$A:$B,2,0)),"")</f>
        <v/>
      </c>
      <c r="F116" t="str">
        <f>IFERROR(IF(D116="","",VLOOKUP(D116,CadProd!$A:$C,3,0)),"")</f>
        <v/>
      </c>
      <c r="I116" s="1" t="str">
        <f t="shared" si="1"/>
        <v/>
      </c>
    </row>
    <row r="117" spans="5:9" x14ac:dyDescent="0.3">
      <c r="E117" t="str">
        <f>IFERROR(IF(D117="","",VLOOKUP(D117,CadProd!$A:$B,2,0)),"")</f>
        <v/>
      </c>
      <c r="F117" t="str">
        <f>IFERROR(IF(D117="","",VLOOKUP(D117,CadProd!$A:$C,3,0)),"")</f>
        <v/>
      </c>
      <c r="I117" s="1" t="str">
        <f t="shared" si="1"/>
        <v/>
      </c>
    </row>
    <row r="118" spans="5:9" x14ac:dyDescent="0.3">
      <c r="E118" t="str">
        <f>IFERROR(IF(D118="","",VLOOKUP(D118,CadProd!$A:$B,2,0)),"")</f>
        <v/>
      </c>
      <c r="F118" t="str">
        <f>IFERROR(IF(D118="","",VLOOKUP(D118,CadProd!$A:$C,3,0)),"")</f>
        <v/>
      </c>
      <c r="I118" s="1" t="str">
        <f t="shared" si="1"/>
        <v/>
      </c>
    </row>
    <row r="119" spans="5:9" x14ac:dyDescent="0.3">
      <c r="E119" t="str">
        <f>IFERROR(IF(D119="","",VLOOKUP(D119,CadProd!$A:$B,2,0)),"")</f>
        <v/>
      </c>
      <c r="F119" t="str">
        <f>IFERROR(IF(D119="","",VLOOKUP(D119,CadProd!$A:$C,3,0)),"")</f>
        <v/>
      </c>
      <c r="I119" s="1" t="str">
        <f t="shared" si="1"/>
        <v/>
      </c>
    </row>
    <row r="120" spans="5:9" x14ac:dyDescent="0.3">
      <c r="E120" t="str">
        <f>IFERROR(IF(D120="","",VLOOKUP(D120,CadProd!$A:$B,2,0)),"")</f>
        <v/>
      </c>
      <c r="F120" t="str">
        <f>IFERROR(IF(D120="","",VLOOKUP(D120,CadProd!$A:$C,3,0)),"")</f>
        <v/>
      </c>
      <c r="I120" s="1" t="str">
        <f t="shared" si="1"/>
        <v/>
      </c>
    </row>
    <row r="121" spans="5:9" x14ac:dyDescent="0.3">
      <c r="E121" t="str">
        <f>IFERROR(IF(D121="","",VLOOKUP(D121,CadProd!$A:$B,2,0)),"")</f>
        <v/>
      </c>
      <c r="F121" t="str">
        <f>IFERROR(IF(D121="","",VLOOKUP(D121,CadProd!$A:$C,3,0)),"")</f>
        <v/>
      </c>
      <c r="I121" s="1" t="str">
        <f t="shared" si="1"/>
        <v/>
      </c>
    </row>
    <row r="122" spans="5:9" x14ac:dyDescent="0.3">
      <c r="E122" t="str">
        <f>IFERROR(IF(D122="","",VLOOKUP(D122,CadProd!$A:$B,2,0)),"")</f>
        <v/>
      </c>
      <c r="F122" t="str">
        <f>IFERROR(IF(D122="","",VLOOKUP(D122,CadProd!$A:$C,3,0)),"")</f>
        <v/>
      </c>
      <c r="I122" s="1" t="str">
        <f t="shared" si="1"/>
        <v/>
      </c>
    </row>
    <row r="123" spans="5:9" x14ac:dyDescent="0.3">
      <c r="E123" t="str">
        <f>IFERROR(IF(D123="","",VLOOKUP(D123,CadProd!$A:$B,2,0)),"")</f>
        <v/>
      </c>
      <c r="F123" t="str">
        <f>IFERROR(IF(D123="","",VLOOKUP(D123,CadProd!$A:$C,3,0)),"")</f>
        <v/>
      </c>
      <c r="I123" s="1" t="str">
        <f t="shared" si="1"/>
        <v/>
      </c>
    </row>
    <row r="124" spans="5:9" x14ac:dyDescent="0.3">
      <c r="E124" t="str">
        <f>IFERROR(IF(D124="","",VLOOKUP(D124,CadProd!$A:$B,2,0)),"")</f>
        <v/>
      </c>
      <c r="F124" t="str">
        <f>IFERROR(IF(D124="","",VLOOKUP(D124,CadProd!$A:$C,3,0)),"")</f>
        <v/>
      </c>
      <c r="I124" s="1" t="str">
        <f t="shared" si="1"/>
        <v/>
      </c>
    </row>
    <row r="125" spans="5:9" x14ac:dyDescent="0.3">
      <c r="E125" t="str">
        <f>IFERROR(IF(D125="","",VLOOKUP(D125,CadProd!$A:$B,2,0)),"")</f>
        <v/>
      </c>
      <c r="F125" t="str">
        <f>IFERROR(IF(D125="","",VLOOKUP(D125,CadProd!$A:$C,3,0)),"")</f>
        <v/>
      </c>
      <c r="I125" s="1" t="str">
        <f t="shared" si="1"/>
        <v/>
      </c>
    </row>
    <row r="126" spans="5:9" x14ac:dyDescent="0.3">
      <c r="E126" t="str">
        <f>IFERROR(IF(D126="","",VLOOKUP(D126,CadProd!$A:$B,2,0)),"")</f>
        <v/>
      </c>
      <c r="F126" t="str">
        <f>IFERROR(IF(D126="","",VLOOKUP(D126,CadProd!$A:$C,3,0)),"")</f>
        <v/>
      </c>
      <c r="I126" s="1" t="str">
        <f t="shared" si="1"/>
        <v/>
      </c>
    </row>
    <row r="127" spans="5:9" x14ac:dyDescent="0.3">
      <c r="E127" t="str">
        <f>IFERROR(IF(D127="","",VLOOKUP(D127,CadProd!$A:$B,2,0)),"")</f>
        <v/>
      </c>
      <c r="F127" t="str">
        <f>IFERROR(IF(D127="","",VLOOKUP(D127,CadProd!$A:$C,3,0)),"")</f>
        <v/>
      </c>
      <c r="I127" s="1" t="str">
        <f t="shared" si="1"/>
        <v/>
      </c>
    </row>
    <row r="128" spans="5:9" x14ac:dyDescent="0.3">
      <c r="E128" t="str">
        <f>IFERROR(IF(D128="","",VLOOKUP(D128,CadProd!$A:$B,2,0)),"")</f>
        <v/>
      </c>
      <c r="F128" t="str">
        <f>IFERROR(IF(D128="","",VLOOKUP(D128,CadProd!$A:$C,3,0)),"")</f>
        <v/>
      </c>
      <c r="I128" s="1" t="str">
        <f t="shared" si="1"/>
        <v/>
      </c>
    </row>
    <row r="129" spans="5:9" x14ac:dyDescent="0.3">
      <c r="E129" t="str">
        <f>IFERROR(IF(D129="","",VLOOKUP(D129,CadProd!$A:$B,2,0)),"")</f>
        <v/>
      </c>
      <c r="F129" t="str">
        <f>IFERROR(IF(D129="","",VLOOKUP(D129,CadProd!$A:$C,3,0)),"")</f>
        <v/>
      </c>
      <c r="I129" s="1" t="str">
        <f t="shared" si="1"/>
        <v/>
      </c>
    </row>
    <row r="130" spans="5:9" x14ac:dyDescent="0.3">
      <c r="E130" t="str">
        <f>IFERROR(IF(D130="","",VLOOKUP(D130,CadProd!$A:$B,2,0)),"")</f>
        <v/>
      </c>
      <c r="F130" t="str">
        <f>IFERROR(IF(D130="","",VLOOKUP(D130,CadProd!$A:$C,3,0)),"")</f>
        <v/>
      </c>
      <c r="I130" s="1" t="str">
        <f t="shared" ref="I130:I193" si="2">IFERROR(IF(D130="","",H130*G130),"")</f>
        <v/>
      </c>
    </row>
    <row r="131" spans="5:9" x14ac:dyDescent="0.3">
      <c r="E131" t="str">
        <f>IFERROR(IF(D131="","",VLOOKUP(D131,CadProd!$A:$B,2,0)),"")</f>
        <v/>
      </c>
      <c r="F131" t="str">
        <f>IFERROR(IF(D131="","",VLOOKUP(D131,CadProd!$A:$C,3,0)),"")</f>
        <v/>
      </c>
      <c r="I131" s="1" t="str">
        <f t="shared" si="2"/>
        <v/>
      </c>
    </row>
    <row r="132" spans="5:9" x14ac:dyDescent="0.3">
      <c r="E132" t="str">
        <f>IFERROR(IF(D132="","",VLOOKUP(D132,CadProd!$A:$B,2,0)),"")</f>
        <v/>
      </c>
      <c r="F132" t="str">
        <f>IFERROR(IF(D132="","",VLOOKUP(D132,CadProd!$A:$C,3,0)),"")</f>
        <v/>
      </c>
      <c r="I132" s="1" t="str">
        <f t="shared" si="2"/>
        <v/>
      </c>
    </row>
    <row r="133" spans="5:9" x14ac:dyDescent="0.3">
      <c r="E133" t="str">
        <f>IFERROR(IF(D133="","",VLOOKUP(D133,CadProd!$A:$B,2,0)),"")</f>
        <v/>
      </c>
      <c r="F133" t="str">
        <f>IFERROR(IF(D133="","",VLOOKUP(D133,CadProd!$A:$C,3,0)),"")</f>
        <v/>
      </c>
      <c r="I133" s="1" t="str">
        <f t="shared" si="2"/>
        <v/>
      </c>
    </row>
    <row r="134" spans="5:9" x14ac:dyDescent="0.3">
      <c r="E134" t="str">
        <f>IFERROR(IF(D134="","",VLOOKUP(D134,CadProd!$A:$B,2,0)),"")</f>
        <v/>
      </c>
      <c r="F134" t="str">
        <f>IFERROR(IF(D134="","",VLOOKUP(D134,CadProd!$A:$C,3,0)),"")</f>
        <v/>
      </c>
      <c r="I134" s="1" t="str">
        <f t="shared" si="2"/>
        <v/>
      </c>
    </row>
    <row r="135" spans="5:9" x14ac:dyDescent="0.3">
      <c r="E135" t="str">
        <f>IFERROR(IF(D135="","",VLOOKUP(D135,CadProd!$A:$B,2,0)),"")</f>
        <v/>
      </c>
      <c r="F135" t="str">
        <f>IFERROR(IF(D135="","",VLOOKUP(D135,CadProd!$A:$C,3,0)),"")</f>
        <v/>
      </c>
      <c r="I135" s="1" t="str">
        <f t="shared" si="2"/>
        <v/>
      </c>
    </row>
    <row r="136" spans="5:9" x14ac:dyDescent="0.3">
      <c r="E136" t="str">
        <f>IFERROR(IF(D136="","",VLOOKUP(D136,CadProd!$A:$B,2,0)),"")</f>
        <v/>
      </c>
      <c r="F136" t="str">
        <f>IFERROR(IF(D136="","",VLOOKUP(D136,CadProd!$A:$C,3,0)),"")</f>
        <v/>
      </c>
      <c r="I136" s="1" t="str">
        <f t="shared" si="2"/>
        <v/>
      </c>
    </row>
    <row r="137" spans="5:9" x14ac:dyDescent="0.3">
      <c r="E137" t="str">
        <f>IFERROR(IF(D137="","",VLOOKUP(D137,CadProd!$A:$B,2,0)),"")</f>
        <v/>
      </c>
      <c r="F137" t="str">
        <f>IFERROR(IF(D137="","",VLOOKUP(D137,CadProd!$A:$C,3,0)),"")</f>
        <v/>
      </c>
      <c r="I137" s="1" t="str">
        <f t="shared" si="2"/>
        <v/>
      </c>
    </row>
    <row r="138" spans="5:9" x14ac:dyDescent="0.3">
      <c r="E138" t="str">
        <f>IFERROR(IF(D138="","",VLOOKUP(D138,CadProd!$A:$B,2,0)),"")</f>
        <v/>
      </c>
      <c r="F138" t="str">
        <f>IFERROR(IF(D138="","",VLOOKUP(D138,CadProd!$A:$C,3,0)),"")</f>
        <v/>
      </c>
      <c r="I138" s="1" t="str">
        <f t="shared" si="2"/>
        <v/>
      </c>
    </row>
    <row r="139" spans="5:9" x14ac:dyDescent="0.3">
      <c r="E139" t="str">
        <f>IFERROR(IF(D139="","",VLOOKUP(D139,CadProd!$A:$B,2,0)),"")</f>
        <v/>
      </c>
      <c r="F139" t="str">
        <f>IFERROR(IF(D139="","",VLOOKUP(D139,CadProd!$A:$C,3,0)),"")</f>
        <v/>
      </c>
      <c r="I139" s="1" t="str">
        <f t="shared" si="2"/>
        <v/>
      </c>
    </row>
    <row r="140" spans="5:9" x14ac:dyDescent="0.3">
      <c r="E140" t="str">
        <f>IFERROR(IF(D140="","",VLOOKUP(D140,CadProd!$A:$B,2,0)),"")</f>
        <v/>
      </c>
      <c r="F140" t="str">
        <f>IFERROR(IF(D140="","",VLOOKUP(D140,CadProd!$A:$C,3,0)),"")</f>
        <v/>
      </c>
      <c r="I140" s="1" t="str">
        <f t="shared" si="2"/>
        <v/>
      </c>
    </row>
    <row r="141" spans="5:9" x14ac:dyDescent="0.3">
      <c r="E141" t="str">
        <f>IFERROR(IF(D141="","",VLOOKUP(D141,CadProd!$A:$B,2,0)),"")</f>
        <v/>
      </c>
      <c r="F141" t="str">
        <f>IFERROR(IF(D141="","",VLOOKUP(D141,CadProd!$A:$C,3,0)),"")</f>
        <v/>
      </c>
      <c r="I141" s="1" t="str">
        <f t="shared" si="2"/>
        <v/>
      </c>
    </row>
    <row r="142" spans="5:9" x14ac:dyDescent="0.3">
      <c r="E142" t="str">
        <f>IFERROR(IF(D142="","",VLOOKUP(D142,CadProd!$A:$B,2,0)),"")</f>
        <v/>
      </c>
      <c r="F142" t="str">
        <f>IFERROR(IF(D142="","",VLOOKUP(D142,CadProd!$A:$C,3,0)),"")</f>
        <v/>
      </c>
      <c r="I142" s="1" t="str">
        <f t="shared" si="2"/>
        <v/>
      </c>
    </row>
    <row r="143" spans="5:9" x14ac:dyDescent="0.3">
      <c r="E143" t="str">
        <f>IFERROR(IF(D143="","",VLOOKUP(D143,CadProd!$A:$B,2,0)),"")</f>
        <v/>
      </c>
      <c r="F143" t="str">
        <f>IFERROR(IF(D143="","",VLOOKUP(D143,CadProd!$A:$C,3,0)),"")</f>
        <v/>
      </c>
      <c r="I143" s="1" t="str">
        <f t="shared" si="2"/>
        <v/>
      </c>
    </row>
    <row r="144" spans="5:9" x14ac:dyDescent="0.3">
      <c r="E144" t="str">
        <f>IFERROR(IF(D144="","",VLOOKUP(D144,CadProd!$A:$B,2,0)),"")</f>
        <v/>
      </c>
      <c r="F144" t="str">
        <f>IFERROR(IF(D144="","",VLOOKUP(D144,CadProd!$A:$C,3,0)),"")</f>
        <v/>
      </c>
      <c r="I144" s="1" t="str">
        <f t="shared" si="2"/>
        <v/>
      </c>
    </row>
    <row r="145" spans="5:9" x14ac:dyDescent="0.3">
      <c r="E145" t="str">
        <f>IFERROR(IF(D145="","",VLOOKUP(D145,CadProd!$A:$B,2,0)),"")</f>
        <v/>
      </c>
      <c r="F145" t="str">
        <f>IFERROR(IF(D145="","",VLOOKUP(D145,CadProd!$A:$C,3,0)),"")</f>
        <v/>
      </c>
      <c r="I145" s="1" t="str">
        <f t="shared" si="2"/>
        <v/>
      </c>
    </row>
    <row r="146" spans="5:9" x14ac:dyDescent="0.3">
      <c r="E146" t="str">
        <f>IFERROR(IF(D146="","",VLOOKUP(D146,CadProd!$A:$B,2,0)),"")</f>
        <v/>
      </c>
      <c r="F146" t="str">
        <f>IFERROR(IF(D146="","",VLOOKUP(D146,CadProd!$A:$C,3,0)),"")</f>
        <v/>
      </c>
      <c r="I146" s="1" t="str">
        <f t="shared" si="2"/>
        <v/>
      </c>
    </row>
    <row r="147" spans="5:9" x14ac:dyDescent="0.3">
      <c r="E147" t="str">
        <f>IFERROR(IF(D147="","",VLOOKUP(D147,CadProd!$A:$B,2,0)),"")</f>
        <v/>
      </c>
      <c r="F147" t="str">
        <f>IFERROR(IF(D147="","",VLOOKUP(D147,CadProd!$A:$C,3,0)),"")</f>
        <v/>
      </c>
      <c r="I147" s="1" t="str">
        <f t="shared" si="2"/>
        <v/>
      </c>
    </row>
    <row r="148" spans="5:9" x14ac:dyDescent="0.3">
      <c r="E148" t="str">
        <f>IFERROR(IF(D148="","",VLOOKUP(D148,CadProd!$A:$B,2,0)),"")</f>
        <v/>
      </c>
      <c r="F148" t="str">
        <f>IFERROR(IF(D148="","",VLOOKUP(D148,CadProd!$A:$C,3,0)),"")</f>
        <v/>
      </c>
      <c r="I148" s="1" t="str">
        <f t="shared" si="2"/>
        <v/>
      </c>
    </row>
    <row r="149" spans="5:9" x14ac:dyDescent="0.3">
      <c r="E149" t="str">
        <f>IFERROR(IF(D149="","",VLOOKUP(D149,CadProd!$A:$B,2,0)),"")</f>
        <v/>
      </c>
      <c r="F149" t="str">
        <f>IFERROR(IF(D149="","",VLOOKUP(D149,CadProd!$A:$C,3,0)),"")</f>
        <v/>
      </c>
      <c r="I149" s="1" t="str">
        <f t="shared" si="2"/>
        <v/>
      </c>
    </row>
    <row r="150" spans="5:9" x14ac:dyDescent="0.3">
      <c r="E150" t="str">
        <f>IFERROR(IF(D150="","",VLOOKUP(D150,CadProd!$A:$B,2,0)),"")</f>
        <v/>
      </c>
      <c r="F150" t="str">
        <f>IFERROR(IF(D150="","",VLOOKUP(D150,CadProd!$A:$C,3,0)),"")</f>
        <v/>
      </c>
      <c r="I150" s="1" t="str">
        <f t="shared" si="2"/>
        <v/>
      </c>
    </row>
    <row r="151" spans="5:9" x14ac:dyDescent="0.3">
      <c r="E151" t="str">
        <f>IFERROR(IF(D151="","",VLOOKUP(D151,CadProd!$A:$B,2,0)),"")</f>
        <v/>
      </c>
      <c r="F151" t="str">
        <f>IFERROR(IF(D151="","",VLOOKUP(D151,CadProd!$A:$C,3,0)),"")</f>
        <v/>
      </c>
      <c r="I151" s="1" t="str">
        <f t="shared" si="2"/>
        <v/>
      </c>
    </row>
    <row r="152" spans="5:9" x14ac:dyDescent="0.3">
      <c r="E152" t="str">
        <f>IFERROR(IF(D152="","",VLOOKUP(D152,CadProd!$A:$B,2,0)),"")</f>
        <v/>
      </c>
      <c r="F152" t="str">
        <f>IFERROR(IF(D152="","",VLOOKUP(D152,CadProd!$A:$C,3,0)),"")</f>
        <v/>
      </c>
      <c r="I152" s="1" t="str">
        <f t="shared" si="2"/>
        <v/>
      </c>
    </row>
    <row r="153" spans="5:9" x14ac:dyDescent="0.3">
      <c r="E153" t="str">
        <f>IFERROR(IF(D153="","",VLOOKUP(D153,CadProd!$A:$B,2,0)),"")</f>
        <v/>
      </c>
      <c r="F153" t="str">
        <f>IFERROR(IF(D153="","",VLOOKUP(D153,CadProd!$A:$C,3,0)),"")</f>
        <v/>
      </c>
      <c r="I153" s="1" t="str">
        <f t="shared" si="2"/>
        <v/>
      </c>
    </row>
    <row r="154" spans="5:9" x14ac:dyDescent="0.3">
      <c r="E154" t="str">
        <f>IFERROR(IF(D154="","",VLOOKUP(D154,CadProd!$A:$B,2,0)),"")</f>
        <v/>
      </c>
      <c r="F154" t="str">
        <f>IFERROR(IF(D154="","",VLOOKUP(D154,CadProd!$A:$C,3,0)),"")</f>
        <v/>
      </c>
      <c r="I154" s="1" t="str">
        <f t="shared" si="2"/>
        <v/>
      </c>
    </row>
    <row r="155" spans="5:9" x14ac:dyDescent="0.3">
      <c r="E155" t="str">
        <f>IFERROR(IF(D155="","",VLOOKUP(D155,CadProd!$A:$B,2,0)),"")</f>
        <v/>
      </c>
      <c r="F155" t="str">
        <f>IFERROR(IF(D155="","",VLOOKUP(D155,CadProd!$A:$C,3,0)),"")</f>
        <v/>
      </c>
      <c r="I155" s="1" t="str">
        <f t="shared" si="2"/>
        <v/>
      </c>
    </row>
    <row r="156" spans="5:9" x14ac:dyDescent="0.3">
      <c r="E156" t="str">
        <f>IFERROR(IF(D156="","",VLOOKUP(D156,CadProd!$A:$B,2,0)),"")</f>
        <v/>
      </c>
      <c r="F156" t="str">
        <f>IFERROR(IF(D156="","",VLOOKUP(D156,CadProd!$A:$C,3,0)),"")</f>
        <v/>
      </c>
      <c r="I156" s="1" t="str">
        <f t="shared" si="2"/>
        <v/>
      </c>
    </row>
    <row r="157" spans="5:9" x14ac:dyDescent="0.3">
      <c r="E157" t="str">
        <f>IFERROR(IF(D157="","",VLOOKUP(D157,CadProd!$A:$B,2,0)),"")</f>
        <v/>
      </c>
      <c r="F157" t="str">
        <f>IFERROR(IF(D157="","",VLOOKUP(D157,CadProd!$A:$C,3,0)),"")</f>
        <v/>
      </c>
      <c r="I157" s="1" t="str">
        <f t="shared" si="2"/>
        <v/>
      </c>
    </row>
    <row r="158" spans="5:9" x14ac:dyDescent="0.3">
      <c r="E158" t="str">
        <f>IFERROR(IF(D158="","",VLOOKUP(D158,CadProd!$A:$B,2,0)),"")</f>
        <v/>
      </c>
      <c r="F158" t="str">
        <f>IFERROR(IF(D158="","",VLOOKUP(D158,CadProd!$A:$C,3,0)),"")</f>
        <v/>
      </c>
      <c r="I158" s="1" t="str">
        <f t="shared" si="2"/>
        <v/>
      </c>
    </row>
    <row r="159" spans="5:9" x14ac:dyDescent="0.3">
      <c r="E159" t="str">
        <f>IFERROR(IF(D159="","",VLOOKUP(D159,CadProd!$A:$B,2,0)),"")</f>
        <v/>
      </c>
      <c r="F159" t="str">
        <f>IFERROR(IF(D159="","",VLOOKUP(D159,CadProd!$A:$C,3,0)),"")</f>
        <v/>
      </c>
      <c r="I159" s="1" t="str">
        <f t="shared" si="2"/>
        <v/>
      </c>
    </row>
    <row r="160" spans="5:9" x14ac:dyDescent="0.3">
      <c r="E160" t="str">
        <f>IFERROR(IF(D160="","",VLOOKUP(D160,CadProd!$A:$B,2,0)),"")</f>
        <v/>
      </c>
      <c r="F160" t="str">
        <f>IFERROR(IF(D160="","",VLOOKUP(D160,CadProd!$A:$C,3,0)),"")</f>
        <v/>
      </c>
      <c r="I160" s="1" t="str">
        <f t="shared" si="2"/>
        <v/>
      </c>
    </row>
    <row r="161" spans="5:9" x14ac:dyDescent="0.3">
      <c r="E161" t="str">
        <f>IFERROR(IF(D161="","",VLOOKUP(D161,CadProd!$A:$B,2,0)),"")</f>
        <v/>
      </c>
      <c r="F161" t="str">
        <f>IFERROR(IF(D161="","",VLOOKUP(D161,CadProd!$A:$C,3,0)),"")</f>
        <v/>
      </c>
      <c r="I161" s="1" t="str">
        <f t="shared" si="2"/>
        <v/>
      </c>
    </row>
    <row r="162" spans="5:9" x14ac:dyDescent="0.3">
      <c r="E162" t="str">
        <f>IFERROR(IF(D162="","",VLOOKUP(D162,CadProd!$A:$B,2,0)),"")</f>
        <v/>
      </c>
      <c r="F162" t="str">
        <f>IFERROR(IF(D162="","",VLOOKUP(D162,CadProd!$A:$C,3,0)),"")</f>
        <v/>
      </c>
      <c r="I162" s="1" t="str">
        <f t="shared" si="2"/>
        <v/>
      </c>
    </row>
    <row r="163" spans="5:9" x14ac:dyDescent="0.3">
      <c r="E163" t="str">
        <f>IFERROR(IF(D163="","",VLOOKUP(D163,CadProd!$A:$B,2,0)),"")</f>
        <v/>
      </c>
      <c r="F163" t="str">
        <f>IFERROR(IF(D163="","",VLOOKUP(D163,CadProd!$A:$C,3,0)),"")</f>
        <v/>
      </c>
      <c r="I163" s="1" t="str">
        <f t="shared" si="2"/>
        <v/>
      </c>
    </row>
    <row r="164" spans="5:9" x14ac:dyDescent="0.3">
      <c r="E164" t="str">
        <f>IFERROR(IF(D164="","",VLOOKUP(D164,CadProd!$A:$B,2,0)),"")</f>
        <v/>
      </c>
      <c r="F164" t="str">
        <f>IFERROR(IF(D164="","",VLOOKUP(D164,CadProd!$A:$C,3,0)),"")</f>
        <v/>
      </c>
      <c r="I164" s="1" t="str">
        <f t="shared" si="2"/>
        <v/>
      </c>
    </row>
    <row r="165" spans="5:9" x14ac:dyDescent="0.3">
      <c r="E165" t="str">
        <f>IFERROR(IF(D165="","",VLOOKUP(D165,CadProd!$A:$B,2,0)),"")</f>
        <v/>
      </c>
      <c r="F165" t="str">
        <f>IFERROR(IF(D165="","",VLOOKUP(D165,CadProd!$A:$C,3,0)),"")</f>
        <v/>
      </c>
      <c r="I165" s="1" t="str">
        <f t="shared" si="2"/>
        <v/>
      </c>
    </row>
    <row r="166" spans="5:9" x14ac:dyDescent="0.3">
      <c r="E166" t="str">
        <f>IFERROR(IF(D166="","",VLOOKUP(D166,CadProd!$A:$B,2,0)),"")</f>
        <v/>
      </c>
      <c r="F166" t="str">
        <f>IFERROR(IF(D166="","",VLOOKUP(D166,CadProd!$A:$C,3,0)),"")</f>
        <v/>
      </c>
      <c r="I166" s="1" t="str">
        <f t="shared" si="2"/>
        <v/>
      </c>
    </row>
    <row r="167" spans="5:9" x14ac:dyDescent="0.3">
      <c r="E167" t="str">
        <f>IFERROR(IF(D167="","",VLOOKUP(D167,CadProd!$A:$B,2,0)),"")</f>
        <v/>
      </c>
      <c r="F167" t="str">
        <f>IFERROR(IF(D167="","",VLOOKUP(D167,CadProd!$A:$C,3,0)),"")</f>
        <v/>
      </c>
      <c r="I167" s="1" t="str">
        <f t="shared" si="2"/>
        <v/>
      </c>
    </row>
    <row r="168" spans="5:9" x14ac:dyDescent="0.3">
      <c r="E168" t="str">
        <f>IFERROR(IF(D168="","",VLOOKUP(D168,CadProd!$A:$B,2,0)),"")</f>
        <v/>
      </c>
      <c r="F168" t="str">
        <f>IFERROR(IF(D168="","",VLOOKUP(D168,CadProd!$A:$C,3,0)),"")</f>
        <v/>
      </c>
      <c r="I168" s="1" t="str">
        <f t="shared" si="2"/>
        <v/>
      </c>
    </row>
    <row r="169" spans="5:9" x14ac:dyDescent="0.3">
      <c r="E169" t="str">
        <f>IFERROR(IF(D169="","",VLOOKUP(D169,CadProd!$A:$B,2,0)),"")</f>
        <v/>
      </c>
      <c r="F169" t="str">
        <f>IFERROR(IF(D169="","",VLOOKUP(D169,CadProd!$A:$C,3,0)),"")</f>
        <v/>
      </c>
      <c r="I169" s="1" t="str">
        <f t="shared" si="2"/>
        <v/>
      </c>
    </row>
    <row r="170" spans="5:9" x14ac:dyDescent="0.3">
      <c r="E170" t="str">
        <f>IFERROR(IF(D170="","",VLOOKUP(D170,CadProd!$A:$B,2,0)),"")</f>
        <v/>
      </c>
      <c r="F170" t="str">
        <f>IFERROR(IF(D170="","",VLOOKUP(D170,CadProd!$A:$C,3,0)),"")</f>
        <v/>
      </c>
      <c r="I170" s="1" t="str">
        <f t="shared" si="2"/>
        <v/>
      </c>
    </row>
    <row r="171" spans="5:9" x14ac:dyDescent="0.3">
      <c r="E171" t="str">
        <f>IFERROR(IF(D171="","",VLOOKUP(D171,CadProd!$A:$B,2,0)),"")</f>
        <v/>
      </c>
      <c r="F171" t="str">
        <f>IFERROR(IF(D171="","",VLOOKUP(D171,CadProd!$A:$C,3,0)),"")</f>
        <v/>
      </c>
      <c r="I171" s="1" t="str">
        <f t="shared" si="2"/>
        <v/>
      </c>
    </row>
    <row r="172" spans="5:9" x14ac:dyDescent="0.3">
      <c r="E172" t="str">
        <f>IFERROR(IF(D172="","",VLOOKUP(D172,CadProd!$A:$B,2,0)),"")</f>
        <v/>
      </c>
      <c r="F172" t="str">
        <f>IFERROR(IF(D172="","",VLOOKUP(D172,CadProd!$A:$C,3,0)),"")</f>
        <v/>
      </c>
      <c r="I172" s="1" t="str">
        <f t="shared" si="2"/>
        <v/>
      </c>
    </row>
    <row r="173" spans="5:9" x14ac:dyDescent="0.3">
      <c r="E173" t="str">
        <f>IFERROR(IF(D173="","",VLOOKUP(D173,CadProd!$A:$B,2,0)),"")</f>
        <v/>
      </c>
      <c r="F173" t="str">
        <f>IFERROR(IF(D173="","",VLOOKUP(D173,CadProd!$A:$C,3,0)),"")</f>
        <v/>
      </c>
      <c r="I173" s="1" t="str">
        <f t="shared" si="2"/>
        <v/>
      </c>
    </row>
    <row r="174" spans="5:9" x14ac:dyDescent="0.3">
      <c r="E174" t="str">
        <f>IFERROR(IF(D174="","",VLOOKUP(D174,CadProd!$A:$B,2,0)),"")</f>
        <v/>
      </c>
      <c r="F174" t="str">
        <f>IFERROR(IF(D174="","",VLOOKUP(D174,CadProd!$A:$C,3,0)),"")</f>
        <v/>
      </c>
      <c r="I174" s="1" t="str">
        <f t="shared" si="2"/>
        <v/>
      </c>
    </row>
    <row r="175" spans="5:9" x14ac:dyDescent="0.3">
      <c r="E175" t="str">
        <f>IFERROR(IF(D175="","",VLOOKUP(D175,CadProd!$A:$B,2,0)),"")</f>
        <v/>
      </c>
      <c r="F175" t="str">
        <f>IFERROR(IF(D175="","",VLOOKUP(D175,CadProd!$A:$C,3,0)),"")</f>
        <v/>
      </c>
      <c r="I175" s="1" t="str">
        <f t="shared" si="2"/>
        <v/>
      </c>
    </row>
    <row r="176" spans="5:9" x14ac:dyDescent="0.3">
      <c r="E176" t="str">
        <f>IFERROR(IF(D176="","",VLOOKUP(D176,CadProd!$A:$B,2,0)),"")</f>
        <v/>
      </c>
      <c r="F176" t="str">
        <f>IFERROR(IF(D176="","",VLOOKUP(D176,CadProd!$A:$C,3,0)),"")</f>
        <v/>
      </c>
      <c r="I176" s="1" t="str">
        <f t="shared" si="2"/>
        <v/>
      </c>
    </row>
    <row r="177" spans="5:9" x14ac:dyDescent="0.3">
      <c r="E177" t="str">
        <f>IFERROR(IF(D177="","",VLOOKUP(D177,CadProd!$A:$B,2,0)),"")</f>
        <v/>
      </c>
      <c r="F177" t="str">
        <f>IFERROR(IF(D177="","",VLOOKUP(D177,CadProd!$A:$C,3,0)),"")</f>
        <v/>
      </c>
      <c r="I177" s="1" t="str">
        <f t="shared" si="2"/>
        <v/>
      </c>
    </row>
    <row r="178" spans="5:9" x14ac:dyDescent="0.3">
      <c r="E178" t="str">
        <f>IFERROR(IF(D178="","",VLOOKUP(D178,CadProd!$A:$B,2,0)),"")</f>
        <v/>
      </c>
      <c r="F178" t="str">
        <f>IFERROR(IF(D178="","",VLOOKUP(D178,CadProd!$A:$C,3,0)),"")</f>
        <v/>
      </c>
      <c r="I178" s="1" t="str">
        <f t="shared" si="2"/>
        <v/>
      </c>
    </row>
    <row r="179" spans="5:9" x14ac:dyDescent="0.3">
      <c r="E179" t="str">
        <f>IFERROR(IF(D179="","",VLOOKUP(D179,CadProd!$A:$B,2,0)),"")</f>
        <v/>
      </c>
      <c r="F179" t="str">
        <f>IFERROR(IF(D179="","",VLOOKUP(D179,CadProd!$A:$C,3,0)),"")</f>
        <v/>
      </c>
      <c r="I179" s="1" t="str">
        <f t="shared" si="2"/>
        <v/>
      </c>
    </row>
    <row r="180" spans="5:9" x14ac:dyDescent="0.3">
      <c r="E180" t="str">
        <f>IFERROR(IF(D180="","",VLOOKUP(D180,CadProd!$A:$B,2,0)),"")</f>
        <v/>
      </c>
      <c r="F180" t="str">
        <f>IFERROR(IF(D180="","",VLOOKUP(D180,CadProd!$A:$C,3,0)),"")</f>
        <v/>
      </c>
      <c r="I180" s="1" t="str">
        <f t="shared" si="2"/>
        <v/>
      </c>
    </row>
    <row r="181" spans="5:9" x14ac:dyDescent="0.3">
      <c r="E181" t="str">
        <f>IFERROR(IF(D181="","",VLOOKUP(D181,CadProd!$A:$B,2,0)),"")</f>
        <v/>
      </c>
      <c r="F181" t="str">
        <f>IFERROR(IF(D181="","",VLOOKUP(D181,CadProd!$A:$C,3,0)),"")</f>
        <v/>
      </c>
      <c r="I181" s="1" t="str">
        <f t="shared" si="2"/>
        <v/>
      </c>
    </row>
    <row r="182" spans="5:9" x14ac:dyDescent="0.3">
      <c r="E182" t="str">
        <f>IFERROR(IF(D182="","",VLOOKUP(D182,CadProd!$A:$B,2,0)),"")</f>
        <v/>
      </c>
      <c r="F182" t="str">
        <f>IFERROR(IF(D182="","",VLOOKUP(D182,CadProd!$A:$C,3,0)),"")</f>
        <v/>
      </c>
      <c r="I182" s="1" t="str">
        <f t="shared" si="2"/>
        <v/>
      </c>
    </row>
    <row r="183" spans="5:9" x14ac:dyDescent="0.3">
      <c r="E183" t="str">
        <f>IFERROR(IF(D183="","",VLOOKUP(D183,CadProd!$A:$B,2,0)),"")</f>
        <v/>
      </c>
      <c r="F183" t="str">
        <f>IFERROR(IF(D183="","",VLOOKUP(D183,CadProd!$A:$C,3,0)),"")</f>
        <v/>
      </c>
      <c r="I183" s="1" t="str">
        <f t="shared" si="2"/>
        <v/>
      </c>
    </row>
    <row r="184" spans="5:9" x14ac:dyDescent="0.3">
      <c r="E184" t="str">
        <f>IFERROR(IF(D184="","",VLOOKUP(D184,CadProd!$A:$B,2,0)),"")</f>
        <v/>
      </c>
      <c r="F184" t="str">
        <f>IFERROR(IF(D184="","",VLOOKUP(D184,CadProd!$A:$C,3,0)),"")</f>
        <v/>
      </c>
      <c r="I184" s="1" t="str">
        <f t="shared" si="2"/>
        <v/>
      </c>
    </row>
    <row r="185" spans="5:9" x14ac:dyDescent="0.3">
      <c r="E185" t="str">
        <f>IFERROR(IF(D185="","",VLOOKUP(D185,CadProd!$A:$B,2,0)),"")</f>
        <v/>
      </c>
      <c r="F185" t="str">
        <f>IFERROR(IF(D185="","",VLOOKUP(D185,CadProd!$A:$C,3,0)),"")</f>
        <v/>
      </c>
      <c r="I185" s="1" t="str">
        <f t="shared" si="2"/>
        <v/>
      </c>
    </row>
    <row r="186" spans="5:9" x14ac:dyDescent="0.3">
      <c r="E186" t="str">
        <f>IFERROR(IF(D186="","",VLOOKUP(D186,CadProd!$A:$B,2,0)),"")</f>
        <v/>
      </c>
      <c r="F186" t="str">
        <f>IFERROR(IF(D186="","",VLOOKUP(D186,CadProd!$A:$C,3,0)),"")</f>
        <v/>
      </c>
      <c r="I186" s="1" t="str">
        <f t="shared" si="2"/>
        <v/>
      </c>
    </row>
    <row r="187" spans="5:9" x14ac:dyDescent="0.3">
      <c r="E187" t="str">
        <f>IFERROR(IF(D187="","",VLOOKUP(D187,CadProd!$A:$B,2,0)),"")</f>
        <v/>
      </c>
      <c r="F187" t="str">
        <f>IFERROR(IF(D187="","",VLOOKUP(D187,CadProd!$A:$C,3,0)),"")</f>
        <v/>
      </c>
      <c r="I187" s="1" t="str">
        <f t="shared" si="2"/>
        <v/>
      </c>
    </row>
    <row r="188" spans="5:9" x14ac:dyDescent="0.3">
      <c r="E188" t="str">
        <f>IFERROR(IF(D188="","",VLOOKUP(D188,CadProd!$A:$B,2,0)),"")</f>
        <v/>
      </c>
      <c r="F188" t="str">
        <f>IFERROR(IF(D188="","",VLOOKUP(D188,CadProd!$A:$C,3,0)),"")</f>
        <v/>
      </c>
      <c r="I188" s="1" t="str">
        <f t="shared" si="2"/>
        <v/>
      </c>
    </row>
    <row r="189" spans="5:9" x14ac:dyDescent="0.3">
      <c r="E189" t="str">
        <f>IFERROR(IF(D189="","",VLOOKUP(D189,CadProd!$A:$B,2,0)),"")</f>
        <v/>
      </c>
      <c r="F189" t="str">
        <f>IFERROR(IF(D189="","",VLOOKUP(D189,CadProd!$A:$C,3,0)),"")</f>
        <v/>
      </c>
      <c r="I189" s="1" t="str">
        <f t="shared" si="2"/>
        <v/>
      </c>
    </row>
    <row r="190" spans="5:9" x14ac:dyDescent="0.3">
      <c r="E190" t="str">
        <f>IFERROR(IF(D190="","",VLOOKUP(D190,CadProd!$A:$B,2,0)),"")</f>
        <v/>
      </c>
      <c r="F190" t="str">
        <f>IFERROR(IF(D190="","",VLOOKUP(D190,CadProd!$A:$C,3,0)),"")</f>
        <v/>
      </c>
      <c r="I190" s="1" t="str">
        <f t="shared" si="2"/>
        <v/>
      </c>
    </row>
    <row r="191" spans="5:9" x14ac:dyDescent="0.3">
      <c r="E191" t="str">
        <f>IFERROR(IF(D191="","",VLOOKUP(D191,CadProd!$A:$B,2,0)),"")</f>
        <v/>
      </c>
      <c r="F191" t="str">
        <f>IFERROR(IF(D191="","",VLOOKUP(D191,CadProd!$A:$C,3,0)),"")</f>
        <v/>
      </c>
      <c r="I191" s="1" t="str">
        <f t="shared" si="2"/>
        <v/>
      </c>
    </row>
    <row r="192" spans="5:9" x14ac:dyDescent="0.3">
      <c r="E192" t="str">
        <f>IFERROR(IF(D192="","",VLOOKUP(D192,CadProd!$A:$B,2,0)),"")</f>
        <v/>
      </c>
      <c r="F192" t="str">
        <f>IFERROR(IF(D192="","",VLOOKUP(D192,CadProd!$A:$C,3,0)),"")</f>
        <v/>
      </c>
      <c r="I192" s="1" t="str">
        <f t="shared" si="2"/>
        <v/>
      </c>
    </row>
    <row r="193" spans="5:9" x14ac:dyDescent="0.3">
      <c r="E193" t="str">
        <f>IFERROR(IF(D193="","",VLOOKUP(D193,CadProd!$A:$B,2,0)),"")</f>
        <v/>
      </c>
      <c r="F193" t="str">
        <f>IFERROR(IF(D193="","",VLOOKUP(D193,CadProd!$A:$C,3,0)),"")</f>
        <v/>
      </c>
      <c r="I193" s="1" t="str">
        <f t="shared" si="2"/>
        <v/>
      </c>
    </row>
    <row r="194" spans="5:9" x14ac:dyDescent="0.3">
      <c r="E194" t="str">
        <f>IFERROR(IF(D194="","",VLOOKUP(D194,CadProd!$A:$B,2,0)),"")</f>
        <v/>
      </c>
      <c r="F194" t="str">
        <f>IFERROR(IF(D194="","",VLOOKUP(D194,CadProd!$A:$C,3,0)),"")</f>
        <v/>
      </c>
      <c r="I194" s="1" t="str">
        <f t="shared" ref="I194:I257" si="3">IFERROR(IF(D194="","",H194*G194),"")</f>
        <v/>
      </c>
    </row>
    <row r="195" spans="5:9" x14ac:dyDescent="0.3">
      <c r="E195" t="str">
        <f>IFERROR(IF(D195="","",VLOOKUP(D195,CadProd!$A:$B,2,0)),"")</f>
        <v/>
      </c>
      <c r="F195" t="str">
        <f>IFERROR(IF(D195="","",VLOOKUP(D195,CadProd!$A:$C,3,0)),"")</f>
        <v/>
      </c>
      <c r="I195" s="1" t="str">
        <f t="shared" si="3"/>
        <v/>
      </c>
    </row>
    <row r="196" spans="5:9" x14ac:dyDescent="0.3">
      <c r="E196" t="str">
        <f>IFERROR(IF(D196="","",VLOOKUP(D196,CadProd!$A:$B,2,0)),"")</f>
        <v/>
      </c>
      <c r="F196" t="str">
        <f>IFERROR(IF(D196="","",VLOOKUP(D196,CadProd!$A:$C,3,0)),"")</f>
        <v/>
      </c>
      <c r="I196" s="1" t="str">
        <f t="shared" si="3"/>
        <v/>
      </c>
    </row>
    <row r="197" spans="5:9" x14ac:dyDescent="0.3">
      <c r="E197" t="str">
        <f>IFERROR(IF(D197="","",VLOOKUP(D197,CadProd!$A:$B,2,0)),"")</f>
        <v/>
      </c>
      <c r="F197" t="str">
        <f>IFERROR(IF(D197="","",VLOOKUP(D197,CadProd!$A:$C,3,0)),"")</f>
        <v/>
      </c>
      <c r="I197" s="1" t="str">
        <f t="shared" si="3"/>
        <v/>
      </c>
    </row>
    <row r="198" spans="5:9" x14ac:dyDescent="0.3">
      <c r="E198" t="str">
        <f>IFERROR(IF(D198="","",VLOOKUP(D198,CadProd!$A:$B,2,0)),"")</f>
        <v/>
      </c>
      <c r="F198" t="str">
        <f>IFERROR(IF(D198="","",VLOOKUP(D198,CadProd!$A:$C,3,0)),"")</f>
        <v/>
      </c>
      <c r="I198" s="1" t="str">
        <f t="shared" si="3"/>
        <v/>
      </c>
    </row>
    <row r="199" spans="5:9" x14ac:dyDescent="0.3">
      <c r="E199" t="str">
        <f>IFERROR(IF(D199="","",VLOOKUP(D199,CadProd!$A:$B,2,0)),"")</f>
        <v/>
      </c>
      <c r="F199" t="str">
        <f>IFERROR(IF(D199="","",VLOOKUP(D199,CadProd!$A:$C,3,0)),"")</f>
        <v/>
      </c>
      <c r="I199" s="1" t="str">
        <f t="shared" si="3"/>
        <v/>
      </c>
    </row>
    <row r="200" spans="5:9" x14ac:dyDescent="0.3">
      <c r="E200" t="str">
        <f>IFERROR(IF(D200="","",VLOOKUP(D200,CadProd!$A:$B,2,0)),"")</f>
        <v/>
      </c>
      <c r="F200" t="str">
        <f>IFERROR(IF(D200="","",VLOOKUP(D200,CadProd!$A:$C,3,0)),"")</f>
        <v/>
      </c>
      <c r="I200" s="1" t="str">
        <f t="shared" si="3"/>
        <v/>
      </c>
    </row>
    <row r="201" spans="5:9" x14ac:dyDescent="0.3">
      <c r="E201" t="str">
        <f>IFERROR(IF(D201="","",VLOOKUP(D201,CadProd!$A:$B,2,0)),"")</f>
        <v/>
      </c>
      <c r="F201" t="str">
        <f>IFERROR(IF(D201="","",VLOOKUP(D201,CadProd!$A:$C,3,0)),"")</f>
        <v/>
      </c>
      <c r="I201" s="1" t="str">
        <f t="shared" si="3"/>
        <v/>
      </c>
    </row>
    <row r="202" spans="5:9" x14ac:dyDescent="0.3">
      <c r="E202" t="str">
        <f>IFERROR(IF(D202="","",VLOOKUP(D202,CadProd!$A:$B,2,0)),"")</f>
        <v/>
      </c>
      <c r="F202" t="str">
        <f>IFERROR(IF(D202="","",VLOOKUP(D202,CadProd!$A:$C,3,0)),"")</f>
        <v/>
      </c>
      <c r="I202" s="1" t="str">
        <f t="shared" si="3"/>
        <v/>
      </c>
    </row>
    <row r="203" spans="5:9" x14ac:dyDescent="0.3">
      <c r="E203" t="str">
        <f>IFERROR(IF(D203="","",VLOOKUP(D203,CadProd!$A:$B,2,0)),"")</f>
        <v/>
      </c>
      <c r="F203" t="str">
        <f>IFERROR(IF(D203="","",VLOOKUP(D203,CadProd!$A:$C,3,0)),"")</f>
        <v/>
      </c>
      <c r="I203" s="1" t="str">
        <f t="shared" si="3"/>
        <v/>
      </c>
    </row>
    <row r="204" spans="5:9" x14ac:dyDescent="0.3">
      <c r="E204" t="str">
        <f>IFERROR(IF(D204="","",VLOOKUP(D204,CadProd!$A:$B,2,0)),"")</f>
        <v/>
      </c>
      <c r="F204" t="str">
        <f>IFERROR(IF(D204="","",VLOOKUP(D204,CadProd!$A:$C,3,0)),"")</f>
        <v/>
      </c>
      <c r="I204" s="1" t="str">
        <f t="shared" si="3"/>
        <v/>
      </c>
    </row>
    <row r="205" spans="5:9" x14ac:dyDescent="0.3">
      <c r="E205" t="str">
        <f>IFERROR(IF(D205="","",VLOOKUP(D205,CadProd!$A:$B,2,0)),"")</f>
        <v/>
      </c>
      <c r="F205" t="str">
        <f>IFERROR(IF(D205="","",VLOOKUP(D205,CadProd!$A:$C,3,0)),"")</f>
        <v/>
      </c>
      <c r="I205" s="1" t="str">
        <f t="shared" si="3"/>
        <v/>
      </c>
    </row>
    <row r="206" spans="5:9" x14ac:dyDescent="0.3">
      <c r="E206" t="str">
        <f>IFERROR(IF(D206="","",VLOOKUP(D206,CadProd!$A:$B,2,0)),"")</f>
        <v/>
      </c>
      <c r="F206" t="str">
        <f>IFERROR(IF(D206="","",VLOOKUP(D206,CadProd!$A:$C,3,0)),"")</f>
        <v/>
      </c>
      <c r="I206" s="1" t="str">
        <f t="shared" si="3"/>
        <v/>
      </c>
    </row>
    <row r="207" spans="5:9" x14ac:dyDescent="0.3">
      <c r="E207" t="str">
        <f>IFERROR(IF(D207="","",VLOOKUP(D207,CadProd!$A:$B,2,0)),"")</f>
        <v/>
      </c>
      <c r="F207" t="str">
        <f>IFERROR(IF(D207="","",VLOOKUP(D207,CadProd!$A:$C,3,0)),"")</f>
        <v/>
      </c>
      <c r="I207" s="1" t="str">
        <f t="shared" si="3"/>
        <v/>
      </c>
    </row>
    <row r="208" spans="5:9" x14ac:dyDescent="0.3">
      <c r="E208" t="str">
        <f>IFERROR(IF(D208="","",VLOOKUP(D208,CadProd!$A:$B,2,0)),"")</f>
        <v/>
      </c>
      <c r="F208" t="str">
        <f>IFERROR(IF(D208="","",VLOOKUP(D208,CadProd!$A:$C,3,0)),"")</f>
        <v/>
      </c>
      <c r="I208" s="1" t="str">
        <f t="shared" si="3"/>
        <v/>
      </c>
    </row>
    <row r="209" spans="5:9" x14ac:dyDescent="0.3">
      <c r="E209" t="str">
        <f>IFERROR(IF(D209="","",VLOOKUP(D209,CadProd!$A:$B,2,0)),"")</f>
        <v/>
      </c>
      <c r="F209" t="str">
        <f>IFERROR(IF(D209="","",VLOOKUP(D209,CadProd!$A:$C,3,0)),"")</f>
        <v/>
      </c>
      <c r="I209" s="1" t="str">
        <f t="shared" si="3"/>
        <v/>
      </c>
    </row>
    <row r="210" spans="5:9" x14ac:dyDescent="0.3">
      <c r="E210" t="str">
        <f>IFERROR(IF(D210="","",VLOOKUP(D210,CadProd!$A:$B,2,0)),"")</f>
        <v/>
      </c>
      <c r="F210" t="str">
        <f>IFERROR(IF(D210="","",VLOOKUP(D210,CadProd!$A:$C,3,0)),"")</f>
        <v/>
      </c>
      <c r="I210" s="1" t="str">
        <f t="shared" si="3"/>
        <v/>
      </c>
    </row>
    <row r="211" spans="5:9" x14ac:dyDescent="0.3">
      <c r="E211" t="str">
        <f>IFERROR(IF(D211="","",VLOOKUP(D211,CadProd!$A:$B,2,0)),"")</f>
        <v/>
      </c>
      <c r="F211" t="str">
        <f>IFERROR(IF(D211="","",VLOOKUP(D211,CadProd!$A:$C,3,0)),"")</f>
        <v/>
      </c>
      <c r="I211" s="1" t="str">
        <f t="shared" si="3"/>
        <v/>
      </c>
    </row>
    <row r="212" spans="5:9" x14ac:dyDescent="0.3">
      <c r="E212" t="str">
        <f>IFERROR(IF(D212="","",VLOOKUP(D212,CadProd!$A:$B,2,0)),"")</f>
        <v/>
      </c>
      <c r="F212" t="str">
        <f>IFERROR(IF(D212="","",VLOOKUP(D212,CadProd!$A:$C,3,0)),"")</f>
        <v/>
      </c>
      <c r="I212" s="1" t="str">
        <f t="shared" si="3"/>
        <v/>
      </c>
    </row>
    <row r="213" spans="5:9" x14ac:dyDescent="0.3">
      <c r="E213" t="str">
        <f>IFERROR(IF(D213="","",VLOOKUP(D213,CadProd!$A:$B,2,0)),"")</f>
        <v/>
      </c>
      <c r="F213" t="str">
        <f>IFERROR(IF(D213="","",VLOOKUP(D213,CadProd!$A:$C,3,0)),"")</f>
        <v/>
      </c>
      <c r="I213" s="1" t="str">
        <f t="shared" si="3"/>
        <v/>
      </c>
    </row>
    <row r="214" spans="5:9" x14ac:dyDescent="0.3">
      <c r="E214" t="str">
        <f>IFERROR(IF(D214="","",VLOOKUP(D214,CadProd!$A:$B,2,0)),"")</f>
        <v/>
      </c>
      <c r="F214" t="str">
        <f>IFERROR(IF(D214="","",VLOOKUP(D214,CadProd!$A:$C,3,0)),"")</f>
        <v/>
      </c>
      <c r="I214" s="1" t="str">
        <f t="shared" si="3"/>
        <v/>
      </c>
    </row>
    <row r="215" spans="5:9" x14ac:dyDescent="0.3">
      <c r="E215" t="str">
        <f>IFERROR(IF(D215="","",VLOOKUP(D215,CadProd!$A:$B,2,0)),"")</f>
        <v/>
      </c>
      <c r="F215" t="str">
        <f>IFERROR(IF(D215="","",VLOOKUP(D215,CadProd!$A:$C,3,0)),"")</f>
        <v/>
      </c>
      <c r="I215" s="1" t="str">
        <f t="shared" si="3"/>
        <v/>
      </c>
    </row>
    <row r="216" spans="5:9" x14ac:dyDescent="0.3">
      <c r="E216" t="str">
        <f>IFERROR(IF(D216="","",VLOOKUP(D216,CadProd!$A:$B,2,0)),"")</f>
        <v/>
      </c>
      <c r="F216" t="str">
        <f>IFERROR(IF(D216="","",VLOOKUP(D216,CadProd!$A:$C,3,0)),"")</f>
        <v/>
      </c>
      <c r="I216" s="1" t="str">
        <f t="shared" si="3"/>
        <v/>
      </c>
    </row>
    <row r="217" spans="5:9" x14ac:dyDescent="0.3">
      <c r="E217" t="str">
        <f>IFERROR(IF(D217="","",VLOOKUP(D217,CadProd!$A:$B,2,0)),"")</f>
        <v/>
      </c>
      <c r="F217" t="str">
        <f>IFERROR(IF(D217="","",VLOOKUP(D217,CadProd!$A:$C,3,0)),"")</f>
        <v/>
      </c>
      <c r="I217" s="1" t="str">
        <f t="shared" si="3"/>
        <v/>
      </c>
    </row>
    <row r="218" spans="5:9" x14ac:dyDescent="0.3">
      <c r="E218" t="str">
        <f>IFERROR(IF(D218="","",VLOOKUP(D218,CadProd!$A:$B,2,0)),"")</f>
        <v/>
      </c>
      <c r="F218" t="str">
        <f>IFERROR(IF(D218="","",VLOOKUP(D218,CadProd!$A:$C,3,0)),"")</f>
        <v/>
      </c>
      <c r="I218" s="1" t="str">
        <f t="shared" si="3"/>
        <v/>
      </c>
    </row>
    <row r="219" spans="5:9" x14ac:dyDescent="0.3">
      <c r="E219" t="str">
        <f>IFERROR(IF(D219="","",VLOOKUP(D219,CadProd!$A:$B,2,0)),"")</f>
        <v/>
      </c>
      <c r="F219" t="str">
        <f>IFERROR(IF(D219="","",VLOOKUP(D219,CadProd!$A:$C,3,0)),"")</f>
        <v/>
      </c>
      <c r="I219" s="1" t="str">
        <f t="shared" si="3"/>
        <v/>
      </c>
    </row>
    <row r="220" spans="5:9" x14ac:dyDescent="0.3">
      <c r="E220" t="str">
        <f>IFERROR(IF(D220="","",VLOOKUP(D220,CadProd!$A:$B,2,0)),"")</f>
        <v/>
      </c>
      <c r="F220" t="str">
        <f>IFERROR(IF(D220="","",VLOOKUP(D220,CadProd!$A:$C,3,0)),"")</f>
        <v/>
      </c>
      <c r="I220" s="1" t="str">
        <f t="shared" si="3"/>
        <v/>
      </c>
    </row>
    <row r="221" spans="5:9" x14ac:dyDescent="0.3">
      <c r="E221" t="str">
        <f>IFERROR(IF(D221="","",VLOOKUP(D221,CadProd!$A:$B,2,0)),"")</f>
        <v/>
      </c>
      <c r="F221" t="str">
        <f>IFERROR(IF(D221="","",VLOOKUP(D221,CadProd!$A:$C,3,0)),"")</f>
        <v/>
      </c>
      <c r="I221" s="1" t="str">
        <f t="shared" si="3"/>
        <v/>
      </c>
    </row>
    <row r="222" spans="5:9" x14ac:dyDescent="0.3">
      <c r="E222" t="str">
        <f>IFERROR(IF(D222="","",VLOOKUP(D222,CadProd!$A:$B,2,0)),"")</f>
        <v/>
      </c>
      <c r="F222" t="str">
        <f>IFERROR(IF(D222="","",VLOOKUP(D222,CadProd!$A:$C,3,0)),"")</f>
        <v/>
      </c>
      <c r="I222" s="1" t="str">
        <f t="shared" si="3"/>
        <v/>
      </c>
    </row>
    <row r="223" spans="5:9" x14ac:dyDescent="0.3">
      <c r="E223" t="str">
        <f>IFERROR(IF(D223="","",VLOOKUP(D223,CadProd!$A:$B,2,0)),"")</f>
        <v/>
      </c>
      <c r="F223" t="str">
        <f>IFERROR(IF(D223="","",VLOOKUP(D223,CadProd!$A:$C,3,0)),"")</f>
        <v/>
      </c>
      <c r="I223" s="1" t="str">
        <f t="shared" si="3"/>
        <v/>
      </c>
    </row>
    <row r="224" spans="5:9" x14ac:dyDescent="0.3">
      <c r="E224" t="str">
        <f>IFERROR(IF(D224="","",VLOOKUP(D224,CadProd!$A:$B,2,0)),"")</f>
        <v/>
      </c>
      <c r="F224" t="str">
        <f>IFERROR(IF(D224="","",VLOOKUP(D224,CadProd!$A:$C,3,0)),"")</f>
        <v/>
      </c>
      <c r="I224" s="1" t="str">
        <f t="shared" si="3"/>
        <v/>
      </c>
    </row>
    <row r="225" spans="5:9" x14ac:dyDescent="0.3">
      <c r="E225" t="str">
        <f>IFERROR(IF(D225="","",VLOOKUP(D225,CadProd!$A:$B,2,0)),"")</f>
        <v/>
      </c>
      <c r="F225" t="str">
        <f>IFERROR(IF(D225="","",VLOOKUP(D225,CadProd!$A:$C,3,0)),"")</f>
        <v/>
      </c>
      <c r="I225" s="1" t="str">
        <f t="shared" si="3"/>
        <v/>
      </c>
    </row>
    <row r="226" spans="5:9" x14ac:dyDescent="0.3">
      <c r="E226" t="str">
        <f>IFERROR(IF(D226="","",VLOOKUP(D226,CadProd!$A:$B,2,0)),"")</f>
        <v/>
      </c>
      <c r="F226" t="str">
        <f>IFERROR(IF(D226="","",VLOOKUP(D226,CadProd!$A:$C,3,0)),"")</f>
        <v/>
      </c>
      <c r="I226" s="1" t="str">
        <f t="shared" si="3"/>
        <v/>
      </c>
    </row>
    <row r="227" spans="5:9" x14ac:dyDescent="0.3">
      <c r="E227" t="str">
        <f>IFERROR(IF(D227="","",VLOOKUP(D227,CadProd!$A:$B,2,0)),"")</f>
        <v/>
      </c>
      <c r="F227" t="str">
        <f>IFERROR(IF(D227="","",VLOOKUP(D227,CadProd!$A:$C,3,0)),"")</f>
        <v/>
      </c>
      <c r="I227" s="1" t="str">
        <f t="shared" si="3"/>
        <v/>
      </c>
    </row>
    <row r="228" spans="5:9" x14ac:dyDescent="0.3">
      <c r="E228" t="str">
        <f>IFERROR(IF(D228="","",VLOOKUP(D228,CadProd!$A:$B,2,0)),"")</f>
        <v/>
      </c>
      <c r="F228" t="str">
        <f>IFERROR(IF(D228="","",VLOOKUP(D228,CadProd!$A:$C,3,0)),"")</f>
        <v/>
      </c>
      <c r="I228" s="1" t="str">
        <f t="shared" si="3"/>
        <v/>
      </c>
    </row>
    <row r="229" spans="5:9" x14ac:dyDescent="0.3">
      <c r="E229" t="str">
        <f>IFERROR(IF(D229="","",VLOOKUP(D229,CadProd!$A:$B,2,0)),"")</f>
        <v/>
      </c>
      <c r="F229" t="str">
        <f>IFERROR(IF(D229="","",VLOOKUP(D229,CadProd!$A:$C,3,0)),"")</f>
        <v/>
      </c>
      <c r="I229" s="1" t="str">
        <f t="shared" si="3"/>
        <v/>
      </c>
    </row>
    <row r="230" spans="5:9" x14ac:dyDescent="0.3">
      <c r="E230" t="str">
        <f>IFERROR(IF(D230="","",VLOOKUP(D230,CadProd!$A:$B,2,0)),"")</f>
        <v/>
      </c>
      <c r="F230" t="str">
        <f>IFERROR(IF(D230="","",VLOOKUP(D230,CadProd!$A:$C,3,0)),"")</f>
        <v/>
      </c>
      <c r="I230" s="1" t="str">
        <f t="shared" si="3"/>
        <v/>
      </c>
    </row>
    <row r="231" spans="5:9" x14ac:dyDescent="0.3">
      <c r="E231" t="str">
        <f>IFERROR(IF(D231="","",VLOOKUP(D231,CadProd!$A:$B,2,0)),"")</f>
        <v/>
      </c>
      <c r="F231" t="str">
        <f>IFERROR(IF(D231="","",VLOOKUP(D231,CadProd!$A:$C,3,0)),"")</f>
        <v/>
      </c>
      <c r="I231" s="1" t="str">
        <f t="shared" si="3"/>
        <v/>
      </c>
    </row>
    <row r="232" spans="5:9" x14ac:dyDescent="0.3">
      <c r="E232" t="str">
        <f>IFERROR(IF(D232="","",VLOOKUP(D232,CadProd!$A:$B,2,0)),"")</f>
        <v/>
      </c>
      <c r="F232" t="str">
        <f>IFERROR(IF(D232="","",VLOOKUP(D232,CadProd!$A:$C,3,0)),"")</f>
        <v/>
      </c>
      <c r="I232" s="1" t="str">
        <f t="shared" si="3"/>
        <v/>
      </c>
    </row>
    <row r="233" spans="5:9" x14ac:dyDescent="0.3">
      <c r="E233" t="str">
        <f>IFERROR(IF(D233="","",VLOOKUP(D233,CadProd!$A:$B,2,0)),"")</f>
        <v/>
      </c>
      <c r="F233" t="str">
        <f>IFERROR(IF(D233="","",VLOOKUP(D233,CadProd!$A:$C,3,0)),"")</f>
        <v/>
      </c>
      <c r="I233" s="1" t="str">
        <f t="shared" si="3"/>
        <v/>
      </c>
    </row>
    <row r="234" spans="5:9" x14ac:dyDescent="0.3">
      <c r="E234" t="str">
        <f>IFERROR(IF(D234="","",VLOOKUP(D234,CadProd!$A:$B,2,0)),"")</f>
        <v/>
      </c>
      <c r="F234" t="str">
        <f>IFERROR(IF(D234="","",VLOOKUP(D234,CadProd!$A:$C,3,0)),"")</f>
        <v/>
      </c>
      <c r="I234" s="1" t="str">
        <f t="shared" si="3"/>
        <v/>
      </c>
    </row>
    <row r="235" spans="5:9" x14ac:dyDescent="0.3">
      <c r="E235" t="str">
        <f>IFERROR(IF(D235="","",VLOOKUP(D235,CadProd!$A:$B,2,0)),"")</f>
        <v/>
      </c>
      <c r="F235" t="str">
        <f>IFERROR(IF(D235="","",VLOOKUP(D235,CadProd!$A:$C,3,0)),"")</f>
        <v/>
      </c>
      <c r="I235" s="1" t="str">
        <f t="shared" si="3"/>
        <v/>
      </c>
    </row>
    <row r="236" spans="5:9" x14ac:dyDescent="0.3">
      <c r="E236" t="str">
        <f>IFERROR(IF(D236="","",VLOOKUP(D236,CadProd!$A:$B,2,0)),"")</f>
        <v/>
      </c>
      <c r="F236" t="str">
        <f>IFERROR(IF(D236="","",VLOOKUP(D236,CadProd!$A:$C,3,0)),"")</f>
        <v/>
      </c>
      <c r="I236" s="1" t="str">
        <f t="shared" si="3"/>
        <v/>
      </c>
    </row>
    <row r="237" spans="5:9" x14ac:dyDescent="0.3">
      <c r="E237" t="str">
        <f>IFERROR(IF(D237="","",VLOOKUP(D237,CadProd!$A:$B,2,0)),"")</f>
        <v/>
      </c>
      <c r="F237" t="str">
        <f>IFERROR(IF(D237="","",VLOOKUP(D237,CadProd!$A:$C,3,0)),"")</f>
        <v/>
      </c>
      <c r="I237" s="1" t="str">
        <f t="shared" si="3"/>
        <v/>
      </c>
    </row>
    <row r="238" spans="5:9" x14ac:dyDescent="0.3">
      <c r="E238" t="str">
        <f>IFERROR(IF(D238="","",VLOOKUP(D238,CadProd!$A:$B,2,0)),"")</f>
        <v/>
      </c>
      <c r="F238" t="str">
        <f>IFERROR(IF(D238="","",VLOOKUP(D238,CadProd!$A:$C,3,0)),"")</f>
        <v/>
      </c>
      <c r="I238" s="1" t="str">
        <f t="shared" si="3"/>
        <v/>
      </c>
    </row>
    <row r="239" spans="5:9" x14ac:dyDescent="0.3">
      <c r="E239" t="str">
        <f>IFERROR(IF(D239="","",VLOOKUP(D239,CadProd!$A:$B,2,0)),"")</f>
        <v/>
      </c>
      <c r="F239" t="str">
        <f>IFERROR(IF(D239="","",VLOOKUP(D239,CadProd!$A:$C,3,0)),"")</f>
        <v/>
      </c>
      <c r="I239" s="1" t="str">
        <f t="shared" si="3"/>
        <v/>
      </c>
    </row>
    <row r="240" spans="5:9" x14ac:dyDescent="0.3">
      <c r="E240" t="str">
        <f>IFERROR(IF(D240="","",VLOOKUP(D240,CadProd!$A:$B,2,0)),"")</f>
        <v/>
      </c>
      <c r="F240" t="str">
        <f>IFERROR(IF(D240="","",VLOOKUP(D240,CadProd!$A:$C,3,0)),"")</f>
        <v/>
      </c>
      <c r="I240" s="1" t="str">
        <f t="shared" si="3"/>
        <v/>
      </c>
    </row>
    <row r="241" spans="5:9" x14ac:dyDescent="0.3">
      <c r="E241" t="str">
        <f>IFERROR(IF(D241="","",VLOOKUP(D241,CadProd!$A:$B,2,0)),"")</f>
        <v/>
      </c>
      <c r="F241" t="str">
        <f>IFERROR(IF(D241="","",VLOOKUP(D241,CadProd!$A:$C,3,0)),"")</f>
        <v/>
      </c>
      <c r="I241" s="1" t="str">
        <f t="shared" si="3"/>
        <v/>
      </c>
    </row>
    <row r="242" spans="5:9" x14ac:dyDescent="0.3">
      <c r="E242" t="str">
        <f>IFERROR(IF(D242="","",VLOOKUP(D242,CadProd!$A:$B,2,0)),"")</f>
        <v/>
      </c>
      <c r="F242" t="str">
        <f>IFERROR(IF(D242="","",VLOOKUP(D242,CadProd!$A:$C,3,0)),"")</f>
        <v/>
      </c>
      <c r="I242" s="1" t="str">
        <f t="shared" si="3"/>
        <v/>
      </c>
    </row>
    <row r="243" spans="5:9" x14ac:dyDescent="0.3">
      <c r="E243" t="str">
        <f>IFERROR(IF(D243="","",VLOOKUP(D243,CadProd!$A:$B,2,0)),"")</f>
        <v/>
      </c>
      <c r="F243" t="str">
        <f>IFERROR(IF(D243="","",VLOOKUP(D243,CadProd!$A:$C,3,0)),"")</f>
        <v/>
      </c>
      <c r="I243" s="1" t="str">
        <f t="shared" si="3"/>
        <v/>
      </c>
    </row>
    <row r="244" spans="5:9" x14ac:dyDescent="0.3">
      <c r="E244" t="str">
        <f>IFERROR(IF(D244="","",VLOOKUP(D244,CadProd!$A:$B,2,0)),"")</f>
        <v/>
      </c>
      <c r="F244" t="str">
        <f>IFERROR(IF(D244="","",VLOOKUP(D244,CadProd!$A:$C,3,0)),"")</f>
        <v/>
      </c>
      <c r="I244" s="1" t="str">
        <f t="shared" si="3"/>
        <v/>
      </c>
    </row>
    <row r="245" spans="5:9" x14ac:dyDescent="0.3">
      <c r="E245" t="str">
        <f>IFERROR(IF(D245="","",VLOOKUP(D245,CadProd!$A:$B,2,0)),"")</f>
        <v/>
      </c>
      <c r="F245" t="str">
        <f>IFERROR(IF(D245="","",VLOOKUP(D245,CadProd!$A:$C,3,0)),"")</f>
        <v/>
      </c>
      <c r="I245" s="1" t="str">
        <f t="shared" si="3"/>
        <v/>
      </c>
    </row>
    <row r="246" spans="5:9" x14ac:dyDescent="0.3">
      <c r="E246" t="str">
        <f>IFERROR(IF(D246="","",VLOOKUP(D246,CadProd!$A:$B,2,0)),"")</f>
        <v/>
      </c>
      <c r="F246" t="str">
        <f>IFERROR(IF(D246="","",VLOOKUP(D246,CadProd!$A:$C,3,0)),"")</f>
        <v/>
      </c>
      <c r="I246" s="1" t="str">
        <f t="shared" si="3"/>
        <v/>
      </c>
    </row>
    <row r="247" spans="5:9" x14ac:dyDescent="0.3">
      <c r="E247" t="str">
        <f>IFERROR(IF(D247="","",VLOOKUP(D247,CadProd!$A:$B,2,0)),"")</f>
        <v/>
      </c>
      <c r="F247" t="str">
        <f>IFERROR(IF(D247="","",VLOOKUP(D247,CadProd!$A:$C,3,0)),"")</f>
        <v/>
      </c>
      <c r="I247" s="1" t="str">
        <f t="shared" si="3"/>
        <v/>
      </c>
    </row>
    <row r="248" spans="5:9" x14ac:dyDescent="0.3">
      <c r="E248" t="str">
        <f>IFERROR(IF(D248="","",VLOOKUP(D248,CadProd!$A:$B,2,0)),"")</f>
        <v/>
      </c>
      <c r="F248" t="str">
        <f>IFERROR(IF(D248="","",VLOOKUP(D248,CadProd!$A:$C,3,0)),"")</f>
        <v/>
      </c>
      <c r="I248" s="1" t="str">
        <f t="shared" si="3"/>
        <v/>
      </c>
    </row>
    <row r="249" spans="5:9" x14ac:dyDescent="0.3">
      <c r="E249" t="str">
        <f>IFERROR(IF(D249="","",VLOOKUP(D249,CadProd!$A:$B,2,0)),"")</f>
        <v/>
      </c>
      <c r="F249" t="str">
        <f>IFERROR(IF(D249="","",VLOOKUP(D249,CadProd!$A:$C,3,0)),"")</f>
        <v/>
      </c>
      <c r="I249" s="1" t="str">
        <f t="shared" si="3"/>
        <v/>
      </c>
    </row>
    <row r="250" spans="5:9" x14ac:dyDescent="0.3">
      <c r="E250" t="str">
        <f>IFERROR(IF(D250="","",VLOOKUP(D250,CadProd!$A:$B,2,0)),"")</f>
        <v/>
      </c>
      <c r="F250" t="str">
        <f>IFERROR(IF(D250="","",VLOOKUP(D250,CadProd!$A:$C,3,0)),"")</f>
        <v/>
      </c>
      <c r="I250" s="1" t="str">
        <f t="shared" si="3"/>
        <v/>
      </c>
    </row>
    <row r="251" spans="5:9" x14ac:dyDescent="0.3">
      <c r="E251" t="str">
        <f>IFERROR(IF(D251="","",VLOOKUP(D251,CadProd!$A:$B,2,0)),"")</f>
        <v/>
      </c>
      <c r="F251" t="str">
        <f>IFERROR(IF(D251="","",VLOOKUP(D251,CadProd!$A:$C,3,0)),"")</f>
        <v/>
      </c>
      <c r="I251" s="1" t="str">
        <f t="shared" si="3"/>
        <v/>
      </c>
    </row>
    <row r="252" spans="5:9" x14ac:dyDescent="0.3">
      <c r="E252" t="str">
        <f>IFERROR(IF(D252="","",VLOOKUP(D252,CadProd!$A:$B,2,0)),"")</f>
        <v/>
      </c>
      <c r="F252" t="str">
        <f>IFERROR(IF(D252="","",VLOOKUP(D252,CadProd!$A:$C,3,0)),"")</f>
        <v/>
      </c>
      <c r="I252" s="1" t="str">
        <f t="shared" si="3"/>
        <v/>
      </c>
    </row>
    <row r="253" spans="5:9" x14ac:dyDescent="0.3">
      <c r="E253" t="str">
        <f>IFERROR(IF(D253="","",VLOOKUP(D253,CadProd!$A:$B,2,0)),"")</f>
        <v/>
      </c>
      <c r="F253" t="str">
        <f>IFERROR(IF(D253="","",VLOOKUP(D253,CadProd!$A:$C,3,0)),"")</f>
        <v/>
      </c>
      <c r="I253" s="1" t="str">
        <f t="shared" si="3"/>
        <v/>
      </c>
    </row>
    <row r="254" spans="5:9" x14ac:dyDescent="0.3">
      <c r="E254" t="str">
        <f>IFERROR(IF(D254="","",VLOOKUP(D254,CadProd!$A:$B,2,0)),"")</f>
        <v/>
      </c>
      <c r="F254" t="str">
        <f>IFERROR(IF(D254="","",VLOOKUP(D254,CadProd!$A:$C,3,0)),"")</f>
        <v/>
      </c>
      <c r="I254" s="1" t="str">
        <f t="shared" si="3"/>
        <v/>
      </c>
    </row>
    <row r="255" spans="5:9" x14ac:dyDescent="0.3">
      <c r="E255" t="str">
        <f>IFERROR(IF(D255="","",VLOOKUP(D255,CadProd!$A:$B,2,0)),"")</f>
        <v/>
      </c>
      <c r="F255" t="str">
        <f>IFERROR(IF(D255="","",VLOOKUP(D255,CadProd!$A:$C,3,0)),"")</f>
        <v/>
      </c>
      <c r="I255" s="1" t="str">
        <f t="shared" si="3"/>
        <v/>
      </c>
    </row>
    <row r="256" spans="5:9" x14ac:dyDescent="0.3">
      <c r="E256" t="str">
        <f>IFERROR(IF(D256="","",VLOOKUP(D256,CadProd!$A:$B,2,0)),"")</f>
        <v/>
      </c>
      <c r="F256" t="str">
        <f>IFERROR(IF(D256="","",VLOOKUP(D256,CadProd!$A:$C,3,0)),"")</f>
        <v/>
      </c>
      <c r="I256" s="1" t="str">
        <f t="shared" si="3"/>
        <v/>
      </c>
    </row>
    <row r="257" spans="5:9" x14ac:dyDescent="0.3">
      <c r="E257" t="str">
        <f>IFERROR(IF(D257="","",VLOOKUP(D257,CadProd!$A:$B,2,0)),"")</f>
        <v/>
      </c>
      <c r="F257" t="str">
        <f>IFERROR(IF(D257="","",VLOOKUP(D257,CadProd!$A:$C,3,0)),"")</f>
        <v/>
      </c>
      <c r="I257" s="1" t="str">
        <f t="shared" si="3"/>
        <v/>
      </c>
    </row>
    <row r="258" spans="5:9" x14ac:dyDescent="0.3">
      <c r="E258" t="str">
        <f>IFERROR(IF(D258="","",VLOOKUP(D258,CadProd!$A:$B,2,0)),"")</f>
        <v/>
      </c>
      <c r="F258" t="str">
        <f>IFERROR(IF(D258="","",VLOOKUP(D258,CadProd!$A:$C,3,0)),"")</f>
        <v/>
      </c>
      <c r="I258" s="1" t="str">
        <f t="shared" ref="I258:I321" si="4">IFERROR(IF(D258="","",H258*G258),"")</f>
        <v/>
      </c>
    </row>
    <row r="259" spans="5:9" x14ac:dyDescent="0.3">
      <c r="E259" t="str">
        <f>IFERROR(IF(D259="","",VLOOKUP(D259,CadProd!$A:$B,2,0)),"")</f>
        <v/>
      </c>
      <c r="F259" t="str">
        <f>IFERROR(IF(D259="","",VLOOKUP(D259,CadProd!$A:$C,3,0)),"")</f>
        <v/>
      </c>
      <c r="I259" s="1" t="str">
        <f t="shared" si="4"/>
        <v/>
      </c>
    </row>
    <row r="260" spans="5:9" x14ac:dyDescent="0.3">
      <c r="E260" t="str">
        <f>IFERROR(IF(D260="","",VLOOKUP(D260,CadProd!$A:$B,2,0)),"")</f>
        <v/>
      </c>
      <c r="F260" t="str">
        <f>IFERROR(IF(D260="","",VLOOKUP(D260,CadProd!$A:$C,3,0)),"")</f>
        <v/>
      </c>
      <c r="I260" s="1" t="str">
        <f t="shared" si="4"/>
        <v/>
      </c>
    </row>
    <row r="261" spans="5:9" x14ac:dyDescent="0.3">
      <c r="E261" t="str">
        <f>IFERROR(IF(D261="","",VLOOKUP(D261,CadProd!$A:$B,2,0)),"")</f>
        <v/>
      </c>
      <c r="F261" t="str">
        <f>IFERROR(IF(D261="","",VLOOKUP(D261,CadProd!$A:$C,3,0)),"")</f>
        <v/>
      </c>
      <c r="I261" s="1" t="str">
        <f t="shared" si="4"/>
        <v/>
      </c>
    </row>
    <row r="262" spans="5:9" x14ac:dyDescent="0.3">
      <c r="E262" t="str">
        <f>IFERROR(IF(D262="","",VLOOKUP(D262,CadProd!$A:$B,2,0)),"")</f>
        <v/>
      </c>
      <c r="F262" t="str">
        <f>IFERROR(IF(D262="","",VLOOKUP(D262,CadProd!$A:$C,3,0)),"")</f>
        <v/>
      </c>
      <c r="I262" s="1" t="str">
        <f t="shared" si="4"/>
        <v/>
      </c>
    </row>
    <row r="263" spans="5:9" x14ac:dyDescent="0.3">
      <c r="E263" t="str">
        <f>IFERROR(IF(D263="","",VLOOKUP(D263,CadProd!$A:$B,2,0)),"")</f>
        <v/>
      </c>
      <c r="F263" t="str">
        <f>IFERROR(IF(D263="","",VLOOKUP(D263,CadProd!$A:$C,3,0)),"")</f>
        <v/>
      </c>
      <c r="I263" s="1" t="str">
        <f t="shared" si="4"/>
        <v/>
      </c>
    </row>
    <row r="264" spans="5:9" x14ac:dyDescent="0.3">
      <c r="E264" t="str">
        <f>IFERROR(IF(D264="","",VLOOKUP(D264,CadProd!$A:$B,2,0)),"")</f>
        <v/>
      </c>
      <c r="F264" t="str">
        <f>IFERROR(IF(D264="","",VLOOKUP(D264,CadProd!$A:$C,3,0)),"")</f>
        <v/>
      </c>
      <c r="I264" s="1" t="str">
        <f t="shared" si="4"/>
        <v/>
      </c>
    </row>
    <row r="265" spans="5:9" x14ac:dyDescent="0.3">
      <c r="E265" t="str">
        <f>IFERROR(IF(D265="","",VLOOKUP(D265,CadProd!$A:$B,2,0)),"")</f>
        <v/>
      </c>
      <c r="F265" t="str">
        <f>IFERROR(IF(D265="","",VLOOKUP(D265,CadProd!$A:$C,3,0)),"")</f>
        <v/>
      </c>
      <c r="I265" s="1" t="str">
        <f t="shared" si="4"/>
        <v/>
      </c>
    </row>
    <row r="266" spans="5:9" x14ac:dyDescent="0.3">
      <c r="E266" t="str">
        <f>IFERROR(IF(D266="","",VLOOKUP(D266,CadProd!$A:$B,2,0)),"")</f>
        <v/>
      </c>
      <c r="F266" t="str">
        <f>IFERROR(IF(D266="","",VLOOKUP(D266,CadProd!$A:$C,3,0)),"")</f>
        <v/>
      </c>
      <c r="I266" s="1" t="str">
        <f t="shared" si="4"/>
        <v/>
      </c>
    </row>
    <row r="267" spans="5:9" x14ac:dyDescent="0.3">
      <c r="E267" t="str">
        <f>IFERROR(IF(D267="","",VLOOKUP(D267,CadProd!$A:$B,2,0)),"")</f>
        <v/>
      </c>
      <c r="F267" t="str">
        <f>IFERROR(IF(D267="","",VLOOKUP(D267,CadProd!$A:$C,3,0)),"")</f>
        <v/>
      </c>
      <c r="I267" s="1" t="str">
        <f t="shared" si="4"/>
        <v/>
      </c>
    </row>
    <row r="268" spans="5:9" x14ac:dyDescent="0.3">
      <c r="E268" t="str">
        <f>IFERROR(IF(D268="","",VLOOKUP(D268,CadProd!$A:$B,2,0)),"")</f>
        <v/>
      </c>
      <c r="F268" t="str">
        <f>IFERROR(IF(D268="","",VLOOKUP(D268,CadProd!$A:$C,3,0)),"")</f>
        <v/>
      </c>
      <c r="I268" s="1" t="str">
        <f t="shared" si="4"/>
        <v/>
      </c>
    </row>
    <row r="269" spans="5:9" x14ac:dyDescent="0.3">
      <c r="E269" t="str">
        <f>IFERROR(IF(D269="","",VLOOKUP(D269,CadProd!$A:$B,2,0)),"")</f>
        <v/>
      </c>
      <c r="F269" t="str">
        <f>IFERROR(IF(D269="","",VLOOKUP(D269,CadProd!$A:$C,3,0)),"")</f>
        <v/>
      </c>
      <c r="I269" s="1" t="str">
        <f t="shared" si="4"/>
        <v/>
      </c>
    </row>
    <row r="270" spans="5:9" x14ac:dyDescent="0.3">
      <c r="E270" t="str">
        <f>IFERROR(IF(D270="","",VLOOKUP(D270,CadProd!$A:$B,2,0)),"")</f>
        <v/>
      </c>
      <c r="F270" t="str">
        <f>IFERROR(IF(D270="","",VLOOKUP(D270,CadProd!$A:$C,3,0)),"")</f>
        <v/>
      </c>
      <c r="I270" s="1" t="str">
        <f t="shared" si="4"/>
        <v/>
      </c>
    </row>
    <row r="271" spans="5:9" x14ac:dyDescent="0.3">
      <c r="E271" t="str">
        <f>IFERROR(IF(D271="","",VLOOKUP(D271,CadProd!$A:$B,2,0)),"")</f>
        <v/>
      </c>
      <c r="F271" t="str">
        <f>IFERROR(IF(D271="","",VLOOKUP(D271,CadProd!$A:$C,3,0)),"")</f>
        <v/>
      </c>
      <c r="I271" s="1" t="str">
        <f t="shared" si="4"/>
        <v/>
      </c>
    </row>
    <row r="272" spans="5:9" x14ac:dyDescent="0.3">
      <c r="E272" t="str">
        <f>IFERROR(IF(D272="","",VLOOKUP(D272,CadProd!$A:$B,2,0)),"")</f>
        <v/>
      </c>
      <c r="F272" t="str">
        <f>IFERROR(IF(D272="","",VLOOKUP(D272,CadProd!$A:$C,3,0)),"")</f>
        <v/>
      </c>
      <c r="I272" s="1" t="str">
        <f t="shared" si="4"/>
        <v/>
      </c>
    </row>
    <row r="273" spans="5:9" x14ac:dyDescent="0.3">
      <c r="E273" t="str">
        <f>IFERROR(IF(D273="","",VLOOKUP(D273,CadProd!$A:$B,2,0)),"")</f>
        <v/>
      </c>
      <c r="F273" t="str">
        <f>IFERROR(IF(D273="","",VLOOKUP(D273,CadProd!$A:$C,3,0)),"")</f>
        <v/>
      </c>
      <c r="I273" s="1" t="str">
        <f t="shared" si="4"/>
        <v/>
      </c>
    </row>
    <row r="274" spans="5:9" x14ac:dyDescent="0.3">
      <c r="E274" t="str">
        <f>IFERROR(IF(D274="","",VLOOKUP(D274,CadProd!$A:$B,2,0)),"")</f>
        <v/>
      </c>
      <c r="F274" t="str">
        <f>IFERROR(IF(D274="","",VLOOKUP(D274,CadProd!$A:$C,3,0)),"")</f>
        <v/>
      </c>
      <c r="I274" s="1" t="str">
        <f t="shared" si="4"/>
        <v/>
      </c>
    </row>
    <row r="275" spans="5:9" x14ac:dyDescent="0.3">
      <c r="E275" t="str">
        <f>IFERROR(IF(D275="","",VLOOKUP(D275,CadProd!$A:$B,2,0)),"")</f>
        <v/>
      </c>
      <c r="F275" t="str">
        <f>IFERROR(IF(D275="","",VLOOKUP(D275,CadProd!$A:$C,3,0)),"")</f>
        <v/>
      </c>
      <c r="I275" s="1" t="str">
        <f t="shared" si="4"/>
        <v/>
      </c>
    </row>
    <row r="276" spans="5:9" x14ac:dyDescent="0.3">
      <c r="E276" t="str">
        <f>IFERROR(IF(D276="","",VLOOKUP(D276,CadProd!$A:$B,2,0)),"")</f>
        <v/>
      </c>
      <c r="F276" t="str">
        <f>IFERROR(IF(D276="","",VLOOKUP(D276,CadProd!$A:$C,3,0)),"")</f>
        <v/>
      </c>
      <c r="I276" s="1" t="str">
        <f t="shared" si="4"/>
        <v/>
      </c>
    </row>
    <row r="277" spans="5:9" x14ac:dyDescent="0.3">
      <c r="E277" t="str">
        <f>IFERROR(IF(D277="","",VLOOKUP(D277,CadProd!$A:$B,2,0)),"")</f>
        <v/>
      </c>
      <c r="F277" t="str">
        <f>IFERROR(IF(D277="","",VLOOKUP(D277,CadProd!$A:$C,3,0)),"")</f>
        <v/>
      </c>
      <c r="I277" s="1" t="str">
        <f t="shared" si="4"/>
        <v/>
      </c>
    </row>
    <row r="278" spans="5:9" x14ac:dyDescent="0.3">
      <c r="E278" t="str">
        <f>IFERROR(IF(D278="","",VLOOKUP(D278,CadProd!$A:$B,2,0)),"")</f>
        <v/>
      </c>
      <c r="F278" t="str">
        <f>IFERROR(IF(D278="","",VLOOKUP(D278,CadProd!$A:$C,3,0)),"")</f>
        <v/>
      </c>
      <c r="I278" s="1" t="str">
        <f t="shared" si="4"/>
        <v/>
      </c>
    </row>
    <row r="279" spans="5:9" x14ac:dyDescent="0.3">
      <c r="E279" t="str">
        <f>IFERROR(IF(D279="","",VLOOKUP(D279,CadProd!$A:$B,2,0)),"")</f>
        <v/>
      </c>
      <c r="F279" t="str">
        <f>IFERROR(IF(D279="","",VLOOKUP(D279,CadProd!$A:$C,3,0)),"")</f>
        <v/>
      </c>
      <c r="I279" s="1" t="str">
        <f t="shared" si="4"/>
        <v/>
      </c>
    </row>
    <row r="280" spans="5:9" x14ac:dyDescent="0.3">
      <c r="E280" t="str">
        <f>IFERROR(IF(D280="","",VLOOKUP(D280,CadProd!$A:$B,2,0)),"")</f>
        <v/>
      </c>
      <c r="F280" t="str">
        <f>IFERROR(IF(D280="","",VLOOKUP(D280,CadProd!$A:$C,3,0)),"")</f>
        <v/>
      </c>
      <c r="I280" s="1" t="str">
        <f t="shared" si="4"/>
        <v/>
      </c>
    </row>
    <row r="281" spans="5:9" x14ac:dyDescent="0.3">
      <c r="E281" t="str">
        <f>IFERROR(IF(D281="","",VLOOKUP(D281,CadProd!$A:$B,2,0)),"")</f>
        <v/>
      </c>
      <c r="F281" t="str">
        <f>IFERROR(IF(D281="","",VLOOKUP(D281,CadProd!$A:$C,3,0)),"")</f>
        <v/>
      </c>
      <c r="I281" s="1" t="str">
        <f t="shared" si="4"/>
        <v/>
      </c>
    </row>
    <row r="282" spans="5:9" x14ac:dyDescent="0.3">
      <c r="E282" t="str">
        <f>IFERROR(IF(D282="","",VLOOKUP(D282,CadProd!$A:$B,2,0)),"")</f>
        <v/>
      </c>
      <c r="F282" t="str">
        <f>IFERROR(IF(D282="","",VLOOKUP(D282,CadProd!$A:$C,3,0)),"")</f>
        <v/>
      </c>
      <c r="I282" s="1" t="str">
        <f t="shared" si="4"/>
        <v/>
      </c>
    </row>
    <row r="283" spans="5:9" x14ac:dyDescent="0.3">
      <c r="E283" t="str">
        <f>IFERROR(IF(D283="","",VLOOKUP(D283,CadProd!$A:$B,2,0)),"")</f>
        <v/>
      </c>
      <c r="F283" t="str">
        <f>IFERROR(IF(D283="","",VLOOKUP(D283,CadProd!$A:$C,3,0)),"")</f>
        <v/>
      </c>
      <c r="I283" s="1" t="str">
        <f t="shared" si="4"/>
        <v/>
      </c>
    </row>
    <row r="284" spans="5:9" x14ac:dyDescent="0.3">
      <c r="E284" t="str">
        <f>IFERROR(IF(D284="","",VLOOKUP(D284,CadProd!$A:$B,2,0)),"")</f>
        <v/>
      </c>
      <c r="F284" t="str">
        <f>IFERROR(IF(D284="","",VLOOKUP(D284,CadProd!$A:$C,3,0)),"")</f>
        <v/>
      </c>
      <c r="I284" s="1" t="str">
        <f t="shared" si="4"/>
        <v/>
      </c>
    </row>
    <row r="285" spans="5:9" x14ac:dyDescent="0.3">
      <c r="E285" t="str">
        <f>IFERROR(IF(D285="","",VLOOKUP(D285,CadProd!$A:$B,2,0)),"")</f>
        <v/>
      </c>
      <c r="F285" t="str">
        <f>IFERROR(IF(D285="","",VLOOKUP(D285,CadProd!$A:$C,3,0)),"")</f>
        <v/>
      </c>
      <c r="I285" s="1" t="str">
        <f t="shared" si="4"/>
        <v/>
      </c>
    </row>
    <row r="286" spans="5:9" x14ac:dyDescent="0.3">
      <c r="E286" t="str">
        <f>IFERROR(IF(D286="","",VLOOKUP(D286,CadProd!$A:$B,2,0)),"")</f>
        <v/>
      </c>
      <c r="F286" t="str">
        <f>IFERROR(IF(D286="","",VLOOKUP(D286,CadProd!$A:$C,3,0)),"")</f>
        <v/>
      </c>
      <c r="I286" s="1" t="str">
        <f t="shared" si="4"/>
        <v/>
      </c>
    </row>
    <row r="287" spans="5:9" x14ac:dyDescent="0.3">
      <c r="E287" t="str">
        <f>IFERROR(IF(D287="","",VLOOKUP(D287,CadProd!$A:$B,2,0)),"")</f>
        <v/>
      </c>
      <c r="F287" t="str">
        <f>IFERROR(IF(D287="","",VLOOKUP(D287,CadProd!$A:$C,3,0)),"")</f>
        <v/>
      </c>
      <c r="I287" s="1" t="str">
        <f t="shared" si="4"/>
        <v/>
      </c>
    </row>
    <row r="288" spans="5:9" x14ac:dyDescent="0.3">
      <c r="E288" t="str">
        <f>IFERROR(IF(D288="","",VLOOKUP(D288,CadProd!$A:$B,2,0)),"")</f>
        <v/>
      </c>
      <c r="F288" t="str">
        <f>IFERROR(IF(D288="","",VLOOKUP(D288,CadProd!$A:$C,3,0)),"")</f>
        <v/>
      </c>
      <c r="I288" s="1" t="str">
        <f t="shared" si="4"/>
        <v/>
      </c>
    </row>
    <row r="289" spans="5:9" x14ac:dyDescent="0.3">
      <c r="E289" t="str">
        <f>IFERROR(IF(D289="","",VLOOKUP(D289,CadProd!$A:$B,2,0)),"")</f>
        <v/>
      </c>
      <c r="F289" t="str">
        <f>IFERROR(IF(D289="","",VLOOKUP(D289,CadProd!$A:$C,3,0)),"")</f>
        <v/>
      </c>
      <c r="I289" s="1" t="str">
        <f t="shared" si="4"/>
        <v/>
      </c>
    </row>
    <row r="290" spans="5:9" x14ac:dyDescent="0.3">
      <c r="E290" t="str">
        <f>IFERROR(IF(D290="","",VLOOKUP(D290,CadProd!$A:$B,2,0)),"")</f>
        <v/>
      </c>
      <c r="F290" t="str">
        <f>IFERROR(IF(D290="","",VLOOKUP(D290,CadProd!$A:$C,3,0)),"")</f>
        <v/>
      </c>
      <c r="I290" s="1" t="str">
        <f t="shared" si="4"/>
        <v/>
      </c>
    </row>
    <row r="291" spans="5:9" x14ac:dyDescent="0.3">
      <c r="E291" t="str">
        <f>IFERROR(IF(D291="","",VLOOKUP(D291,CadProd!$A:$B,2,0)),"")</f>
        <v/>
      </c>
      <c r="F291" t="str">
        <f>IFERROR(IF(D291="","",VLOOKUP(D291,CadProd!$A:$C,3,0)),"")</f>
        <v/>
      </c>
      <c r="I291" s="1" t="str">
        <f t="shared" si="4"/>
        <v/>
      </c>
    </row>
    <row r="292" spans="5:9" x14ac:dyDescent="0.3">
      <c r="E292" t="str">
        <f>IFERROR(IF(D292="","",VLOOKUP(D292,CadProd!$A:$B,2,0)),"")</f>
        <v/>
      </c>
      <c r="F292" t="str">
        <f>IFERROR(IF(D292="","",VLOOKUP(D292,CadProd!$A:$C,3,0)),"")</f>
        <v/>
      </c>
      <c r="I292" s="1" t="str">
        <f t="shared" si="4"/>
        <v/>
      </c>
    </row>
    <row r="293" spans="5:9" x14ac:dyDescent="0.3">
      <c r="E293" t="str">
        <f>IFERROR(IF(D293="","",VLOOKUP(D293,CadProd!$A:$B,2,0)),"")</f>
        <v/>
      </c>
      <c r="F293" t="str">
        <f>IFERROR(IF(D293="","",VLOOKUP(D293,CadProd!$A:$C,3,0)),"")</f>
        <v/>
      </c>
      <c r="I293" s="1" t="str">
        <f t="shared" si="4"/>
        <v/>
      </c>
    </row>
    <row r="294" spans="5:9" x14ac:dyDescent="0.3">
      <c r="E294" t="str">
        <f>IFERROR(IF(D294="","",VLOOKUP(D294,CadProd!$A:$B,2,0)),"")</f>
        <v/>
      </c>
      <c r="F294" t="str">
        <f>IFERROR(IF(D294="","",VLOOKUP(D294,CadProd!$A:$C,3,0)),"")</f>
        <v/>
      </c>
      <c r="I294" s="1" t="str">
        <f t="shared" si="4"/>
        <v/>
      </c>
    </row>
    <row r="295" spans="5:9" x14ac:dyDescent="0.3">
      <c r="E295" t="str">
        <f>IFERROR(IF(D295="","",VLOOKUP(D295,CadProd!$A:$B,2,0)),"")</f>
        <v/>
      </c>
      <c r="F295" t="str">
        <f>IFERROR(IF(D295="","",VLOOKUP(D295,CadProd!$A:$C,3,0)),"")</f>
        <v/>
      </c>
      <c r="I295" s="1" t="str">
        <f t="shared" si="4"/>
        <v/>
      </c>
    </row>
    <row r="296" spans="5:9" x14ac:dyDescent="0.3">
      <c r="E296" t="str">
        <f>IFERROR(IF(D296="","",VLOOKUP(D296,CadProd!$A:$B,2,0)),"")</f>
        <v/>
      </c>
      <c r="F296" t="str">
        <f>IFERROR(IF(D296="","",VLOOKUP(D296,CadProd!$A:$C,3,0)),"")</f>
        <v/>
      </c>
      <c r="I296" s="1" t="str">
        <f t="shared" si="4"/>
        <v/>
      </c>
    </row>
    <row r="297" spans="5:9" x14ac:dyDescent="0.3">
      <c r="E297" t="str">
        <f>IFERROR(IF(D297="","",VLOOKUP(D297,CadProd!$A:$B,2,0)),"")</f>
        <v/>
      </c>
      <c r="F297" t="str">
        <f>IFERROR(IF(D297="","",VLOOKUP(D297,CadProd!$A:$C,3,0)),"")</f>
        <v/>
      </c>
      <c r="I297" s="1" t="str">
        <f t="shared" si="4"/>
        <v/>
      </c>
    </row>
    <row r="298" spans="5:9" x14ac:dyDescent="0.3">
      <c r="E298" t="str">
        <f>IFERROR(IF(D298="","",VLOOKUP(D298,CadProd!$A:$B,2,0)),"")</f>
        <v/>
      </c>
      <c r="F298" t="str">
        <f>IFERROR(IF(D298="","",VLOOKUP(D298,CadProd!$A:$C,3,0)),"")</f>
        <v/>
      </c>
      <c r="I298" s="1" t="str">
        <f t="shared" si="4"/>
        <v/>
      </c>
    </row>
    <row r="299" spans="5:9" x14ac:dyDescent="0.3">
      <c r="E299" t="str">
        <f>IFERROR(IF(D299="","",VLOOKUP(D299,CadProd!$A:$B,2,0)),"")</f>
        <v/>
      </c>
      <c r="F299" t="str">
        <f>IFERROR(IF(D299="","",VLOOKUP(D299,CadProd!$A:$C,3,0)),"")</f>
        <v/>
      </c>
      <c r="I299" s="1" t="str">
        <f t="shared" si="4"/>
        <v/>
      </c>
    </row>
    <row r="300" spans="5:9" x14ac:dyDescent="0.3">
      <c r="E300" t="str">
        <f>IFERROR(IF(D300="","",VLOOKUP(D300,CadProd!$A:$B,2,0)),"")</f>
        <v/>
      </c>
      <c r="F300" t="str">
        <f>IFERROR(IF(D300="","",VLOOKUP(D300,CadProd!$A:$C,3,0)),"")</f>
        <v/>
      </c>
      <c r="I300" s="1" t="str">
        <f t="shared" si="4"/>
        <v/>
      </c>
    </row>
    <row r="301" spans="5:9" x14ac:dyDescent="0.3">
      <c r="E301" t="str">
        <f>IFERROR(IF(D301="","",VLOOKUP(D301,CadProd!$A:$B,2,0)),"")</f>
        <v/>
      </c>
      <c r="F301" t="str">
        <f>IFERROR(IF(D301="","",VLOOKUP(D301,CadProd!$A:$C,3,0)),"")</f>
        <v/>
      </c>
      <c r="I301" s="1" t="str">
        <f t="shared" si="4"/>
        <v/>
      </c>
    </row>
    <row r="302" spans="5:9" x14ac:dyDescent="0.3">
      <c r="E302" t="str">
        <f>IFERROR(IF(D302="","",VLOOKUP(D302,CadProd!$A:$B,2,0)),"")</f>
        <v/>
      </c>
      <c r="F302" t="str">
        <f>IFERROR(IF(D302="","",VLOOKUP(D302,CadProd!$A:$C,3,0)),"")</f>
        <v/>
      </c>
      <c r="I302" s="1" t="str">
        <f t="shared" si="4"/>
        <v/>
      </c>
    </row>
    <row r="303" spans="5:9" x14ac:dyDescent="0.3">
      <c r="E303" t="str">
        <f>IFERROR(IF(D303="","",VLOOKUP(D303,CadProd!$A:$B,2,0)),"")</f>
        <v/>
      </c>
      <c r="F303" t="str">
        <f>IFERROR(IF(D303="","",VLOOKUP(D303,CadProd!$A:$C,3,0)),"")</f>
        <v/>
      </c>
      <c r="I303" s="1" t="str">
        <f t="shared" si="4"/>
        <v/>
      </c>
    </row>
    <row r="304" spans="5:9" x14ac:dyDescent="0.3">
      <c r="E304" t="str">
        <f>IFERROR(IF(D304="","",VLOOKUP(D304,CadProd!$A:$B,2,0)),"")</f>
        <v/>
      </c>
      <c r="F304" t="str">
        <f>IFERROR(IF(D304="","",VLOOKUP(D304,CadProd!$A:$C,3,0)),"")</f>
        <v/>
      </c>
      <c r="I304" s="1" t="str">
        <f t="shared" si="4"/>
        <v/>
      </c>
    </row>
    <row r="305" spans="5:9" x14ac:dyDescent="0.3">
      <c r="E305" t="str">
        <f>IFERROR(IF(D305="","",VLOOKUP(D305,CadProd!$A:$B,2,0)),"")</f>
        <v/>
      </c>
      <c r="F305" t="str">
        <f>IFERROR(IF(D305="","",VLOOKUP(D305,CadProd!$A:$C,3,0)),"")</f>
        <v/>
      </c>
      <c r="I305" s="1" t="str">
        <f t="shared" si="4"/>
        <v/>
      </c>
    </row>
    <row r="306" spans="5:9" x14ac:dyDescent="0.3">
      <c r="E306" t="str">
        <f>IFERROR(IF(D306="","",VLOOKUP(D306,CadProd!$A:$B,2,0)),"")</f>
        <v/>
      </c>
      <c r="F306" t="str">
        <f>IFERROR(IF(D306="","",VLOOKUP(D306,CadProd!$A:$C,3,0)),"")</f>
        <v/>
      </c>
      <c r="I306" s="1" t="str">
        <f t="shared" si="4"/>
        <v/>
      </c>
    </row>
    <row r="307" spans="5:9" x14ac:dyDescent="0.3">
      <c r="E307" t="str">
        <f>IFERROR(IF(D307="","",VLOOKUP(D307,CadProd!$A:$B,2,0)),"")</f>
        <v/>
      </c>
      <c r="F307" t="str">
        <f>IFERROR(IF(D307="","",VLOOKUP(D307,CadProd!$A:$C,3,0)),"")</f>
        <v/>
      </c>
      <c r="I307" s="1" t="str">
        <f t="shared" si="4"/>
        <v/>
      </c>
    </row>
    <row r="308" spans="5:9" x14ac:dyDescent="0.3">
      <c r="E308" t="str">
        <f>IFERROR(IF(D308="","",VLOOKUP(D308,CadProd!$A:$B,2,0)),"")</f>
        <v/>
      </c>
      <c r="F308" t="str">
        <f>IFERROR(IF(D308="","",VLOOKUP(D308,CadProd!$A:$C,3,0)),"")</f>
        <v/>
      </c>
      <c r="I308" s="1" t="str">
        <f t="shared" si="4"/>
        <v/>
      </c>
    </row>
    <row r="309" spans="5:9" x14ac:dyDescent="0.3">
      <c r="E309" t="str">
        <f>IFERROR(IF(D309="","",VLOOKUP(D309,CadProd!$A:$B,2,0)),"")</f>
        <v/>
      </c>
      <c r="F309" t="str">
        <f>IFERROR(IF(D309="","",VLOOKUP(D309,CadProd!$A:$C,3,0)),"")</f>
        <v/>
      </c>
      <c r="I309" s="1" t="str">
        <f t="shared" si="4"/>
        <v/>
      </c>
    </row>
    <row r="310" spans="5:9" x14ac:dyDescent="0.3">
      <c r="E310" t="str">
        <f>IFERROR(IF(D310="","",VLOOKUP(D310,CadProd!$A:$B,2,0)),"")</f>
        <v/>
      </c>
      <c r="F310" t="str">
        <f>IFERROR(IF(D310="","",VLOOKUP(D310,CadProd!$A:$C,3,0)),"")</f>
        <v/>
      </c>
      <c r="I310" s="1" t="str">
        <f t="shared" si="4"/>
        <v/>
      </c>
    </row>
    <row r="311" spans="5:9" x14ac:dyDescent="0.3">
      <c r="E311" t="str">
        <f>IFERROR(IF(D311="","",VLOOKUP(D311,CadProd!$A:$B,2,0)),"")</f>
        <v/>
      </c>
      <c r="F311" t="str">
        <f>IFERROR(IF(D311="","",VLOOKUP(D311,CadProd!$A:$C,3,0)),"")</f>
        <v/>
      </c>
      <c r="I311" s="1" t="str">
        <f t="shared" si="4"/>
        <v/>
      </c>
    </row>
    <row r="312" spans="5:9" x14ac:dyDescent="0.3">
      <c r="E312" t="str">
        <f>IFERROR(IF(D312="","",VLOOKUP(D312,CadProd!$A:$B,2,0)),"")</f>
        <v/>
      </c>
      <c r="F312" t="str">
        <f>IFERROR(IF(D312="","",VLOOKUP(D312,CadProd!$A:$C,3,0)),"")</f>
        <v/>
      </c>
      <c r="I312" s="1" t="str">
        <f t="shared" si="4"/>
        <v/>
      </c>
    </row>
    <row r="313" spans="5:9" x14ac:dyDescent="0.3">
      <c r="E313" t="str">
        <f>IFERROR(IF(D313="","",VLOOKUP(D313,CadProd!$A:$B,2,0)),"")</f>
        <v/>
      </c>
      <c r="F313" t="str">
        <f>IFERROR(IF(D313="","",VLOOKUP(D313,CadProd!$A:$C,3,0)),"")</f>
        <v/>
      </c>
      <c r="I313" s="1" t="str">
        <f t="shared" si="4"/>
        <v/>
      </c>
    </row>
    <row r="314" spans="5:9" x14ac:dyDescent="0.3">
      <c r="E314" t="str">
        <f>IFERROR(IF(D314="","",VLOOKUP(D314,CadProd!$A:$B,2,0)),"")</f>
        <v/>
      </c>
      <c r="F314" t="str">
        <f>IFERROR(IF(D314="","",VLOOKUP(D314,CadProd!$A:$C,3,0)),"")</f>
        <v/>
      </c>
      <c r="I314" s="1" t="str">
        <f t="shared" si="4"/>
        <v/>
      </c>
    </row>
    <row r="315" spans="5:9" x14ac:dyDescent="0.3">
      <c r="E315" t="str">
        <f>IFERROR(IF(D315="","",VLOOKUP(D315,CadProd!$A:$B,2,0)),"")</f>
        <v/>
      </c>
      <c r="F315" t="str">
        <f>IFERROR(IF(D315="","",VLOOKUP(D315,CadProd!$A:$C,3,0)),"")</f>
        <v/>
      </c>
      <c r="I315" s="1" t="str">
        <f t="shared" si="4"/>
        <v/>
      </c>
    </row>
    <row r="316" spans="5:9" x14ac:dyDescent="0.3">
      <c r="E316" t="str">
        <f>IFERROR(IF(D316="","",VLOOKUP(D316,CadProd!$A:$B,2,0)),"")</f>
        <v/>
      </c>
      <c r="F316" t="str">
        <f>IFERROR(IF(D316="","",VLOOKUP(D316,CadProd!$A:$C,3,0)),"")</f>
        <v/>
      </c>
      <c r="I316" s="1" t="str">
        <f t="shared" si="4"/>
        <v/>
      </c>
    </row>
    <row r="317" spans="5:9" x14ac:dyDescent="0.3">
      <c r="E317" t="str">
        <f>IFERROR(IF(D317="","",VLOOKUP(D317,CadProd!$A:$B,2,0)),"")</f>
        <v/>
      </c>
      <c r="F317" t="str">
        <f>IFERROR(IF(D317="","",VLOOKUP(D317,CadProd!$A:$C,3,0)),"")</f>
        <v/>
      </c>
      <c r="I317" s="1" t="str">
        <f t="shared" si="4"/>
        <v/>
      </c>
    </row>
    <row r="318" spans="5:9" x14ac:dyDescent="0.3">
      <c r="E318" t="str">
        <f>IFERROR(IF(D318="","",VLOOKUP(D318,CadProd!$A:$B,2,0)),"")</f>
        <v/>
      </c>
      <c r="F318" t="str">
        <f>IFERROR(IF(D318="","",VLOOKUP(D318,CadProd!$A:$C,3,0)),"")</f>
        <v/>
      </c>
      <c r="I318" s="1" t="str">
        <f t="shared" si="4"/>
        <v/>
      </c>
    </row>
    <row r="319" spans="5:9" x14ac:dyDescent="0.3">
      <c r="E319" t="str">
        <f>IFERROR(IF(D319="","",VLOOKUP(D319,CadProd!$A:$B,2,0)),"")</f>
        <v/>
      </c>
      <c r="F319" t="str">
        <f>IFERROR(IF(D319="","",VLOOKUP(D319,CadProd!$A:$C,3,0)),"")</f>
        <v/>
      </c>
      <c r="I319" s="1" t="str">
        <f t="shared" si="4"/>
        <v/>
      </c>
    </row>
    <row r="320" spans="5:9" x14ac:dyDescent="0.3">
      <c r="E320" t="str">
        <f>IFERROR(IF(D320="","",VLOOKUP(D320,CadProd!$A:$B,2,0)),"")</f>
        <v/>
      </c>
      <c r="F320" t="str">
        <f>IFERROR(IF(D320="","",VLOOKUP(D320,CadProd!$A:$C,3,0)),"")</f>
        <v/>
      </c>
      <c r="I320" s="1" t="str">
        <f t="shared" si="4"/>
        <v/>
      </c>
    </row>
    <row r="321" spans="5:9" x14ac:dyDescent="0.3">
      <c r="E321" t="str">
        <f>IFERROR(IF(D321="","",VLOOKUP(D321,CadProd!$A:$B,2,0)),"")</f>
        <v/>
      </c>
      <c r="F321" t="str">
        <f>IFERROR(IF(D321="","",VLOOKUP(D321,CadProd!$A:$C,3,0)),"")</f>
        <v/>
      </c>
      <c r="I321" s="1" t="str">
        <f t="shared" si="4"/>
        <v/>
      </c>
    </row>
    <row r="322" spans="5:9" x14ac:dyDescent="0.3">
      <c r="E322" t="str">
        <f>IFERROR(IF(D322="","",VLOOKUP(D322,CadProd!$A:$B,2,0)),"")</f>
        <v/>
      </c>
      <c r="F322" t="str">
        <f>IFERROR(IF(D322="","",VLOOKUP(D322,CadProd!$A:$C,3,0)),"")</f>
        <v/>
      </c>
      <c r="I322" s="1" t="str">
        <f t="shared" ref="I322:I385" si="5">IFERROR(IF(D322="","",H322*G322),"")</f>
        <v/>
      </c>
    </row>
    <row r="323" spans="5:9" x14ac:dyDescent="0.3">
      <c r="E323" t="str">
        <f>IFERROR(IF(D323="","",VLOOKUP(D323,CadProd!$A:$B,2,0)),"")</f>
        <v/>
      </c>
      <c r="F323" t="str">
        <f>IFERROR(IF(D323="","",VLOOKUP(D323,CadProd!$A:$C,3,0)),"")</f>
        <v/>
      </c>
      <c r="I323" s="1" t="str">
        <f t="shared" si="5"/>
        <v/>
      </c>
    </row>
    <row r="324" spans="5:9" x14ac:dyDescent="0.3">
      <c r="E324" t="str">
        <f>IFERROR(IF(D324="","",VLOOKUP(D324,CadProd!$A:$B,2,0)),"")</f>
        <v/>
      </c>
      <c r="F324" t="str">
        <f>IFERROR(IF(D324="","",VLOOKUP(D324,CadProd!$A:$C,3,0)),"")</f>
        <v/>
      </c>
      <c r="I324" s="1" t="str">
        <f t="shared" si="5"/>
        <v/>
      </c>
    </row>
    <row r="325" spans="5:9" x14ac:dyDescent="0.3">
      <c r="E325" t="str">
        <f>IFERROR(IF(D325="","",VLOOKUP(D325,CadProd!$A:$B,2,0)),"")</f>
        <v/>
      </c>
      <c r="F325" t="str">
        <f>IFERROR(IF(D325="","",VLOOKUP(D325,CadProd!$A:$C,3,0)),"")</f>
        <v/>
      </c>
      <c r="I325" s="1" t="str">
        <f t="shared" si="5"/>
        <v/>
      </c>
    </row>
    <row r="326" spans="5:9" x14ac:dyDescent="0.3">
      <c r="E326" t="str">
        <f>IFERROR(IF(D326="","",VLOOKUP(D326,CadProd!$A:$B,2,0)),"")</f>
        <v/>
      </c>
      <c r="F326" t="str">
        <f>IFERROR(IF(D326="","",VLOOKUP(D326,CadProd!$A:$C,3,0)),"")</f>
        <v/>
      </c>
      <c r="I326" s="1" t="str">
        <f t="shared" si="5"/>
        <v/>
      </c>
    </row>
    <row r="327" spans="5:9" x14ac:dyDescent="0.3">
      <c r="E327" t="str">
        <f>IFERROR(IF(D327="","",VLOOKUP(D327,CadProd!$A:$B,2,0)),"")</f>
        <v/>
      </c>
      <c r="F327" t="str">
        <f>IFERROR(IF(D327="","",VLOOKUP(D327,CadProd!$A:$C,3,0)),"")</f>
        <v/>
      </c>
      <c r="I327" s="1" t="str">
        <f t="shared" si="5"/>
        <v/>
      </c>
    </row>
    <row r="328" spans="5:9" x14ac:dyDescent="0.3">
      <c r="E328" t="str">
        <f>IFERROR(IF(D328="","",VLOOKUP(D328,CadProd!$A:$B,2,0)),"")</f>
        <v/>
      </c>
      <c r="F328" t="str">
        <f>IFERROR(IF(D328="","",VLOOKUP(D328,CadProd!$A:$C,3,0)),"")</f>
        <v/>
      </c>
      <c r="I328" s="1" t="str">
        <f t="shared" si="5"/>
        <v/>
      </c>
    </row>
    <row r="329" spans="5:9" x14ac:dyDescent="0.3">
      <c r="E329" t="str">
        <f>IFERROR(IF(D329="","",VLOOKUP(D329,CadProd!$A:$B,2,0)),"")</f>
        <v/>
      </c>
      <c r="F329" t="str">
        <f>IFERROR(IF(D329="","",VLOOKUP(D329,CadProd!$A:$C,3,0)),"")</f>
        <v/>
      </c>
      <c r="I329" s="1" t="str">
        <f t="shared" si="5"/>
        <v/>
      </c>
    </row>
    <row r="330" spans="5:9" x14ac:dyDescent="0.3">
      <c r="E330" t="str">
        <f>IFERROR(IF(D330="","",VLOOKUP(D330,CadProd!$A:$B,2,0)),"")</f>
        <v/>
      </c>
      <c r="F330" t="str">
        <f>IFERROR(IF(D330="","",VLOOKUP(D330,CadProd!$A:$C,3,0)),"")</f>
        <v/>
      </c>
      <c r="I330" s="1" t="str">
        <f t="shared" si="5"/>
        <v/>
      </c>
    </row>
    <row r="331" spans="5:9" x14ac:dyDescent="0.3">
      <c r="E331" t="str">
        <f>IFERROR(IF(D331="","",VLOOKUP(D331,CadProd!$A:$B,2,0)),"")</f>
        <v/>
      </c>
      <c r="F331" t="str">
        <f>IFERROR(IF(D331="","",VLOOKUP(D331,CadProd!$A:$C,3,0)),"")</f>
        <v/>
      </c>
      <c r="I331" s="1" t="str">
        <f t="shared" si="5"/>
        <v/>
      </c>
    </row>
    <row r="332" spans="5:9" x14ac:dyDescent="0.3">
      <c r="E332" t="str">
        <f>IFERROR(IF(D332="","",VLOOKUP(D332,CadProd!$A:$B,2,0)),"")</f>
        <v/>
      </c>
      <c r="F332" t="str">
        <f>IFERROR(IF(D332="","",VLOOKUP(D332,CadProd!$A:$C,3,0)),"")</f>
        <v/>
      </c>
      <c r="I332" s="1" t="str">
        <f t="shared" si="5"/>
        <v/>
      </c>
    </row>
    <row r="333" spans="5:9" x14ac:dyDescent="0.3">
      <c r="E333" t="str">
        <f>IFERROR(IF(D333="","",VLOOKUP(D333,CadProd!$A:$B,2,0)),"")</f>
        <v/>
      </c>
      <c r="F333" t="str">
        <f>IFERROR(IF(D333="","",VLOOKUP(D333,CadProd!$A:$C,3,0)),"")</f>
        <v/>
      </c>
      <c r="I333" s="1" t="str">
        <f t="shared" si="5"/>
        <v/>
      </c>
    </row>
    <row r="334" spans="5:9" x14ac:dyDescent="0.3">
      <c r="E334" t="str">
        <f>IFERROR(IF(D334="","",VLOOKUP(D334,CadProd!$A:$B,2,0)),"")</f>
        <v/>
      </c>
      <c r="F334" t="str">
        <f>IFERROR(IF(D334="","",VLOOKUP(D334,CadProd!$A:$C,3,0)),"")</f>
        <v/>
      </c>
      <c r="I334" s="1" t="str">
        <f t="shared" si="5"/>
        <v/>
      </c>
    </row>
    <row r="335" spans="5:9" x14ac:dyDescent="0.3">
      <c r="E335" t="str">
        <f>IFERROR(IF(D335="","",VLOOKUP(D335,CadProd!$A:$B,2,0)),"")</f>
        <v/>
      </c>
      <c r="F335" t="str">
        <f>IFERROR(IF(D335="","",VLOOKUP(D335,CadProd!$A:$C,3,0)),"")</f>
        <v/>
      </c>
      <c r="I335" s="1" t="str">
        <f t="shared" si="5"/>
        <v/>
      </c>
    </row>
    <row r="336" spans="5:9" x14ac:dyDescent="0.3">
      <c r="E336" t="str">
        <f>IFERROR(IF(D336="","",VLOOKUP(D336,CadProd!$A:$B,2,0)),"")</f>
        <v/>
      </c>
      <c r="F336" t="str">
        <f>IFERROR(IF(D336="","",VLOOKUP(D336,CadProd!$A:$C,3,0)),"")</f>
        <v/>
      </c>
      <c r="I336" s="1" t="str">
        <f t="shared" si="5"/>
        <v/>
      </c>
    </row>
    <row r="337" spans="5:9" x14ac:dyDescent="0.3">
      <c r="E337" t="str">
        <f>IFERROR(IF(D337="","",VLOOKUP(D337,CadProd!$A:$B,2,0)),"")</f>
        <v/>
      </c>
      <c r="F337" t="str">
        <f>IFERROR(IF(D337="","",VLOOKUP(D337,CadProd!$A:$C,3,0)),"")</f>
        <v/>
      </c>
      <c r="I337" s="1" t="str">
        <f t="shared" si="5"/>
        <v/>
      </c>
    </row>
    <row r="338" spans="5:9" x14ac:dyDescent="0.3">
      <c r="E338" t="str">
        <f>IFERROR(IF(D338="","",VLOOKUP(D338,CadProd!$A:$B,2,0)),"")</f>
        <v/>
      </c>
      <c r="F338" t="str">
        <f>IFERROR(IF(D338="","",VLOOKUP(D338,CadProd!$A:$C,3,0)),"")</f>
        <v/>
      </c>
      <c r="I338" s="1" t="str">
        <f t="shared" si="5"/>
        <v/>
      </c>
    </row>
    <row r="339" spans="5:9" x14ac:dyDescent="0.3">
      <c r="E339" t="str">
        <f>IFERROR(IF(D339="","",VLOOKUP(D339,CadProd!$A:$B,2,0)),"")</f>
        <v/>
      </c>
      <c r="F339" t="str">
        <f>IFERROR(IF(D339="","",VLOOKUP(D339,CadProd!$A:$C,3,0)),"")</f>
        <v/>
      </c>
      <c r="I339" s="1" t="str">
        <f t="shared" si="5"/>
        <v/>
      </c>
    </row>
    <row r="340" spans="5:9" x14ac:dyDescent="0.3">
      <c r="E340" t="str">
        <f>IFERROR(IF(D340="","",VLOOKUP(D340,CadProd!$A:$B,2,0)),"")</f>
        <v/>
      </c>
      <c r="F340" t="str">
        <f>IFERROR(IF(D340="","",VLOOKUP(D340,CadProd!$A:$C,3,0)),"")</f>
        <v/>
      </c>
      <c r="I340" s="1" t="str">
        <f t="shared" si="5"/>
        <v/>
      </c>
    </row>
    <row r="341" spans="5:9" x14ac:dyDescent="0.3">
      <c r="E341" t="str">
        <f>IFERROR(IF(D341="","",VLOOKUP(D341,CadProd!$A:$B,2,0)),"")</f>
        <v/>
      </c>
      <c r="F341" t="str">
        <f>IFERROR(IF(D341="","",VLOOKUP(D341,CadProd!$A:$C,3,0)),"")</f>
        <v/>
      </c>
      <c r="I341" s="1" t="str">
        <f t="shared" si="5"/>
        <v/>
      </c>
    </row>
    <row r="342" spans="5:9" x14ac:dyDescent="0.3">
      <c r="E342" t="str">
        <f>IFERROR(IF(D342="","",VLOOKUP(D342,CadProd!$A:$B,2,0)),"")</f>
        <v/>
      </c>
      <c r="F342" t="str">
        <f>IFERROR(IF(D342="","",VLOOKUP(D342,CadProd!$A:$C,3,0)),"")</f>
        <v/>
      </c>
      <c r="I342" s="1" t="str">
        <f t="shared" si="5"/>
        <v/>
      </c>
    </row>
    <row r="343" spans="5:9" x14ac:dyDescent="0.3">
      <c r="E343" t="str">
        <f>IFERROR(IF(D343="","",VLOOKUP(D343,CadProd!$A:$B,2,0)),"")</f>
        <v/>
      </c>
      <c r="F343" t="str">
        <f>IFERROR(IF(D343="","",VLOOKUP(D343,CadProd!$A:$C,3,0)),"")</f>
        <v/>
      </c>
      <c r="I343" s="1" t="str">
        <f t="shared" si="5"/>
        <v/>
      </c>
    </row>
    <row r="344" spans="5:9" x14ac:dyDescent="0.3">
      <c r="E344" t="str">
        <f>IFERROR(IF(D344="","",VLOOKUP(D344,CadProd!$A:$B,2,0)),"")</f>
        <v/>
      </c>
      <c r="F344" t="str">
        <f>IFERROR(IF(D344="","",VLOOKUP(D344,CadProd!$A:$C,3,0)),"")</f>
        <v/>
      </c>
      <c r="I344" s="1" t="str">
        <f t="shared" si="5"/>
        <v/>
      </c>
    </row>
    <row r="345" spans="5:9" x14ac:dyDescent="0.3">
      <c r="E345" t="str">
        <f>IFERROR(IF(D345="","",VLOOKUP(D345,CadProd!$A:$B,2,0)),"")</f>
        <v/>
      </c>
      <c r="F345" t="str">
        <f>IFERROR(IF(D345="","",VLOOKUP(D345,CadProd!$A:$C,3,0)),"")</f>
        <v/>
      </c>
      <c r="I345" s="1" t="str">
        <f t="shared" si="5"/>
        <v/>
      </c>
    </row>
    <row r="346" spans="5:9" x14ac:dyDescent="0.3">
      <c r="E346" t="str">
        <f>IFERROR(IF(D346="","",VLOOKUP(D346,CadProd!$A:$B,2,0)),"")</f>
        <v/>
      </c>
      <c r="F346" t="str">
        <f>IFERROR(IF(D346="","",VLOOKUP(D346,CadProd!$A:$C,3,0)),"")</f>
        <v/>
      </c>
      <c r="I346" s="1" t="str">
        <f t="shared" si="5"/>
        <v/>
      </c>
    </row>
    <row r="347" spans="5:9" x14ac:dyDescent="0.3">
      <c r="E347" t="str">
        <f>IFERROR(IF(D347="","",VLOOKUP(D347,CadProd!$A:$B,2,0)),"")</f>
        <v/>
      </c>
      <c r="F347" t="str">
        <f>IFERROR(IF(D347="","",VLOOKUP(D347,CadProd!$A:$C,3,0)),"")</f>
        <v/>
      </c>
      <c r="I347" s="1" t="str">
        <f t="shared" si="5"/>
        <v/>
      </c>
    </row>
    <row r="348" spans="5:9" x14ac:dyDescent="0.3">
      <c r="E348" t="str">
        <f>IFERROR(IF(D348="","",VLOOKUP(D348,CadProd!$A:$B,2,0)),"")</f>
        <v/>
      </c>
      <c r="F348" t="str">
        <f>IFERROR(IF(D348="","",VLOOKUP(D348,CadProd!$A:$C,3,0)),"")</f>
        <v/>
      </c>
      <c r="I348" s="1" t="str">
        <f t="shared" si="5"/>
        <v/>
      </c>
    </row>
    <row r="349" spans="5:9" x14ac:dyDescent="0.3">
      <c r="E349" t="str">
        <f>IFERROR(IF(D349="","",VLOOKUP(D349,CadProd!$A:$B,2,0)),"")</f>
        <v/>
      </c>
      <c r="F349" t="str">
        <f>IFERROR(IF(D349="","",VLOOKUP(D349,CadProd!$A:$C,3,0)),"")</f>
        <v/>
      </c>
      <c r="I349" s="1" t="str">
        <f t="shared" si="5"/>
        <v/>
      </c>
    </row>
    <row r="350" spans="5:9" x14ac:dyDescent="0.3">
      <c r="E350" t="str">
        <f>IFERROR(IF(D350="","",VLOOKUP(D350,CadProd!$A:$B,2,0)),"")</f>
        <v/>
      </c>
      <c r="F350" t="str">
        <f>IFERROR(IF(D350="","",VLOOKUP(D350,CadProd!$A:$C,3,0)),"")</f>
        <v/>
      </c>
      <c r="I350" s="1" t="str">
        <f t="shared" si="5"/>
        <v/>
      </c>
    </row>
    <row r="351" spans="5:9" x14ac:dyDescent="0.3">
      <c r="E351" t="str">
        <f>IFERROR(IF(D351="","",VLOOKUP(D351,CadProd!$A:$B,2,0)),"")</f>
        <v/>
      </c>
      <c r="F351" t="str">
        <f>IFERROR(IF(D351="","",VLOOKUP(D351,CadProd!$A:$C,3,0)),"")</f>
        <v/>
      </c>
      <c r="I351" s="1" t="str">
        <f t="shared" si="5"/>
        <v/>
      </c>
    </row>
    <row r="352" spans="5:9" x14ac:dyDescent="0.3">
      <c r="E352" t="str">
        <f>IFERROR(IF(D352="","",VLOOKUP(D352,CadProd!$A:$B,2,0)),"")</f>
        <v/>
      </c>
      <c r="F352" t="str">
        <f>IFERROR(IF(D352="","",VLOOKUP(D352,CadProd!$A:$C,3,0)),"")</f>
        <v/>
      </c>
      <c r="I352" s="1" t="str">
        <f t="shared" si="5"/>
        <v/>
      </c>
    </row>
    <row r="353" spans="5:9" x14ac:dyDescent="0.3">
      <c r="E353" t="str">
        <f>IFERROR(IF(D353="","",VLOOKUP(D353,CadProd!$A:$B,2,0)),"")</f>
        <v/>
      </c>
      <c r="F353" t="str">
        <f>IFERROR(IF(D353="","",VLOOKUP(D353,CadProd!$A:$C,3,0)),"")</f>
        <v/>
      </c>
      <c r="I353" s="1" t="str">
        <f t="shared" si="5"/>
        <v/>
      </c>
    </row>
    <row r="354" spans="5:9" x14ac:dyDescent="0.3">
      <c r="E354" t="str">
        <f>IFERROR(IF(D354="","",VLOOKUP(D354,CadProd!$A:$B,2,0)),"")</f>
        <v/>
      </c>
      <c r="F354" t="str">
        <f>IFERROR(IF(D354="","",VLOOKUP(D354,CadProd!$A:$C,3,0)),"")</f>
        <v/>
      </c>
      <c r="I354" s="1" t="str">
        <f t="shared" si="5"/>
        <v/>
      </c>
    </row>
    <row r="355" spans="5:9" x14ac:dyDescent="0.3">
      <c r="E355" t="str">
        <f>IFERROR(IF(D355="","",VLOOKUP(D355,CadProd!$A:$B,2,0)),"")</f>
        <v/>
      </c>
      <c r="F355" t="str">
        <f>IFERROR(IF(D355="","",VLOOKUP(D355,CadProd!$A:$C,3,0)),"")</f>
        <v/>
      </c>
      <c r="I355" s="1" t="str">
        <f t="shared" si="5"/>
        <v/>
      </c>
    </row>
    <row r="356" spans="5:9" x14ac:dyDescent="0.3">
      <c r="E356" t="str">
        <f>IFERROR(IF(D356="","",VLOOKUP(D356,CadProd!$A:$B,2,0)),"")</f>
        <v/>
      </c>
      <c r="F356" t="str">
        <f>IFERROR(IF(D356="","",VLOOKUP(D356,CadProd!$A:$C,3,0)),"")</f>
        <v/>
      </c>
      <c r="I356" s="1" t="str">
        <f t="shared" si="5"/>
        <v/>
      </c>
    </row>
    <row r="357" spans="5:9" x14ac:dyDescent="0.3">
      <c r="E357" t="str">
        <f>IFERROR(IF(D357="","",VLOOKUP(D357,CadProd!$A:$B,2,0)),"")</f>
        <v/>
      </c>
      <c r="F357" t="str">
        <f>IFERROR(IF(D357="","",VLOOKUP(D357,CadProd!$A:$C,3,0)),"")</f>
        <v/>
      </c>
      <c r="I357" s="1" t="str">
        <f t="shared" si="5"/>
        <v/>
      </c>
    </row>
    <row r="358" spans="5:9" x14ac:dyDescent="0.3">
      <c r="E358" t="str">
        <f>IFERROR(IF(D358="","",VLOOKUP(D358,CadProd!$A:$B,2,0)),"")</f>
        <v/>
      </c>
      <c r="F358" t="str">
        <f>IFERROR(IF(D358="","",VLOOKUP(D358,CadProd!$A:$C,3,0)),"")</f>
        <v/>
      </c>
      <c r="I358" s="1" t="str">
        <f t="shared" si="5"/>
        <v/>
      </c>
    </row>
    <row r="359" spans="5:9" x14ac:dyDescent="0.3">
      <c r="E359" t="str">
        <f>IFERROR(IF(D359="","",VLOOKUP(D359,CadProd!$A:$B,2,0)),"")</f>
        <v/>
      </c>
      <c r="F359" t="str">
        <f>IFERROR(IF(D359="","",VLOOKUP(D359,CadProd!$A:$C,3,0)),"")</f>
        <v/>
      </c>
      <c r="I359" s="1" t="str">
        <f t="shared" si="5"/>
        <v/>
      </c>
    </row>
    <row r="360" spans="5:9" x14ac:dyDescent="0.3">
      <c r="E360" t="str">
        <f>IFERROR(IF(D360="","",VLOOKUP(D360,CadProd!$A:$B,2,0)),"")</f>
        <v/>
      </c>
      <c r="F360" t="str">
        <f>IFERROR(IF(D360="","",VLOOKUP(D360,CadProd!$A:$C,3,0)),"")</f>
        <v/>
      </c>
      <c r="I360" s="1" t="str">
        <f t="shared" si="5"/>
        <v/>
      </c>
    </row>
    <row r="361" spans="5:9" x14ac:dyDescent="0.3">
      <c r="E361" t="str">
        <f>IFERROR(IF(D361="","",VLOOKUP(D361,CadProd!$A:$B,2,0)),"")</f>
        <v/>
      </c>
      <c r="F361" t="str">
        <f>IFERROR(IF(D361="","",VLOOKUP(D361,CadProd!$A:$C,3,0)),"")</f>
        <v/>
      </c>
      <c r="I361" s="1" t="str">
        <f t="shared" si="5"/>
        <v/>
      </c>
    </row>
    <row r="362" spans="5:9" x14ac:dyDescent="0.3">
      <c r="E362" t="str">
        <f>IFERROR(IF(D362="","",VLOOKUP(D362,CadProd!$A:$B,2,0)),"")</f>
        <v/>
      </c>
      <c r="F362" t="str">
        <f>IFERROR(IF(D362="","",VLOOKUP(D362,CadProd!$A:$C,3,0)),"")</f>
        <v/>
      </c>
      <c r="I362" s="1" t="str">
        <f t="shared" si="5"/>
        <v/>
      </c>
    </row>
    <row r="363" spans="5:9" x14ac:dyDescent="0.3">
      <c r="E363" t="str">
        <f>IFERROR(IF(D363="","",VLOOKUP(D363,CadProd!$A:$B,2,0)),"")</f>
        <v/>
      </c>
      <c r="F363" t="str">
        <f>IFERROR(IF(D363="","",VLOOKUP(D363,CadProd!$A:$C,3,0)),"")</f>
        <v/>
      </c>
      <c r="I363" s="1" t="str">
        <f t="shared" si="5"/>
        <v/>
      </c>
    </row>
    <row r="364" spans="5:9" x14ac:dyDescent="0.3">
      <c r="E364" t="str">
        <f>IFERROR(IF(D364="","",VLOOKUP(D364,CadProd!$A:$B,2,0)),"")</f>
        <v/>
      </c>
      <c r="F364" t="str">
        <f>IFERROR(IF(D364="","",VLOOKUP(D364,CadProd!$A:$C,3,0)),"")</f>
        <v/>
      </c>
      <c r="I364" s="1" t="str">
        <f t="shared" si="5"/>
        <v/>
      </c>
    </row>
    <row r="365" spans="5:9" x14ac:dyDescent="0.3">
      <c r="E365" t="str">
        <f>IFERROR(IF(D365="","",VLOOKUP(D365,CadProd!$A:$B,2,0)),"")</f>
        <v/>
      </c>
      <c r="F365" t="str">
        <f>IFERROR(IF(D365="","",VLOOKUP(D365,CadProd!$A:$C,3,0)),"")</f>
        <v/>
      </c>
      <c r="I365" s="1" t="str">
        <f t="shared" si="5"/>
        <v/>
      </c>
    </row>
    <row r="366" spans="5:9" x14ac:dyDescent="0.3">
      <c r="E366" t="str">
        <f>IFERROR(IF(D366="","",VLOOKUP(D366,CadProd!$A:$B,2,0)),"")</f>
        <v/>
      </c>
      <c r="F366" t="str">
        <f>IFERROR(IF(D366="","",VLOOKUP(D366,CadProd!$A:$C,3,0)),"")</f>
        <v/>
      </c>
      <c r="I366" s="1" t="str">
        <f t="shared" si="5"/>
        <v/>
      </c>
    </row>
    <row r="367" spans="5:9" x14ac:dyDescent="0.3">
      <c r="E367" t="str">
        <f>IFERROR(IF(D367="","",VLOOKUP(D367,CadProd!$A:$B,2,0)),"")</f>
        <v/>
      </c>
      <c r="F367" t="str">
        <f>IFERROR(IF(D367="","",VLOOKUP(D367,CadProd!$A:$C,3,0)),"")</f>
        <v/>
      </c>
      <c r="I367" s="1" t="str">
        <f t="shared" si="5"/>
        <v/>
      </c>
    </row>
    <row r="368" spans="5:9" x14ac:dyDescent="0.3">
      <c r="E368" t="str">
        <f>IFERROR(IF(D368="","",VLOOKUP(D368,CadProd!$A:$B,2,0)),"")</f>
        <v/>
      </c>
      <c r="F368" t="str">
        <f>IFERROR(IF(D368="","",VLOOKUP(D368,CadProd!$A:$C,3,0)),"")</f>
        <v/>
      </c>
      <c r="I368" s="1" t="str">
        <f t="shared" si="5"/>
        <v/>
      </c>
    </row>
    <row r="369" spans="5:9" x14ac:dyDescent="0.3">
      <c r="E369" t="str">
        <f>IFERROR(IF(D369="","",VLOOKUP(D369,CadProd!$A:$B,2,0)),"")</f>
        <v/>
      </c>
      <c r="F369" t="str">
        <f>IFERROR(IF(D369="","",VLOOKUP(D369,CadProd!$A:$C,3,0)),"")</f>
        <v/>
      </c>
      <c r="I369" s="1" t="str">
        <f t="shared" si="5"/>
        <v/>
      </c>
    </row>
    <row r="370" spans="5:9" x14ac:dyDescent="0.3">
      <c r="E370" t="str">
        <f>IFERROR(IF(D370="","",VLOOKUP(D370,CadProd!$A:$B,2,0)),"")</f>
        <v/>
      </c>
      <c r="F370" t="str">
        <f>IFERROR(IF(D370="","",VLOOKUP(D370,CadProd!$A:$C,3,0)),"")</f>
        <v/>
      </c>
      <c r="I370" s="1" t="str">
        <f t="shared" si="5"/>
        <v/>
      </c>
    </row>
    <row r="371" spans="5:9" x14ac:dyDescent="0.3">
      <c r="E371" t="str">
        <f>IFERROR(IF(D371="","",VLOOKUP(D371,CadProd!$A:$B,2,0)),"")</f>
        <v/>
      </c>
      <c r="F371" t="str">
        <f>IFERROR(IF(D371="","",VLOOKUP(D371,CadProd!$A:$C,3,0)),"")</f>
        <v/>
      </c>
      <c r="I371" s="1" t="str">
        <f t="shared" si="5"/>
        <v/>
      </c>
    </row>
    <row r="372" spans="5:9" x14ac:dyDescent="0.3">
      <c r="E372" t="str">
        <f>IFERROR(IF(D372="","",VLOOKUP(D372,CadProd!$A:$B,2,0)),"")</f>
        <v/>
      </c>
      <c r="F372" t="str">
        <f>IFERROR(IF(D372="","",VLOOKUP(D372,CadProd!$A:$C,3,0)),"")</f>
        <v/>
      </c>
      <c r="I372" s="1" t="str">
        <f t="shared" si="5"/>
        <v/>
      </c>
    </row>
    <row r="373" spans="5:9" x14ac:dyDescent="0.3">
      <c r="E373" t="str">
        <f>IFERROR(IF(D373="","",VLOOKUP(D373,CadProd!$A:$B,2,0)),"")</f>
        <v/>
      </c>
      <c r="F373" t="str">
        <f>IFERROR(IF(D373="","",VLOOKUP(D373,CadProd!$A:$C,3,0)),"")</f>
        <v/>
      </c>
      <c r="I373" s="1" t="str">
        <f t="shared" si="5"/>
        <v/>
      </c>
    </row>
    <row r="374" spans="5:9" x14ac:dyDescent="0.3">
      <c r="E374" t="str">
        <f>IFERROR(IF(D374="","",VLOOKUP(D374,CadProd!$A:$B,2,0)),"")</f>
        <v/>
      </c>
      <c r="F374" t="str">
        <f>IFERROR(IF(D374="","",VLOOKUP(D374,CadProd!$A:$C,3,0)),"")</f>
        <v/>
      </c>
      <c r="I374" s="1" t="str">
        <f t="shared" si="5"/>
        <v/>
      </c>
    </row>
    <row r="375" spans="5:9" x14ac:dyDescent="0.3">
      <c r="E375" t="str">
        <f>IFERROR(IF(D375="","",VLOOKUP(D375,CadProd!$A:$B,2,0)),"")</f>
        <v/>
      </c>
      <c r="F375" t="str">
        <f>IFERROR(IF(D375="","",VLOOKUP(D375,CadProd!$A:$C,3,0)),"")</f>
        <v/>
      </c>
      <c r="I375" s="1" t="str">
        <f t="shared" si="5"/>
        <v/>
      </c>
    </row>
    <row r="376" spans="5:9" x14ac:dyDescent="0.3">
      <c r="E376" t="str">
        <f>IFERROR(IF(D376="","",VLOOKUP(D376,CadProd!$A:$B,2,0)),"")</f>
        <v/>
      </c>
      <c r="F376" t="str">
        <f>IFERROR(IF(D376="","",VLOOKUP(D376,CadProd!$A:$C,3,0)),"")</f>
        <v/>
      </c>
      <c r="I376" s="1" t="str">
        <f t="shared" si="5"/>
        <v/>
      </c>
    </row>
    <row r="377" spans="5:9" x14ac:dyDescent="0.3">
      <c r="E377" t="str">
        <f>IFERROR(IF(D377="","",VLOOKUP(D377,CadProd!$A:$B,2,0)),"")</f>
        <v/>
      </c>
      <c r="F377" t="str">
        <f>IFERROR(IF(D377="","",VLOOKUP(D377,CadProd!$A:$C,3,0)),"")</f>
        <v/>
      </c>
      <c r="I377" s="1" t="str">
        <f t="shared" si="5"/>
        <v/>
      </c>
    </row>
    <row r="378" spans="5:9" x14ac:dyDescent="0.3">
      <c r="E378" t="str">
        <f>IFERROR(IF(D378="","",VLOOKUP(D378,CadProd!$A:$B,2,0)),"")</f>
        <v/>
      </c>
      <c r="F378" t="str">
        <f>IFERROR(IF(D378="","",VLOOKUP(D378,CadProd!$A:$C,3,0)),"")</f>
        <v/>
      </c>
      <c r="I378" s="1" t="str">
        <f t="shared" si="5"/>
        <v/>
      </c>
    </row>
    <row r="379" spans="5:9" x14ac:dyDescent="0.3">
      <c r="E379" t="str">
        <f>IFERROR(IF(D379="","",VLOOKUP(D379,CadProd!$A:$B,2,0)),"")</f>
        <v/>
      </c>
      <c r="F379" t="str">
        <f>IFERROR(IF(D379="","",VLOOKUP(D379,CadProd!$A:$C,3,0)),"")</f>
        <v/>
      </c>
      <c r="I379" s="1" t="str">
        <f t="shared" si="5"/>
        <v/>
      </c>
    </row>
    <row r="380" spans="5:9" x14ac:dyDescent="0.3">
      <c r="E380" t="str">
        <f>IFERROR(IF(D380="","",VLOOKUP(D380,CadProd!$A:$B,2,0)),"")</f>
        <v/>
      </c>
      <c r="F380" t="str">
        <f>IFERROR(IF(D380="","",VLOOKUP(D380,CadProd!$A:$C,3,0)),"")</f>
        <v/>
      </c>
      <c r="I380" s="1" t="str">
        <f t="shared" si="5"/>
        <v/>
      </c>
    </row>
    <row r="381" spans="5:9" x14ac:dyDescent="0.3">
      <c r="E381" t="str">
        <f>IFERROR(IF(D381="","",VLOOKUP(D381,CadProd!$A:$B,2,0)),"")</f>
        <v/>
      </c>
      <c r="F381" t="str">
        <f>IFERROR(IF(D381="","",VLOOKUP(D381,CadProd!$A:$C,3,0)),"")</f>
        <v/>
      </c>
      <c r="I381" s="1" t="str">
        <f t="shared" si="5"/>
        <v/>
      </c>
    </row>
    <row r="382" spans="5:9" x14ac:dyDescent="0.3">
      <c r="E382" t="str">
        <f>IFERROR(IF(D382="","",VLOOKUP(D382,CadProd!$A:$B,2,0)),"")</f>
        <v/>
      </c>
      <c r="F382" t="str">
        <f>IFERROR(IF(D382="","",VLOOKUP(D382,CadProd!$A:$C,3,0)),"")</f>
        <v/>
      </c>
      <c r="I382" s="1" t="str">
        <f t="shared" si="5"/>
        <v/>
      </c>
    </row>
    <row r="383" spans="5:9" x14ac:dyDescent="0.3">
      <c r="E383" t="str">
        <f>IFERROR(IF(D383="","",VLOOKUP(D383,CadProd!$A:$B,2,0)),"")</f>
        <v/>
      </c>
      <c r="F383" t="str">
        <f>IFERROR(IF(D383="","",VLOOKUP(D383,CadProd!$A:$C,3,0)),"")</f>
        <v/>
      </c>
      <c r="I383" s="1" t="str">
        <f t="shared" si="5"/>
        <v/>
      </c>
    </row>
    <row r="384" spans="5:9" x14ac:dyDescent="0.3">
      <c r="E384" t="str">
        <f>IFERROR(IF(D384="","",VLOOKUP(D384,CadProd!$A:$B,2,0)),"")</f>
        <v/>
      </c>
      <c r="F384" t="str">
        <f>IFERROR(IF(D384="","",VLOOKUP(D384,CadProd!$A:$C,3,0)),"")</f>
        <v/>
      </c>
      <c r="I384" s="1" t="str">
        <f t="shared" si="5"/>
        <v/>
      </c>
    </row>
    <row r="385" spans="5:9" x14ac:dyDescent="0.3">
      <c r="E385" t="str">
        <f>IFERROR(IF(D385="","",VLOOKUP(D385,CadProd!$A:$B,2,0)),"")</f>
        <v/>
      </c>
      <c r="F385" t="str">
        <f>IFERROR(IF(D385="","",VLOOKUP(D385,CadProd!$A:$C,3,0)),"")</f>
        <v/>
      </c>
      <c r="I385" s="1" t="str">
        <f t="shared" si="5"/>
        <v/>
      </c>
    </row>
    <row r="386" spans="5:9" x14ac:dyDescent="0.3">
      <c r="E386" t="str">
        <f>IFERROR(IF(D386="","",VLOOKUP(D386,CadProd!$A:$B,2,0)),"")</f>
        <v/>
      </c>
      <c r="F386" t="str">
        <f>IFERROR(IF(D386="","",VLOOKUP(D386,CadProd!$A:$C,3,0)),"")</f>
        <v/>
      </c>
      <c r="I386" s="1" t="str">
        <f t="shared" ref="I386:I449" si="6">IFERROR(IF(D386="","",H386*G386),"")</f>
        <v/>
      </c>
    </row>
    <row r="387" spans="5:9" x14ac:dyDescent="0.3">
      <c r="E387" t="str">
        <f>IFERROR(IF(D387="","",VLOOKUP(D387,CadProd!$A:$B,2,0)),"")</f>
        <v/>
      </c>
      <c r="F387" t="str">
        <f>IFERROR(IF(D387="","",VLOOKUP(D387,CadProd!$A:$C,3,0)),"")</f>
        <v/>
      </c>
      <c r="I387" s="1" t="str">
        <f t="shared" si="6"/>
        <v/>
      </c>
    </row>
    <row r="388" spans="5:9" x14ac:dyDescent="0.3">
      <c r="E388" t="str">
        <f>IFERROR(IF(D388="","",VLOOKUP(D388,CadProd!$A:$B,2,0)),"")</f>
        <v/>
      </c>
      <c r="F388" t="str">
        <f>IFERROR(IF(D388="","",VLOOKUP(D388,CadProd!$A:$C,3,0)),"")</f>
        <v/>
      </c>
      <c r="I388" s="1" t="str">
        <f t="shared" si="6"/>
        <v/>
      </c>
    </row>
    <row r="389" spans="5:9" x14ac:dyDescent="0.3">
      <c r="E389" t="str">
        <f>IFERROR(IF(D389="","",VLOOKUP(D389,CadProd!$A:$B,2,0)),"")</f>
        <v/>
      </c>
      <c r="F389" t="str">
        <f>IFERROR(IF(D389="","",VLOOKUP(D389,CadProd!$A:$C,3,0)),"")</f>
        <v/>
      </c>
      <c r="I389" s="1" t="str">
        <f t="shared" si="6"/>
        <v/>
      </c>
    </row>
    <row r="390" spans="5:9" x14ac:dyDescent="0.3">
      <c r="E390" t="str">
        <f>IFERROR(IF(D390="","",VLOOKUP(D390,CadProd!$A:$B,2,0)),"")</f>
        <v/>
      </c>
      <c r="F390" t="str">
        <f>IFERROR(IF(D390="","",VLOOKUP(D390,CadProd!$A:$C,3,0)),"")</f>
        <v/>
      </c>
      <c r="I390" s="1" t="str">
        <f t="shared" si="6"/>
        <v/>
      </c>
    </row>
    <row r="391" spans="5:9" x14ac:dyDescent="0.3">
      <c r="E391" t="str">
        <f>IFERROR(IF(D391="","",VLOOKUP(D391,CadProd!$A:$B,2,0)),"")</f>
        <v/>
      </c>
      <c r="F391" t="str">
        <f>IFERROR(IF(D391="","",VLOOKUP(D391,CadProd!$A:$C,3,0)),"")</f>
        <v/>
      </c>
      <c r="I391" s="1" t="str">
        <f t="shared" si="6"/>
        <v/>
      </c>
    </row>
    <row r="392" spans="5:9" x14ac:dyDescent="0.3">
      <c r="E392" t="str">
        <f>IFERROR(IF(D392="","",VLOOKUP(D392,CadProd!$A:$B,2,0)),"")</f>
        <v/>
      </c>
      <c r="F392" t="str">
        <f>IFERROR(IF(D392="","",VLOOKUP(D392,CadProd!$A:$C,3,0)),"")</f>
        <v/>
      </c>
      <c r="I392" s="1" t="str">
        <f t="shared" si="6"/>
        <v/>
      </c>
    </row>
    <row r="393" spans="5:9" x14ac:dyDescent="0.3">
      <c r="E393" t="str">
        <f>IFERROR(IF(D393="","",VLOOKUP(D393,CadProd!$A:$B,2,0)),"")</f>
        <v/>
      </c>
      <c r="F393" t="str">
        <f>IFERROR(IF(D393="","",VLOOKUP(D393,CadProd!$A:$C,3,0)),"")</f>
        <v/>
      </c>
      <c r="I393" s="1" t="str">
        <f t="shared" si="6"/>
        <v/>
      </c>
    </row>
    <row r="394" spans="5:9" x14ac:dyDescent="0.3">
      <c r="E394" t="str">
        <f>IFERROR(IF(D394="","",VLOOKUP(D394,CadProd!$A:$B,2,0)),"")</f>
        <v/>
      </c>
      <c r="F394" t="str">
        <f>IFERROR(IF(D394="","",VLOOKUP(D394,CadProd!$A:$C,3,0)),"")</f>
        <v/>
      </c>
      <c r="I394" s="1" t="str">
        <f t="shared" si="6"/>
        <v/>
      </c>
    </row>
    <row r="395" spans="5:9" x14ac:dyDescent="0.3">
      <c r="E395" t="str">
        <f>IFERROR(IF(D395="","",VLOOKUP(D395,CadProd!$A:$B,2,0)),"")</f>
        <v/>
      </c>
      <c r="F395" t="str">
        <f>IFERROR(IF(D395="","",VLOOKUP(D395,CadProd!$A:$C,3,0)),"")</f>
        <v/>
      </c>
      <c r="I395" s="1" t="str">
        <f t="shared" si="6"/>
        <v/>
      </c>
    </row>
    <row r="396" spans="5:9" x14ac:dyDescent="0.3">
      <c r="E396" t="str">
        <f>IFERROR(IF(D396="","",VLOOKUP(D396,CadProd!$A:$B,2,0)),"")</f>
        <v/>
      </c>
      <c r="F396" t="str">
        <f>IFERROR(IF(D396="","",VLOOKUP(D396,CadProd!$A:$C,3,0)),"")</f>
        <v/>
      </c>
      <c r="I396" s="1" t="str">
        <f t="shared" si="6"/>
        <v/>
      </c>
    </row>
    <row r="397" spans="5:9" x14ac:dyDescent="0.3">
      <c r="E397" t="str">
        <f>IFERROR(IF(D397="","",VLOOKUP(D397,CadProd!$A:$B,2,0)),"")</f>
        <v/>
      </c>
      <c r="F397" t="str">
        <f>IFERROR(IF(D397="","",VLOOKUP(D397,CadProd!$A:$C,3,0)),"")</f>
        <v/>
      </c>
      <c r="I397" s="1" t="str">
        <f t="shared" si="6"/>
        <v/>
      </c>
    </row>
    <row r="398" spans="5:9" x14ac:dyDescent="0.3">
      <c r="E398" t="str">
        <f>IFERROR(IF(D398="","",VLOOKUP(D398,CadProd!$A:$B,2,0)),"")</f>
        <v/>
      </c>
      <c r="F398" t="str">
        <f>IFERROR(IF(D398="","",VLOOKUP(D398,CadProd!$A:$C,3,0)),"")</f>
        <v/>
      </c>
      <c r="I398" s="1" t="str">
        <f t="shared" si="6"/>
        <v/>
      </c>
    </row>
    <row r="399" spans="5:9" x14ac:dyDescent="0.3">
      <c r="E399" t="str">
        <f>IFERROR(IF(D399="","",VLOOKUP(D399,CadProd!$A:$B,2,0)),"")</f>
        <v/>
      </c>
      <c r="F399" t="str">
        <f>IFERROR(IF(D399="","",VLOOKUP(D399,CadProd!$A:$C,3,0)),"")</f>
        <v/>
      </c>
      <c r="I399" s="1" t="str">
        <f t="shared" si="6"/>
        <v/>
      </c>
    </row>
    <row r="400" spans="5:9" x14ac:dyDescent="0.3">
      <c r="E400" t="str">
        <f>IFERROR(IF(D400="","",VLOOKUP(D400,CadProd!$A:$B,2,0)),"")</f>
        <v/>
      </c>
      <c r="F400" t="str">
        <f>IFERROR(IF(D400="","",VLOOKUP(D400,CadProd!$A:$C,3,0)),"")</f>
        <v/>
      </c>
      <c r="I400" s="1" t="str">
        <f t="shared" si="6"/>
        <v/>
      </c>
    </row>
    <row r="401" spans="5:9" x14ac:dyDescent="0.3">
      <c r="E401" t="str">
        <f>IFERROR(IF(D401="","",VLOOKUP(D401,CadProd!$A:$B,2,0)),"")</f>
        <v/>
      </c>
      <c r="F401" t="str">
        <f>IFERROR(IF(D401="","",VLOOKUP(D401,CadProd!$A:$C,3,0)),"")</f>
        <v/>
      </c>
      <c r="I401" s="1" t="str">
        <f t="shared" si="6"/>
        <v/>
      </c>
    </row>
    <row r="402" spans="5:9" x14ac:dyDescent="0.3">
      <c r="E402" t="str">
        <f>IFERROR(IF(D402="","",VLOOKUP(D402,CadProd!$A:$B,2,0)),"")</f>
        <v/>
      </c>
      <c r="F402" t="str">
        <f>IFERROR(IF(D402="","",VLOOKUP(D402,CadProd!$A:$C,3,0)),"")</f>
        <v/>
      </c>
      <c r="I402" s="1" t="str">
        <f t="shared" si="6"/>
        <v/>
      </c>
    </row>
    <row r="403" spans="5:9" x14ac:dyDescent="0.3">
      <c r="E403" t="str">
        <f>IFERROR(IF(D403="","",VLOOKUP(D403,CadProd!$A:$B,2,0)),"")</f>
        <v/>
      </c>
      <c r="F403" t="str">
        <f>IFERROR(IF(D403="","",VLOOKUP(D403,CadProd!$A:$C,3,0)),"")</f>
        <v/>
      </c>
      <c r="I403" s="1" t="str">
        <f t="shared" si="6"/>
        <v/>
      </c>
    </row>
    <row r="404" spans="5:9" x14ac:dyDescent="0.3">
      <c r="E404" t="str">
        <f>IFERROR(IF(D404="","",VLOOKUP(D404,CadProd!$A:$B,2,0)),"")</f>
        <v/>
      </c>
      <c r="F404" t="str">
        <f>IFERROR(IF(D404="","",VLOOKUP(D404,CadProd!$A:$C,3,0)),"")</f>
        <v/>
      </c>
      <c r="I404" s="1" t="str">
        <f t="shared" si="6"/>
        <v/>
      </c>
    </row>
    <row r="405" spans="5:9" x14ac:dyDescent="0.3">
      <c r="E405" t="str">
        <f>IFERROR(IF(D405="","",VLOOKUP(D405,CadProd!$A:$B,2,0)),"")</f>
        <v/>
      </c>
      <c r="F405" t="str">
        <f>IFERROR(IF(D405="","",VLOOKUP(D405,CadProd!$A:$C,3,0)),"")</f>
        <v/>
      </c>
      <c r="I405" s="1" t="str">
        <f t="shared" si="6"/>
        <v/>
      </c>
    </row>
    <row r="406" spans="5:9" x14ac:dyDescent="0.3">
      <c r="E406" t="str">
        <f>IFERROR(IF(D406="","",VLOOKUP(D406,CadProd!$A:$B,2,0)),"")</f>
        <v/>
      </c>
      <c r="F406" t="str">
        <f>IFERROR(IF(D406="","",VLOOKUP(D406,CadProd!$A:$C,3,0)),"")</f>
        <v/>
      </c>
      <c r="I406" s="1" t="str">
        <f t="shared" si="6"/>
        <v/>
      </c>
    </row>
    <row r="407" spans="5:9" x14ac:dyDescent="0.3">
      <c r="E407" t="str">
        <f>IFERROR(IF(D407="","",VLOOKUP(D407,CadProd!$A:$B,2,0)),"")</f>
        <v/>
      </c>
      <c r="F407" t="str">
        <f>IFERROR(IF(D407="","",VLOOKUP(D407,CadProd!$A:$C,3,0)),"")</f>
        <v/>
      </c>
      <c r="I407" s="1" t="str">
        <f t="shared" si="6"/>
        <v/>
      </c>
    </row>
    <row r="408" spans="5:9" x14ac:dyDescent="0.3">
      <c r="E408" t="str">
        <f>IFERROR(IF(D408="","",VLOOKUP(D408,CadProd!$A:$B,2,0)),"")</f>
        <v/>
      </c>
      <c r="F408" t="str">
        <f>IFERROR(IF(D408="","",VLOOKUP(D408,CadProd!$A:$C,3,0)),"")</f>
        <v/>
      </c>
      <c r="I408" s="1" t="str">
        <f t="shared" si="6"/>
        <v/>
      </c>
    </row>
    <row r="409" spans="5:9" x14ac:dyDescent="0.3">
      <c r="E409" t="str">
        <f>IFERROR(IF(D409="","",VLOOKUP(D409,CadProd!$A:$B,2,0)),"")</f>
        <v/>
      </c>
      <c r="F409" t="str">
        <f>IFERROR(IF(D409="","",VLOOKUP(D409,CadProd!$A:$C,3,0)),"")</f>
        <v/>
      </c>
      <c r="I409" s="1" t="str">
        <f t="shared" si="6"/>
        <v/>
      </c>
    </row>
    <row r="410" spans="5:9" x14ac:dyDescent="0.3">
      <c r="E410" t="str">
        <f>IFERROR(IF(D410="","",VLOOKUP(D410,CadProd!$A:$B,2,0)),"")</f>
        <v/>
      </c>
      <c r="F410" t="str">
        <f>IFERROR(IF(D410="","",VLOOKUP(D410,CadProd!$A:$C,3,0)),"")</f>
        <v/>
      </c>
      <c r="I410" s="1" t="str">
        <f t="shared" si="6"/>
        <v/>
      </c>
    </row>
    <row r="411" spans="5:9" x14ac:dyDescent="0.3">
      <c r="E411" t="str">
        <f>IFERROR(IF(D411="","",VLOOKUP(D411,CadProd!$A:$B,2,0)),"")</f>
        <v/>
      </c>
      <c r="F411" t="str">
        <f>IFERROR(IF(D411="","",VLOOKUP(D411,CadProd!$A:$C,3,0)),"")</f>
        <v/>
      </c>
      <c r="I411" s="1" t="str">
        <f t="shared" si="6"/>
        <v/>
      </c>
    </row>
    <row r="412" spans="5:9" x14ac:dyDescent="0.3">
      <c r="E412" t="str">
        <f>IFERROR(IF(D412="","",VLOOKUP(D412,CadProd!$A:$B,2,0)),"")</f>
        <v/>
      </c>
      <c r="F412" t="str">
        <f>IFERROR(IF(D412="","",VLOOKUP(D412,CadProd!$A:$C,3,0)),"")</f>
        <v/>
      </c>
      <c r="I412" s="1" t="str">
        <f t="shared" si="6"/>
        <v/>
      </c>
    </row>
    <row r="413" spans="5:9" x14ac:dyDescent="0.3">
      <c r="E413" t="str">
        <f>IFERROR(IF(D413="","",VLOOKUP(D413,CadProd!$A:$B,2,0)),"")</f>
        <v/>
      </c>
      <c r="F413" t="str">
        <f>IFERROR(IF(D413="","",VLOOKUP(D413,CadProd!$A:$C,3,0)),"")</f>
        <v/>
      </c>
      <c r="I413" s="1" t="str">
        <f t="shared" si="6"/>
        <v/>
      </c>
    </row>
    <row r="414" spans="5:9" x14ac:dyDescent="0.3">
      <c r="E414" t="str">
        <f>IFERROR(IF(D414="","",VLOOKUP(D414,CadProd!$A:$B,2,0)),"")</f>
        <v/>
      </c>
      <c r="F414" t="str">
        <f>IFERROR(IF(D414="","",VLOOKUP(D414,CadProd!$A:$C,3,0)),"")</f>
        <v/>
      </c>
      <c r="I414" s="1" t="str">
        <f t="shared" si="6"/>
        <v/>
      </c>
    </row>
    <row r="415" spans="5:9" x14ac:dyDescent="0.3">
      <c r="E415" t="str">
        <f>IFERROR(IF(D415="","",VLOOKUP(D415,CadProd!$A:$B,2,0)),"")</f>
        <v/>
      </c>
      <c r="F415" t="str">
        <f>IFERROR(IF(D415="","",VLOOKUP(D415,CadProd!$A:$C,3,0)),"")</f>
        <v/>
      </c>
      <c r="I415" s="1" t="str">
        <f t="shared" si="6"/>
        <v/>
      </c>
    </row>
    <row r="416" spans="5:9" x14ac:dyDescent="0.3">
      <c r="E416" t="str">
        <f>IFERROR(IF(D416="","",VLOOKUP(D416,CadProd!$A:$B,2,0)),"")</f>
        <v/>
      </c>
      <c r="F416" t="str">
        <f>IFERROR(IF(D416="","",VLOOKUP(D416,CadProd!$A:$C,3,0)),"")</f>
        <v/>
      </c>
      <c r="I416" s="1" t="str">
        <f t="shared" si="6"/>
        <v/>
      </c>
    </row>
    <row r="417" spans="5:9" x14ac:dyDescent="0.3">
      <c r="E417" t="str">
        <f>IFERROR(IF(D417="","",VLOOKUP(D417,CadProd!$A:$B,2,0)),"")</f>
        <v/>
      </c>
      <c r="F417" t="str">
        <f>IFERROR(IF(D417="","",VLOOKUP(D417,CadProd!$A:$C,3,0)),"")</f>
        <v/>
      </c>
      <c r="I417" s="1" t="str">
        <f t="shared" si="6"/>
        <v/>
      </c>
    </row>
    <row r="418" spans="5:9" x14ac:dyDescent="0.3">
      <c r="E418" t="str">
        <f>IFERROR(IF(D418="","",VLOOKUP(D418,CadProd!$A:$B,2,0)),"")</f>
        <v/>
      </c>
      <c r="F418" t="str">
        <f>IFERROR(IF(D418="","",VLOOKUP(D418,CadProd!$A:$C,3,0)),"")</f>
        <v/>
      </c>
      <c r="I418" s="1" t="str">
        <f t="shared" si="6"/>
        <v/>
      </c>
    </row>
    <row r="419" spans="5:9" x14ac:dyDescent="0.3">
      <c r="E419" t="str">
        <f>IFERROR(IF(D419="","",VLOOKUP(D419,CadProd!$A:$B,2,0)),"")</f>
        <v/>
      </c>
      <c r="F419" t="str">
        <f>IFERROR(IF(D419="","",VLOOKUP(D419,CadProd!$A:$C,3,0)),"")</f>
        <v/>
      </c>
      <c r="I419" s="1" t="str">
        <f t="shared" si="6"/>
        <v/>
      </c>
    </row>
    <row r="420" spans="5:9" x14ac:dyDescent="0.3">
      <c r="E420" t="str">
        <f>IFERROR(IF(D420="","",VLOOKUP(D420,CadProd!$A:$B,2,0)),"")</f>
        <v/>
      </c>
      <c r="F420" t="str">
        <f>IFERROR(IF(D420="","",VLOOKUP(D420,CadProd!$A:$C,3,0)),"")</f>
        <v/>
      </c>
      <c r="I420" s="1" t="str">
        <f t="shared" si="6"/>
        <v/>
      </c>
    </row>
    <row r="421" spans="5:9" x14ac:dyDescent="0.3">
      <c r="E421" t="str">
        <f>IFERROR(IF(D421="","",VLOOKUP(D421,CadProd!$A:$B,2,0)),"")</f>
        <v/>
      </c>
      <c r="F421" t="str">
        <f>IFERROR(IF(D421="","",VLOOKUP(D421,CadProd!$A:$C,3,0)),"")</f>
        <v/>
      </c>
      <c r="I421" s="1" t="str">
        <f t="shared" si="6"/>
        <v/>
      </c>
    </row>
    <row r="422" spans="5:9" x14ac:dyDescent="0.3">
      <c r="E422" t="str">
        <f>IFERROR(IF(D422="","",VLOOKUP(D422,CadProd!$A:$B,2,0)),"")</f>
        <v/>
      </c>
      <c r="F422" t="str">
        <f>IFERROR(IF(D422="","",VLOOKUP(D422,CadProd!$A:$C,3,0)),"")</f>
        <v/>
      </c>
      <c r="I422" s="1" t="str">
        <f t="shared" si="6"/>
        <v/>
      </c>
    </row>
    <row r="423" spans="5:9" x14ac:dyDescent="0.3">
      <c r="E423" t="str">
        <f>IFERROR(IF(D423="","",VLOOKUP(D423,CadProd!$A:$B,2,0)),"")</f>
        <v/>
      </c>
      <c r="F423" t="str">
        <f>IFERROR(IF(D423="","",VLOOKUP(D423,CadProd!$A:$C,3,0)),"")</f>
        <v/>
      </c>
      <c r="I423" s="1" t="str">
        <f t="shared" si="6"/>
        <v/>
      </c>
    </row>
    <row r="424" spans="5:9" x14ac:dyDescent="0.3">
      <c r="E424" t="str">
        <f>IFERROR(IF(D424="","",VLOOKUP(D424,CadProd!$A:$B,2,0)),"")</f>
        <v/>
      </c>
      <c r="F424" t="str">
        <f>IFERROR(IF(D424="","",VLOOKUP(D424,CadProd!$A:$C,3,0)),"")</f>
        <v/>
      </c>
      <c r="I424" s="1" t="str">
        <f t="shared" si="6"/>
        <v/>
      </c>
    </row>
    <row r="425" spans="5:9" x14ac:dyDescent="0.3">
      <c r="E425" t="str">
        <f>IFERROR(IF(D425="","",VLOOKUP(D425,CadProd!$A:$B,2,0)),"")</f>
        <v/>
      </c>
      <c r="F425" t="str">
        <f>IFERROR(IF(D425="","",VLOOKUP(D425,CadProd!$A:$C,3,0)),"")</f>
        <v/>
      </c>
      <c r="I425" s="1" t="str">
        <f t="shared" si="6"/>
        <v/>
      </c>
    </row>
    <row r="426" spans="5:9" x14ac:dyDescent="0.3">
      <c r="E426" t="str">
        <f>IFERROR(IF(D426="","",VLOOKUP(D426,CadProd!$A:$B,2,0)),"")</f>
        <v/>
      </c>
      <c r="F426" t="str">
        <f>IFERROR(IF(D426="","",VLOOKUP(D426,CadProd!$A:$C,3,0)),"")</f>
        <v/>
      </c>
      <c r="I426" s="1" t="str">
        <f t="shared" si="6"/>
        <v/>
      </c>
    </row>
    <row r="427" spans="5:9" x14ac:dyDescent="0.3">
      <c r="E427" t="str">
        <f>IFERROR(IF(D427="","",VLOOKUP(D427,CadProd!$A:$B,2,0)),"")</f>
        <v/>
      </c>
      <c r="F427" t="str">
        <f>IFERROR(IF(D427="","",VLOOKUP(D427,CadProd!$A:$C,3,0)),"")</f>
        <v/>
      </c>
      <c r="I427" s="1" t="str">
        <f t="shared" si="6"/>
        <v/>
      </c>
    </row>
    <row r="428" spans="5:9" x14ac:dyDescent="0.3">
      <c r="E428" t="str">
        <f>IFERROR(IF(D428="","",VLOOKUP(D428,CadProd!$A:$B,2,0)),"")</f>
        <v/>
      </c>
      <c r="F428" t="str">
        <f>IFERROR(IF(D428="","",VLOOKUP(D428,CadProd!$A:$C,3,0)),"")</f>
        <v/>
      </c>
      <c r="I428" s="1" t="str">
        <f t="shared" si="6"/>
        <v/>
      </c>
    </row>
    <row r="429" spans="5:9" x14ac:dyDescent="0.3">
      <c r="E429" t="str">
        <f>IFERROR(IF(D429="","",VLOOKUP(D429,CadProd!$A:$B,2,0)),"")</f>
        <v/>
      </c>
      <c r="F429" t="str">
        <f>IFERROR(IF(D429="","",VLOOKUP(D429,CadProd!$A:$C,3,0)),"")</f>
        <v/>
      </c>
      <c r="I429" s="1" t="str">
        <f t="shared" si="6"/>
        <v/>
      </c>
    </row>
    <row r="430" spans="5:9" x14ac:dyDescent="0.3">
      <c r="E430" t="str">
        <f>IFERROR(IF(D430="","",VLOOKUP(D430,CadProd!$A:$B,2,0)),"")</f>
        <v/>
      </c>
      <c r="F430" t="str">
        <f>IFERROR(IF(D430="","",VLOOKUP(D430,CadProd!$A:$C,3,0)),"")</f>
        <v/>
      </c>
      <c r="I430" s="1" t="str">
        <f t="shared" si="6"/>
        <v/>
      </c>
    </row>
    <row r="431" spans="5:9" x14ac:dyDescent="0.3">
      <c r="E431" t="str">
        <f>IFERROR(IF(D431="","",VLOOKUP(D431,CadProd!$A:$B,2,0)),"")</f>
        <v/>
      </c>
      <c r="F431" t="str">
        <f>IFERROR(IF(D431="","",VLOOKUP(D431,CadProd!$A:$C,3,0)),"")</f>
        <v/>
      </c>
      <c r="I431" s="1" t="str">
        <f t="shared" si="6"/>
        <v/>
      </c>
    </row>
    <row r="432" spans="5:9" x14ac:dyDescent="0.3">
      <c r="E432" t="str">
        <f>IFERROR(IF(D432="","",VLOOKUP(D432,CadProd!$A:$B,2,0)),"")</f>
        <v/>
      </c>
      <c r="F432" t="str">
        <f>IFERROR(IF(D432="","",VLOOKUP(D432,CadProd!$A:$C,3,0)),"")</f>
        <v/>
      </c>
      <c r="I432" s="1" t="str">
        <f t="shared" si="6"/>
        <v/>
      </c>
    </row>
    <row r="433" spans="5:9" x14ac:dyDescent="0.3">
      <c r="E433" t="str">
        <f>IFERROR(IF(D433="","",VLOOKUP(D433,CadProd!$A:$B,2,0)),"")</f>
        <v/>
      </c>
      <c r="F433" t="str">
        <f>IFERROR(IF(D433="","",VLOOKUP(D433,CadProd!$A:$C,3,0)),"")</f>
        <v/>
      </c>
      <c r="I433" s="1" t="str">
        <f t="shared" si="6"/>
        <v/>
      </c>
    </row>
    <row r="434" spans="5:9" x14ac:dyDescent="0.3">
      <c r="E434" t="str">
        <f>IFERROR(IF(D434="","",VLOOKUP(D434,CadProd!$A:$B,2,0)),"")</f>
        <v/>
      </c>
      <c r="F434" t="str">
        <f>IFERROR(IF(D434="","",VLOOKUP(D434,CadProd!$A:$C,3,0)),"")</f>
        <v/>
      </c>
      <c r="I434" s="1" t="str">
        <f t="shared" si="6"/>
        <v/>
      </c>
    </row>
    <row r="435" spans="5:9" x14ac:dyDescent="0.3">
      <c r="E435" t="str">
        <f>IFERROR(IF(D435="","",VLOOKUP(D435,CadProd!$A:$B,2,0)),"")</f>
        <v/>
      </c>
      <c r="F435" t="str">
        <f>IFERROR(IF(D435="","",VLOOKUP(D435,CadProd!$A:$C,3,0)),"")</f>
        <v/>
      </c>
      <c r="I435" s="1" t="str">
        <f t="shared" si="6"/>
        <v/>
      </c>
    </row>
    <row r="436" spans="5:9" x14ac:dyDescent="0.3">
      <c r="E436" t="str">
        <f>IFERROR(IF(D436="","",VLOOKUP(D436,CadProd!$A:$B,2,0)),"")</f>
        <v/>
      </c>
      <c r="F436" t="str">
        <f>IFERROR(IF(D436="","",VLOOKUP(D436,CadProd!$A:$C,3,0)),"")</f>
        <v/>
      </c>
      <c r="I436" s="1" t="str">
        <f t="shared" si="6"/>
        <v/>
      </c>
    </row>
    <row r="437" spans="5:9" x14ac:dyDescent="0.3">
      <c r="E437" t="str">
        <f>IFERROR(IF(D437="","",VLOOKUP(D437,CadProd!$A:$B,2,0)),"")</f>
        <v/>
      </c>
      <c r="F437" t="str">
        <f>IFERROR(IF(D437="","",VLOOKUP(D437,CadProd!$A:$C,3,0)),"")</f>
        <v/>
      </c>
      <c r="I437" s="1" t="str">
        <f t="shared" si="6"/>
        <v/>
      </c>
    </row>
    <row r="438" spans="5:9" x14ac:dyDescent="0.3">
      <c r="E438" t="str">
        <f>IFERROR(IF(D438="","",VLOOKUP(D438,CadProd!$A:$B,2,0)),"")</f>
        <v/>
      </c>
      <c r="F438" t="str">
        <f>IFERROR(IF(D438="","",VLOOKUP(D438,CadProd!$A:$C,3,0)),"")</f>
        <v/>
      </c>
      <c r="I438" s="1" t="str">
        <f t="shared" si="6"/>
        <v/>
      </c>
    </row>
    <row r="439" spans="5:9" x14ac:dyDescent="0.3">
      <c r="E439" t="str">
        <f>IFERROR(IF(D439="","",VLOOKUP(D439,CadProd!$A:$B,2,0)),"")</f>
        <v/>
      </c>
      <c r="F439" t="str">
        <f>IFERROR(IF(D439="","",VLOOKUP(D439,CadProd!$A:$C,3,0)),"")</f>
        <v/>
      </c>
      <c r="I439" s="1" t="str">
        <f t="shared" si="6"/>
        <v/>
      </c>
    </row>
    <row r="440" spans="5:9" x14ac:dyDescent="0.3">
      <c r="E440" t="str">
        <f>IFERROR(IF(D440="","",VLOOKUP(D440,CadProd!$A:$B,2,0)),"")</f>
        <v/>
      </c>
      <c r="F440" t="str">
        <f>IFERROR(IF(D440="","",VLOOKUP(D440,CadProd!$A:$C,3,0)),"")</f>
        <v/>
      </c>
      <c r="I440" s="1" t="str">
        <f t="shared" si="6"/>
        <v/>
      </c>
    </row>
    <row r="441" spans="5:9" x14ac:dyDescent="0.3">
      <c r="E441" t="str">
        <f>IFERROR(IF(D441="","",VLOOKUP(D441,CadProd!$A:$B,2,0)),"")</f>
        <v/>
      </c>
      <c r="F441" t="str">
        <f>IFERROR(IF(D441="","",VLOOKUP(D441,CadProd!$A:$C,3,0)),"")</f>
        <v/>
      </c>
      <c r="I441" s="1" t="str">
        <f t="shared" si="6"/>
        <v/>
      </c>
    </row>
    <row r="442" spans="5:9" x14ac:dyDescent="0.3">
      <c r="E442" t="str">
        <f>IFERROR(IF(D442="","",VLOOKUP(D442,CadProd!$A:$B,2,0)),"")</f>
        <v/>
      </c>
      <c r="F442" t="str">
        <f>IFERROR(IF(D442="","",VLOOKUP(D442,CadProd!$A:$C,3,0)),"")</f>
        <v/>
      </c>
      <c r="I442" s="1" t="str">
        <f t="shared" si="6"/>
        <v/>
      </c>
    </row>
    <row r="443" spans="5:9" x14ac:dyDescent="0.3">
      <c r="E443" t="str">
        <f>IFERROR(IF(D443="","",VLOOKUP(D443,CadProd!$A:$B,2,0)),"")</f>
        <v/>
      </c>
      <c r="F443" t="str">
        <f>IFERROR(IF(D443="","",VLOOKUP(D443,CadProd!$A:$C,3,0)),"")</f>
        <v/>
      </c>
      <c r="I443" s="1" t="str">
        <f t="shared" si="6"/>
        <v/>
      </c>
    </row>
    <row r="444" spans="5:9" x14ac:dyDescent="0.3">
      <c r="E444" t="str">
        <f>IFERROR(IF(D444="","",VLOOKUP(D444,CadProd!$A:$B,2,0)),"")</f>
        <v/>
      </c>
      <c r="F444" t="str">
        <f>IFERROR(IF(D444="","",VLOOKUP(D444,CadProd!$A:$C,3,0)),"")</f>
        <v/>
      </c>
      <c r="I444" s="1" t="str">
        <f t="shared" si="6"/>
        <v/>
      </c>
    </row>
    <row r="445" spans="5:9" x14ac:dyDescent="0.3">
      <c r="E445" t="str">
        <f>IFERROR(IF(D445="","",VLOOKUP(D445,CadProd!$A:$B,2,0)),"")</f>
        <v/>
      </c>
      <c r="F445" t="str">
        <f>IFERROR(IF(D445="","",VLOOKUP(D445,CadProd!$A:$C,3,0)),"")</f>
        <v/>
      </c>
      <c r="I445" s="1" t="str">
        <f t="shared" si="6"/>
        <v/>
      </c>
    </row>
    <row r="446" spans="5:9" x14ac:dyDescent="0.3">
      <c r="E446" t="str">
        <f>IFERROR(IF(D446="","",VLOOKUP(D446,CadProd!$A:$B,2,0)),"")</f>
        <v/>
      </c>
      <c r="F446" t="str">
        <f>IFERROR(IF(D446="","",VLOOKUP(D446,CadProd!$A:$C,3,0)),"")</f>
        <v/>
      </c>
      <c r="I446" s="1" t="str">
        <f t="shared" si="6"/>
        <v/>
      </c>
    </row>
    <row r="447" spans="5:9" x14ac:dyDescent="0.3">
      <c r="E447" t="str">
        <f>IFERROR(IF(D447="","",VLOOKUP(D447,CadProd!$A:$B,2,0)),"")</f>
        <v/>
      </c>
      <c r="F447" t="str">
        <f>IFERROR(IF(D447="","",VLOOKUP(D447,CadProd!$A:$C,3,0)),"")</f>
        <v/>
      </c>
      <c r="I447" s="1" t="str">
        <f t="shared" si="6"/>
        <v/>
      </c>
    </row>
    <row r="448" spans="5:9" x14ac:dyDescent="0.3">
      <c r="E448" t="str">
        <f>IFERROR(IF(D448="","",VLOOKUP(D448,CadProd!$A:$B,2,0)),"")</f>
        <v/>
      </c>
      <c r="F448" t="str">
        <f>IFERROR(IF(D448="","",VLOOKUP(D448,CadProd!$A:$C,3,0)),"")</f>
        <v/>
      </c>
      <c r="I448" s="1" t="str">
        <f t="shared" si="6"/>
        <v/>
      </c>
    </row>
    <row r="449" spans="5:9" x14ac:dyDescent="0.3">
      <c r="E449" t="str">
        <f>IFERROR(IF(D449="","",VLOOKUP(D449,CadProd!$A:$B,2,0)),"")</f>
        <v/>
      </c>
      <c r="F449" t="str">
        <f>IFERROR(IF(D449="","",VLOOKUP(D449,CadProd!$A:$C,3,0)),"")</f>
        <v/>
      </c>
      <c r="I449" s="1" t="str">
        <f t="shared" si="6"/>
        <v/>
      </c>
    </row>
    <row r="450" spans="5:9" x14ac:dyDescent="0.3">
      <c r="E450" t="str">
        <f>IFERROR(IF(D450="","",VLOOKUP(D450,CadProd!$A:$B,2,0)),"")</f>
        <v/>
      </c>
      <c r="F450" t="str">
        <f>IFERROR(IF(D450="","",VLOOKUP(D450,CadProd!$A:$C,3,0)),"")</f>
        <v/>
      </c>
      <c r="I450" s="1" t="str">
        <f t="shared" ref="I450:I513" si="7">IFERROR(IF(D450="","",H450*G450),"")</f>
        <v/>
      </c>
    </row>
    <row r="451" spans="5:9" x14ac:dyDescent="0.3">
      <c r="E451" t="str">
        <f>IFERROR(IF(D451="","",VLOOKUP(D451,CadProd!$A:$B,2,0)),"")</f>
        <v/>
      </c>
      <c r="F451" t="str">
        <f>IFERROR(IF(D451="","",VLOOKUP(D451,CadProd!$A:$C,3,0)),"")</f>
        <v/>
      </c>
      <c r="I451" s="1" t="str">
        <f t="shared" si="7"/>
        <v/>
      </c>
    </row>
    <row r="452" spans="5:9" x14ac:dyDescent="0.3">
      <c r="E452" t="str">
        <f>IFERROR(IF(D452="","",VLOOKUP(D452,CadProd!$A:$B,2,0)),"")</f>
        <v/>
      </c>
      <c r="F452" t="str">
        <f>IFERROR(IF(D452="","",VLOOKUP(D452,CadProd!$A:$C,3,0)),"")</f>
        <v/>
      </c>
      <c r="I452" s="1" t="str">
        <f t="shared" si="7"/>
        <v/>
      </c>
    </row>
    <row r="453" spans="5:9" x14ac:dyDescent="0.3">
      <c r="E453" t="str">
        <f>IFERROR(IF(D453="","",VLOOKUP(D453,CadProd!$A:$B,2,0)),"")</f>
        <v/>
      </c>
      <c r="F453" t="str">
        <f>IFERROR(IF(D453="","",VLOOKUP(D453,CadProd!$A:$C,3,0)),"")</f>
        <v/>
      </c>
      <c r="I453" s="1" t="str">
        <f t="shared" si="7"/>
        <v/>
      </c>
    </row>
    <row r="454" spans="5:9" x14ac:dyDescent="0.3">
      <c r="E454" t="str">
        <f>IFERROR(IF(D454="","",VLOOKUP(D454,CadProd!$A:$B,2,0)),"")</f>
        <v/>
      </c>
      <c r="F454" t="str">
        <f>IFERROR(IF(D454="","",VLOOKUP(D454,CadProd!$A:$C,3,0)),"")</f>
        <v/>
      </c>
      <c r="I454" s="1" t="str">
        <f t="shared" si="7"/>
        <v/>
      </c>
    </row>
    <row r="455" spans="5:9" x14ac:dyDescent="0.3">
      <c r="E455" t="str">
        <f>IFERROR(IF(D455="","",VLOOKUP(D455,CadProd!$A:$B,2,0)),"")</f>
        <v/>
      </c>
      <c r="F455" t="str">
        <f>IFERROR(IF(D455="","",VLOOKUP(D455,CadProd!$A:$C,3,0)),"")</f>
        <v/>
      </c>
      <c r="I455" s="1" t="str">
        <f t="shared" si="7"/>
        <v/>
      </c>
    </row>
    <row r="456" spans="5:9" x14ac:dyDescent="0.3">
      <c r="E456" t="str">
        <f>IFERROR(IF(D456="","",VLOOKUP(D456,CadProd!$A:$B,2,0)),"")</f>
        <v/>
      </c>
      <c r="F456" t="str">
        <f>IFERROR(IF(D456="","",VLOOKUP(D456,CadProd!$A:$C,3,0)),"")</f>
        <v/>
      </c>
      <c r="I456" s="1" t="str">
        <f t="shared" si="7"/>
        <v/>
      </c>
    </row>
    <row r="457" spans="5:9" x14ac:dyDescent="0.3">
      <c r="E457" t="str">
        <f>IFERROR(IF(D457="","",VLOOKUP(D457,CadProd!$A:$B,2,0)),"")</f>
        <v/>
      </c>
      <c r="F457" t="str">
        <f>IFERROR(IF(D457="","",VLOOKUP(D457,CadProd!$A:$C,3,0)),"")</f>
        <v/>
      </c>
      <c r="I457" s="1" t="str">
        <f t="shared" si="7"/>
        <v/>
      </c>
    </row>
    <row r="458" spans="5:9" x14ac:dyDescent="0.3">
      <c r="E458" t="str">
        <f>IFERROR(IF(D458="","",VLOOKUP(D458,CadProd!$A:$B,2,0)),"")</f>
        <v/>
      </c>
      <c r="F458" t="str">
        <f>IFERROR(IF(D458="","",VLOOKUP(D458,CadProd!$A:$C,3,0)),"")</f>
        <v/>
      </c>
      <c r="I458" s="1" t="str">
        <f t="shared" si="7"/>
        <v/>
      </c>
    </row>
    <row r="459" spans="5:9" x14ac:dyDescent="0.3">
      <c r="E459" t="str">
        <f>IFERROR(IF(D459="","",VLOOKUP(D459,CadProd!$A:$B,2,0)),"")</f>
        <v/>
      </c>
      <c r="F459" t="str">
        <f>IFERROR(IF(D459="","",VLOOKUP(D459,CadProd!$A:$C,3,0)),"")</f>
        <v/>
      </c>
      <c r="I459" s="1" t="str">
        <f t="shared" si="7"/>
        <v/>
      </c>
    </row>
    <row r="460" spans="5:9" x14ac:dyDescent="0.3">
      <c r="E460" t="str">
        <f>IFERROR(IF(D460="","",VLOOKUP(D460,CadProd!$A:$B,2,0)),"")</f>
        <v/>
      </c>
      <c r="F460" t="str">
        <f>IFERROR(IF(D460="","",VLOOKUP(D460,CadProd!$A:$C,3,0)),"")</f>
        <v/>
      </c>
      <c r="I460" s="1" t="str">
        <f t="shared" si="7"/>
        <v/>
      </c>
    </row>
    <row r="461" spans="5:9" x14ac:dyDescent="0.3">
      <c r="E461" t="str">
        <f>IFERROR(IF(D461="","",VLOOKUP(D461,CadProd!$A:$B,2,0)),"")</f>
        <v/>
      </c>
      <c r="F461" t="str">
        <f>IFERROR(IF(D461="","",VLOOKUP(D461,CadProd!$A:$C,3,0)),"")</f>
        <v/>
      </c>
      <c r="I461" s="1" t="str">
        <f t="shared" si="7"/>
        <v/>
      </c>
    </row>
    <row r="462" spans="5:9" x14ac:dyDescent="0.3">
      <c r="E462" t="str">
        <f>IFERROR(IF(D462="","",VLOOKUP(D462,CadProd!$A:$B,2,0)),"")</f>
        <v/>
      </c>
      <c r="F462" t="str">
        <f>IFERROR(IF(D462="","",VLOOKUP(D462,CadProd!$A:$C,3,0)),"")</f>
        <v/>
      </c>
      <c r="I462" s="1" t="str">
        <f t="shared" si="7"/>
        <v/>
      </c>
    </row>
    <row r="463" spans="5:9" x14ac:dyDescent="0.3">
      <c r="E463" t="str">
        <f>IFERROR(IF(D463="","",VLOOKUP(D463,CadProd!$A:$B,2,0)),"")</f>
        <v/>
      </c>
      <c r="F463" t="str">
        <f>IFERROR(IF(D463="","",VLOOKUP(D463,CadProd!$A:$C,3,0)),"")</f>
        <v/>
      </c>
      <c r="I463" s="1" t="str">
        <f t="shared" si="7"/>
        <v/>
      </c>
    </row>
    <row r="464" spans="5:9" x14ac:dyDescent="0.3">
      <c r="E464" t="str">
        <f>IFERROR(IF(D464="","",VLOOKUP(D464,CadProd!$A:$B,2,0)),"")</f>
        <v/>
      </c>
      <c r="F464" t="str">
        <f>IFERROR(IF(D464="","",VLOOKUP(D464,CadProd!$A:$C,3,0)),"")</f>
        <v/>
      </c>
      <c r="I464" s="1" t="str">
        <f t="shared" si="7"/>
        <v/>
      </c>
    </row>
    <row r="465" spans="5:9" x14ac:dyDescent="0.3">
      <c r="E465" t="str">
        <f>IFERROR(IF(D465="","",VLOOKUP(D465,CadProd!$A:$B,2,0)),"")</f>
        <v/>
      </c>
      <c r="F465" t="str">
        <f>IFERROR(IF(D465="","",VLOOKUP(D465,CadProd!$A:$C,3,0)),"")</f>
        <v/>
      </c>
      <c r="I465" s="1" t="str">
        <f t="shared" si="7"/>
        <v/>
      </c>
    </row>
    <row r="466" spans="5:9" x14ac:dyDescent="0.3">
      <c r="E466" t="str">
        <f>IFERROR(IF(D466="","",VLOOKUP(D466,CadProd!$A:$B,2,0)),"")</f>
        <v/>
      </c>
      <c r="F466" t="str">
        <f>IFERROR(IF(D466="","",VLOOKUP(D466,CadProd!$A:$C,3,0)),"")</f>
        <v/>
      </c>
      <c r="I466" s="1" t="str">
        <f t="shared" si="7"/>
        <v/>
      </c>
    </row>
    <row r="467" spans="5:9" x14ac:dyDescent="0.3">
      <c r="E467" t="str">
        <f>IFERROR(IF(D467="","",VLOOKUP(D467,CadProd!$A:$B,2,0)),"")</f>
        <v/>
      </c>
      <c r="F467" t="str">
        <f>IFERROR(IF(D467="","",VLOOKUP(D467,CadProd!$A:$C,3,0)),"")</f>
        <v/>
      </c>
      <c r="I467" s="1" t="str">
        <f t="shared" si="7"/>
        <v/>
      </c>
    </row>
    <row r="468" spans="5:9" x14ac:dyDescent="0.3">
      <c r="E468" t="str">
        <f>IFERROR(IF(D468="","",VLOOKUP(D468,CadProd!$A:$B,2,0)),"")</f>
        <v/>
      </c>
      <c r="F468" t="str">
        <f>IFERROR(IF(D468="","",VLOOKUP(D468,CadProd!$A:$C,3,0)),"")</f>
        <v/>
      </c>
      <c r="I468" s="1" t="str">
        <f t="shared" si="7"/>
        <v/>
      </c>
    </row>
    <row r="469" spans="5:9" x14ac:dyDescent="0.3">
      <c r="E469" t="str">
        <f>IFERROR(IF(D469="","",VLOOKUP(D469,CadProd!$A:$B,2,0)),"")</f>
        <v/>
      </c>
      <c r="F469" t="str">
        <f>IFERROR(IF(D469="","",VLOOKUP(D469,CadProd!$A:$C,3,0)),"")</f>
        <v/>
      </c>
      <c r="I469" s="1" t="str">
        <f t="shared" si="7"/>
        <v/>
      </c>
    </row>
    <row r="470" spans="5:9" x14ac:dyDescent="0.3">
      <c r="E470" t="str">
        <f>IFERROR(IF(D470="","",VLOOKUP(D470,CadProd!$A:$B,2,0)),"")</f>
        <v/>
      </c>
      <c r="F470" t="str">
        <f>IFERROR(IF(D470="","",VLOOKUP(D470,CadProd!$A:$C,3,0)),"")</f>
        <v/>
      </c>
      <c r="I470" s="1" t="str">
        <f t="shared" si="7"/>
        <v/>
      </c>
    </row>
    <row r="471" spans="5:9" x14ac:dyDescent="0.3">
      <c r="E471" t="str">
        <f>IFERROR(IF(D471="","",VLOOKUP(D471,CadProd!$A:$B,2,0)),"")</f>
        <v/>
      </c>
      <c r="F471" t="str">
        <f>IFERROR(IF(D471="","",VLOOKUP(D471,CadProd!$A:$C,3,0)),"")</f>
        <v/>
      </c>
      <c r="I471" s="1" t="str">
        <f t="shared" si="7"/>
        <v/>
      </c>
    </row>
    <row r="472" spans="5:9" x14ac:dyDescent="0.3">
      <c r="E472" t="str">
        <f>IFERROR(IF(D472="","",VLOOKUP(D472,CadProd!$A:$B,2,0)),"")</f>
        <v/>
      </c>
      <c r="F472" t="str">
        <f>IFERROR(IF(D472="","",VLOOKUP(D472,CadProd!$A:$C,3,0)),"")</f>
        <v/>
      </c>
      <c r="I472" s="1" t="str">
        <f t="shared" si="7"/>
        <v/>
      </c>
    </row>
    <row r="473" spans="5:9" x14ac:dyDescent="0.3">
      <c r="E473" t="str">
        <f>IFERROR(IF(D473="","",VLOOKUP(D473,CadProd!$A:$B,2,0)),"")</f>
        <v/>
      </c>
      <c r="F473" t="str">
        <f>IFERROR(IF(D473="","",VLOOKUP(D473,CadProd!$A:$C,3,0)),"")</f>
        <v/>
      </c>
      <c r="I473" s="1" t="str">
        <f t="shared" si="7"/>
        <v/>
      </c>
    </row>
    <row r="474" spans="5:9" x14ac:dyDescent="0.3">
      <c r="E474" t="str">
        <f>IFERROR(IF(D474="","",VLOOKUP(D474,CadProd!$A:$B,2,0)),"")</f>
        <v/>
      </c>
      <c r="F474" t="str">
        <f>IFERROR(IF(D474="","",VLOOKUP(D474,CadProd!$A:$C,3,0)),"")</f>
        <v/>
      </c>
      <c r="I474" s="1" t="str">
        <f t="shared" si="7"/>
        <v/>
      </c>
    </row>
    <row r="475" spans="5:9" x14ac:dyDescent="0.3">
      <c r="E475" t="str">
        <f>IFERROR(IF(D475="","",VLOOKUP(D475,CadProd!$A:$B,2,0)),"")</f>
        <v/>
      </c>
      <c r="F475" t="str">
        <f>IFERROR(IF(D475="","",VLOOKUP(D475,CadProd!$A:$C,3,0)),"")</f>
        <v/>
      </c>
      <c r="I475" s="1" t="str">
        <f t="shared" si="7"/>
        <v/>
      </c>
    </row>
    <row r="476" spans="5:9" x14ac:dyDescent="0.3">
      <c r="E476" t="str">
        <f>IFERROR(IF(D476="","",VLOOKUP(D476,CadProd!$A:$B,2,0)),"")</f>
        <v/>
      </c>
      <c r="F476" t="str">
        <f>IFERROR(IF(D476="","",VLOOKUP(D476,CadProd!$A:$C,3,0)),"")</f>
        <v/>
      </c>
      <c r="I476" s="1" t="str">
        <f t="shared" si="7"/>
        <v/>
      </c>
    </row>
    <row r="477" spans="5:9" x14ac:dyDescent="0.3">
      <c r="E477" t="str">
        <f>IFERROR(IF(D477="","",VLOOKUP(D477,CadProd!$A:$B,2,0)),"")</f>
        <v/>
      </c>
      <c r="F477" t="str">
        <f>IFERROR(IF(D477="","",VLOOKUP(D477,CadProd!$A:$C,3,0)),"")</f>
        <v/>
      </c>
      <c r="I477" s="1" t="str">
        <f t="shared" si="7"/>
        <v/>
      </c>
    </row>
    <row r="478" spans="5:9" x14ac:dyDescent="0.3">
      <c r="E478" t="str">
        <f>IFERROR(IF(D478="","",VLOOKUP(D478,CadProd!$A:$B,2,0)),"")</f>
        <v/>
      </c>
      <c r="F478" t="str">
        <f>IFERROR(IF(D478="","",VLOOKUP(D478,CadProd!$A:$C,3,0)),"")</f>
        <v/>
      </c>
      <c r="I478" s="1" t="str">
        <f t="shared" si="7"/>
        <v/>
      </c>
    </row>
    <row r="479" spans="5:9" x14ac:dyDescent="0.3">
      <c r="E479" t="str">
        <f>IFERROR(IF(D479="","",VLOOKUP(D479,CadProd!$A:$B,2,0)),"")</f>
        <v/>
      </c>
      <c r="F479" t="str">
        <f>IFERROR(IF(D479="","",VLOOKUP(D479,CadProd!$A:$C,3,0)),"")</f>
        <v/>
      </c>
      <c r="I479" s="1" t="str">
        <f t="shared" si="7"/>
        <v/>
      </c>
    </row>
    <row r="480" spans="5:9" x14ac:dyDescent="0.3">
      <c r="E480" t="str">
        <f>IFERROR(IF(D480="","",VLOOKUP(D480,CadProd!$A:$B,2,0)),"")</f>
        <v/>
      </c>
      <c r="F480" t="str">
        <f>IFERROR(IF(D480="","",VLOOKUP(D480,CadProd!$A:$C,3,0)),"")</f>
        <v/>
      </c>
      <c r="I480" s="1" t="str">
        <f t="shared" si="7"/>
        <v/>
      </c>
    </row>
    <row r="481" spans="5:9" x14ac:dyDescent="0.3">
      <c r="E481" t="str">
        <f>IFERROR(IF(D481="","",VLOOKUP(D481,CadProd!$A:$B,2,0)),"")</f>
        <v/>
      </c>
      <c r="F481" t="str">
        <f>IFERROR(IF(D481="","",VLOOKUP(D481,CadProd!$A:$C,3,0)),"")</f>
        <v/>
      </c>
      <c r="I481" s="1" t="str">
        <f t="shared" si="7"/>
        <v/>
      </c>
    </row>
    <row r="482" spans="5:9" x14ac:dyDescent="0.3">
      <c r="E482" t="str">
        <f>IFERROR(IF(D482="","",VLOOKUP(D482,CadProd!$A:$B,2,0)),"")</f>
        <v/>
      </c>
      <c r="F482" t="str">
        <f>IFERROR(IF(D482="","",VLOOKUP(D482,CadProd!$A:$C,3,0)),"")</f>
        <v/>
      </c>
      <c r="I482" s="1" t="str">
        <f t="shared" si="7"/>
        <v/>
      </c>
    </row>
    <row r="483" spans="5:9" x14ac:dyDescent="0.3">
      <c r="E483" t="str">
        <f>IFERROR(IF(D483="","",VLOOKUP(D483,CadProd!$A:$B,2,0)),"")</f>
        <v/>
      </c>
      <c r="F483" t="str">
        <f>IFERROR(IF(D483="","",VLOOKUP(D483,CadProd!$A:$C,3,0)),"")</f>
        <v/>
      </c>
      <c r="I483" s="1" t="str">
        <f t="shared" si="7"/>
        <v/>
      </c>
    </row>
    <row r="484" spans="5:9" x14ac:dyDescent="0.3">
      <c r="E484" t="str">
        <f>IFERROR(IF(D484="","",VLOOKUP(D484,CadProd!$A:$B,2,0)),"")</f>
        <v/>
      </c>
      <c r="F484" t="str">
        <f>IFERROR(IF(D484="","",VLOOKUP(D484,CadProd!$A:$C,3,0)),"")</f>
        <v/>
      </c>
      <c r="I484" s="1" t="str">
        <f t="shared" si="7"/>
        <v/>
      </c>
    </row>
    <row r="485" spans="5:9" x14ac:dyDescent="0.3">
      <c r="E485" t="str">
        <f>IFERROR(IF(D485="","",VLOOKUP(D485,CadProd!$A:$B,2,0)),"")</f>
        <v/>
      </c>
      <c r="F485" t="str">
        <f>IFERROR(IF(D485="","",VLOOKUP(D485,CadProd!$A:$C,3,0)),"")</f>
        <v/>
      </c>
      <c r="I485" s="1" t="str">
        <f t="shared" si="7"/>
        <v/>
      </c>
    </row>
    <row r="486" spans="5:9" x14ac:dyDescent="0.3">
      <c r="E486" t="str">
        <f>IFERROR(IF(D486="","",VLOOKUP(D486,CadProd!$A:$B,2,0)),"")</f>
        <v/>
      </c>
      <c r="F486" t="str">
        <f>IFERROR(IF(D486="","",VLOOKUP(D486,CadProd!$A:$C,3,0)),"")</f>
        <v/>
      </c>
      <c r="I486" s="1" t="str">
        <f t="shared" si="7"/>
        <v/>
      </c>
    </row>
    <row r="487" spans="5:9" x14ac:dyDescent="0.3">
      <c r="E487" t="str">
        <f>IFERROR(IF(D487="","",VLOOKUP(D487,CadProd!$A:$B,2,0)),"")</f>
        <v/>
      </c>
      <c r="F487" t="str">
        <f>IFERROR(IF(D487="","",VLOOKUP(D487,CadProd!$A:$C,3,0)),"")</f>
        <v/>
      </c>
      <c r="I487" s="1" t="str">
        <f t="shared" si="7"/>
        <v/>
      </c>
    </row>
    <row r="488" spans="5:9" x14ac:dyDescent="0.3">
      <c r="E488" t="str">
        <f>IFERROR(IF(D488="","",VLOOKUP(D488,CadProd!$A:$B,2,0)),"")</f>
        <v/>
      </c>
      <c r="F488" t="str">
        <f>IFERROR(IF(D488="","",VLOOKUP(D488,CadProd!$A:$C,3,0)),"")</f>
        <v/>
      </c>
      <c r="I488" s="1" t="str">
        <f t="shared" si="7"/>
        <v/>
      </c>
    </row>
    <row r="489" spans="5:9" x14ac:dyDescent="0.3">
      <c r="E489" t="str">
        <f>IFERROR(IF(D489="","",VLOOKUP(D489,CadProd!$A:$B,2,0)),"")</f>
        <v/>
      </c>
      <c r="F489" t="str">
        <f>IFERROR(IF(D489="","",VLOOKUP(D489,CadProd!$A:$C,3,0)),"")</f>
        <v/>
      </c>
      <c r="I489" s="1" t="str">
        <f t="shared" si="7"/>
        <v/>
      </c>
    </row>
    <row r="490" spans="5:9" x14ac:dyDescent="0.3">
      <c r="E490" t="str">
        <f>IFERROR(IF(D490="","",VLOOKUP(D490,CadProd!$A:$B,2,0)),"")</f>
        <v/>
      </c>
      <c r="F490" t="str">
        <f>IFERROR(IF(D490="","",VLOOKUP(D490,CadProd!$A:$C,3,0)),"")</f>
        <v/>
      </c>
      <c r="I490" s="1" t="str">
        <f t="shared" si="7"/>
        <v/>
      </c>
    </row>
    <row r="491" spans="5:9" x14ac:dyDescent="0.3">
      <c r="E491" t="str">
        <f>IFERROR(IF(D491="","",VLOOKUP(D491,CadProd!$A:$B,2,0)),"")</f>
        <v/>
      </c>
      <c r="F491" t="str">
        <f>IFERROR(IF(D491="","",VLOOKUP(D491,CadProd!$A:$C,3,0)),"")</f>
        <v/>
      </c>
      <c r="I491" s="1" t="str">
        <f t="shared" si="7"/>
        <v/>
      </c>
    </row>
    <row r="492" spans="5:9" x14ac:dyDescent="0.3">
      <c r="E492" t="str">
        <f>IFERROR(IF(D492="","",VLOOKUP(D492,CadProd!$A:$B,2,0)),"")</f>
        <v/>
      </c>
      <c r="F492" t="str">
        <f>IFERROR(IF(D492="","",VLOOKUP(D492,CadProd!$A:$C,3,0)),"")</f>
        <v/>
      </c>
      <c r="I492" s="1" t="str">
        <f t="shared" si="7"/>
        <v/>
      </c>
    </row>
    <row r="493" spans="5:9" x14ac:dyDescent="0.3">
      <c r="E493" t="str">
        <f>IFERROR(IF(D493="","",VLOOKUP(D493,CadProd!$A:$B,2,0)),"")</f>
        <v/>
      </c>
      <c r="F493" t="str">
        <f>IFERROR(IF(D493="","",VLOOKUP(D493,CadProd!$A:$C,3,0)),"")</f>
        <v/>
      </c>
      <c r="I493" s="1" t="str">
        <f t="shared" si="7"/>
        <v/>
      </c>
    </row>
    <row r="494" spans="5:9" x14ac:dyDescent="0.3">
      <c r="E494" t="str">
        <f>IFERROR(IF(D494="","",VLOOKUP(D494,CadProd!$A:$B,2,0)),"")</f>
        <v/>
      </c>
      <c r="F494" t="str">
        <f>IFERROR(IF(D494="","",VLOOKUP(D494,CadProd!$A:$C,3,0)),"")</f>
        <v/>
      </c>
      <c r="I494" s="1" t="str">
        <f t="shared" si="7"/>
        <v/>
      </c>
    </row>
    <row r="495" spans="5:9" x14ac:dyDescent="0.3">
      <c r="E495" t="str">
        <f>IFERROR(IF(D495="","",VLOOKUP(D495,CadProd!$A:$B,2,0)),"")</f>
        <v/>
      </c>
      <c r="F495" t="str">
        <f>IFERROR(IF(D495="","",VLOOKUP(D495,CadProd!$A:$C,3,0)),"")</f>
        <v/>
      </c>
      <c r="I495" s="1" t="str">
        <f t="shared" si="7"/>
        <v/>
      </c>
    </row>
    <row r="496" spans="5:9" x14ac:dyDescent="0.3">
      <c r="E496" t="str">
        <f>IFERROR(IF(D496="","",VLOOKUP(D496,CadProd!$A:$B,2,0)),"")</f>
        <v/>
      </c>
      <c r="F496" t="str">
        <f>IFERROR(IF(D496="","",VLOOKUP(D496,CadProd!$A:$C,3,0)),"")</f>
        <v/>
      </c>
      <c r="I496" s="1" t="str">
        <f t="shared" si="7"/>
        <v/>
      </c>
    </row>
    <row r="497" spans="5:9" x14ac:dyDescent="0.3">
      <c r="E497" t="str">
        <f>IFERROR(IF(D497="","",VLOOKUP(D497,CadProd!$A:$B,2,0)),"")</f>
        <v/>
      </c>
      <c r="F497" t="str">
        <f>IFERROR(IF(D497="","",VLOOKUP(D497,CadProd!$A:$C,3,0)),"")</f>
        <v/>
      </c>
      <c r="I497" s="1" t="str">
        <f t="shared" si="7"/>
        <v/>
      </c>
    </row>
    <row r="498" spans="5:9" x14ac:dyDescent="0.3">
      <c r="E498" t="str">
        <f>IFERROR(IF(D498="","",VLOOKUP(D498,CadProd!$A:$B,2,0)),"")</f>
        <v/>
      </c>
      <c r="F498" t="str">
        <f>IFERROR(IF(D498="","",VLOOKUP(D498,CadProd!$A:$C,3,0)),"")</f>
        <v/>
      </c>
      <c r="I498" s="1" t="str">
        <f t="shared" si="7"/>
        <v/>
      </c>
    </row>
    <row r="499" spans="5:9" x14ac:dyDescent="0.3">
      <c r="E499" t="str">
        <f>IFERROR(IF(D499="","",VLOOKUP(D499,CadProd!$A:$B,2,0)),"")</f>
        <v/>
      </c>
      <c r="F499" t="str">
        <f>IFERROR(IF(D499="","",VLOOKUP(D499,CadProd!$A:$C,3,0)),"")</f>
        <v/>
      </c>
      <c r="I499" s="1" t="str">
        <f t="shared" si="7"/>
        <v/>
      </c>
    </row>
    <row r="500" spans="5:9" x14ac:dyDescent="0.3">
      <c r="E500" t="str">
        <f>IFERROR(IF(D500="","",VLOOKUP(D500,CadProd!$A:$B,2,0)),"")</f>
        <v/>
      </c>
      <c r="F500" t="str">
        <f>IFERROR(IF(D500="","",VLOOKUP(D500,CadProd!$A:$C,3,0)),"")</f>
        <v/>
      </c>
      <c r="I500" s="1" t="str">
        <f t="shared" si="7"/>
        <v/>
      </c>
    </row>
    <row r="501" spans="5:9" x14ac:dyDescent="0.3">
      <c r="E501" t="str">
        <f>IFERROR(IF(D501="","",VLOOKUP(D501,CadProd!$A:$B,2,0)),"")</f>
        <v/>
      </c>
      <c r="F501" t="str">
        <f>IFERROR(IF(D501="","",VLOOKUP(D501,CadProd!$A:$C,3,0)),"")</f>
        <v/>
      </c>
      <c r="I501" s="1" t="str">
        <f t="shared" si="7"/>
        <v/>
      </c>
    </row>
    <row r="502" spans="5:9" x14ac:dyDescent="0.3">
      <c r="E502" t="str">
        <f>IFERROR(IF(D502="","",VLOOKUP(D502,CadProd!$A:$B,2,0)),"")</f>
        <v/>
      </c>
      <c r="F502" t="str">
        <f>IFERROR(IF(D502="","",VLOOKUP(D502,CadProd!$A:$C,3,0)),"")</f>
        <v/>
      </c>
      <c r="I502" s="1" t="str">
        <f t="shared" si="7"/>
        <v/>
      </c>
    </row>
    <row r="503" spans="5:9" x14ac:dyDescent="0.3">
      <c r="E503" t="str">
        <f>IFERROR(IF(D503="","",VLOOKUP(D503,CadProd!$A:$B,2,0)),"")</f>
        <v/>
      </c>
      <c r="F503" t="str">
        <f>IFERROR(IF(D503="","",VLOOKUP(D503,CadProd!$A:$C,3,0)),"")</f>
        <v/>
      </c>
      <c r="I503" s="1" t="str">
        <f t="shared" si="7"/>
        <v/>
      </c>
    </row>
    <row r="504" spans="5:9" x14ac:dyDescent="0.3">
      <c r="E504" t="str">
        <f>IFERROR(IF(D504="","",VLOOKUP(D504,CadProd!$A:$B,2,0)),"")</f>
        <v/>
      </c>
      <c r="F504" t="str">
        <f>IFERROR(IF(D504="","",VLOOKUP(D504,CadProd!$A:$C,3,0)),"")</f>
        <v/>
      </c>
      <c r="I504" s="1" t="str">
        <f t="shared" si="7"/>
        <v/>
      </c>
    </row>
    <row r="505" spans="5:9" x14ac:dyDescent="0.3">
      <c r="E505" t="str">
        <f>IFERROR(IF(D505="","",VLOOKUP(D505,CadProd!$A:$B,2,0)),"")</f>
        <v/>
      </c>
      <c r="F505" t="str">
        <f>IFERROR(IF(D505="","",VLOOKUP(D505,CadProd!$A:$C,3,0)),"")</f>
        <v/>
      </c>
      <c r="I505" s="1" t="str">
        <f t="shared" si="7"/>
        <v/>
      </c>
    </row>
    <row r="506" spans="5:9" x14ac:dyDescent="0.3">
      <c r="E506" t="str">
        <f>IFERROR(IF(D506="","",VLOOKUP(D506,CadProd!$A:$B,2,0)),"")</f>
        <v/>
      </c>
      <c r="F506" t="str">
        <f>IFERROR(IF(D506="","",VLOOKUP(D506,CadProd!$A:$C,3,0)),"")</f>
        <v/>
      </c>
      <c r="I506" s="1" t="str">
        <f t="shared" si="7"/>
        <v/>
      </c>
    </row>
    <row r="507" spans="5:9" x14ac:dyDescent="0.3">
      <c r="E507" t="str">
        <f>IFERROR(IF(D507="","",VLOOKUP(D507,CadProd!$A:$B,2,0)),"")</f>
        <v/>
      </c>
      <c r="F507" t="str">
        <f>IFERROR(IF(D507="","",VLOOKUP(D507,CadProd!$A:$C,3,0)),"")</f>
        <v/>
      </c>
      <c r="I507" s="1" t="str">
        <f t="shared" si="7"/>
        <v/>
      </c>
    </row>
    <row r="508" spans="5:9" x14ac:dyDescent="0.3">
      <c r="E508" t="str">
        <f>IFERROR(IF(D508="","",VLOOKUP(D508,CadProd!$A:$B,2,0)),"")</f>
        <v/>
      </c>
      <c r="F508" t="str">
        <f>IFERROR(IF(D508="","",VLOOKUP(D508,CadProd!$A:$C,3,0)),"")</f>
        <v/>
      </c>
      <c r="I508" s="1" t="str">
        <f t="shared" si="7"/>
        <v/>
      </c>
    </row>
    <row r="509" spans="5:9" x14ac:dyDescent="0.3">
      <c r="E509" t="str">
        <f>IFERROR(IF(D509="","",VLOOKUP(D509,CadProd!$A:$B,2,0)),"")</f>
        <v/>
      </c>
      <c r="F509" t="str">
        <f>IFERROR(IF(D509="","",VLOOKUP(D509,CadProd!$A:$C,3,0)),"")</f>
        <v/>
      </c>
      <c r="I509" s="1" t="str">
        <f t="shared" si="7"/>
        <v/>
      </c>
    </row>
    <row r="510" spans="5:9" x14ac:dyDescent="0.3">
      <c r="E510" t="str">
        <f>IFERROR(IF(D510="","",VLOOKUP(D510,CadProd!$A:$B,2,0)),"")</f>
        <v/>
      </c>
      <c r="F510" t="str">
        <f>IFERROR(IF(D510="","",VLOOKUP(D510,CadProd!$A:$C,3,0)),"")</f>
        <v/>
      </c>
      <c r="I510" s="1" t="str">
        <f t="shared" si="7"/>
        <v/>
      </c>
    </row>
    <row r="511" spans="5:9" x14ac:dyDescent="0.3">
      <c r="E511" t="str">
        <f>IFERROR(IF(D511="","",VLOOKUP(D511,CadProd!$A:$B,2,0)),"")</f>
        <v/>
      </c>
      <c r="F511" t="str">
        <f>IFERROR(IF(D511="","",VLOOKUP(D511,CadProd!$A:$C,3,0)),"")</f>
        <v/>
      </c>
      <c r="I511" s="1" t="str">
        <f t="shared" si="7"/>
        <v/>
      </c>
    </row>
    <row r="512" spans="5:9" x14ac:dyDescent="0.3">
      <c r="E512" t="str">
        <f>IFERROR(IF(D512="","",VLOOKUP(D512,CadProd!$A:$B,2,0)),"")</f>
        <v/>
      </c>
      <c r="F512" t="str">
        <f>IFERROR(IF(D512="","",VLOOKUP(D512,CadProd!$A:$C,3,0)),"")</f>
        <v/>
      </c>
      <c r="I512" s="1" t="str">
        <f t="shared" si="7"/>
        <v/>
      </c>
    </row>
    <row r="513" spans="5:9" x14ac:dyDescent="0.3">
      <c r="E513" t="str">
        <f>IFERROR(IF(D513="","",VLOOKUP(D513,CadProd!$A:$B,2,0)),"")</f>
        <v/>
      </c>
      <c r="F513" t="str">
        <f>IFERROR(IF(D513="","",VLOOKUP(D513,CadProd!$A:$C,3,0)),"")</f>
        <v/>
      </c>
      <c r="I513" s="1" t="str">
        <f t="shared" si="7"/>
        <v/>
      </c>
    </row>
    <row r="514" spans="5:9" x14ac:dyDescent="0.3">
      <c r="E514" t="str">
        <f>IFERROR(IF(D514="","",VLOOKUP(D514,CadProd!$A:$B,2,0)),"")</f>
        <v/>
      </c>
      <c r="F514" t="str">
        <f>IFERROR(IF(D514="","",VLOOKUP(D514,CadProd!$A:$C,3,0)),"")</f>
        <v/>
      </c>
      <c r="I514" s="1" t="str">
        <f t="shared" ref="I514:I577" si="8">IFERROR(IF(D514="","",H514*G514),"")</f>
        <v/>
      </c>
    </row>
    <row r="515" spans="5:9" x14ac:dyDescent="0.3">
      <c r="E515" t="str">
        <f>IFERROR(IF(D515="","",VLOOKUP(D515,CadProd!$A:$B,2,0)),"")</f>
        <v/>
      </c>
      <c r="F515" t="str">
        <f>IFERROR(IF(D515="","",VLOOKUP(D515,CadProd!$A:$C,3,0)),"")</f>
        <v/>
      </c>
      <c r="I515" s="1" t="str">
        <f t="shared" si="8"/>
        <v/>
      </c>
    </row>
    <row r="516" spans="5:9" x14ac:dyDescent="0.3">
      <c r="E516" t="str">
        <f>IFERROR(IF(D516="","",VLOOKUP(D516,CadProd!$A:$B,2,0)),"")</f>
        <v/>
      </c>
      <c r="F516" t="str">
        <f>IFERROR(IF(D516="","",VLOOKUP(D516,CadProd!$A:$C,3,0)),"")</f>
        <v/>
      </c>
      <c r="I516" s="1" t="str">
        <f t="shared" si="8"/>
        <v/>
      </c>
    </row>
    <row r="517" spans="5:9" x14ac:dyDescent="0.3">
      <c r="E517" t="str">
        <f>IFERROR(IF(D517="","",VLOOKUP(D517,CadProd!$A:$B,2,0)),"")</f>
        <v/>
      </c>
      <c r="F517" t="str">
        <f>IFERROR(IF(D517="","",VLOOKUP(D517,CadProd!$A:$C,3,0)),"")</f>
        <v/>
      </c>
      <c r="I517" s="1" t="str">
        <f t="shared" si="8"/>
        <v/>
      </c>
    </row>
    <row r="518" spans="5:9" x14ac:dyDescent="0.3">
      <c r="E518" t="str">
        <f>IFERROR(IF(D518="","",VLOOKUP(D518,CadProd!$A:$B,2,0)),"")</f>
        <v/>
      </c>
      <c r="F518" t="str">
        <f>IFERROR(IF(D518="","",VLOOKUP(D518,CadProd!$A:$C,3,0)),"")</f>
        <v/>
      </c>
      <c r="I518" s="1" t="str">
        <f t="shared" si="8"/>
        <v/>
      </c>
    </row>
    <row r="519" spans="5:9" x14ac:dyDescent="0.3">
      <c r="E519" t="str">
        <f>IFERROR(IF(D519="","",VLOOKUP(D519,CadProd!$A:$B,2,0)),"")</f>
        <v/>
      </c>
      <c r="F519" t="str">
        <f>IFERROR(IF(D519="","",VLOOKUP(D519,CadProd!$A:$C,3,0)),"")</f>
        <v/>
      </c>
      <c r="I519" s="1" t="str">
        <f t="shared" si="8"/>
        <v/>
      </c>
    </row>
    <row r="520" spans="5:9" x14ac:dyDescent="0.3">
      <c r="E520" t="str">
        <f>IFERROR(IF(D520="","",VLOOKUP(D520,CadProd!$A:$B,2,0)),"")</f>
        <v/>
      </c>
      <c r="F520" t="str">
        <f>IFERROR(IF(D520="","",VLOOKUP(D520,CadProd!$A:$C,3,0)),"")</f>
        <v/>
      </c>
      <c r="I520" s="1" t="str">
        <f t="shared" si="8"/>
        <v/>
      </c>
    </row>
    <row r="521" spans="5:9" x14ac:dyDescent="0.3">
      <c r="E521" t="str">
        <f>IFERROR(IF(D521="","",VLOOKUP(D521,CadProd!$A:$B,2,0)),"")</f>
        <v/>
      </c>
      <c r="F521" t="str">
        <f>IFERROR(IF(D521="","",VLOOKUP(D521,CadProd!$A:$C,3,0)),"")</f>
        <v/>
      </c>
      <c r="I521" s="1" t="str">
        <f t="shared" si="8"/>
        <v/>
      </c>
    </row>
    <row r="522" spans="5:9" x14ac:dyDescent="0.3">
      <c r="E522" t="str">
        <f>IFERROR(IF(D522="","",VLOOKUP(D522,CadProd!$A:$B,2,0)),"")</f>
        <v/>
      </c>
      <c r="F522" t="str">
        <f>IFERROR(IF(D522="","",VLOOKUP(D522,CadProd!$A:$C,3,0)),"")</f>
        <v/>
      </c>
      <c r="I522" s="1" t="str">
        <f t="shared" si="8"/>
        <v/>
      </c>
    </row>
    <row r="523" spans="5:9" x14ac:dyDescent="0.3">
      <c r="E523" t="str">
        <f>IFERROR(IF(D523="","",VLOOKUP(D523,CadProd!$A:$B,2,0)),"")</f>
        <v/>
      </c>
      <c r="F523" t="str">
        <f>IFERROR(IF(D523="","",VLOOKUP(D523,CadProd!$A:$C,3,0)),"")</f>
        <v/>
      </c>
      <c r="I523" s="1" t="str">
        <f t="shared" si="8"/>
        <v/>
      </c>
    </row>
    <row r="524" spans="5:9" x14ac:dyDescent="0.3">
      <c r="E524" t="str">
        <f>IFERROR(IF(D524="","",VLOOKUP(D524,CadProd!$A:$B,2,0)),"")</f>
        <v/>
      </c>
      <c r="F524" t="str">
        <f>IFERROR(IF(D524="","",VLOOKUP(D524,CadProd!$A:$C,3,0)),"")</f>
        <v/>
      </c>
      <c r="I524" s="1" t="str">
        <f t="shared" si="8"/>
        <v/>
      </c>
    </row>
    <row r="525" spans="5:9" x14ac:dyDescent="0.3">
      <c r="E525" t="str">
        <f>IFERROR(IF(D525="","",VLOOKUP(D525,CadProd!$A:$B,2,0)),"")</f>
        <v/>
      </c>
      <c r="F525" t="str">
        <f>IFERROR(IF(D525="","",VLOOKUP(D525,CadProd!$A:$C,3,0)),"")</f>
        <v/>
      </c>
      <c r="I525" s="1" t="str">
        <f t="shared" si="8"/>
        <v/>
      </c>
    </row>
    <row r="526" spans="5:9" x14ac:dyDescent="0.3">
      <c r="E526" t="str">
        <f>IFERROR(IF(D526="","",VLOOKUP(D526,CadProd!$A:$B,2,0)),"")</f>
        <v/>
      </c>
      <c r="F526" t="str">
        <f>IFERROR(IF(D526="","",VLOOKUP(D526,CadProd!$A:$C,3,0)),"")</f>
        <v/>
      </c>
      <c r="I526" s="1" t="str">
        <f t="shared" si="8"/>
        <v/>
      </c>
    </row>
    <row r="527" spans="5:9" x14ac:dyDescent="0.3">
      <c r="E527" t="str">
        <f>IFERROR(IF(D527="","",VLOOKUP(D527,CadProd!$A:$B,2,0)),"")</f>
        <v/>
      </c>
      <c r="F527" t="str">
        <f>IFERROR(IF(D527="","",VLOOKUP(D527,CadProd!$A:$C,3,0)),"")</f>
        <v/>
      </c>
      <c r="I527" s="1" t="str">
        <f t="shared" si="8"/>
        <v/>
      </c>
    </row>
    <row r="528" spans="5:9" x14ac:dyDescent="0.3">
      <c r="E528" t="str">
        <f>IFERROR(IF(D528="","",VLOOKUP(D528,CadProd!$A:$B,2,0)),"")</f>
        <v/>
      </c>
      <c r="F528" t="str">
        <f>IFERROR(IF(D528="","",VLOOKUP(D528,CadProd!$A:$C,3,0)),"")</f>
        <v/>
      </c>
      <c r="I528" s="1" t="str">
        <f t="shared" si="8"/>
        <v/>
      </c>
    </row>
    <row r="529" spans="5:9" x14ac:dyDescent="0.3">
      <c r="E529" t="str">
        <f>IFERROR(IF(D529="","",VLOOKUP(D529,CadProd!$A:$B,2,0)),"")</f>
        <v/>
      </c>
      <c r="F529" t="str">
        <f>IFERROR(IF(D529="","",VLOOKUP(D529,CadProd!$A:$C,3,0)),"")</f>
        <v/>
      </c>
      <c r="I529" s="1" t="str">
        <f t="shared" si="8"/>
        <v/>
      </c>
    </row>
    <row r="530" spans="5:9" x14ac:dyDescent="0.3">
      <c r="E530" t="str">
        <f>IFERROR(IF(D530="","",VLOOKUP(D530,CadProd!$A:$B,2,0)),"")</f>
        <v/>
      </c>
      <c r="F530" t="str">
        <f>IFERROR(IF(D530="","",VLOOKUP(D530,CadProd!$A:$C,3,0)),"")</f>
        <v/>
      </c>
      <c r="I530" s="1" t="str">
        <f t="shared" si="8"/>
        <v/>
      </c>
    </row>
    <row r="531" spans="5:9" x14ac:dyDescent="0.3">
      <c r="E531" t="str">
        <f>IFERROR(IF(D531="","",VLOOKUP(D531,CadProd!$A:$B,2,0)),"")</f>
        <v/>
      </c>
      <c r="F531" t="str">
        <f>IFERROR(IF(D531="","",VLOOKUP(D531,CadProd!$A:$C,3,0)),"")</f>
        <v/>
      </c>
      <c r="I531" s="1" t="str">
        <f t="shared" si="8"/>
        <v/>
      </c>
    </row>
    <row r="532" spans="5:9" x14ac:dyDescent="0.3">
      <c r="E532" t="str">
        <f>IFERROR(IF(D532="","",VLOOKUP(D532,CadProd!$A:$B,2,0)),"")</f>
        <v/>
      </c>
      <c r="F532" t="str">
        <f>IFERROR(IF(D532="","",VLOOKUP(D532,CadProd!$A:$C,3,0)),"")</f>
        <v/>
      </c>
      <c r="I532" s="1" t="str">
        <f t="shared" si="8"/>
        <v/>
      </c>
    </row>
    <row r="533" spans="5:9" x14ac:dyDescent="0.3">
      <c r="E533" t="str">
        <f>IFERROR(IF(D533="","",VLOOKUP(D533,CadProd!$A:$B,2,0)),"")</f>
        <v/>
      </c>
      <c r="F533" t="str">
        <f>IFERROR(IF(D533="","",VLOOKUP(D533,CadProd!$A:$C,3,0)),"")</f>
        <v/>
      </c>
      <c r="I533" s="1" t="str">
        <f t="shared" si="8"/>
        <v/>
      </c>
    </row>
    <row r="534" spans="5:9" x14ac:dyDescent="0.3">
      <c r="E534" t="str">
        <f>IFERROR(IF(D534="","",VLOOKUP(D534,CadProd!$A:$B,2,0)),"")</f>
        <v/>
      </c>
      <c r="F534" t="str">
        <f>IFERROR(IF(D534="","",VLOOKUP(D534,CadProd!$A:$C,3,0)),"")</f>
        <v/>
      </c>
      <c r="I534" s="1" t="str">
        <f t="shared" si="8"/>
        <v/>
      </c>
    </row>
    <row r="535" spans="5:9" x14ac:dyDescent="0.3">
      <c r="E535" t="str">
        <f>IFERROR(IF(D535="","",VLOOKUP(D535,CadProd!$A:$B,2,0)),"")</f>
        <v/>
      </c>
      <c r="F535" t="str">
        <f>IFERROR(IF(D535="","",VLOOKUP(D535,CadProd!$A:$C,3,0)),"")</f>
        <v/>
      </c>
      <c r="I535" s="1" t="str">
        <f t="shared" si="8"/>
        <v/>
      </c>
    </row>
    <row r="536" spans="5:9" x14ac:dyDescent="0.3">
      <c r="E536" t="str">
        <f>IFERROR(IF(D536="","",VLOOKUP(D536,CadProd!$A:$B,2,0)),"")</f>
        <v/>
      </c>
      <c r="F536" t="str">
        <f>IFERROR(IF(D536="","",VLOOKUP(D536,CadProd!$A:$C,3,0)),"")</f>
        <v/>
      </c>
      <c r="I536" s="1" t="str">
        <f t="shared" si="8"/>
        <v/>
      </c>
    </row>
    <row r="537" spans="5:9" x14ac:dyDescent="0.3">
      <c r="E537" t="str">
        <f>IFERROR(IF(D537="","",VLOOKUP(D537,CadProd!$A:$B,2,0)),"")</f>
        <v/>
      </c>
      <c r="F537" t="str">
        <f>IFERROR(IF(D537="","",VLOOKUP(D537,CadProd!$A:$C,3,0)),"")</f>
        <v/>
      </c>
      <c r="I537" s="1" t="str">
        <f t="shared" si="8"/>
        <v/>
      </c>
    </row>
    <row r="538" spans="5:9" x14ac:dyDescent="0.3">
      <c r="E538" t="str">
        <f>IFERROR(IF(D538="","",VLOOKUP(D538,CadProd!$A:$B,2,0)),"")</f>
        <v/>
      </c>
      <c r="F538" t="str">
        <f>IFERROR(IF(D538="","",VLOOKUP(D538,CadProd!$A:$C,3,0)),"")</f>
        <v/>
      </c>
      <c r="I538" s="1" t="str">
        <f t="shared" si="8"/>
        <v/>
      </c>
    </row>
    <row r="539" spans="5:9" x14ac:dyDescent="0.3">
      <c r="E539" t="str">
        <f>IFERROR(IF(D539="","",VLOOKUP(D539,CadProd!$A:$B,2,0)),"")</f>
        <v/>
      </c>
      <c r="F539" t="str">
        <f>IFERROR(IF(D539="","",VLOOKUP(D539,CadProd!$A:$C,3,0)),"")</f>
        <v/>
      </c>
      <c r="I539" s="1" t="str">
        <f t="shared" si="8"/>
        <v/>
      </c>
    </row>
    <row r="540" spans="5:9" x14ac:dyDescent="0.3">
      <c r="E540" t="str">
        <f>IFERROR(IF(D540="","",VLOOKUP(D540,CadProd!$A:$B,2,0)),"")</f>
        <v/>
      </c>
      <c r="F540" t="str">
        <f>IFERROR(IF(D540="","",VLOOKUP(D540,CadProd!$A:$C,3,0)),"")</f>
        <v/>
      </c>
      <c r="I540" s="1" t="str">
        <f t="shared" si="8"/>
        <v/>
      </c>
    </row>
    <row r="541" spans="5:9" x14ac:dyDescent="0.3">
      <c r="E541" t="str">
        <f>IFERROR(IF(D541="","",VLOOKUP(D541,CadProd!$A:$B,2,0)),"")</f>
        <v/>
      </c>
      <c r="F541" t="str">
        <f>IFERROR(IF(D541="","",VLOOKUP(D541,CadProd!$A:$C,3,0)),"")</f>
        <v/>
      </c>
      <c r="I541" s="1" t="str">
        <f t="shared" si="8"/>
        <v/>
      </c>
    </row>
    <row r="542" spans="5:9" x14ac:dyDescent="0.3">
      <c r="E542" t="str">
        <f>IFERROR(IF(D542="","",VLOOKUP(D542,CadProd!$A:$B,2,0)),"")</f>
        <v/>
      </c>
      <c r="F542" t="str">
        <f>IFERROR(IF(D542="","",VLOOKUP(D542,CadProd!$A:$C,3,0)),"")</f>
        <v/>
      </c>
      <c r="I542" s="1" t="str">
        <f t="shared" si="8"/>
        <v/>
      </c>
    </row>
    <row r="543" spans="5:9" x14ac:dyDescent="0.3">
      <c r="E543" t="str">
        <f>IFERROR(IF(D543="","",VLOOKUP(D543,CadProd!$A:$B,2,0)),"")</f>
        <v/>
      </c>
      <c r="F543" t="str">
        <f>IFERROR(IF(D543="","",VLOOKUP(D543,CadProd!$A:$C,3,0)),"")</f>
        <v/>
      </c>
      <c r="I543" s="1" t="str">
        <f t="shared" si="8"/>
        <v/>
      </c>
    </row>
    <row r="544" spans="5:9" x14ac:dyDescent="0.3">
      <c r="E544" t="str">
        <f>IFERROR(IF(D544="","",VLOOKUP(D544,CadProd!$A:$B,2,0)),"")</f>
        <v/>
      </c>
      <c r="F544" t="str">
        <f>IFERROR(IF(D544="","",VLOOKUP(D544,CadProd!$A:$C,3,0)),"")</f>
        <v/>
      </c>
      <c r="I544" s="1" t="str">
        <f t="shared" si="8"/>
        <v/>
      </c>
    </row>
    <row r="545" spans="5:9" x14ac:dyDescent="0.3">
      <c r="E545" t="str">
        <f>IFERROR(IF(D545="","",VLOOKUP(D545,CadProd!$A:$B,2,0)),"")</f>
        <v/>
      </c>
      <c r="F545" t="str">
        <f>IFERROR(IF(D545="","",VLOOKUP(D545,CadProd!$A:$C,3,0)),"")</f>
        <v/>
      </c>
      <c r="I545" s="1" t="str">
        <f t="shared" si="8"/>
        <v/>
      </c>
    </row>
    <row r="546" spans="5:9" x14ac:dyDescent="0.3">
      <c r="E546" t="str">
        <f>IFERROR(IF(D546="","",VLOOKUP(D546,CadProd!$A:$B,2,0)),"")</f>
        <v/>
      </c>
      <c r="F546" t="str">
        <f>IFERROR(IF(D546="","",VLOOKUP(D546,CadProd!$A:$C,3,0)),"")</f>
        <v/>
      </c>
      <c r="I546" s="1" t="str">
        <f t="shared" si="8"/>
        <v/>
      </c>
    </row>
    <row r="547" spans="5:9" x14ac:dyDescent="0.3">
      <c r="E547" t="str">
        <f>IFERROR(IF(D547="","",VLOOKUP(D547,CadProd!$A:$B,2,0)),"")</f>
        <v/>
      </c>
      <c r="F547" t="str">
        <f>IFERROR(IF(D547="","",VLOOKUP(D547,CadProd!$A:$C,3,0)),"")</f>
        <v/>
      </c>
      <c r="I547" s="1" t="str">
        <f t="shared" si="8"/>
        <v/>
      </c>
    </row>
    <row r="548" spans="5:9" x14ac:dyDescent="0.3">
      <c r="E548" t="str">
        <f>IFERROR(IF(D548="","",VLOOKUP(D548,CadProd!$A:$B,2,0)),"")</f>
        <v/>
      </c>
      <c r="F548" t="str">
        <f>IFERROR(IF(D548="","",VLOOKUP(D548,CadProd!$A:$C,3,0)),"")</f>
        <v/>
      </c>
      <c r="I548" s="1" t="str">
        <f t="shared" si="8"/>
        <v/>
      </c>
    </row>
    <row r="549" spans="5:9" x14ac:dyDescent="0.3">
      <c r="E549" t="str">
        <f>IFERROR(IF(D549="","",VLOOKUP(D549,CadProd!$A:$B,2,0)),"")</f>
        <v/>
      </c>
      <c r="F549" t="str">
        <f>IFERROR(IF(D549="","",VLOOKUP(D549,CadProd!$A:$C,3,0)),"")</f>
        <v/>
      </c>
      <c r="I549" s="1" t="str">
        <f t="shared" si="8"/>
        <v/>
      </c>
    </row>
    <row r="550" spans="5:9" x14ac:dyDescent="0.3">
      <c r="E550" t="str">
        <f>IFERROR(IF(D550="","",VLOOKUP(D550,CadProd!$A:$B,2,0)),"")</f>
        <v/>
      </c>
      <c r="F550" t="str">
        <f>IFERROR(IF(D550="","",VLOOKUP(D550,CadProd!$A:$C,3,0)),"")</f>
        <v/>
      </c>
      <c r="I550" s="1" t="str">
        <f t="shared" si="8"/>
        <v/>
      </c>
    </row>
    <row r="551" spans="5:9" x14ac:dyDescent="0.3">
      <c r="E551" t="str">
        <f>IFERROR(IF(D551="","",VLOOKUP(D551,CadProd!$A:$B,2,0)),"")</f>
        <v/>
      </c>
      <c r="F551" t="str">
        <f>IFERROR(IF(D551="","",VLOOKUP(D551,CadProd!$A:$C,3,0)),"")</f>
        <v/>
      </c>
      <c r="I551" s="1" t="str">
        <f t="shared" si="8"/>
        <v/>
      </c>
    </row>
    <row r="552" spans="5:9" x14ac:dyDescent="0.3">
      <c r="E552" t="str">
        <f>IFERROR(IF(D552="","",VLOOKUP(D552,CadProd!$A:$B,2,0)),"")</f>
        <v/>
      </c>
      <c r="F552" t="str">
        <f>IFERROR(IF(D552="","",VLOOKUP(D552,CadProd!$A:$C,3,0)),"")</f>
        <v/>
      </c>
      <c r="I552" s="1" t="str">
        <f t="shared" si="8"/>
        <v/>
      </c>
    </row>
    <row r="553" spans="5:9" x14ac:dyDescent="0.3">
      <c r="E553" t="str">
        <f>IFERROR(IF(D553="","",VLOOKUP(D553,CadProd!$A:$B,2,0)),"")</f>
        <v/>
      </c>
      <c r="F553" t="str">
        <f>IFERROR(IF(D553="","",VLOOKUP(D553,CadProd!$A:$C,3,0)),"")</f>
        <v/>
      </c>
      <c r="I553" s="1" t="str">
        <f t="shared" si="8"/>
        <v/>
      </c>
    </row>
    <row r="554" spans="5:9" x14ac:dyDescent="0.3">
      <c r="E554" t="str">
        <f>IFERROR(IF(D554="","",VLOOKUP(D554,CadProd!$A:$B,2,0)),"")</f>
        <v/>
      </c>
      <c r="F554" t="str">
        <f>IFERROR(IF(D554="","",VLOOKUP(D554,CadProd!$A:$C,3,0)),"")</f>
        <v/>
      </c>
      <c r="I554" s="1" t="str">
        <f t="shared" si="8"/>
        <v/>
      </c>
    </row>
    <row r="555" spans="5:9" x14ac:dyDescent="0.3">
      <c r="E555" t="str">
        <f>IFERROR(IF(D555="","",VLOOKUP(D555,CadProd!$A:$B,2,0)),"")</f>
        <v/>
      </c>
      <c r="F555" t="str">
        <f>IFERROR(IF(D555="","",VLOOKUP(D555,CadProd!$A:$C,3,0)),"")</f>
        <v/>
      </c>
      <c r="I555" s="1" t="str">
        <f t="shared" si="8"/>
        <v/>
      </c>
    </row>
    <row r="556" spans="5:9" x14ac:dyDescent="0.3">
      <c r="E556" t="str">
        <f>IFERROR(IF(D556="","",VLOOKUP(D556,CadProd!$A:$B,2,0)),"")</f>
        <v/>
      </c>
      <c r="F556" t="str">
        <f>IFERROR(IF(D556="","",VLOOKUP(D556,CadProd!$A:$C,3,0)),"")</f>
        <v/>
      </c>
      <c r="I556" s="1" t="str">
        <f t="shared" si="8"/>
        <v/>
      </c>
    </row>
    <row r="557" spans="5:9" x14ac:dyDescent="0.3">
      <c r="E557" t="str">
        <f>IFERROR(IF(D557="","",VLOOKUP(D557,CadProd!$A:$B,2,0)),"")</f>
        <v/>
      </c>
      <c r="F557" t="str">
        <f>IFERROR(IF(D557="","",VLOOKUP(D557,CadProd!$A:$C,3,0)),"")</f>
        <v/>
      </c>
      <c r="I557" s="1" t="str">
        <f t="shared" si="8"/>
        <v/>
      </c>
    </row>
    <row r="558" spans="5:9" x14ac:dyDescent="0.3">
      <c r="E558" t="str">
        <f>IFERROR(IF(D558="","",VLOOKUP(D558,CadProd!$A:$B,2,0)),"")</f>
        <v/>
      </c>
      <c r="F558" t="str">
        <f>IFERROR(IF(D558="","",VLOOKUP(D558,CadProd!$A:$C,3,0)),"")</f>
        <v/>
      </c>
      <c r="I558" s="1" t="str">
        <f t="shared" si="8"/>
        <v/>
      </c>
    </row>
    <row r="559" spans="5:9" x14ac:dyDescent="0.3">
      <c r="E559" t="str">
        <f>IFERROR(IF(D559="","",VLOOKUP(D559,CadProd!$A:$B,2,0)),"")</f>
        <v/>
      </c>
      <c r="F559" t="str">
        <f>IFERROR(IF(D559="","",VLOOKUP(D559,CadProd!$A:$C,3,0)),"")</f>
        <v/>
      </c>
      <c r="I559" s="1" t="str">
        <f t="shared" si="8"/>
        <v/>
      </c>
    </row>
    <row r="560" spans="5:9" x14ac:dyDescent="0.3">
      <c r="E560" t="str">
        <f>IFERROR(IF(D560="","",VLOOKUP(D560,CadProd!$A:$B,2,0)),"")</f>
        <v/>
      </c>
      <c r="F560" t="str">
        <f>IFERROR(IF(D560="","",VLOOKUP(D560,CadProd!$A:$C,3,0)),"")</f>
        <v/>
      </c>
      <c r="I560" s="1" t="str">
        <f t="shared" si="8"/>
        <v/>
      </c>
    </row>
    <row r="561" spans="5:9" x14ac:dyDescent="0.3">
      <c r="E561" t="str">
        <f>IFERROR(IF(D561="","",VLOOKUP(D561,CadProd!$A:$B,2,0)),"")</f>
        <v/>
      </c>
      <c r="F561" t="str">
        <f>IFERROR(IF(D561="","",VLOOKUP(D561,CadProd!$A:$C,3,0)),"")</f>
        <v/>
      </c>
      <c r="I561" s="1" t="str">
        <f t="shared" si="8"/>
        <v/>
      </c>
    </row>
    <row r="562" spans="5:9" x14ac:dyDescent="0.3">
      <c r="E562" t="str">
        <f>IFERROR(IF(D562="","",VLOOKUP(D562,CadProd!$A:$B,2,0)),"")</f>
        <v/>
      </c>
      <c r="F562" t="str">
        <f>IFERROR(IF(D562="","",VLOOKUP(D562,CadProd!$A:$C,3,0)),"")</f>
        <v/>
      </c>
      <c r="I562" s="1" t="str">
        <f t="shared" si="8"/>
        <v/>
      </c>
    </row>
    <row r="563" spans="5:9" x14ac:dyDescent="0.3">
      <c r="E563" t="str">
        <f>IFERROR(IF(D563="","",VLOOKUP(D563,CadProd!$A:$B,2,0)),"")</f>
        <v/>
      </c>
      <c r="F563" t="str">
        <f>IFERROR(IF(D563="","",VLOOKUP(D563,CadProd!$A:$C,3,0)),"")</f>
        <v/>
      </c>
      <c r="I563" s="1" t="str">
        <f t="shared" si="8"/>
        <v/>
      </c>
    </row>
    <row r="564" spans="5:9" x14ac:dyDescent="0.3">
      <c r="E564" t="str">
        <f>IFERROR(IF(D564="","",VLOOKUP(D564,CadProd!$A:$B,2,0)),"")</f>
        <v/>
      </c>
      <c r="F564" t="str">
        <f>IFERROR(IF(D564="","",VLOOKUP(D564,CadProd!$A:$C,3,0)),"")</f>
        <v/>
      </c>
      <c r="I564" s="1" t="str">
        <f t="shared" si="8"/>
        <v/>
      </c>
    </row>
    <row r="565" spans="5:9" x14ac:dyDescent="0.3">
      <c r="E565" t="str">
        <f>IFERROR(IF(D565="","",VLOOKUP(D565,CadProd!$A:$B,2,0)),"")</f>
        <v/>
      </c>
      <c r="F565" t="str">
        <f>IFERROR(IF(D565="","",VLOOKUP(D565,CadProd!$A:$C,3,0)),"")</f>
        <v/>
      </c>
      <c r="I565" s="1" t="str">
        <f t="shared" si="8"/>
        <v/>
      </c>
    </row>
    <row r="566" spans="5:9" x14ac:dyDescent="0.3">
      <c r="E566" t="str">
        <f>IFERROR(IF(D566="","",VLOOKUP(D566,CadProd!$A:$B,2,0)),"")</f>
        <v/>
      </c>
      <c r="F566" t="str">
        <f>IFERROR(IF(D566="","",VLOOKUP(D566,CadProd!$A:$C,3,0)),"")</f>
        <v/>
      </c>
      <c r="I566" s="1" t="str">
        <f t="shared" si="8"/>
        <v/>
      </c>
    </row>
    <row r="567" spans="5:9" x14ac:dyDescent="0.3">
      <c r="E567" t="str">
        <f>IFERROR(IF(D567="","",VLOOKUP(D567,CadProd!$A:$B,2,0)),"")</f>
        <v/>
      </c>
      <c r="F567" t="str">
        <f>IFERROR(IF(D567="","",VLOOKUP(D567,CadProd!$A:$C,3,0)),"")</f>
        <v/>
      </c>
      <c r="I567" s="1" t="str">
        <f t="shared" si="8"/>
        <v/>
      </c>
    </row>
    <row r="568" spans="5:9" x14ac:dyDescent="0.3">
      <c r="E568" t="str">
        <f>IFERROR(IF(D568="","",VLOOKUP(D568,CadProd!$A:$B,2,0)),"")</f>
        <v/>
      </c>
      <c r="F568" t="str">
        <f>IFERROR(IF(D568="","",VLOOKUP(D568,CadProd!$A:$C,3,0)),"")</f>
        <v/>
      </c>
      <c r="I568" s="1" t="str">
        <f t="shared" si="8"/>
        <v/>
      </c>
    </row>
    <row r="569" spans="5:9" x14ac:dyDescent="0.3">
      <c r="E569" t="str">
        <f>IFERROR(IF(D569="","",VLOOKUP(D569,CadProd!$A:$B,2,0)),"")</f>
        <v/>
      </c>
      <c r="F569" t="str">
        <f>IFERROR(IF(D569="","",VLOOKUP(D569,CadProd!$A:$C,3,0)),"")</f>
        <v/>
      </c>
      <c r="I569" s="1" t="str">
        <f t="shared" si="8"/>
        <v/>
      </c>
    </row>
    <row r="570" spans="5:9" x14ac:dyDescent="0.3">
      <c r="E570" t="str">
        <f>IFERROR(IF(D570="","",VLOOKUP(D570,CadProd!$A:$B,2,0)),"")</f>
        <v/>
      </c>
      <c r="F570" t="str">
        <f>IFERROR(IF(D570="","",VLOOKUP(D570,CadProd!$A:$C,3,0)),"")</f>
        <v/>
      </c>
      <c r="I570" s="1" t="str">
        <f t="shared" si="8"/>
        <v/>
      </c>
    </row>
    <row r="571" spans="5:9" x14ac:dyDescent="0.3">
      <c r="E571" t="str">
        <f>IFERROR(IF(D571="","",VLOOKUP(D571,CadProd!$A:$B,2,0)),"")</f>
        <v/>
      </c>
      <c r="F571" t="str">
        <f>IFERROR(IF(D571="","",VLOOKUP(D571,CadProd!$A:$C,3,0)),"")</f>
        <v/>
      </c>
      <c r="I571" s="1" t="str">
        <f t="shared" si="8"/>
        <v/>
      </c>
    </row>
    <row r="572" spans="5:9" x14ac:dyDescent="0.3">
      <c r="E572" t="str">
        <f>IFERROR(IF(D572="","",VLOOKUP(D572,CadProd!$A:$B,2,0)),"")</f>
        <v/>
      </c>
      <c r="F572" t="str">
        <f>IFERROR(IF(D572="","",VLOOKUP(D572,CadProd!$A:$C,3,0)),"")</f>
        <v/>
      </c>
      <c r="I572" s="1" t="str">
        <f t="shared" si="8"/>
        <v/>
      </c>
    </row>
    <row r="573" spans="5:9" x14ac:dyDescent="0.3">
      <c r="E573" t="str">
        <f>IFERROR(IF(D573="","",VLOOKUP(D573,CadProd!$A:$B,2,0)),"")</f>
        <v/>
      </c>
      <c r="F573" t="str">
        <f>IFERROR(IF(D573="","",VLOOKUP(D573,CadProd!$A:$C,3,0)),"")</f>
        <v/>
      </c>
      <c r="I573" s="1" t="str">
        <f t="shared" si="8"/>
        <v/>
      </c>
    </row>
    <row r="574" spans="5:9" x14ac:dyDescent="0.3">
      <c r="E574" t="str">
        <f>IFERROR(IF(D574="","",VLOOKUP(D574,CadProd!$A:$B,2,0)),"")</f>
        <v/>
      </c>
      <c r="F574" t="str">
        <f>IFERROR(IF(D574="","",VLOOKUP(D574,CadProd!$A:$C,3,0)),"")</f>
        <v/>
      </c>
      <c r="I574" s="1" t="str">
        <f t="shared" si="8"/>
        <v/>
      </c>
    </row>
    <row r="575" spans="5:9" x14ac:dyDescent="0.3">
      <c r="E575" t="str">
        <f>IFERROR(IF(D575="","",VLOOKUP(D575,CadProd!$A:$B,2,0)),"")</f>
        <v/>
      </c>
      <c r="F575" t="str">
        <f>IFERROR(IF(D575="","",VLOOKUP(D575,CadProd!$A:$C,3,0)),"")</f>
        <v/>
      </c>
      <c r="I575" s="1" t="str">
        <f t="shared" si="8"/>
        <v/>
      </c>
    </row>
    <row r="576" spans="5:9" x14ac:dyDescent="0.3">
      <c r="E576" t="str">
        <f>IFERROR(IF(D576="","",VLOOKUP(D576,CadProd!$A:$B,2,0)),"")</f>
        <v/>
      </c>
      <c r="F576" t="str">
        <f>IFERROR(IF(D576="","",VLOOKUP(D576,CadProd!$A:$C,3,0)),"")</f>
        <v/>
      </c>
      <c r="I576" s="1" t="str">
        <f t="shared" si="8"/>
        <v/>
      </c>
    </row>
    <row r="577" spans="5:9" x14ac:dyDescent="0.3">
      <c r="E577" t="str">
        <f>IFERROR(IF(D577="","",VLOOKUP(D577,CadProd!$A:$B,2,0)),"")</f>
        <v/>
      </c>
      <c r="F577" t="str">
        <f>IFERROR(IF(D577="","",VLOOKUP(D577,CadProd!$A:$C,3,0)),"")</f>
        <v/>
      </c>
      <c r="I577" s="1" t="str">
        <f t="shared" si="8"/>
        <v/>
      </c>
    </row>
    <row r="578" spans="5:9" x14ac:dyDescent="0.3">
      <c r="E578" t="str">
        <f>IFERROR(IF(D578="","",VLOOKUP(D578,CadProd!$A:$B,2,0)),"")</f>
        <v/>
      </c>
      <c r="F578" t="str">
        <f>IFERROR(IF(D578="","",VLOOKUP(D578,CadProd!$A:$C,3,0)),"")</f>
        <v/>
      </c>
      <c r="I578" s="1" t="str">
        <f t="shared" ref="I578:I641" si="9">IFERROR(IF(D578="","",H578*G578),"")</f>
        <v/>
      </c>
    </row>
    <row r="579" spans="5:9" x14ac:dyDescent="0.3">
      <c r="E579" t="str">
        <f>IFERROR(IF(D579="","",VLOOKUP(D579,CadProd!$A:$B,2,0)),"")</f>
        <v/>
      </c>
      <c r="F579" t="str">
        <f>IFERROR(IF(D579="","",VLOOKUP(D579,CadProd!$A:$C,3,0)),"")</f>
        <v/>
      </c>
      <c r="I579" s="1" t="str">
        <f t="shared" si="9"/>
        <v/>
      </c>
    </row>
    <row r="580" spans="5:9" x14ac:dyDescent="0.3">
      <c r="E580" t="str">
        <f>IFERROR(IF(D580="","",VLOOKUP(D580,CadProd!$A:$B,2,0)),"")</f>
        <v/>
      </c>
      <c r="F580" t="str">
        <f>IFERROR(IF(D580="","",VLOOKUP(D580,CadProd!$A:$C,3,0)),"")</f>
        <v/>
      </c>
      <c r="I580" s="1" t="str">
        <f t="shared" si="9"/>
        <v/>
      </c>
    </row>
    <row r="581" spans="5:9" x14ac:dyDescent="0.3">
      <c r="E581" t="str">
        <f>IFERROR(IF(D581="","",VLOOKUP(D581,CadProd!$A:$B,2,0)),"")</f>
        <v/>
      </c>
      <c r="F581" t="str">
        <f>IFERROR(IF(D581="","",VLOOKUP(D581,CadProd!$A:$C,3,0)),"")</f>
        <v/>
      </c>
      <c r="I581" s="1" t="str">
        <f t="shared" si="9"/>
        <v/>
      </c>
    </row>
    <row r="582" spans="5:9" x14ac:dyDescent="0.3">
      <c r="E582" t="str">
        <f>IFERROR(IF(D582="","",VLOOKUP(D582,CadProd!$A:$B,2,0)),"")</f>
        <v/>
      </c>
      <c r="F582" t="str">
        <f>IFERROR(IF(D582="","",VLOOKUP(D582,CadProd!$A:$C,3,0)),"")</f>
        <v/>
      </c>
      <c r="I582" s="1" t="str">
        <f t="shared" si="9"/>
        <v/>
      </c>
    </row>
    <row r="583" spans="5:9" x14ac:dyDescent="0.3">
      <c r="E583" t="str">
        <f>IFERROR(IF(D583="","",VLOOKUP(D583,CadProd!$A:$B,2,0)),"")</f>
        <v/>
      </c>
      <c r="F583" t="str">
        <f>IFERROR(IF(D583="","",VLOOKUP(D583,CadProd!$A:$C,3,0)),"")</f>
        <v/>
      </c>
      <c r="I583" s="1" t="str">
        <f t="shared" si="9"/>
        <v/>
      </c>
    </row>
    <row r="584" spans="5:9" x14ac:dyDescent="0.3">
      <c r="E584" t="str">
        <f>IFERROR(IF(D584="","",VLOOKUP(D584,CadProd!$A:$B,2,0)),"")</f>
        <v/>
      </c>
      <c r="F584" t="str">
        <f>IFERROR(IF(D584="","",VLOOKUP(D584,CadProd!$A:$C,3,0)),"")</f>
        <v/>
      </c>
      <c r="I584" s="1" t="str">
        <f t="shared" si="9"/>
        <v/>
      </c>
    </row>
    <row r="585" spans="5:9" x14ac:dyDescent="0.3">
      <c r="E585" t="str">
        <f>IFERROR(IF(D585="","",VLOOKUP(D585,CadProd!$A:$B,2,0)),"")</f>
        <v/>
      </c>
      <c r="F585" t="str">
        <f>IFERROR(IF(D585="","",VLOOKUP(D585,CadProd!$A:$C,3,0)),"")</f>
        <v/>
      </c>
      <c r="I585" s="1" t="str">
        <f t="shared" si="9"/>
        <v/>
      </c>
    </row>
    <row r="586" spans="5:9" x14ac:dyDescent="0.3">
      <c r="E586" t="str">
        <f>IFERROR(IF(D586="","",VLOOKUP(D586,CadProd!$A:$B,2,0)),"")</f>
        <v/>
      </c>
      <c r="F586" t="str">
        <f>IFERROR(IF(D586="","",VLOOKUP(D586,CadProd!$A:$C,3,0)),"")</f>
        <v/>
      </c>
      <c r="I586" s="1" t="str">
        <f t="shared" si="9"/>
        <v/>
      </c>
    </row>
    <row r="587" spans="5:9" x14ac:dyDescent="0.3">
      <c r="E587" t="str">
        <f>IFERROR(IF(D587="","",VLOOKUP(D587,CadProd!$A:$B,2,0)),"")</f>
        <v/>
      </c>
      <c r="F587" t="str">
        <f>IFERROR(IF(D587="","",VLOOKUP(D587,CadProd!$A:$C,3,0)),"")</f>
        <v/>
      </c>
      <c r="I587" s="1" t="str">
        <f t="shared" si="9"/>
        <v/>
      </c>
    </row>
    <row r="588" spans="5:9" x14ac:dyDescent="0.3">
      <c r="E588" t="str">
        <f>IFERROR(IF(D588="","",VLOOKUP(D588,CadProd!$A:$B,2,0)),"")</f>
        <v/>
      </c>
      <c r="F588" t="str">
        <f>IFERROR(IF(D588="","",VLOOKUP(D588,CadProd!$A:$C,3,0)),"")</f>
        <v/>
      </c>
      <c r="I588" s="1" t="str">
        <f t="shared" si="9"/>
        <v/>
      </c>
    </row>
    <row r="589" spans="5:9" x14ac:dyDescent="0.3">
      <c r="E589" t="str">
        <f>IFERROR(IF(D589="","",VLOOKUP(D589,CadProd!$A:$B,2,0)),"")</f>
        <v/>
      </c>
      <c r="F589" t="str">
        <f>IFERROR(IF(D589="","",VLOOKUP(D589,CadProd!$A:$C,3,0)),"")</f>
        <v/>
      </c>
      <c r="I589" s="1" t="str">
        <f t="shared" si="9"/>
        <v/>
      </c>
    </row>
    <row r="590" spans="5:9" x14ac:dyDescent="0.3">
      <c r="E590" t="str">
        <f>IFERROR(IF(D590="","",VLOOKUP(D590,CadProd!$A:$B,2,0)),"")</f>
        <v/>
      </c>
      <c r="F590" t="str">
        <f>IFERROR(IF(D590="","",VLOOKUP(D590,CadProd!$A:$C,3,0)),"")</f>
        <v/>
      </c>
      <c r="I590" s="1" t="str">
        <f t="shared" si="9"/>
        <v/>
      </c>
    </row>
    <row r="591" spans="5:9" x14ac:dyDescent="0.3">
      <c r="E591" t="str">
        <f>IFERROR(IF(D591="","",VLOOKUP(D591,CadProd!$A:$B,2,0)),"")</f>
        <v/>
      </c>
      <c r="F591" t="str">
        <f>IFERROR(IF(D591="","",VLOOKUP(D591,CadProd!$A:$C,3,0)),"")</f>
        <v/>
      </c>
      <c r="I591" s="1" t="str">
        <f t="shared" si="9"/>
        <v/>
      </c>
    </row>
    <row r="592" spans="5:9" x14ac:dyDescent="0.3">
      <c r="E592" t="str">
        <f>IFERROR(IF(D592="","",VLOOKUP(D592,CadProd!$A:$B,2,0)),"")</f>
        <v/>
      </c>
      <c r="F592" t="str">
        <f>IFERROR(IF(D592="","",VLOOKUP(D592,CadProd!$A:$C,3,0)),"")</f>
        <v/>
      </c>
      <c r="I592" s="1" t="str">
        <f t="shared" si="9"/>
        <v/>
      </c>
    </row>
    <row r="593" spans="5:9" x14ac:dyDescent="0.3">
      <c r="E593" t="str">
        <f>IFERROR(IF(D593="","",VLOOKUP(D593,CadProd!$A:$B,2,0)),"")</f>
        <v/>
      </c>
      <c r="F593" t="str">
        <f>IFERROR(IF(D593="","",VLOOKUP(D593,CadProd!$A:$C,3,0)),"")</f>
        <v/>
      </c>
      <c r="I593" s="1" t="str">
        <f t="shared" si="9"/>
        <v/>
      </c>
    </row>
    <row r="594" spans="5:9" x14ac:dyDescent="0.3">
      <c r="E594" t="str">
        <f>IFERROR(IF(D594="","",VLOOKUP(D594,CadProd!$A:$B,2,0)),"")</f>
        <v/>
      </c>
      <c r="F594" t="str">
        <f>IFERROR(IF(D594="","",VLOOKUP(D594,CadProd!$A:$C,3,0)),"")</f>
        <v/>
      </c>
      <c r="I594" s="1" t="str">
        <f t="shared" si="9"/>
        <v/>
      </c>
    </row>
    <row r="595" spans="5:9" x14ac:dyDescent="0.3">
      <c r="E595" t="str">
        <f>IFERROR(IF(D595="","",VLOOKUP(D595,CadProd!$A:$B,2,0)),"")</f>
        <v/>
      </c>
      <c r="F595" t="str">
        <f>IFERROR(IF(D595="","",VLOOKUP(D595,CadProd!$A:$C,3,0)),"")</f>
        <v/>
      </c>
      <c r="I595" s="1" t="str">
        <f t="shared" si="9"/>
        <v/>
      </c>
    </row>
    <row r="596" spans="5:9" x14ac:dyDescent="0.3">
      <c r="E596" t="str">
        <f>IFERROR(IF(D596="","",VLOOKUP(D596,CadProd!$A:$B,2,0)),"")</f>
        <v/>
      </c>
      <c r="F596" t="str">
        <f>IFERROR(IF(D596="","",VLOOKUP(D596,CadProd!$A:$C,3,0)),"")</f>
        <v/>
      </c>
      <c r="I596" s="1" t="str">
        <f t="shared" si="9"/>
        <v/>
      </c>
    </row>
    <row r="597" spans="5:9" x14ac:dyDescent="0.3">
      <c r="E597" t="str">
        <f>IFERROR(IF(D597="","",VLOOKUP(D597,CadProd!$A:$B,2,0)),"")</f>
        <v/>
      </c>
      <c r="F597" t="str">
        <f>IFERROR(IF(D597="","",VLOOKUP(D597,CadProd!$A:$C,3,0)),"")</f>
        <v/>
      </c>
      <c r="I597" s="1" t="str">
        <f t="shared" si="9"/>
        <v/>
      </c>
    </row>
    <row r="598" spans="5:9" x14ac:dyDescent="0.3">
      <c r="E598" t="str">
        <f>IFERROR(IF(D598="","",VLOOKUP(D598,CadProd!$A:$B,2,0)),"")</f>
        <v/>
      </c>
      <c r="F598" t="str">
        <f>IFERROR(IF(D598="","",VLOOKUP(D598,CadProd!$A:$C,3,0)),"")</f>
        <v/>
      </c>
      <c r="I598" s="1" t="str">
        <f t="shared" si="9"/>
        <v/>
      </c>
    </row>
    <row r="599" spans="5:9" x14ac:dyDescent="0.3">
      <c r="E599" t="str">
        <f>IFERROR(IF(D599="","",VLOOKUP(D599,CadProd!$A:$B,2,0)),"")</f>
        <v/>
      </c>
      <c r="F599" t="str">
        <f>IFERROR(IF(D599="","",VLOOKUP(D599,CadProd!$A:$C,3,0)),"")</f>
        <v/>
      </c>
      <c r="I599" s="1" t="str">
        <f t="shared" si="9"/>
        <v/>
      </c>
    </row>
    <row r="600" spans="5:9" x14ac:dyDescent="0.3">
      <c r="E600" t="str">
        <f>IFERROR(IF(D600="","",VLOOKUP(D600,CadProd!$A:$B,2,0)),"")</f>
        <v/>
      </c>
      <c r="F600" t="str">
        <f>IFERROR(IF(D600="","",VLOOKUP(D600,CadProd!$A:$C,3,0)),"")</f>
        <v/>
      </c>
      <c r="I600" s="1" t="str">
        <f t="shared" si="9"/>
        <v/>
      </c>
    </row>
    <row r="601" spans="5:9" x14ac:dyDescent="0.3">
      <c r="E601" t="str">
        <f>IFERROR(IF(D601="","",VLOOKUP(D601,CadProd!$A:$B,2,0)),"")</f>
        <v/>
      </c>
      <c r="F601" t="str">
        <f>IFERROR(IF(D601="","",VLOOKUP(D601,CadProd!$A:$C,3,0)),"")</f>
        <v/>
      </c>
      <c r="I601" s="1" t="str">
        <f t="shared" si="9"/>
        <v/>
      </c>
    </row>
    <row r="602" spans="5:9" x14ac:dyDescent="0.3">
      <c r="E602" t="str">
        <f>IFERROR(IF(D602="","",VLOOKUP(D602,CadProd!$A:$B,2,0)),"")</f>
        <v/>
      </c>
      <c r="F602" t="str">
        <f>IFERROR(IF(D602="","",VLOOKUP(D602,CadProd!$A:$C,3,0)),"")</f>
        <v/>
      </c>
      <c r="I602" s="1" t="str">
        <f t="shared" si="9"/>
        <v/>
      </c>
    </row>
    <row r="603" spans="5:9" x14ac:dyDescent="0.3">
      <c r="E603" t="str">
        <f>IFERROR(IF(D603="","",VLOOKUP(D603,CadProd!$A:$B,2,0)),"")</f>
        <v/>
      </c>
      <c r="F603" t="str">
        <f>IFERROR(IF(D603="","",VLOOKUP(D603,CadProd!$A:$C,3,0)),"")</f>
        <v/>
      </c>
      <c r="I603" s="1" t="str">
        <f t="shared" si="9"/>
        <v/>
      </c>
    </row>
    <row r="604" spans="5:9" x14ac:dyDescent="0.3">
      <c r="E604" t="str">
        <f>IFERROR(IF(D604="","",VLOOKUP(D604,CadProd!$A:$B,2,0)),"")</f>
        <v/>
      </c>
      <c r="F604" t="str">
        <f>IFERROR(IF(D604="","",VLOOKUP(D604,CadProd!$A:$C,3,0)),"")</f>
        <v/>
      </c>
      <c r="I604" s="1" t="str">
        <f t="shared" si="9"/>
        <v/>
      </c>
    </row>
    <row r="605" spans="5:9" x14ac:dyDescent="0.3">
      <c r="E605" t="str">
        <f>IFERROR(IF(D605="","",VLOOKUP(D605,CadProd!$A:$B,2,0)),"")</f>
        <v/>
      </c>
      <c r="F605" t="str">
        <f>IFERROR(IF(D605="","",VLOOKUP(D605,CadProd!$A:$C,3,0)),"")</f>
        <v/>
      </c>
      <c r="I605" s="1" t="str">
        <f t="shared" si="9"/>
        <v/>
      </c>
    </row>
    <row r="606" spans="5:9" x14ac:dyDescent="0.3">
      <c r="E606" t="str">
        <f>IFERROR(IF(D606="","",VLOOKUP(D606,CadProd!$A:$B,2,0)),"")</f>
        <v/>
      </c>
      <c r="F606" t="str">
        <f>IFERROR(IF(D606="","",VLOOKUP(D606,CadProd!$A:$C,3,0)),"")</f>
        <v/>
      </c>
      <c r="I606" s="1" t="str">
        <f t="shared" si="9"/>
        <v/>
      </c>
    </row>
    <row r="607" spans="5:9" x14ac:dyDescent="0.3">
      <c r="E607" t="str">
        <f>IFERROR(IF(D607="","",VLOOKUP(D607,CadProd!$A:$B,2,0)),"")</f>
        <v/>
      </c>
      <c r="F607" t="str">
        <f>IFERROR(IF(D607="","",VLOOKUP(D607,CadProd!$A:$C,3,0)),"")</f>
        <v/>
      </c>
      <c r="I607" s="1" t="str">
        <f t="shared" si="9"/>
        <v/>
      </c>
    </row>
    <row r="608" spans="5:9" x14ac:dyDescent="0.3">
      <c r="E608" t="str">
        <f>IFERROR(IF(D608="","",VLOOKUP(D608,CadProd!$A:$B,2,0)),"")</f>
        <v/>
      </c>
      <c r="F608" t="str">
        <f>IFERROR(IF(D608="","",VLOOKUP(D608,CadProd!$A:$C,3,0)),"")</f>
        <v/>
      </c>
      <c r="I608" s="1" t="str">
        <f t="shared" si="9"/>
        <v/>
      </c>
    </row>
    <row r="609" spans="5:9" x14ac:dyDescent="0.3">
      <c r="E609" t="str">
        <f>IFERROR(IF(D609="","",VLOOKUP(D609,CadProd!$A:$B,2,0)),"")</f>
        <v/>
      </c>
      <c r="F609" t="str">
        <f>IFERROR(IF(D609="","",VLOOKUP(D609,CadProd!$A:$C,3,0)),"")</f>
        <v/>
      </c>
      <c r="I609" s="1" t="str">
        <f t="shared" si="9"/>
        <v/>
      </c>
    </row>
    <row r="610" spans="5:9" x14ac:dyDescent="0.3">
      <c r="E610" t="str">
        <f>IFERROR(IF(D610="","",VLOOKUP(D610,CadProd!$A:$B,2,0)),"")</f>
        <v/>
      </c>
      <c r="F610" t="str">
        <f>IFERROR(IF(D610="","",VLOOKUP(D610,CadProd!$A:$C,3,0)),"")</f>
        <v/>
      </c>
      <c r="I610" s="1" t="str">
        <f t="shared" si="9"/>
        <v/>
      </c>
    </row>
    <row r="611" spans="5:9" x14ac:dyDescent="0.3">
      <c r="E611" t="str">
        <f>IFERROR(IF(D611="","",VLOOKUP(D611,CadProd!$A:$B,2,0)),"")</f>
        <v/>
      </c>
      <c r="F611" t="str">
        <f>IFERROR(IF(D611="","",VLOOKUP(D611,CadProd!$A:$C,3,0)),"")</f>
        <v/>
      </c>
      <c r="I611" s="1" t="str">
        <f t="shared" si="9"/>
        <v/>
      </c>
    </row>
    <row r="612" spans="5:9" x14ac:dyDescent="0.3">
      <c r="E612" t="str">
        <f>IFERROR(IF(D612="","",VLOOKUP(D612,CadProd!$A:$B,2,0)),"")</f>
        <v/>
      </c>
      <c r="F612" t="str">
        <f>IFERROR(IF(D612="","",VLOOKUP(D612,CadProd!$A:$C,3,0)),"")</f>
        <v/>
      </c>
      <c r="I612" s="1" t="str">
        <f t="shared" si="9"/>
        <v/>
      </c>
    </row>
    <row r="613" spans="5:9" x14ac:dyDescent="0.3">
      <c r="E613" t="str">
        <f>IFERROR(IF(D613="","",VLOOKUP(D613,CadProd!$A:$B,2,0)),"")</f>
        <v/>
      </c>
      <c r="F613" t="str">
        <f>IFERROR(IF(D613="","",VLOOKUP(D613,CadProd!$A:$C,3,0)),"")</f>
        <v/>
      </c>
      <c r="I613" s="1" t="str">
        <f t="shared" si="9"/>
        <v/>
      </c>
    </row>
    <row r="614" spans="5:9" x14ac:dyDescent="0.3">
      <c r="E614" t="str">
        <f>IFERROR(IF(D614="","",VLOOKUP(D614,CadProd!$A:$B,2,0)),"")</f>
        <v/>
      </c>
      <c r="F614" t="str">
        <f>IFERROR(IF(D614="","",VLOOKUP(D614,CadProd!$A:$C,3,0)),"")</f>
        <v/>
      </c>
      <c r="I614" s="1" t="str">
        <f t="shared" si="9"/>
        <v/>
      </c>
    </row>
    <row r="615" spans="5:9" x14ac:dyDescent="0.3">
      <c r="E615" t="str">
        <f>IFERROR(IF(D615="","",VLOOKUP(D615,CadProd!$A:$B,2,0)),"")</f>
        <v/>
      </c>
      <c r="F615" t="str">
        <f>IFERROR(IF(D615="","",VLOOKUP(D615,CadProd!$A:$C,3,0)),"")</f>
        <v/>
      </c>
      <c r="I615" s="1" t="str">
        <f t="shared" si="9"/>
        <v/>
      </c>
    </row>
    <row r="616" spans="5:9" x14ac:dyDescent="0.3">
      <c r="E616" t="str">
        <f>IFERROR(IF(D616="","",VLOOKUP(D616,CadProd!$A:$B,2,0)),"")</f>
        <v/>
      </c>
      <c r="F616" t="str">
        <f>IFERROR(IF(D616="","",VLOOKUP(D616,CadProd!$A:$C,3,0)),"")</f>
        <v/>
      </c>
      <c r="I616" s="1" t="str">
        <f t="shared" si="9"/>
        <v/>
      </c>
    </row>
    <row r="617" spans="5:9" x14ac:dyDescent="0.3">
      <c r="E617" t="str">
        <f>IFERROR(IF(D617="","",VLOOKUP(D617,CadProd!$A:$B,2,0)),"")</f>
        <v/>
      </c>
      <c r="F617" t="str">
        <f>IFERROR(IF(D617="","",VLOOKUP(D617,CadProd!$A:$C,3,0)),"")</f>
        <v/>
      </c>
      <c r="I617" s="1" t="str">
        <f t="shared" si="9"/>
        <v/>
      </c>
    </row>
    <row r="618" spans="5:9" x14ac:dyDescent="0.3">
      <c r="E618" t="str">
        <f>IFERROR(IF(D618="","",VLOOKUP(D618,CadProd!$A:$B,2,0)),"")</f>
        <v/>
      </c>
      <c r="F618" t="str">
        <f>IFERROR(IF(D618="","",VLOOKUP(D618,CadProd!$A:$C,3,0)),"")</f>
        <v/>
      </c>
      <c r="I618" s="1" t="str">
        <f t="shared" si="9"/>
        <v/>
      </c>
    </row>
    <row r="619" spans="5:9" x14ac:dyDescent="0.3">
      <c r="E619" t="str">
        <f>IFERROR(IF(D619="","",VLOOKUP(D619,CadProd!$A:$B,2,0)),"")</f>
        <v/>
      </c>
      <c r="F619" t="str">
        <f>IFERROR(IF(D619="","",VLOOKUP(D619,CadProd!$A:$C,3,0)),"")</f>
        <v/>
      </c>
      <c r="I619" s="1" t="str">
        <f t="shared" si="9"/>
        <v/>
      </c>
    </row>
    <row r="620" spans="5:9" x14ac:dyDescent="0.3">
      <c r="E620" t="str">
        <f>IFERROR(IF(D620="","",VLOOKUP(D620,CadProd!$A:$B,2,0)),"")</f>
        <v/>
      </c>
      <c r="F620" t="str">
        <f>IFERROR(IF(D620="","",VLOOKUP(D620,CadProd!$A:$C,3,0)),"")</f>
        <v/>
      </c>
      <c r="I620" s="1" t="str">
        <f t="shared" si="9"/>
        <v/>
      </c>
    </row>
    <row r="621" spans="5:9" x14ac:dyDescent="0.3">
      <c r="E621" t="str">
        <f>IFERROR(IF(D621="","",VLOOKUP(D621,CadProd!$A:$B,2,0)),"")</f>
        <v/>
      </c>
      <c r="F621" t="str">
        <f>IFERROR(IF(D621="","",VLOOKUP(D621,CadProd!$A:$C,3,0)),"")</f>
        <v/>
      </c>
      <c r="I621" s="1" t="str">
        <f t="shared" si="9"/>
        <v/>
      </c>
    </row>
    <row r="622" spans="5:9" x14ac:dyDescent="0.3">
      <c r="E622" t="str">
        <f>IFERROR(IF(D622="","",VLOOKUP(D622,CadProd!$A:$B,2,0)),"")</f>
        <v/>
      </c>
      <c r="F622" t="str">
        <f>IFERROR(IF(D622="","",VLOOKUP(D622,CadProd!$A:$C,3,0)),"")</f>
        <v/>
      </c>
      <c r="I622" s="1" t="str">
        <f t="shared" si="9"/>
        <v/>
      </c>
    </row>
    <row r="623" spans="5:9" x14ac:dyDescent="0.3">
      <c r="E623" t="str">
        <f>IFERROR(IF(D623="","",VLOOKUP(D623,CadProd!$A:$B,2,0)),"")</f>
        <v/>
      </c>
      <c r="F623" t="str">
        <f>IFERROR(IF(D623="","",VLOOKUP(D623,CadProd!$A:$C,3,0)),"")</f>
        <v/>
      </c>
      <c r="I623" s="1" t="str">
        <f t="shared" si="9"/>
        <v/>
      </c>
    </row>
    <row r="624" spans="5:9" x14ac:dyDescent="0.3">
      <c r="E624" t="str">
        <f>IFERROR(IF(D624="","",VLOOKUP(D624,CadProd!$A:$B,2,0)),"")</f>
        <v/>
      </c>
      <c r="F624" t="str">
        <f>IFERROR(IF(D624="","",VLOOKUP(D624,CadProd!$A:$C,3,0)),"")</f>
        <v/>
      </c>
      <c r="I624" s="1" t="str">
        <f t="shared" si="9"/>
        <v/>
      </c>
    </row>
    <row r="625" spans="5:9" x14ac:dyDescent="0.3">
      <c r="E625" t="str">
        <f>IFERROR(IF(D625="","",VLOOKUP(D625,CadProd!$A:$B,2,0)),"")</f>
        <v/>
      </c>
      <c r="F625" t="str">
        <f>IFERROR(IF(D625="","",VLOOKUP(D625,CadProd!$A:$C,3,0)),"")</f>
        <v/>
      </c>
      <c r="I625" s="1" t="str">
        <f t="shared" si="9"/>
        <v/>
      </c>
    </row>
    <row r="626" spans="5:9" x14ac:dyDescent="0.3">
      <c r="E626" t="str">
        <f>IFERROR(IF(D626="","",VLOOKUP(D626,CadProd!$A:$B,2,0)),"")</f>
        <v/>
      </c>
      <c r="F626" t="str">
        <f>IFERROR(IF(D626="","",VLOOKUP(D626,CadProd!$A:$C,3,0)),"")</f>
        <v/>
      </c>
      <c r="I626" s="1" t="str">
        <f t="shared" si="9"/>
        <v/>
      </c>
    </row>
    <row r="627" spans="5:9" x14ac:dyDescent="0.3">
      <c r="E627" t="str">
        <f>IFERROR(IF(D627="","",VLOOKUP(D627,CadProd!$A:$B,2,0)),"")</f>
        <v/>
      </c>
      <c r="F627" t="str">
        <f>IFERROR(IF(D627="","",VLOOKUP(D627,CadProd!$A:$C,3,0)),"")</f>
        <v/>
      </c>
      <c r="I627" s="1" t="str">
        <f t="shared" si="9"/>
        <v/>
      </c>
    </row>
    <row r="628" spans="5:9" x14ac:dyDescent="0.3">
      <c r="E628" t="str">
        <f>IFERROR(IF(D628="","",VLOOKUP(D628,CadProd!$A:$B,2,0)),"")</f>
        <v/>
      </c>
      <c r="F628" t="str">
        <f>IFERROR(IF(D628="","",VLOOKUP(D628,CadProd!$A:$C,3,0)),"")</f>
        <v/>
      </c>
      <c r="I628" s="1" t="str">
        <f t="shared" si="9"/>
        <v/>
      </c>
    </row>
    <row r="629" spans="5:9" x14ac:dyDescent="0.3">
      <c r="E629" t="str">
        <f>IFERROR(IF(D629="","",VLOOKUP(D629,CadProd!$A:$B,2,0)),"")</f>
        <v/>
      </c>
      <c r="F629" t="str">
        <f>IFERROR(IF(D629="","",VLOOKUP(D629,CadProd!$A:$C,3,0)),"")</f>
        <v/>
      </c>
      <c r="I629" s="1" t="str">
        <f t="shared" si="9"/>
        <v/>
      </c>
    </row>
    <row r="630" spans="5:9" x14ac:dyDescent="0.3">
      <c r="E630" t="str">
        <f>IFERROR(IF(D630="","",VLOOKUP(D630,CadProd!$A:$B,2,0)),"")</f>
        <v/>
      </c>
      <c r="F630" t="str">
        <f>IFERROR(IF(D630="","",VLOOKUP(D630,CadProd!$A:$C,3,0)),"")</f>
        <v/>
      </c>
      <c r="I630" s="1" t="str">
        <f t="shared" si="9"/>
        <v/>
      </c>
    </row>
    <row r="631" spans="5:9" x14ac:dyDescent="0.3">
      <c r="E631" t="str">
        <f>IFERROR(IF(D631="","",VLOOKUP(D631,CadProd!$A:$B,2,0)),"")</f>
        <v/>
      </c>
      <c r="F631" t="str">
        <f>IFERROR(IF(D631="","",VLOOKUP(D631,CadProd!$A:$C,3,0)),"")</f>
        <v/>
      </c>
      <c r="I631" s="1" t="str">
        <f t="shared" si="9"/>
        <v/>
      </c>
    </row>
    <row r="632" spans="5:9" x14ac:dyDescent="0.3">
      <c r="E632" t="str">
        <f>IFERROR(IF(D632="","",VLOOKUP(D632,CadProd!$A:$B,2,0)),"")</f>
        <v/>
      </c>
      <c r="F632" t="str">
        <f>IFERROR(IF(D632="","",VLOOKUP(D632,CadProd!$A:$C,3,0)),"")</f>
        <v/>
      </c>
      <c r="I632" s="1" t="str">
        <f t="shared" si="9"/>
        <v/>
      </c>
    </row>
    <row r="633" spans="5:9" x14ac:dyDescent="0.3">
      <c r="E633" t="str">
        <f>IFERROR(IF(D633="","",VLOOKUP(D633,CadProd!$A:$B,2,0)),"")</f>
        <v/>
      </c>
      <c r="F633" t="str">
        <f>IFERROR(IF(D633="","",VLOOKUP(D633,CadProd!$A:$C,3,0)),"")</f>
        <v/>
      </c>
      <c r="I633" s="1" t="str">
        <f t="shared" si="9"/>
        <v/>
      </c>
    </row>
    <row r="634" spans="5:9" x14ac:dyDescent="0.3">
      <c r="E634" t="str">
        <f>IFERROR(IF(D634="","",VLOOKUP(D634,CadProd!$A:$B,2,0)),"")</f>
        <v/>
      </c>
      <c r="F634" t="str">
        <f>IFERROR(IF(D634="","",VLOOKUP(D634,CadProd!$A:$C,3,0)),"")</f>
        <v/>
      </c>
      <c r="I634" s="1" t="str">
        <f t="shared" si="9"/>
        <v/>
      </c>
    </row>
    <row r="635" spans="5:9" x14ac:dyDescent="0.3">
      <c r="E635" t="str">
        <f>IFERROR(IF(D635="","",VLOOKUP(D635,CadProd!$A:$B,2,0)),"")</f>
        <v/>
      </c>
      <c r="F635" t="str">
        <f>IFERROR(IF(D635="","",VLOOKUP(D635,CadProd!$A:$C,3,0)),"")</f>
        <v/>
      </c>
      <c r="I635" s="1" t="str">
        <f t="shared" si="9"/>
        <v/>
      </c>
    </row>
    <row r="636" spans="5:9" x14ac:dyDescent="0.3">
      <c r="E636" t="str">
        <f>IFERROR(IF(D636="","",VLOOKUP(D636,CadProd!$A:$B,2,0)),"")</f>
        <v/>
      </c>
      <c r="F636" t="str">
        <f>IFERROR(IF(D636="","",VLOOKUP(D636,CadProd!$A:$C,3,0)),"")</f>
        <v/>
      </c>
      <c r="I636" s="1" t="str">
        <f t="shared" si="9"/>
        <v/>
      </c>
    </row>
    <row r="637" spans="5:9" x14ac:dyDescent="0.3">
      <c r="E637" t="str">
        <f>IFERROR(IF(D637="","",VLOOKUP(D637,CadProd!$A:$B,2,0)),"")</f>
        <v/>
      </c>
      <c r="F637" t="str">
        <f>IFERROR(IF(D637="","",VLOOKUP(D637,CadProd!$A:$C,3,0)),"")</f>
        <v/>
      </c>
      <c r="I637" s="1" t="str">
        <f t="shared" si="9"/>
        <v/>
      </c>
    </row>
    <row r="638" spans="5:9" x14ac:dyDescent="0.3">
      <c r="E638" t="str">
        <f>IFERROR(IF(D638="","",VLOOKUP(D638,CadProd!$A:$B,2,0)),"")</f>
        <v/>
      </c>
      <c r="F638" t="str">
        <f>IFERROR(IF(D638="","",VLOOKUP(D638,CadProd!$A:$C,3,0)),"")</f>
        <v/>
      </c>
      <c r="I638" s="1" t="str">
        <f t="shared" si="9"/>
        <v/>
      </c>
    </row>
    <row r="639" spans="5:9" x14ac:dyDescent="0.3">
      <c r="E639" t="str">
        <f>IFERROR(IF(D639="","",VLOOKUP(D639,CadProd!$A:$B,2,0)),"")</f>
        <v/>
      </c>
      <c r="F639" t="str">
        <f>IFERROR(IF(D639="","",VLOOKUP(D639,CadProd!$A:$C,3,0)),"")</f>
        <v/>
      </c>
      <c r="I639" s="1" t="str">
        <f t="shared" si="9"/>
        <v/>
      </c>
    </row>
    <row r="640" spans="5:9" x14ac:dyDescent="0.3">
      <c r="E640" t="str">
        <f>IFERROR(IF(D640="","",VLOOKUP(D640,CadProd!$A:$B,2,0)),"")</f>
        <v/>
      </c>
      <c r="F640" t="str">
        <f>IFERROR(IF(D640="","",VLOOKUP(D640,CadProd!$A:$C,3,0)),"")</f>
        <v/>
      </c>
      <c r="I640" s="1" t="str">
        <f t="shared" si="9"/>
        <v/>
      </c>
    </row>
    <row r="641" spans="5:9" x14ac:dyDescent="0.3">
      <c r="E641" t="str">
        <f>IFERROR(IF(D641="","",VLOOKUP(D641,CadProd!$A:$B,2,0)),"")</f>
        <v/>
      </c>
      <c r="F641" t="str">
        <f>IFERROR(IF(D641="","",VLOOKUP(D641,CadProd!$A:$C,3,0)),"")</f>
        <v/>
      </c>
      <c r="I641" s="1" t="str">
        <f t="shared" si="9"/>
        <v/>
      </c>
    </row>
    <row r="642" spans="5:9" x14ac:dyDescent="0.3">
      <c r="E642" t="str">
        <f>IFERROR(IF(D642="","",VLOOKUP(D642,CadProd!$A:$B,2,0)),"")</f>
        <v/>
      </c>
      <c r="F642" t="str">
        <f>IFERROR(IF(D642="","",VLOOKUP(D642,CadProd!$A:$C,3,0)),"")</f>
        <v/>
      </c>
      <c r="I642" s="1" t="str">
        <f t="shared" ref="I642:I705" si="10">IFERROR(IF(D642="","",H642*G642),"")</f>
        <v/>
      </c>
    </row>
    <row r="643" spans="5:9" x14ac:dyDescent="0.3">
      <c r="E643" t="str">
        <f>IFERROR(IF(D643="","",VLOOKUP(D643,CadProd!$A:$B,2,0)),"")</f>
        <v/>
      </c>
      <c r="F643" t="str">
        <f>IFERROR(IF(D643="","",VLOOKUP(D643,CadProd!$A:$C,3,0)),"")</f>
        <v/>
      </c>
      <c r="I643" s="1" t="str">
        <f t="shared" si="10"/>
        <v/>
      </c>
    </row>
    <row r="644" spans="5:9" x14ac:dyDescent="0.3">
      <c r="E644" t="str">
        <f>IFERROR(IF(D644="","",VLOOKUP(D644,CadProd!$A:$B,2,0)),"")</f>
        <v/>
      </c>
      <c r="F644" t="str">
        <f>IFERROR(IF(D644="","",VLOOKUP(D644,CadProd!$A:$C,3,0)),"")</f>
        <v/>
      </c>
      <c r="I644" s="1" t="str">
        <f t="shared" si="10"/>
        <v/>
      </c>
    </row>
    <row r="645" spans="5:9" x14ac:dyDescent="0.3">
      <c r="E645" t="str">
        <f>IFERROR(IF(D645="","",VLOOKUP(D645,CadProd!$A:$B,2,0)),"")</f>
        <v/>
      </c>
      <c r="F645" t="str">
        <f>IFERROR(IF(D645="","",VLOOKUP(D645,CadProd!$A:$C,3,0)),"")</f>
        <v/>
      </c>
      <c r="I645" s="1" t="str">
        <f t="shared" si="10"/>
        <v/>
      </c>
    </row>
    <row r="646" spans="5:9" x14ac:dyDescent="0.3">
      <c r="E646" t="str">
        <f>IFERROR(IF(D646="","",VLOOKUP(D646,CadProd!$A:$B,2,0)),"")</f>
        <v/>
      </c>
      <c r="F646" t="str">
        <f>IFERROR(IF(D646="","",VLOOKUP(D646,CadProd!$A:$C,3,0)),"")</f>
        <v/>
      </c>
      <c r="I646" s="1" t="str">
        <f t="shared" si="10"/>
        <v/>
      </c>
    </row>
    <row r="647" spans="5:9" x14ac:dyDescent="0.3">
      <c r="E647" t="str">
        <f>IFERROR(IF(D647="","",VLOOKUP(D647,CadProd!$A:$B,2,0)),"")</f>
        <v/>
      </c>
      <c r="F647" t="str">
        <f>IFERROR(IF(D647="","",VLOOKUP(D647,CadProd!$A:$C,3,0)),"")</f>
        <v/>
      </c>
      <c r="I647" s="1" t="str">
        <f t="shared" si="10"/>
        <v/>
      </c>
    </row>
    <row r="648" spans="5:9" x14ac:dyDescent="0.3">
      <c r="E648" t="str">
        <f>IFERROR(IF(D648="","",VLOOKUP(D648,CadProd!$A:$B,2,0)),"")</f>
        <v/>
      </c>
      <c r="F648" t="str">
        <f>IFERROR(IF(D648="","",VLOOKUP(D648,CadProd!$A:$C,3,0)),"")</f>
        <v/>
      </c>
      <c r="I648" s="1" t="str">
        <f t="shared" si="10"/>
        <v/>
      </c>
    </row>
    <row r="649" spans="5:9" x14ac:dyDescent="0.3">
      <c r="E649" t="str">
        <f>IFERROR(IF(D649="","",VLOOKUP(D649,CadProd!$A:$B,2,0)),"")</f>
        <v/>
      </c>
      <c r="F649" t="str">
        <f>IFERROR(IF(D649="","",VLOOKUP(D649,CadProd!$A:$C,3,0)),"")</f>
        <v/>
      </c>
      <c r="I649" s="1" t="str">
        <f t="shared" si="10"/>
        <v/>
      </c>
    </row>
    <row r="650" spans="5:9" x14ac:dyDescent="0.3">
      <c r="E650" t="str">
        <f>IFERROR(IF(D650="","",VLOOKUP(D650,CadProd!$A:$B,2,0)),"")</f>
        <v/>
      </c>
      <c r="F650" t="str">
        <f>IFERROR(IF(D650="","",VLOOKUP(D650,CadProd!$A:$C,3,0)),"")</f>
        <v/>
      </c>
      <c r="I650" s="1" t="str">
        <f t="shared" si="10"/>
        <v/>
      </c>
    </row>
    <row r="651" spans="5:9" x14ac:dyDescent="0.3">
      <c r="E651" t="str">
        <f>IFERROR(IF(D651="","",VLOOKUP(D651,CadProd!$A:$B,2,0)),"")</f>
        <v/>
      </c>
      <c r="F651" t="str">
        <f>IFERROR(IF(D651="","",VLOOKUP(D651,CadProd!$A:$C,3,0)),"")</f>
        <v/>
      </c>
      <c r="I651" s="1" t="str">
        <f t="shared" si="10"/>
        <v/>
      </c>
    </row>
    <row r="652" spans="5:9" x14ac:dyDescent="0.3">
      <c r="E652" t="str">
        <f>IFERROR(IF(D652="","",VLOOKUP(D652,CadProd!$A:$B,2,0)),"")</f>
        <v/>
      </c>
      <c r="F652" t="str">
        <f>IFERROR(IF(D652="","",VLOOKUP(D652,CadProd!$A:$C,3,0)),"")</f>
        <v/>
      </c>
      <c r="I652" s="1" t="str">
        <f t="shared" si="10"/>
        <v/>
      </c>
    </row>
    <row r="653" spans="5:9" x14ac:dyDescent="0.3">
      <c r="E653" t="str">
        <f>IFERROR(IF(D653="","",VLOOKUP(D653,CadProd!$A:$B,2,0)),"")</f>
        <v/>
      </c>
      <c r="F653" t="str">
        <f>IFERROR(IF(D653="","",VLOOKUP(D653,CadProd!$A:$C,3,0)),"")</f>
        <v/>
      </c>
      <c r="I653" s="1" t="str">
        <f t="shared" si="10"/>
        <v/>
      </c>
    </row>
    <row r="654" spans="5:9" x14ac:dyDescent="0.3">
      <c r="E654" t="str">
        <f>IFERROR(IF(D654="","",VLOOKUP(D654,CadProd!$A:$B,2,0)),"")</f>
        <v/>
      </c>
      <c r="F654" t="str">
        <f>IFERROR(IF(D654="","",VLOOKUP(D654,CadProd!$A:$C,3,0)),"")</f>
        <v/>
      </c>
      <c r="I654" s="1" t="str">
        <f t="shared" si="10"/>
        <v/>
      </c>
    </row>
    <row r="655" spans="5:9" x14ac:dyDescent="0.3">
      <c r="E655" t="str">
        <f>IFERROR(IF(D655="","",VLOOKUP(D655,CadProd!$A:$B,2,0)),"")</f>
        <v/>
      </c>
      <c r="F655" t="str">
        <f>IFERROR(IF(D655="","",VLOOKUP(D655,CadProd!$A:$C,3,0)),"")</f>
        <v/>
      </c>
      <c r="I655" s="1" t="str">
        <f t="shared" si="10"/>
        <v/>
      </c>
    </row>
    <row r="656" spans="5:9" x14ac:dyDescent="0.3">
      <c r="E656" t="str">
        <f>IFERROR(IF(D656="","",VLOOKUP(D656,CadProd!$A:$B,2,0)),"")</f>
        <v/>
      </c>
      <c r="F656" t="str">
        <f>IFERROR(IF(D656="","",VLOOKUP(D656,CadProd!$A:$C,3,0)),"")</f>
        <v/>
      </c>
      <c r="I656" s="1" t="str">
        <f t="shared" si="10"/>
        <v/>
      </c>
    </row>
    <row r="657" spans="5:9" x14ac:dyDescent="0.3">
      <c r="E657" t="str">
        <f>IFERROR(IF(D657="","",VLOOKUP(D657,CadProd!$A:$B,2,0)),"")</f>
        <v/>
      </c>
      <c r="F657" t="str">
        <f>IFERROR(IF(D657="","",VLOOKUP(D657,CadProd!$A:$C,3,0)),"")</f>
        <v/>
      </c>
      <c r="I657" s="1" t="str">
        <f t="shared" si="10"/>
        <v/>
      </c>
    </row>
    <row r="658" spans="5:9" x14ac:dyDescent="0.3">
      <c r="E658" t="str">
        <f>IFERROR(IF(D658="","",VLOOKUP(D658,CadProd!$A:$B,2,0)),"")</f>
        <v/>
      </c>
      <c r="F658" t="str">
        <f>IFERROR(IF(D658="","",VLOOKUP(D658,CadProd!$A:$C,3,0)),"")</f>
        <v/>
      </c>
      <c r="I658" s="1" t="str">
        <f t="shared" si="10"/>
        <v/>
      </c>
    </row>
    <row r="659" spans="5:9" x14ac:dyDescent="0.3">
      <c r="E659" t="str">
        <f>IFERROR(IF(D659="","",VLOOKUP(D659,CadProd!$A:$B,2,0)),"")</f>
        <v/>
      </c>
      <c r="F659" t="str">
        <f>IFERROR(IF(D659="","",VLOOKUP(D659,CadProd!$A:$C,3,0)),"")</f>
        <v/>
      </c>
      <c r="I659" s="1" t="str">
        <f t="shared" si="10"/>
        <v/>
      </c>
    </row>
    <row r="660" spans="5:9" x14ac:dyDescent="0.3">
      <c r="E660" t="str">
        <f>IFERROR(IF(D660="","",VLOOKUP(D660,CadProd!$A:$B,2,0)),"")</f>
        <v/>
      </c>
      <c r="F660" t="str">
        <f>IFERROR(IF(D660="","",VLOOKUP(D660,CadProd!$A:$C,3,0)),"")</f>
        <v/>
      </c>
      <c r="I660" s="1" t="str">
        <f t="shared" si="10"/>
        <v/>
      </c>
    </row>
    <row r="661" spans="5:9" x14ac:dyDescent="0.3">
      <c r="E661" t="str">
        <f>IFERROR(IF(D661="","",VLOOKUP(D661,CadProd!$A:$B,2,0)),"")</f>
        <v/>
      </c>
      <c r="F661" t="str">
        <f>IFERROR(IF(D661="","",VLOOKUP(D661,CadProd!$A:$C,3,0)),"")</f>
        <v/>
      </c>
      <c r="I661" s="1" t="str">
        <f t="shared" si="10"/>
        <v/>
      </c>
    </row>
    <row r="662" spans="5:9" x14ac:dyDescent="0.3">
      <c r="E662" t="str">
        <f>IFERROR(IF(D662="","",VLOOKUP(D662,CadProd!$A:$B,2,0)),"")</f>
        <v/>
      </c>
      <c r="F662" t="str">
        <f>IFERROR(IF(D662="","",VLOOKUP(D662,CadProd!$A:$C,3,0)),"")</f>
        <v/>
      </c>
      <c r="I662" s="1" t="str">
        <f t="shared" si="10"/>
        <v/>
      </c>
    </row>
    <row r="663" spans="5:9" x14ac:dyDescent="0.3">
      <c r="E663" t="str">
        <f>IFERROR(IF(D663="","",VLOOKUP(D663,CadProd!$A:$B,2,0)),"")</f>
        <v/>
      </c>
      <c r="F663" t="str">
        <f>IFERROR(IF(D663="","",VLOOKUP(D663,CadProd!$A:$C,3,0)),"")</f>
        <v/>
      </c>
      <c r="I663" s="1" t="str">
        <f t="shared" si="10"/>
        <v/>
      </c>
    </row>
    <row r="664" spans="5:9" x14ac:dyDescent="0.3">
      <c r="E664" t="str">
        <f>IFERROR(IF(D664="","",VLOOKUP(D664,CadProd!$A:$B,2,0)),"")</f>
        <v/>
      </c>
      <c r="F664" t="str">
        <f>IFERROR(IF(D664="","",VLOOKUP(D664,CadProd!$A:$C,3,0)),"")</f>
        <v/>
      </c>
      <c r="I664" s="1" t="str">
        <f t="shared" si="10"/>
        <v/>
      </c>
    </row>
    <row r="665" spans="5:9" x14ac:dyDescent="0.3">
      <c r="E665" t="str">
        <f>IFERROR(IF(D665="","",VLOOKUP(D665,CadProd!$A:$B,2,0)),"")</f>
        <v/>
      </c>
      <c r="F665" t="str">
        <f>IFERROR(IF(D665="","",VLOOKUP(D665,CadProd!$A:$C,3,0)),"")</f>
        <v/>
      </c>
      <c r="I665" s="1" t="str">
        <f t="shared" si="10"/>
        <v/>
      </c>
    </row>
    <row r="666" spans="5:9" x14ac:dyDescent="0.3">
      <c r="E666" t="str">
        <f>IFERROR(IF(D666="","",VLOOKUP(D666,CadProd!$A:$B,2,0)),"")</f>
        <v/>
      </c>
      <c r="F666" t="str">
        <f>IFERROR(IF(D666="","",VLOOKUP(D666,CadProd!$A:$C,3,0)),"")</f>
        <v/>
      </c>
      <c r="I666" s="1" t="str">
        <f t="shared" si="10"/>
        <v/>
      </c>
    </row>
    <row r="667" spans="5:9" x14ac:dyDescent="0.3">
      <c r="E667" t="str">
        <f>IFERROR(IF(D667="","",VLOOKUP(D667,CadProd!$A:$B,2,0)),"")</f>
        <v/>
      </c>
      <c r="F667" t="str">
        <f>IFERROR(IF(D667="","",VLOOKUP(D667,CadProd!$A:$C,3,0)),"")</f>
        <v/>
      </c>
      <c r="I667" s="1" t="str">
        <f t="shared" si="10"/>
        <v/>
      </c>
    </row>
    <row r="668" spans="5:9" x14ac:dyDescent="0.3">
      <c r="E668" t="str">
        <f>IFERROR(IF(D668="","",VLOOKUP(D668,CadProd!$A:$B,2,0)),"")</f>
        <v/>
      </c>
      <c r="F668" t="str">
        <f>IFERROR(IF(D668="","",VLOOKUP(D668,CadProd!$A:$C,3,0)),"")</f>
        <v/>
      </c>
      <c r="I668" s="1" t="str">
        <f t="shared" si="10"/>
        <v/>
      </c>
    </row>
    <row r="669" spans="5:9" x14ac:dyDescent="0.3">
      <c r="E669" t="str">
        <f>IFERROR(IF(D669="","",VLOOKUP(D669,CadProd!$A:$B,2,0)),"")</f>
        <v/>
      </c>
      <c r="F669" t="str">
        <f>IFERROR(IF(D669="","",VLOOKUP(D669,CadProd!$A:$C,3,0)),"")</f>
        <v/>
      </c>
      <c r="I669" s="1" t="str">
        <f t="shared" si="10"/>
        <v/>
      </c>
    </row>
    <row r="670" spans="5:9" x14ac:dyDescent="0.3">
      <c r="E670" t="str">
        <f>IFERROR(IF(D670="","",VLOOKUP(D670,CadProd!$A:$B,2,0)),"")</f>
        <v/>
      </c>
      <c r="F670" t="str">
        <f>IFERROR(IF(D670="","",VLOOKUP(D670,CadProd!$A:$C,3,0)),"")</f>
        <v/>
      </c>
      <c r="I670" s="1" t="str">
        <f t="shared" si="10"/>
        <v/>
      </c>
    </row>
    <row r="671" spans="5:9" x14ac:dyDescent="0.3">
      <c r="E671" t="str">
        <f>IFERROR(IF(D671="","",VLOOKUP(D671,CadProd!$A:$B,2,0)),"")</f>
        <v/>
      </c>
      <c r="F671" t="str">
        <f>IFERROR(IF(D671="","",VLOOKUP(D671,CadProd!$A:$C,3,0)),"")</f>
        <v/>
      </c>
      <c r="I671" s="1" t="str">
        <f t="shared" si="10"/>
        <v/>
      </c>
    </row>
    <row r="672" spans="5:9" x14ac:dyDescent="0.3">
      <c r="E672" t="str">
        <f>IFERROR(IF(D672="","",VLOOKUP(D672,CadProd!$A:$B,2,0)),"")</f>
        <v/>
      </c>
      <c r="F672" t="str">
        <f>IFERROR(IF(D672="","",VLOOKUP(D672,CadProd!$A:$C,3,0)),"")</f>
        <v/>
      </c>
      <c r="I672" s="1" t="str">
        <f t="shared" si="10"/>
        <v/>
      </c>
    </row>
    <row r="673" spans="5:9" x14ac:dyDescent="0.3">
      <c r="E673" t="str">
        <f>IFERROR(IF(D673="","",VLOOKUP(D673,CadProd!$A:$B,2,0)),"")</f>
        <v/>
      </c>
      <c r="F673" t="str">
        <f>IFERROR(IF(D673="","",VLOOKUP(D673,CadProd!$A:$C,3,0)),"")</f>
        <v/>
      </c>
      <c r="I673" s="1" t="str">
        <f t="shared" si="10"/>
        <v/>
      </c>
    </row>
    <row r="674" spans="5:9" x14ac:dyDescent="0.3">
      <c r="E674" t="str">
        <f>IFERROR(IF(D674="","",VLOOKUP(D674,CadProd!$A:$B,2,0)),"")</f>
        <v/>
      </c>
      <c r="F674" t="str">
        <f>IFERROR(IF(D674="","",VLOOKUP(D674,CadProd!$A:$C,3,0)),"")</f>
        <v/>
      </c>
      <c r="I674" s="1" t="str">
        <f t="shared" si="10"/>
        <v/>
      </c>
    </row>
    <row r="675" spans="5:9" x14ac:dyDescent="0.3">
      <c r="E675" t="str">
        <f>IFERROR(IF(D675="","",VLOOKUP(D675,CadProd!$A:$B,2,0)),"")</f>
        <v/>
      </c>
      <c r="F675" t="str">
        <f>IFERROR(IF(D675="","",VLOOKUP(D675,CadProd!$A:$C,3,0)),"")</f>
        <v/>
      </c>
      <c r="I675" s="1" t="str">
        <f t="shared" si="10"/>
        <v/>
      </c>
    </row>
    <row r="676" spans="5:9" x14ac:dyDescent="0.3">
      <c r="E676" t="str">
        <f>IFERROR(IF(D676="","",VLOOKUP(D676,CadProd!$A:$B,2,0)),"")</f>
        <v/>
      </c>
      <c r="F676" t="str">
        <f>IFERROR(IF(D676="","",VLOOKUP(D676,CadProd!$A:$C,3,0)),"")</f>
        <v/>
      </c>
      <c r="I676" s="1" t="str">
        <f t="shared" si="10"/>
        <v/>
      </c>
    </row>
    <row r="677" spans="5:9" x14ac:dyDescent="0.3">
      <c r="E677" t="str">
        <f>IFERROR(IF(D677="","",VLOOKUP(D677,CadProd!$A:$B,2,0)),"")</f>
        <v/>
      </c>
      <c r="F677" t="str">
        <f>IFERROR(IF(D677="","",VLOOKUP(D677,CadProd!$A:$C,3,0)),"")</f>
        <v/>
      </c>
      <c r="I677" s="1" t="str">
        <f t="shared" si="10"/>
        <v/>
      </c>
    </row>
    <row r="678" spans="5:9" x14ac:dyDescent="0.3">
      <c r="E678" t="str">
        <f>IFERROR(IF(D678="","",VLOOKUP(D678,CadProd!$A:$B,2,0)),"")</f>
        <v/>
      </c>
      <c r="F678" t="str">
        <f>IFERROR(IF(D678="","",VLOOKUP(D678,CadProd!$A:$C,3,0)),"")</f>
        <v/>
      </c>
      <c r="I678" s="1" t="str">
        <f t="shared" si="10"/>
        <v/>
      </c>
    </row>
    <row r="679" spans="5:9" x14ac:dyDescent="0.3">
      <c r="E679" t="str">
        <f>IFERROR(IF(D679="","",VLOOKUP(D679,CadProd!$A:$B,2,0)),"")</f>
        <v/>
      </c>
      <c r="F679" t="str">
        <f>IFERROR(IF(D679="","",VLOOKUP(D679,CadProd!$A:$C,3,0)),"")</f>
        <v/>
      </c>
      <c r="I679" s="1" t="str">
        <f t="shared" si="10"/>
        <v/>
      </c>
    </row>
    <row r="680" spans="5:9" x14ac:dyDescent="0.3">
      <c r="E680" t="str">
        <f>IFERROR(IF(D680="","",VLOOKUP(D680,CadProd!$A:$B,2,0)),"")</f>
        <v/>
      </c>
      <c r="F680" t="str">
        <f>IFERROR(IF(D680="","",VLOOKUP(D680,CadProd!$A:$C,3,0)),"")</f>
        <v/>
      </c>
      <c r="I680" s="1" t="str">
        <f t="shared" si="10"/>
        <v/>
      </c>
    </row>
    <row r="681" spans="5:9" x14ac:dyDescent="0.3">
      <c r="E681" t="str">
        <f>IFERROR(IF(D681="","",VLOOKUP(D681,CadProd!$A:$B,2,0)),"")</f>
        <v/>
      </c>
      <c r="F681" t="str">
        <f>IFERROR(IF(D681="","",VLOOKUP(D681,CadProd!$A:$C,3,0)),"")</f>
        <v/>
      </c>
      <c r="I681" s="1" t="str">
        <f t="shared" si="10"/>
        <v/>
      </c>
    </row>
    <row r="682" spans="5:9" x14ac:dyDescent="0.3">
      <c r="E682" t="str">
        <f>IFERROR(IF(D682="","",VLOOKUP(D682,CadProd!$A:$B,2,0)),"")</f>
        <v/>
      </c>
      <c r="F682" t="str">
        <f>IFERROR(IF(D682="","",VLOOKUP(D682,CadProd!$A:$C,3,0)),"")</f>
        <v/>
      </c>
      <c r="I682" s="1" t="str">
        <f t="shared" si="10"/>
        <v/>
      </c>
    </row>
    <row r="683" spans="5:9" x14ac:dyDescent="0.3">
      <c r="E683" t="str">
        <f>IFERROR(IF(D683="","",VLOOKUP(D683,CadProd!$A:$B,2,0)),"")</f>
        <v/>
      </c>
      <c r="F683" t="str">
        <f>IFERROR(IF(D683="","",VLOOKUP(D683,CadProd!$A:$C,3,0)),"")</f>
        <v/>
      </c>
      <c r="I683" s="1" t="str">
        <f t="shared" si="10"/>
        <v/>
      </c>
    </row>
    <row r="684" spans="5:9" x14ac:dyDescent="0.3">
      <c r="E684" t="str">
        <f>IFERROR(IF(D684="","",VLOOKUP(D684,CadProd!$A:$B,2,0)),"")</f>
        <v/>
      </c>
      <c r="F684" t="str">
        <f>IFERROR(IF(D684="","",VLOOKUP(D684,CadProd!$A:$C,3,0)),"")</f>
        <v/>
      </c>
      <c r="I684" s="1" t="str">
        <f t="shared" si="10"/>
        <v/>
      </c>
    </row>
    <row r="685" spans="5:9" x14ac:dyDescent="0.3">
      <c r="E685" t="str">
        <f>IFERROR(IF(D685="","",VLOOKUP(D685,CadProd!$A:$B,2,0)),"")</f>
        <v/>
      </c>
      <c r="F685" t="str">
        <f>IFERROR(IF(D685="","",VLOOKUP(D685,CadProd!$A:$C,3,0)),"")</f>
        <v/>
      </c>
      <c r="I685" s="1" t="str">
        <f t="shared" si="10"/>
        <v/>
      </c>
    </row>
    <row r="686" spans="5:9" x14ac:dyDescent="0.3">
      <c r="E686" t="str">
        <f>IFERROR(IF(D686="","",VLOOKUP(D686,CadProd!$A:$B,2,0)),"")</f>
        <v/>
      </c>
      <c r="F686" t="str">
        <f>IFERROR(IF(D686="","",VLOOKUP(D686,CadProd!$A:$C,3,0)),"")</f>
        <v/>
      </c>
      <c r="I686" s="1" t="str">
        <f t="shared" si="10"/>
        <v/>
      </c>
    </row>
    <row r="687" spans="5:9" x14ac:dyDescent="0.3">
      <c r="E687" t="str">
        <f>IFERROR(IF(D687="","",VLOOKUP(D687,CadProd!$A:$B,2,0)),"")</f>
        <v/>
      </c>
      <c r="F687" t="str">
        <f>IFERROR(IF(D687="","",VLOOKUP(D687,CadProd!$A:$C,3,0)),"")</f>
        <v/>
      </c>
      <c r="I687" s="1" t="str">
        <f t="shared" si="10"/>
        <v/>
      </c>
    </row>
    <row r="688" spans="5:9" x14ac:dyDescent="0.3">
      <c r="E688" t="str">
        <f>IFERROR(IF(D688="","",VLOOKUP(D688,CadProd!$A:$B,2,0)),"")</f>
        <v/>
      </c>
      <c r="F688" t="str">
        <f>IFERROR(IF(D688="","",VLOOKUP(D688,CadProd!$A:$C,3,0)),"")</f>
        <v/>
      </c>
      <c r="I688" s="1" t="str">
        <f t="shared" si="10"/>
        <v/>
      </c>
    </row>
    <row r="689" spans="5:9" x14ac:dyDescent="0.3">
      <c r="E689" t="str">
        <f>IFERROR(IF(D689="","",VLOOKUP(D689,CadProd!$A:$B,2,0)),"")</f>
        <v/>
      </c>
      <c r="F689" t="str">
        <f>IFERROR(IF(D689="","",VLOOKUP(D689,CadProd!$A:$C,3,0)),"")</f>
        <v/>
      </c>
      <c r="I689" s="1" t="str">
        <f t="shared" si="10"/>
        <v/>
      </c>
    </row>
    <row r="690" spans="5:9" x14ac:dyDescent="0.3">
      <c r="E690" t="str">
        <f>IFERROR(IF(D690="","",VLOOKUP(D690,CadProd!$A:$B,2,0)),"")</f>
        <v/>
      </c>
      <c r="F690" t="str">
        <f>IFERROR(IF(D690="","",VLOOKUP(D690,CadProd!$A:$C,3,0)),"")</f>
        <v/>
      </c>
      <c r="I690" s="1" t="str">
        <f t="shared" si="10"/>
        <v/>
      </c>
    </row>
    <row r="691" spans="5:9" x14ac:dyDescent="0.3">
      <c r="E691" t="str">
        <f>IFERROR(IF(D691="","",VLOOKUP(D691,CadProd!$A:$B,2,0)),"")</f>
        <v/>
      </c>
      <c r="F691" t="str">
        <f>IFERROR(IF(D691="","",VLOOKUP(D691,CadProd!$A:$C,3,0)),"")</f>
        <v/>
      </c>
      <c r="I691" s="1" t="str">
        <f t="shared" si="10"/>
        <v/>
      </c>
    </row>
    <row r="692" spans="5:9" x14ac:dyDescent="0.3">
      <c r="E692" t="str">
        <f>IFERROR(IF(D692="","",VLOOKUP(D692,CadProd!$A:$B,2,0)),"")</f>
        <v/>
      </c>
      <c r="F692" t="str">
        <f>IFERROR(IF(D692="","",VLOOKUP(D692,CadProd!$A:$C,3,0)),"")</f>
        <v/>
      </c>
      <c r="I692" s="1" t="str">
        <f t="shared" si="10"/>
        <v/>
      </c>
    </row>
    <row r="693" spans="5:9" x14ac:dyDescent="0.3">
      <c r="E693" t="str">
        <f>IFERROR(IF(D693="","",VLOOKUP(D693,CadProd!$A:$B,2,0)),"")</f>
        <v/>
      </c>
      <c r="F693" t="str">
        <f>IFERROR(IF(D693="","",VLOOKUP(D693,CadProd!$A:$C,3,0)),"")</f>
        <v/>
      </c>
      <c r="I693" s="1" t="str">
        <f t="shared" si="10"/>
        <v/>
      </c>
    </row>
    <row r="694" spans="5:9" x14ac:dyDescent="0.3">
      <c r="E694" t="str">
        <f>IFERROR(IF(D694="","",VLOOKUP(D694,CadProd!$A:$B,2,0)),"")</f>
        <v/>
      </c>
      <c r="F694" t="str">
        <f>IFERROR(IF(D694="","",VLOOKUP(D694,CadProd!$A:$C,3,0)),"")</f>
        <v/>
      </c>
      <c r="I694" s="1" t="str">
        <f t="shared" si="10"/>
        <v/>
      </c>
    </row>
    <row r="695" spans="5:9" x14ac:dyDescent="0.3">
      <c r="E695" t="str">
        <f>IFERROR(IF(D695="","",VLOOKUP(D695,CadProd!$A:$B,2,0)),"")</f>
        <v/>
      </c>
      <c r="F695" t="str">
        <f>IFERROR(IF(D695="","",VLOOKUP(D695,CadProd!$A:$C,3,0)),"")</f>
        <v/>
      </c>
      <c r="I695" s="1" t="str">
        <f t="shared" si="10"/>
        <v/>
      </c>
    </row>
    <row r="696" spans="5:9" x14ac:dyDescent="0.3">
      <c r="E696" t="str">
        <f>IFERROR(IF(D696="","",VLOOKUP(D696,CadProd!$A:$B,2,0)),"")</f>
        <v/>
      </c>
      <c r="F696" t="str">
        <f>IFERROR(IF(D696="","",VLOOKUP(D696,CadProd!$A:$C,3,0)),"")</f>
        <v/>
      </c>
      <c r="I696" s="1" t="str">
        <f t="shared" si="10"/>
        <v/>
      </c>
    </row>
    <row r="697" spans="5:9" x14ac:dyDescent="0.3">
      <c r="E697" t="str">
        <f>IFERROR(IF(D697="","",VLOOKUP(D697,CadProd!$A:$B,2,0)),"")</f>
        <v/>
      </c>
      <c r="F697" t="str">
        <f>IFERROR(IF(D697="","",VLOOKUP(D697,CadProd!$A:$C,3,0)),"")</f>
        <v/>
      </c>
      <c r="I697" s="1" t="str">
        <f t="shared" si="10"/>
        <v/>
      </c>
    </row>
    <row r="698" spans="5:9" x14ac:dyDescent="0.3">
      <c r="E698" t="str">
        <f>IFERROR(IF(D698="","",VLOOKUP(D698,CadProd!$A:$B,2,0)),"")</f>
        <v/>
      </c>
      <c r="F698" t="str">
        <f>IFERROR(IF(D698="","",VLOOKUP(D698,CadProd!$A:$C,3,0)),"")</f>
        <v/>
      </c>
      <c r="I698" s="1" t="str">
        <f t="shared" si="10"/>
        <v/>
      </c>
    </row>
    <row r="699" spans="5:9" x14ac:dyDescent="0.3">
      <c r="E699" t="str">
        <f>IFERROR(IF(D699="","",VLOOKUP(D699,CadProd!$A:$B,2,0)),"")</f>
        <v/>
      </c>
      <c r="F699" t="str">
        <f>IFERROR(IF(D699="","",VLOOKUP(D699,CadProd!$A:$C,3,0)),"")</f>
        <v/>
      </c>
      <c r="I699" s="1" t="str">
        <f t="shared" si="10"/>
        <v/>
      </c>
    </row>
    <row r="700" spans="5:9" x14ac:dyDescent="0.3">
      <c r="E700" t="str">
        <f>IFERROR(IF(D700="","",VLOOKUP(D700,CadProd!$A:$B,2,0)),"")</f>
        <v/>
      </c>
      <c r="F700" t="str">
        <f>IFERROR(IF(D700="","",VLOOKUP(D700,CadProd!$A:$C,3,0)),"")</f>
        <v/>
      </c>
      <c r="I700" s="1" t="str">
        <f t="shared" si="10"/>
        <v/>
      </c>
    </row>
    <row r="701" spans="5:9" x14ac:dyDescent="0.3">
      <c r="E701" t="str">
        <f>IFERROR(IF(D701="","",VLOOKUP(D701,CadProd!$A:$B,2,0)),"")</f>
        <v/>
      </c>
      <c r="F701" t="str">
        <f>IFERROR(IF(D701="","",VLOOKUP(D701,CadProd!$A:$C,3,0)),"")</f>
        <v/>
      </c>
      <c r="I701" s="1" t="str">
        <f t="shared" si="10"/>
        <v/>
      </c>
    </row>
    <row r="702" spans="5:9" x14ac:dyDescent="0.3">
      <c r="E702" t="str">
        <f>IFERROR(IF(D702="","",VLOOKUP(D702,CadProd!$A:$B,2,0)),"")</f>
        <v/>
      </c>
      <c r="F702" t="str">
        <f>IFERROR(IF(D702="","",VLOOKUP(D702,CadProd!$A:$C,3,0)),"")</f>
        <v/>
      </c>
      <c r="I702" s="1" t="str">
        <f t="shared" si="10"/>
        <v/>
      </c>
    </row>
    <row r="703" spans="5:9" x14ac:dyDescent="0.3">
      <c r="E703" t="str">
        <f>IFERROR(IF(D703="","",VLOOKUP(D703,CadProd!$A:$B,2,0)),"")</f>
        <v/>
      </c>
      <c r="F703" t="str">
        <f>IFERROR(IF(D703="","",VLOOKUP(D703,CadProd!$A:$C,3,0)),"")</f>
        <v/>
      </c>
      <c r="I703" s="1" t="str">
        <f t="shared" si="10"/>
        <v/>
      </c>
    </row>
    <row r="704" spans="5:9" x14ac:dyDescent="0.3">
      <c r="E704" t="str">
        <f>IFERROR(IF(D704="","",VLOOKUP(D704,CadProd!$A:$B,2,0)),"")</f>
        <v/>
      </c>
      <c r="F704" t="str">
        <f>IFERROR(IF(D704="","",VLOOKUP(D704,CadProd!$A:$C,3,0)),"")</f>
        <v/>
      </c>
      <c r="I704" s="1" t="str">
        <f t="shared" si="10"/>
        <v/>
      </c>
    </row>
    <row r="705" spans="5:9" x14ac:dyDescent="0.3">
      <c r="E705" t="str">
        <f>IFERROR(IF(D705="","",VLOOKUP(D705,CadProd!$A:$B,2,0)),"")</f>
        <v/>
      </c>
      <c r="F705" t="str">
        <f>IFERROR(IF(D705="","",VLOOKUP(D705,CadProd!$A:$C,3,0)),"")</f>
        <v/>
      </c>
      <c r="I705" s="1" t="str">
        <f t="shared" si="10"/>
        <v/>
      </c>
    </row>
    <row r="706" spans="5:9" x14ac:dyDescent="0.3">
      <c r="E706" t="str">
        <f>IFERROR(IF(D706="","",VLOOKUP(D706,CadProd!$A:$B,2,0)),"")</f>
        <v/>
      </c>
      <c r="F706" t="str">
        <f>IFERROR(IF(D706="","",VLOOKUP(D706,CadProd!$A:$C,3,0)),"")</f>
        <v/>
      </c>
      <c r="I706" s="1" t="str">
        <f t="shared" ref="I706:I769" si="11">IFERROR(IF(D706="","",H706*G706),"")</f>
        <v/>
      </c>
    </row>
    <row r="707" spans="5:9" x14ac:dyDescent="0.3">
      <c r="E707" t="str">
        <f>IFERROR(IF(D707="","",VLOOKUP(D707,CadProd!$A:$B,2,0)),"")</f>
        <v/>
      </c>
      <c r="F707" t="str">
        <f>IFERROR(IF(D707="","",VLOOKUP(D707,CadProd!$A:$C,3,0)),"")</f>
        <v/>
      </c>
      <c r="I707" s="1" t="str">
        <f t="shared" si="11"/>
        <v/>
      </c>
    </row>
    <row r="708" spans="5:9" x14ac:dyDescent="0.3">
      <c r="E708" t="str">
        <f>IFERROR(IF(D708="","",VLOOKUP(D708,CadProd!$A:$B,2,0)),"")</f>
        <v/>
      </c>
      <c r="F708" t="str">
        <f>IFERROR(IF(D708="","",VLOOKUP(D708,CadProd!$A:$C,3,0)),"")</f>
        <v/>
      </c>
      <c r="I708" s="1" t="str">
        <f t="shared" si="11"/>
        <v/>
      </c>
    </row>
    <row r="709" spans="5:9" x14ac:dyDescent="0.3">
      <c r="E709" t="str">
        <f>IFERROR(IF(D709="","",VLOOKUP(D709,CadProd!$A:$B,2,0)),"")</f>
        <v/>
      </c>
      <c r="F709" t="str">
        <f>IFERROR(IF(D709="","",VLOOKUP(D709,CadProd!$A:$C,3,0)),"")</f>
        <v/>
      </c>
      <c r="I709" s="1" t="str">
        <f t="shared" si="11"/>
        <v/>
      </c>
    </row>
    <row r="710" spans="5:9" x14ac:dyDescent="0.3">
      <c r="E710" t="str">
        <f>IFERROR(IF(D710="","",VLOOKUP(D710,CadProd!$A:$B,2,0)),"")</f>
        <v/>
      </c>
      <c r="F710" t="str">
        <f>IFERROR(IF(D710="","",VLOOKUP(D710,CadProd!$A:$C,3,0)),"")</f>
        <v/>
      </c>
      <c r="I710" s="1" t="str">
        <f t="shared" si="11"/>
        <v/>
      </c>
    </row>
    <row r="711" spans="5:9" x14ac:dyDescent="0.3">
      <c r="E711" t="str">
        <f>IFERROR(IF(D711="","",VLOOKUP(D711,CadProd!$A:$B,2,0)),"")</f>
        <v/>
      </c>
      <c r="F711" t="str">
        <f>IFERROR(IF(D711="","",VLOOKUP(D711,CadProd!$A:$C,3,0)),"")</f>
        <v/>
      </c>
      <c r="I711" s="1" t="str">
        <f t="shared" si="11"/>
        <v/>
      </c>
    </row>
    <row r="712" spans="5:9" x14ac:dyDescent="0.3">
      <c r="E712" t="str">
        <f>IFERROR(IF(D712="","",VLOOKUP(D712,CadProd!$A:$B,2,0)),"")</f>
        <v/>
      </c>
      <c r="F712" t="str">
        <f>IFERROR(IF(D712="","",VLOOKUP(D712,CadProd!$A:$C,3,0)),"")</f>
        <v/>
      </c>
      <c r="I712" s="1" t="str">
        <f t="shared" si="11"/>
        <v/>
      </c>
    </row>
    <row r="713" spans="5:9" x14ac:dyDescent="0.3">
      <c r="E713" t="str">
        <f>IFERROR(IF(D713="","",VLOOKUP(D713,CadProd!$A:$B,2,0)),"")</f>
        <v/>
      </c>
      <c r="F713" t="str">
        <f>IFERROR(IF(D713="","",VLOOKUP(D713,CadProd!$A:$C,3,0)),"")</f>
        <v/>
      </c>
      <c r="I713" s="1" t="str">
        <f t="shared" si="11"/>
        <v/>
      </c>
    </row>
    <row r="714" spans="5:9" x14ac:dyDescent="0.3">
      <c r="E714" t="str">
        <f>IFERROR(IF(D714="","",VLOOKUP(D714,CadProd!$A:$B,2,0)),"")</f>
        <v/>
      </c>
      <c r="F714" t="str">
        <f>IFERROR(IF(D714="","",VLOOKUP(D714,CadProd!$A:$C,3,0)),"")</f>
        <v/>
      </c>
      <c r="I714" s="1" t="str">
        <f t="shared" si="11"/>
        <v/>
      </c>
    </row>
    <row r="715" spans="5:9" x14ac:dyDescent="0.3">
      <c r="E715" t="str">
        <f>IFERROR(IF(D715="","",VLOOKUP(D715,CadProd!$A:$B,2,0)),"")</f>
        <v/>
      </c>
      <c r="F715" t="str">
        <f>IFERROR(IF(D715="","",VLOOKUP(D715,CadProd!$A:$C,3,0)),"")</f>
        <v/>
      </c>
      <c r="I715" s="1" t="str">
        <f t="shared" si="11"/>
        <v/>
      </c>
    </row>
    <row r="716" spans="5:9" x14ac:dyDescent="0.3">
      <c r="E716" t="str">
        <f>IFERROR(IF(D716="","",VLOOKUP(D716,CadProd!$A:$B,2,0)),"")</f>
        <v/>
      </c>
      <c r="F716" t="str">
        <f>IFERROR(IF(D716="","",VLOOKUP(D716,CadProd!$A:$C,3,0)),"")</f>
        <v/>
      </c>
      <c r="I716" s="1" t="str">
        <f t="shared" si="11"/>
        <v/>
      </c>
    </row>
    <row r="717" spans="5:9" x14ac:dyDescent="0.3">
      <c r="E717" t="str">
        <f>IFERROR(IF(D717="","",VLOOKUP(D717,CadProd!$A:$B,2,0)),"")</f>
        <v/>
      </c>
      <c r="F717" t="str">
        <f>IFERROR(IF(D717="","",VLOOKUP(D717,CadProd!$A:$C,3,0)),"")</f>
        <v/>
      </c>
      <c r="I717" s="1" t="str">
        <f t="shared" si="11"/>
        <v/>
      </c>
    </row>
    <row r="718" spans="5:9" x14ac:dyDescent="0.3">
      <c r="E718" t="str">
        <f>IFERROR(IF(D718="","",VLOOKUP(D718,CadProd!$A:$B,2,0)),"")</f>
        <v/>
      </c>
      <c r="F718" t="str">
        <f>IFERROR(IF(D718="","",VLOOKUP(D718,CadProd!$A:$C,3,0)),"")</f>
        <v/>
      </c>
      <c r="I718" s="1" t="str">
        <f t="shared" si="11"/>
        <v/>
      </c>
    </row>
    <row r="719" spans="5:9" x14ac:dyDescent="0.3">
      <c r="E719" t="str">
        <f>IFERROR(IF(D719="","",VLOOKUP(D719,CadProd!$A:$B,2,0)),"")</f>
        <v/>
      </c>
      <c r="F719" t="str">
        <f>IFERROR(IF(D719="","",VLOOKUP(D719,CadProd!$A:$C,3,0)),"")</f>
        <v/>
      </c>
      <c r="I719" s="1" t="str">
        <f t="shared" si="11"/>
        <v/>
      </c>
    </row>
    <row r="720" spans="5:9" x14ac:dyDescent="0.3">
      <c r="E720" t="str">
        <f>IFERROR(IF(D720="","",VLOOKUP(D720,CadProd!$A:$B,2,0)),"")</f>
        <v/>
      </c>
      <c r="F720" t="str">
        <f>IFERROR(IF(D720="","",VLOOKUP(D720,CadProd!$A:$C,3,0)),"")</f>
        <v/>
      </c>
      <c r="I720" s="1" t="str">
        <f t="shared" si="11"/>
        <v/>
      </c>
    </row>
    <row r="721" spans="5:9" x14ac:dyDescent="0.3">
      <c r="E721" t="str">
        <f>IFERROR(IF(D721="","",VLOOKUP(D721,CadProd!$A:$B,2,0)),"")</f>
        <v/>
      </c>
      <c r="F721" t="str">
        <f>IFERROR(IF(D721="","",VLOOKUP(D721,CadProd!$A:$C,3,0)),"")</f>
        <v/>
      </c>
      <c r="I721" s="1" t="str">
        <f t="shared" si="11"/>
        <v/>
      </c>
    </row>
    <row r="722" spans="5:9" x14ac:dyDescent="0.3">
      <c r="E722" t="str">
        <f>IFERROR(IF(D722="","",VLOOKUP(D722,CadProd!$A:$B,2,0)),"")</f>
        <v/>
      </c>
      <c r="F722" t="str">
        <f>IFERROR(IF(D722="","",VLOOKUP(D722,CadProd!$A:$C,3,0)),"")</f>
        <v/>
      </c>
      <c r="I722" s="1" t="str">
        <f t="shared" si="11"/>
        <v/>
      </c>
    </row>
    <row r="723" spans="5:9" x14ac:dyDescent="0.3">
      <c r="E723" t="str">
        <f>IFERROR(IF(D723="","",VLOOKUP(D723,CadProd!$A:$B,2,0)),"")</f>
        <v/>
      </c>
      <c r="F723" t="str">
        <f>IFERROR(IF(D723="","",VLOOKUP(D723,CadProd!$A:$C,3,0)),"")</f>
        <v/>
      </c>
      <c r="I723" s="1" t="str">
        <f t="shared" si="11"/>
        <v/>
      </c>
    </row>
    <row r="724" spans="5:9" x14ac:dyDescent="0.3">
      <c r="E724" t="str">
        <f>IFERROR(IF(D724="","",VLOOKUP(D724,CadProd!$A:$B,2,0)),"")</f>
        <v/>
      </c>
      <c r="F724" t="str">
        <f>IFERROR(IF(D724="","",VLOOKUP(D724,CadProd!$A:$C,3,0)),"")</f>
        <v/>
      </c>
      <c r="I724" s="1" t="str">
        <f t="shared" si="11"/>
        <v/>
      </c>
    </row>
    <row r="725" spans="5:9" x14ac:dyDescent="0.3">
      <c r="E725" t="str">
        <f>IFERROR(IF(D725="","",VLOOKUP(D725,CadProd!$A:$B,2,0)),"")</f>
        <v/>
      </c>
      <c r="F725" t="str">
        <f>IFERROR(IF(D725="","",VLOOKUP(D725,CadProd!$A:$C,3,0)),"")</f>
        <v/>
      </c>
      <c r="I725" s="1" t="str">
        <f t="shared" si="11"/>
        <v/>
      </c>
    </row>
    <row r="726" spans="5:9" x14ac:dyDescent="0.3">
      <c r="E726" t="str">
        <f>IFERROR(IF(D726="","",VLOOKUP(D726,CadProd!$A:$B,2,0)),"")</f>
        <v/>
      </c>
      <c r="F726" t="str">
        <f>IFERROR(IF(D726="","",VLOOKUP(D726,CadProd!$A:$C,3,0)),"")</f>
        <v/>
      </c>
      <c r="I726" s="1" t="str">
        <f t="shared" si="11"/>
        <v/>
      </c>
    </row>
    <row r="727" spans="5:9" x14ac:dyDescent="0.3">
      <c r="E727" t="str">
        <f>IFERROR(IF(D727="","",VLOOKUP(D727,CadProd!$A:$B,2,0)),"")</f>
        <v/>
      </c>
      <c r="F727" t="str">
        <f>IFERROR(IF(D727="","",VLOOKUP(D727,CadProd!$A:$C,3,0)),"")</f>
        <v/>
      </c>
      <c r="I727" s="1" t="str">
        <f t="shared" si="11"/>
        <v/>
      </c>
    </row>
    <row r="728" spans="5:9" x14ac:dyDescent="0.3">
      <c r="E728" t="str">
        <f>IFERROR(IF(D728="","",VLOOKUP(D728,CadProd!$A:$B,2,0)),"")</f>
        <v/>
      </c>
      <c r="F728" t="str">
        <f>IFERROR(IF(D728="","",VLOOKUP(D728,CadProd!$A:$C,3,0)),"")</f>
        <v/>
      </c>
      <c r="I728" s="1" t="str">
        <f t="shared" si="11"/>
        <v/>
      </c>
    </row>
    <row r="729" spans="5:9" x14ac:dyDescent="0.3">
      <c r="E729" t="str">
        <f>IFERROR(IF(D729="","",VLOOKUP(D729,CadProd!$A:$B,2,0)),"")</f>
        <v/>
      </c>
      <c r="F729" t="str">
        <f>IFERROR(IF(D729="","",VLOOKUP(D729,CadProd!$A:$C,3,0)),"")</f>
        <v/>
      </c>
      <c r="I729" s="1" t="str">
        <f t="shared" si="11"/>
        <v/>
      </c>
    </row>
    <row r="730" spans="5:9" x14ac:dyDescent="0.3">
      <c r="E730" t="str">
        <f>IFERROR(IF(D730="","",VLOOKUP(D730,CadProd!$A:$B,2,0)),"")</f>
        <v/>
      </c>
      <c r="F730" t="str">
        <f>IFERROR(IF(D730="","",VLOOKUP(D730,CadProd!$A:$C,3,0)),"")</f>
        <v/>
      </c>
      <c r="I730" s="1" t="str">
        <f t="shared" si="11"/>
        <v/>
      </c>
    </row>
    <row r="731" spans="5:9" x14ac:dyDescent="0.3">
      <c r="E731" t="str">
        <f>IFERROR(IF(D731="","",VLOOKUP(D731,CadProd!$A:$B,2,0)),"")</f>
        <v/>
      </c>
      <c r="F731" t="str">
        <f>IFERROR(IF(D731="","",VLOOKUP(D731,CadProd!$A:$C,3,0)),"")</f>
        <v/>
      </c>
      <c r="I731" s="1" t="str">
        <f t="shared" si="11"/>
        <v/>
      </c>
    </row>
    <row r="732" spans="5:9" x14ac:dyDescent="0.3">
      <c r="E732" t="str">
        <f>IFERROR(IF(D732="","",VLOOKUP(D732,CadProd!$A:$B,2,0)),"")</f>
        <v/>
      </c>
      <c r="F732" t="str">
        <f>IFERROR(IF(D732="","",VLOOKUP(D732,CadProd!$A:$C,3,0)),"")</f>
        <v/>
      </c>
      <c r="I732" s="1" t="str">
        <f t="shared" si="11"/>
        <v/>
      </c>
    </row>
    <row r="733" spans="5:9" x14ac:dyDescent="0.3">
      <c r="E733" t="str">
        <f>IFERROR(IF(D733="","",VLOOKUP(D733,CadProd!$A:$B,2,0)),"")</f>
        <v/>
      </c>
      <c r="F733" t="str">
        <f>IFERROR(IF(D733="","",VLOOKUP(D733,CadProd!$A:$C,3,0)),"")</f>
        <v/>
      </c>
      <c r="I733" s="1" t="str">
        <f t="shared" si="11"/>
        <v/>
      </c>
    </row>
    <row r="734" spans="5:9" x14ac:dyDescent="0.3">
      <c r="E734" t="str">
        <f>IFERROR(IF(D734="","",VLOOKUP(D734,CadProd!$A:$B,2,0)),"")</f>
        <v/>
      </c>
      <c r="F734" t="str">
        <f>IFERROR(IF(D734="","",VLOOKUP(D734,CadProd!$A:$C,3,0)),"")</f>
        <v/>
      </c>
      <c r="I734" s="1" t="str">
        <f t="shared" si="11"/>
        <v/>
      </c>
    </row>
    <row r="735" spans="5:9" x14ac:dyDescent="0.3">
      <c r="E735" t="str">
        <f>IFERROR(IF(D735="","",VLOOKUP(D735,CadProd!$A:$B,2,0)),"")</f>
        <v/>
      </c>
      <c r="F735" t="str">
        <f>IFERROR(IF(D735="","",VLOOKUP(D735,CadProd!$A:$C,3,0)),"")</f>
        <v/>
      </c>
      <c r="I735" s="1" t="str">
        <f t="shared" si="11"/>
        <v/>
      </c>
    </row>
    <row r="736" spans="5:9" x14ac:dyDescent="0.3">
      <c r="E736" t="str">
        <f>IFERROR(IF(D736="","",VLOOKUP(D736,CadProd!$A:$B,2,0)),"")</f>
        <v/>
      </c>
      <c r="F736" t="str">
        <f>IFERROR(IF(D736="","",VLOOKUP(D736,CadProd!$A:$C,3,0)),"")</f>
        <v/>
      </c>
      <c r="I736" s="1" t="str">
        <f t="shared" si="11"/>
        <v/>
      </c>
    </row>
    <row r="737" spans="5:9" x14ac:dyDescent="0.3">
      <c r="E737" t="str">
        <f>IFERROR(IF(D737="","",VLOOKUP(D737,CadProd!$A:$B,2,0)),"")</f>
        <v/>
      </c>
      <c r="F737" t="str">
        <f>IFERROR(IF(D737="","",VLOOKUP(D737,CadProd!$A:$C,3,0)),"")</f>
        <v/>
      </c>
      <c r="I737" s="1" t="str">
        <f t="shared" si="11"/>
        <v/>
      </c>
    </row>
    <row r="738" spans="5:9" x14ac:dyDescent="0.3">
      <c r="E738" t="str">
        <f>IFERROR(IF(D738="","",VLOOKUP(D738,CadProd!$A:$B,2,0)),"")</f>
        <v/>
      </c>
      <c r="F738" t="str">
        <f>IFERROR(IF(D738="","",VLOOKUP(D738,CadProd!$A:$C,3,0)),"")</f>
        <v/>
      </c>
      <c r="I738" s="1" t="str">
        <f t="shared" si="11"/>
        <v/>
      </c>
    </row>
    <row r="739" spans="5:9" x14ac:dyDescent="0.3">
      <c r="E739" t="str">
        <f>IFERROR(IF(D739="","",VLOOKUP(D739,CadProd!$A:$B,2,0)),"")</f>
        <v/>
      </c>
      <c r="F739" t="str">
        <f>IFERROR(IF(D739="","",VLOOKUP(D739,CadProd!$A:$C,3,0)),"")</f>
        <v/>
      </c>
      <c r="I739" s="1" t="str">
        <f t="shared" si="11"/>
        <v/>
      </c>
    </row>
    <row r="740" spans="5:9" x14ac:dyDescent="0.3">
      <c r="E740" t="str">
        <f>IFERROR(IF(D740="","",VLOOKUP(D740,CadProd!$A:$B,2,0)),"")</f>
        <v/>
      </c>
      <c r="F740" t="str">
        <f>IFERROR(IF(D740="","",VLOOKUP(D740,CadProd!$A:$C,3,0)),"")</f>
        <v/>
      </c>
      <c r="I740" s="1" t="str">
        <f t="shared" si="11"/>
        <v/>
      </c>
    </row>
    <row r="741" spans="5:9" x14ac:dyDescent="0.3">
      <c r="E741" t="str">
        <f>IFERROR(IF(D741="","",VLOOKUP(D741,CadProd!$A:$B,2,0)),"")</f>
        <v/>
      </c>
      <c r="F741" t="str">
        <f>IFERROR(IF(D741="","",VLOOKUP(D741,CadProd!$A:$C,3,0)),"")</f>
        <v/>
      </c>
      <c r="I741" s="1" t="str">
        <f t="shared" si="11"/>
        <v/>
      </c>
    </row>
    <row r="742" spans="5:9" x14ac:dyDescent="0.3">
      <c r="E742" t="str">
        <f>IFERROR(IF(D742="","",VLOOKUP(D742,CadProd!$A:$B,2,0)),"")</f>
        <v/>
      </c>
      <c r="F742" t="str">
        <f>IFERROR(IF(D742="","",VLOOKUP(D742,CadProd!$A:$C,3,0)),"")</f>
        <v/>
      </c>
      <c r="I742" s="1" t="str">
        <f t="shared" si="11"/>
        <v/>
      </c>
    </row>
    <row r="743" spans="5:9" x14ac:dyDescent="0.3">
      <c r="E743" t="str">
        <f>IFERROR(IF(D743="","",VLOOKUP(D743,CadProd!$A:$B,2,0)),"")</f>
        <v/>
      </c>
      <c r="F743" t="str">
        <f>IFERROR(IF(D743="","",VLOOKUP(D743,CadProd!$A:$C,3,0)),"")</f>
        <v/>
      </c>
      <c r="I743" s="1" t="str">
        <f t="shared" si="11"/>
        <v/>
      </c>
    </row>
    <row r="744" spans="5:9" x14ac:dyDescent="0.3">
      <c r="E744" t="str">
        <f>IFERROR(IF(D744="","",VLOOKUP(D744,CadProd!$A:$B,2,0)),"")</f>
        <v/>
      </c>
      <c r="F744" t="str">
        <f>IFERROR(IF(D744="","",VLOOKUP(D744,CadProd!$A:$C,3,0)),"")</f>
        <v/>
      </c>
      <c r="I744" s="1" t="str">
        <f t="shared" si="11"/>
        <v/>
      </c>
    </row>
    <row r="745" spans="5:9" x14ac:dyDescent="0.3">
      <c r="E745" t="str">
        <f>IFERROR(IF(D745="","",VLOOKUP(D745,CadProd!$A:$B,2,0)),"")</f>
        <v/>
      </c>
      <c r="F745" t="str">
        <f>IFERROR(IF(D745="","",VLOOKUP(D745,CadProd!$A:$C,3,0)),"")</f>
        <v/>
      </c>
      <c r="I745" s="1" t="str">
        <f t="shared" si="11"/>
        <v/>
      </c>
    </row>
    <row r="746" spans="5:9" x14ac:dyDescent="0.3">
      <c r="E746" t="str">
        <f>IFERROR(IF(D746="","",VLOOKUP(D746,CadProd!$A:$B,2,0)),"")</f>
        <v/>
      </c>
      <c r="F746" t="str">
        <f>IFERROR(IF(D746="","",VLOOKUP(D746,CadProd!$A:$C,3,0)),"")</f>
        <v/>
      </c>
      <c r="I746" s="1" t="str">
        <f t="shared" si="11"/>
        <v/>
      </c>
    </row>
    <row r="747" spans="5:9" x14ac:dyDescent="0.3">
      <c r="E747" t="str">
        <f>IFERROR(IF(D747="","",VLOOKUP(D747,CadProd!$A:$B,2,0)),"")</f>
        <v/>
      </c>
      <c r="F747" t="str">
        <f>IFERROR(IF(D747="","",VLOOKUP(D747,CadProd!$A:$C,3,0)),"")</f>
        <v/>
      </c>
      <c r="I747" s="1" t="str">
        <f t="shared" si="11"/>
        <v/>
      </c>
    </row>
    <row r="748" spans="5:9" x14ac:dyDescent="0.3">
      <c r="E748" t="str">
        <f>IFERROR(IF(D748="","",VLOOKUP(D748,CadProd!$A:$B,2,0)),"")</f>
        <v/>
      </c>
      <c r="F748" t="str">
        <f>IFERROR(IF(D748="","",VLOOKUP(D748,CadProd!$A:$C,3,0)),"")</f>
        <v/>
      </c>
      <c r="I748" s="1" t="str">
        <f t="shared" si="11"/>
        <v/>
      </c>
    </row>
    <row r="749" spans="5:9" x14ac:dyDescent="0.3">
      <c r="E749" t="str">
        <f>IFERROR(IF(D749="","",VLOOKUP(D749,CadProd!$A:$B,2,0)),"")</f>
        <v/>
      </c>
      <c r="F749" t="str">
        <f>IFERROR(IF(D749="","",VLOOKUP(D749,CadProd!$A:$C,3,0)),"")</f>
        <v/>
      </c>
      <c r="I749" s="1" t="str">
        <f t="shared" si="11"/>
        <v/>
      </c>
    </row>
    <row r="750" spans="5:9" x14ac:dyDescent="0.3">
      <c r="E750" t="str">
        <f>IFERROR(IF(D750="","",VLOOKUP(D750,CadProd!$A:$B,2,0)),"")</f>
        <v/>
      </c>
      <c r="F750" t="str">
        <f>IFERROR(IF(D750="","",VLOOKUP(D750,CadProd!$A:$C,3,0)),"")</f>
        <v/>
      </c>
      <c r="I750" s="1" t="str">
        <f t="shared" si="11"/>
        <v/>
      </c>
    </row>
    <row r="751" spans="5:9" x14ac:dyDescent="0.3">
      <c r="E751" t="str">
        <f>IFERROR(IF(D751="","",VLOOKUP(D751,CadProd!$A:$B,2,0)),"")</f>
        <v/>
      </c>
      <c r="F751" t="str">
        <f>IFERROR(IF(D751="","",VLOOKUP(D751,CadProd!$A:$C,3,0)),"")</f>
        <v/>
      </c>
      <c r="I751" s="1" t="str">
        <f t="shared" si="11"/>
        <v/>
      </c>
    </row>
    <row r="752" spans="5:9" x14ac:dyDescent="0.3">
      <c r="E752" t="str">
        <f>IFERROR(IF(D752="","",VLOOKUP(D752,CadProd!$A:$B,2,0)),"")</f>
        <v/>
      </c>
      <c r="F752" t="str">
        <f>IFERROR(IF(D752="","",VLOOKUP(D752,CadProd!$A:$C,3,0)),"")</f>
        <v/>
      </c>
      <c r="I752" s="1" t="str">
        <f t="shared" si="11"/>
        <v/>
      </c>
    </row>
    <row r="753" spans="5:9" x14ac:dyDescent="0.3">
      <c r="E753" t="str">
        <f>IFERROR(IF(D753="","",VLOOKUP(D753,CadProd!$A:$B,2,0)),"")</f>
        <v/>
      </c>
      <c r="F753" t="str">
        <f>IFERROR(IF(D753="","",VLOOKUP(D753,CadProd!$A:$C,3,0)),"")</f>
        <v/>
      </c>
      <c r="I753" s="1" t="str">
        <f t="shared" si="11"/>
        <v/>
      </c>
    </row>
    <row r="754" spans="5:9" x14ac:dyDescent="0.3">
      <c r="E754" t="str">
        <f>IFERROR(IF(D754="","",VLOOKUP(D754,CadProd!$A:$B,2,0)),"")</f>
        <v/>
      </c>
      <c r="F754" t="str">
        <f>IFERROR(IF(D754="","",VLOOKUP(D754,CadProd!$A:$C,3,0)),"")</f>
        <v/>
      </c>
      <c r="I754" s="1" t="str">
        <f t="shared" si="11"/>
        <v/>
      </c>
    </row>
    <row r="755" spans="5:9" x14ac:dyDescent="0.3">
      <c r="E755" t="str">
        <f>IFERROR(IF(D755="","",VLOOKUP(D755,CadProd!$A:$B,2,0)),"")</f>
        <v/>
      </c>
      <c r="F755" t="str">
        <f>IFERROR(IF(D755="","",VLOOKUP(D755,CadProd!$A:$C,3,0)),"")</f>
        <v/>
      </c>
      <c r="I755" s="1" t="str">
        <f t="shared" si="11"/>
        <v/>
      </c>
    </row>
    <row r="756" spans="5:9" x14ac:dyDescent="0.3">
      <c r="E756" t="str">
        <f>IFERROR(IF(D756="","",VLOOKUP(D756,CadProd!$A:$B,2,0)),"")</f>
        <v/>
      </c>
      <c r="F756" t="str">
        <f>IFERROR(IF(D756="","",VLOOKUP(D756,CadProd!$A:$C,3,0)),"")</f>
        <v/>
      </c>
      <c r="I756" s="1" t="str">
        <f t="shared" si="11"/>
        <v/>
      </c>
    </row>
    <row r="757" spans="5:9" x14ac:dyDescent="0.3">
      <c r="E757" t="str">
        <f>IFERROR(IF(D757="","",VLOOKUP(D757,CadProd!$A:$B,2,0)),"")</f>
        <v/>
      </c>
      <c r="F757" t="str">
        <f>IFERROR(IF(D757="","",VLOOKUP(D757,CadProd!$A:$C,3,0)),"")</f>
        <v/>
      </c>
      <c r="I757" s="1" t="str">
        <f t="shared" si="11"/>
        <v/>
      </c>
    </row>
    <row r="758" spans="5:9" x14ac:dyDescent="0.3">
      <c r="E758" t="str">
        <f>IFERROR(IF(D758="","",VLOOKUP(D758,CadProd!$A:$B,2,0)),"")</f>
        <v/>
      </c>
      <c r="F758" t="str">
        <f>IFERROR(IF(D758="","",VLOOKUP(D758,CadProd!$A:$C,3,0)),"")</f>
        <v/>
      </c>
      <c r="I758" s="1" t="str">
        <f t="shared" si="11"/>
        <v/>
      </c>
    </row>
    <row r="759" spans="5:9" x14ac:dyDescent="0.3">
      <c r="E759" t="str">
        <f>IFERROR(IF(D759="","",VLOOKUP(D759,CadProd!$A:$B,2,0)),"")</f>
        <v/>
      </c>
      <c r="F759" t="str">
        <f>IFERROR(IF(D759="","",VLOOKUP(D759,CadProd!$A:$C,3,0)),"")</f>
        <v/>
      </c>
      <c r="I759" s="1" t="str">
        <f t="shared" si="11"/>
        <v/>
      </c>
    </row>
    <row r="760" spans="5:9" x14ac:dyDescent="0.3">
      <c r="E760" t="str">
        <f>IFERROR(IF(D760="","",VLOOKUP(D760,CadProd!$A:$B,2,0)),"")</f>
        <v/>
      </c>
      <c r="F760" t="str">
        <f>IFERROR(IF(D760="","",VLOOKUP(D760,CadProd!$A:$C,3,0)),"")</f>
        <v/>
      </c>
      <c r="I760" s="1" t="str">
        <f t="shared" si="11"/>
        <v/>
      </c>
    </row>
    <row r="761" spans="5:9" x14ac:dyDescent="0.3">
      <c r="E761" t="str">
        <f>IFERROR(IF(D761="","",VLOOKUP(D761,CadProd!$A:$B,2,0)),"")</f>
        <v/>
      </c>
      <c r="F761" t="str">
        <f>IFERROR(IF(D761="","",VLOOKUP(D761,CadProd!$A:$C,3,0)),"")</f>
        <v/>
      </c>
      <c r="I761" s="1" t="str">
        <f t="shared" si="11"/>
        <v/>
      </c>
    </row>
    <row r="762" spans="5:9" x14ac:dyDescent="0.3">
      <c r="E762" t="str">
        <f>IFERROR(IF(D762="","",VLOOKUP(D762,CadProd!$A:$B,2,0)),"")</f>
        <v/>
      </c>
      <c r="F762" t="str">
        <f>IFERROR(IF(D762="","",VLOOKUP(D762,CadProd!$A:$C,3,0)),"")</f>
        <v/>
      </c>
      <c r="I762" s="1" t="str">
        <f t="shared" si="11"/>
        <v/>
      </c>
    </row>
    <row r="763" spans="5:9" x14ac:dyDescent="0.3">
      <c r="E763" t="str">
        <f>IFERROR(IF(D763="","",VLOOKUP(D763,CadProd!$A:$B,2,0)),"")</f>
        <v/>
      </c>
      <c r="F763" t="str">
        <f>IFERROR(IF(D763="","",VLOOKUP(D763,CadProd!$A:$C,3,0)),"")</f>
        <v/>
      </c>
      <c r="I763" s="1" t="str">
        <f t="shared" si="11"/>
        <v/>
      </c>
    </row>
    <row r="764" spans="5:9" x14ac:dyDescent="0.3">
      <c r="E764" t="str">
        <f>IFERROR(IF(D764="","",VLOOKUP(D764,CadProd!$A:$B,2,0)),"")</f>
        <v/>
      </c>
      <c r="F764" t="str">
        <f>IFERROR(IF(D764="","",VLOOKUP(D764,CadProd!$A:$C,3,0)),"")</f>
        <v/>
      </c>
      <c r="I764" s="1" t="str">
        <f t="shared" si="11"/>
        <v/>
      </c>
    </row>
    <row r="765" spans="5:9" x14ac:dyDescent="0.3">
      <c r="E765" t="str">
        <f>IFERROR(IF(D765="","",VLOOKUP(D765,CadProd!$A:$B,2,0)),"")</f>
        <v/>
      </c>
      <c r="F765" t="str">
        <f>IFERROR(IF(D765="","",VLOOKUP(D765,CadProd!$A:$C,3,0)),"")</f>
        <v/>
      </c>
      <c r="I765" s="1" t="str">
        <f t="shared" si="11"/>
        <v/>
      </c>
    </row>
    <row r="766" spans="5:9" x14ac:dyDescent="0.3">
      <c r="E766" t="str">
        <f>IFERROR(IF(D766="","",VLOOKUP(D766,CadProd!$A:$B,2,0)),"")</f>
        <v/>
      </c>
      <c r="F766" t="str">
        <f>IFERROR(IF(D766="","",VLOOKUP(D766,CadProd!$A:$C,3,0)),"")</f>
        <v/>
      </c>
      <c r="I766" s="1" t="str">
        <f t="shared" si="11"/>
        <v/>
      </c>
    </row>
    <row r="767" spans="5:9" x14ac:dyDescent="0.3">
      <c r="E767" t="str">
        <f>IFERROR(IF(D767="","",VLOOKUP(D767,CadProd!$A:$B,2,0)),"")</f>
        <v/>
      </c>
      <c r="F767" t="str">
        <f>IFERROR(IF(D767="","",VLOOKUP(D767,CadProd!$A:$C,3,0)),"")</f>
        <v/>
      </c>
      <c r="I767" s="1" t="str">
        <f t="shared" si="11"/>
        <v/>
      </c>
    </row>
    <row r="768" spans="5:9" x14ac:dyDescent="0.3">
      <c r="E768" t="str">
        <f>IFERROR(IF(D768="","",VLOOKUP(D768,CadProd!$A:$B,2,0)),"")</f>
        <v/>
      </c>
      <c r="F768" t="str">
        <f>IFERROR(IF(D768="","",VLOOKUP(D768,CadProd!$A:$C,3,0)),"")</f>
        <v/>
      </c>
      <c r="I768" s="1" t="str">
        <f t="shared" si="11"/>
        <v/>
      </c>
    </row>
    <row r="769" spans="5:9" x14ac:dyDescent="0.3">
      <c r="E769" t="str">
        <f>IFERROR(IF(D769="","",VLOOKUP(D769,CadProd!$A:$B,2,0)),"")</f>
        <v/>
      </c>
      <c r="F769" t="str">
        <f>IFERROR(IF(D769="","",VLOOKUP(D769,CadProd!$A:$C,3,0)),"")</f>
        <v/>
      </c>
      <c r="I769" s="1" t="str">
        <f t="shared" si="11"/>
        <v/>
      </c>
    </row>
    <row r="770" spans="5:9" x14ac:dyDescent="0.3">
      <c r="E770" t="str">
        <f>IFERROR(IF(D770="","",VLOOKUP(D770,CadProd!$A:$B,2,0)),"")</f>
        <v/>
      </c>
      <c r="F770" t="str">
        <f>IFERROR(IF(D770="","",VLOOKUP(D770,CadProd!$A:$C,3,0)),"")</f>
        <v/>
      </c>
      <c r="I770" s="1" t="str">
        <f t="shared" ref="I770:I833" si="12">IFERROR(IF(D770="","",H770*G770),"")</f>
        <v/>
      </c>
    </row>
    <row r="771" spans="5:9" x14ac:dyDescent="0.3">
      <c r="E771" t="str">
        <f>IFERROR(IF(D771="","",VLOOKUP(D771,CadProd!$A:$B,2,0)),"")</f>
        <v/>
      </c>
      <c r="F771" t="str">
        <f>IFERROR(IF(D771="","",VLOOKUP(D771,CadProd!$A:$C,3,0)),"")</f>
        <v/>
      </c>
      <c r="I771" s="1" t="str">
        <f t="shared" si="12"/>
        <v/>
      </c>
    </row>
    <row r="772" spans="5:9" x14ac:dyDescent="0.3">
      <c r="E772" t="str">
        <f>IFERROR(IF(D772="","",VLOOKUP(D772,CadProd!$A:$B,2,0)),"")</f>
        <v/>
      </c>
      <c r="F772" t="str">
        <f>IFERROR(IF(D772="","",VLOOKUP(D772,CadProd!$A:$C,3,0)),"")</f>
        <v/>
      </c>
      <c r="I772" s="1" t="str">
        <f t="shared" si="12"/>
        <v/>
      </c>
    </row>
    <row r="773" spans="5:9" x14ac:dyDescent="0.3">
      <c r="E773" t="str">
        <f>IFERROR(IF(D773="","",VLOOKUP(D773,CadProd!$A:$B,2,0)),"")</f>
        <v/>
      </c>
      <c r="F773" t="str">
        <f>IFERROR(IF(D773="","",VLOOKUP(D773,CadProd!$A:$C,3,0)),"")</f>
        <v/>
      </c>
      <c r="I773" s="1" t="str">
        <f t="shared" si="12"/>
        <v/>
      </c>
    </row>
    <row r="774" spans="5:9" x14ac:dyDescent="0.3">
      <c r="E774" t="str">
        <f>IFERROR(IF(D774="","",VLOOKUP(D774,CadProd!$A:$B,2,0)),"")</f>
        <v/>
      </c>
      <c r="F774" t="str">
        <f>IFERROR(IF(D774="","",VLOOKUP(D774,CadProd!$A:$C,3,0)),"")</f>
        <v/>
      </c>
      <c r="I774" s="1" t="str">
        <f t="shared" si="12"/>
        <v/>
      </c>
    </row>
    <row r="775" spans="5:9" x14ac:dyDescent="0.3">
      <c r="E775" t="str">
        <f>IFERROR(IF(D775="","",VLOOKUP(D775,CadProd!$A:$B,2,0)),"")</f>
        <v/>
      </c>
      <c r="F775" t="str">
        <f>IFERROR(IF(D775="","",VLOOKUP(D775,CadProd!$A:$C,3,0)),"")</f>
        <v/>
      </c>
      <c r="I775" s="1" t="str">
        <f t="shared" si="12"/>
        <v/>
      </c>
    </row>
    <row r="776" spans="5:9" x14ac:dyDescent="0.3">
      <c r="E776" t="str">
        <f>IFERROR(IF(D776="","",VLOOKUP(D776,CadProd!$A:$B,2,0)),"")</f>
        <v/>
      </c>
      <c r="F776" t="str">
        <f>IFERROR(IF(D776="","",VLOOKUP(D776,CadProd!$A:$C,3,0)),"")</f>
        <v/>
      </c>
      <c r="I776" s="1" t="str">
        <f t="shared" si="12"/>
        <v/>
      </c>
    </row>
    <row r="777" spans="5:9" x14ac:dyDescent="0.3">
      <c r="E777" t="str">
        <f>IFERROR(IF(D777="","",VLOOKUP(D777,CadProd!$A:$B,2,0)),"")</f>
        <v/>
      </c>
      <c r="F777" t="str">
        <f>IFERROR(IF(D777="","",VLOOKUP(D777,CadProd!$A:$C,3,0)),"")</f>
        <v/>
      </c>
      <c r="I777" s="1" t="str">
        <f t="shared" si="12"/>
        <v/>
      </c>
    </row>
    <row r="778" spans="5:9" x14ac:dyDescent="0.3">
      <c r="E778" t="str">
        <f>IFERROR(IF(D778="","",VLOOKUP(D778,CadProd!$A:$B,2,0)),"")</f>
        <v/>
      </c>
      <c r="F778" t="str">
        <f>IFERROR(IF(D778="","",VLOOKUP(D778,CadProd!$A:$C,3,0)),"")</f>
        <v/>
      </c>
      <c r="I778" s="1" t="str">
        <f t="shared" si="12"/>
        <v/>
      </c>
    </row>
    <row r="779" spans="5:9" x14ac:dyDescent="0.3">
      <c r="E779" t="str">
        <f>IFERROR(IF(D779="","",VLOOKUP(D779,CadProd!$A:$B,2,0)),"")</f>
        <v/>
      </c>
      <c r="F779" t="str">
        <f>IFERROR(IF(D779="","",VLOOKUP(D779,CadProd!$A:$C,3,0)),"")</f>
        <v/>
      </c>
      <c r="I779" s="1" t="str">
        <f t="shared" si="12"/>
        <v/>
      </c>
    </row>
    <row r="780" spans="5:9" x14ac:dyDescent="0.3">
      <c r="E780" t="str">
        <f>IFERROR(IF(D780="","",VLOOKUP(D780,CadProd!$A:$B,2,0)),"")</f>
        <v/>
      </c>
      <c r="F780" t="str">
        <f>IFERROR(IF(D780="","",VLOOKUP(D780,CadProd!$A:$C,3,0)),"")</f>
        <v/>
      </c>
      <c r="I780" s="1" t="str">
        <f t="shared" si="12"/>
        <v/>
      </c>
    </row>
    <row r="781" spans="5:9" x14ac:dyDescent="0.3">
      <c r="E781" t="str">
        <f>IFERROR(IF(D781="","",VLOOKUP(D781,CadProd!$A:$B,2,0)),"")</f>
        <v/>
      </c>
      <c r="F781" t="str">
        <f>IFERROR(IF(D781="","",VLOOKUP(D781,CadProd!$A:$C,3,0)),"")</f>
        <v/>
      </c>
      <c r="I781" s="1" t="str">
        <f t="shared" si="12"/>
        <v/>
      </c>
    </row>
    <row r="782" spans="5:9" x14ac:dyDescent="0.3">
      <c r="E782" t="str">
        <f>IFERROR(IF(D782="","",VLOOKUP(D782,CadProd!$A:$B,2,0)),"")</f>
        <v/>
      </c>
      <c r="F782" t="str">
        <f>IFERROR(IF(D782="","",VLOOKUP(D782,CadProd!$A:$C,3,0)),"")</f>
        <v/>
      </c>
      <c r="I782" s="1" t="str">
        <f t="shared" si="12"/>
        <v/>
      </c>
    </row>
    <row r="783" spans="5:9" x14ac:dyDescent="0.3">
      <c r="E783" t="str">
        <f>IFERROR(IF(D783="","",VLOOKUP(D783,CadProd!$A:$B,2,0)),"")</f>
        <v/>
      </c>
      <c r="F783" t="str">
        <f>IFERROR(IF(D783="","",VLOOKUP(D783,CadProd!$A:$C,3,0)),"")</f>
        <v/>
      </c>
      <c r="I783" s="1" t="str">
        <f t="shared" si="12"/>
        <v/>
      </c>
    </row>
    <row r="784" spans="5:9" x14ac:dyDescent="0.3">
      <c r="E784" t="str">
        <f>IFERROR(IF(D784="","",VLOOKUP(D784,CadProd!$A:$B,2,0)),"")</f>
        <v/>
      </c>
      <c r="F784" t="str">
        <f>IFERROR(IF(D784="","",VLOOKUP(D784,CadProd!$A:$C,3,0)),"")</f>
        <v/>
      </c>
      <c r="I784" s="1" t="str">
        <f t="shared" si="12"/>
        <v/>
      </c>
    </row>
    <row r="785" spans="5:9" x14ac:dyDescent="0.3">
      <c r="E785" t="str">
        <f>IFERROR(IF(D785="","",VLOOKUP(D785,CadProd!$A:$B,2,0)),"")</f>
        <v/>
      </c>
      <c r="F785" t="str">
        <f>IFERROR(IF(D785="","",VLOOKUP(D785,CadProd!$A:$C,3,0)),"")</f>
        <v/>
      </c>
      <c r="I785" s="1" t="str">
        <f t="shared" si="12"/>
        <v/>
      </c>
    </row>
    <row r="786" spans="5:9" x14ac:dyDescent="0.3">
      <c r="E786" t="str">
        <f>IFERROR(IF(D786="","",VLOOKUP(D786,CadProd!$A:$B,2,0)),"")</f>
        <v/>
      </c>
      <c r="F786" t="str">
        <f>IFERROR(IF(D786="","",VLOOKUP(D786,CadProd!$A:$C,3,0)),"")</f>
        <v/>
      </c>
      <c r="I786" s="1" t="str">
        <f t="shared" si="12"/>
        <v/>
      </c>
    </row>
    <row r="787" spans="5:9" x14ac:dyDescent="0.3">
      <c r="E787" t="str">
        <f>IFERROR(IF(D787="","",VLOOKUP(D787,CadProd!$A:$B,2,0)),"")</f>
        <v/>
      </c>
      <c r="F787" t="str">
        <f>IFERROR(IF(D787="","",VLOOKUP(D787,CadProd!$A:$C,3,0)),"")</f>
        <v/>
      </c>
      <c r="I787" s="1" t="str">
        <f t="shared" si="12"/>
        <v/>
      </c>
    </row>
    <row r="788" spans="5:9" x14ac:dyDescent="0.3">
      <c r="E788" t="str">
        <f>IFERROR(IF(D788="","",VLOOKUP(D788,CadProd!$A:$B,2,0)),"")</f>
        <v/>
      </c>
      <c r="F788" t="str">
        <f>IFERROR(IF(D788="","",VLOOKUP(D788,CadProd!$A:$C,3,0)),"")</f>
        <v/>
      </c>
      <c r="I788" s="1" t="str">
        <f t="shared" si="12"/>
        <v/>
      </c>
    </row>
    <row r="789" spans="5:9" x14ac:dyDescent="0.3">
      <c r="E789" t="str">
        <f>IFERROR(IF(D789="","",VLOOKUP(D789,CadProd!$A:$B,2,0)),"")</f>
        <v/>
      </c>
      <c r="F789" t="str">
        <f>IFERROR(IF(D789="","",VLOOKUP(D789,CadProd!$A:$C,3,0)),"")</f>
        <v/>
      </c>
      <c r="I789" s="1" t="str">
        <f t="shared" si="12"/>
        <v/>
      </c>
    </row>
    <row r="790" spans="5:9" x14ac:dyDescent="0.3">
      <c r="E790" t="str">
        <f>IFERROR(IF(D790="","",VLOOKUP(D790,CadProd!$A:$B,2,0)),"")</f>
        <v/>
      </c>
      <c r="F790" t="str">
        <f>IFERROR(IF(D790="","",VLOOKUP(D790,CadProd!$A:$C,3,0)),"")</f>
        <v/>
      </c>
      <c r="I790" s="1" t="str">
        <f t="shared" si="12"/>
        <v/>
      </c>
    </row>
    <row r="791" spans="5:9" x14ac:dyDescent="0.3">
      <c r="E791" t="str">
        <f>IFERROR(IF(D791="","",VLOOKUP(D791,CadProd!$A:$B,2,0)),"")</f>
        <v/>
      </c>
      <c r="F791" t="str">
        <f>IFERROR(IF(D791="","",VLOOKUP(D791,CadProd!$A:$C,3,0)),"")</f>
        <v/>
      </c>
      <c r="I791" s="1" t="str">
        <f t="shared" si="12"/>
        <v/>
      </c>
    </row>
    <row r="792" spans="5:9" x14ac:dyDescent="0.3">
      <c r="E792" t="str">
        <f>IFERROR(IF(D792="","",VLOOKUP(D792,CadProd!$A:$B,2,0)),"")</f>
        <v/>
      </c>
      <c r="F792" t="str">
        <f>IFERROR(IF(D792="","",VLOOKUP(D792,CadProd!$A:$C,3,0)),"")</f>
        <v/>
      </c>
      <c r="I792" s="1" t="str">
        <f t="shared" si="12"/>
        <v/>
      </c>
    </row>
    <row r="793" spans="5:9" x14ac:dyDescent="0.3">
      <c r="E793" t="str">
        <f>IFERROR(IF(D793="","",VLOOKUP(D793,CadProd!$A:$B,2,0)),"")</f>
        <v/>
      </c>
      <c r="F793" t="str">
        <f>IFERROR(IF(D793="","",VLOOKUP(D793,CadProd!$A:$C,3,0)),"")</f>
        <v/>
      </c>
      <c r="I793" s="1" t="str">
        <f t="shared" si="12"/>
        <v/>
      </c>
    </row>
    <row r="794" spans="5:9" x14ac:dyDescent="0.3">
      <c r="E794" t="str">
        <f>IFERROR(IF(D794="","",VLOOKUP(D794,CadProd!$A:$B,2,0)),"")</f>
        <v/>
      </c>
      <c r="F794" t="str">
        <f>IFERROR(IF(D794="","",VLOOKUP(D794,CadProd!$A:$C,3,0)),"")</f>
        <v/>
      </c>
      <c r="I794" s="1" t="str">
        <f t="shared" si="12"/>
        <v/>
      </c>
    </row>
    <row r="795" spans="5:9" x14ac:dyDescent="0.3">
      <c r="E795" t="str">
        <f>IFERROR(IF(D795="","",VLOOKUP(D795,CadProd!$A:$B,2,0)),"")</f>
        <v/>
      </c>
      <c r="F795" t="str">
        <f>IFERROR(IF(D795="","",VLOOKUP(D795,CadProd!$A:$C,3,0)),"")</f>
        <v/>
      </c>
      <c r="I795" s="1" t="str">
        <f t="shared" si="12"/>
        <v/>
      </c>
    </row>
    <row r="796" spans="5:9" x14ac:dyDescent="0.3">
      <c r="E796" t="str">
        <f>IFERROR(IF(D796="","",VLOOKUP(D796,CadProd!$A:$B,2,0)),"")</f>
        <v/>
      </c>
      <c r="F796" t="str">
        <f>IFERROR(IF(D796="","",VLOOKUP(D796,CadProd!$A:$C,3,0)),"")</f>
        <v/>
      </c>
      <c r="I796" s="1" t="str">
        <f t="shared" si="12"/>
        <v/>
      </c>
    </row>
    <row r="797" spans="5:9" x14ac:dyDescent="0.3">
      <c r="E797" t="str">
        <f>IFERROR(IF(D797="","",VLOOKUP(D797,CadProd!$A:$B,2,0)),"")</f>
        <v/>
      </c>
      <c r="F797" t="str">
        <f>IFERROR(IF(D797="","",VLOOKUP(D797,CadProd!$A:$C,3,0)),"")</f>
        <v/>
      </c>
      <c r="I797" s="1" t="str">
        <f t="shared" si="12"/>
        <v/>
      </c>
    </row>
    <row r="798" spans="5:9" x14ac:dyDescent="0.3">
      <c r="E798" t="str">
        <f>IFERROR(IF(D798="","",VLOOKUP(D798,CadProd!$A:$B,2,0)),"")</f>
        <v/>
      </c>
      <c r="F798" t="str">
        <f>IFERROR(IF(D798="","",VLOOKUP(D798,CadProd!$A:$C,3,0)),"")</f>
        <v/>
      </c>
      <c r="I798" s="1" t="str">
        <f t="shared" si="12"/>
        <v/>
      </c>
    </row>
    <row r="799" spans="5:9" x14ac:dyDescent="0.3">
      <c r="E799" t="str">
        <f>IFERROR(IF(D799="","",VLOOKUP(D799,CadProd!$A:$B,2,0)),"")</f>
        <v/>
      </c>
      <c r="F799" t="str">
        <f>IFERROR(IF(D799="","",VLOOKUP(D799,CadProd!$A:$C,3,0)),"")</f>
        <v/>
      </c>
      <c r="I799" s="1" t="str">
        <f t="shared" si="12"/>
        <v/>
      </c>
    </row>
    <row r="800" spans="5:9" x14ac:dyDescent="0.3">
      <c r="E800" t="str">
        <f>IFERROR(IF(D800="","",VLOOKUP(D800,CadProd!$A:$B,2,0)),"")</f>
        <v/>
      </c>
      <c r="F800" t="str">
        <f>IFERROR(IF(D800="","",VLOOKUP(D800,CadProd!$A:$C,3,0)),"")</f>
        <v/>
      </c>
      <c r="I800" s="1" t="str">
        <f t="shared" si="12"/>
        <v/>
      </c>
    </row>
    <row r="801" spans="5:9" x14ac:dyDescent="0.3">
      <c r="E801" t="str">
        <f>IFERROR(IF(D801="","",VLOOKUP(D801,CadProd!$A:$B,2,0)),"")</f>
        <v/>
      </c>
      <c r="F801" t="str">
        <f>IFERROR(IF(D801="","",VLOOKUP(D801,CadProd!$A:$C,3,0)),"")</f>
        <v/>
      </c>
      <c r="I801" s="1" t="str">
        <f t="shared" si="12"/>
        <v/>
      </c>
    </row>
    <row r="802" spans="5:9" x14ac:dyDescent="0.3">
      <c r="E802" t="str">
        <f>IFERROR(IF(D802="","",VLOOKUP(D802,CadProd!$A:$B,2,0)),"")</f>
        <v/>
      </c>
      <c r="F802" t="str">
        <f>IFERROR(IF(D802="","",VLOOKUP(D802,CadProd!$A:$C,3,0)),"")</f>
        <v/>
      </c>
      <c r="I802" s="1" t="str">
        <f t="shared" si="12"/>
        <v/>
      </c>
    </row>
    <row r="803" spans="5:9" x14ac:dyDescent="0.3">
      <c r="E803" t="str">
        <f>IFERROR(IF(D803="","",VLOOKUP(D803,CadProd!$A:$B,2,0)),"")</f>
        <v/>
      </c>
      <c r="F803" t="str">
        <f>IFERROR(IF(D803="","",VLOOKUP(D803,CadProd!$A:$C,3,0)),"")</f>
        <v/>
      </c>
      <c r="I803" s="1" t="str">
        <f t="shared" si="12"/>
        <v/>
      </c>
    </row>
    <row r="804" spans="5:9" x14ac:dyDescent="0.3">
      <c r="E804" t="str">
        <f>IFERROR(IF(D804="","",VLOOKUP(D804,CadProd!$A:$B,2,0)),"")</f>
        <v/>
      </c>
      <c r="F804" t="str">
        <f>IFERROR(IF(D804="","",VLOOKUP(D804,CadProd!$A:$C,3,0)),"")</f>
        <v/>
      </c>
      <c r="I804" s="1" t="str">
        <f t="shared" si="12"/>
        <v/>
      </c>
    </row>
    <row r="805" spans="5:9" x14ac:dyDescent="0.3">
      <c r="E805" t="str">
        <f>IFERROR(IF(D805="","",VLOOKUP(D805,CadProd!$A:$B,2,0)),"")</f>
        <v/>
      </c>
      <c r="F805" t="str">
        <f>IFERROR(IF(D805="","",VLOOKUP(D805,CadProd!$A:$C,3,0)),"")</f>
        <v/>
      </c>
      <c r="I805" s="1" t="str">
        <f t="shared" si="12"/>
        <v/>
      </c>
    </row>
    <row r="806" spans="5:9" x14ac:dyDescent="0.3">
      <c r="E806" t="str">
        <f>IFERROR(IF(D806="","",VLOOKUP(D806,CadProd!$A:$B,2,0)),"")</f>
        <v/>
      </c>
      <c r="F806" t="str">
        <f>IFERROR(IF(D806="","",VLOOKUP(D806,CadProd!$A:$C,3,0)),"")</f>
        <v/>
      </c>
      <c r="I806" s="1" t="str">
        <f t="shared" si="12"/>
        <v/>
      </c>
    </row>
    <row r="807" spans="5:9" x14ac:dyDescent="0.3">
      <c r="E807" t="str">
        <f>IFERROR(IF(D807="","",VLOOKUP(D807,CadProd!$A:$B,2,0)),"")</f>
        <v/>
      </c>
      <c r="F807" t="str">
        <f>IFERROR(IF(D807="","",VLOOKUP(D807,CadProd!$A:$C,3,0)),"")</f>
        <v/>
      </c>
      <c r="I807" s="1" t="str">
        <f t="shared" si="12"/>
        <v/>
      </c>
    </row>
    <row r="808" spans="5:9" x14ac:dyDescent="0.3">
      <c r="E808" t="str">
        <f>IFERROR(IF(D808="","",VLOOKUP(D808,CadProd!$A:$B,2,0)),"")</f>
        <v/>
      </c>
      <c r="F808" t="str">
        <f>IFERROR(IF(D808="","",VLOOKUP(D808,CadProd!$A:$C,3,0)),"")</f>
        <v/>
      </c>
      <c r="I808" s="1" t="str">
        <f t="shared" si="12"/>
        <v/>
      </c>
    </row>
    <row r="809" spans="5:9" x14ac:dyDescent="0.3">
      <c r="E809" t="str">
        <f>IFERROR(IF(D809="","",VLOOKUP(D809,CadProd!$A:$B,2,0)),"")</f>
        <v/>
      </c>
      <c r="F809" t="str">
        <f>IFERROR(IF(D809="","",VLOOKUP(D809,CadProd!$A:$C,3,0)),"")</f>
        <v/>
      </c>
      <c r="I809" s="1" t="str">
        <f t="shared" si="12"/>
        <v/>
      </c>
    </row>
    <row r="810" spans="5:9" x14ac:dyDescent="0.3">
      <c r="E810" t="str">
        <f>IFERROR(IF(D810="","",VLOOKUP(D810,CadProd!$A:$B,2,0)),"")</f>
        <v/>
      </c>
      <c r="F810" t="str">
        <f>IFERROR(IF(D810="","",VLOOKUP(D810,CadProd!$A:$C,3,0)),"")</f>
        <v/>
      </c>
      <c r="I810" s="1" t="str">
        <f t="shared" si="12"/>
        <v/>
      </c>
    </row>
    <row r="811" spans="5:9" x14ac:dyDescent="0.3">
      <c r="E811" t="str">
        <f>IFERROR(IF(D811="","",VLOOKUP(D811,CadProd!$A:$B,2,0)),"")</f>
        <v/>
      </c>
      <c r="F811" t="str">
        <f>IFERROR(IF(D811="","",VLOOKUP(D811,CadProd!$A:$C,3,0)),"")</f>
        <v/>
      </c>
      <c r="I811" s="1" t="str">
        <f t="shared" si="12"/>
        <v/>
      </c>
    </row>
    <row r="812" spans="5:9" x14ac:dyDescent="0.3">
      <c r="E812" t="str">
        <f>IFERROR(IF(D812="","",VLOOKUP(D812,CadProd!$A:$B,2,0)),"")</f>
        <v/>
      </c>
      <c r="F812" t="str">
        <f>IFERROR(IF(D812="","",VLOOKUP(D812,CadProd!$A:$C,3,0)),"")</f>
        <v/>
      </c>
      <c r="I812" s="1" t="str">
        <f t="shared" si="12"/>
        <v/>
      </c>
    </row>
    <row r="813" spans="5:9" x14ac:dyDescent="0.3">
      <c r="E813" t="str">
        <f>IFERROR(IF(D813="","",VLOOKUP(D813,CadProd!$A:$B,2,0)),"")</f>
        <v/>
      </c>
      <c r="F813" t="str">
        <f>IFERROR(IF(D813="","",VLOOKUP(D813,CadProd!$A:$C,3,0)),"")</f>
        <v/>
      </c>
      <c r="I813" s="1" t="str">
        <f t="shared" si="12"/>
        <v/>
      </c>
    </row>
    <row r="814" spans="5:9" x14ac:dyDescent="0.3">
      <c r="E814" t="str">
        <f>IFERROR(IF(D814="","",VLOOKUP(D814,CadProd!$A:$B,2,0)),"")</f>
        <v/>
      </c>
      <c r="F814" t="str">
        <f>IFERROR(IF(D814="","",VLOOKUP(D814,CadProd!$A:$C,3,0)),"")</f>
        <v/>
      </c>
      <c r="I814" s="1" t="str">
        <f t="shared" si="12"/>
        <v/>
      </c>
    </row>
    <row r="815" spans="5:9" x14ac:dyDescent="0.3">
      <c r="E815" t="str">
        <f>IFERROR(IF(D815="","",VLOOKUP(D815,CadProd!$A:$B,2,0)),"")</f>
        <v/>
      </c>
      <c r="F815" t="str">
        <f>IFERROR(IF(D815="","",VLOOKUP(D815,CadProd!$A:$C,3,0)),"")</f>
        <v/>
      </c>
      <c r="I815" s="1" t="str">
        <f t="shared" si="12"/>
        <v/>
      </c>
    </row>
    <row r="816" spans="5:9" x14ac:dyDescent="0.3">
      <c r="E816" t="str">
        <f>IFERROR(IF(D816="","",VLOOKUP(D816,CadProd!$A:$B,2,0)),"")</f>
        <v/>
      </c>
      <c r="F816" t="str">
        <f>IFERROR(IF(D816="","",VLOOKUP(D816,CadProd!$A:$C,3,0)),"")</f>
        <v/>
      </c>
      <c r="I816" s="1" t="str">
        <f t="shared" si="12"/>
        <v/>
      </c>
    </row>
    <row r="817" spans="5:9" x14ac:dyDescent="0.3">
      <c r="E817" t="str">
        <f>IFERROR(IF(D817="","",VLOOKUP(D817,CadProd!$A:$B,2,0)),"")</f>
        <v/>
      </c>
      <c r="F817" t="str">
        <f>IFERROR(IF(D817="","",VLOOKUP(D817,CadProd!$A:$C,3,0)),"")</f>
        <v/>
      </c>
      <c r="I817" s="1" t="str">
        <f t="shared" si="12"/>
        <v/>
      </c>
    </row>
    <row r="818" spans="5:9" x14ac:dyDescent="0.3">
      <c r="E818" t="str">
        <f>IFERROR(IF(D818="","",VLOOKUP(D818,CadProd!$A:$B,2,0)),"")</f>
        <v/>
      </c>
      <c r="F818" t="str">
        <f>IFERROR(IF(D818="","",VLOOKUP(D818,CadProd!$A:$C,3,0)),"")</f>
        <v/>
      </c>
      <c r="I818" s="1" t="str">
        <f t="shared" si="12"/>
        <v/>
      </c>
    </row>
    <row r="819" spans="5:9" x14ac:dyDescent="0.3">
      <c r="E819" t="str">
        <f>IFERROR(IF(D819="","",VLOOKUP(D819,CadProd!$A:$B,2,0)),"")</f>
        <v/>
      </c>
      <c r="F819" t="str">
        <f>IFERROR(IF(D819="","",VLOOKUP(D819,CadProd!$A:$C,3,0)),"")</f>
        <v/>
      </c>
      <c r="I819" s="1" t="str">
        <f t="shared" si="12"/>
        <v/>
      </c>
    </row>
    <row r="820" spans="5:9" x14ac:dyDescent="0.3">
      <c r="E820" t="str">
        <f>IFERROR(IF(D820="","",VLOOKUP(D820,CadProd!$A:$B,2,0)),"")</f>
        <v/>
      </c>
      <c r="F820" t="str">
        <f>IFERROR(IF(D820="","",VLOOKUP(D820,CadProd!$A:$C,3,0)),"")</f>
        <v/>
      </c>
      <c r="I820" s="1" t="str">
        <f t="shared" si="12"/>
        <v/>
      </c>
    </row>
    <row r="821" spans="5:9" x14ac:dyDescent="0.3">
      <c r="E821" t="str">
        <f>IFERROR(IF(D821="","",VLOOKUP(D821,CadProd!$A:$B,2,0)),"")</f>
        <v/>
      </c>
      <c r="F821" t="str">
        <f>IFERROR(IF(D821="","",VLOOKUP(D821,CadProd!$A:$C,3,0)),"")</f>
        <v/>
      </c>
      <c r="I821" s="1" t="str">
        <f t="shared" si="12"/>
        <v/>
      </c>
    </row>
    <row r="822" spans="5:9" x14ac:dyDescent="0.3">
      <c r="E822" t="str">
        <f>IFERROR(IF(D822="","",VLOOKUP(D822,CadProd!$A:$B,2,0)),"")</f>
        <v/>
      </c>
      <c r="F822" t="str">
        <f>IFERROR(IF(D822="","",VLOOKUP(D822,CadProd!$A:$C,3,0)),"")</f>
        <v/>
      </c>
      <c r="I822" s="1" t="str">
        <f t="shared" si="12"/>
        <v/>
      </c>
    </row>
    <row r="823" spans="5:9" x14ac:dyDescent="0.3">
      <c r="E823" t="str">
        <f>IFERROR(IF(D823="","",VLOOKUP(D823,CadProd!$A:$B,2,0)),"")</f>
        <v/>
      </c>
      <c r="F823" t="str">
        <f>IFERROR(IF(D823="","",VLOOKUP(D823,CadProd!$A:$C,3,0)),"")</f>
        <v/>
      </c>
      <c r="I823" s="1" t="str">
        <f t="shared" si="12"/>
        <v/>
      </c>
    </row>
    <row r="824" spans="5:9" x14ac:dyDescent="0.3">
      <c r="E824" t="str">
        <f>IFERROR(IF(D824="","",VLOOKUP(D824,CadProd!$A:$B,2,0)),"")</f>
        <v/>
      </c>
      <c r="F824" t="str">
        <f>IFERROR(IF(D824="","",VLOOKUP(D824,CadProd!$A:$C,3,0)),"")</f>
        <v/>
      </c>
      <c r="I824" s="1" t="str">
        <f t="shared" si="12"/>
        <v/>
      </c>
    </row>
    <row r="825" spans="5:9" x14ac:dyDescent="0.3">
      <c r="E825" t="str">
        <f>IFERROR(IF(D825="","",VLOOKUP(D825,CadProd!$A:$B,2,0)),"")</f>
        <v/>
      </c>
      <c r="F825" t="str">
        <f>IFERROR(IF(D825="","",VLOOKUP(D825,CadProd!$A:$C,3,0)),"")</f>
        <v/>
      </c>
      <c r="I825" s="1" t="str">
        <f t="shared" si="12"/>
        <v/>
      </c>
    </row>
    <row r="826" spans="5:9" x14ac:dyDescent="0.3">
      <c r="E826" t="str">
        <f>IFERROR(IF(D826="","",VLOOKUP(D826,CadProd!$A:$B,2,0)),"")</f>
        <v/>
      </c>
      <c r="F826" t="str">
        <f>IFERROR(IF(D826="","",VLOOKUP(D826,CadProd!$A:$C,3,0)),"")</f>
        <v/>
      </c>
      <c r="I826" s="1" t="str">
        <f t="shared" si="12"/>
        <v/>
      </c>
    </row>
    <row r="827" spans="5:9" x14ac:dyDescent="0.3">
      <c r="E827" t="str">
        <f>IFERROR(IF(D827="","",VLOOKUP(D827,CadProd!$A:$B,2,0)),"")</f>
        <v/>
      </c>
      <c r="F827" t="str">
        <f>IFERROR(IF(D827="","",VLOOKUP(D827,CadProd!$A:$C,3,0)),"")</f>
        <v/>
      </c>
      <c r="I827" s="1" t="str">
        <f t="shared" si="12"/>
        <v/>
      </c>
    </row>
    <row r="828" spans="5:9" x14ac:dyDescent="0.3">
      <c r="E828" t="str">
        <f>IFERROR(IF(D828="","",VLOOKUP(D828,CadProd!$A:$B,2,0)),"")</f>
        <v/>
      </c>
      <c r="F828" t="str">
        <f>IFERROR(IF(D828="","",VLOOKUP(D828,CadProd!$A:$C,3,0)),"")</f>
        <v/>
      </c>
      <c r="I828" s="1" t="str">
        <f t="shared" si="12"/>
        <v/>
      </c>
    </row>
    <row r="829" spans="5:9" x14ac:dyDescent="0.3">
      <c r="E829" t="str">
        <f>IFERROR(IF(D829="","",VLOOKUP(D829,CadProd!$A:$B,2,0)),"")</f>
        <v/>
      </c>
      <c r="F829" t="str">
        <f>IFERROR(IF(D829="","",VLOOKUP(D829,CadProd!$A:$C,3,0)),"")</f>
        <v/>
      </c>
      <c r="I829" s="1" t="str">
        <f t="shared" si="12"/>
        <v/>
      </c>
    </row>
    <row r="830" spans="5:9" x14ac:dyDescent="0.3">
      <c r="E830" t="str">
        <f>IFERROR(IF(D830="","",VLOOKUP(D830,CadProd!$A:$B,2,0)),"")</f>
        <v/>
      </c>
      <c r="F830" t="str">
        <f>IFERROR(IF(D830="","",VLOOKUP(D830,CadProd!$A:$C,3,0)),"")</f>
        <v/>
      </c>
      <c r="I830" s="1" t="str">
        <f t="shared" si="12"/>
        <v/>
      </c>
    </row>
    <row r="831" spans="5:9" x14ac:dyDescent="0.3">
      <c r="E831" t="str">
        <f>IFERROR(IF(D831="","",VLOOKUP(D831,CadProd!$A:$B,2,0)),"")</f>
        <v/>
      </c>
      <c r="F831" t="str">
        <f>IFERROR(IF(D831="","",VLOOKUP(D831,CadProd!$A:$C,3,0)),"")</f>
        <v/>
      </c>
      <c r="I831" s="1" t="str">
        <f t="shared" si="12"/>
        <v/>
      </c>
    </row>
    <row r="832" spans="5:9" x14ac:dyDescent="0.3">
      <c r="E832" t="str">
        <f>IFERROR(IF(D832="","",VLOOKUP(D832,CadProd!$A:$B,2,0)),"")</f>
        <v/>
      </c>
      <c r="F832" t="str">
        <f>IFERROR(IF(D832="","",VLOOKUP(D832,CadProd!$A:$C,3,0)),"")</f>
        <v/>
      </c>
      <c r="I832" s="1" t="str">
        <f t="shared" si="12"/>
        <v/>
      </c>
    </row>
    <row r="833" spans="5:9" x14ac:dyDescent="0.3">
      <c r="E833" t="str">
        <f>IFERROR(IF(D833="","",VLOOKUP(D833,CadProd!$A:$B,2,0)),"")</f>
        <v/>
      </c>
      <c r="F833" t="str">
        <f>IFERROR(IF(D833="","",VLOOKUP(D833,CadProd!$A:$C,3,0)),"")</f>
        <v/>
      </c>
      <c r="I833" s="1" t="str">
        <f t="shared" si="12"/>
        <v/>
      </c>
    </row>
    <row r="834" spans="5:9" x14ac:dyDescent="0.3">
      <c r="E834" t="str">
        <f>IFERROR(IF(D834="","",VLOOKUP(D834,CadProd!$A:$B,2,0)),"")</f>
        <v/>
      </c>
      <c r="F834" t="str">
        <f>IFERROR(IF(D834="","",VLOOKUP(D834,CadProd!$A:$C,3,0)),"")</f>
        <v/>
      </c>
      <c r="I834" s="1" t="str">
        <f t="shared" ref="I834:I897" si="13">IFERROR(IF(D834="","",H834*G834),"")</f>
        <v/>
      </c>
    </row>
    <row r="835" spans="5:9" x14ac:dyDescent="0.3">
      <c r="E835" t="str">
        <f>IFERROR(IF(D835="","",VLOOKUP(D835,CadProd!$A:$B,2,0)),"")</f>
        <v/>
      </c>
      <c r="F835" t="str">
        <f>IFERROR(IF(D835="","",VLOOKUP(D835,CadProd!$A:$C,3,0)),"")</f>
        <v/>
      </c>
      <c r="I835" s="1" t="str">
        <f t="shared" si="13"/>
        <v/>
      </c>
    </row>
    <row r="836" spans="5:9" x14ac:dyDescent="0.3">
      <c r="E836" t="str">
        <f>IFERROR(IF(D836="","",VLOOKUP(D836,CadProd!$A:$B,2,0)),"")</f>
        <v/>
      </c>
      <c r="F836" t="str">
        <f>IFERROR(IF(D836="","",VLOOKUP(D836,CadProd!$A:$C,3,0)),"")</f>
        <v/>
      </c>
      <c r="I836" s="1" t="str">
        <f t="shared" si="13"/>
        <v/>
      </c>
    </row>
    <row r="837" spans="5:9" x14ac:dyDescent="0.3">
      <c r="E837" t="str">
        <f>IFERROR(IF(D837="","",VLOOKUP(D837,CadProd!$A:$B,2,0)),"")</f>
        <v/>
      </c>
      <c r="F837" t="str">
        <f>IFERROR(IF(D837="","",VLOOKUP(D837,CadProd!$A:$C,3,0)),"")</f>
        <v/>
      </c>
      <c r="I837" s="1" t="str">
        <f t="shared" si="13"/>
        <v/>
      </c>
    </row>
    <row r="838" spans="5:9" x14ac:dyDescent="0.3">
      <c r="E838" t="str">
        <f>IFERROR(IF(D838="","",VLOOKUP(D838,CadProd!$A:$B,2,0)),"")</f>
        <v/>
      </c>
      <c r="F838" t="str">
        <f>IFERROR(IF(D838="","",VLOOKUP(D838,CadProd!$A:$C,3,0)),"")</f>
        <v/>
      </c>
      <c r="I838" s="1" t="str">
        <f t="shared" si="13"/>
        <v/>
      </c>
    </row>
    <row r="839" spans="5:9" x14ac:dyDescent="0.3">
      <c r="E839" t="str">
        <f>IFERROR(IF(D839="","",VLOOKUP(D839,CadProd!$A:$B,2,0)),"")</f>
        <v/>
      </c>
      <c r="F839" t="str">
        <f>IFERROR(IF(D839="","",VLOOKUP(D839,CadProd!$A:$C,3,0)),"")</f>
        <v/>
      </c>
      <c r="I839" s="1" t="str">
        <f t="shared" si="13"/>
        <v/>
      </c>
    </row>
    <row r="840" spans="5:9" x14ac:dyDescent="0.3">
      <c r="E840" t="str">
        <f>IFERROR(IF(D840="","",VLOOKUP(D840,CadProd!$A:$B,2,0)),"")</f>
        <v/>
      </c>
      <c r="F840" t="str">
        <f>IFERROR(IF(D840="","",VLOOKUP(D840,CadProd!$A:$C,3,0)),"")</f>
        <v/>
      </c>
      <c r="I840" s="1" t="str">
        <f t="shared" si="13"/>
        <v/>
      </c>
    </row>
    <row r="841" spans="5:9" x14ac:dyDescent="0.3">
      <c r="E841" t="str">
        <f>IFERROR(IF(D841="","",VLOOKUP(D841,CadProd!$A:$B,2,0)),"")</f>
        <v/>
      </c>
      <c r="F841" t="str">
        <f>IFERROR(IF(D841="","",VLOOKUP(D841,CadProd!$A:$C,3,0)),"")</f>
        <v/>
      </c>
      <c r="I841" s="1" t="str">
        <f t="shared" si="13"/>
        <v/>
      </c>
    </row>
    <row r="842" spans="5:9" x14ac:dyDescent="0.3">
      <c r="E842" t="str">
        <f>IFERROR(IF(D842="","",VLOOKUP(D842,CadProd!$A:$B,2,0)),"")</f>
        <v/>
      </c>
      <c r="F842" t="str">
        <f>IFERROR(IF(D842="","",VLOOKUP(D842,CadProd!$A:$C,3,0)),"")</f>
        <v/>
      </c>
      <c r="I842" s="1" t="str">
        <f t="shared" si="13"/>
        <v/>
      </c>
    </row>
    <row r="843" spans="5:9" x14ac:dyDescent="0.3">
      <c r="E843" t="str">
        <f>IFERROR(IF(D843="","",VLOOKUP(D843,CadProd!$A:$B,2,0)),"")</f>
        <v/>
      </c>
      <c r="F843" t="str">
        <f>IFERROR(IF(D843="","",VLOOKUP(D843,CadProd!$A:$C,3,0)),"")</f>
        <v/>
      </c>
      <c r="I843" s="1" t="str">
        <f t="shared" si="13"/>
        <v/>
      </c>
    </row>
    <row r="844" spans="5:9" x14ac:dyDescent="0.3">
      <c r="E844" t="str">
        <f>IFERROR(IF(D844="","",VLOOKUP(D844,CadProd!$A:$B,2,0)),"")</f>
        <v/>
      </c>
      <c r="F844" t="str">
        <f>IFERROR(IF(D844="","",VLOOKUP(D844,CadProd!$A:$C,3,0)),"")</f>
        <v/>
      </c>
      <c r="I844" s="1" t="str">
        <f t="shared" si="13"/>
        <v/>
      </c>
    </row>
    <row r="845" spans="5:9" x14ac:dyDescent="0.3">
      <c r="E845" t="str">
        <f>IFERROR(IF(D845="","",VLOOKUP(D845,CadProd!$A:$B,2,0)),"")</f>
        <v/>
      </c>
      <c r="F845" t="str">
        <f>IFERROR(IF(D845="","",VLOOKUP(D845,CadProd!$A:$C,3,0)),"")</f>
        <v/>
      </c>
      <c r="I845" s="1" t="str">
        <f t="shared" si="13"/>
        <v/>
      </c>
    </row>
    <row r="846" spans="5:9" x14ac:dyDescent="0.3">
      <c r="E846" t="str">
        <f>IFERROR(IF(D846="","",VLOOKUP(D846,CadProd!$A:$B,2,0)),"")</f>
        <v/>
      </c>
      <c r="F846" t="str">
        <f>IFERROR(IF(D846="","",VLOOKUP(D846,CadProd!$A:$C,3,0)),"")</f>
        <v/>
      </c>
      <c r="I846" s="1" t="str">
        <f t="shared" si="13"/>
        <v/>
      </c>
    </row>
    <row r="847" spans="5:9" x14ac:dyDescent="0.3">
      <c r="E847" t="str">
        <f>IFERROR(IF(D847="","",VLOOKUP(D847,CadProd!$A:$B,2,0)),"")</f>
        <v/>
      </c>
      <c r="F847" t="str">
        <f>IFERROR(IF(D847="","",VLOOKUP(D847,CadProd!$A:$C,3,0)),"")</f>
        <v/>
      </c>
      <c r="I847" s="1" t="str">
        <f t="shared" si="13"/>
        <v/>
      </c>
    </row>
    <row r="848" spans="5:9" x14ac:dyDescent="0.3">
      <c r="E848" t="str">
        <f>IFERROR(IF(D848="","",VLOOKUP(D848,CadProd!$A:$B,2,0)),"")</f>
        <v/>
      </c>
      <c r="F848" t="str">
        <f>IFERROR(IF(D848="","",VLOOKUP(D848,CadProd!$A:$C,3,0)),"")</f>
        <v/>
      </c>
      <c r="I848" s="1" t="str">
        <f t="shared" si="13"/>
        <v/>
      </c>
    </row>
    <row r="849" spans="5:9" x14ac:dyDescent="0.3">
      <c r="E849" t="str">
        <f>IFERROR(IF(D849="","",VLOOKUP(D849,CadProd!$A:$B,2,0)),"")</f>
        <v/>
      </c>
      <c r="F849" t="str">
        <f>IFERROR(IF(D849="","",VLOOKUP(D849,CadProd!$A:$C,3,0)),"")</f>
        <v/>
      </c>
      <c r="I849" s="1" t="str">
        <f t="shared" si="13"/>
        <v/>
      </c>
    </row>
    <row r="850" spans="5:9" x14ac:dyDescent="0.3">
      <c r="E850" t="str">
        <f>IFERROR(IF(D850="","",VLOOKUP(D850,CadProd!$A:$B,2,0)),"")</f>
        <v/>
      </c>
      <c r="F850" t="str">
        <f>IFERROR(IF(D850="","",VLOOKUP(D850,CadProd!$A:$C,3,0)),"")</f>
        <v/>
      </c>
      <c r="I850" s="1" t="str">
        <f t="shared" si="13"/>
        <v/>
      </c>
    </row>
    <row r="851" spans="5:9" x14ac:dyDescent="0.3">
      <c r="E851" t="str">
        <f>IFERROR(IF(D851="","",VLOOKUP(D851,CadProd!$A:$B,2,0)),"")</f>
        <v/>
      </c>
      <c r="F851" t="str">
        <f>IFERROR(IF(D851="","",VLOOKUP(D851,CadProd!$A:$C,3,0)),"")</f>
        <v/>
      </c>
      <c r="I851" s="1" t="str">
        <f t="shared" si="13"/>
        <v/>
      </c>
    </row>
    <row r="852" spans="5:9" x14ac:dyDescent="0.3">
      <c r="E852" t="str">
        <f>IFERROR(IF(D852="","",VLOOKUP(D852,CadProd!$A:$B,2,0)),"")</f>
        <v/>
      </c>
      <c r="F852" t="str">
        <f>IFERROR(IF(D852="","",VLOOKUP(D852,CadProd!$A:$C,3,0)),"")</f>
        <v/>
      </c>
      <c r="I852" s="1" t="str">
        <f t="shared" si="13"/>
        <v/>
      </c>
    </row>
    <row r="853" spans="5:9" x14ac:dyDescent="0.3">
      <c r="E853" t="str">
        <f>IFERROR(IF(D853="","",VLOOKUP(D853,CadProd!$A:$B,2,0)),"")</f>
        <v/>
      </c>
      <c r="F853" t="str">
        <f>IFERROR(IF(D853="","",VLOOKUP(D853,CadProd!$A:$C,3,0)),"")</f>
        <v/>
      </c>
      <c r="I853" s="1" t="str">
        <f t="shared" si="13"/>
        <v/>
      </c>
    </row>
    <row r="854" spans="5:9" x14ac:dyDescent="0.3">
      <c r="E854" t="str">
        <f>IFERROR(IF(D854="","",VLOOKUP(D854,CadProd!$A:$B,2,0)),"")</f>
        <v/>
      </c>
      <c r="F854" t="str">
        <f>IFERROR(IF(D854="","",VLOOKUP(D854,CadProd!$A:$C,3,0)),"")</f>
        <v/>
      </c>
      <c r="I854" s="1" t="str">
        <f t="shared" si="13"/>
        <v/>
      </c>
    </row>
    <row r="855" spans="5:9" x14ac:dyDescent="0.3">
      <c r="E855" t="str">
        <f>IFERROR(IF(D855="","",VLOOKUP(D855,CadProd!$A:$B,2,0)),"")</f>
        <v/>
      </c>
      <c r="F855" t="str">
        <f>IFERROR(IF(D855="","",VLOOKUP(D855,CadProd!$A:$C,3,0)),"")</f>
        <v/>
      </c>
      <c r="I855" s="1" t="str">
        <f t="shared" si="13"/>
        <v/>
      </c>
    </row>
    <row r="856" spans="5:9" x14ac:dyDescent="0.3">
      <c r="E856" t="str">
        <f>IFERROR(IF(D856="","",VLOOKUP(D856,CadProd!$A:$B,2,0)),"")</f>
        <v/>
      </c>
      <c r="F856" t="str">
        <f>IFERROR(IF(D856="","",VLOOKUP(D856,CadProd!$A:$C,3,0)),"")</f>
        <v/>
      </c>
      <c r="I856" s="1" t="str">
        <f t="shared" si="13"/>
        <v/>
      </c>
    </row>
    <row r="857" spans="5:9" x14ac:dyDescent="0.3">
      <c r="E857" t="str">
        <f>IFERROR(IF(D857="","",VLOOKUP(D857,CadProd!$A:$B,2,0)),"")</f>
        <v/>
      </c>
      <c r="F857" t="str">
        <f>IFERROR(IF(D857="","",VLOOKUP(D857,CadProd!$A:$C,3,0)),"")</f>
        <v/>
      </c>
      <c r="I857" s="1" t="str">
        <f t="shared" si="13"/>
        <v/>
      </c>
    </row>
    <row r="858" spans="5:9" x14ac:dyDescent="0.3">
      <c r="E858" t="str">
        <f>IFERROR(IF(D858="","",VLOOKUP(D858,CadProd!$A:$B,2,0)),"")</f>
        <v/>
      </c>
      <c r="F858" t="str">
        <f>IFERROR(IF(D858="","",VLOOKUP(D858,CadProd!$A:$C,3,0)),"")</f>
        <v/>
      </c>
      <c r="I858" s="1" t="str">
        <f t="shared" si="13"/>
        <v/>
      </c>
    </row>
    <row r="859" spans="5:9" x14ac:dyDescent="0.3">
      <c r="E859" t="str">
        <f>IFERROR(IF(D859="","",VLOOKUP(D859,CadProd!$A:$B,2,0)),"")</f>
        <v/>
      </c>
      <c r="F859" t="str">
        <f>IFERROR(IF(D859="","",VLOOKUP(D859,CadProd!$A:$C,3,0)),"")</f>
        <v/>
      </c>
      <c r="I859" s="1" t="str">
        <f t="shared" si="13"/>
        <v/>
      </c>
    </row>
    <row r="860" spans="5:9" x14ac:dyDescent="0.3">
      <c r="E860" t="str">
        <f>IFERROR(IF(D860="","",VLOOKUP(D860,CadProd!$A:$B,2,0)),"")</f>
        <v/>
      </c>
      <c r="F860" t="str">
        <f>IFERROR(IF(D860="","",VLOOKUP(D860,CadProd!$A:$C,3,0)),"")</f>
        <v/>
      </c>
      <c r="I860" s="1" t="str">
        <f t="shared" si="13"/>
        <v/>
      </c>
    </row>
    <row r="861" spans="5:9" x14ac:dyDescent="0.3">
      <c r="E861" t="str">
        <f>IFERROR(IF(D861="","",VLOOKUP(D861,CadProd!$A:$B,2,0)),"")</f>
        <v/>
      </c>
      <c r="F861" t="str">
        <f>IFERROR(IF(D861="","",VLOOKUP(D861,CadProd!$A:$C,3,0)),"")</f>
        <v/>
      </c>
      <c r="I861" s="1" t="str">
        <f t="shared" si="13"/>
        <v/>
      </c>
    </row>
    <row r="862" spans="5:9" x14ac:dyDescent="0.3">
      <c r="E862" t="str">
        <f>IFERROR(IF(D862="","",VLOOKUP(D862,CadProd!$A:$B,2,0)),"")</f>
        <v/>
      </c>
      <c r="F862" t="str">
        <f>IFERROR(IF(D862="","",VLOOKUP(D862,CadProd!$A:$C,3,0)),"")</f>
        <v/>
      </c>
      <c r="I862" s="1" t="str">
        <f t="shared" si="13"/>
        <v/>
      </c>
    </row>
    <row r="863" spans="5:9" x14ac:dyDescent="0.3">
      <c r="E863" t="str">
        <f>IFERROR(IF(D863="","",VLOOKUP(D863,CadProd!$A:$B,2,0)),"")</f>
        <v/>
      </c>
      <c r="F863" t="str">
        <f>IFERROR(IF(D863="","",VLOOKUP(D863,CadProd!$A:$C,3,0)),"")</f>
        <v/>
      </c>
      <c r="I863" s="1" t="str">
        <f t="shared" si="13"/>
        <v/>
      </c>
    </row>
    <row r="864" spans="5:9" x14ac:dyDescent="0.3">
      <c r="E864" t="str">
        <f>IFERROR(IF(D864="","",VLOOKUP(D864,CadProd!$A:$B,2,0)),"")</f>
        <v/>
      </c>
      <c r="F864" t="str">
        <f>IFERROR(IF(D864="","",VLOOKUP(D864,CadProd!$A:$C,3,0)),"")</f>
        <v/>
      </c>
      <c r="I864" s="1" t="str">
        <f t="shared" si="13"/>
        <v/>
      </c>
    </row>
    <row r="865" spans="5:9" x14ac:dyDescent="0.3">
      <c r="E865" t="str">
        <f>IFERROR(IF(D865="","",VLOOKUP(D865,CadProd!$A:$B,2,0)),"")</f>
        <v/>
      </c>
      <c r="F865" t="str">
        <f>IFERROR(IF(D865="","",VLOOKUP(D865,CadProd!$A:$C,3,0)),"")</f>
        <v/>
      </c>
      <c r="I865" s="1" t="str">
        <f t="shared" si="13"/>
        <v/>
      </c>
    </row>
    <row r="866" spans="5:9" x14ac:dyDescent="0.3">
      <c r="E866" t="str">
        <f>IFERROR(IF(D866="","",VLOOKUP(D866,CadProd!$A:$B,2,0)),"")</f>
        <v/>
      </c>
      <c r="F866" t="str">
        <f>IFERROR(IF(D866="","",VLOOKUP(D866,CadProd!$A:$C,3,0)),"")</f>
        <v/>
      </c>
      <c r="I866" s="1" t="str">
        <f t="shared" si="13"/>
        <v/>
      </c>
    </row>
    <row r="867" spans="5:9" x14ac:dyDescent="0.3">
      <c r="E867" t="str">
        <f>IFERROR(IF(D867="","",VLOOKUP(D867,CadProd!$A:$B,2,0)),"")</f>
        <v/>
      </c>
      <c r="F867" t="str">
        <f>IFERROR(IF(D867="","",VLOOKUP(D867,CadProd!$A:$C,3,0)),"")</f>
        <v/>
      </c>
      <c r="I867" s="1" t="str">
        <f t="shared" si="13"/>
        <v/>
      </c>
    </row>
    <row r="868" spans="5:9" x14ac:dyDescent="0.3">
      <c r="E868" t="str">
        <f>IFERROR(IF(D868="","",VLOOKUP(D868,CadProd!$A:$B,2,0)),"")</f>
        <v/>
      </c>
      <c r="F868" t="str">
        <f>IFERROR(IF(D868="","",VLOOKUP(D868,CadProd!$A:$C,3,0)),"")</f>
        <v/>
      </c>
      <c r="I868" s="1" t="str">
        <f t="shared" si="13"/>
        <v/>
      </c>
    </row>
    <row r="869" spans="5:9" x14ac:dyDescent="0.3">
      <c r="E869" t="str">
        <f>IFERROR(IF(D869="","",VLOOKUP(D869,CadProd!$A:$B,2,0)),"")</f>
        <v/>
      </c>
      <c r="F869" t="str">
        <f>IFERROR(IF(D869="","",VLOOKUP(D869,CadProd!$A:$C,3,0)),"")</f>
        <v/>
      </c>
      <c r="I869" s="1" t="str">
        <f t="shared" si="13"/>
        <v/>
      </c>
    </row>
    <row r="870" spans="5:9" x14ac:dyDescent="0.3">
      <c r="E870" t="str">
        <f>IFERROR(IF(D870="","",VLOOKUP(D870,CadProd!$A:$B,2,0)),"")</f>
        <v/>
      </c>
      <c r="F870" t="str">
        <f>IFERROR(IF(D870="","",VLOOKUP(D870,CadProd!$A:$C,3,0)),"")</f>
        <v/>
      </c>
      <c r="I870" s="1" t="str">
        <f t="shared" si="13"/>
        <v/>
      </c>
    </row>
    <row r="871" spans="5:9" x14ac:dyDescent="0.3">
      <c r="E871" t="str">
        <f>IFERROR(IF(D871="","",VLOOKUP(D871,CadProd!$A:$B,2,0)),"")</f>
        <v/>
      </c>
      <c r="F871" t="str">
        <f>IFERROR(IF(D871="","",VLOOKUP(D871,CadProd!$A:$C,3,0)),"")</f>
        <v/>
      </c>
      <c r="I871" s="1" t="str">
        <f t="shared" si="13"/>
        <v/>
      </c>
    </row>
    <row r="872" spans="5:9" x14ac:dyDescent="0.3">
      <c r="E872" t="str">
        <f>IFERROR(IF(D872="","",VLOOKUP(D872,CadProd!$A:$B,2,0)),"")</f>
        <v/>
      </c>
      <c r="F872" t="str">
        <f>IFERROR(IF(D872="","",VLOOKUP(D872,CadProd!$A:$C,3,0)),"")</f>
        <v/>
      </c>
      <c r="I872" s="1" t="str">
        <f t="shared" si="13"/>
        <v/>
      </c>
    </row>
    <row r="873" spans="5:9" x14ac:dyDescent="0.3">
      <c r="E873" t="str">
        <f>IFERROR(IF(D873="","",VLOOKUP(D873,CadProd!$A:$B,2,0)),"")</f>
        <v/>
      </c>
      <c r="F873" t="str">
        <f>IFERROR(IF(D873="","",VLOOKUP(D873,CadProd!$A:$C,3,0)),"")</f>
        <v/>
      </c>
      <c r="I873" s="1" t="str">
        <f t="shared" si="13"/>
        <v/>
      </c>
    </row>
    <row r="874" spans="5:9" x14ac:dyDescent="0.3">
      <c r="E874" t="str">
        <f>IFERROR(IF(D874="","",VLOOKUP(D874,CadProd!$A:$B,2,0)),"")</f>
        <v/>
      </c>
      <c r="F874" t="str">
        <f>IFERROR(IF(D874="","",VLOOKUP(D874,CadProd!$A:$C,3,0)),"")</f>
        <v/>
      </c>
      <c r="I874" s="1" t="str">
        <f t="shared" si="13"/>
        <v/>
      </c>
    </row>
    <row r="875" spans="5:9" x14ac:dyDescent="0.3">
      <c r="E875" t="str">
        <f>IFERROR(IF(D875="","",VLOOKUP(D875,CadProd!$A:$B,2,0)),"")</f>
        <v/>
      </c>
      <c r="F875" t="str">
        <f>IFERROR(IF(D875="","",VLOOKUP(D875,CadProd!$A:$C,3,0)),"")</f>
        <v/>
      </c>
      <c r="I875" s="1" t="str">
        <f t="shared" si="13"/>
        <v/>
      </c>
    </row>
    <row r="876" spans="5:9" x14ac:dyDescent="0.3">
      <c r="E876" t="str">
        <f>IFERROR(IF(D876="","",VLOOKUP(D876,CadProd!$A:$B,2,0)),"")</f>
        <v/>
      </c>
      <c r="F876" t="str">
        <f>IFERROR(IF(D876="","",VLOOKUP(D876,CadProd!$A:$C,3,0)),"")</f>
        <v/>
      </c>
      <c r="I876" s="1" t="str">
        <f t="shared" si="13"/>
        <v/>
      </c>
    </row>
    <row r="877" spans="5:9" x14ac:dyDescent="0.3">
      <c r="E877" t="str">
        <f>IFERROR(IF(D877="","",VLOOKUP(D877,CadProd!$A:$B,2,0)),"")</f>
        <v/>
      </c>
      <c r="F877" t="str">
        <f>IFERROR(IF(D877="","",VLOOKUP(D877,CadProd!$A:$C,3,0)),"")</f>
        <v/>
      </c>
      <c r="I877" s="1" t="str">
        <f t="shared" si="13"/>
        <v/>
      </c>
    </row>
    <row r="878" spans="5:9" x14ac:dyDescent="0.3">
      <c r="E878" t="str">
        <f>IFERROR(IF(D878="","",VLOOKUP(D878,CadProd!$A:$B,2,0)),"")</f>
        <v/>
      </c>
      <c r="F878" t="str">
        <f>IFERROR(IF(D878="","",VLOOKUP(D878,CadProd!$A:$C,3,0)),"")</f>
        <v/>
      </c>
      <c r="I878" s="1" t="str">
        <f t="shared" si="13"/>
        <v/>
      </c>
    </row>
    <row r="879" spans="5:9" x14ac:dyDescent="0.3">
      <c r="E879" t="str">
        <f>IFERROR(IF(D879="","",VLOOKUP(D879,CadProd!$A:$B,2,0)),"")</f>
        <v/>
      </c>
      <c r="F879" t="str">
        <f>IFERROR(IF(D879="","",VLOOKUP(D879,CadProd!$A:$C,3,0)),"")</f>
        <v/>
      </c>
      <c r="I879" s="1" t="str">
        <f t="shared" si="13"/>
        <v/>
      </c>
    </row>
    <row r="880" spans="5:9" x14ac:dyDescent="0.3">
      <c r="E880" t="str">
        <f>IFERROR(IF(D880="","",VLOOKUP(D880,CadProd!$A:$B,2,0)),"")</f>
        <v/>
      </c>
      <c r="F880" t="str">
        <f>IFERROR(IF(D880="","",VLOOKUP(D880,CadProd!$A:$C,3,0)),"")</f>
        <v/>
      </c>
      <c r="I880" s="1" t="str">
        <f t="shared" si="13"/>
        <v/>
      </c>
    </row>
    <row r="881" spans="5:9" x14ac:dyDescent="0.3">
      <c r="E881" t="str">
        <f>IFERROR(IF(D881="","",VLOOKUP(D881,CadProd!$A:$B,2,0)),"")</f>
        <v/>
      </c>
      <c r="F881" t="str">
        <f>IFERROR(IF(D881="","",VLOOKUP(D881,CadProd!$A:$C,3,0)),"")</f>
        <v/>
      </c>
      <c r="I881" s="1" t="str">
        <f t="shared" si="13"/>
        <v/>
      </c>
    </row>
    <row r="882" spans="5:9" x14ac:dyDescent="0.3">
      <c r="E882" t="str">
        <f>IFERROR(IF(D882="","",VLOOKUP(D882,CadProd!$A:$B,2,0)),"")</f>
        <v/>
      </c>
      <c r="F882" t="str">
        <f>IFERROR(IF(D882="","",VLOOKUP(D882,CadProd!$A:$C,3,0)),"")</f>
        <v/>
      </c>
      <c r="I882" s="1" t="str">
        <f t="shared" si="13"/>
        <v/>
      </c>
    </row>
    <row r="883" spans="5:9" x14ac:dyDescent="0.3">
      <c r="E883" t="str">
        <f>IFERROR(IF(D883="","",VLOOKUP(D883,CadProd!$A:$B,2,0)),"")</f>
        <v/>
      </c>
      <c r="F883" t="str">
        <f>IFERROR(IF(D883="","",VLOOKUP(D883,CadProd!$A:$C,3,0)),"")</f>
        <v/>
      </c>
      <c r="I883" s="1" t="str">
        <f t="shared" si="13"/>
        <v/>
      </c>
    </row>
    <row r="884" spans="5:9" x14ac:dyDescent="0.3">
      <c r="E884" t="str">
        <f>IFERROR(IF(D884="","",VLOOKUP(D884,CadProd!$A:$B,2,0)),"")</f>
        <v/>
      </c>
      <c r="F884" t="str">
        <f>IFERROR(IF(D884="","",VLOOKUP(D884,CadProd!$A:$C,3,0)),"")</f>
        <v/>
      </c>
      <c r="I884" s="1" t="str">
        <f t="shared" si="13"/>
        <v/>
      </c>
    </row>
    <row r="885" spans="5:9" x14ac:dyDescent="0.3">
      <c r="E885" t="str">
        <f>IFERROR(IF(D885="","",VLOOKUP(D885,CadProd!$A:$B,2,0)),"")</f>
        <v/>
      </c>
      <c r="F885" t="str">
        <f>IFERROR(IF(D885="","",VLOOKUP(D885,CadProd!$A:$C,3,0)),"")</f>
        <v/>
      </c>
      <c r="I885" s="1" t="str">
        <f t="shared" si="13"/>
        <v/>
      </c>
    </row>
    <row r="886" spans="5:9" x14ac:dyDescent="0.3">
      <c r="E886" t="str">
        <f>IFERROR(IF(D886="","",VLOOKUP(D886,CadProd!$A:$B,2,0)),"")</f>
        <v/>
      </c>
      <c r="F886" t="str">
        <f>IFERROR(IF(D886="","",VLOOKUP(D886,CadProd!$A:$C,3,0)),"")</f>
        <v/>
      </c>
      <c r="I886" s="1" t="str">
        <f t="shared" si="13"/>
        <v/>
      </c>
    </row>
    <row r="887" spans="5:9" x14ac:dyDescent="0.3">
      <c r="E887" t="str">
        <f>IFERROR(IF(D887="","",VLOOKUP(D887,CadProd!$A:$B,2,0)),"")</f>
        <v/>
      </c>
      <c r="F887" t="str">
        <f>IFERROR(IF(D887="","",VLOOKUP(D887,CadProd!$A:$C,3,0)),"")</f>
        <v/>
      </c>
      <c r="I887" s="1" t="str">
        <f t="shared" si="13"/>
        <v/>
      </c>
    </row>
    <row r="888" spans="5:9" x14ac:dyDescent="0.3">
      <c r="E888" t="str">
        <f>IFERROR(IF(D888="","",VLOOKUP(D888,CadProd!$A:$B,2,0)),"")</f>
        <v/>
      </c>
      <c r="F888" t="str">
        <f>IFERROR(IF(D888="","",VLOOKUP(D888,CadProd!$A:$C,3,0)),"")</f>
        <v/>
      </c>
      <c r="I888" s="1" t="str">
        <f t="shared" si="13"/>
        <v/>
      </c>
    </row>
    <row r="889" spans="5:9" x14ac:dyDescent="0.3">
      <c r="E889" t="str">
        <f>IFERROR(IF(D889="","",VLOOKUP(D889,CadProd!$A:$B,2,0)),"")</f>
        <v/>
      </c>
      <c r="F889" t="str">
        <f>IFERROR(IF(D889="","",VLOOKUP(D889,CadProd!$A:$C,3,0)),"")</f>
        <v/>
      </c>
      <c r="I889" s="1" t="str">
        <f t="shared" si="13"/>
        <v/>
      </c>
    </row>
    <row r="890" spans="5:9" x14ac:dyDescent="0.3">
      <c r="E890" t="str">
        <f>IFERROR(IF(D890="","",VLOOKUP(D890,CadProd!$A:$B,2,0)),"")</f>
        <v/>
      </c>
      <c r="F890" t="str">
        <f>IFERROR(IF(D890="","",VLOOKUP(D890,CadProd!$A:$C,3,0)),"")</f>
        <v/>
      </c>
      <c r="I890" s="1" t="str">
        <f t="shared" si="13"/>
        <v/>
      </c>
    </row>
    <row r="891" spans="5:9" x14ac:dyDescent="0.3">
      <c r="E891" t="str">
        <f>IFERROR(IF(D891="","",VLOOKUP(D891,CadProd!$A:$B,2,0)),"")</f>
        <v/>
      </c>
      <c r="F891" t="str">
        <f>IFERROR(IF(D891="","",VLOOKUP(D891,CadProd!$A:$C,3,0)),"")</f>
        <v/>
      </c>
      <c r="I891" s="1" t="str">
        <f t="shared" si="13"/>
        <v/>
      </c>
    </row>
    <row r="892" spans="5:9" x14ac:dyDescent="0.3">
      <c r="E892" t="str">
        <f>IFERROR(IF(D892="","",VLOOKUP(D892,CadProd!$A:$B,2,0)),"")</f>
        <v/>
      </c>
      <c r="F892" t="str">
        <f>IFERROR(IF(D892="","",VLOOKUP(D892,CadProd!$A:$C,3,0)),"")</f>
        <v/>
      </c>
      <c r="I892" s="1" t="str">
        <f t="shared" si="13"/>
        <v/>
      </c>
    </row>
    <row r="893" spans="5:9" x14ac:dyDescent="0.3">
      <c r="E893" t="str">
        <f>IFERROR(IF(D893="","",VLOOKUP(D893,CadProd!$A:$B,2,0)),"")</f>
        <v/>
      </c>
      <c r="F893" t="str">
        <f>IFERROR(IF(D893="","",VLOOKUP(D893,CadProd!$A:$C,3,0)),"")</f>
        <v/>
      </c>
      <c r="I893" s="1" t="str">
        <f t="shared" si="13"/>
        <v/>
      </c>
    </row>
    <row r="894" spans="5:9" x14ac:dyDescent="0.3">
      <c r="E894" t="str">
        <f>IFERROR(IF(D894="","",VLOOKUP(D894,CadProd!$A:$B,2,0)),"")</f>
        <v/>
      </c>
      <c r="F894" t="str">
        <f>IFERROR(IF(D894="","",VLOOKUP(D894,CadProd!$A:$C,3,0)),"")</f>
        <v/>
      </c>
      <c r="I894" s="1" t="str">
        <f t="shared" si="13"/>
        <v/>
      </c>
    </row>
    <row r="895" spans="5:9" x14ac:dyDescent="0.3">
      <c r="E895" t="str">
        <f>IFERROR(IF(D895="","",VLOOKUP(D895,CadProd!$A:$B,2,0)),"")</f>
        <v/>
      </c>
      <c r="F895" t="str">
        <f>IFERROR(IF(D895="","",VLOOKUP(D895,CadProd!$A:$C,3,0)),"")</f>
        <v/>
      </c>
      <c r="I895" s="1" t="str">
        <f t="shared" si="13"/>
        <v/>
      </c>
    </row>
    <row r="896" spans="5:9" x14ac:dyDescent="0.3">
      <c r="E896" t="str">
        <f>IFERROR(IF(D896="","",VLOOKUP(D896,CadProd!$A:$B,2,0)),"")</f>
        <v/>
      </c>
      <c r="F896" t="str">
        <f>IFERROR(IF(D896="","",VLOOKUP(D896,CadProd!$A:$C,3,0)),"")</f>
        <v/>
      </c>
      <c r="I896" s="1" t="str">
        <f t="shared" si="13"/>
        <v/>
      </c>
    </row>
    <row r="897" spans="5:9" x14ac:dyDescent="0.3">
      <c r="E897" t="str">
        <f>IFERROR(IF(D897="","",VLOOKUP(D897,CadProd!$A:$B,2,0)),"")</f>
        <v/>
      </c>
      <c r="F897" t="str">
        <f>IFERROR(IF(D897="","",VLOOKUP(D897,CadProd!$A:$C,3,0)),"")</f>
        <v/>
      </c>
      <c r="I897" s="1" t="str">
        <f t="shared" si="13"/>
        <v/>
      </c>
    </row>
    <row r="898" spans="5:9" x14ac:dyDescent="0.3">
      <c r="E898" t="str">
        <f>IFERROR(IF(D898="","",VLOOKUP(D898,CadProd!$A:$B,2,0)),"")</f>
        <v/>
      </c>
      <c r="F898" t="str">
        <f>IFERROR(IF(D898="","",VLOOKUP(D898,CadProd!$A:$C,3,0)),"")</f>
        <v/>
      </c>
      <c r="I898" s="1" t="str">
        <f t="shared" ref="I898:I961" si="14">IFERROR(IF(D898="","",H898*G898),"")</f>
        <v/>
      </c>
    </row>
    <row r="899" spans="5:9" x14ac:dyDescent="0.3">
      <c r="E899" t="str">
        <f>IFERROR(IF(D899="","",VLOOKUP(D899,CadProd!$A:$B,2,0)),"")</f>
        <v/>
      </c>
      <c r="F899" t="str">
        <f>IFERROR(IF(D899="","",VLOOKUP(D899,CadProd!$A:$C,3,0)),"")</f>
        <v/>
      </c>
      <c r="I899" s="1" t="str">
        <f t="shared" si="14"/>
        <v/>
      </c>
    </row>
    <row r="900" spans="5:9" x14ac:dyDescent="0.3">
      <c r="E900" t="str">
        <f>IFERROR(IF(D900="","",VLOOKUP(D900,CadProd!$A:$B,2,0)),"")</f>
        <v/>
      </c>
      <c r="F900" t="str">
        <f>IFERROR(IF(D900="","",VLOOKUP(D900,CadProd!$A:$C,3,0)),"")</f>
        <v/>
      </c>
      <c r="I900" s="1" t="str">
        <f t="shared" si="14"/>
        <v/>
      </c>
    </row>
    <row r="901" spans="5:9" x14ac:dyDescent="0.3">
      <c r="E901" t="str">
        <f>IFERROR(IF(D901="","",VLOOKUP(D901,CadProd!$A:$B,2,0)),"")</f>
        <v/>
      </c>
      <c r="F901" t="str">
        <f>IFERROR(IF(D901="","",VLOOKUP(D901,CadProd!$A:$C,3,0)),"")</f>
        <v/>
      </c>
      <c r="I901" s="1" t="str">
        <f t="shared" si="14"/>
        <v/>
      </c>
    </row>
    <row r="902" spans="5:9" x14ac:dyDescent="0.3">
      <c r="E902" t="str">
        <f>IFERROR(IF(D902="","",VLOOKUP(D902,CadProd!$A:$B,2,0)),"")</f>
        <v/>
      </c>
      <c r="F902" t="str">
        <f>IFERROR(IF(D902="","",VLOOKUP(D902,CadProd!$A:$C,3,0)),"")</f>
        <v/>
      </c>
      <c r="I902" s="1" t="str">
        <f t="shared" si="14"/>
        <v/>
      </c>
    </row>
    <row r="903" spans="5:9" x14ac:dyDescent="0.3">
      <c r="E903" t="str">
        <f>IFERROR(IF(D903="","",VLOOKUP(D903,CadProd!$A:$B,2,0)),"")</f>
        <v/>
      </c>
      <c r="F903" t="str">
        <f>IFERROR(IF(D903="","",VLOOKUP(D903,CadProd!$A:$C,3,0)),"")</f>
        <v/>
      </c>
      <c r="I903" s="1" t="str">
        <f t="shared" si="14"/>
        <v/>
      </c>
    </row>
    <row r="904" spans="5:9" x14ac:dyDescent="0.3">
      <c r="E904" t="str">
        <f>IFERROR(IF(D904="","",VLOOKUP(D904,CadProd!$A:$B,2,0)),"")</f>
        <v/>
      </c>
      <c r="F904" t="str">
        <f>IFERROR(IF(D904="","",VLOOKUP(D904,CadProd!$A:$C,3,0)),"")</f>
        <v/>
      </c>
      <c r="I904" s="1" t="str">
        <f t="shared" si="14"/>
        <v/>
      </c>
    </row>
    <row r="905" spans="5:9" x14ac:dyDescent="0.3">
      <c r="E905" t="str">
        <f>IFERROR(IF(D905="","",VLOOKUP(D905,CadProd!$A:$B,2,0)),"")</f>
        <v/>
      </c>
      <c r="F905" t="str">
        <f>IFERROR(IF(D905="","",VLOOKUP(D905,CadProd!$A:$C,3,0)),"")</f>
        <v/>
      </c>
      <c r="I905" s="1" t="str">
        <f t="shared" si="14"/>
        <v/>
      </c>
    </row>
    <row r="906" spans="5:9" x14ac:dyDescent="0.3">
      <c r="E906" t="str">
        <f>IFERROR(IF(D906="","",VLOOKUP(D906,CadProd!$A:$B,2,0)),"")</f>
        <v/>
      </c>
      <c r="F906" t="str">
        <f>IFERROR(IF(D906="","",VLOOKUP(D906,CadProd!$A:$C,3,0)),"")</f>
        <v/>
      </c>
      <c r="I906" s="1" t="str">
        <f t="shared" si="14"/>
        <v/>
      </c>
    </row>
    <row r="907" spans="5:9" x14ac:dyDescent="0.3">
      <c r="E907" t="str">
        <f>IFERROR(IF(D907="","",VLOOKUP(D907,CadProd!$A:$B,2,0)),"")</f>
        <v/>
      </c>
      <c r="F907" t="str">
        <f>IFERROR(IF(D907="","",VLOOKUP(D907,CadProd!$A:$C,3,0)),"")</f>
        <v/>
      </c>
      <c r="I907" s="1" t="str">
        <f t="shared" si="14"/>
        <v/>
      </c>
    </row>
    <row r="908" spans="5:9" x14ac:dyDescent="0.3">
      <c r="E908" t="str">
        <f>IFERROR(IF(D908="","",VLOOKUP(D908,CadProd!$A:$B,2,0)),"")</f>
        <v/>
      </c>
      <c r="F908" t="str">
        <f>IFERROR(IF(D908="","",VLOOKUP(D908,CadProd!$A:$C,3,0)),"")</f>
        <v/>
      </c>
      <c r="I908" s="1" t="str">
        <f t="shared" si="14"/>
        <v/>
      </c>
    </row>
    <row r="909" spans="5:9" x14ac:dyDescent="0.3">
      <c r="E909" t="str">
        <f>IFERROR(IF(D909="","",VLOOKUP(D909,CadProd!$A:$B,2,0)),"")</f>
        <v/>
      </c>
      <c r="F909" t="str">
        <f>IFERROR(IF(D909="","",VLOOKUP(D909,CadProd!$A:$C,3,0)),"")</f>
        <v/>
      </c>
      <c r="I909" s="1" t="str">
        <f t="shared" si="14"/>
        <v/>
      </c>
    </row>
    <row r="910" spans="5:9" x14ac:dyDescent="0.3">
      <c r="E910" t="str">
        <f>IFERROR(IF(D910="","",VLOOKUP(D910,CadProd!$A:$B,2,0)),"")</f>
        <v/>
      </c>
      <c r="F910" t="str">
        <f>IFERROR(IF(D910="","",VLOOKUP(D910,CadProd!$A:$C,3,0)),"")</f>
        <v/>
      </c>
      <c r="I910" s="1" t="str">
        <f t="shared" si="14"/>
        <v/>
      </c>
    </row>
    <row r="911" spans="5:9" x14ac:dyDescent="0.3">
      <c r="E911" t="str">
        <f>IFERROR(IF(D911="","",VLOOKUP(D911,CadProd!$A:$B,2,0)),"")</f>
        <v/>
      </c>
      <c r="F911" t="str">
        <f>IFERROR(IF(D911="","",VLOOKUP(D911,CadProd!$A:$C,3,0)),"")</f>
        <v/>
      </c>
      <c r="I911" s="1" t="str">
        <f t="shared" si="14"/>
        <v/>
      </c>
    </row>
    <row r="912" spans="5:9" x14ac:dyDescent="0.3">
      <c r="E912" t="str">
        <f>IFERROR(IF(D912="","",VLOOKUP(D912,CadProd!$A:$B,2,0)),"")</f>
        <v/>
      </c>
      <c r="F912" t="str">
        <f>IFERROR(IF(D912="","",VLOOKUP(D912,CadProd!$A:$C,3,0)),"")</f>
        <v/>
      </c>
      <c r="I912" s="1" t="str">
        <f t="shared" si="14"/>
        <v/>
      </c>
    </row>
    <row r="913" spans="5:9" x14ac:dyDescent="0.3">
      <c r="E913" t="str">
        <f>IFERROR(IF(D913="","",VLOOKUP(D913,CadProd!$A:$B,2,0)),"")</f>
        <v/>
      </c>
      <c r="F913" t="str">
        <f>IFERROR(IF(D913="","",VLOOKUP(D913,CadProd!$A:$C,3,0)),"")</f>
        <v/>
      </c>
      <c r="I913" s="1" t="str">
        <f t="shared" si="14"/>
        <v/>
      </c>
    </row>
    <row r="914" spans="5:9" x14ac:dyDescent="0.3">
      <c r="E914" t="str">
        <f>IFERROR(IF(D914="","",VLOOKUP(D914,CadProd!$A:$B,2,0)),"")</f>
        <v/>
      </c>
      <c r="F914" t="str">
        <f>IFERROR(IF(D914="","",VLOOKUP(D914,CadProd!$A:$C,3,0)),"")</f>
        <v/>
      </c>
      <c r="I914" s="1" t="str">
        <f t="shared" si="14"/>
        <v/>
      </c>
    </row>
    <row r="915" spans="5:9" x14ac:dyDescent="0.3">
      <c r="E915" t="str">
        <f>IFERROR(IF(D915="","",VLOOKUP(D915,CadProd!$A:$B,2,0)),"")</f>
        <v/>
      </c>
      <c r="F915" t="str">
        <f>IFERROR(IF(D915="","",VLOOKUP(D915,CadProd!$A:$C,3,0)),"")</f>
        <v/>
      </c>
      <c r="I915" s="1" t="str">
        <f t="shared" si="14"/>
        <v/>
      </c>
    </row>
    <row r="916" spans="5:9" x14ac:dyDescent="0.3">
      <c r="E916" t="str">
        <f>IFERROR(IF(D916="","",VLOOKUP(D916,CadProd!$A:$B,2,0)),"")</f>
        <v/>
      </c>
      <c r="F916" t="str">
        <f>IFERROR(IF(D916="","",VLOOKUP(D916,CadProd!$A:$C,3,0)),"")</f>
        <v/>
      </c>
      <c r="I916" s="1" t="str">
        <f t="shared" si="14"/>
        <v/>
      </c>
    </row>
    <row r="917" spans="5:9" x14ac:dyDescent="0.3">
      <c r="E917" t="str">
        <f>IFERROR(IF(D917="","",VLOOKUP(D917,CadProd!$A:$B,2,0)),"")</f>
        <v/>
      </c>
      <c r="F917" t="str">
        <f>IFERROR(IF(D917="","",VLOOKUP(D917,CadProd!$A:$C,3,0)),"")</f>
        <v/>
      </c>
      <c r="I917" s="1" t="str">
        <f t="shared" si="14"/>
        <v/>
      </c>
    </row>
    <row r="918" spans="5:9" x14ac:dyDescent="0.3">
      <c r="E918" t="str">
        <f>IFERROR(IF(D918="","",VLOOKUP(D918,CadProd!$A:$B,2,0)),"")</f>
        <v/>
      </c>
      <c r="F918" t="str">
        <f>IFERROR(IF(D918="","",VLOOKUP(D918,CadProd!$A:$C,3,0)),"")</f>
        <v/>
      </c>
      <c r="I918" s="1" t="str">
        <f t="shared" si="14"/>
        <v/>
      </c>
    </row>
    <row r="919" spans="5:9" x14ac:dyDescent="0.3">
      <c r="E919" t="str">
        <f>IFERROR(IF(D919="","",VLOOKUP(D919,CadProd!$A:$B,2,0)),"")</f>
        <v/>
      </c>
      <c r="F919" t="str">
        <f>IFERROR(IF(D919="","",VLOOKUP(D919,CadProd!$A:$C,3,0)),"")</f>
        <v/>
      </c>
      <c r="I919" s="1" t="str">
        <f t="shared" si="14"/>
        <v/>
      </c>
    </row>
    <row r="920" spans="5:9" x14ac:dyDescent="0.3">
      <c r="E920" t="str">
        <f>IFERROR(IF(D920="","",VLOOKUP(D920,CadProd!$A:$B,2,0)),"")</f>
        <v/>
      </c>
      <c r="F920" t="str">
        <f>IFERROR(IF(D920="","",VLOOKUP(D920,CadProd!$A:$C,3,0)),"")</f>
        <v/>
      </c>
      <c r="I920" s="1" t="str">
        <f t="shared" si="14"/>
        <v/>
      </c>
    </row>
    <row r="921" spans="5:9" x14ac:dyDescent="0.3">
      <c r="E921" t="str">
        <f>IFERROR(IF(D921="","",VLOOKUP(D921,CadProd!$A:$B,2,0)),"")</f>
        <v/>
      </c>
      <c r="F921" t="str">
        <f>IFERROR(IF(D921="","",VLOOKUP(D921,CadProd!$A:$C,3,0)),"")</f>
        <v/>
      </c>
      <c r="I921" s="1" t="str">
        <f t="shared" si="14"/>
        <v/>
      </c>
    </row>
    <row r="922" spans="5:9" x14ac:dyDescent="0.3">
      <c r="E922" t="str">
        <f>IFERROR(IF(D922="","",VLOOKUP(D922,CadProd!$A:$B,2,0)),"")</f>
        <v/>
      </c>
      <c r="F922" t="str">
        <f>IFERROR(IF(D922="","",VLOOKUP(D922,CadProd!$A:$C,3,0)),"")</f>
        <v/>
      </c>
      <c r="I922" s="1" t="str">
        <f t="shared" si="14"/>
        <v/>
      </c>
    </row>
    <row r="923" spans="5:9" x14ac:dyDescent="0.3">
      <c r="E923" t="str">
        <f>IFERROR(IF(D923="","",VLOOKUP(D923,CadProd!$A:$B,2,0)),"")</f>
        <v/>
      </c>
      <c r="F923" t="str">
        <f>IFERROR(IF(D923="","",VLOOKUP(D923,CadProd!$A:$C,3,0)),"")</f>
        <v/>
      </c>
      <c r="I923" s="1" t="str">
        <f t="shared" si="14"/>
        <v/>
      </c>
    </row>
    <row r="924" spans="5:9" x14ac:dyDescent="0.3">
      <c r="E924" t="str">
        <f>IFERROR(IF(D924="","",VLOOKUP(D924,CadProd!$A:$B,2,0)),"")</f>
        <v/>
      </c>
      <c r="F924" t="str">
        <f>IFERROR(IF(D924="","",VLOOKUP(D924,CadProd!$A:$C,3,0)),"")</f>
        <v/>
      </c>
      <c r="I924" s="1" t="str">
        <f t="shared" si="14"/>
        <v/>
      </c>
    </row>
    <row r="925" spans="5:9" x14ac:dyDescent="0.3">
      <c r="E925" t="str">
        <f>IFERROR(IF(D925="","",VLOOKUP(D925,CadProd!$A:$B,2,0)),"")</f>
        <v/>
      </c>
      <c r="F925" t="str">
        <f>IFERROR(IF(D925="","",VLOOKUP(D925,CadProd!$A:$C,3,0)),"")</f>
        <v/>
      </c>
      <c r="I925" s="1" t="str">
        <f t="shared" si="14"/>
        <v/>
      </c>
    </row>
    <row r="926" spans="5:9" x14ac:dyDescent="0.3">
      <c r="E926" t="str">
        <f>IFERROR(IF(D926="","",VLOOKUP(D926,CadProd!$A:$B,2,0)),"")</f>
        <v/>
      </c>
      <c r="F926" t="str">
        <f>IFERROR(IF(D926="","",VLOOKUP(D926,CadProd!$A:$C,3,0)),"")</f>
        <v/>
      </c>
      <c r="I926" s="1" t="str">
        <f t="shared" si="14"/>
        <v/>
      </c>
    </row>
    <row r="927" spans="5:9" x14ac:dyDescent="0.3">
      <c r="E927" t="str">
        <f>IFERROR(IF(D927="","",VLOOKUP(D927,CadProd!$A:$B,2,0)),"")</f>
        <v/>
      </c>
      <c r="F927" t="str">
        <f>IFERROR(IF(D927="","",VLOOKUP(D927,CadProd!$A:$C,3,0)),"")</f>
        <v/>
      </c>
      <c r="I927" s="1" t="str">
        <f t="shared" si="14"/>
        <v/>
      </c>
    </row>
    <row r="928" spans="5:9" x14ac:dyDescent="0.3">
      <c r="E928" t="str">
        <f>IFERROR(IF(D928="","",VLOOKUP(D928,CadProd!$A:$B,2,0)),"")</f>
        <v/>
      </c>
      <c r="F928" t="str">
        <f>IFERROR(IF(D928="","",VLOOKUP(D928,CadProd!$A:$C,3,0)),"")</f>
        <v/>
      </c>
      <c r="I928" s="1" t="str">
        <f t="shared" si="14"/>
        <v/>
      </c>
    </row>
    <row r="929" spans="5:9" x14ac:dyDescent="0.3">
      <c r="E929" t="str">
        <f>IFERROR(IF(D929="","",VLOOKUP(D929,CadProd!$A:$B,2,0)),"")</f>
        <v/>
      </c>
      <c r="F929" t="str">
        <f>IFERROR(IF(D929="","",VLOOKUP(D929,CadProd!$A:$C,3,0)),"")</f>
        <v/>
      </c>
      <c r="I929" s="1" t="str">
        <f t="shared" si="14"/>
        <v/>
      </c>
    </row>
    <row r="930" spans="5:9" x14ac:dyDescent="0.3">
      <c r="E930" t="str">
        <f>IFERROR(IF(D930="","",VLOOKUP(D930,CadProd!$A:$B,2,0)),"")</f>
        <v/>
      </c>
      <c r="F930" t="str">
        <f>IFERROR(IF(D930="","",VLOOKUP(D930,CadProd!$A:$C,3,0)),"")</f>
        <v/>
      </c>
      <c r="I930" s="1" t="str">
        <f t="shared" si="14"/>
        <v/>
      </c>
    </row>
    <row r="931" spans="5:9" x14ac:dyDescent="0.3">
      <c r="E931" t="str">
        <f>IFERROR(IF(D931="","",VLOOKUP(D931,CadProd!$A:$B,2,0)),"")</f>
        <v/>
      </c>
      <c r="F931" t="str">
        <f>IFERROR(IF(D931="","",VLOOKUP(D931,CadProd!$A:$C,3,0)),"")</f>
        <v/>
      </c>
      <c r="I931" s="1" t="str">
        <f t="shared" si="14"/>
        <v/>
      </c>
    </row>
    <row r="932" spans="5:9" x14ac:dyDescent="0.3">
      <c r="E932" t="str">
        <f>IFERROR(IF(D932="","",VLOOKUP(D932,CadProd!$A:$B,2,0)),"")</f>
        <v/>
      </c>
      <c r="F932" t="str">
        <f>IFERROR(IF(D932="","",VLOOKUP(D932,CadProd!$A:$C,3,0)),"")</f>
        <v/>
      </c>
      <c r="I932" s="1" t="str">
        <f t="shared" si="14"/>
        <v/>
      </c>
    </row>
    <row r="933" spans="5:9" x14ac:dyDescent="0.3">
      <c r="E933" t="str">
        <f>IFERROR(IF(D933="","",VLOOKUP(D933,CadProd!$A:$B,2,0)),"")</f>
        <v/>
      </c>
      <c r="F933" t="str">
        <f>IFERROR(IF(D933="","",VLOOKUP(D933,CadProd!$A:$C,3,0)),"")</f>
        <v/>
      </c>
      <c r="I933" s="1" t="str">
        <f t="shared" si="14"/>
        <v/>
      </c>
    </row>
    <row r="934" spans="5:9" x14ac:dyDescent="0.3">
      <c r="E934" t="str">
        <f>IFERROR(IF(D934="","",VLOOKUP(D934,CadProd!$A:$B,2,0)),"")</f>
        <v/>
      </c>
      <c r="F934" t="str">
        <f>IFERROR(IF(D934="","",VLOOKUP(D934,CadProd!$A:$C,3,0)),"")</f>
        <v/>
      </c>
      <c r="I934" s="1" t="str">
        <f t="shared" si="14"/>
        <v/>
      </c>
    </row>
    <row r="935" spans="5:9" x14ac:dyDescent="0.3">
      <c r="E935" t="str">
        <f>IFERROR(IF(D935="","",VLOOKUP(D935,CadProd!$A:$B,2,0)),"")</f>
        <v/>
      </c>
      <c r="F935" t="str">
        <f>IFERROR(IF(D935="","",VLOOKUP(D935,CadProd!$A:$C,3,0)),"")</f>
        <v/>
      </c>
      <c r="I935" s="1" t="str">
        <f t="shared" si="14"/>
        <v/>
      </c>
    </row>
    <row r="936" spans="5:9" x14ac:dyDescent="0.3">
      <c r="E936" t="str">
        <f>IFERROR(IF(D936="","",VLOOKUP(D936,CadProd!$A:$B,2,0)),"")</f>
        <v/>
      </c>
      <c r="F936" t="str">
        <f>IFERROR(IF(D936="","",VLOOKUP(D936,CadProd!$A:$C,3,0)),"")</f>
        <v/>
      </c>
      <c r="I936" s="1" t="str">
        <f t="shared" si="14"/>
        <v/>
      </c>
    </row>
    <row r="937" spans="5:9" x14ac:dyDescent="0.3">
      <c r="E937" t="str">
        <f>IFERROR(IF(D937="","",VLOOKUP(D937,CadProd!$A:$B,2,0)),"")</f>
        <v/>
      </c>
      <c r="F937" t="str">
        <f>IFERROR(IF(D937="","",VLOOKUP(D937,CadProd!$A:$C,3,0)),"")</f>
        <v/>
      </c>
      <c r="I937" s="1" t="str">
        <f t="shared" si="14"/>
        <v/>
      </c>
    </row>
    <row r="938" spans="5:9" x14ac:dyDescent="0.3">
      <c r="E938" t="str">
        <f>IFERROR(IF(D938="","",VLOOKUP(D938,CadProd!$A:$B,2,0)),"")</f>
        <v/>
      </c>
      <c r="F938" t="str">
        <f>IFERROR(IF(D938="","",VLOOKUP(D938,CadProd!$A:$C,3,0)),"")</f>
        <v/>
      </c>
      <c r="I938" s="1" t="str">
        <f t="shared" si="14"/>
        <v/>
      </c>
    </row>
    <row r="939" spans="5:9" x14ac:dyDescent="0.3">
      <c r="E939" t="str">
        <f>IFERROR(IF(D939="","",VLOOKUP(D939,CadProd!$A:$B,2,0)),"")</f>
        <v/>
      </c>
      <c r="F939" t="str">
        <f>IFERROR(IF(D939="","",VLOOKUP(D939,CadProd!$A:$C,3,0)),"")</f>
        <v/>
      </c>
      <c r="I939" s="1" t="str">
        <f t="shared" si="14"/>
        <v/>
      </c>
    </row>
    <row r="940" spans="5:9" x14ac:dyDescent="0.3">
      <c r="E940" t="str">
        <f>IFERROR(IF(D940="","",VLOOKUP(D940,CadProd!$A:$B,2,0)),"")</f>
        <v/>
      </c>
      <c r="F940" t="str">
        <f>IFERROR(IF(D940="","",VLOOKUP(D940,CadProd!$A:$C,3,0)),"")</f>
        <v/>
      </c>
      <c r="I940" s="1" t="str">
        <f t="shared" si="14"/>
        <v/>
      </c>
    </row>
    <row r="941" spans="5:9" x14ac:dyDescent="0.3">
      <c r="E941" t="str">
        <f>IFERROR(IF(D941="","",VLOOKUP(D941,CadProd!$A:$B,2,0)),"")</f>
        <v/>
      </c>
      <c r="F941" t="str">
        <f>IFERROR(IF(D941="","",VLOOKUP(D941,CadProd!$A:$C,3,0)),"")</f>
        <v/>
      </c>
      <c r="I941" s="1" t="str">
        <f t="shared" si="14"/>
        <v/>
      </c>
    </row>
    <row r="942" spans="5:9" x14ac:dyDescent="0.3">
      <c r="E942" t="str">
        <f>IFERROR(IF(D942="","",VLOOKUP(D942,CadProd!$A:$B,2,0)),"")</f>
        <v/>
      </c>
      <c r="F942" t="str">
        <f>IFERROR(IF(D942="","",VLOOKUP(D942,CadProd!$A:$C,3,0)),"")</f>
        <v/>
      </c>
      <c r="I942" s="1" t="str">
        <f t="shared" si="14"/>
        <v/>
      </c>
    </row>
    <row r="943" spans="5:9" x14ac:dyDescent="0.3">
      <c r="E943" t="str">
        <f>IFERROR(IF(D943="","",VLOOKUP(D943,CadProd!$A:$B,2,0)),"")</f>
        <v/>
      </c>
      <c r="F943" t="str">
        <f>IFERROR(IF(D943="","",VLOOKUP(D943,CadProd!$A:$C,3,0)),"")</f>
        <v/>
      </c>
      <c r="I943" s="1" t="str">
        <f t="shared" si="14"/>
        <v/>
      </c>
    </row>
    <row r="944" spans="5:9" x14ac:dyDescent="0.3">
      <c r="E944" t="str">
        <f>IFERROR(IF(D944="","",VLOOKUP(D944,CadProd!$A:$B,2,0)),"")</f>
        <v/>
      </c>
      <c r="F944" t="str">
        <f>IFERROR(IF(D944="","",VLOOKUP(D944,CadProd!$A:$C,3,0)),"")</f>
        <v/>
      </c>
      <c r="I944" s="1" t="str">
        <f t="shared" si="14"/>
        <v/>
      </c>
    </row>
    <row r="945" spans="5:9" x14ac:dyDescent="0.3">
      <c r="E945" t="str">
        <f>IFERROR(IF(D945="","",VLOOKUP(D945,CadProd!$A:$B,2,0)),"")</f>
        <v/>
      </c>
      <c r="F945" t="str">
        <f>IFERROR(IF(D945="","",VLOOKUP(D945,CadProd!$A:$C,3,0)),"")</f>
        <v/>
      </c>
      <c r="I945" s="1" t="str">
        <f t="shared" si="14"/>
        <v/>
      </c>
    </row>
    <row r="946" spans="5:9" x14ac:dyDescent="0.3">
      <c r="E946" t="str">
        <f>IFERROR(IF(D946="","",VLOOKUP(D946,CadProd!$A:$B,2,0)),"")</f>
        <v/>
      </c>
      <c r="F946" t="str">
        <f>IFERROR(IF(D946="","",VLOOKUP(D946,CadProd!$A:$C,3,0)),"")</f>
        <v/>
      </c>
      <c r="I946" s="1" t="str">
        <f t="shared" si="14"/>
        <v/>
      </c>
    </row>
    <row r="947" spans="5:9" x14ac:dyDescent="0.3">
      <c r="E947" t="str">
        <f>IFERROR(IF(D947="","",VLOOKUP(D947,CadProd!$A:$B,2,0)),"")</f>
        <v/>
      </c>
      <c r="F947" t="str">
        <f>IFERROR(IF(D947="","",VLOOKUP(D947,CadProd!$A:$C,3,0)),"")</f>
        <v/>
      </c>
      <c r="I947" s="1" t="str">
        <f t="shared" si="14"/>
        <v/>
      </c>
    </row>
    <row r="948" spans="5:9" x14ac:dyDescent="0.3">
      <c r="E948" t="str">
        <f>IFERROR(IF(D948="","",VLOOKUP(D948,CadProd!$A:$B,2,0)),"")</f>
        <v/>
      </c>
      <c r="F948" t="str">
        <f>IFERROR(IF(D948="","",VLOOKUP(D948,CadProd!$A:$C,3,0)),"")</f>
        <v/>
      </c>
      <c r="I948" s="1" t="str">
        <f t="shared" si="14"/>
        <v/>
      </c>
    </row>
    <row r="949" spans="5:9" x14ac:dyDescent="0.3">
      <c r="E949" t="str">
        <f>IFERROR(IF(D949="","",VLOOKUP(D949,CadProd!$A:$B,2,0)),"")</f>
        <v/>
      </c>
      <c r="F949" t="str">
        <f>IFERROR(IF(D949="","",VLOOKUP(D949,CadProd!$A:$C,3,0)),"")</f>
        <v/>
      </c>
      <c r="I949" s="1" t="str">
        <f t="shared" si="14"/>
        <v/>
      </c>
    </row>
    <row r="950" spans="5:9" x14ac:dyDescent="0.3">
      <c r="E950" t="str">
        <f>IFERROR(IF(D950="","",VLOOKUP(D950,CadProd!$A:$B,2,0)),"")</f>
        <v/>
      </c>
      <c r="F950" t="str">
        <f>IFERROR(IF(D950="","",VLOOKUP(D950,CadProd!$A:$C,3,0)),"")</f>
        <v/>
      </c>
      <c r="I950" s="1" t="str">
        <f t="shared" si="14"/>
        <v/>
      </c>
    </row>
    <row r="951" spans="5:9" x14ac:dyDescent="0.3">
      <c r="E951" t="str">
        <f>IFERROR(IF(D951="","",VLOOKUP(D951,CadProd!$A:$B,2,0)),"")</f>
        <v/>
      </c>
      <c r="F951" t="str">
        <f>IFERROR(IF(D951="","",VLOOKUP(D951,CadProd!$A:$C,3,0)),"")</f>
        <v/>
      </c>
      <c r="I951" s="1" t="str">
        <f t="shared" si="14"/>
        <v/>
      </c>
    </row>
    <row r="952" spans="5:9" x14ac:dyDescent="0.3">
      <c r="E952" t="str">
        <f>IFERROR(IF(D952="","",VLOOKUP(D952,CadProd!$A:$B,2,0)),"")</f>
        <v/>
      </c>
      <c r="F952" t="str">
        <f>IFERROR(IF(D952="","",VLOOKUP(D952,CadProd!$A:$C,3,0)),"")</f>
        <v/>
      </c>
      <c r="I952" s="1" t="str">
        <f t="shared" si="14"/>
        <v/>
      </c>
    </row>
    <row r="953" spans="5:9" x14ac:dyDescent="0.3">
      <c r="E953" t="str">
        <f>IFERROR(IF(D953="","",VLOOKUP(D953,CadProd!$A:$B,2,0)),"")</f>
        <v/>
      </c>
      <c r="F953" t="str">
        <f>IFERROR(IF(D953="","",VLOOKUP(D953,CadProd!$A:$C,3,0)),"")</f>
        <v/>
      </c>
      <c r="I953" s="1" t="str">
        <f t="shared" si="14"/>
        <v/>
      </c>
    </row>
    <row r="954" spans="5:9" x14ac:dyDescent="0.3">
      <c r="E954" t="str">
        <f>IFERROR(IF(D954="","",VLOOKUP(D954,CadProd!$A:$B,2,0)),"")</f>
        <v/>
      </c>
      <c r="F954" t="str">
        <f>IFERROR(IF(D954="","",VLOOKUP(D954,CadProd!$A:$C,3,0)),"")</f>
        <v/>
      </c>
      <c r="I954" s="1" t="str">
        <f t="shared" si="14"/>
        <v/>
      </c>
    </row>
    <row r="955" spans="5:9" x14ac:dyDescent="0.3">
      <c r="E955" t="str">
        <f>IFERROR(IF(D955="","",VLOOKUP(D955,CadProd!$A:$B,2,0)),"")</f>
        <v/>
      </c>
      <c r="F955" t="str">
        <f>IFERROR(IF(D955="","",VLOOKUP(D955,CadProd!$A:$C,3,0)),"")</f>
        <v/>
      </c>
      <c r="I955" s="1" t="str">
        <f t="shared" si="14"/>
        <v/>
      </c>
    </row>
    <row r="956" spans="5:9" x14ac:dyDescent="0.3">
      <c r="E956" t="str">
        <f>IFERROR(IF(D956="","",VLOOKUP(D956,CadProd!$A:$B,2,0)),"")</f>
        <v/>
      </c>
      <c r="F956" t="str">
        <f>IFERROR(IF(D956="","",VLOOKUP(D956,CadProd!$A:$C,3,0)),"")</f>
        <v/>
      </c>
      <c r="I956" s="1" t="str">
        <f t="shared" si="14"/>
        <v/>
      </c>
    </row>
    <row r="957" spans="5:9" x14ac:dyDescent="0.3">
      <c r="E957" t="str">
        <f>IFERROR(IF(D957="","",VLOOKUP(D957,CadProd!$A:$B,2,0)),"")</f>
        <v/>
      </c>
      <c r="F957" t="str">
        <f>IFERROR(IF(D957="","",VLOOKUP(D957,CadProd!$A:$C,3,0)),"")</f>
        <v/>
      </c>
      <c r="I957" s="1" t="str">
        <f t="shared" si="14"/>
        <v/>
      </c>
    </row>
    <row r="958" spans="5:9" x14ac:dyDescent="0.3">
      <c r="E958" t="str">
        <f>IFERROR(IF(D958="","",VLOOKUP(D958,CadProd!$A:$B,2,0)),"")</f>
        <v/>
      </c>
      <c r="F958" t="str">
        <f>IFERROR(IF(D958="","",VLOOKUP(D958,CadProd!$A:$C,3,0)),"")</f>
        <v/>
      </c>
      <c r="I958" s="1" t="str">
        <f t="shared" si="14"/>
        <v/>
      </c>
    </row>
    <row r="959" spans="5:9" x14ac:dyDescent="0.3">
      <c r="E959" t="str">
        <f>IFERROR(IF(D959="","",VLOOKUP(D959,CadProd!$A:$B,2,0)),"")</f>
        <v/>
      </c>
      <c r="F959" t="str">
        <f>IFERROR(IF(D959="","",VLOOKUP(D959,CadProd!$A:$C,3,0)),"")</f>
        <v/>
      </c>
      <c r="I959" s="1" t="str">
        <f t="shared" si="14"/>
        <v/>
      </c>
    </row>
    <row r="960" spans="5:9" x14ac:dyDescent="0.3">
      <c r="E960" t="str">
        <f>IFERROR(IF(D960="","",VLOOKUP(D960,CadProd!$A:$B,2,0)),"")</f>
        <v/>
      </c>
      <c r="F960" t="str">
        <f>IFERROR(IF(D960="","",VLOOKUP(D960,CadProd!$A:$C,3,0)),"")</f>
        <v/>
      </c>
      <c r="I960" s="1" t="str">
        <f t="shared" si="14"/>
        <v/>
      </c>
    </row>
    <row r="961" spans="5:9" x14ac:dyDescent="0.3">
      <c r="E961" t="str">
        <f>IFERROR(IF(D961="","",VLOOKUP(D961,CadProd!$A:$B,2,0)),"")</f>
        <v/>
      </c>
      <c r="F961" t="str">
        <f>IFERROR(IF(D961="","",VLOOKUP(D961,CadProd!$A:$C,3,0)),"")</f>
        <v/>
      </c>
      <c r="I961" s="1" t="str">
        <f t="shared" si="14"/>
        <v/>
      </c>
    </row>
    <row r="962" spans="5:9" x14ac:dyDescent="0.3">
      <c r="E962" t="str">
        <f>IFERROR(IF(D962="","",VLOOKUP(D962,CadProd!$A:$B,2,0)),"")</f>
        <v/>
      </c>
      <c r="F962" t="str">
        <f>IFERROR(IF(D962="","",VLOOKUP(D962,CadProd!$A:$C,3,0)),"")</f>
        <v/>
      </c>
      <c r="I962" s="1" t="str">
        <f t="shared" ref="I962:I1025" si="15">IFERROR(IF(D962="","",H962*G962),"")</f>
        <v/>
      </c>
    </row>
    <row r="963" spans="5:9" x14ac:dyDescent="0.3">
      <c r="E963" t="str">
        <f>IFERROR(IF(D963="","",VLOOKUP(D963,CadProd!$A:$B,2,0)),"")</f>
        <v/>
      </c>
      <c r="F963" t="str">
        <f>IFERROR(IF(D963="","",VLOOKUP(D963,CadProd!$A:$C,3,0)),"")</f>
        <v/>
      </c>
      <c r="I963" s="1" t="str">
        <f t="shared" si="15"/>
        <v/>
      </c>
    </row>
    <row r="964" spans="5:9" x14ac:dyDescent="0.3">
      <c r="E964" t="str">
        <f>IFERROR(IF(D964="","",VLOOKUP(D964,CadProd!$A:$B,2,0)),"")</f>
        <v/>
      </c>
      <c r="F964" t="str">
        <f>IFERROR(IF(D964="","",VLOOKUP(D964,CadProd!$A:$C,3,0)),"")</f>
        <v/>
      </c>
      <c r="I964" s="1" t="str">
        <f t="shared" si="15"/>
        <v/>
      </c>
    </row>
    <row r="965" spans="5:9" x14ac:dyDescent="0.3">
      <c r="E965" t="str">
        <f>IFERROR(IF(D965="","",VLOOKUP(D965,CadProd!$A:$B,2,0)),"")</f>
        <v/>
      </c>
      <c r="F965" t="str">
        <f>IFERROR(IF(D965="","",VLOOKUP(D965,CadProd!$A:$C,3,0)),"")</f>
        <v/>
      </c>
      <c r="I965" s="1" t="str">
        <f t="shared" si="15"/>
        <v/>
      </c>
    </row>
    <row r="966" spans="5:9" x14ac:dyDescent="0.3">
      <c r="E966" t="str">
        <f>IFERROR(IF(D966="","",VLOOKUP(D966,CadProd!$A:$B,2,0)),"")</f>
        <v/>
      </c>
      <c r="F966" t="str">
        <f>IFERROR(IF(D966="","",VLOOKUP(D966,CadProd!$A:$C,3,0)),"")</f>
        <v/>
      </c>
      <c r="I966" s="1" t="str">
        <f t="shared" si="15"/>
        <v/>
      </c>
    </row>
    <row r="967" spans="5:9" x14ac:dyDescent="0.3">
      <c r="E967" t="str">
        <f>IFERROR(IF(D967="","",VLOOKUP(D967,CadProd!$A:$B,2,0)),"")</f>
        <v/>
      </c>
      <c r="F967" t="str">
        <f>IFERROR(IF(D967="","",VLOOKUP(D967,CadProd!$A:$C,3,0)),"")</f>
        <v/>
      </c>
      <c r="I967" s="1" t="str">
        <f t="shared" si="15"/>
        <v/>
      </c>
    </row>
    <row r="968" spans="5:9" x14ac:dyDescent="0.3">
      <c r="E968" t="str">
        <f>IFERROR(IF(D968="","",VLOOKUP(D968,CadProd!$A:$B,2,0)),"")</f>
        <v/>
      </c>
      <c r="F968" t="str">
        <f>IFERROR(IF(D968="","",VLOOKUP(D968,CadProd!$A:$C,3,0)),"")</f>
        <v/>
      </c>
      <c r="I968" s="1" t="str">
        <f t="shared" si="15"/>
        <v/>
      </c>
    </row>
    <row r="969" spans="5:9" x14ac:dyDescent="0.3">
      <c r="E969" t="str">
        <f>IFERROR(IF(D969="","",VLOOKUP(D969,CadProd!$A:$B,2,0)),"")</f>
        <v/>
      </c>
      <c r="F969" t="str">
        <f>IFERROR(IF(D969="","",VLOOKUP(D969,CadProd!$A:$C,3,0)),"")</f>
        <v/>
      </c>
      <c r="I969" s="1" t="str">
        <f t="shared" si="15"/>
        <v/>
      </c>
    </row>
    <row r="970" spans="5:9" x14ac:dyDescent="0.3">
      <c r="E970" t="str">
        <f>IFERROR(IF(D970="","",VLOOKUP(D970,CadProd!$A:$B,2,0)),"")</f>
        <v/>
      </c>
      <c r="F970" t="str">
        <f>IFERROR(IF(D970="","",VLOOKUP(D970,CadProd!$A:$C,3,0)),"")</f>
        <v/>
      </c>
      <c r="I970" s="1" t="str">
        <f t="shared" si="15"/>
        <v/>
      </c>
    </row>
    <row r="971" spans="5:9" x14ac:dyDescent="0.3">
      <c r="E971" t="str">
        <f>IFERROR(IF(D971="","",VLOOKUP(D971,CadProd!$A:$B,2,0)),"")</f>
        <v/>
      </c>
      <c r="F971" t="str">
        <f>IFERROR(IF(D971="","",VLOOKUP(D971,CadProd!$A:$C,3,0)),"")</f>
        <v/>
      </c>
      <c r="I971" s="1" t="str">
        <f t="shared" si="15"/>
        <v/>
      </c>
    </row>
    <row r="972" spans="5:9" x14ac:dyDescent="0.3">
      <c r="E972" t="str">
        <f>IFERROR(IF(D972="","",VLOOKUP(D972,CadProd!$A:$B,2,0)),"")</f>
        <v/>
      </c>
      <c r="F972" t="str">
        <f>IFERROR(IF(D972="","",VLOOKUP(D972,CadProd!$A:$C,3,0)),"")</f>
        <v/>
      </c>
      <c r="I972" s="1" t="str">
        <f t="shared" si="15"/>
        <v/>
      </c>
    </row>
    <row r="973" spans="5:9" x14ac:dyDescent="0.3">
      <c r="E973" t="str">
        <f>IFERROR(IF(D973="","",VLOOKUP(D973,CadProd!$A:$B,2,0)),"")</f>
        <v/>
      </c>
      <c r="F973" t="str">
        <f>IFERROR(IF(D973="","",VLOOKUP(D973,CadProd!$A:$C,3,0)),"")</f>
        <v/>
      </c>
      <c r="I973" s="1" t="str">
        <f t="shared" si="15"/>
        <v/>
      </c>
    </row>
    <row r="974" spans="5:9" x14ac:dyDescent="0.3">
      <c r="E974" t="str">
        <f>IFERROR(IF(D974="","",VLOOKUP(D974,CadProd!$A:$B,2,0)),"")</f>
        <v/>
      </c>
      <c r="F974" t="str">
        <f>IFERROR(IF(D974="","",VLOOKUP(D974,CadProd!$A:$C,3,0)),"")</f>
        <v/>
      </c>
      <c r="I974" s="1" t="str">
        <f t="shared" si="15"/>
        <v/>
      </c>
    </row>
    <row r="975" spans="5:9" x14ac:dyDescent="0.3">
      <c r="E975" t="str">
        <f>IFERROR(IF(D975="","",VLOOKUP(D975,CadProd!$A:$B,2,0)),"")</f>
        <v/>
      </c>
      <c r="F975" t="str">
        <f>IFERROR(IF(D975="","",VLOOKUP(D975,CadProd!$A:$C,3,0)),"")</f>
        <v/>
      </c>
      <c r="I975" s="1" t="str">
        <f t="shared" si="15"/>
        <v/>
      </c>
    </row>
    <row r="976" spans="5:9" x14ac:dyDescent="0.3">
      <c r="E976" t="str">
        <f>IFERROR(IF(D976="","",VLOOKUP(D976,CadProd!$A:$B,2,0)),"")</f>
        <v/>
      </c>
      <c r="F976" t="str">
        <f>IFERROR(IF(D976="","",VLOOKUP(D976,CadProd!$A:$C,3,0)),"")</f>
        <v/>
      </c>
      <c r="I976" s="1" t="str">
        <f t="shared" si="15"/>
        <v/>
      </c>
    </row>
    <row r="977" spans="5:9" x14ac:dyDescent="0.3">
      <c r="E977" t="str">
        <f>IFERROR(IF(D977="","",VLOOKUP(D977,CadProd!$A:$B,2,0)),"")</f>
        <v/>
      </c>
      <c r="F977" t="str">
        <f>IFERROR(IF(D977="","",VLOOKUP(D977,CadProd!$A:$C,3,0)),"")</f>
        <v/>
      </c>
      <c r="I977" s="1" t="str">
        <f t="shared" si="15"/>
        <v/>
      </c>
    </row>
    <row r="978" spans="5:9" x14ac:dyDescent="0.3">
      <c r="E978" t="str">
        <f>IFERROR(IF(D978="","",VLOOKUP(D978,CadProd!$A:$B,2,0)),"")</f>
        <v/>
      </c>
      <c r="F978" t="str">
        <f>IFERROR(IF(D978="","",VLOOKUP(D978,CadProd!$A:$C,3,0)),"")</f>
        <v/>
      </c>
      <c r="I978" s="1" t="str">
        <f t="shared" si="15"/>
        <v/>
      </c>
    </row>
    <row r="979" spans="5:9" x14ac:dyDescent="0.3">
      <c r="E979" t="str">
        <f>IFERROR(IF(D979="","",VLOOKUP(D979,CadProd!$A:$B,2,0)),"")</f>
        <v/>
      </c>
      <c r="F979" t="str">
        <f>IFERROR(IF(D979="","",VLOOKUP(D979,CadProd!$A:$C,3,0)),"")</f>
        <v/>
      </c>
      <c r="I979" s="1" t="str">
        <f t="shared" si="15"/>
        <v/>
      </c>
    </row>
    <row r="980" spans="5:9" x14ac:dyDescent="0.3">
      <c r="E980" t="str">
        <f>IFERROR(IF(D980="","",VLOOKUP(D980,CadProd!$A:$B,2,0)),"")</f>
        <v/>
      </c>
      <c r="F980" t="str">
        <f>IFERROR(IF(D980="","",VLOOKUP(D980,CadProd!$A:$C,3,0)),"")</f>
        <v/>
      </c>
      <c r="I980" s="1" t="str">
        <f t="shared" si="15"/>
        <v/>
      </c>
    </row>
    <row r="981" spans="5:9" x14ac:dyDescent="0.3">
      <c r="E981" t="str">
        <f>IFERROR(IF(D981="","",VLOOKUP(D981,CadProd!$A:$B,2,0)),"")</f>
        <v/>
      </c>
      <c r="F981" t="str">
        <f>IFERROR(IF(D981="","",VLOOKUP(D981,CadProd!$A:$C,3,0)),"")</f>
        <v/>
      </c>
      <c r="I981" s="1" t="str">
        <f t="shared" si="15"/>
        <v/>
      </c>
    </row>
    <row r="982" spans="5:9" x14ac:dyDescent="0.3">
      <c r="E982" t="str">
        <f>IFERROR(IF(D982="","",VLOOKUP(D982,CadProd!$A:$B,2,0)),"")</f>
        <v/>
      </c>
      <c r="F982" t="str">
        <f>IFERROR(IF(D982="","",VLOOKUP(D982,CadProd!$A:$C,3,0)),"")</f>
        <v/>
      </c>
      <c r="I982" s="1" t="str">
        <f t="shared" si="15"/>
        <v/>
      </c>
    </row>
    <row r="983" spans="5:9" x14ac:dyDescent="0.3">
      <c r="E983" t="str">
        <f>IFERROR(IF(D983="","",VLOOKUP(D983,CadProd!$A:$B,2,0)),"")</f>
        <v/>
      </c>
      <c r="F983" t="str">
        <f>IFERROR(IF(D983="","",VLOOKUP(D983,CadProd!$A:$C,3,0)),"")</f>
        <v/>
      </c>
      <c r="I983" s="1" t="str">
        <f t="shared" si="15"/>
        <v/>
      </c>
    </row>
    <row r="984" spans="5:9" x14ac:dyDescent="0.3">
      <c r="E984" t="str">
        <f>IFERROR(IF(D984="","",VLOOKUP(D984,CadProd!$A:$B,2,0)),"")</f>
        <v/>
      </c>
      <c r="F984" t="str">
        <f>IFERROR(IF(D984="","",VLOOKUP(D984,CadProd!$A:$C,3,0)),"")</f>
        <v/>
      </c>
      <c r="I984" s="1" t="str">
        <f t="shared" si="15"/>
        <v/>
      </c>
    </row>
    <row r="985" spans="5:9" x14ac:dyDescent="0.3">
      <c r="E985" t="str">
        <f>IFERROR(IF(D985="","",VLOOKUP(D985,CadProd!$A:$B,2,0)),"")</f>
        <v/>
      </c>
      <c r="F985" t="str">
        <f>IFERROR(IF(D985="","",VLOOKUP(D985,CadProd!$A:$C,3,0)),"")</f>
        <v/>
      </c>
      <c r="I985" s="1" t="str">
        <f t="shared" si="15"/>
        <v/>
      </c>
    </row>
    <row r="986" spans="5:9" x14ac:dyDescent="0.3">
      <c r="E986" t="str">
        <f>IFERROR(IF(D986="","",VLOOKUP(D986,CadProd!$A:$B,2,0)),"")</f>
        <v/>
      </c>
      <c r="F986" t="str">
        <f>IFERROR(IF(D986="","",VLOOKUP(D986,CadProd!$A:$C,3,0)),"")</f>
        <v/>
      </c>
      <c r="I986" s="1" t="str">
        <f t="shared" si="15"/>
        <v/>
      </c>
    </row>
    <row r="987" spans="5:9" x14ac:dyDescent="0.3">
      <c r="E987" t="str">
        <f>IFERROR(IF(D987="","",VLOOKUP(D987,CadProd!$A:$B,2,0)),"")</f>
        <v/>
      </c>
      <c r="F987" t="str">
        <f>IFERROR(IF(D987="","",VLOOKUP(D987,CadProd!$A:$C,3,0)),"")</f>
        <v/>
      </c>
      <c r="I987" s="1" t="str">
        <f t="shared" si="15"/>
        <v/>
      </c>
    </row>
    <row r="988" spans="5:9" x14ac:dyDescent="0.3">
      <c r="E988" t="str">
        <f>IFERROR(IF(D988="","",VLOOKUP(D988,CadProd!$A:$B,2,0)),"")</f>
        <v/>
      </c>
      <c r="F988" t="str">
        <f>IFERROR(IF(D988="","",VLOOKUP(D988,CadProd!$A:$C,3,0)),"")</f>
        <v/>
      </c>
      <c r="I988" s="1" t="str">
        <f t="shared" si="15"/>
        <v/>
      </c>
    </row>
    <row r="989" spans="5:9" x14ac:dyDescent="0.3">
      <c r="E989" t="str">
        <f>IFERROR(IF(D989="","",VLOOKUP(D989,CadProd!$A:$B,2,0)),"")</f>
        <v/>
      </c>
      <c r="F989" t="str">
        <f>IFERROR(IF(D989="","",VLOOKUP(D989,CadProd!$A:$C,3,0)),"")</f>
        <v/>
      </c>
      <c r="I989" s="1" t="str">
        <f t="shared" si="15"/>
        <v/>
      </c>
    </row>
    <row r="990" spans="5:9" x14ac:dyDescent="0.3">
      <c r="E990" t="str">
        <f>IFERROR(IF(D990="","",VLOOKUP(D990,CadProd!$A:$B,2,0)),"")</f>
        <v/>
      </c>
      <c r="F990" t="str">
        <f>IFERROR(IF(D990="","",VLOOKUP(D990,CadProd!$A:$C,3,0)),"")</f>
        <v/>
      </c>
      <c r="I990" s="1" t="str">
        <f t="shared" si="15"/>
        <v/>
      </c>
    </row>
    <row r="991" spans="5:9" x14ac:dyDescent="0.3">
      <c r="E991" t="str">
        <f>IFERROR(IF(D991="","",VLOOKUP(D991,CadProd!$A:$B,2,0)),"")</f>
        <v/>
      </c>
      <c r="F991" t="str">
        <f>IFERROR(IF(D991="","",VLOOKUP(D991,CadProd!$A:$C,3,0)),"")</f>
        <v/>
      </c>
      <c r="I991" s="1" t="str">
        <f t="shared" si="15"/>
        <v/>
      </c>
    </row>
    <row r="992" spans="5:9" x14ac:dyDescent="0.3">
      <c r="E992" t="str">
        <f>IFERROR(IF(D992="","",VLOOKUP(D992,CadProd!$A:$B,2,0)),"")</f>
        <v/>
      </c>
      <c r="F992" t="str">
        <f>IFERROR(IF(D992="","",VLOOKUP(D992,CadProd!$A:$C,3,0)),"")</f>
        <v/>
      </c>
      <c r="I992" s="1" t="str">
        <f t="shared" si="15"/>
        <v/>
      </c>
    </row>
    <row r="993" spans="5:9" x14ac:dyDescent="0.3">
      <c r="E993" t="str">
        <f>IFERROR(IF(D993="","",VLOOKUP(D993,CadProd!$A:$B,2,0)),"")</f>
        <v/>
      </c>
      <c r="F993" t="str">
        <f>IFERROR(IF(D993="","",VLOOKUP(D993,CadProd!$A:$C,3,0)),"")</f>
        <v/>
      </c>
      <c r="I993" s="1" t="str">
        <f t="shared" si="15"/>
        <v/>
      </c>
    </row>
    <row r="994" spans="5:9" x14ac:dyDescent="0.3">
      <c r="E994" t="str">
        <f>IFERROR(IF(D994="","",VLOOKUP(D994,CadProd!$A:$B,2,0)),"")</f>
        <v/>
      </c>
      <c r="F994" t="str">
        <f>IFERROR(IF(D994="","",VLOOKUP(D994,CadProd!$A:$C,3,0)),"")</f>
        <v/>
      </c>
      <c r="I994" s="1" t="str">
        <f t="shared" si="15"/>
        <v/>
      </c>
    </row>
    <row r="995" spans="5:9" x14ac:dyDescent="0.3">
      <c r="E995" t="str">
        <f>IFERROR(IF(D995="","",VLOOKUP(D995,CadProd!$A:$B,2,0)),"")</f>
        <v/>
      </c>
      <c r="F995" t="str">
        <f>IFERROR(IF(D995="","",VLOOKUP(D995,CadProd!$A:$C,3,0)),"")</f>
        <v/>
      </c>
      <c r="I995" s="1" t="str">
        <f t="shared" si="15"/>
        <v/>
      </c>
    </row>
    <row r="996" spans="5:9" x14ac:dyDescent="0.3">
      <c r="E996" t="str">
        <f>IFERROR(IF(D996="","",VLOOKUP(D996,CadProd!$A:$B,2,0)),"")</f>
        <v/>
      </c>
      <c r="F996" t="str">
        <f>IFERROR(IF(D996="","",VLOOKUP(D996,CadProd!$A:$C,3,0)),"")</f>
        <v/>
      </c>
      <c r="I996" s="1" t="str">
        <f t="shared" si="15"/>
        <v/>
      </c>
    </row>
    <row r="997" spans="5:9" x14ac:dyDescent="0.3">
      <c r="E997" t="str">
        <f>IFERROR(IF(D997="","",VLOOKUP(D997,CadProd!$A:$B,2,0)),"")</f>
        <v/>
      </c>
      <c r="F997" t="str">
        <f>IFERROR(IF(D997="","",VLOOKUP(D997,CadProd!$A:$C,3,0)),"")</f>
        <v/>
      </c>
      <c r="I997" s="1" t="str">
        <f t="shared" si="15"/>
        <v/>
      </c>
    </row>
    <row r="998" spans="5:9" x14ac:dyDescent="0.3">
      <c r="E998" t="str">
        <f>IFERROR(IF(D998="","",VLOOKUP(D998,CadProd!$A:$B,2,0)),"")</f>
        <v/>
      </c>
      <c r="F998" t="str">
        <f>IFERROR(IF(D998="","",VLOOKUP(D998,CadProd!$A:$C,3,0)),"")</f>
        <v/>
      </c>
      <c r="I998" s="1" t="str">
        <f t="shared" si="15"/>
        <v/>
      </c>
    </row>
    <row r="999" spans="5:9" x14ac:dyDescent="0.3">
      <c r="E999" t="str">
        <f>IFERROR(IF(D999="","",VLOOKUP(D999,CadProd!$A:$B,2,0)),"")</f>
        <v/>
      </c>
      <c r="F999" t="str">
        <f>IFERROR(IF(D999="","",VLOOKUP(D999,CadProd!$A:$C,3,0)),"")</f>
        <v/>
      </c>
      <c r="I999" s="1" t="str">
        <f t="shared" si="15"/>
        <v/>
      </c>
    </row>
    <row r="1000" spans="5:9" x14ac:dyDescent="0.3">
      <c r="E1000" t="str">
        <f>IFERROR(IF(D1000="","",VLOOKUP(D1000,CadProd!$A:$B,2,0)),"")</f>
        <v/>
      </c>
      <c r="F1000" t="str">
        <f>IFERROR(IF(D1000="","",VLOOKUP(D1000,CadProd!$A:$C,3,0)),"")</f>
        <v/>
      </c>
      <c r="I1000" s="1" t="str">
        <f t="shared" si="15"/>
        <v/>
      </c>
    </row>
    <row r="1001" spans="5:9" x14ac:dyDescent="0.3">
      <c r="E1001" t="str">
        <f>IFERROR(IF(D1001="","",VLOOKUP(D1001,CadProd!$A:$B,2,0)),"")</f>
        <v/>
      </c>
      <c r="F1001" t="str">
        <f>IFERROR(IF(D1001="","",VLOOKUP(D1001,CadProd!$A:$C,3,0)),"")</f>
        <v/>
      </c>
      <c r="I1001" s="1" t="str">
        <f t="shared" si="15"/>
        <v/>
      </c>
    </row>
    <row r="1002" spans="5:9" x14ac:dyDescent="0.3">
      <c r="E1002" t="str">
        <f>IFERROR(IF(D1002="","",VLOOKUP(D1002,CadProd!$A:$B,2,0)),"")</f>
        <v/>
      </c>
      <c r="F1002" t="str">
        <f>IFERROR(IF(D1002="","",VLOOKUP(D1002,CadProd!$A:$C,3,0)),"")</f>
        <v/>
      </c>
      <c r="I1002" s="1" t="str">
        <f t="shared" si="15"/>
        <v/>
      </c>
    </row>
    <row r="1003" spans="5:9" x14ac:dyDescent="0.3">
      <c r="E1003" t="str">
        <f>IFERROR(IF(D1003="","",VLOOKUP(D1003,CadProd!$A:$B,2,0)),"")</f>
        <v/>
      </c>
      <c r="F1003" t="str">
        <f>IFERROR(IF(D1003="","",VLOOKUP(D1003,CadProd!$A:$C,3,0)),"")</f>
        <v/>
      </c>
      <c r="I1003" s="1" t="str">
        <f t="shared" si="15"/>
        <v/>
      </c>
    </row>
    <row r="1004" spans="5:9" x14ac:dyDescent="0.3">
      <c r="E1004" t="str">
        <f>IFERROR(IF(D1004="","",VLOOKUP(D1004,CadProd!$A:$B,2,0)),"")</f>
        <v/>
      </c>
      <c r="F1004" t="str">
        <f>IFERROR(IF(D1004="","",VLOOKUP(D1004,CadProd!$A:$C,3,0)),"")</f>
        <v/>
      </c>
      <c r="I1004" s="1" t="str">
        <f t="shared" si="15"/>
        <v/>
      </c>
    </row>
    <row r="1005" spans="5:9" x14ac:dyDescent="0.3">
      <c r="E1005" t="str">
        <f>IFERROR(IF(D1005="","",VLOOKUP(D1005,CadProd!$A:$B,2,0)),"")</f>
        <v/>
      </c>
      <c r="F1005" t="str">
        <f>IFERROR(IF(D1005="","",VLOOKUP(D1005,CadProd!$A:$C,3,0)),"")</f>
        <v/>
      </c>
      <c r="I1005" s="1" t="str">
        <f t="shared" si="15"/>
        <v/>
      </c>
    </row>
    <row r="1006" spans="5:9" x14ac:dyDescent="0.3">
      <c r="E1006" t="str">
        <f>IFERROR(IF(D1006="","",VLOOKUP(D1006,CadProd!$A:$B,2,0)),"")</f>
        <v/>
      </c>
      <c r="F1006" t="str">
        <f>IFERROR(IF(D1006="","",VLOOKUP(D1006,CadProd!$A:$C,3,0)),"")</f>
        <v/>
      </c>
      <c r="I1006" s="1" t="str">
        <f t="shared" si="15"/>
        <v/>
      </c>
    </row>
    <row r="1007" spans="5:9" x14ac:dyDescent="0.3">
      <c r="E1007" t="str">
        <f>IFERROR(IF(D1007="","",VLOOKUP(D1007,CadProd!$A:$B,2,0)),"")</f>
        <v/>
      </c>
      <c r="F1007" t="str">
        <f>IFERROR(IF(D1007="","",VLOOKUP(D1007,CadProd!$A:$C,3,0)),"")</f>
        <v/>
      </c>
      <c r="I1007" s="1" t="str">
        <f t="shared" si="15"/>
        <v/>
      </c>
    </row>
    <row r="1008" spans="5:9" x14ac:dyDescent="0.3">
      <c r="E1008" t="str">
        <f>IFERROR(IF(D1008="","",VLOOKUP(D1008,CadProd!$A:$B,2,0)),"")</f>
        <v/>
      </c>
      <c r="F1008" t="str">
        <f>IFERROR(IF(D1008="","",VLOOKUP(D1008,CadProd!$A:$C,3,0)),"")</f>
        <v/>
      </c>
      <c r="I1008" s="1" t="str">
        <f t="shared" si="15"/>
        <v/>
      </c>
    </row>
    <row r="1009" spans="5:9" x14ac:dyDescent="0.3">
      <c r="E1009" t="str">
        <f>IFERROR(IF(D1009="","",VLOOKUP(D1009,CadProd!$A:$B,2,0)),"")</f>
        <v/>
      </c>
      <c r="F1009" t="str">
        <f>IFERROR(IF(D1009="","",VLOOKUP(D1009,CadProd!$A:$C,3,0)),"")</f>
        <v/>
      </c>
      <c r="I1009" s="1" t="str">
        <f t="shared" si="15"/>
        <v/>
      </c>
    </row>
    <row r="1010" spans="5:9" x14ac:dyDescent="0.3">
      <c r="E1010" t="str">
        <f>IFERROR(IF(D1010="","",VLOOKUP(D1010,CadProd!$A:$B,2,0)),"")</f>
        <v/>
      </c>
      <c r="F1010" t="str">
        <f>IFERROR(IF(D1010="","",VLOOKUP(D1010,CadProd!$A:$C,3,0)),"")</f>
        <v/>
      </c>
      <c r="I1010" s="1" t="str">
        <f t="shared" si="15"/>
        <v/>
      </c>
    </row>
    <row r="1011" spans="5:9" x14ac:dyDescent="0.3">
      <c r="E1011" t="str">
        <f>IFERROR(IF(D1011="","",VLOOKUP(D1011,CadProd!$A:$B,2,0)),"")</f>
        <v/>
      </c>
      <c r="F1011" t="str">
        <f>IFERROR(IF(D1011="","",VLOOKUP(D1011,CadProd!$A:$C,3,0)),"")</f>
        <v/>
      </c>
      <c r="I1011" s="1" t="str">
        <f t="shared" si="15"/>
        <v/>
      </c>
    </row>
    <row r="1012" spans="5:9" x14ac:dyDescent="0.3">
      <c r="E1012" t="str">
        <f>IFERROR(IF(D1012="","",VLOOKUP(D1012,CadProd!$A:$B,2,0)),"")</f>
        <v/>
      </c>
      <c r="F1012" t="str">
        <f>IFERROR(IF(D1012="","",VLOOKUP(D1012,CadProd!$A:$C,3,0)),"")</f>
        <v/>
      </c>
      <c r="I1012" s="1" t="str">
        <f t="shared" si="15"/>
        <v/>
      </c>
    </row>
    <row r="1013" spans="5:9" x14ac:dyDescent="0.3">
      <c r="E1013" t="str">
        <f>IFERROR(IF(D1013="","",VLOOKUP(D1013,CadProd!$A:$B,2,0)),"")</f>
        <v/>
      </c>
      <c r="F1013" t="str">
        <f>IFERROR(IF(D1013="","",VLOOKUP(D1013,CadProd!$A:$C,3,0)),"")</f>
        <v/>
      </c>
      <c r="I1013" s="1" t="str">
        <f t="shared" si="15"/>
        <v/>
      </c>
    </row>
    <row r="1014" spans="5:9" x14ac:dyDescent="0.3">
      <c r="E1014" t="str">
        <f>IFERROR(IF(D1014="","",VLOOKUP(D1014,CadProd!$A:$B,2,0)),"")</f>
        <v/>
      </c>
      <c r="F1014" t="str">
        <f>IFERROR(IF(D1014="","",VLOOKUP(D1014,CadProd!$A:$C,3,0)),"")</f>
        <v/>
      </c>
      <c r="I1014" s="1" t="str">
        <f t="shared" si="15"/>
        <v/>
      </c>
    </row>
    <row r="1015" spans="5:9" x14ac:dyDescent="0.3">
      <c r="E1015" t="str">
        <f>IFERROR(IF(D1015="","",VLOOKUP(D1015,CadProd!$A:$B,2,0)),"")</f>
        <v/>
      </c>
      <c r="F1015" t="str">
        <f>IFERROR(IF(D1015="","",VLOOKUP(D1015,CadProd!$A:$C,3,0)),"")</f>
        <v/>
      </c>
      <c r="I1015" s="1" t="str">
        <f t="shared" si="15"/>
        <v/>
      </c>
    </row>
    <row r="1016" spans="5:9" x14ac:dyDescent="0.3">
      <c r="E1016" t="str">
        <f>IFERROR(IF(D1016="","",VLOOKUP(D1016,CadProd!$A:$B,2,0)),"")</f>
        <v/>
      </c>
      <c r="F1016" t="str">
        <f>IFERROR(IF(D1016="","",VLOOKUP(D1016,CadProd!$A:$C,3,0)),"")</f>
        <v/>
      </c>
      <c r="I1016" s="1" t="str">
        <f t="shared" si="15"/>
        <v/>
      </c>
    </row>
    <row r="1017" spans="5:9" x14ac:dyDescent="0.3">
      <c r="E1017" t="str">
        <f>IFERROR(IF(D1017="","",VLOOKUP(D1017,CadProd!$A:$B,2,0)),"")</f>
        <v/>
      </c>
      <c r="F1017" t="str">
        <f>IFERROR(IF(D1017="","",VLOOKUP(D1017,CadProd!$A:$C,3,0)),"")</f>
        <v/>
      </c>
      <c r="I1017" s="1" t="str">
        <f t="shared" si="15"/>
        <v/>
      </c>
    </row>
    <row r="1018" spans="5:9" x14ac:dyDescent="0.3">
      <c r="E1018" t="str">
        <f>IFERROR(IF(D1018="","",VLOOKUP(D1018,CadProd!$A:$B,2,0)),"")</f>
        <v/>
      </c>
      <c r="F1018" t="str">
        <f>IFERROR(IF(D1018="","",VLOOKUP(D1018,CadProd!$A:$C,3,0)),"")</f>
        <v/>
      </c>
      <c r="I1018" s="1" t="str">
        <f t="shared" si="15"/>
        <v/>
      </c>
    </row>
    <row r="1019" spans="5:9" x14ac:dyDescent="0.3">
      <c r="E1019" t="str">
        <f>IFERROR(IF(D1019="","",VLOOKUP(D1019,CadProd!$A:$B,2,0)),"")</f>
        <v/>
      </c>
      <c r="F1019" t="str">
        <f>IFERROR(IF(D1019="","",VLOOKUP(D1019,CadProd!$A:$C,3,0)),"")</f>
        <v/>
      </c>
      <c r="I1019" s="1" t="str">
        <f t="shared" si="15"/>
        <v/>
      </c>
    </row>
    <row r="1020" spans="5:9" x14ac:dyDescent="0.3">
      <c r="E1020" t="str">
        <f>IFERROR(IF(D1020="","",VLOOKUP(D1020,CadProd!$A:$B,2,0)),"")</f>
        <v/>
      </c>
      <c r="F1020" t="str">
        <f>IFERROR(IF(D1020="","",VLOOKUP(D1020,CadProd!$A:$C,3,0)),"")</f>
        <v/>
      </c>
      <c r="I1020" s="1" t="str">
        <f t="shared" si="15"/>
        <v/>
      </c>
    </row>
    <row r="1021" spans="5:9" x14ac:dyDescent="0.3">
      <c r="E1021" t="str">
        <f>IFERROR(IF(D1021="","",VLOOKUP(D1021,CadProd!$A:$B,2,0)),"")</f>
        <v/>
      </c>
      <c r="F1021" t="str">
        <f>IFERROR(IF(D1021="","",VLOOKUP(D1021,CadProd!$A:$C,3,0)),"")</f>
        <v/>
      </c>
      <c r="I1021" s="1" t="str">
        <f t="shared" si="15"/>
        <v/>
      </c>
    </row>
    <row r="1022" spans="5:9" x14ac:dyDescent="0.3">
      <c r="E1022" t="str">
        <f>IFERROR(IF(D1022="","",VLOOKUP(D1022,CadProd!$A:$B,2,0)),"")</f>
        <v/>
      </c>
      <c r="F1022" t="str">
        <f>IFERROR(IF(D1022="","",VLOOKUP(D1022,CadProd!$A:$C,3,0)),"")</f>
        <v/>
      </c>
      <c r="I1022" s="1" t="str">
        <f t="shared" si="15"/>
        <v/>
      </c>
    </row>
    <row r="1023" spans="5:9" x14ac:dyDescent="0.3">
      <c r="E1023" t="str">
        <f>IFERROR(IF(D1023="","",VLOOKUP(D1023,CadProd!$A:$B,2,0)),"")</f>
        <v/>
      </c>
      <c r="F1023" t="str">
        <f>IFERROR(IF(D1023="","",VLOOKUP(D1023,CadProd!$A:$C,3,0)),"")</f>
        <v/>
      </c>
      <c r="I1023" s="1" t="str">
        <f t="shared" si="15"/>
        <v/>
      </c>
    </row>
    <row r="1024" spans="5:9" x14ac:dyDescent="0.3">
      <c r="E1024" t="str">
        <f>IFERROR(IF(D1024="","",VLOOKUP(D1024,CadProd!$A:$B,2,0)),"")</f>
        <v/>
      </c>
      <c r="F1024" t="str">
        <f>IFERROR(IF(D1024="","",VLOOKUP(D1024,CadProd!$A:$C,3,0)),"")</f>
        <v/>
      </c>
      <c r="I1024" s="1" t="str">
        <f t="shared" si="15"/>
        <v/>
      </c>
    </row>
    <row r="1025" spans="5:9" x14ac:dyDescent="0.3">
      <c r="E1025" t="str">
        <f>IFERROR(IF(D1025="","",VLOOKUP(D1025,CadProd!$A:$B,2,0)),"")</f>
        <v/>
      </c>
      <c r="F1025" t="str">
        <f>IFERROR(IF(D1025="","",VLOOKUP(D1025,CadProd!$A:$C,3,0)),"")</f>
        <v/>
      </c>
      <c r="I1025" s="1" t="str">
        <f t="shared" si="15"/>
        <v/>
      </c>
    </row>
    <row r="1026" spans="5:9" x14ac:dyDescent="0.3">
      <c r="E1026" t="str">
        <f>IFERROR(IF(D1026="","",VLOOKUP(D1026,CadProd!$A:$B,2,0)),"")</f>
        <v/>
      </c>
      <c r="F1026" t="str">
        <f>IFERROR(IF(D1026="","",VLOOKUP(D1026,CadProd!$A:$C,3,0)),"")</f>
        <v/>
      </c>
      <c r="I1026" s="1" t="str">
        <f t="shared" ref="I1026:I1089" si="16">IFERROR(IF(D1026="","",H1026*G1026),"")</f>
        <v/>
      </c>
    </row>
    <row r="1027" spans="5:9" x14ac:dyDescent="0.3">
      <c r="E1027" t="str">
        <f>IFERROR(IF(D1027="","",VLOOKUP(D1027,CadProd!$A:$B,2,0)),"")</f>
        <v/>
      </c>
      <c r="F1027" t="str">
        <f>IFERROR(IF(D1027="","",VLOOKUP(D1027,CadProd!$A:$C,3,0)),"")</f>
        <v/>
      </c>
      <c r="I1027" s="1" t="str">
        <f t="shared" si="16"/>
        <v/>
      </c>
    </row>
    <row r="1028" spans="5:9" x14ac:dyDescent="0.3">
      <c r="E1028" t="str">
        <f>IFERROR(IF(D1028="","",VLOOKUP(D1028,CadProd!$A:$B,2,0)),"")</f>
        <v/>
      </c>
      <c r="F1028" t="str">
        <f>IFERROR(IF(D1028="","",VLOOKUP(D1028,CadProd!$A:$C,3,0)),"")</f>
        <v/>
      </c>
      <c r="I1028" s="1" t="str">
        <f t="shared" si="16"/>
        <v/>
      </c>
    </row>
    <row r="1029" spans="5:9" x14ac:dyDescent="0.3">
      <c r="E1029" t="str">
        <f>IFERROR(IF(D1029="","",VLOOKUP(D1029,CadProd!$A:$B,2,0)),"")</f>
        <v/>
      </c>
      <c r="F1029" t="str">
        <f>IFERROR(IF(D1029="","",VLOOKUP(D1029,CadProd!$A:$C,3,0)),"")</f>
        <v/>
      </c>
      <c r="I1029" s="1" t="str">
        <f t="shared" si="16"/>
        <v/>
      </c>
    </row>
    <row r="1030" spans="5:9" x14ac:dyDescent="0.3">
      <c r="E1030" t="str">
        <f>IFERROR(IF(D1030="","",VLOOKUP(D1030,CadProd!$A:$B,2,0)),"")</f>
        <v/>
      </c>
      <c r="F1030" t="str">
        <f>IFERROR(IF(D1030="","",VLOOKUP(D1030,CadProd!$A:$C,3,0)),"")</f>
        <v/>
      </c>
      <c r="I1030" s="1" t="str">
        <f t="shared" si="16"/>
        <v/>
      </c>
    </row>
    <row r="1031" spans="5:9" x14ac:dyDescent="0.3">
      <c r="E1031" t="str">
        <f>IFERROR(IF(D1031="","",VLOOKUP(D1031,CadProd!$A:$B,2,0)),"")</f>
        <v/>
      </c>
      <c r="F1031" t="str">
        <f>IFERROR(IF(D1031="","",VLOOKUP(D1031,CadProd!$A:$C,3,0)),"")</f>
        <v/>
      </c>
      <c r="I1031" s="1" t="str">
        <f t="shared" si="16"/>
        <v/>
      </c>
    </row>
    <row r="1032" spans="5:9" x14ac:dyDescent="0.3">
      <c r="E1032" t="str">
        <f>IFERROR(IF(D1032="","",VLOOKUP(D1032,CadProd!$A:$B,2,0)),"")</f>
        <v/>
      </c>
      <c r="F1032" t="str">
        <f>IFERROR(IF(D1032="","",VLOOKUP(D1032,CadProd!$A:$C,3,0)),"")</f>
        <v/>
      </c>
      <c r="I1032" s="1" t="str">
        <f t="shared" si="16"/>
        <v/>
      </c>
    </row>
    <row r="1033" spans="5:9" x14ac:dyDescent="0.3">
      <c r="E1033" t="str">
        <f>IFERROR(IF(D1033="","",VLOOKUP(D1033,CadProd!$A:$B,2,0)),"")</f>
        <v/>
      </c>
      <c r="F1033" t="str">
        <f>IFERROR(IF(D1033="","",VLOOKUP(D1033,CadProd!$A:$C,3,0)),"")</f>
        <v/>
      </c>
      <c r="I1033" s="1" t="str">
        <f t="shared" si="16"/>
        <v/>
      </c>
    </row>
    <row r="1034" spans="5:9" x14ac:dyDescent="0.3">
      <c r="E1034" t="str">
        <f>IFERROR(IF(D1034="","",VLOOKUP(D1034,CadProd!$A:$B,2,0)),"")</f>
        <v/>
      </c>
      <c r="F1034" t="str">
        <f>IFERROR(IF(D1034="","",VLOOKUP(D1034,CadProd!$A:$C,3,0)),"")</f>
        <v/>
      </c>
      <c r="I1034" s="1" t="str">
        <f t="shared" si="16"/>
        <v/>
      </c>
    </row>
    <row r="1035" spans="5:9" x14ac:dyDescent="0.3">
      <c r="E1035" t="str">
        <f>IFERROR(IF(D1035="","",VLOOKUP(D1035,CadProd!$A:$B,2,0)),"")</f>
        <v/>
      </c>
      <c r="F1035" t="str">
        <f>IFERROR(IF(D1035="","",VLOOKUP(D1035,CadProd!$A:$C,3,0)),"")</f>
        <v/>
      </c>
      <c r="I1035" s="1" t="str">
        <f t="shared" si="16"/>
        <v/>
      </c>
    </row>
    <row r="1036" spans="5:9" x14ac:dyDescent="0.3">
      <c r="E1036" t="str">
        <f>IFERROR(IF(D1036="","",VLOOKUP(D1036,CadProd!$A:$B,2,0)),"")</f>
        <v/>
      </c>
      <c r="F1036" t="str">
        <f>IFERROR(IF(D1036="","",VLOOKUP(D1036,CadProd!$A:$C,3,0)),"")</f>
        <v/>
      </c>
      <c r="I1036" s="1" t="str">
        <f t="shared" si="16"/>
        <v/>
      </c>
    </row>
    <row r="1037" spans="5:9" x14ac:dyDescent="0.3">
      <c r="E1037" t="str">
        <f>IFERROR(IF(D1037="","",VLOOKUP(D1037,CadProd!$A:$B,2,0)),"")</f>
        <v/>
      </c>
      <c r="F1037" t="str">
        <f>IFERROR(IF(D1037="","",VLOOKUP(D1037,CadProd!$A:$C,3,0)),"")</f>
        <v/>
      </c>
      <c r="I1037" s="1" t="str">
        <f t="shared" si="16"/>
        <v/>
      </c>
    </row>
    <row r="1038" spans="5:9" x14ac:dyDescent="0.3">
      <c r="E1038" t="str">
        <f>IFERROR(IF(D1038="","",VLOOKUP(D1038,CadProd!$A:$B,2,0)),"")</f>
        <v/>
      </c>
      <c r="F1038" t="str">
        <f>IFERROR(IF(D1038="","",VLOOKUP(D1038,CadProd!$A:$C,3,0)),"")</f>
        <v/>
      </c>
      <c r="I1038" s="1" t="str">
        <f t="shared" si="16"/>
        <v/>
      </c>
    </row>
    <row r="1039" spans="5:9" x14ac:dyDescent="0.3">
      <c r="E1039" t="str">
        <f>IFERROR(IF(D1039="","",VLOOKUP(D1039,CadProd!$A:$B,2,0)),"")</f>
        <v/>
      </c>
      <c r="F1039" t="str">
        <f>IFERROR(IF(D1039="","",VLOOKUP(D1039,CadProd!$A:$C,3,0)),"")</f>
        <v/>
      </c>
      <c r="I1039" s="1" t="str">
        <f t="shared" si="16"/>
        <v/>
      </c>
    </row>
    <row r="1040" spans="5:9" x14ac:dyDescent="0.3">
      <c r="E1040" t="str">
        <f>IFERROR(IF(D1040="","",VLOOKUP(D1040,CadProd!$A:$B,2,0)),"")</f>
        <v/>
      </c>
      <c r="F1040" t="str">
        <f>IFERROR(IF(D1040="","",VLOOKUP(D1040,CadProd!$A:$C,3,0)),"")</f>
        <v/>
      </c>
      <c r="I1040" s="1" t="str">
        <f t="shared" si="16"/>
        <v/>
      </c>
    </row>
    <row r="1041" spans="5:9" x14ac:dyDescent="0.3">
      <c r="E1041" t="str">
        <f>IFERROR(IF(D1041="","",VLOOKUP(D1041,CadProd!$A:$B,2,0)),"")</f>
        <v/>
      </c>
      <c r="F1041" t="str">
        <f>IFERROR(IF(D1041="","",VLOOKUP(D1041,CadProd!$A:$C,3,0)),"")</f>
        <v/>
      </c>
      <c r="I1041" s="1" t="str">
        <f t="shared" si="16"/>
        <v/>
      </c>
    </row>
    <row r="1042" spans="5:9" x14ac:dyDescent="0.3">
      <c r="E1042" t="str">
        <f>IFERROR(IF(D1042="","",VLOOKUP(D1042,CadProd!$A:$B,2,0)),"")</f>
        <v/>
      </c>
      <c r="F1042" t="str">
        <f>IFERROR(IF(D1042="","",VLOOKUP(D1042,CadProd!$A:$C,3,0)),"")</f>
        <v/>
      </c>
      <c r="I1042" s="1" t="str">
        <f t="shared" si="16"/>
        <v/>
      </c>
    </row>
    <row r="1043" spans="5:9" x14ac:dyDescent="0.3">
      <c r="E1043" t="str">
        <f>IFERROR(IF(D1043="","",VLOOKUP(D1043,CadProd!$A:$B,2,0)),"")</f>
        <v/>
      </c>
      <c r="F1043" t="str">
        <f>IFERROR(IF(D1043="","",VLOOKUP(D1043,CadProd!$A:$C,3,0)),"")</f>
        <v/>
      </c>
      <c r="I1043" s="1" t="str">
        <f t="shared" si="16"/>
        <v/>
      </c>
    </row>
    <row r="1044" spans="5:9" x14ac:dyDescent="0.3">
      <c r="E1044" t="str">
        <f>IFERROR(IF(D1044="","",VLOOKUP(D1044,CadProd!$A:$B,2,0)),"")</f>
        <v/>
      </c>
      <c r="F1044" t="str">
        <f>IFERROR(IF(D1044="","",VLOOKUP(D1044,CadProd!$A:$C,3,0)),"")</f>
        <v/>
      </c>
      <c r="I1044" s="1" t="str">
        <f t="shared" si="16"/>
        <v/>
      </c>
    </row>
    <row r="1045" spans="5:9" x14ac:dyDescent="0.3">
      <c r="E1045" t="str">
        <f>IFERROR(IF(D1045="","",VLOOKUP(D1045,CadProd!$A:$B,2,0)),"")</f>
        <v/>
      </c>
      <c r="F1045" t="str">
        <f>IFERROR(IF(D1045="","",VLOOKUP(D1045,CadProd!$A:$C,3,0)),"")</f>
        <v/>
      </c>
      <c r="I1045" s="1" t="str">
        <f t="shared" si="16"/>
        <v/>
      </c>
    </row>
    <row r="1046" spans="5:9" x14ac:dyDescent="0.3">
      <c r="E1046" t="str">
        <f>IFERROR(IF(D1046="","",VLOOKUP(D1046,CadProd!$A:$B,2,0)),"")</f>
        <v/>
      </c>
      <c r="F1046" t="str">
        <f>IFERROR(IF(D1046="","",VLOOKUP(D1046,CadProd!$A:$C,3,0)),"")</f>
        <v/>
      </c>
      <c r="I1046" s="1" t="str">
        <f t="shared" si="16"/>
        <v/>
      </c>
    </row>
    <row r="1047" spans="5:9" x14ac:dyDescent="0.3">
      <c r="E1047" t="str">
        <f>IFERROR(IF(D1047="","",VLOOKUP(D1047,CadProd!$A:$B,2,0)),"")</f>
        <v/>
      </c>
      <c r="F1047" t="str">
        <f>IFERROR(IF(D1047="","",VLOOKUP(D1047,CadProd!$A:$C,3,0)),"")</f>
        <v/>
      </c>
      <c r="I1047" s="1" t="str">
        <f t="shared" si="16"/>
        <v/>
      </c>
    </row>
    <row r="1048" spans="5:9" x14ac:dyDescent="0.3">
      <c r="E1048" t="str">
        <f>IFERROR(IF(D1048="","",VLOOKUP(D1048,CadProd!$A:$B,2,0)),"")</f>
        <v/>
      </c>
      <c r="F1048" t="str">
        <f>IFERROR(IF(D1048="","",VLOOKUP(D1048,CadProd!$A:$C,3,0)),"")</f>
        <v/>
      </c>
      <c r="I1048" s="1" t="str">
        <f t="shared" si="16"/>
        <v/>
      </c>
    </row>
    <row r="1049" spans="5:9" x14ac:dyDescent="0.3">
      <c r="E1049" t="str">
        <f>IFERROR(IF(D1049="","",VLOOKUP(D1049,CadProd!$A:$B,2,0)),"")</f>
        <v/>
      </c>
      <c r="F1049" t="str">
        <f>IFERROR(IF(D1049="","",VLOOKUP(D1049,CadProd!$A:$C,3,0)),"")</f>
        <v/>
      </c>
      <c r="I1049" s="1" t="str">
        <f t="shared" si="16"/>
        <v/>
      </c>
    </row>
    <row r="1050" spans="5:9" x14ac:dyDescent="0.3">
      <c r="E1050" t="str">
        <f>IFERROR(IF(D1050="","",VLOOKUP(D1050,CadProd!$A:$B,2,0)),"")</f>
        <v/>
      </c>
      <c r="F1050" t="str">
        <f>IFERROR(IF(D1050="","",VLOOKUP(D1050,CadProd!$A:$C,3,0)),"")</f>
        <v/>
      </c>
      <c r="I1050" s="1" t="str">
        <f t="shared" si="16"/>
        <v/>
      </c>
    </row>
    <row r="1051" spans="5:9" x14ac:dyDescent="0.3">
      <c r="E1051" t="str">
        <f>IFERROR(IF(D1051="","",VLOOKUP(D1051,CadProd!$A:$B,2,0)),"")</f>
        <v/>
      </c>
      <c r="F1051" t="str">
        <f>IFERROR(IF(D1051="","",VLOOKUP(D1051,CadProd!$A:$C,3,0)),"")</f>
        <v/>
      </c>
      <c r="I1051" s="1" t="str">
        <f t="shared" si="16"/>
        <v/>
      </c>
    </row>
    <row r="1052" spans="5:9" x14ac:dyDescent="0.3">
      <c r="E1052" t="str">
        <f>IFERROR(IF(D1052="","",VLOOKUP(D1052,CadProd!$A:$B,2,0)),"")</f>
        <v/>
      </c>
      <c r="F1052" t="str">
        <f>IFERROR(IF(D1052="","",VLOOKUP(D1052,CadProd!$A:$C,3,0)),"")</f>
        <v/>
      </c>
      <c r="I1052" s="1" t="str">
        <f t="shared" si="16"/>
        <v/>
      </c>
    </row>
    <row r="1053" spans="5:9" x14ac:dyDescent="0.3">
      <c r="E1053" t="str">
        <f>IFERROR(IF(D1053="","",VLOOKUP(D1053,CadProd!$A:$B,2,0)),"")</f>
        <v/>
      </c>
      <c r="F1053" t="str">
        <f>IFERROR(IF(D1053="","",VLOOKUP(D1053,CadProd!$A:$C,3,0)),"")</f>
        <v/>
      </c>
      <c r="I1053" s="1" t="str">
        <f t="shared" si="16"/>
        <v/>
      </c>
    </row>
    <row r="1054" spans="5:9" x14ac:dyDescent="0.3">
      <c r="E1054" t="str">
        <f>IFERROR(IF(D1054="","",VLOOKUP(D1054,CadProd!$A:$B,2,0)),"")</f>
        <v/>
      </c>
      <c r="F1054" t="str">
        <f>IFERROR(IF(D1054="","",VLOOKUP(D1054,CadProd!$A:$C,3,0)),"")</f>
        <v/>
      </c>
      <c r="I1054" s="1" t="str">
        <f t="shared" si="16"/>
        <v/>
      </c>
    </row>
    <row r="1055" spans="5:9" x14ac:dyDescent="0.3">
      <c r="E1055" t="str">
        <f>IFERROR(IF(D1055="","",VLOOKUP(D1055,CadProd!$A:$B,2,0)),"")</f>
        <v/>
      </c>
      <c r="F1055" t="str">
        <f>IFERROR(IF(D1055="","",VLOOKUP(D1055,CadProd!$A:$C,3,0)),"")</f>
        <v/>
      </c>
      <c r="I1055" s="1" t="str">
        <f t="shared" si="16"/>
        <v/>
      </c>
    </row>
    <row r="1056" spans="5:9" x14ac:dyDescent="0.3">
      <c r="E1056" t="str">
        <f>IFERROR(IF(D1056="","",VLOOKUP(D1056,CadProd!$A:$B,2,0)),"")</f>
        <v/>
      </c>
      <c r="F1056" t="str">
        <f>IFERROR(IF(D1056="","",VLOOKUP(D1056,CadProd!$A:$C,3,0)),"")</f>
        <v/>
      </c>
      <c r="I1056" s="1" t="str">
        <f t="shared" si="16"/>
        <v/>
      </c>
    </row>
    <row r="1057" spans="5:9" x14ac:dyDescent="0.3">
      <c r="E1057" t="str">
        <f>IFERROR(IF(D1057="","",VLOOKUP(D1057,CadProd!$A:$B,2,0)),"")</f>
        <v/>
      </c>
      <c r="F1057" t="str">
        <f>IFERROR(IF(D1057="","",VLOOKUP(D1057,CadProd!$A:$C,3,0)),"")</f>
        <v/>
      </c>
      <c r="I1057" s="1" t="str">
        <f t="shared" si="16"/>
        <v/>
      </c>
    </row>
    <row r="1058" spans="5:9" x14ac:dyDescent="0.3">
      <c r="E1058" t="str">
        <f>IFERROR(IF(D1058="","",VLOOKUP(D1058,CadProd!$A:$B,2,0)),"")</f>
        <v/>
      </c>
      <c r="F1058" t="str">
        <f>IFERROR(IF(D1058="","",VLOOKUP(D1058,CadProd!$A:$C,3,0)),"")</f>
        <v/>
      </c>
      <c r="I1058" s="1" t="str">
        <f t="shared" si="16"/>
        <v/>
      </c>
    </row>
    <row r="1059" spans="5:9" x14ac:dyDescent="0.3">
      <c r="E1059" t="str">
        <f>IFERROR(IF(D1059="","",VLOOKUP(D1059,CadProd!$A:$B,2,0)),"")</f>
        <v/>
      </c>
      <c r="F1059" t="str">
        <f>IFERROR(IF(D1059="","",VLOOKUP(D1059,CadProd!$A:$C,3,0)),"")</f>
        <v/>
      </c>
      <c r="I1059" s="1" t="str">
        <f t="shared" si="16"/>
        <v/>
      </c>
    </row>
    <row r="1060" spans="5:9" x14ac:dyDescent="0.3">
      <c r="E1060" t="str">
        <f>IFERROR(IF(D1060="","",VLOOKUP(D1060,CadProd!$A:$B,2,0)),"")</f>
        <v/>
      </c>
      <c r="F1060" t="str">
        <f>IFERROR(IF(D1060="","",VLOOKUP(D1060,CadProd!$A:$C,3,0)),"")</f>
        <v/>
      </c>
      <c r="I1060" s="1" t="str">
        <f t="shared" si="16"/>
        <v/>
      </c>
    </row>
    <row r="1061" spans="5:9" x14ac:dyDescent="0.3">
      <c r="E1061" t="str">
        <f>IFERROR(IF(D1061="","",VLOOKUP(D1061,CadProd!$A:$B,2,0)),"")</f>
        <v/>
      </c>
      <c r="F1061" t="str">
        <f>IFERROR(IF(D1061="","",VLOOKUP(D1061,CadProd!$A:$C,3,0)),"")</f>
        <v/>
      </c>
      <c r="I1061" s="1" t="str">
        <f t="shared" si="16"/>
        <v/>
      </c>
    </row>
    <row r="1062" spans="5:9" x14ac:dyDescent="0.3">
      <c r="E1062" t="str">
        <f>IFERROR(IF(D1062="","",VLOOKUP(D1062,CadProd!$A:$B,2,0)),"")</f>
        <v/>
      </c>
      <c r="F1062" t="str">
        <f>IFERROR(IF(D1062="","",VLOOKUP(D1062,CadProd!$A:$C,3,0)),"")</f>
        <v/>
      </c>
      <c r="I1062" s="1" t="str">
        <f t="shared" si="16"/>
        <v/>
      </c>
    </row>
    <row r="1063" spans="5:9" x14ac:dyDescent="0.3">
      <c r="E1063" t="str">
        <f>IFERROR(IF(D1063="","",VLOOKUP(D1063,CadProd!$A:$B,2,0)),"")</f>
        <v/>
      </c>
      <c r="F1063" t="str">
        <f>IFERROR(IF(D1063="","",VLOOKUP(D1063,CadProd!$A:$C,3,0)),"")</f>
        <v/>
      </c>
      <c r="I1063" s="1" t="str">
        <f t="shared" si="16"/>
        <v/>
      </c>
    </row>
    <row r="1064" spans="5:9" x14ac:dyDescent="0.3">
      <c r="E1064" t="str">
        <f>IFERROR(IF(D1064="","",VLOOKUP(D1064,CadProd!$A:$B,2,0)),"")</f>
        <v/>
      </c>
      <c r="F1064" t="str">
        <f>IFERROR(IF(D1064="","",VLOOKUP(D1064,CadProd!$A:$C,3,0)),"")</f>
        <v/>
      </c>
      <c r="I1064" s="1" t="str">
        <f t="shared" si="16"/>
        <v/>
      </c>
    </row>
    <row r="1065" spans="5:9" x14ac:dyDescent="0.3">
      <c r="E1065" t="str">
        <f>IFERROR(IF(D1065="","",VLOOKUP(D1065,CadProd!$A:$B,2,0)),"")</f>
        <v/>
      </c>
      <c r="F1065" t="str">
        <f>IFERROR(IF(D1065="","",VLOOKUP(D1065,CadProd!$A:$C,3,0)),"")</f>
        <v/>
      </c>
      <c r="I1065" s="1" t="str">
        <f t="shared" si="16"/>
        <v/>
      </c>
    </row>
    <row r="1066" spans="5:9" x14ac:dyDescent="0.3">
      <c r="E1066" t="str">
        <f>IFERROR(IF(D1066="","",VLOOKUP(D1066,CadProd!$A:$B,2,0)),"")</f>
        <v/>
      </c>
      <c r="F1066" t="str">
        <f>IFERROR(IF(D1066="","",VLOOKUP(D1066,CadProd!$A:$C,3,0)),"")</f>
        <v/>
      </c>
      <c r="I1066" s="1" t="str">
        <f t="shared" si="16"/>
        <v/>
      </c>
    </row>
    <row r="1067" spans="5:9" x14ac:dyDescent="0.3">
      <c r="E1067" t="str">
        <f>IFERROR(IF(D1067="","",VLOOKUP(D1067,CadProd!$A:$B,2,0)),"")</f>
        <v/>
      </c>
      <c r="F1067" t="str">
        <f>IFERROR(IF(D1067="","",VLOOKUP(D1067,CadProd!$A:$C,3,0)),"")</f>
        <v/>
      </c>
      <c r="I1067" s="1" t="str">
        <f t="shared" si="16"/>
        <v/>
      </c>
    </row>
    <row r="1068" spans="5:9" x14ac:dyDescent="0.3">
      <c r="E1068" t="str">
        <f>IFERROR(IF(D1068="","",VLOOKUP(D1068,CadProd!$A:$B,2,0)),"")</f>
        <v/>
      </c>
      <c r="F1068" t="str">
        <f>IFERROR(IF(D1068="","",VLOOKUP(D1068,CadProd!$A:$C,3,0)),"")</f>
        <v/>
      </c>
      <c r="I1068" s="1" t="str">
        <f t="shared" si="16"/>
        <v/>
      </c>
    </row>
    <row r="1069" spans="5:9" x14ac:dyDescent="0.3">
      <c r="E1069" t="str">
        <f>IFERROR(IF(D1069="","",VLOOKUP(D1069,CadProd!$A:$B,2,0)),"")</f>
        <v/>
      </c>
      <c r="F1069" t="str">
        <f>IFERROR(IF(D1069="","",VLOOKUP(D1069,CadProd!$A:$C,3,0)),"")</f>
        <v/>
      </c>
      <c r="I1069" s="1" t="str">
        <f t="shared" si="16"/>
        <v/>
      </c>
    </row>
    <row r="1070" spans="5:9" x14ac:dyDescent="0.3">
      <c r="E1070" t="str">
        <f>IFERROR(IF(D1070="","",VLOOKUP(D1070,CadProd!$A:$B,2,0)),"")</f>
        <v/>
      </c>
      <c r="F1070" t="str">
        <f>IFERROR(IF(D1070="","",VLOOKUP(D1070,CadProd!$A:$C,3,0)),"")</f>
        <v/>
      </c>
      <c r="I1070" s="1" t="str">
        <f t="shared" si="16"/>
        <v/>
      </c>
    </row>
    <row r="1071" spans="5:9" x14ac:dyDescent="0.3">
      <c r="E1071" t="str">
        <f>IFERROR(IF(D1071="","",VLOOKUP(D1071,CadProd!$A:$B,2,0)),"")</f>
        <v/>
      </c>
      <c r="F1071" t="str">
        <f>IFERROR(IF(D1071="","",VLOOKUP(D1071,CadProd!$A:$C,3,0)),"")</f>
        <v/>
      </c>
      <c r="I1071" s="1" t="str">
        <f t="shared" si="16"/>
        <v/>
      </c>
    </row>
    <row r="1072" spans="5:9" x14ac:dyDescent="0.3">
      <c r="E1072" t="str">
        <f>IFERROR(IF(D1072="","",VLOOKUP(D1072,CadProd!$A:$B,2,0)),"")</f>
        <v/>
      </c>
      <c r="F1072" t="str">
        <f>IFERROR(IF(D1072="","",VLOOKUP(D1072,CadProd!$A:$C,3,0)),"")</f>
        <v/>
      </c>
      <c r="I1072" s="1" t="str">
        <f t="shared" si="16"/>
        <v/>
      </c>
    </row>
    <row r="1073" spans="5:9" x14ac:dyDescent="0.3">
      <c r="E1073" t="str">
        <f>IFERROR(IF(D1073="","",VLOOKUP(D1073,CadProd!$A:$B,2,0)),"")</f>
        <v/>
      </c>
      <c r="F1073" t="str">
        <f>IFERROR(IF(D1073="","",VLOOKUP(D1073,CadProd!$A:$C,3,0)),"")</f>
        <v/>
      </c>
      <c r="I1073" s="1" t="str">
        <f t="shared" si="16"/>
        <v/>
      </c>
    </row>
    <row r="1074" spans="5:9" x14ac:dyDescent="0.3">
      <c r="E1074" t="str">
        <f>IFERROR(IF(D1074="","",VLOOKUP(D1074,CadProd!$A:$B,2,0)),"")</f>
        <v/>
      </c>
      <c r="F1074" t="str">
        <f>IFERROR(IF(D1074="","",VLOOKUP(D1074,CadProd!$A:$C,3,0)),"")</f>
        <v/>
      </c>
      <c r="I1074" s="1" t="str">
        <f t="shared" si="16"/>
        <v/>
      </c>
    </row>
    <row r="1075" spans="5:9" x14ac:dyDescent="0.3">
      <c r="E1075" t="str">
        <f>IFERROR(IF(D1075="","",VLOOKUP(D1075,CadProd!$A:$B,2,0)),"")</f>
        <v/>
      </c>
      <c r="F1075" t="str">
        <f>IFERROR(IF(D1075="","",VLOOKUP(D1075,CadProd!$A:$C,3,0)),"")</f>
        <v/>
      </c>
      <c r="I1075" s="1" t="str">
        <f t="shared" si="16"/>
        <v/>
      </c>
    </row>
    <row r="1076" spans="5:9" x14ac:dyDescent="0.3">
      <c r="E1076" t="str">
        <f>IFERROR(IF(D1076="","",VLOOKUP(D1076,CadProd!$A:$B,2,0)),"")</f>
        <v/>
      </c>
      <c r="F1076" t="str">
        <f>IFERROR(IF(D1076="","",VLOOKUP(D1076,CadProd!$A:$C,3,0)),"")</f>
        <v/>
      </c>
      <c r="I1076" s="1" t="str">
        <f t="shared" si="16"/>
        <v/>
      </c>
    </row>
    <row r="1077" spans="5:9" x14ac:dyDescent="0.3">
      <c r="E1077" t="str">
        <f>IFERROR(IF(D1077="","",VLOOKUP(D1077,CadProd!$A:$B,2,0)),"")</f>
        <v/>
      </c>
      <c r="F1077" t="str">
        <f>IFERROR(IF(D1077="","",VLOOKUP(D1077,CadProd!$A:$C,3,0)),"")</f>
        <v/>
      </c>
      <c r="I1077" s="1" t="str">
        <f t="shared" si="16"/>
        <v/>
      </c>
    </row>
    <row r="1078" spans="5:9" x14ac:dyDescent="0.3">
      <c r="E1078" t="str">
        <f>IFERROR(IF(D1078="","",VLOOKUP(D1078,CadProd!$A:$B,2,0)),"")</f>
        <v/>
      </c>
      <c r="F1078" t="str">
        <f>IFERROR(IF(D1078="","",VLOOKUP(D1078,CadProd!$A:$C,3,0)),"")</f>
        <v/>
      </c>
      <c r="I1078" s="1" t="str">
        <f t="shared" si="16"/>
        <v/>
      </c>
    </row>
    <row r="1079" spans="5:9" x14ac:dyDescent="0.3">
      <c r="E1079" t="str">
        <f>IFERROR(IF(D1079="","",VLOOKUP(D1079,CadProd!$A:$B,2,0)),"")</f>
        <v/>
      </c>
      <c r="F1079" t="str">
        <f>IFERROR(IF(D1079="","",VLOOKUP(D1079,CadProd!$A:$C,3,0)),"")</f>
        <v/>
      </c>
      <c r="I1079" s="1" t="str">
        <f t="shared" si="16"/>
        <v/>
      </c>
    </row>
    <row r="1080" spans="5:9" x14ac:dyDescent="0.3">
      <c r="E1080" t="str">
        <f>IFERROR(IF(D1080="","",VLOOKUP(D1080,CadProd!$A:$B,2,0)),"")</f>
        <v/>
      </c>
      <c r="F1080" t="str">
        <f>IFERROR(IF(D1080="","",VLOOKUP(D1080,CadProd!$A:$C,3,0)),"")</f>
        <v/>
      </c>
      <c r="I1080" s="1" t="str">
        <f t="shared" si="16"/>
        <v/>
      </c>
    </row>
    <row r="1081" spans="5:9" x14ac:dyDescent="0.3">
      <c r="E1081" t="str">
        <f>IFERROR(IF(D1081="","",VLOOKUP(D1081,CadProd!$A:$B,2,0)),"")</f>
        <v/>
      </c>
      <c r="F1081" t="str">
        <f>IFERROR(IF(D1081="","",VLOOKUP(D1081,CadProd!$A:$C,3,0)),"")</f>
        <v/>
      </c>
      <c r="I1081" s="1" t="str">
        <f t="shared" si="16"/>
        <v/>
      </c>
    </row>
    <row r="1082" spans="5:9" x14ac:dyDescent="0.3">
      <c r="E1082" t="str">
        <f>IFERROR(IF(D1082="","",VLOOKUP(D1082,CadProd!$A:$B,2,0)),"")</f>
        <v/>
      </c>
      <c r="F1082" t="str">
        <f>IFERROR(IF(D1082="","",VLOOKUP(D1082,CadProd!$A:$C,3,0)),"")</f>
        <v/>
      </c>
      <c r="I1082" s="1" t="str">
        <f t="shared" si="16"/>
        <v/>
      </c>
    </row>
    <row r="1083" spans="5:9" x14ac:dyDescent="0.3">
      <c r="E1083" t="str">
        <f>IFERROR(IF(D1083="","",VLOOKUP(D1083,CadProd!$A:$B,2,0)),"")</f>
        <v/>
      </c>
      <c r="F1083" t="str">
        <f>IFERROR(IF(D1083="","",VLOOKUP(D1083,CadProd!$A:$C,3,0)),"")</f>
        <v/>
      </c>
      <c r="I1083" s="1" t="str">
        <f t="shared" si="16"/>
        <v/>
      </c>
    </row>
    <row r="1084" spans="5:9" x14ac:dyDescent="0.3">
      <c r="E1084" t="str">
        <f>IFERROR(IF(D1084="","",VLOOKUP(D1084,CadProd!$A:$B,2,0)),"")</f>
        <v/>
      </c>
      <c r="F1084" t="str">
        <f>IFERROR(IF(D1084="","",VLOOKUP(D1084,CadProd!$A:$C,3,0)),"")</f>
        <v/>
      </c>
      <c r="I1084" s="1" t="str">
        <f t="shared" si="16"/>
        <v/>
      </c>
    </row>
    <row r="1085" spans="5:9" x14ac:dyDescent="0.3">
      <c r="E1085" t="str">
        <f>IFERROR(IF(D1085="","",VLOOKUP(D1085,CadProd!$A:$B,2,0)),"")</f>
        <v/>
      </c>
      <c r="F1085" t="str">
        <f>IFERROR(IF(D1085="","",VLOOKUP(D1085,CadProd!$A:$C,3,0)),"")</f>
        <v/>
      </c>
      <c r="I1085" s="1" t="str">
        <f t="shared" si="16"/>
        <v/>
      </c>
    </row>
    <row r="1086" spans="5:9" x14ac:dyDescent="0.3">
      <c r="E1086" t="str">
        <f>IFERROR(IF(D1086="","",VLOOKUP(D1086,CadProd!$A:$B,2,0)),"")</f>
        <v/>
      </c>
      <c r="F1086" t="str">
        <f>IFERROR(IF(D1086="","",VLOOKUP(D1086,CadProd!$A:$C,3,0)),"")</f>
        <v/>
      </c>
      <c r="I1086" s="1" t="str">
        <f t="shared" si="16"/>
        <v/>
      </c>
    </row>
    <row r="1087" spans="5:9" x14ac:dyDescent="0.3">
      <c r="E1087" t="str">
        <f>IFERROR(IF(D1087="","",VLOOKUP(D1087,CadProd!$A:$B,2,0)),"")</f>
        <v/>
      </c>
      <c r="F1087" t="str">
        <f>IFERROR(IF(D1087="","",VLOOKUP(D1087,CadProd!$A:$C,3,0)),"")</f>
        <v/>
      </c>
      <c r="I1087" s="1" t="str">
        <f t="shared" si="16"/>
        <v/>
      </c>
    </row>
    <row r="1088" spans="5:9" x14ac:dyDescent="0.3">
      <c r="E1088" t="str">
        <f>IFERROR(IF(D1088="","",VLOOKUP(D1088,CadProd!$A:$B,2,0)),"")</f>
        <v/>
      </c>
      <c r="F1088" t="str">
        <f>IFERROR(IF(D1088="","",VLOOKUP(D1088,CadProd!$A:$C,3,0)),"")</f>
        <v/>
      </c>
      <c r="I1088" s="1" t="str">
        <f t="shared" si="16"/>
        <v/>
      </c>
    </row>
    <row r="1089" spans="5:9" x14ac:dyDescent="0.3">
      <c r="E1089" t="str">
        <f>IFERROR(IF(D1089="","",VLOOKUP(D1089,CadProd!$A:$B,2,0)),"")</f>
        <v/>
      </c>
      <c r="F1089" t="str">
        <f>IFERROR(IF(D1089="","",VLOOKUP(D1089,CadProd!$A:$C,3,0)),"")</f>
        <v/>
      </c>
      <c r="I1089" s="1" t="str">
        <f t="shared" si="16"/>
        <v/>
      </c>
    </row>
    <row r="1090" spans="5:9" x14ac:dyDescent="0.3">
      <c r="E1090" t="str">
        <f>IFERROR(IF(D1090="","",VLOOKUP(D1090,CadProd!$A:$B,2,0)),"")</f>
        <v/>
      </c>
      <c r="F1090" t="str">
        <f>IFERROR(IF(D1090="","",VLOOKUP(D1090,CadProd!$A:$C,3,0)),"")</f>
        <v/>
      </c>
      <c r="I1090" s="1" t="str">
        <f t="shared" ref="I1090:I1153" si="17">IFERROR(IF(D1090="","",H1090*G1090),"")</f>
        <v/>
      </c>
    </row>
    <row r="1091" spans="5:9" x14ac:dyDescent="0.3">
      <c r="E1091" t="str">
        <f>IFERROR(IF(D1091="","",VLOOKUP(D1091,CadProd!$A:$B,2,0)),"")</f>
        <v/>
      </c>
      <c r="F1091" t="str">
        <f>IFERROR(IF(D1091="","",VLOOKUP(D1091,CadProd!$A:$C,3,0)),"")</f>
        <v/>
      </c>
      <c r="I1091" s="1" t="str">
        <f t="shared" si="17"/>
        <v/>
      </c>
    </row>
    <row r="1092" spans="5:9" x14ac:dyDescent="0.3">
      <c r="E1092" t="str">
        <f>IFERROR(IF(D1092="","",VLOOKUP(D1092,CadProd!$A:$B,2,0)),"")</f>
        <v/>
      </c>
      <c r="F1092" t="str">
        <f>IFERROR(IF(D1092="","",VLOOKUP(D1092,CadProd!$A:$C,3,0)),"")</f>
        <v/>
      </c>
      <c r="I1092" s="1" t="str">
        <f t="shared" si="17"/>
        <v/>
      </c>
    </row>
    <row r="1093" spans="5:9" x14ac:dyDescent="0.3">
      <c r="E1093" t="str">
        <f>IFERROR(IF(D1093="","",VLOOKUP(D1093,CadProd!$A:$B,2,0)),"")</f>
        <v/>
      </c>
      <c r="F1093" t="str">
        <f>IFERROR(IF(D1093="","",VLOOKUP(D1093,CadProd!$A:$C,3,0)),"")</f>
        <v/>
      </c>
      <c r="I1093" s="1" t="str">
        <f t="shared" si="17"/>
        <v/>
      </c>
    </row>
    <row r="1094" spans="5:9" x14ac:dyDescent="0.3">
      <c r="E1094" t="str">
        <f>IFERROR(IF(D1094="","",VLOOKUP(D1094,CadProd!$A:$B,2,0)),"")</f>
        <v/>
      </c>
      <c r="F1094" t="str">
        <f>IFERROR(IF(D1094="","",VLOOKUP(D1094,CadProd!$A:$C,3,0)),"")</f>
        <v/>
      </c>
      <c r="I1094" s="1" t="str">
        <f t="shared" si="17"/>
        <v/>
      </c>
    </row>
    <row r="1095" spans="5:9" x14ac:dyDescent="0.3">
      <c r="E1095" t="str">
        <f>IFERROR(IF(D1095="","",VLOOKUP(D1095,CadProd!$A:$B,2,0)),"")</f>
        <v/>
      </c>
      <c r="F1095" t="str">
        <f>IFERROR(IF(D1095="","",VLOOKUP(D1095,CadProd!$A:$C,3,0)),"")</f>
        <v/>
      </c>
      <c r="I1095" s="1" t="str">
        <f t="shared" si="17"/>
        <v/>
      </c>
    </row>
    <row r="1096" spans="5:9" x14ac:dyDescent="0.3">
      <c r="E1096" t="str">
        <f>IFERROR(IF(D1096="","",VLOOKUP(D1096,CadProd!$A:$B,2,0)),"")</f>
        <v/>
      </c>
      <c r="F1096" t="str">
        <f>IFERROR(IF(D1096="","",VLOOKUP(D1096,CadProd!$A:$C,3,0)),"")</f>
        <v/>
      </c>
      <c r="I1096" s="1" t="str">
        <f t="shared" si="17"/>
        <v/>
      </c>
    </row>
    <row r="1097" spans="5:9" x14ac:dyDescent="0.3">
      <c r="E1097" t="str">
        <f>IFERROR(IF(D1097="","",VLOOKUP(D1097,CadProd!$A:$B,2,0)),"")</f>
        <v/>
      </c>
      <c r="F1097" t="str">
        <f>IFERROR(IF(D1097="","",VLOOKUP(D1097,CadProd!$A:$C,3,0)),"")</f>
        <v/>
      </c>
      <c r="I1097" s="1" t="str">
        <f t="shared" si="17"/>
        <v/>
      </c>
    </row>
    <row r="1098" spans="5:9" x14ac:dyDescent="0.3">
      <c r="E1098" t="str">
        <f>IFERROR(IF(D1098="","",VLOOKUP(D1098,CadProd!$A:$B,2,0)),"")</f>
        <v/>
      </c>
      <c r="F1098" t="str">
        <f>IFERROR(IF(D1098="","",VLOOKUP(D1098,CadProd!$A:$C,3,0)),"")</f>
        <v/>
      </c>
      <c r="I1098" s="1" t="str">
        <f t="shared" si="17"/>
        <v/>
      </c>
    </row>
    <row r="1099" spans="5:9" x14ac:dyDescent="0.3">
      <c r="E1099" t="str">
        <f>IFERROR(IF(D1099="","",VLOOKUP(D1099,CadProd!$A:$B,2,0)),"")</f>
        <v/>
      </c>
      <c r="F1099" t="str">
        <f>IFERROR(IF(D1099="","",VLOOKUP(D1099,CadProd!$A:$C,3,0)),"")</f>
        <v/>
      </c>
      <c r="I1099" s="1" t="str">
        <f t="shared" si="17"/>
        <v/>
      </c>
    </row>
    <row r="1100" spans="5:9" x14ac:dyDescent="0.3">
      <c r="E1100" t="str">
        <f>IFERROR(IF(D1100="","",VLOOKUP(D1100,CadProd!$A:$B,2,0)),"")</f>
        <v/>
      </c>
      <c r="F1100" t="str">
        <f>IFERROR(IF(D1100="","",VLOOKUP(D1100,CadProd!$A:$C,3,0)),"")</f>
        <v/>
      </c>
      <c r="I1100" s="1" t="str">
        <f t="shared" si="17"/>
        <v/>
      </c>
    </row>
    <row r="1101" spans="5:9" x14ac:dyDescent="0.3">
      <c r="E1101" t="str">
        <f>IFERROR(IF(D1101="","",VLOOKUP(D1101,CadProd!$A:$B,2,0)),"")</f>
        <v/>
      </c>
      <c r="F1101" t="str">
        <f>IFERROR(IF(D1101="","",VLOOKUP(D1101,CadProd!$A:$C,3,0)),"")</f>
        <v/>
      </c>
      <c r="I1101" s="1" t="str">
        <f t="shared" si="17"/>
        <v/>
      </c>
    </row>
    <row r="1102" spans="5:9" x14ac:dyDescent="0.3">
      <c r="E1102" t="str">
        <f>IFERROR(IF(D1102="","",VLOOKUP(D1102,CadProd!$A:$B,2,0)),"")</f>
        <v/>
      </c>
      <c r="F1102" t="str">
        <f>IFERROR(IF(D1102="","",VLOOKUP(D1102,CadProd!$A:$C,3,0)),"")</f>
        <v/>
      </c>
      <c r="I1102" s="1" t="str">
        <f t="shared" si="17"/>
        <v/>
      </c>
    </row>
    <row r="1103" spans="5:9" x14ac:dyDescent="0.3">
      <c r="E1103" t="str">
        <f>IFERROR(IF(D1103="","",VLOOKUP(D1103,CadProd!$A:$B,2,0)),"")</f>
        <v/>
      </c>
      <c r="F1103" t="str">
        <f>IFERROR(IF(D1103="","",VLOOKUP(D1103,CadProd!$A:$C,3,0)),"")</f>
        <v/>
      </c>
      <c r="I1103" s="1" t="str">
        <f t="shared" si="17"/>
        <v/>
      </c>
    </row>
    <row r="1104" spans="5:9" x14ac:dyDescent="0.3">
      <c r="E1104" t="str">
        <f>IFERROR(IF(D1104="","",VLOOKUP(D1104,CadProd!$A:$B,2,0)),"")</f>
        <v/>
      </c>
      <c r="F1104" t="str">
        <f>IFERROR(IF(D1104="","",VLOOKUP(D1104,CadProd!$A:$C,3,0)),"")</f>
        <v/>
      </c>
      <c r="I1104" s="1" t="str">
        <f t="shared" si="17"/>
        <v/>
      </c>
    </row>
    <row r="1105" spans="5:9" x14ac:dyDescent="0.3">
      <c r="E1105" t="str">
        <f>IFERROR(IF(D1105="","",VLOOKUP(D1105,CadProd!$A:$B,2,0)),"")</f>
        <v/>
      </c>
      <c r="F1105" t="str">
        <f>IFERROR(IF(D1105="","",VLOOKUP(D1105,CadProd!$A:$C,3,0)),"")</f>
        <v/>
      </c>
      <c r="I1105" s="1" t="str">
        <f t="shared" si="17"/>
        <v/>
      </c>
    </row>
    <row r="1106" spans="5:9" x14ac:dyDescent="0.3">
      <c r="E1106" t="str">
        <f>IFERROR(IF(D1106="","",VLOOKUP(D1106,CadProd!$A:$B,2,0)),"")</f>
        <v/>
      </c>
      <c r="F1106" t="str">
        <f>IFERROR(IF(D1106="","",VLOOKUP(D1106,CadProd!$A:$C,3,0)),"")</f>
        <v/>
      </c>
      <c r="I1106" s="1" t="str">
        <f t="shared" si="17"/>
        <v/>
      </c>
    </row>
    <row r="1107" spans="5:9" x14ac:dyDescent="0.3">
      <c r="E1107" t="str">
        <f>IFERROR(IF(D1107="","",VLOOKUP(D1107,CadProd!$A:$B,2,0)),"")</f>
        <v/>
      </c>
      <c r="F1107" t="str">
        <f>IFERROR(IF(D1107="","",VLOOKUP(D1107,CadProd!$A:$C,3,0)),"")</f>
        <v/>
      </c>
      <c r="I1107" s="1" t="str">
        <f t="shared" si="17"/>
        <v/>
      </c>
    </row>
    <row r="1108" spans="5:9" x14ac:dyDescent="0.3">
      <c r="E1108" t="str">
        <f>IFERROR(IF(D1108="","",VLOOKUP(D1108,CadProd!$A:$B,2,0)),"")</f>
        <v/>
      </c>
      <c r="F1108" t="str">
        <f>IFERROR(IF(D1108="","",VLOOKUP(D1108,CadProd!$A:$C,3,0)),"")</f>
        <v/>
      </c>
      <c r="I1108" s="1" t="str">
        <f t="shared" si="17"/>
        <v/>
      </c>
    </row>
    <row r="1109" spans="5:9" x14ac:dyDescent="0.3">
      <c r="E1109" t="str">
        <f>IFERROR(IF(D1109="","",VLOOKUP(D1109,CadProd!$A:$B,2,0)),"")</f>
        <v/>
      </c>
      <c r="F1109" t="str">
        <f>IFERROR(IF(D1109="","",VLOOKUP(D1109,CadProd!$A:$C,3,0)),"")</f>
        <v/>
      </c>
      <c r="I1109" s="1" t="str">
        <f t="shared" si="17"/>
        <v/>
      </c>
    </row>
    <row r="1110" spans="5:9" x14ac:dyDescent="0.3">
      <c r="E1110" t="str">
        <f>IFERROR(IF(D1110="","",VLOOKUP(D1110,CadProd!$A:$B,2,0)),"")</f>
        <v/>
      </c>
      <c r="F1110" t="str">
        <f>IFERROR(IF(D1110="","",VLOOKUP(D1110,CadProd!$A:$C,3,0)),"")</f>
        <v/>
      </c>
      <c r="I1110" s="1" t="str">
        <f t="shared" si="17"/>
        <v/>
      </c>
    </row>
    <row r="1111" spans="5:9" x14ac:dyDescent="0.3">
      <c r="E1111" t="str">
        <f>IFERROR(IF(D1111="","",VLOOKUP(D1111,CadProd!$A:$B,2,0)),"")</f>
        <v/>
      </c>
      <c r="F1111" t="str">
        <f>IFERROR(IF(D1111="","",VLOOKUP(D1111,CadProd!$A:$C,3,0)),"")</f>
        <v/>
      </c>
      <c r="I1111" s="1" t="str">
        <f t="shared" si="17"/>
        <v/>
      </c>
    </row>
    <row r="1112" spans="5:9" x14ac:dyDescent="0.3">
      <c r="E1112" t="str">
        <f>IFERROR(IF(D1112="","",VLOOKUP(D1112,CadProd!$A:$B,2,0)),"")</f>
        <v/>
      </c>
      <c r="F1112" t="str">
        <f>IFERROR(IF(D1112="","",VLOOKUP(D1112,CadProd!$A:$C,3,0)),"")</f>
        <v/>
      </c>
      <c r="I1112" s="1" t="str">
        <f t="shared" si="17"/>
        <v/>
      </c>
    </row>
    <row r="1113" spans="5:9" x14ac:dyDescent="0.3">
      <c r="E1113" t="str">
        <f>IFERROR(IF(D1113="","",VLOOKUP(D1113,CadProd!$A:$B,2,0)),"")</f>
        <v/>
      </c>
      <c r="F1113" t="str">
        <f>IFERROR(IF(D1113="","",VLOOKUP(D1113,CadProd!$A:$C,3,0)),"")</f>
        <v/>
      </c>
      <c r="I1113" s="1" t="str">
        <f t="shared" si="17"/>
        <v/>
      </c>
    </row>
    <row r="1114" spans="5:9" x14ac:dyDescent="0.3">
      <c r="E1114" t="str">
        <f>IFERROR(IF(D1114="","",VLOOKUP(D1114,CadProd!$A:$B,2,0)),"")</f>
        <v/>
      </c>
      <c r="F1114" t="str">
        <f>IFERROR(IF(D1114="","",VLOOKUP(D1114,CadProd!$A:$C,3,0)),"")</f>
        <v/>
      </c>
      <c r="I1114" s="1" t="str">
        <f t="shared" si="17"/>
        <v/>
      </c>
    </row>
    <row r="1115" spans="5:9" x14ac:dyDescent="0.3">
      <c r="E1115" t="str">
        <f>IFERROR(IF(D1115="","",VLOOKUP(D1115,CadProd!$A:$B,2,0)),"")</f>
        <v/>
      </c>
      <c r="F1115" t="str">
        <f>IFERROR(IF(D1115="","",VLOOKUP(D1115,CadProd!$A:$C,3,0)),"")</f>
        <v/>
      </c>
      <c r="I1115" s="1" t="str">
        <f t="shared" si="17"/>
        <v/>
      </c>
    </row>
    <row r="1116" spans="5:9" x14ac:dyDescent="0.3">
      <c r="E1116" t="str">
        <f>IFERROR(IF(D1116="","",VLOOKUP(D1116,CadProd!$A:$B,2,0)),"")</f>
        <v/>
      </c>
      <c r="F1116" t="str">
        <f>IFERROR(IF(D1116="","",VLOOKUP(D1116,CadProd!$A:$C,3,0)),"")</f>
        <v/>
      </c>
      <c r="I1116" s="1" t="str">
        <f t="shared" si="17"/>
        <v/>
      </c>
    </row>
    <row r="1117" spans="5:9" x14ac:dyDescent="0.3">
      <c r="E1117" t="str">
        <f>IFERROR(IF(D1117="","",VLOOKUP(D1117,CadProd!$A:$B,2,0)),"")</f>
        <v/>
      </c>
      <c r="F1117" t="str">
        <f>IFERROR(IF(D1117="","",VLOOKUP(D1117,CadProd!$A:$C,3,0)),"")</f>
        <v/>
      </c>
      <c r="I1117" s="1" t="str">
        <f t="shared" si="17"/>
        <v/>
      </c>
    </row>
    <row r="1118" spans="5:9" x14ac:dyDescent="0.3">
      <c r="E1118" t="str">
        <f>IFERROR(IF(D1118="","",VLOOKUP(D1118,CadProd!$A:$B,2,0)),"")</f>
        <v/>
      </c>
      <c r="F1118" t="str">
        <f>IFERROR(IF(D1118="","",VLOOKUP(D1118,CadProd!$A:$C,3,0)),"")</f>
        <v/>
      </c>
      <c r="I1118" s="1" t="str">
        <f t="shared" si="17"/>
        <v/>
      </c>
    </row>
    <row r="1119" spans="5:9" x14ac:dyDescent="0.3">
      <c r="E1119" t="str">
        <f>IFERROR(IF(D1119="","",VLOOKUP(D1119,CadProd!$A:$B,2,0)),"")</f>
        <v/>
      </c>
      <c r="F1119" t="str">
        <f>IFERROR(IF(D1119="","",VLOOKUP(D1119,CadProd!$A:$C,3,0)),"")</f>
        <v/>
      </c>
      <c r="I1119" s="1" t="str">
        <f t="shared" si="17"/>
        <v/>
      </c>
    </row>
    <row r="1120" spans="5:9" x14ac:dyDescent="0.3">
      <c r="E1120" t="str">
        <f>IFERROR(IF(D1120="","",VLOOKUP(D1120,CadProd!$A:$B,2,0)),"")</f>
        <v/>
      </c>
      <c r="F1120" t="str">
        <f>IFERROR(IF(D1120="","",VLOOKUP(D1120,CadProd!$A:$C,3,0)),"")</f>
        <v/>
      </c>
      <c r="I1120" s="1" t="str">
        <f t="shared" si="17"/>
        <v/>
      </c>
    </row>
    <row r="1121" spans="5:9" x14ac:dyDescent="0.3">
      <c r="E1121" t="str">
        <f>IFERROR(IF(D1121="","",VLOOKUP(D1121,CadProd!$A:$B,2,0)),"")</f>
        <v/>
      </c>
      <c r="F1121" t="str">
        <f>IFERROR(IF(D1121="","",VLOOKUP(D1121,CadProd!$A:$C,3,0)),"")</f>
        <v/>
      </c>
      <c r="I1121" s="1" t="str">
        <f t="shared" si="17"/>
        <v/>
      </c>
    </row>
    <row r="1122" spans="5:9" x14ac:dyDescent="0.3">
      <c r="E1122" t="str">
        <f>IFERROR(IF(D1122="","",VLOOKUP(D1122,CadProd!$A:$B,2,0)),"")</f>
        <v/>
      </c>
      <c r="F1122" t="str">
        <f>IFERROR(IF(D1122="","",VLOOKUP(D1122,CadProd!$A:$C,3,0)),"")</f>
        <v/>
      </c>
      <c r="I1122" s="1" t="str">
        <f t="shared" si="17"/>
        <v/>
      </c>
    </row>
    <row r="1123" spans="5:9" x14ac:dyDescent="0.3">
      <c r="E1123" t="str">
        <f>IFERROR(IF(D1123="","",VLOOKUP(D1123,CadProd!$A:$B,2,0)),"")</f>
        <v/>
      </c>
      <c r="F1123" t="str">
        <f>IFERROR(IF(D1123="","",VLOOKUP(D1123,CadProd!$A:$C,3,0)),"")</f>
        <v/>
      </c>
      <c r="I1123" s="1" t="str">
        <f t="shared" si="17"/>
        <v/>
      </c>
    </row>
    <row r="1124" spans="5:9" x14ac:dyDescent="0.3">
      <c r="E1124" t="str">
        <f>IFERROR(IF(D1124="","",VLOOKUP(D1124,CadProd!$A:$B,2,0)),"")</f>
        <v/>
      </c>
      <c r="F1124" t="str">
        <f>IFERROR(IF(D1124="","",VLOOKUP(D1124,CadProd!$A:$C,3,0)),"")</f>
        <v/>
      </c>
      <c r="I1124" s="1" t="str">
        <f t="shared" si="17"/>
        <v/>
      </c>
    </row>
    <row r="1125" spans="5:9" x14ac:dyDescent="0.3">
      <c r="E1125" t="str">
        <f>IFERROR(IF(D1125="","",VLOOKUP(D1125,CadProd!$A:$B,2,0)),"")</f>
        <v/>
      </c>
      <c r="F1125" t="str">
        <f>IFERROR(IF(D1125="","",VLOOKUP(D1125,CadProd!$A:$C,3,0)),"")</f>
        <v/>
      </c>
      <c r="I1125" s="1" t="str">
        <f t="shared" si="17"/>
        <v/>
      </c>
    </row>
    <row r="1126" spans="5:9" x14ac:dyDescent="0.3">
      <c r="E1126" t="str">
        <f>IFERROR(IF(D1126="","",VLOOKUP(D1126,CadProd!$A:$B,2,0)),"")</f>
        <v/>
      </c>
      <c r="F1126" t="str">
        <f>IFERROR(IF(D1126="","",VLOOKUP(D1126,CadProd!$A:$C,3,0)),"")</f>
        <v/>
      </c>
      <c r="I1126" s="1" t="str">
        <f t="shared" si="17"/>
        <v/>
      </c>
    </row>
    <row r="1127" spans="5:9" x14ac:dyDescent="0.3">
      <c r="E1127" t="str">
        <f>IFERROR(IF(D1127="","",VLOOKUP(D1127,CadProd!$A:$B,2,0)),"")</f>
        <v/>
      </c>
      <c r="F1127" t="str">
        <f>IFERROR(IF(D1127="","",VLOOKUP(D1127,CadProd!$A:$C,3,0)),"")</f>
        <v/>
      </c>
      <c r="I1127" s="1" t="str">
        <f t="shared" si="17"/>
        <v/>
      </c>
    </row>
    <row r="1128" spans="5:9" x14ac:dyDescent="0.3">
      <c r="E1128" t="str">
        <f>IFERROR(IF(D1128="","",VLOOKUP(D1128,CadProd!$A:$B,2,0)),"")</f>
        <v/>
      </c>
      <c r="F1128" t="str">
        <f>IFERROR(IF(D1128="","",VLOOKUP(D1128,CadProd!$A:$C,3,0)),"")</f>
        <v/>
      </c>
      <c r="I1128" s="1" t="str">
        <f t="shared" si="17"/>
        <v/>
      </c>
    </row>
    <row r="1129" spans="5:9" x14ac:dyDescent="0.3">
      <c r="E1129" t="str">
        <f>IFERROR(IF(D1129="","",VLOOKUP(D1129,CadProd!$A:$B,2,0)),"")</f>
        <v/>
      </c>
      <c r="F1129" t="str">
        <f>IFERROR(IF(D1129="","",VLOOKUP(D1129,CadProd!$A:$C,3,0)),"")</f>
        <v/>
      </c>
      <c r="I1129" s="1" t="str">
        <f t="shared" si="17"/>
        <v/>
      </c>
    </row>
    <row r="1130" spans="5:9" x14ac:dyDescent="0.3">
      <c r="E1130" t="str">
        <f>IFERROR(IF(D1130="","",VLOOKUP(D1130,CadProd!$A:$B,2,0)),"")</f>
        <v/>
      </c>
      <c r="F1130" t="str">
        <f>IFERROR(IF(D1130="","",VLOOKUP(D1130,CadProd!$A:$C,3,0)),"")</f>
        <v/>
      </c>
      <c r="I1130" s="1" t="str">
        <f t="shared" si="17"/>
        <v/>
      </c>
    </row>
    <row r="1131" spans="5:9" x14ac:dyDescent="0.3">
      <c r="E1131" t="str">
        <f>IFERROR(IF(D1131="","",VLOOKUP(D1131,CadProd!$A:$B,2,0)),"")</f>
        <v/>
      </c>
      <c r="F1131" t="str">
        <f>IFERROR(IF(D1131="","",VLOOKUP(D1131,CadProd!$A:$C,3,0)),"")</f>
        <v/>
      </c>
      <c r="I1131" s="1" t="str">
        <f t="shared" si="17"/>
        <v/>
      </c>
    </row>
    <row r="1132" spans="5:9" x14ac:dyDescent="0.3">
      <c r="E1132" t="str">
        <f>IFERROR(IF(D1132="","",VLOOKUP(D1132,CadProd!$A:$B,2,0)),"")</f>
        <v/>
      </c>
      <c r="F1132" t="str">
        <f>IFERROR(IF(D1132="","",VLOOKUP(D1132,CadProd!$A:$C,3,0)),"")</f>
        <v/>
      </c>
      <c r="I1132" s="1" t="str">
        <f t="shared" si="17"/>
        <v/>
      </c>
    </row>
    <row r="1133" spans="5:9" x14ac:dyDescent="0.3">
      <c r="E1133" t="str">
        <f>IFERROR(IF(D1133="","",VLOOKUP(D1133,CadProd!$A:$B,2,0)),"")</f>
        <v/>
      </c>
      <c r="F1133" t="str">
        <f>IFERROR(IF(D1133="","",VLOOKUP(D1133,CadProd!$A:$C,3,0)),"")</f>
        <v/>
      </c>
      <c r="I1133" s="1" t="str">
        <f t="shared" si="17"/>
        <v/>
      </c>
    </row>
    <row r="1134" spans="5:9" x14ac:dyDescent="0.3">
      <c r="E1134" t="str">
        <f>IFERROR(IF(D1134="","",VLOOKUP(D1134,CadProd!$A:$B,2,0)),"")</f>
        <v/>
      </c>
      <c r="F1134" t="str">
        <f>IFERROR(IF(D1134="","",VLOOKUP(D1134,CadProd!$A:$C,3,0)),"")</f>
        <v/>
      </c>
      <c r="I1134" s="1" t="str">
        <f t="shared" si="17"/>
        <v/>
      </c>
    </row>
    <row r="1135" spans="5:9" x14ac:dyDescent="0.3">
      <c r="E1135" t="str">
        <f>IFERROR(IF(D1135="","",VLOOKUP(D1135,CadProd!$A:$B,2,0)),"")</f>
        <v/>
      </c>
      <c r="F1135" t="str">
        <f>IFERROR(IF(D1135="","",VLOOKUP(D1135,CadProd!$A:$C,3,0)),"")</f>
        <v/>
      </c>
      <c r="I1135" s="1" t="str">
        <f t="shared" si="17"/>
        <v/>
      </c>
    </row>
    <row r="1136" spans="5:9" x14ac:dyDescent="0.3">
      <c r="E1136" t="str">
        <f>IFERROR(IF(D1136="","",VLOOKUP(D1136,CadProd!$A:$B,2,0)),"")</f>
        <v/>
      </c>
      <c r="F1136" t="str">
        <f>IFERROR(IF(D1136="","",VLOOKUP(D1136,CadProd!$A:$C,3,0)),"")</f>
        <v/>
      </c>
      <c r="I1136" s="1" t="str">
        <f t="shared" si="17"/>
        <v/>
      </c>
    </row>
    <row r="1137" spans="5:9" x14ac:dyDescent="0.3">
      <c r="E1137" t="str">
        <f>IFERROR(IF(D1137="","",VLOOKUP(D1137,CadProd!$A:$B,2,0)),"")</f>
        <v/>
      </c>
      <c r="F1137" t="str">
        <f>IFERROR(IF(D1137="","",VLOOKUP(D1137,CadProd!$A:$C,3,0)),"")</f>
        <v/>
      </c>
      <c r="I1137" s="1" t="str">
        <f t="shared" si="17"/>
        <v/>
      </c>
    </row>
    <row r="1138" spans="5:9" x14ac:dyDescent="0.3">
      <c r="E1138" t="str">
        <f>IFERROR(IF(D1138="","",VLOOKUP(D1138,CadProd!$A:$B,2,0)),"")</f>
        <v/>
      </c>
      <c r="F1138" t="str">
        <f>IFERROR(IF(D1138="","",VLOOKUP(D1138,CadProd!$A:$C,3,0)),"")</f>
        <v/>
      </c>
      <c r="I1138" s="1" t="str">
        <f t="shared" si="17"/>
        <v/>
      </c>
    </row>
    <row r="1139" spans="5:9" x14ac:dyDescent="0.3">
      <c r="E1139" t="str">
        <f>IFERROR(IF(D1139="","",VLOOKUP(D1139,CadProd!$A:$B,2,0)),"")</f>
        <v/>
      </c>
      <c r="F1139" t="str">
        <f>IFERROR(IF(D1139="","",VLOOKUP(D1139,CadProd!$A:$C,3,0)),"")</f>
        <v/>
      </c>
      <c r="I1139" s="1" t="str">
        <f t="shared" si="17"/>
        <v/>
      </c>
    </row>
    <row r="1140" spans="5:9" x14ac:dyDescent="0.3">
      <c r="E1140" t="str">
        <f>IFERROR(IF(D1140="","",VLOOKUP(D1140,CadProd!$A:$B,2,0)),"")</f>
        <v/>
      </c>
      <c r="F1140" t="str">
        <f>IFERROR(IF(D1140="","",VLOOKUP(D1140,CadProd!$A:$C,3,0)),"")</f>
        <v/>
      </c>
      <c r="I1140" s="1" t="str">
        <f t="shared" si="17"/>
        <v/>
      </c>
    </row>
    <row r="1141" spans="5:9" x14ac:dyDescent="0.3">
      <c r="E1141" t="str">
        <f>IFERROR(IF(D1141="","",VLOOKUP(D1141,CadProd!$A:$B,2,0)),"")</f>
        <v/>
      </c>
      <c r="F1141" t="str">
        <f>IFERROR(IF(D1141="","",VLOOKUP(D1141,CadProd!$A:$C,3,0)),"")</f>
        <v/>
      </c>
      <c r="I1141" s="1" t="str">
        <f t="shared" si="17"/>
        <v/>
      </c>
    </row>
    <row r="1142" spans="5:9" x14ac:dyDescent="0.3">
      <c r="E1142" t="str">
        <f>IFERROR(IF(D1142="","",VLOOKUP(D1142,CadProd!$A:$B,2,0)),"")</f>
        <v/>
      </c>
      <c r="F1142" t="str">
        <f>IFERROR(IF(D1142="","",VLOOKUP(D1142,CadProd!$A:$C,3,0)),"")</f>
        <v/>
      </c>
      <c r="I1142" s="1" t="str">
        <f t="shared" si="17"/>
        <v/>
      </c>
    </row>
    <row r="1143" spans="5:9" x14ac:dyDescent="0.3">
      <c r="E1143" t="str">
        <f>IFERROR(IF(D1143="","",VLOOKUP(D1143,CadProd!$A:$B,2,0)),"")</f>
        <v/>
      </c>
      <c r="F1143" t="str">
        <f>IFERROR(IF(D1143="","",VLOOKUP(D1143,CadProd!$A:$C,3,0)),"")</f>
        <v/>
      </c>
      <c r="I1143" s="1" t="str">
        <f t="shared" si="17"/>
        <v/>
      </c>
    </row>
    <row r="1144" spans="5:9" x14ac:dyDescent="0.3">
      <c r="E1144" t="str">
        <f>IFERROR(IF(D1144="","",VLOOKUP(D1144,CadProd!$A:$B,2,0)),"")</f>
        <v/>
      </c>
      <c r="F1144" t="str">
        <f>IFERROR(IF(D1144="","",VLOOKUP(D1144,CadProd!$A:$C,3,0)),"")</f>
        <v/>
      </c>
      <c r="I1144" s="1" t="str">
        <f t="shared" si="17"/>
        <v/>
      </c>
    </row>
    <row r="1145" spans="5:9" x14ac:dyDescent="0.3">
      <c r="E1145" t="str">
        <f>IFERROR(IF(D1145="","",VLOOKUP(D1145,CadProd!$A:$B,2,0)),"")</f>
        <v/>
      </c>
      <c r="F1145" t="str">
        <f>IFERROR(IF(D1145="","",VLOOKUP(D1145,CadProd!$A:$C,3,0)),"")</f>
        <v/>
      </c>
      <c r="I1145" s="1" t="str">
        <f t="shared" si="17"/>
        <v/>
      </c>
    </row>
    <row r="1146" spans="5:9" x14ac:dyDescent="0.3">
      <c r="E1146" t="str">
        <f>IFERROR(IF(D1146="","",VLOOKUP(D1146,CadProd!$A:$B,2,0)),"")</f>
        <v/>
      </c>
      <c r="F1146" t="str">
        <f>IFERROR(IF(D1146="","",VLOOKUP(D1146,CadProd!$A:$C,3,0)),"")</f>
        <v/>
      </c>
      <c r="I1146" s="1" t="str">
        <f t="shared" si="17"/>
        <v/>
      </c>
    </row>
    <row r="1147" spans="5:9" x14ac:dyDescent="0.3">
      <c r="E1147" t="str">
        <f>IFERROR(IF(D1147="","",VLOOKUP(D1147,CadProd!$A:$B,2,0)),"")</f>
        <v/>
      </c>
      <c r="F1147" t="str">
        <f>IFERROR(IF(D1147="","",VLOOKUP(D1147,CadProd!$A:$C,3,0)),"")</f>
        <v/>
      </c>
      <c r="I1147" s="1" t="str">
        <f t="shared" si="17"/>
        <v/>
      </c>
    </row>
    <row r="1148" spans="5:9" x14ac:dyDescent="0.3">
      <c r="E1148" t="str">
        <f>IFERROR(IF(D1148="","",VLOOKUP(D1148,CadProd!$A:$B,2,0)),"")</f>
        <v/>
      </c>
      <c r="F1148" t="str">
        <f>IFERROR(IF(D1148="","",VLOOKUP(D1148,CadProd!$A:$C,3,0)),"")</f>
        <v/>
      </c>
      <c r="I1148" s="1" t="str">
        <f t="shared" si="17"/>
        <v/>
      </c>
    </row>
    <row r="1149" spans="5:9" x14ac:dyDescent="0.3">
      <c r="E1149" t="str">
        <f>IFERROR(IF(D1149="","",VLOOKUP(D1149,CadProd!$A:$B,2,0)),"")</f>
        <v/>
      </c>
      <c r="F1149" t="str">
        <f>IFERROR(IF(D1149="","",VLOOKUP(D1149,CadProd!$A:$C,3,0)),"")</f>
        <v/>
      </c>
      <c r="I1149" s="1" t="str">
        <f t="shared" si="17"/>
        <v/>
      </c>
    </row>
    <row r="1150" spans="5:9" x14ac:dyDescent="0.3">
      <c r="E1150" t="str">
        <f>IFERROR(IF(D1150="","",VLOOKUP(D1150,CadProd!$A:$B,2,0)),"")</f>
        <v/>
      </c>
      <c r="F1150" t="str">
        <f>IFERROR(IF(D1150="","",VLOOKUP(D1150,CadProd!$A:$C,3,0)),"")</f>
        <v/>
      </c>
      <c r="I1150" s="1" t="str">
        <f t="shared" si="17"/>
        <v/>
      </c>
    </row>
    <row r="1151" spans="5:9" x14ac:dyDescent="0.3">
      <c r="E1151" t="str">
        <f>IFERROR(IF(D1151="","",VLOOKUP(D1151,CadProd!$A:$B,2,0)),"")</f>
        <v/>
      </c>
      <c r="F1151" t="str">
        <f>IFERROR(IF(D1151="","",VLOOKUP(D1151,CadProd!$A:$C,3,0)),"")</f>
        <v/>
      </c>
      <c r="I1151" s="1" t="str">
        <f t="shared" si="17"/>
        <v/>
      </c>
    </row>
    <row r="1152" spans="5:9" x14ac:dyDescent="0.3">
      <c r="E1152" t="str">
        <f>IFERROR(IF(D1152="","",VLOOKUP(D1152,CadProd!$A:$B,2,0)),"")</f>
        <v/>
      </c>
      <c r="F1152" t="str">
        <f>IFERROR(IF(D1152="","",VLOOKUP(D1152,CadProd!$A:$C,3,0)),"")</f>
        <v/>
      </c>
      <c r="I1152" s="1" t="str">
        <f t="shared" si="17"/>
        <v/>
      </c>
    </row>
    <row r="1153" spans="5:9" x14ac:dyDescent="0.3">
      <c r="E1153" t="str">
        <f>IFERROR(IF(D1153="","",VLOOKUP(D1153,CadProd!$A:$B,2,0)),"")</f>
        <v/>
      </c>
      <c r="F1153" t="str">
        <f>IFERROR(IF(D1153="","",VLOOKUP(D1153,CadProd!$A:$C,3,0)),"")</f>
        <v/>
      </c>
      <c r="I1153" s="1" t="str">
        <f t="shared" si="17"/>
        <v/>
      </c>
    </row>
    <row r="1154" spans="5:9" x14ac:dyDescent="0.3">
      <c r="E1154" t="str">
        <f>IFERROR(IF(D1154="","",VLOOKUP(D1154,CadProd!$A:$B,2,0)),"")</f>
        <v/>
      </c>
      <c r="F1154" t="str">
        <f>IFERROR(IF(D1154="","",VLOOKUP(D1154,CadProd!$A:$C,3,0)),"")</f>
        <v/>
      </c>
      <c r="I1154" s="1" t="str">
        <f t="shared" ref="I1154:I1217" si="18">IFERROR(IF(D1154="","",H1154*G1154),"")</f>
        <v/>
      </c>
    </row>
    <row r="1155" spans="5:9" x14ac:dyDescent="0.3">
      <c r="E1155" t="str">
        <f>IFERROR(IF(D1155="","",VLOOKUP(D1155,CadProd!$A:$B,2,0)),"")</f>
        <v/>
      </c>
      <c r="F1155" t="str">
        <f>IFERROR(IF(D1155="","",VLOOKUP(D1155,CadProd!$A:$C,3,0)),"")</f>
        <v/>
      </c>
      <c r="I1155" s="1" t="str">
        <f t="shared" si="18"/>
        <v/>
      </c>
    </row>
    <row r="1156" spans="5:9" x14ac:dyDescent="0.3">
      <c r="E1156" t="str">
        <f>IFERROR(IF(D1156="","",VLOOKUP(D1156,CadProd!$A:$B,2,0)),"")</f>
        <v/>
      </c>
      <c r="F1156" t="str">
        <f>IFERROR(IF(D1156="","",VLOOKUP(D1156,CadProd!$A:$C,3,0)),"")</f>
        <v/>
      </c>
      <c r="I1156" s="1" t="str">
        <f t="shared" si="18"/>
        <v/>
      </c>
    </row>
    <row r="1157" spans="5:9" x14ac:dyDescent="0.3">
      <c r="E1157" t="str">
        <f>IFERROR(IF(D1157="","",VLOOKUP(D1157,CadProd!$A:$B,2,0)),"")</f>
        <v/>
      </c>
      <c r="F1157" t="str">
        <f>IFERROR(IF(D1157="","",VLOOKUP(D1157,CadProd!$A:$C,3,0)),"")</f>
        <v/>
      </c>
      <c r="I1157" s="1" t="str">
        <f t="shared" si="18"/>
        <v/>
      </c>
    </row>
    <row r="1158" spans="5:9" x14ac:dyDescent="0.3">
      <c r="E1158" t="str">
        <f>IFERROR(IF(D1158="","",VLOOKUP(D1158,CadProd!$A:$B,2,0)),"")</f>
        <v/>
      </c>
      <c r="F1158" t="str">
        <f>IFERROR(IF(D1158="","",VLOOKUP(D1158,CadProd!$A:$C,3,0)),"")</f>
        <v/>
      </c>
      <c r="I1158" s="1" t="str">
        <f t="shared" si="18"/>
        <v/>
      </c>
    </row>
    <row r="1159" spans="5:9" x14ac:dyDescent="0.3">
      <c r="E1159" t="str">
        <f>IFERROR(IF(D1159="","",VLOOKUP(D1159,CadProd!$A:$B,2,0)),"")</f>
        <v/>
      </c>
      <c r="F1159" t="str">
        <f>IFERROR(IF(D1159="","",VLOOKUP(D1159,CadProd!$A:$C,3,0)),"")</f>
        <v/>
      </c>
      <c r="I1159" s="1" t="str">
        <f t="shared" si="18"/>
        <v/>
      </c>
    </row>
    <row r="1160" spans="5:9" x14ac:dyDescent="0.3">
      <c r="E1160" t="str">
        <f>IFERROR(IF(D1160="","",VLOOKUP(D1160,CadProd!$A:$B,2,0)),"")</f>
        <v/>
      </c>
      <c r="F1160" t="str">
        <f>IFERROR(IF(D1160="","",VLOOKUP(D1160,CadProd!$A:$C,3,0)),"")</f>
        <v/>
      </c>
      <c r="I1160" s="1" t="str">
        <f t="shared" si="18"/>
        <v/>
      </c>
    </row>
    <row r="1161" spans="5:9" x14ac:dyDescent="0.3">
      <c r="E1161" t="str">
        <f>IFERROR(IF(D1161="","",VLOOKUP(D1161,CadProd!$A:$B,2,0)),"")</f>
        <v/>
      </c>
      <c r="F1161" t="str">
        <f>IFERROR(IF(D1161="","",VLOOKUP(D1161,CadProd!$A:$C,3,0)),"")</f>
        <v/>
      </c>
      <c r="I1161" s="1" t="str">
        <f t="shared" si="18"/>
        <v/>
      </c>
    </row>
    <row r="1162" spans="5:9" x14ac:dyDescent="0.3">
      <c r="E1162" t="str">
        <f>IFERROR(IF(D1162="","",VLOOKUP(D1162,CadProd!$A:$B,2,0)),"")</f>
        <v/>
      </c>
      <c r="F1162" t="str">
        <f>IFERROR(IF(D1162="","",VLOOKUP(D1162,CadProd!$A:$C,3,0)),"")</f>
        <v/>
      </c>
      <c r="I1162" s="1" t="str">
        <f t="shared" si="18"/>
        <v/>
      </c>
    </row>
    <row r="1163" spans="5:9" x14ac:dyDescent="0.3">
      <c r="E1163" t="str">
        <f>IFERROR(IF(D1163="","",VLOOKUP(D1163,CadProd!$A:$B,2,0)),"")</f>
        <v/>
      </c>
      <c r="F1163" t="str">
        <f>IFERROR(IF(D1163="","",VLOOKUP(D1163,CadProd!$A:$C,3,0)),"")</f>
        <v/>
      </c>
      <c r="I1163" s="1" t="str">
        <f t="shared" si="18"/>
        <v/>
      </c>
    </row>
    <row r="1164" spans="5:9" x14ac:dyDescent="0.3">
      <c r="E1164" t="str">
        <f>IFERROR(IF(D1164="","",VLOOKUP(D1164,CadProd!$A:$B,2,0)),"")</f>
        <v/>
      </c>
      <c r="F1164" t="str">
        <f>IFERROR(IF(D1164="","",VLOOKUP(D1164,CadProd!$A:$C,3,0)),"")</f>
        <v/>
      </c>
      <c r="I1164" s="1" t="str">
        <f t="shared" si="18"/>
        <v/>
      </c>
    </row>
    <row r="1165" spans="5:9" x14ac:dyDescent="0.3">
      <c r="E1165" t="str">
        <f>IFERROR(IF(D1165="","",VLOOKUP(D1165,CadProd!$A:$B,2,0)),"")</f>
        <v/>
      </c>
      <c r="F1165" t="str">
        <f>IFERROR(IF(D1165="","",VLOOKUP(D1165,CadProd!$A:$C,3,0)),"")</f>
        <v/>
      </c>
      <c r="I1165" s="1" t="str">
        <f t="shared" si="18"/>
        <v/>
      </c>
    </row>
    <row r="1166" spans="5:9" x14ac:dyDescent="0.3">
      <c r="E1166" t="str">
        <f>IFERROR(IF(D1166="","",VLOOKUP(D1166,CadProd!$A:$B,2,0)),"")</f>
        <v/>
      </c>
      <c r="F1166" t="str">
        <f>IFERROR(IF(D1166="","",VLOOKUP(D1166,CadProd!$A:$C,3,0)),"")</f>
        <v/>
      </c>
      <c r="I1166" s="1" t="str">
        <f t="shared" si="18"/>
        <v/>
      </c>
    </row>
    <row r="1167" spans="5:9" x14ac:dyDescent="0.3">
      <c r="E1167" t="str">
        <f>IFERROR(IF(D1167="","",VLOOKUP(D1167,CadProd!$A:$B,2,0)),"")</f>
        <v/>
      </c>
      <c r="F1167" t="str">
        <f>IFERROR(IF(D1167="","",VLOOKUP(D1167,CadProd!$A:$C,3,0)),"")</f>
        <v/>
      </c>
      <c r="I1167" s="1" t="str">
        <f t="shared" si="18"/>
        <v/>
      </c>
    </row>
    <row r="1168" spans="5:9" x14ac:dyDescent="0.3">
      <c r="E1168" t="str">
        <f>IFERROR(IF(D1168="","",VLOOKUP(D1168,CadProd!$A:$B,2,0)),"")</f>
        <v/>
      </c>
      <c r="F1168" t="str">
        <f>IFERROR(IF(D1168="","",VLOOKUP(D1168,CadProd!$A:$C,3,0)),"")</f>
        <v/>
      </c>
      <c r="I1168" s="1" t="str">
        <f t="shared" si="18"/>
        <v/>
      </c>
    </row>
    <row r="1169" spans="5:9" x14ac:dyDescent="0.3">
      <c r="E1169" t="str">
        <f>IFERROR(IF(D1169="","",VLOOKUP(D1169,CadProd!$A:$B,2,0)),"")</f>
        <v/>
      </c>
      <c r="F1169" t="str">
        <f>IFERROR(IF(D1169="","",VLOOKUP(D1169,CadProd!$A:$C,3,0)),"")</f>
        <v/>
      </c>
      <c r="I1169" s="1" t="str">
        <f t="shared" si="18"/>
        <v/>
      </c>
    </row>
    <row r="1170" spans="5:9" x14ac:dyDescent="0.3">
      <c r="E1170" t="str">
        <f>IFERROR(IF(D1170="","",VLOOKUP(D1170,CadProd!$A:$B,2,0)),"")</f>
        <v/>
      </c>
      <c r="F1170" t="str">
        <f>IFERROR(IF(D1170="","",VLOOKUP(D1170,CadProd!$A:$C,3,0)),"")</f>
        <v/>
      </c>
      <c r="I1170" s="1" t="str">
        <f t="shared" si="18"/>
        <v/>
      </c>
    </row>
    <row r="1171" spans="5:9" x14ac:dyDescent="0.3">
      <c r="E1171" t="str">
        <f>IFERROR(IF(D1171="","",VLOOKUP(D1171,CadProd!$A:$B,2,0)),"")</f>
        <v/>
      </c>
      <c r="F1171" t="str">
        <f>IFERROR(IF(D1171="","",VLOOKUP(D1171,CadProd!$A:$C,3,0)),"")</f>
        <v/>
      </c>
      <c r="I1171" s="1" t="str">
        <f t="shared" si="18"/>
        <v/>
      </c>
    </row>
    <row r="1172" spans="5:9" x14ac:dyDescent="0.3">
      <c r="E1172" t="str">
        <f>IFERROR(IF(D1172="","",VLOOKUP(D1172,CadProd!$A:$B,2,0)),"")</f>
        <v/>
      </c>
      <c r="F1172" t="str">
        <f>IFERROR(IF(D1172="","",VLOOKUP(D1172,CadProd!$A:$C,3,0)),"")</f>
        <v/>
      </c>
      <c r="I1172" s="1" t="str">
        <f t="shared" si="18"/>
        <v/>
      </c>
    </row>
    <row r="1173" spans="5:9" x14ac:dyDescent="0.3">
      <c r="E1173" t="str">
        <f>IFERROR(IF(D1173="","",VLOOKUP(D1173,CadProd!$A:$B,2,0)),"")</f>
        <v/>
      </c>
      <c r="F1173" t="str">
        <f>IFERROR(IF(D1173="","",VLOOKUP(D1173,CadProd!$A:$C,3,0)),"")</f>
        <v/>
      </c>
      <c r="I1173" s="1" t="str">
        <f t="shared" si="18"/>
        <v/>
      </c>
    </row>
    <row r="1174" spans="5:9" x14ac:dyDescent="0.3">
      <c r="E1174" t="str">
        <f>IFERROR(IF(D1174="","",VLOOKUP(D1174,CadProd!$A:$B,2,0)),"")</f>
        <v/>
      </c>
      <c r="F1174" t="str">
        <f>IFERROR(IF(D1174="","",VLOOKUP(D1174,CadProd!$A:$C,3,0)),"")</f>
        <v/>
      </c>
      <c r="I1174" s="1" t="str">
        <f t="shared" si="18"/>
        <v/>
      </c>
    </row>
    <row r="1175" spans="5:9" x14ac:dyDescent="0.3">
      <c r="E1175" t="str">
        <f>IFERROR(IF(D1175="","",VLOOKUP(D1175,CadProd!$A:$B,2,0)),"")</f>
        <v/>
      </c>
      <c r="F1175" t="str">
        <f>IFERROR(IF(D1175="","",VLOOKUP(D1175,CadProd!$A:$C,3,0)),"")</f>
        <v/>
      </c>
      <c r="I1175" s="1" t="str">
        <f t="shared" si="18"/>
        <v/>
      </c>
    </row>
    <row r="1176" spans="5:9" x14ac:dyDescent="0.3">
      <c r="E1176" t="str">
        <f>IFERROR(IF(D1176="","",VLOOKUP(D1176,CadProd!$A:$B,2,0)),"")</f>
        <v/>
      </c>
      <c r="F1176" t="str">
        <f>IFERROR(IF(D1176="","",VLOOKUP(D1176,CadProd!$A:$C,3,0)),"")</f>
        <v/>
      </c>
      <c r="I1176" s="1" t="str">
        <f t="shared" si="18"/>
        <v/>
      </c>
    </row>
    <row r="1177" spans="5:9" x14ac:dyDescent="0.3">
      <c r="E1177" t="str">
        <f>IFERROR(IF(D1177="","",VLOOKUP(D1177,CadProd!$A:$B,2,0)),"")</f>
        <v/>
      </c>
      <c r="F1177" t="str">
        <f>IFERROR(IF(D1177="","",VLOOKUP(D1177,CadProd!$A:$C,3,0)),"")</f>
        <v/>
      </c>
      <c r="I1177" s="1" t="str">
        <f t="shared" si="18"/>
        <v/>
      </c>
    </row>
    <row r="1178" spans="5:9" x14ac:dyDescent="0.3">
      <c r="E1178" t="str">
        <f>IFERROR(IF(D1178="","",VLOOKUP(D1178,CadProd!$A:$B,2,0)),"")</f>
        <v/>
      </c>
      <c r="F1178" t="str">
        <f>IFERROR(IF(D1178="","",VLOOKUP(D1178,CadProd!$A:$C,3,0)),"")</f>
        <v/>
      </c>
      <c r="I1178" s="1" t="str">
        <f t="shared" si="18"/>
        <v/>
      </c>
    </row>
    <row r="1179" spans="5:9" x14ac:dyDescent="0.3">
      <c r="E1179" t="str">
        <f>IFERROR(IF(D1179="","",VLOOKUP(D1179,CadProd!$A:$B,2,0)),"")</f>
        <v/>
      </c>
      <c r="F1179" t="str">
        <f>IFERROR(IF(D1179="","",VLOOKUP(D1179,CadProd!$A:$C,3,0)),"")</f>
        <v/>
      </c>
      <c r="I1179" s="1" t="str">
        <f t="shared" si="18"/>
        <v/>
      </c>
    </row>
    <row r="1180" spans="5:9" x14ac:dyDescent="0.3">
      <c r="E1180" t="str">
        <f>IFERROR(IF(D1180="","",VLOOKUP(D1180,CadProd!$A:$B,2,0)),"")</f>
        <v/>
      </c>
      <c r="F1180" t="str">
        <f>IFERROR(IF(D1180="","",VLOOKUP(D1180,CadProd!$A:$C,3,0)),"")</f>
        <v/>
      </c>
      <c r="I1180" s="1" t="str">
        <f t="shared" si="18"/>
        <v/>
      </c>
    </row>
    <row r="1181" spans="5:9" x14ac:dyDescent="0.3">
      <c r="E1181" t="str">
        <f>IFERROR(IF(D1181="","",VLOOKUP(D1181,CadProd!$A:$B,2,0)),"")</f>
        <v/>
      </c>
      <c r="F1181" t="str">
        <f>IFERROR(IF(D1181="","",VLOOKUP(D1181,CadProd!$A:$C,3,0)),"")</f>
        <v/>
      </c>
      <c r="I1181" s="1" t="str">
        <f t="shared" si="18"/>
        <v/>
      </c>
    </row>
    <row r="1182" spans="5:9" x14ac:dyDescent="0.3">
      <c r="E1182" t="str">
        <f>IFERROR(IF(D1182="","",VLOOKUP(D1182,CadProd!$A:$B,2,0)),"")</f>
        <v/>
      </c>
      <c r="F1182" t="str">
        <f>IFERROR(IF(D1182="","",VLOOKUP(D1182,CadProd!$A:$C,3,0)),"")</f>
        <v/>
      </c>
      <c r="I1182" s="1" t="str">
        <f t="shared" si="18"/>
        <v/>
      </c>
    </row>
    <row r="1183" spans="5:9" x14ac:dyDescent="0.3">
      <c r="E1183" t="str">
        <f>IFERROR(IF(D1183="","",VLOOKUP(D1183,CadProd!$A:$B,2,0)),"")</f>
        <v/>
      </c>
      <c r="F1183" t="str">
        <f>IFERROR(IF(D1183="","",VLOOKUP(D1183,CadProd!$A:$C,3,0)),"")</f>
        <v/>
      </c>
      <c r="I1183" s="1" t="str">
        <f t="shared" si="18"/>
        <v/>
      </c>
    </row>
    <row r="1184" spans="5:9" x14ac:dyDescent="0.3">
      <c r="E1184" t="str">
        <f>IFERROR(IF(D1184="","",VLOOKUP(D1184,CadProd!$A:$B,2,0)),"")</f>
        <v/>
      </c>
      <c r="F1184" t="str">
        <f>IFERROR(IF(D1184="","",VLOOKUP(D1184,CadProd!$A:$C,3,0)),"")</f>
        <v/>
      </c>
      <c r="I1184" s="1" t="str">
        <f t="shared" si="18"/>
        <v/>
      </c>
    </row>
    <row r="1185" spans="5:9" x14ac:dyDescent="0.3">
      <c r="E1185" t="str">
        <f>IFERROR(IF(D1185="","",VLOOKUP(D1185,CadProd!$A:$B,2,0)),"")</f>
        <v/>
      </c>
      <c r="F1185" t="str">
        <f>IFERROR(IF(D1185="","",VLOOKUP(D1185,CadProd!$A:$C,3,0)),"")</f>
        <v/>
      </c>
      <c r="I1185" s="1" t="str">
        <f t="shared" si="18"/>
        <v/>
      </c>
    </row>
    <row r="1186" spans="5:9" x14ac:dyDescent="0.3">
      <c r="E1186" t="str">
        <f>IFERROR(IF(D1186="","",VLOOKUP(D1186,CadProd!$A:$B,2,0)),"")</f>
        <v/>
      </c>
      <c r="F1186" t="str">
        <f>IFERROR(IF(D1186="","",VLOOKUP(D1186,CadProd!$A:$C,3,0)),"")</f>
        <v/>
      </c>
      <c r="I1186" s="1" t="str">
        <f t="shared" si="18"/>
        <v/>
      </c>
    </row>
    <row r="1187" spans="5:9" x14ac:dyDescent="0.3">
      <c r="E1187" t="str">
        <f>IFERROR(IF(D1187="","",VLOOKUP(D1187,CadProd!$A:$B,2,0)),"")</f>
        <v/>
      </c>
      <c r="F1187" t="str">
        <f>IFERROR(IF(D1187="","",VLOOKUP(D1187,CadProd!$A:$C,3,0)),"")</f>
        <v/>
      </c>
      <c r="I1187" s="1" t="str">
        <f t="shared" si="18"/>
        <v/>
      </c>
    </row>
    <row r="1188" spans="5:9" x14ac:dyDescent="0.3">
      <c r="E1188" t="str">
        <f>IFERROR(IF(D1188="","",VLOOKUP(D1188,CadProd!$A:$B,2,0)),"")</f>
        <v/>
      </c>
      <c r="F1188" t="str">
        <f>IFERROR(IF(D1188="","",VLOOKUP(D1188,CadProd!$A:$C,3,0)),"")</f>
        <v/>
      </c>
      <c r="I1188" s="1" t="str">
        <f t="shared" si="18"/>
        <v/>
      </c>
    </row>
    <row r="1189" spans="5:9" x14ac:dyDescent="0.3">
      <c r="E1189" t="str">
        <f>IFERROR(IF(D1189="","",VLOOKUP(D1189,CadProd!$A:$B,2,0)),"")</f>
        <v/>
      </c>
      <c r="F1189" t="str">
        <f>IFERROR(IF(D1189="","",VLOOKUP(D1189,CadProd!$A:$C,3,0)),"")</f>
        <v/>
      </c>
      <c r="I1189" s="1" t="str">
        <f t="shared" si="18"/>
        <v/>
      </c>
    </row>
    <row r="1190" spans="5:9" x14ac:dyDescent="0.3">
      <c r="E1190" t="str">
        <f>IFERROR(IF(D1190="","",VLOOKUP(D1190,CadProd!$A:$B,2,0)),"")</f>
        <v/>
      </c>
      <c r="F1190" t="str">
        <f>IFERROR(IF(D1190="","",VLOOKUP(D1190,CadProd!$A:$C,3,0)),"")</f>
        <v/>
      </c>
      <c r="I1190" s="1" t="str">
        <f t="shared" si="18"/>
        <v/>
      </c>
    </row>
    <row r="1191" spans="5:9" x14ac:dyDescent="0.3">
      <c r="E1191" t="str">
        <f>IFERROR(IF(D1191="","",VLOOKUP(D1191,CadProd!$A:$B,2,0)),"")</f>
        <v/>
      </c>
      <c r="F1191" t="str">
        <f>IFERROR(IF(D1191="","",VLOOKUP(D1191,CadProd!$A:$C,3,0)),"")</f>
        <v/>
      </c>
      <c r="I1191" s="1" t="str">
        <f t="shared" si="18"/>
        <v/>
      </c>
    </row>
    <row r="1192" spans="5:9" x14ac:dyDescent="0.3">
      <c r="E1192" t="str">
        <f>IFERROR(IF(D1192="","",VLOOKUP(D1192,CadProd!$A:$B,2,0)),"")</f>
        <v/>
      </c>
      <c r="F1192" t="str">
        <f>IFERROR(IF(D1192="","",VLOOKUP(D1192,CadProd!$A:$C,3,0)),"")</f>
        <v/>
      </c>
      <c r="I1192" s="1" t="str">
        <f t="shared" si="18"/>
        <v/>
      </c>
    </row>
    <row r="1193" spans="5:9" x14ac:dyDescent="0.3">
      <c r="E1193" t="str">
        <f>IFERROR(IF(D1193="","",VLOOKUP(D1193,CadProd!$A:$B,2,0)),"")</f>
        <v/>
      </c>
      <c r="F1193" t="str">
        <f>IFERROR(IF(D1193="","",VLOOKUP(D1193,CadProd!$A:$C,3,0)),"")</f>
        <v/>
      </c>
      <c r="I1193" s="1" t="str">
        <f t="shared" si="18"/>
        <v/>
      </c>
    </row>
    <row r="1194" spans="5:9" x14ac:dyDescent="0.3">
      <c r="E1194" t="str">
        <f>IFERROR(IF(D1194="","",VLOOKUP(D1194,CadProd!$A:$B,2,0)),"")</f>
        <v/>
      </c>
      <c r="F1194" t="str">
        <f>IFERROR(IF(D1194="","",VLOOKUP(D1194,CadProd!$A:$C,3,0)),"")</f>
        <v/>
      </c>
      <c r="I1194" s="1" t="str">
        <f t="shared" si="18"/>
        <v/>
      </c>
    </row>
    <row r="1195" spans="5:9" x14ac:dyDescent="0.3">
      <c r="E1195" t="str">
        <f>IFERROR(IF(D1195="","",VLOOKUP(D1195,CadProd!$A:$B,2,0)),"")</f>
        <v/>
      </c>
      <c r="F1195" t="str">
        <f>IFERROR(IF(D1195="","",VLOOKUP(D1195,CadProd!$A:$C,3,0)),"")</f>
        <v/>
      </c>
      <c r="I1195" s="1" t="str">
        <f t="shared" si="18"/>
        <v/>
      </c>
    </row>
    <row r="1196" spans="5:9" x14ac:dyDescent="0.3">
      <c r="E1196" t="str">
        <f>IFERROR(IF(D1196="","",VLOOKUP(D1196,CadProd!$A:$B,2,0)),"")</f>
        <v/>
      </c>
      <c r="F1196" t="str">
        <f>IFERROR(IF(D1196="","",VLOOKUP(D1196,CadProd!$A:$C,3,0)),"")</f>
        <v/>
      </c>
      <c r="I1196" s="1" t="str">
        <f t="shared" si="18"/>
        <v/>
      </c>
    </row>
    <row r="1197" spans="5:9" x14ac:dyDescent="0.3">
      <c r="E1197" t="str">
        <f>IFERROR(IF(D1197="","",VLOOKUP(D1197,CadProd!$A:$B,2,0)),"")</f>
        <v/>
      </c>
      <c r="F1197" t="str">
        <f>IFERROR(IF(D1197="","",VLOOKUP(D1197,CadProd!$A:$C,3,0)),"")</f>
        <v/>
      </c>
      <c r="I1197" s="1" t="str">
        <f t="shared" si="18"/>
        <v/>
      </c>
    </row>
    <row r="1198" spans="5:9" x14ac:dyDescent="0.3">
      <c r="E1198" t="str">
        <f>IFERROR(IF(D1198="","",VLOOKUP(D1198,CadProd!$A:$B,2,0)),"")</f>
        <v/>
      </c>
      <c r="F1198" t="str">
        <f>IFERROR(IF(D1198="","",VLOOKUP(D1198,CadProd!$A:$C,3,0)),"")</f>
        <v/>
      </c>
      <c r="I1198" s="1" t="str">
        <f t="shared" si="18"/>
        <v/>
      </c>
    </row>
    <row r="1199" spans="5:9" x14ac:dyDescent="0.3">
      <c r="E1199" t="str">
        <f>IFERROR(IF(D1199="","",VLOOKUP(D1199,CadProd!$A:$B,2,0)),"")</f>
        <v/>
      </c>
      <c r="F1199" t="str">
        <f>IFERROR(IF(D1199="","",VLOOKUP(D1199,CadProd!$A:$C,3,0)),"")</f>
        <v/>
      </c>
      <c r="I1199" s="1" t="str">
        <f t="shared" si="18"/>
        <v/>
      </c>
    </row>
    <row r="1200" spans="5:9" x14ac:dyDescent="0.3">
      <c r="E1200" t="str">
        <f>IFERROR(IF(D1200="","",VLOOKUP(D1200,CadProd!$A:$B,2,0)),"")</f>
        <v/>
      </c>
      <c r="F1200" t="str">
        <f>IFERROR(IF(D1200="","",VLOOKUP(D1200,CadProd!$A:$C,3,0)),"")</f>
        <v/>
      </c>
      <c r="I1200" s="1" t="str">
        <f t="shared" si="18"/>
        <v/>
      </c>
    </row>
    <row r="1201" spans="5:9" x14ac:dyDescent="0.3">
      <c r="E1201" t="str">
        <f>IFERROR(IF(D1201="","",VLOOKUP(D1201,CadProd!$A:$B,2,0)),"")</f>
        <v/>
      </c>
      <c r="F1201" t="str">
        <f>IFERROR(IF(D1201="","",VLOOKUP(D1201,CadProd!$A:$C,3,0)),"")</f>
        <v/>
      </c>
      <c r="I1201" s="1" t="str">
        <f t="shared" si="18"/>
        <v/>
      </c>
    </row>
    <row r="1202" spans="5:9" x14ac:dyDescent="0.3">
      <c r="E1202" t="str">
        <f>IFERROR(IF(D1202="","",VLOOKUP(D1202,CadProd!$A:$B,2,0)),"")</f>
        <v/>
      </c>
      <c r="F1202" t="str">
        <f>IFERROR(IF(D1202="","",VLOOKUP(D1202,CadProd!$A:$C,3,0)),"")</f>
        <v/>
      </c>
      <c r="I1202" s="1" t="str">
        <f t="shared" si="18"/>
        <v/>
      </c>
    </row>
    <row r="1203" spans="5:9" x14ac:dyDescent="0.3">
      <c r="E1203" t="str">
        <f>IFERROR(IF(D1203="","",VLOOKUP(D1203,CadProd!$A:$B,2,0)),"")</f>
        <v/>
      </c>
      <c r="F1203" t="str">
        <f>IFERROR(IF(D1203="","",VLOOKUP(D1203,CadProd!$A:$C,3,0)),"")</f>
        <v/>
      </c>
      <c r="I1203" s="1" t="str">
        <f t="shared" si="18"/>
        <v/>
      </c>
    </row>
    <row r="1204" spans="5:9" x14ac:dyDescent="0.3">
      <c r="E1204" t="str">
        <f>IFERROR(IF(D1204="","",VLOOKUP(D1204,CadProd!$A:$B,2,0)),"")</f>
        <v/>
      </c>
      <c r="F1204" t="str">
        <f>IFERROR(IF(D1204="","",VLOOKUP(D1204,CadProd!$A:$C,3,0)),"")</f>
        <v/>
      </c>
      <c r="I1204" s="1" t="str">
        <f t="shared" si="18"/>
        <v/>
      </c>
    </row>
    <row r="1205" spans="5:9" x14ac:dyDescent="0.3">
      <c r="E1205" t="str">
        <f>IFERROR(IF(D1205="","",VLOOKUP(D1205,CadProd!$A:$B,2,0)),"")</f>
        <v/>
      </c>
      <c r="F1205" t="str">
        <f>IFERROR(IF(D1205="","",VLOOKUP(D1205,CadProd!$A:$C,3,0)),"")</f>
        <v/>
      </c>
      <c r="I1205" s="1" t="str">
        <f t="shared" si="18"/>
        <v/>
      </c>
    </row>
    <row r="1206" spans="5:9" x14ac:dyDescent="0.3">
      <c r="E1206" t="str">
        <f>IFERROR(IF(D1206="","",VLOOKUP(D1206,CadProd!$A:$B,2,0)),"")</f>
        <v/>
      </c>
      <c r="F1206" t="str">
        <f>IFERROR(IF(D1206="","",VLOOKUP(D1206,CadProd!$A:$C,3,0)),"")</f>
        <v/>
      </c>
      <c r="I1206" s="1" t="str">
        <f t="shared" si="18"/>
        <v/>
      </c>
    </row>
    <row r="1207" spans="5:9" x14ac:dyDescent="0.3">
      <c r="E1207" t="str">
        <f>IFERROR(IF(D1207="","",VLOOKUP(D1207,CadProd!$A:$B,2,0)),"")</f>
        <v/>
      </c>
      <c r="F1207" t="str">
        <f>IFERROR(IF(D1207="","",VLOOKUP(D1207,CadProd!$A:$C,3,0)),"")</f>
        <v/>
      </c>
      <c r="I1207" s="1" t="str">
        <f t="shared" si="18"/>
        <v/>
      </c>
    </row>
    <row r="1208" spans="5:9" x14ac:dyDescent="0.3">
      <c r="E1208" t="str">
        <f>IFERROR(IF(D1208="","",VLOOKUP(D1208,CadProd!$A:$B,2,0)),"")</f>
        <v/>
      </c>
      <c r="F1208" t="str">
        <f>IFERROR(IF(D1208="","",VLOOKUP(D1208,CadProd!$A:$C,3,0)),"")</f>
        <v/>
      </c>
      <c r="I1208" s="1" t="str">
        <f t="shared" si="18"/>
        <v/>
      </c>
    </row>
    <row r="1209" spans="5:9" x14ac:dyDescent="0.3">
      <c r="E1209" t="str">
        <f>IFERROR(IF(D1209="","",VLOOKUP(D1209,CadProd!$A:$B,2,0)),"")</f>
        <v/>
      </c>
      <c r="F1209" t="str">
        <f>IFERROR(IF(D1209="","",VLOOKUP(D1209,CadProd!$A:$C,3,0)),"")</f>
        <v/>
      </c>
      <c r="I1209" s="1" t="str">
        <f t="shared" si="18"/>
        <v/>
      </c>
    </row>
    <row r="1210" spans="5:9" x14ac:dyDescent="0.3">
      <c r="E1210" t="str">
        <f>IFERROR(IF(D1210="","",VLOOKUP(D1210,CadProd!$A:$B,2,0)),"")</f>
        <v/>
      </c>
      <c r="F1210" t="str">
        <f>IFERROR(IF(D1210="","",VLOOKUP(D1210,CadProd!$A:$C,3,0)),"")</f>
        <v/>
      </c>
      <c r="I1210" s="1" t="str">
        <f t="shared" si="18"/>
        <v/>
      </c>
    </row>
    <row r="1211" spans="5:9" x14ac:dyDescent="0.3">
      <c r="E1211" t="str">
        <f>IFERROR(IF(D1211="","",VLOOKUP(D1211,CadProd!$A:$B,2,0)),"")</f>
        <v/>
      </c>
      <c r="F1211" t="str">
        <f>IFERROR(IF(D1211="","",VLOOKUP(D1211,CadProd!$A:$C,3,0)),"")</f>
        <v/>
      </c>
      <c r="I1211" s="1" t="str">
        <f t="shared" si="18"/>
        <v/>
      </c>
    </row>
    <row r="1212" spans="5:9" x14ac:dyDescent="0.3">
      <c r="E1212" t="str">
        <f>IFERROR(IF(D1212="","",VLOOKUP(D1212,CadProd!$A:$B,2,0)),"")</f>
        <v/>
      </c>
      <c r="F1212" t="str">
        <f>IFERROR(IF(D1212="","",VLOOKUP(D1212,CadProd!$A:$C,3,0)),"")</f>
        <v/>
      </c>
      <c r="I1212" s="1" t="str">
        <f t="shared" si="18"/>
        <v/>
      </c>
    </row>
    <row r="1213" spans="5:9" x14ac:dyDescent="0.3">
      <c r="E1213" t="str">
        <f>IFERROR(IF(D1213="","",VLOOKUP(D1213,CadProd!$A:$B,2,0)),"")</f>
        <v/>
      </c>
      <c r="F1213" t="str">
        <f>IFERROR(IF(D1213="","",VLOOKUP(D1213,CadProd!$A:$C,3,0)),"")</f>
        <v/>
      </c>
      <c r="I1213" s="1" t="str">
        <f t="shared" si="18"/>
        <v/>
      </c>
    </row>
    <row r="1214" spans="5:9" x14ac:dyDescent="0.3">
      <c r="E1214" t="str">
        <f>IFERROR(IF(D1214="","",VLOOKUP(D1214,CadProd!$A:$B,2,0)),"")</f>
        <v/>
      </c>
      <c r="F1214" t="str">
        <f>IFERROR(IF(D1214="","",VLOOKUP(D1214,CadProd!$A:$C,3,0)),"")</f>
        <v/>
      </c>
      <c r="I1214" s="1" t="str">
        <f t="shared" si="18"/>
        <v/>
      </c>
    </row>
    <row r="1215" spans="5:9" x14ac:dyDescent="0.3">
      <c r="E1215" t="str">
        <f>IFERROR(IF(D1215="","",VLOOKUP(D1215,CadProd!$A:$B,2,0)),"")</f>
        <v/>
      </c>
      <c r="F1215" t="str">
        <f>IFERROR(IF(D1215="","",VLOOKUP(D1215,CadProd!$A:$C,3,0)),"")</f>
        <v/>
      </c>
      <c r="I1215" s="1" t="str">
        <f t="shared" si="18"/>
        <v/>
      </c>
    </row>
    <row r="1216" spans="5:9" x14ac:dyDescent="0.3">
      <c r="E1216" t="str">
        <f>IFERROR(IF(D1216="","",VLOOKUP(D1216,CadProd!$A:$B,2,0)),"")</f>
        <v/>
      </c>
      <c r="F1216" t="str">
        <f>IFERROR(IF(D1216="","",VLOOKUP(D1216,CadProd!$A:$C,3,0)),"")</f>
        <v/>
      </c>
      <c r="I1216" s="1" t="str">
        <f t="shared" si="18"/>
        <v/>
      </c>
    </row>
    <row r="1217" spans="5:9" x14ac:dyDescent="0.3">
      <c r="E1217" t="str">
        <f>IFERROR(IF(D1217="","",VLOOKUP(D1217,CadProd!$A:$B,2,0)),"")</f>
        <v/>
      </c>
      <c r="F1217" t="str">
        <f>IFERROR(IF(D1217="","",VLOOKUP(D1217,CadProd!$A:$C,3,0)),"")</f>
        <v/>
      </c>
      <c r="I1217" s="1" t="str">
        <f t="shared" si="18"/>
        <v/>
      </c>
    </row>
    <row r="1218" spans="5:9" x14ac:dyDescent="0.3">
      <c r="E1218" t="str">
        <f>IFERROR(IF(D1218="","",VLOOKUP(D1218,CadProd!$A:$B,2,0)),"")</f>
        <v/>
      </c>
      <c r="F1218" t="str">
        <f>IFERROR(IF(D1218="","",VLOOKUP(D1218,CadProd!$A:$C,3,0)),"")</f>
        <v/>
      </c>
      <c r="I1218" s="1" t="str">
        <f t="shared" ref="I1218:I1281" si="19">IFERROR(IF(D1218="","",H1218*G1218),"")</f>
        <v/>
      </c>
    </row>
    <row r="1219" spans="5:9" x14ac:dyDescent="0.3">
      <c r="E1219" t="str">
        <f>IFERROR(IF(D1219="","",VLOOKUP(D1219,CadProd!$A:$B,2,0)),"")</f>
        <v/>
      </c>
      <c r="F1219" t="str">
        <f>IFERROR(IF(D1219="","",VLOOKUP(D1219,CadProd!$A:$C,3,0)),"")</f>
        <v/>
      </c>
      <c r="I1219" s="1" t="str">
        <f t="shared" si="19"/>
        <v/>
      </c>
    </row>
    <row r="1220" spans="5:9" x14ac:dyDescent="0.3">
      <c r="E1220" t="str">
        <f>IFERROR(IF(D1220="","",VLOOKUP(D1220,CadProd!$A:$B,2,0)),"")</f>
        <v/>
      </c>
      <c r="F1220" t="str">
        <f>IFERROR(IF(D1220="","",VLOOKUP(D1220,CadProd!$A:$C,3,0)),"")</f>
        <v/>
      </c>
      <c r="I1220" s="1" t="str">
        <f t="shared" si="19"/>
        <v/>
      </c>
    </row>
    <row r="1221" spans="5:9" x14ac:dyDescent="0.3">
      <c r="E1221" t="str">
        <f>IFERROR(IF(D1221="","",VLOOKUP(D1221,CadProd!$A:$B,2,0)),"")</f>
        <v/>
      </c>
      <c r="F1221" t="str">
        <f>IFERROR(IF(D1221="","",VLOOKUP(D1221,CadProd!$A:$C,3,0)),"")</f>
        <v/>
      </c>
      <c r="I1221" s="1" t="str">
        <f t="shared" si="19"/>
        <v/>
      </c>
    </row>
    <row r="1222" spans="5:9" x14ac:dyDescent="0.3">
      <c r="E1222" t="str">
        <f>IFERROR(IF(D1222="","",VLOOKUP(D1222,CadProd!$A:$B,2,0)),"")</f>
        <v/>
      </c>
      <c r="F1222" t="str">
        <f>IFERROR(IF(D1222="","",VLOOKUP(D1222,CadProd!$A:$C,3,0)),"")</f>
        <v/>
      </c>
      <c r="I1222" s="1" t="str">
        <f t="shared" si="19"/>
        <v/>
      </c>
    </row>
    <row r="1223" spans="5:9" x14ac:dyDescent="0.3">
      <c r="E1223" t="str">
        <f>IFERROR(IF(D1223="","",VLOOKUP(D1223,CadProd!$A:$B,2,0)),"")</f>
        <v/>
      </c>
      <c r="F1223" t="str">
        <f>IFERROR(IF(D1223="","",VLOOKUP(D1223,CadProd!$A:$C,3,0)),"")</f>
        <v/>
      </c>
      <c r="I1223" s="1" t="str">
        <f t="shared" si="19"/>
        <v/>
      </c>
    </row>
    <row r="1224" spans="5:9" x14ac:dyDescent="0.3">
      <c r="E1224" t="str">
        <f>IFERROR(IF(D1224="","",VLOOKUP(D1224,CadProd!$A:$B,2,0)),"")</f>
        <v/>
      </c>
      <c r="F1224" t="str">
        <f>IFERROR(IF(D1224="","",VLOOKUP(D1224,CadProd!$A:$C,3,0)),"")</f>
        <v/>
      </c>
      <c r="I1224" s="1" t="str">
        <f t="shared" si="19"/>
        <v/>
      </c>
    </row>
    <row r="1225" spans="5:9" x14ac:dyDescent="0.3">
      <c r="E1225" t="str">
        <f>IFERROR(IF(D1225="","",VLOOKUP(D1225,CadProd!$A:$B,2,0)),"")</f>
        <v/>
      </c>
      <c r="F1225" t="str">
        <f>IFERROR(IF(D1225="","",VLOOKUP(D1225,CadProd!$A:$C,3,0)),"")</f>
        <v/>
      </c>
      <c r="I1225" s="1" t="str">
        <f t="shared" si="19"/>
        <v/>
      </c>
    </row>
    <row r="1226" spans="5:9" x14ac:dyDescent="0.3">
      <c r="E1226" t="str">
        <f>IFERROR(IF(D1226="","",VLOOKUP(D1226,CadProd!$A:$B,2,0)),"")</f>
        <v/>
      </c>
      <c r="F1226" t="str">
        <f>IFERROR(IF(D1226="","",VLOOKUP(D1226,CadProd!$A:$C,3,0)),"")</f>
        <v/>
      </c>
      <c r="I1226" s="1" t="str">
        <f t="shared" si="19"/>
        <v/>
      </c>
    </row>
    <row r="1227" spans="5:9" x14ac:dyDescent="0.3">
      <c r="E1227" t="str">
        <f>IFERROR(IF(D1227="","",VLOOKUP(D1227,CadProd!$A:$B,2,0)),"")</f>
        <v/>
      </c>
      <c r="F1227" t="str">
        <f>IFERROR(IF(D1227="","",VLOOKUP(D1227,CadProd!$A:$C,3,0)),"")</f>
        <v/>
      </c>
      <c r="I1227" s="1" t="str">
        <f t="shared" si="19"/>
        <v/>
      </c>
    </row>
    <row r="1228" spans="5:9" x14ac:dyDescent="0.3">
      <c r="E1228" t="str">
        <f>IFERROR(IF(D1228="","",VLOOKUP(D1228,CadProd!$A:$B,2,0)),"")</f>
        <v/>
      </c>
      <c r="F1228" t="str">
        <f>IFERROR(IF(D1228="","",VLOOKUP(D1228,CadProd!$A:$C,3,0)),"")</f>
        <v/>
      </c>
      <c r="I1228" s="1" t="str">
        <f t="shared" si="19"/>
        <v/>
      </c>
    </row>
    <row r="1229" spans="5:9" x14ac:dyDescent="0.3">
      <c r="E1229" t="str">
        <f>IFERROR(IF(D1229="","",VLOOKUP(D1229,CadProd!$A:$B,2,0)),"")</f>
        <v/>
      </c>
      <c r="F1229" t="str">
        <f>IFERROR(IF(D1229="","",VLOOKUP(D1229,CadProd!$A:$C,3,0)),"")</f>
        <v/>
      </c>
      <c r="I1229" s="1" t="str">
        <f t="shared" si="19"/>
        <v/>
      </c>
    </row>
    <row r="1230" spans="5:9" x14ac:dyDescent="0.3">
      <c r="E1230" t="str">
        <f>IFERROR(IF(D1230="","",VLOOKUP(D1230,CadProd!$A:$B,2,0)),"")</f>
        <v/>
      </c>
      <c r="F1230" t="str">
        <f>IFERROR(IF(D1230="","",VLOOKUP(D1230,CadProd!$A:$C,3,0)),"")</f>
        <v/>
      </c>
      <c r="I1230" s="1" t="str">
        <f t="shared" si="19"/>
        <v/>
      </c>
    </row>
    <row r="1231" spans="5:9" x14ac:dyDescent="0.3">
      <c r="E1231" t="str">
        <f>IFERROR(IF(D1231="","",VLOOKUP(D1231,CadProd!$A:$B,2,0)),"")</f>
        <v/>
      </c>
      <c r="F1231" t="str">
        <f>IFERROR(IF(D1231="","",VLOOKUP(D1231,CadProd!$A:$C,3,0)),"")</f>
        <v/>
      </c>
      <c r="I1231" s="1" t="str">
        <f t="shared" si="19"/>
        <v/>
      </c>
    </row>
    <row r="1232" spans="5:9" x14ac:dyDescent="0.3">
      <c r="E1232" t="str">
        <f>IFERROR(IF(D1232="","",VLOOKUP(D1232,CadProd!$A:$B,2,0)),"")</f>
        <v/>
      </c>
      <c r="F1232" t="str">
        <f>IFERROR(IF(D1232="","",VLOOKUP(D1232,CadProd!$A:$C,3,0)),"")</f>
        <v/>
      </c>
      <c r="I1232" s="1" t="str">
        <f t="shared" si="19"/>
        <v/>
      </c>
    </row>
    <row r="1233" spans="5:9" x14ac:dyDescent="0.3">
      <c r="E1233" t="str">
        <f>IFERROR(IF(D1233="","",VLOOKUP(D1233,CadProd!$A:$B,2,0)),"")</f>
        <v/>
      </c>
      <c r="F1233" t="str">
        <f>IFERROR(IF(D1233="","",VLOOKUP(D1233,CadProd!$A:$C,3,0)),"")</f>
        <v/>
      </c>
      <c r="I1233" s="1" t="str">
        <f t="shared" si="19"/>
        <v/>
      </c>
    </row>
    <row r="1234" spans="5:9" x14ac:dyDescent="0.3">
      <c r="E1234" t="str">
        <f>IFERROR(IF(D1234="","",VLOOKUP(D1234,CadProd!$A:$B,2,0)),"")</f>
        <v/>
      </c>
      <c r="F1234" t="str">
        <f>IFERROR(IF(D1234="","",VLOOKUP(D1234,CadProd!$A:$C,3,0)),"")</f>
        <v/>
      </c>
      <c r="I1234" s="1" t="str">
        <f t="shared" si="19"/>
        <v/>
      </c>
    </row>
    <row r="1235" spans="5:9" x14ac:dyDescent="0.3">
      <c r="E1235" t="str">
        <f>IFERROR(IF(D1235="","",VLOOKUP(D1235,CadProd!$A:$B,2,0)),"")</f>
        <v/>
      </c>
      <c r="F1235" t="str">
        <f>IFERROR(IF(D1235="","",VLOOKUP(D1235,CadProd!$A:$C,3,0)),"")</f>
        <v/>
      </c>
      <c r="I1235" s="1" t="str">
        <f t="shared" si="19"/>
        <v/>
      </c>
    </row>
    <row r="1236" spans="5:9" x14ac:dyDescent="0.3">
      <c r="E1236" t="str">
        <f>IFERROR(IF(D1236="","",VLOOKUP(D1236,CadProd!$A:$B,2,0)),"")</f>
        <v/>
      </c>
      <c r="F1236" t="str">
        <f>IFERROR(IF(D1236="","",VLOOKUP(D1236,CadProd!$A:$C,3,0)),"")</f>
        <v/>
      </c>
      <c r="I1236" s="1" t="str">
        <f t="shared" si="19"/>
        <v/>
      </c>
    </row>
    <row r="1237" spans="5:9" x14ac:dyDescent="0.3">
      <c r="E1237" t="str">
        <f>IFERROR(IF(D1237="","",VLOOKUP(D1237,CadProd!$A:$B,2,0)),"")</f>
        <v/>
      </c>
      <c r="F1237" t="str">
        <f>IFERROR(IF(D1237="","",VLOOKUP(D1237,CadProd!$A:$C,3,0)),"")</f>
        <v/>
      </c>
      <c r="I1237" s="1" t="str">
        <f t="shared" si="19"/>
        <v/>
      </c>
    </row>
    <row r="1238" spans="5:9" x14ac:dyDescent="0.3">
      <c r="E1238" t="str">
        <f>IFERROR(IF(D1238="","",VLOOKUP(D1238,CadProd!$A:$B,2,0)),"")</f>
        <v/>
      </c>
      <c r="F1238" t="str">
        <f>IFERROR(IF(D1238="","",VLOOKUP(D1238,CadProd!$A:$C,3,0)),"")</f>
        <v/>
      </c>
      <c r="I1238" s="1" t="str">
        <f t="shared" si="19"/>
        <v/>
      </c>
    </row>
    <row r="1239" spans="5:9" x14ac:dyDescent="0.3">
      <c r="E1239" t="str">
        <f>IFERROR(IF(D1239="","",VLOOKUP(D1239,CadProd!$A:$B,2,0)),"")</f>
        <v/>
      </c>
      <c r="F1239" t="str">
        <f>IFERROR(IF(D1239="","",VLOOKUP(D1239,CadProd!$A:$C,3,0)),"")</f>
        <v/>
      </c>
      <c r="I1239" s="1" t="str">
        <f t="shared" si="19"/>
        <v/>
      </c>
    </row>
    <row r="1240" spans="5:9" x14ac:dyDescent="0.3">
      <c r="E1240" t="str">
        <f>IFERROR(IF(D1240="","",VLOOKUP(D1240,CadProd!$A:$B,2,0)),"")</f>
        <v/>
      </c>
      <c r="F1240" t="str">
        <f>IFERROR(IF(D1240="","",VLOOKUP(D1240,CadProd!$A:$C,3,0)),"")</f>
        <v/>
      </c>
      <c r="I1240" s="1" t="str">
        <f t="shared" si="19"/>
        <v/>
      </c>
    </row>
    <row r="1241" spans="5:9" x14ac:dyDescent="0.3">
      <c r="E1241" t="str">
        <f>IFERROR(IF(D1241="","",VLOOKUP(D1241,CadProd!$A:$B,2,0)),"")</f>
        <v/>
      </c>
      <c r="F1241" t="str">
        <f>IFERROR(IF(D1241="","",VLOOKUP(D1241,CadProd!$A:$C,3,0)),"")</f>
        <v/>
      </c>
      <c r="I1241" s="1" t="str">
        <f t="shared" si="19"/>
        <v/>
      </c>
    </row>
    <row r="1242" spans="5:9" x14ac:dyDescent="0.3">
      <c r="E1242" t="str">
        <f>IFERROR(IF(D1242="","",VLOOKUP(D1242,CadProd!$A:$B,2,0)),"")</f>
        <v/>
      </c>
      <c r="F1242" t="str">
        <f>IFERROR(IF(D1242="","",VLOOKUP(D1242,CadProd!$A:$C,3,0)),"")</f>
        <v/>
      </c>
      <c r="I1242" s="1" t="str">
        <f t="shared" si="19"/>
        <v/>
      </c>
    </row>
    <row r="1243" spans="5:9" x14ac:dyDescent="0.3">
      <c r="E1243" t="str">
        <f>IFERROR(IF(D1243="","",VLOOKUP(D1243,CadProd!$A:$B,2,0)),"")</f>
        <v/>
      </c>
      <c r="F1243" t="str">
        <f>IFERROR(IF(D1243="","",VLOOKUP(D1243,CadProd!$A:$C,3,0)),"")</f>
        <v/>
      </c>
      <c r="I1243" s="1" t="str">
        <f t="shared" si="19"/>
        <v/>
      </c>
    </row>
    <row r="1244" spans="5:9" x14ac:dyDescent="0.3">
      <c r="E1244" t="str">
        <f>IFERROR(IF(D1244="","",VLOOKUP(D1244,CadProd!$A:$B,2,0)),"")</f>
        <v/>
      </c>
      <c r="F1244" t="str">
        <f>IFERROR(IF(D1244="","",VLOOKUP(D1244,CadProd!$A:$C,3,0)),"")</f>
        <v/>
      </c>
      <c r="I1244" s="1" t="str">
        <f t="shared" si="19"/>
        <v/>
      </c>
    </row>
    <row r="1245" spans="5:9" x14ac:dyDescent="0.3">
      <c r="E1245" t="str">
        <f>IFERROR(IF(D1245="","",VLOOKUP(D1245,CadProd!$A:$B,2,0)),"")</f>
        <v/>
      </c>
      <c r="F1245" t="str">
        <f>IFERROR(IF(D1245="","",VLOOKUP(D1245,CadProd!$A:$C,3,0)),"")</f>
        <v/>
      </c>
      <c r="I1245" s="1" t="str">
        <f t="shared" si="19"/>
        <v/>
      </c>
    </row>
    <row r="1246" spans="5:9" x14ac:dyDescent="0.3">
      <c r="E1246" t="str">
        <f>IFERROR(IF(D1246="","",VLOOKUP(D1246,CadProd!$A:$B,2,0)),"")</f>
        <v/>
      </c>
      <c r="F1246" t="str">
        <f>IFERROR(IF(D1246="","",VLOOKUP(D1246,CadProd!$A:$C,3,0)),"")</f>
        <v/>
      </c>
      <c r="I1246" s="1" t="str">
        <f t="shared" si="19"/>
        <v/>
      </c>
    </row>
    <row r="1247" spans="5:9" x14ac:dyDescent="0.3">
      <c r="E1247" t="str">
        <f>IFERROR(IF(D1247="","",VLOOKUP(D1247,CadProd!$A:$B,2,0)),"")</f>
        <v/>
      </c>
      <c r="F1247" t="str">
        <f>IFERROR(IF(D1247="","",VLOOKUP(D1247,CadProd!$A:$C,3,0)),"")</f>
        <v/>
      </c>
      <c r="I1247" s="1" t="str">
        <f t="shared" si="19"/>
        <v/>
      </c>
    </row>
    <row r="1248" spans="5:9" x14ac:dyDescent="0.3">
      <c r="E1248" t="str">
        <f>IFERROR(IF(D1248="","",VLOOKUP(D1248,CadProd!$A:$B,2,0)),"")</f>
        <v/>
      </c>
      <c r="F1248" t="str">
        <f>IFERROR(IF(D1248="","",VLOOKUP(D1248,CadProd!$A:$C,3,0)),"")</f>
        <v/>
      </c>
      <c r="I1248" s="1" t="str">
        <f t="shared" si="19"/>
        <v/>
      </c>
    </row>
    <row r="1249" spans="5:9" x14ac:dyDescent="0.3">
      <c r="E1249" t="str">
        <f>IFERROR(IF(D1249="","",VLOOKUP(D1249,CadProd!$A:$B,2,0)),"")</f>
        <v/>
      </c>
      <c r="F1249" t="str">
        <f>IFERROR(IF(D1249="","",VLOOKUP(D1249,CadProd!$A:$C,3,0)),"")</f>
        <v/>
      </c>
      <c r="I1249" s="1" t="str">
        <f t="shared" si="19"/>
        <v/>
      </c>
    </row>
    <row r="1250" spans="5:9" x14ac:dyDescent="0.3">
      <c r="E1250" t="str">
        <f>IFERROR(IF(D1250="","",VLOOKUP(D1250,CadProd!$A:$B,2,0)),"")</f>
        <v/>
      </c>
      <c r="F1250" t="str">
        <f>IFERROR(IF(D1250="","",VLOOKUP(D1250,CadProd!$A:$C,3,0)),"")</f>
        <v/>
      </c>
      <c r="I1250" s="1" t="str">
        <f t="shared" si="19"/>
        <v/>
      </c>
    </row>
    <row r="1251" spans="5:9" x14ac:dyDescent="0.3">
      <c r="E1251" t="str">
        <f>IFERROR(IF(D1251="","",VLOOKUP(D1251,CadProd!$A:$B,2,0)),"")</f>
        <v/>
      </c>
      <c r="F1251" t="str">
        <f>IFERROR(IF(D1251="","",VLOOKUP(D1251,CadProd!$A:$C,3,0)),"")</f>
        <v/>
      </c>
      <c r="I1251" s="1" t="str">
        <f t="shared" si="19"/>
        <v/>
      </c>
    </row>
    <row r="1252" spans="5:9" x14ac:dyDescent="0.3">
      <c r="E1252" t="str">
        <f>IFERROR(IF(D1252="","",VLOOKUP(D1252,CadProd!$A:$B,2,0)),"")</f>
        <v/>
      </c>
      <c r="F1252" t="str">
        <f>IFERROR(IF(D1252="","",VLOOKUP(D1252,CadProd!$A:$C,3,0)),"")</f>
        <v/>
      </c>
      <c r="I1252" s="1" t="str">
        <f t="shared" si="19"/>
        <v/>
      </c>
    </row>
    <row r="1253" spans="5:9" x14ac:dyDescent="0.3">
      <c r="E1253" t="str">
        <f>IFERROR(IF(D1253="","",VLOOKUP(D1253,CadProd!$A:$B,2,0)),"")</f>
        <v/>
      </c>
      <c r="F1253" t="str">
        <f>IFERROR(IF(D1253="","",VLOOKUP(D1253,CadProd!$A:$C,3,0)),"")</f>
        <v/>
      </c>
      <c r="I1253" s="1" t="str">
        <f t="shared" si="19"/>
        <v/>
      </c>
    </row>
    <row r="1254" spans="5:9" x14ac:dyDescent="0.3">
      <c r="E1254" t="str">
        <f>IFERROR(IF(D1254="","",VLOOKUP(D1254,CadProd!$A:$B,2,0)),"")</f>
        <v/>
      </c>
      <c r="F1254" t="str">
        <f>IFERROR(IF(D1254="","",VLOOKUP(D1254,CadProd!$A:$C,3,0)),"")</f>
        <v/>
      </c>
      <c r="I1254" s="1" t="str">
        <f t="shared" si="19"/>
        <v/>
      </c>
    </row>
    <row r="1255" spans="5:9" x14ac:dyDescent="0.3">
      <c r="E1255" t="str">
        <f>IFERROR(IF(D1255="","",VLOOKUP(D1255,CadProd!$A:$B,2,0)),"")</f>
        <v/>
      </c>
      <c r="F1255" t="str">
        <f>IFERROR(IF(D1255="","",VLOOKUP(D1255,CadProd!$A:$C,3,0)),"")</f>
        <v/>
      </c>
      <c r="I1255" s="1" t="str">
        <f t="shared" si="19"/>
        <v/>
      </c>
    </row>
    <row r="1256" spans="5:9" x14ac:dyDescent="0.3">
      <c r="E1256" t="str">
        <f>IFERROR(IF(D1256="","",VLOOKUP(D1256,CadProd!$A:$B,2,0)),"")</f>
        <v/>
      </c>
      <c r="F1256" t="str">
        <f>IFERROR(IF(D1256="","",VLOOKUP(D1256,CadProd!$A:$C,3,0)),"")</f>
        <v/>
      </c>
      <c r="I1256" s="1" t="str">
        <f t="shared" si="19"/>
        <v/>
      </c>
    </row>
    <row r="1257" spans="5:9" x14ac:dyDescent="0.3">
      <c r="E1257" t="str">
        <f>IFERROR(IF(D1257="","",VLOOKUP(D1257,CadProd!$A:$B,2,0)),"")</f>
        <v/>
      </c>
      <c r="F1257" t="str">
        <f>IFERROR(IF(D1257="","",VLOOKUP(D1257,CadProd!$A:$C,3,0)),"")</f>
        <v/>
      </c>
      <c r="I1257" s="1" t="str">
        <f t="shared" si="19"/>
        <v/>
      </c>
    </row>
    <row r="1258" spans="5:9" x14ac:dyDescent="0.3">
      <c r="E1258" t="str">
        <f>IFERROR(IF(D1258="","",VLOOKUP(D1258,CadProd!$A:$B,2,0)),"")</f>
        <v/>
      </c>
      <c r="F1258" t="str">
        <f>IFERROR(IF(D1258="","",VLOOKUP(D1258,CadProd!$A:$C,3,0)),"")</f>
        <v/>
      </c>
      <c r="I1258" s="1" t="str">
        <f t="shared" si="19"/>
        <v/>
      </c>
    </row>
    <row r="1259" spans="5:9" x14ac:dyDescent="0.3">
      <c r="E1259" t="str">
        <f>IFERROR(IF(D1259="","",VLOOKUP(D1259,CadProd!$A:$B,2,0)),"")</f>
        <v/>
      </c>
      <c r="F1259" t="str">
        <f>IFERROR(IF(D1259="","",VLOOKUP(D1259,CadProd!$A:$C,3,0)),"")</f>
        <v/>
      </c>
      <c r="I1259" s="1" t="str">
        <f t="shared" si="19"/>
        <v/>
      </c>
    </row>
    <row r="1260" spans="5:9" x14ac:dyDescent="0.3">
      <c r="E1260" t="str">
        <f>IFERROR(IF(D1260="","",VLOOKUP(D1260,CadProd!$A:$B,2,0)),"")</f>
        <v/>
      </c>
      <c r="F1260" t="str">
        <f>IFERROR(IF(D1260="","",VLOOKUP(D1260,CadProd!$A:$C,3,0)),"")</f>
        <v/>
      </c>
      <c r="I1260" s="1" t="str">
        <f t="shared" si="19"/>
        <v/>
      </c>
    </row>
    <row r="1261" spans="5:9" x14ac:dyDescent="0.3">
      <c r="E1261" t="str">
        <f>IFERROR(IF(D1261="","",VLOOKUP(D1261,CadProd!$A:$B,2,0)),"")</f>
        <v/>
      </c>
      <c r="F1261" t="str">
        <f>IFERROR(IF(D1261="","",VLOOKUP(D1261,CadProd!$A:$C,3,0)),"")</f>
        <v/>
      </c>
      <c r="I1261" s="1" t="str">
        <f t="shared" si="19"/>
        <v/>
      </c>
    </row>
    <row r="1262" spans="5:9" x14ac:dyDescent="0.3">
      <c r="E1262" t="str">
        <f>IFERROR(IF(D1262="","",VLOOKUP(D1262,CadProd!$A:$B,2,0)),"")</f>
        <v/>
      </c>
      <c r="F1262" t="str">
        <f>IFERROR(IF(D1262="","",VLOOKUP(D1262,CadProd!$A:$C,3,0)),"")</f>
        <v/>
      </c>
      <c r="I1262" s="1" t="str">
        <f t="shared" si="19"/>
        <v/>
      </c>
    </row>
    <row r="1263" spans="5:9" x14ac:dyDescent="0.3">
      <c r="E1263" t="str">
        <f>IFERROR(IF(D1263="","",VLOOKUP(D1263,CadProd!$A:$B,2,0)),"")</f>
        <v/>
      </c>
      <c r="F1263" t="str">
        <f>IFERROR(IF(D1263="","",VLOOKUP(D1263,CadProd!$A:$C,3,0)),"")</f>
        <v/>
      </c>
      <c r="I1263" s="1" t="str">
        <f t="shared" si="19"/>
        <v/>
      </c>
    </row>
    <row r="1264" spans="5:9" x14ac:dyDescent="0.3">
      <c r="E1264" t="str">
        <f>IFERROR(IF(D1264="","",VLOOKUP(D1264,CadProd!$A:$B,2,0)),"")</f>
        <v/>
      </c>
      <c r="F1264" t="str">
        <f>IFERROR(IF(D1264="","",VLOOKUP(D1264,CadProd!$A:$C,3,0)),"")</f>
        <v/>
      </c>
      <c r="I1264" s="1" t="str">
        <f t="shared" si="19"/>
        <v/>
      </c>
    </row>
    <row r="1265" spans="5:9" x14ac:dyDescent="0.3">
      <c r="E1265" t="str">
        <f>IFERROR(IF(D1265="","",VLOOKUP(D1265,CadProd!$A:$B,2,0)),"")</f>
        <v/>
      </c>
      <c r="F1265" t="str">
        <f>IFERROR(IF(D1265="","",VLOOKUP(D1265,CadProd!$A:$C,3,0)),"")</f>
        <v/>
      </c>
      <c r="I1265" s="1" t="str">
        <f t="shared" si="19"/>
        <v/>
      </c>
    </row>
    <row r="1266" spans="5:9" x14ac:dyDescent="0.3">
      <c r="E1266" t="str">
        <f>IFERROR(IF(D1266="","",VLOOKUP(D1266,CadProd!$A:$B,2,0)),"")</f>
        <v/>
      </c>
      <c r="F1266" t="str">
        <f>IFERROR(IF(D1266="","",VLOOKUP(D1266,CadProd!$A:$C,3,0)),"")</f>
        <v/>
      </c>
      <c r="I1266" s="1" t="str">
        <f t="shared" si="19"/>
        <v/>
      </c>
    </row>
    <row r="1267" spans="5:9" x14ac:dyDescent="0.3">
      <c r="E1267" t="str">
        <f>IFERROR(IF(D1267="","",VLOOKUP(D1267,CadProd!$A:$B,2,0)),"")</f>
        <v/>
      </c>
      <c r="F1267" t="str">
        <f>IFERROR(IF(D1267="","",VLOOKUP(D1267,CadProd!$A:$C,3,0)),"")</f>
        <v/>
      </c>
      <c r="I1267" s="1" t="str">
        <f t="shared" si="19"/>
        <v/>
      </c>
    </row>
    <row r="1268" spans="5:9" x14ac:dyDescent="0.3">
      <c r="E1268" t="str">
        <f>IFERROR(IF(D1268="","",VLOOKUP(D1268,CadProd!$A:$B,2,0)),"")</f>
        <v/>
      </c>
      <c r="F1268" t="str">
        <f>IFERROR(IF(D1268="","",VLOOKUP(D1268,CadProd!$A:$C,3,0)),"")</f>
        <v/>
      </c>
      <c r="I1268" s="1" t="str">
        <f t="shared" si="19"/>
        <v/>
      </c>
    </row>
    <row r="1269" spans="5:9" x14ac:dyDescent="0.3">
      <c r="E1269" t="str">
        <f>IFERROR(IF(D1269="","",VLOOKUP(D1269,CadProd!$A:$B,2,0)),"")</f>
        <v/>
      </c>
      <c r="F1269" t="str">
        <f>IFERROR(IF(D1269="","",VLOOKUP(D1269,CadProd!$A:$C,3,0)),"")</f>
        <v/>
      </c>
      <c r="I1269" s="1" t="str">
        <f t="shared" si="19"/>
        <v/>
      </c>
    </row>
    <row r="1270" spans="5:9" x14ac:dyDescent="0.3">
      <c r="E1270" t="str">
        <f>IFERROR(IF(D1270="","",VLOOKUP(D1270,CadProd!$A:$B,2,0)),"")</f>
        <v/>
      </c>
      <c r="F1270" t="str">
        <f>IFERROR(IF(D1270="","",VLOOKUP(D1270,CadProd!$A:$C,3,0)),"")</f>
        <v/>
      </c>
      <c r="I1270" s="1" t="str">
        <f t="shared" si="19"/>
        <v/>
      </c>
    </row>
    <row r="1271" spans="5:9" x14ac:dyDescent="0.3">
      <c r="E1271" t="str">
        <f>IFERROR(IF(D1271="","",VLOOKUP(D1271,CadProd!$A:$B,2,0)),"")</f>
        <v/>
      </c>
      <c r="F1271" t="str">
        <f>IFERROR(IF(D1271="","",VLOOKUP(D1271,CadProd!$A:$C,3,0)),"")</f>
        <v/>
      </c>
      <c r="I1271" s="1" t="str">
        <f t="shared" si="19"/>
        <v/>
      </c>
    </row>
    <row r="1272" spans="5:9" x14ac:dyDescent="0.3">
      <c r="E1272" t="str">
        <f>IFERROR(IF(D1272="","",VLOOKUP(D1272,CadProd!$A:$B,2,0)),"")</f>
        <v/>
      </c>
      <c r="F1272" t="str">
        <f>IFERROR(IF(D1272="","",VLOOKUP(D1272,CadProd!$A:$C,3,0)),"")</f>
        <v/>
      </c>
      <c r="I1272" s="1" t="str">
        <f t="shared" si="19"/>
        <v/>
      </c>
    </row>
    <row r="1273" spans="5:9" x14ac:dyDescent="0.3">
      <c r="E1273" t="str">
        <f>IFERROR(IF(D1273="","",VLOOKUP(D1273,CadProd!$A:$B,2,0)),"")</f>
        <v/>
      </c>
      <c r="F1273" t="str">
        <f>IFERROR(IF(D1273="","",VLOOKUP(D1273,CadProd!$A:$C,3,0)),"")</f>
        <v/>
      </c>
      <c r="I1273" s="1" t="str">
        <f t="shared" si="19"/>
        <v/>
      </c>
    </row>
    <row r="1274" spans="5:9" x14ac:dyDescent="0.3">
      <c r="E1274" t="str">
        <f>IFERROR(IF(D1274="","",VLOOKUP(D1274,CadProd!$A:$B,2,0)),"")</f>
        <v/>
      </c>
      <c r="F1274" t="str">
        <f>IFERROR(IF(D1274="","",VLOOKUP(D1274,CadProd!$A:$C,3,0)),"")</f>
        <v/>
      </c>
      <c r="I1274" s="1" t="str">
        <f t="shared" si="19"/>
        <v/>
      </c>
    </row>
    <row r="1275" spans="5:9" x14ac:dyDescent="0.3">
      <c r="E1275" t="str">
        <f>IFERROR(IF(D1275="","",VLOOKUP(D1275,CadProd!$A:$B,2,0)),"")</f>
        <v/>
      </c>
      <c r="F1275" t="str">
        <f>IFERROR(IF(D1275="","",VLOOKUP(D1275,CadProd!$A:$C,3,0)),"")</f>
        <v/>
      </c>
      <c r="I1275" s="1" t="str">
        <f t="shared" si="19"/>
        <v/>
      </c>
    </row>
    <row r="1276" spans="5:9" x14ac:dyDescent="0.3">
      <c r="E1276" t="str">
        <f>IFERROR(IF(D1276="","",VLOOKUP(D1276,CadProd!$A:$B,2,0)),"")</f>
        <v/>
      </c>
      <c r="F1276" t="str">
        <f>IFERROR(IF(D1276="","",VLOOKUP(D1276,CadProd!$A:$C,3,0)),"")</f>
        <v/>
      </c>
      <c r="I1276" s="1" t="str">
        <f t="shared" si="19"/>
        <v/>
      </c>
    </row>
    <row r="1277" spans="5:9" x14ac:dyDescent="0.3">
      <c r="E1277" t="str">
        <f>IFERROR(IF(D1277="","",VLOOKUP(D1277,CadProd!$A:$B,2,0)),"")</f>
        <v/>
      </c>
      <c r="F1277" t="str">
        <f>IFERROR(IF(D1277="","",VLOOKUP(D1277,CadProd!$A:$C,3,0)),"")</f>
        <v/>
      </c>
      <c r="I1277" s="1" t="str">
        <f t="shared" si="19"/>
        <v/>
      </c>
    </row>
    <row r="1278" spans="5:9" x14ac:dyDescent="0.3">
      <c r="E1278" t="str">
        <f>IFERROR(IF(D1278="","",VLOOKUP(D1278,CadProd!$A:$B,2,0)),"")</f>
        <v/>
      </c>
      <c r="F1278" t="str">
        <f>IFERROR(IF(D1278="","",VLOOKUP(D1278,CadProd!$A:$C,3,0)),"")</f>
        <v/>
      </c>
      <c r="I1278" s="1" t="str">
        <f t="shared" si="19"/>
        <v/>
      </c>
    </row>
    <row r="1279" spans="5:9" x14ac:dyDescent="0.3">
      <c r="E1279" t="str">
        <f>IFERROR(IF(D1279="","",VLOOKUP(D1279,CadProd!$A:$B,2,0)),"")</f>
        <v/>
      </c>
      <c r="F1279" t="str">
        <f>IFERROR(IF(D1279="","",VLOOKUP(D1279,CadProd!$A:$C,3,0)),"")</f>
        <v/>
      </c>
      <c r="I1279" s="1" t="str">
        <f t="shared" si="19"/>
        <v/>
      </c>
    </row>
    <row r="1280" spans="5:9" x14ac:dyDescent="0.3">
      <c r="E1280" t="str">
        <f>IFERROR(IF(D1280="","",VLOOKUP(D1280,CadProd!$A:$B,2,0)),"")</f>
        <v/>
      </c>
      <c r="F1280" t="str">
        <f>IFERROR(IF(D1280="","",VLOOKUP(D1280,CadProd!$A:$C,3,0)),"")</f>
        <v/>
      </c>
      <c r="I1280" s="1" t="str">
        <f t="shared" si="19"/>
        <v/>
      </c>
    </row>
    <row r="1281" spans="5:9" x14ac:dyDescent="0.3">
      <c r="E1281" t="str">
        <f>IFERROR(IF(D1281="","",VLOOKUP(D1281,CadProd!$A:$B,2,0)),"")</f>
        <v/>
      </c>
      <c r="F1281" t="str">
        <f>IFERROR(IF(D1281="","",VLOOKUP(D1281,CadProd!$A:$C,3,0)),"")</f>
        <v/>
      </c>
      <c r="I1281" s="1" t="str">
        <f t="shared" si="19"/>
        <v/>
      </c>
    </row>
    <row r="1282" spans="5:9" x14ac:dyDescent="0.3">
      <c r="E1282" t="str">
        <f>IFERROR(IF(D1282="","",VLOOKUP(D1282,CadProd!$A:$B,2,0)),"")</f>
        <v/>
      </c>
      <c r="F1282" t="str">
        <f>IFERROR(IF(D1282="","",VLOOKUP(D1282,CadProd!$A:$C,3,0)),"")</f>
        <v/>
      </c>
      <c r="I1282" s="1" t="str">
        <f t="shared" ref="I1282:I1345" si="20">IFERROR(IF(D1282="","",H1282*G1282),"")</f>
        <v/>
      </c>
    </row>
    <row r="1283" spans="5:9" x14ac:dyDescent="0.3">
      <c r="E1283" t="str">
        <f>IFERROR(IF(D1283="","",VLOOKUP(D1283,CadProd!$A:$B,2,0)),"")</f>
        <v/>
      </c>
      <c r="F1283" t="str">
        <f>IFERROR(IF(D1283="","",VLOOKUP(D1283,CadProd!$A:$C,3,0)),"")</f>
        <v/>
      </c>
      <c r="I1283" s="1" t="str">
        <f t="shared" si="20"/>
        <v/>
      </c>
    </row>
    <row r="1284" spans="5:9" x14ac:dyDescent="0.3">
      <c r="E1284" t="str">
        <f>IFERROR(IF(D1284="","",VLOOKUP(D1284,CadProd!$A:$B,2,0)),"")</f>
        <v/>
      </c>
      <c r="F1284" t="str">
        <f>IFERROR(IF(D1284="","",VLOOKUP(D1284,CadProd!$A:$C,3,0)),"")</f>
        <v/>
      </c>
      <c r="I1284" s="1" t="str">
        <f t="shared" si="20"/>
        <v/>
      </c>
    </row>
    <row r="1285" spans="5:9" x14ac:dyDescent="0.3">
      <c r="E1285" t="str">
        <f>IFERROR(IF(D1285="","",VLOOKUP(D1285,CadProd!$A:$B,2,0)),"")</f>
        <v/>
      </c>
      <c r="F1285" t="str">
        <f>IFERROR(IF(D1285="","",VLOOKUP(D1285,CadProd!$A:$C,3,0)),"")</f>
        <v/>
      </c>
      <c r="I1285" s="1" t="str">
        <f t="shared" si="20"/>
        <v/>
      </c>
    </row>
    <row r="1286" spans="5:9" x14ac:dyDescent="0.3">
      <c r="E1286" t="str">
        <f>IFERROR(IF(D1286="","",VLOOKUP(D1286,CadProd!$A:$B,2,0)),"")</f>
        <v/>
      </c>
      <c r="F1286" t="str">
        <f>IFERROR(IF(D1286="","",VLOOKUP(D1286,CadProd!$A:$C,3,0)),"")</f>
        <v/>
      </c>
      <c r="I1286" s="1" t="str">
        <f t="shared" si="20"/>
        <v/>
      </c>
    </row>
    <row r="1287" spans="5:9" x14ac:dyDescent="0.3">
      <c r="E1287" t="str">
        <f>IFERROR(IF(D1287="","",VLOOKUP(D1287,CadProd!$A:$B,2,0)),"")</f>
        <v/>
      </c>
      <c r="F1287" t="str">
        <f>IFERROR(IF(D1287="","",VLOOKUP(D1287,CadProd!$A:$C,3,0)),"")</f>
        <v/>
      </c>
      <c r="I1287" s="1" t="str">
        <f t="shared" si="20"/>
        <v/>
      </c>
    </row>
    <row r="1288" spans="5:9" x14ac:dyDescent="0.3">
      <c r="E1288" t="str">
        <f>IFERROR(IF(D1288="","",VLOOKUP(D1288,CadProd!$A:$B,2,0)),"")</f>
        <v/>
      </c>
      <c r="F1288" t="str">
        <f>IFERROR(IF(D1288="","",VLOOKUP(D1288,CadProd!$A:$C,3,0)),"")</f>
        <v/>
      </c>
      <c r="I1288" s="1" t="str">
        <f t="shared" si="20"/>
        <v/>
      </c>
    </row>
    <row r="1289" spans="5:9" x14ac:dyDescent="0.3">
      <c r="E1289" t="str">
        <f>IFERROR(IF(D1289="","",VLOOKUP(D1289,CadProd!$A:$B,2,0)),"")</f>
        <v/>
      </c>
      <c r="F1289" t="str">
        <f>IFERROR(IF(D1289="","",VLOOKUP(D1289,CadProd!$A:$C,3,0)),"")</f>
        <v/>
      </c>
      <c r="I1289" s="1" t="str">
        <f t="shared" si="20"/>
        <v/>
      </c>
    </row>
    <row r="1290" spans="5:9" x14ac:dyDescent="0.3">
      <c r="E1290" t="str">
        <f>IFERROR(IF(D1290="","",VLOOKUP(D1290,CadProd!$A:$B,2,0)),"")</f>
        <v/>
      </c>
      <c r="F1290" t="str">
        <f>IFERROR(IF(D1290="","",VLOOKUP(D1290,CadProd!$A:$C,3,0)),"")</f>
        <v/>
      </c>
      <c r="I1290" s="1" t="str">
        <f t="shared" si="20"/>
        <v/>
      </c>
    </row>
    <row r="1291" spans="5:9" x14ac:dyDescent="0.3">
      <c r="E1291" t="str">
        <f>IFERROR(IF(D1291="","",VLOOKUP(D1291,CadProd!$A:$B,2,0)),"")</f>
        <v/>
      </c>
      <c r="F1291" t="str">
        <f>IFERROR(IF(D1291="","",VLOOKUP(D1291,CadProd!$A:$C,3,0)),"")</f>
        <v/>
      </c>
      <c r="I1291" s="1" t="str">
        <f t="shared" si="20"/>
        <v/>
      </c>
    </row>
    <row r="1292" spans="5:9" x14ac:dyDescent="0.3">
      <c r="E1292" t="str">
        <f>IFERROR(IF(D1292="","",VLOOKUP(D1292,CadProd!$A:$B,2,0)),"")</f>
        <v/>
      </c>
      <c r="F1292" t="str">
        <f>IFERROR(IF(D1292="","",VLOOKUP(D1292,CadProd!$A:$C,3,0)),"")</f>
        <v/>
      </c>
      <c r="I1292" s="1" t="str">
        <f t="shared" si="20"/>
        <v/>
      </c>
    </row>
    <row r="1293" spans="5:9" x14ac:dyDescent="0.3">
      <c r="E1293" t="str">
        <f>IFERROR(IF(D1293="","",VLOOKUP(D1293,CadProd!$A:$B,2,0)),"")</f>
        <v/>
      </c>
      <c r="F1293" t="str">
        <f>IFERROR(IF(D1293="","",VLOOKUP(D1293,CadProd!$A:$C,3,0)),"")</f>
        <v/>
      </c>
      <c r="I1293" s="1" t="str">
        <f t="shared" si="20"/>
        <v/>
      </c>
    </row>
    <row r="1294" spans="5:9" x14ac:dyDescent="0.3">
      <c r="E1294" t="str">
        <f>IFERROR(IF(D1294="","",VLOOKUP(D1294,CadProd!$A:$B,2,0)),"")</f>
        <v/>
      </c>
      <c r="F1294" t="str">
        <f>IFERROR(IF(D1294="","",VLOOKUP(D1294,CadProd!$A:$C,3,0)),"")</f>
        <v/>
      </c>
      <c r="I1294" s="1" t="str">
        <f t="shared" si="20"/>
        <v/>
      </c>
    </row>
    <row r="1295" spans="5:9" x14ac:dyDescent="0.3">
      <c r="E1295" t="str">
        <f>IFERROR(IF(D1295="","",VLOOKUP(D1295,CadProd!$A:$B,2,0)),"")</f>
        <v/>
      </c>
      <c r="F1295" t="str">
        <f>IFERROR(IF(D1295="","",VLOOKUP(D1295,CadProd!$A:$C,3,0)),"")</f>
        <v/>
      </c>
      <c r="I1295" s="1" t="str">
        <f t="shared" si="20"/>
        <v/>
      </c>
    </row>
    <row r="1296" spans="5:9" x14ac:dyDescent="0.3">
      <c r="E1296" t="str">
        <f>IFERROR(IF(D1296="","",VLOOKUP(D1296,CadProd!$A:$B,2,0)),"")</f>
        <v/>
      </c>
      <c r="F1296" t="str">
        <f>IFERROR(IF(D1296="","",VLOOKUP(D1296,CadProd!$A:$C,3,0)),"")</f>
        <v/>
      </c>
      <c r="I1296" s="1" t="str">
        <f t="shared" si="20"/>
        <v/>
      </c>
    </row>
    <row r="1297" spans="5:9" x14ac:dyDescent="0.3">
      <c r="E1297" t="str">
        <f>IFERROR(IF(D1297="","",VLOOKUP(D1297,CadProd!$A:$B,2,0)),"")</f>
        <v/>
      </c>
      <c r="F1297" t="str">
        <f>IFERROR(IF(D1297="","",VLOOKUP(D1297,CadProd!$A:$C,3,0)),"")</f>
        <v/>
      </c>
      <c r="I1297" s="1" t="str">
        <f t="shared" si="20"/>
        <v/>
      </c>
    </row>
    <row r="1298" spans="5:9" x14ac:dyDescent="0.3">
      <c r="E1298" t="str">
        <f>IFERROR(IF(D1298="","",VLOOKUP(D1298,CadProd!$A:$B,2,0)),"")</f>
        <v/>
      </c>
      <c r="F1298" t="str">
        <f>IFERROR(IF(D1298="","",VLOOKUP(D1298,CadProd!$A:$C,3,0)),"")</f>
        <v/>
      </c>
      <c r="I1298" s="1" t="str">
        <f t="shared" si="20"/>
        <v/>
      </c>
    </row>
    <row r="1299" spans="5:9" x14ac:dyDescent="0.3">
      <c r="E1299" t="str">
        <f>IFERROR(IF(D1299="","",VLOOKUP(D1299,CadProd!$A:$B,2,0)),"")</f>
        <v/>
      </c>
      <c r="F1299" t="str">
        <f>IFERROR(IF(D1299="","",VLOOKUP(D1299,CadProd!$A:$C,3,0)),"")</f>
        <v/>
      </c>
      <c r="I1299" s="1" t="str">
        <f t="shared" si="20"/>
        <v/>
      </c>
    </row>
    <row r="1300" spans="5:9" x14ac:dyDescent="0.3">
      <c r="E1300" t="str">
        <f>IFERROR(IF(D1300="","",VLOOKUP(D1300,CadProd!$A:$B,2,0)),"")</f>
        <v/>
      </c>
      <c r="F1300" t="str">
        <f>IFERROR(IF(D1300="","",VLOOKUP(D1300,CadProd!$A:$C,3,0)),"")</f>
        <v/>
      </c>
      <c r="I1300" s="1" t="str">
        <f t="shared" si="20"/>
        <v/>
      </c>
    </row>
    <row r="1301" spans="5:9" x14ac:dyDescent="0.3">
      <c r="E1301" t="str">
        <f>IFERROR(IF(D1301="","",VLOOKUP(D1301,CadProd!$A:$B,2,0)),"")</f>
        <v/>
      </c>
      <c r="F1301" t="str">
        <f>IFERROR(IF(D1301="","",VLOOKUP(D1301,CadProd!$A:$C,3,0)),"")</f>
        <v/>
      </c>
      <c r="I1301" s="1" t="str">
        <f t="shared" si="20"/>
        <v/>
      </c>
    </row>
    <row r="1302" spans="5:9" x14ac:dyDescent="0.3">
      <c r="E1302" t="str">
        <f>IFERROR(IF(D1302="","",VLOOKUP(D1302,CadProd!$A:$B,2,0)),"")</f>
        <v/>
      </c>
      <c r="F1302" t="str">
        <f>IFERROR(IF(D1302="","",VLOOKUP(D1302,CadProd!$A:$C,3,0)),"")</f>
        <v/>
      </c>
      <c r="I1302" s="1" t="str">
        <f t="shared" si="20"/>
        <v/>
      </c>
    </row>
    <row r="1303" spans="5:9" x14ac:dyDescent="0.3">
      <c r="E1303" t="str">
        <f>IFERROR(IF(D1303="","",VLOOKUP(D1303,CadProd!$A:$B,2,0)),"")</f>
        <v/>
      </c>
      <c r="F1303" t="str">
        <f>IFERROR(IF(D1303="","",VLOOKUP(D1303,CadProd!$A:$C,3,0)),"")</f>
        <v/>
      </c>
      <c r="I1303" s="1" t="str">
        <f t="shared" si="20"/>
        <v/>
      </c>
    </row>
    <row r="1304" spans="5:9" x14ac:dyDescent="0.3">
      <c r="E1304" t="str">
        <f>IFERROR(IF(D1304="","",VLOOKUP(D1304,CadProd!$A:$B,2,0)),"")</f>
        <v/>
      </c>
      <c r="F1304" t="str">
        <f>IFERROR(IF(D1304="","",VLOOKUP(D1304,CadProd!$A:$C,3,0)),"")</f>
        <v/>
      </c>
      <c r="I1304" s="1" t="str">
        <f t="shared" si="20"/>
        <v/>
      </c>
    </row>
    <row r="1305" spans="5:9" x14ac:dyDescent="0.3">
      <c r="E1305" t="str">
        <f>IFERROR(IF(D1305="","",VLOOKUP(D1305,CadProd!$A:$B,2,0)),"")</f>
        <v/>
      </c>
      <c r="F1305" t="str">
        <f>IFERROR(IF(D1305="","",VLOOKUP(D1305,CadProd!$A:$C,3,0)),"")</f>
        <v/>
      </c>
      <c r="I1305" s="1" t="str">
        <f t="shared" si="20"/>
        <v/>
      </c>
    </row>
    <row r="1306" spans="5:9" x14ac:dyDescent="0.3">
      <c r="E1306" t="str">
        <f>IFERROR(IF(D1306="","",VLOOKUP(D1306,CadProd!$A:$B,2,0)),"")</f>
        <v/>
      </c>
      <c r="F1306" t="str">
        <f>IFERROR(IF(D1306="","",VLOOKUP(D1306,CadProd!$A:$C,3,0)),"")</f>
        <v/>
      </c>
      <c r="I1306" s="1" t="str">
        <f t="shared" si="20"/>
        <v/>
      </c>
    </row>
    <row r="1307" spans="5:9" x14ac:dyDescent="0.3">
      <c r="E1307" t="str">
        <f>IFERROR(IF(D1307="","",VLOOKUP(D1307,CadProd!$A:$B,2,0)),"")</f>
        <v/>
      </c>
      <c r="F1307" t="str">
        <f>IFERROR(IF(D1307="","",VLOOKUP(D1307,CadProd!$A:$C,3,0)),"")</f>
        <v/>
      </c>
      <c r="I1307" s="1" t="str">
        <f t="shared" si="20"/>
        <v/>
      </c>
    </row>
    <row r="1308" spans="5:9" x14ac:dyDescent="0.3">
      <c r="E1308" t="str">
        <f>IFERROR(IF(D1308="","",VLOOKUP(D1308,CadProd!$A:$B,2,0)),"")</f>
        <v/>
      </c>
      <c r="F1308" t="str">
        <f>IFERROR(IF(D1308="","",VLOOKUP(D1308,CadProd!$A:$C,3,0)),"")</f>
        <v/>
      </c>
      <c r="I1308" s="1" t="str">
        <f t="shared" si="20"/>
        <v/>
      </c>
    </row>
    <row r="1309" spans="5:9" x14ac:dyDescent="0.3">
      <c r="E1309" t="str">
        <f>IFERROR(IF(D1309="","",VLOOKUP(D1309,CadProd!$A:$B,2,0)),"")</f>
        <v/>
      </c>
      <c r="F1309" t="str">
        <f>IFERROR(IF(D1309="","",VLOOKUP(D1309,CadProd!$A:$C,3,0)),"")</f>
        <v/>
      </c>
      <c r="I1309" s="1" t="str">
        <f t="shared" si="20"/>
        <v/>
      </c>
    </row>
    <row r="1310" spans="5:9" x14ac:dyDescent="0.3">
      <c r="E1310" t="str">
        <f>IFERROR(IF(D1310="","",VLOOKUP(D1310,CadProd!$A:$B,2,0)),"")</f>
        <v/>
      </c>
      <c r="F1310" t="str">
        <f>IFERROR(IF(D1310="","",VLOOKUP(D1310,CadProd!$A:$C,3,0)),"")</f>
        <v/>
      </c>
      <c r="I1310" s="1" t="str">
        <f t="shared" si="20"/>
        <v/>
      </c>
    </row>
    <row r="1311" spans="5:9" x14ac:dyDescent="0.3">
      <c r="E1311" t="str">
        <f>IFERROR(IF(D1311="","",VLOOKUP(D1311,CadProd!$A:$B,2,0)),"")</f>
        <v/>
      </c>
      <c r="F1311" t="str">
        <f>IFERROR(IF(D1311="","",VLOOKUP(D1311,CadProd!$A:$C,3,0)),"")</f>
        <v/>
      </c>
      <c r="I1311" s="1" t="str">
        <f t="shared" si="20"/>
        <v/>
      </c>
    </row>
    <row r="1312" spans="5:9" x14ac:dyDescent="0.3">
      <c r="E1312" t="str">
        <f>IFERROR(IF(D1312="","",VLOOKUP(D1312,CadProd!$A:$B,2,0)),"")</f>
        <v/>
      </c>
      <c r="F1312" t="str">
        <f>IFERROR(IF(D1312="","",VLOOKUP(D1312,CadProd!$A:$C,3,0)),"")</f>
        <v/>
      </c>
      <c r="I1312" s="1" t="str">
        <f t="shared" si="20"/>
        <v/>
      </c>
    </row>
    <row r="1313" spans="5:9" x14ac:dyDescent="0.3">
      <c r="E1313" t="str">
        <f>IFERROR(IF(D1313="","",VLOOKUP(D1313,CadProd!$A:$B,2,0)),"")</f>
        <v/>
      </c>
      <c r="F1313" t="str">
        <f>IFERROR(IF(D1313="","",VLOOKUP(D1313,CadProd!$A:$C,3,0)),"")</f>
        <v/>
      </c>
      <c r="I1313" s="1" t="str">
        <f t="shared" si="20"/>
        <v/>
      </c>
    </row>
    <row r="1314" spans="5:9" x14ac:dyDescent="0.3">
      <c r="E1314" t="str">
        <f>IFERROR(IF(D1314="","",VLOOKUP(D1314,CadProd!$A:$B,2,0)),"")</f>
        <v/>
      </c>
      <c r="F1314" t="str">
        <f>IFERROR(IF(D1314="","",VLOOKUP(D1314,CadProd!$A:$C,3,0)),"")</f>
        <v/>
      </c>
      <c r="I1314" s="1" t="str">
        <f t="shared" si="20"/>
        <v/>
      </c>
    </row>
    <row r="1315" spans="5:9" x14ac:dyDescent="0.3">
      <c r="E1315" t="str">
        <f>IFERROR(IF(D1315="","",VLOOKUP(D1315,CadProd!$A:$B,2,0)),"")</f>
        <v/>
      </c>
      <c r="F1315" t="str">
        <f>IFERROR(IF(D1315="","",VLOOKUP(D1315,CadProd!$A:$C,3,0)),"")</f>
        <v/>
      </c>
      <c r="I1315" s="1" t="str">
        <f t="shared" si="20"/>
        <v/>
      </c>
    </row>
    <row r="1316" spans="5:9" x14ac:dyDescent="0.3">
      <c r="E1316" t="str">
        <f>IFERROR(IF(D1316="","",VLOOKUP(D1316,CadProd!$A:$B,2,0)),"")</f>
        <v/>
      </c>
      <c r="F1316" t="str">
        <f>IFERROR(IF(D1316="","",VLOOKUP(D1316,CadProd!$A:$C,3,0)),"")</f>
        <v/>
      </c>
      <c r="I1316" s="1" t="str">
        <f t="shared" si="20"/>
        <v/>
      </c>
    </row>
    <row r="1317" spans="5:9" x14ac:dyDescent="0.3">
      <c r="E1317" t="str">
        <f>IFERROR(IF(D1317="","",VLOOKUP(D1317,CadProd!$A:$B,2,0)),"")</f>
        <v/>
      </c>
      <c r="F1317" t="str">
        <f>IFERROR(IF(D1317="","",VLOOKUP(D1317,CadProd!$A:$C,3,0)),"")</f>
        <v/>
      </c>
      <c r="I1317" s="1" t="str">
        <f t="shared" si="20"/>
        <v/>
      </c>
    </row>
    <row r="1318" spans="5:9" x14ac:dyDescent="0.3">
      <c r="E1318" t="str">
        <f>IFERROR(IF(D1318="","",VLOOKUP(D1318,CadProd!$A:$B,2,0)),"")</f>
        <v/>
      </c>
      <c r="F1318" t="str">
        <f>IFERROR(IF(D1318="","",VLOOKUP(D1318,CadProd!$A:$C,3,0)),"")</f>
        <v/>
      </c>
      <c r="I1318" s="1" t="str">
        <f t="shared" si="20"/>
        <v/>
      </c>
    </row>
    <row r="1319" spans="5:9" x14ac:dyDescent="0.3">
      <c r="E1319" t="str">
        <f>IFERROR(IF(D1319="","",VLOOKUP(D1319,CadProd!$A:$B,2,0)),"")</f>
        <v/>
      </c>
      <c r="F1319" t="str">
        <f>IFERROR(IF(D1319="","",VLOOKUP(D1319,CadProd!$A:$C,3,0)),"")</f>
        <v/>
      </c>
      <c r="I1319" s="1" t="str">
        <f t="shared" si="20"/>
        <v/>
      </c>
    </row>
    <row r="1320" spans="5:9" x14ac:dyDescent="0.3">
      <c r="E1320" t="str">
        <f>IFERROR(IF(D1320="","",VLOOKUP(D1320,CadProd!$A:$B,2,0)),"")</f>
        <v/>
      </c>
      <c r="F1320" t="str">
        <f>IFERROR(IF(D1320="","",VLOOKUP(D1320,CadProd!$A:$C,3,0)),"")</f>
        <v/>
      </c>
      <c r="I1320" s="1" t="str">
        <f t="shared" si="20"/>
        <v/>
      </c>
    </row>
    <row r="1321" spans="5:9" x14ac:dyDescent="0.3">
      <c r="E1321" t="str">
        <f>IFERROR(IF(D1321="","",VLOOKUP(D1321,CadProd!$A:$B,2,0)),"")</f>
        <v/>
      </c>
      <c r="F1321" t="str">
        <f>IFERROR(IF(D1321="","",VLOOKUP(D1321,CadProd!$A:$C,3,0)),"")</f>
        <v/>
      </c>
      <c r="I1321" s="1" t="str">
        <f t="shared" si="20"/>
        <v/>
      </c>
    </row>
    <row r="1322" spans="5:9" x14ac:dyDescent="0.3">
      <c r="E1322" t="str">
        <f>IFERROR(IF(D1322="","",VLOOKUP(D1322,CadProd!$A:$B,2,0)),"")</f>
        <v/>
      </c>
      <c r="F1322" t="str">
        <f>IFERROR(IF(D1322="","",VLOOKUP(D1322,CadProd!$A:$C,3,0)),"")</f>
        <v/>
      </c>
      <c r="I1322" s="1" t="str">
        <f t="shared" si="20"/>
        <v/>
      </c>
    </row>
    <row r="1323" spans="5:9" x14ac:dyDescent="0.3">
      <c r="E1323" t="str">
        <f>IFERROR(IF(D1323="","",VLOOKUP(D1323,CadProd!$A:$B,2,0)),"")</f>
        <v/>
      </c>
      <c r="F1323" t="str">
        <f>IFERROR(IF(D1323="","",VLOOKUP(D1323,CadProd!$A:$C,3,0)),"")</f>
        <v/>
      </c>
      <c r="I1323" s="1" t="str">
        <f t="shared" si="20"/>
        <v/>
      </c>
    </row>
    <row r="1324" spans="5:9" x14ac:dyDescent="0.3">
      <c r="E1324" t="str">
        <f>IFERROR(IF(D1324="","",VLOOKUP(D1324,CadProd!$A:$B,2,0)),"")</f>
        <v/>
      </c>
      <c r="F1324" t="str">
        <f>IFERROR(IF(D1324="","",VLOOKUP(D1324,CadProd!$A:$C,3,0)),"")</f>
        <v/>
      </c>
      <c r="I1324" s="1" t="str">
        <f t="shared" si="20"/>
        <v/>
      </c>
    </row>
    <row r="1325" spans="5:9" x14ac:dyDescent="0.3">
      <c r="E1325" t="str">
        <f>IFERROR(IF(D1325="","",VLOOKUP(D1325,CadProd!$A:$B,2,0)),"")</f>
        <v/>
      </c>
      <c r="F1325" t="str">
        <f>IFERROR(IF(D1325="","",VLOOKUP(D1325,CadProd!$A:$C,3,0)),"")</f>
        <v/>
      </c>
      <c r="I1325" s="1" t="str">
        <f t="shared" si="20"/>
        <v/>
      </c>
    </row>
    <row r="1326" spans="5:9" x14ac:dyDescent="0.3">
      <c r="E1326" t="str">
        <f>IFERROR(IF(D1326="","",VLOOKUP(D1326,CadProd!$A:$B,2,0)),"")</f>
        <v/>
      </c>
      <c r="F1326" t="str">
        <f>IFERROR(IF(D1326="","",VLOOKUP(D1326,CadProd!$A:$C,3,0)),"")</f>
        <v/>
      </c>
      <c r="I1326" s="1" t="str">
        <f t="shared" si="20"/>
        <v/>
      </c>
    </row>
    <row r="1327" spans="5:9" x14ac:dyDescent="0.3">
      <c r="E1327" t="str">
        <f>IFERROR(IF(D1327="","",VLOOKUP(D1327,CadProd!$A:$B,2,0)),"")</f>
        <v/>
      </c>
      <c r="F1327" t="str">
        <f>IFERROR(IF(D1327="","",VLOOKUP(D1327,CadProd!$A:$C,3,0)),"")</f>
        <v/>
      </c>
      <c r="I1327" s="1" t="str">
        <f t="shared" si="20"/>
        <v/>
      </c>
    </row>
    <row r="1328" spans="5:9" x14ac:dyDescent="0.3">
      <c r="E1328" t="str">
        <f>IFERROR(IF(D1328="","",VLOOKUP(D1328,CadProd!$A:$B,2,0)),"")</f>
        <v/>
      </c>
      <c r="F1328" t="str">
        <f>IFERROR(IF(D1328="","",VLOOKUP(D1328,CadProd!$A:$C,3,0)),"")</f>
        <v/>
      </c>
      <c r="I1328" s="1" t="str">
        <f t="shared" si="20"/>
        <v/>
      </c>
    </row>
    <row r="1329" spans="5:9" x14ac:dyDescent="0.3">
      <c r="E1329" t="str">
        <f>IFERROR(IF(D1329="","",VLOOKUP(D1329,CadProd!$A:$B,2,0)),"")</f>
        <v/>
      </c>
      <c r="F1329" t="str">
        <f>IFERROR(IF(D1329="","",VLOOKUP(D1329,CadProd!$A:$C,3,0)),"")</f>
        <v/>
      </c>
      <c r="I1329" s="1" t="str">
        <f t="shared" si="20"/>
        <v/>
      </c>
    </row>
    <row r="1330" spans="5:9" x14ac:dyDescent="0.3">
      <c r="E1330" t="str">
        <f>IFERROR(IF(D1330="","",VLOOKUP(D1330,CadProd!$A:$B,2,0)),"")</f>
        <v/>
      </c>
      <c r="F1330" t="str">
        <f>IFERROR(IF(D1330="","",VLOOKUP(D1330,CadProd!$A:$C,3,0)),"")</f>
        <v/>
      </c>
      <c r="I1330" s="1" t="str">
        <f t="shared" si="20"/>
        <v/>
      </c>
    </row>
    <row r="1331" spans="5:9" x14ac:dyDescent="0.3">
      <c r="E1331" t="str">
        <f>IFERROR(IF(D1331="","",VLOOKUP(D1331,CadProd!$A:$B,2,0)),"")</f>
        <v/>
      </c>
      <c r="F1331" t="str">
        <f>IFERROR(IF(D1331="","",VLOOKUP(D1331,CadProd!$A:$C,3,0)),"")</f>
        <v/>
      </c>
      <c r="I1331" s="1" t="str">
        <f t="shared" si="20"/>
        <v/>
      </c>
    </row>
    <row r="1332" spans="5:9" x14ac:dyDescent="0.3">
      <c r="E1332" t="str">
        <f>IFERROR(IF(D1332="","",VLOOKUP(D1332,CadProd!$A:$B,2,0)),"")</f>
        <v/>
      </c>
      <c r="F1332" t="str">
        <f>IFERROR(IF(D1332="","",VLOOKUP(D1332,CadProd!$A:$C,3,0)),"")</f>
        <v/>
      </c>
      <c r="I1332" s="1" t="str">
        <f t="shared" si="20"/>
        <v/>
      </c>
    </row>
    <row r="1333" spans="5:9" x14ac:dyDescent="0.3">
      <c r="E1333" t="str">
        <f>IFERROR(IF(D1333="","",VLOOKUP(D1333,CadProd!$A:$B,2,0)),"")</f>
        <v/>
      </c>
      <c r="F1333" t="str">
        <f>IFERROR(IF(D1333="","",VLOOKUP(D1333,CadProd!$A:$C,3,0)),"")</f>
        <v/>
      </c>
      <c r="I1333" s="1" t="str">
        <f t="shared" si="20"/>
        <v/>
      </c>
    </row>
    <row r="1334" spans="5:9" x14ac:dyDescent="0.3">
      <c r="E1334" t="str">
        <f>IFERROR(IF(D1334="","",VLOOKUP(D1334,CadProd!$A:$B,2,0)),"")</f>
        <v/>
      </c>
      <c r="F1334" t="str">
        <f>IFERROR(IF(D1334="","",VLOOKUP(D1334,CadProd!$A:$C,3,0)),"")</f>
        <v/>
      </c>
      <c r="I1334" s="1" t="str">
        <f t="shared" si="20"/>
        <v/>
      </c>
    </row>
    <row r="1335" spans="5:9" x14ac:dyDescent="0.3">
      <c r="E1335" t="str">
        <f>IFERROR(IF(D1335="","",VLOOKUP(D1335,CadProd!$A:$B,2,0)),"")</f>
        <v/>
      </c>
      <c r="F1335" t="str">
        <f>IFERROR(IF(D1335="","",VLOOKUP(D1335,CadProd!$A:$C,3,0)),"")</f>
        <v/>
      </c>
      <c r="I1335" s="1" t="str">
        <f t="shared" si="20"/>
        <v/>
      </c>
    </row>
    <row r="1336" spans="5:9" x14ac:dyDescent="0.3">
      <c r="E1336" t="str">
        <f>IFERROR(IF(D1336="","",VLOOKUP(D1336,CadProd!$A:$B,2,0)),"")</f>
        <v/>
      </c>
      <c r="F1336" t="str">
        <f>IFERROR(IF(D1336="","",VLOOKUP(D1336,CadProd!$A:$C,3,0)),"")</f>
        <v/>
      </c>
      <c r="I1336" s="1" t="str">
        <f t="shared" si="20"/>
        <v/>
      </c>
    </row>
    <row r="1337" spans="5:9" x14ac:dyDescent="0.3">
      <c r="E1337" t="str">
        <f>IFERROR(IF(D1337="","",VLOOKUP(D1337,CadProd!$A:$B,2,0)),"")</f>
        <v/>
      </c>
      <c r="F1337" t="str">
        <f>IFERROR(IF(D1337="","",VLOOKUP(D1337,CadProd!$A:$C,3,0)),"")</f>
        <v/>
      </c>
      <c r="I1337" s="1" t="str">
        <f t="shared" si="20"/>
        <v/>
      </c>
    </row>
    <row r="1338" spans="5:9" x14ac:dyDescent="0.3">
      <c r="E1338" t="str">
        <f>IFERROR(IF(D1338="","",VLOOKUP(D1338,CadProd!$A:$B,2,0)),"")</f>
        <v/>
      </c>
      <c r="F1338" t="str">
        <f>IFERROR(IF(D1338="","",VLOOKUP(D1338,CadProd!$A:$C,3,0)),"")</f>
        <v/>
      </c>
      <c r="I1338" s="1" t="str">
        <f t="shared" si="20"/>
        <v/>
      </c>
    </row>
    <row r="1339" spans="5:9" x14ac:dyDescent="0.3">
      <c r="E1339" t="str">
        <f>IFERROR(IF(D1339="","",VLOOKUP(D1339,CadProd!$A:$B,2,0)),"")</f>
        <v/>
      </c>
      <c r="F1339" t="str">
        <f>IFERROR(IF(D1339="","",VLOOKUP(D1339,CadProd!$A:$C,3,0)),"")</f>
        <v/>
      </c>
      <c r="I1339" s="1" t="str">
        <f t="shared" si="20"/>
        <v/>
      </c>
    </row>
    <row r="1340" spans="5:9" x14ac:dyDescent="0.3">
      <c r="E1340" t="str">
        <f>IFERROR(IF(D1340="","",VLOOKUP(D1340,CadProd!$A:$B,2,0)),"")</f>
        <v/>
      </c>
      <c r="F1340" t="str">
        <f>IFERROR(IF(D1340="","",VLOOKUP(D1340,CadProd!$A:$C,3,0)),"")</f>
        <v/>
      </c>
      <c r="I1340" s="1" t="str">
        <f t="shared" si="20"/>
        <v/>
      </c>
    </row>
    <row r="1341" spans="5:9" x14ac:dyDescent="0.3">
      <c r="E1341" t="str">
        <f>IFERROR(IF(D1341="","",VLOOKUP(D1341,CadProd!$A:$B,2,0)),"")</f>
        <v/>
      </c>
      <c r="F1341" t="str">
        <f>IFERROR(IF(D1341="","",VLOOKUP(D1341,CadProd!$A:$C,3,0)),"")</f>
        <v/>
      </c>
      <c r="I1341" s="1" t="str">
        <f t="shared" si="20"/>
        <v/>
      </c>
    </row>
    <row r="1342" spans="5:9" x14ac:dyDescent="0.3">
      <c r="E1342" t="str">
        <f>IFERROR(IF(D1342="","",VLOOKUP(D1342,CadProd!$A:$B,2,0)),"")</f>
        <v/>
      </c>
      <c r="F1342" t="str">
        <f>IFERROR(IF(D1342="","",VLOOKUP(D1342,CadProd!$A:$C,3,0)),"")</f>
        <v/>
      </c>
      <c r="I1342" s="1" t="str">
        <f t="shared" si="20"/>
        <v/>
      </c>
    </row>
    <row r="1343" spans="5:9" x14ac:dyDescent="0.3">
      <c r="E1343" t="str">
        <f>IFERROR(IF(D1343="","",VLOOKUP(D1343,CadProd!$A:$B,2,0)),"")</f>
        <v/>
      </c>
      <c r="F1343" t="str">
        <f>IFERROR(IF(D1343="","",VLOOKUP(D1343,CadProd!$A:$C,3,0)),"")</f>
        <v/>
      </c>
      <c r="I1343" s="1" t="str">
        <f t="shared" si="20"/>
        <v/>
      </c>
    </row>
    <row r="1344" spans="5:9" x14ac:dyDescent="0.3">
      <c r="E1344" t="str">
        <f>IFERROR(IF(D1344="","",VLOOKUP(D1344,CadProd!$A:$B,2,0)),"")</f>
        <v/>
      </c>
      <c r="F1344" t="str">
        <f>IFERROR(IF(D1344="","",VLOOKUP(D1344,CadProd!$A:$C,3,0)),"")</f>
        <v/>
      </c>
      <c r="I1344" s="1" t="str">
        <f t="shared" si="20"/>
        <v/>
      </c>
    </row>
    <row r="1345" spans="5:9" x14ac:dyDescent="0.3">
      <c r="E1345" t="str">
        <f>IFERROR(IF(D1345="","",VLOOKUP(D1345,CadProd!$A:$B,2,0)),"")</f>
        <v/>
      </c>
      <c r="F1345" t="str">
        <f>IFERROR(IF(D1345="","",VLOOKUP(D1345,CadProd!$A:$C,3,0)),"")</f>
        <v/>
      </c>
      <c r="I1345" s="1" t="str">
        <f t="shared" si="20"/>
        <v/>
      </c>
    </row>
    <row r="1346" spans="5:9" x14ac:dyDescent="0.3">
      <c r="E1346" t="str">
        <f>IFERROR(IF(D1346="","",VLOOKUP(D1346,CadProd!$A:$B,2,0)),"")</f>
        <v/>
      </c>
      <c r="F1346" t="str">
        <f>IFERROR(IF(D1346="","",VLOOKUP(D1346,CadProd!$A:$C,3,0)),"")</f>
        <v/>
      </c>
      <c r="I1346" s="1" t="str">
        <f t="shared" ref="I1346:I1409" si="21">IFERROR(IF(D1346="","",H1346*G1346),"")</f>
        <v/>
      </c>
    </row>
    <row r="1347" spans="5:9" x14ac:dyDescent="0.3">
      <c r="E1347" t="str">
        <f>IFERROR(IF(D1347="","",VLOOKUP(D1347,CadProd!$A:$B,2,0)),"")</f>
        <v/>
      </c>
      <c r="F1347" t="str">
        <f>IFERROR(IF(D1347="","",VLOOKUP(D1347,CadProd!$A:$C,3,0)),"")</f>
        <v/>
      </c>
      <c r="I1347" s="1" t="str">
        <f t="shared" si="21"/>
        <v/>
      </c>
    </row>
    <row r="1348" spans="5:9" x14ac:dyDescent="0.3">
      <c r="E1348" t="str">
        <f>IFERROR(IF(D1348="","",VLOOKUP(D1348,CadProd!$A:$B,2,0)),"")</f>
        <v/>
      </c>
      <c r="F1348" t="str">
        <f>IFERROR(IF(D1348="","",VLOOKUP(D1348,CadProd!$A:$C,3,0)),"")</f>
        <v/>
      </c>
      <c r="I1348" s="1" t="str">
        <f t="shared" si="21"/>
        <v/>
      </c>
    </row>
    <row r="1349" spans="5:9" x14ac:dyDescent="0.3">
      <c r="E1349" t="str">
        <f>IFERROR(IF(D1349="","",VLOOKUP(D1349,CadProd!$A:$B,2,0)),"")</f>
        <v/>
      </c>
      <c r="F1349" t="str">
        <f>IFERROR(IF(D1349="","",VLOOKUP(D1349,CadProd!$A:$C,3,0)),"")</f>
        <v/>
      </c>
      <c r="I1349" s="1" t="str">
        <f t="shared" si="21"/>
        <v/>
      </c>
    </row>
    <row r="1350" spans="5:9" x14ac:dyDescent="0.3">
      <c r="E1350" t="str">
        <f>IFERROR(IF(D1350="","",VLOOKUP(D1350,CadProd!$A:$B,2,0)),"")</f>
        <v/>
      </c>
      <c r="F1350" t="str">
        <f>IFERROR(IF(D1350="","",VLOOKUP(D1350,CadProd!$A:$C,3,0)),"")</f>
        <v/>
      </c>
      <c r="I1350" s="1" t="str">
        <f t="shared" si="21"/>
        <v/>
      </c>
    </row>
    <row r="1351" spans="5:9" x14ac:dyDescent="0.3">
      <c r="E1351" t="str">
        <f>IFERROR(IF(D1351="","",VLOOKUP(D1351,CadProd!$A:$B,2,0)),"")</f>
        <v/>
      </c>
      <c r="F1351" t="str">
        <f>IFERROR(IF(D1351="","",VLOOKUP(D1351,CadProd!$A:$C,3,0)),"")</f>
        <v/>
      </c>
      <c r="I1351" s="1" t="str">
        <f t="shared" si="21"/>
        <v/>
      </c>
    </row>
    <row r="1352" spans="5:9" x14ac:dyDescent="0.3">
      <c r="E1352" t="str">
        <f>IFERROR(IF(D1352="","",VLOOKUP(D1352,CadProd!$A:$B,2,0)),"")</f>
        <v/>
      </c>
      <c r="F1352" t="str">
        <f>IFERROR(IF(D1352="","",VLOOKUP(D1352,CadProd!$A:$C,3,0)),"")</f>
        <v/>
      </c>
      <c r="I1352" s="1" t="str">
        <f t="shared" si="21"/>
        <v/>
      </c>
    </row>
    <row r="1353" spans="5:9" x14ac:dyDescent="0.3">
      <c r="E1353" t="str">
        <f>IFERROR(IF(D1353="","",VLOOKUP(D1353,CadProd!$A:$B,2,0)),"")</f>
        <v/>
      </c>
      <c r="F1353" t="str">
        <f>IFERROR(IF(D1353="","",VLOOKUP(D1353,CadProd!$A:$C,3,0)),"")</f>
        <v/>
      </c>
      <c r="I1353" s="1" t="str">
        <f t="shared" si="21"/>
        <v/>
      </c>
    </row>
    <row r="1354" spans="5:9" x14ac:dyDescent="0.3">
      <c r="E1354" t="str">
        <f>IFERROR(IF(D1354="","",VLOOKUP(D1354,CadProd!$A:$B,2,0)),"")</f>
        <v/>
      </c>
      <c r="F1354" t="str">
        <f>IFERROR(IF(D1354="","",VLOOKUP(D1354,CadProd!$A:$C,3,0)),"")</f>
        <v/>
      </c>
      <c r="I1354" s="1" t="str">
        <f t="shared" si="21"/>
        <v/>
      </c>
    </row>
    <row r="1355" spans="5:9" x14ac:dyDescent="0.3">
      <c r="E1355" t="str">
        <f>IFERROR(IF(D1355="","",VLOOKUP(D1355,CadProd!$A:$B,2,0)),"")</f>
        <v/>
      </c>
      <c r="F1355" t="str">
        <f>IFERROR(IF(D1355="","",VLOOKUP(D1355,CadProd!$A:$C,3,0)),"")</f>
        <v/>
      </c>
      <c r="I1355" s="1" t="str">
        <f t="shared" si="21"/>
        <v/>
      </c>
    </row>
    <row r="1356" spans="5:9" x14ac:dyDescent="0.3">
      <c r="E1356" t="str">
        <f>IFERROR(IF(D1356="","",VLOOKUP(D1356,CadProd!$A:$B,2,0)),"")</f>
        <v/>
      </c>
      <c r="F1356" t="str">
        <f>IFERROR(IF(D1356="","",VLOOKUP(D1356,CadProd!$A:$C,3,0)),"")</f>
        <v/>
      </c>
      <c r="I1356" s="1" t="str">
        <f t="shared" si="21"/>
        <v/>
      </c>
    </row>
    <row r="1357" spans="5:9" x14ac:dyDescent="0.3">
      <c r="E1357" t="str">
        <f>IFERROR(IF(D1357="","",VLOOKUP(D1357,CadProd!$A:$B,2,0)),"")</f>
        <v/>
      </c>
      <c r="F1357" t="str">
        <f>IFERROR(IF(D1357="","",VLOOKUP(D1357,CadProd!$A:$C,3,0)),"")</f>
        <v/>
      </c>
      <c r="I1357" s="1" t="str">
        <f t="shared" si="21"/>
        <v/>
      </c>
    </row>
    <row r="1358" spans="5:9" x14ac:dyDescent="0.3">
      <c r="E1358" t="str">
        <f>IFERROR(IF(D1358="","",VLOOKUP(D1358,CadProd!$A:$B,2,0)),"")</f>
        <v/>
      </c>
      <c r="F1358" t="str">
        <f>IFERROR(IF(D1358="","",VLOOKUP(D1358,CadProd!$A:$C,3,0)),"")</f>
        <v/>
      </c>
      <c r="I1358" s="1" t="str">
        <f t="shared" si="21"/>
        <v/>
      </c>
    </row>
    <row r="1359" spans="5:9" x14ac:dyDescent="0.3">
      <c r="E1359" t="str">
        <f>IFERROR(IF(D1359="","",VLOOKUP(D1359,CadProd!$A:$B,2,0)),"")</f>
        <v/>
      </c>
      <c r="F1359" t="str">
        <f>IFERROR(IF(D1359="","",VLOOKUP(D1359,CadProd!$A:$C,3,0)),"")</f>
        <v/>
      </c>
      <c r="I1359" s="1" t="str">
        <f t="shared" si="21"/>
        <v/>
      </c>
    </row>
    <row r="1360" spans="5:9" x14ac:dyDescent="0.3">
      <c r="E1360" t="str">
        <f>IFERROR(IF(D1360="","",VLOOKUP(D1360,CadProd!$A:$B,2,0)),"")</f>
        <v/>
      </c>
      <c r="F1360" t="str">
        <f>IFERROR(IF(D1360="","",VLOOKUP(D1360,CadProd!$A:$C,3,0)),"")</f>
        <v/>
      </c>
      <c r="I1360" s="1" t="str">
        <f t="shared" si="21"/>
        <v/>
      </c>
    </row>
    <row r="1361" spans="5:9" x14ac:dyDescent="0.3">
      <c r="E1361" t="str">
        <f>IFERROR(IF(D1361="","",VLOOKUP(D1361,CadProd!$A:$B,2,0)),"")</f>
        <v/>
      </c>
      <c r="F1361" t="str">
        <f>IFERROR(IF(D1361="","",VLOOKUP(D1361,CadProd!$A:$C,3,0)),"")</f>
        <v/>
      </c>
      <c r="I1361" s="1" t="str">
        <f t="shared" si="21"/>
        <v/>
      </c>
    </row>
    <row r="1362" spans="5:9" x14ac:dyDescent="0.3">
      <c r="E1362" t="str">
        <f>IFERROR(IF(D1362="","",VLOOKUP(D1362,CadProd!$A:$B,2,0)),"")</f>
        <v/>
      </c>
      <c r="F1362" t="str">
        <f>IFERROR(IF(D1362="","",VLOOKUP(D1362,CadProd!$A:$C,3,0)),"")</f>
        <v/>
      </c>
      <c r="I1362" s="1" t="str">
        <f t="shared" si="21"/>
        <v/>
      </c>
    </row>
    <row r="1363" spans="5:9" x14ac:dyDescent="0.3">
      <c r="E1363" t="str">
        <f>IFERROR(IF(D1363="","",VLOOKUP(D1363,CadProd!$A:$B,2,0)),"")</f>
        <v/>
      </c>
      <c r="F1363" t="str">
        <f>IFERROR(IF(D1363="","",VLOOKUP(D1363,CadProd!$A:$C,3,0)),"")</f>
        <v/>
      </c>
      <c r="I1363" s="1" t="str">
        <f t="shared" si="21"/>
        <v/>
      </c>
    </row>
    <row r="1364" spans="5:9" x14ac:dyDescent="0.3">
      <c r="E1364" t="str">
        <f>IFERROR(IF(D1364="","",VLOOKUP(D1364,CadProd!$A:$B,2,0)),"")</f>
        <v/>
      </c>
      <c r="F1364" t="str">
        <f>IFERROR(IF(D1364="","",VLOOKUP(D1364,CadProd!$A:$C,3,0)),"")</f>
        <v/>
      </c>
      <c r="I1364" s="1" t="str">
        <f t="shared" si="21"/>
        <v/>
      </c>
    </row>
    <row r="1365" spans="5:9" x14ac:dyDescent="0.3">
      <c r="E1365" t="str">
        <f>IFERROR(IF(D1365="","",VLOOKUP(D1365,CadProd!$A:$B,2,0)),"")</f>
        <v/>
      </c>
      <c r="F1365" t="str">
        <f>IFERROR(IF(D1365="","",VLOOKUP(D1365,CadProd!$A:$C,3,0)),"")</f>
        <v/>
      </c>
      <c r="I1365" s="1" t="str">
        <f t="shared" si="21"/>
        <v/>
      </c>
    </row>
    <row r="1366" spans="5:9" x14ac:dyDescent="0.3">
      <c r="E1366" t="str">
        <f>IFERROR(IF(D1366="","",VLOOKUP(D1366,CadProd!$A:$B,2,0)),"")</f>
        <v/>
      </c>
      <c r="F1366" t="str">
        <f>IFERROR(IF(D1366="","",VLOOKUP(D1366,CadProd!$A:$C,3,0)),"")</f>
        <v/>
      </c>
      <c r="I1366" s="1" t="str">
        <f t="shared" si="21"/>
        <v/>
      </c>
    </row>
    <row r="1367" spans="5:9" x14ac:dyDescent="0.3">
      <c r="E1367" t="str">
        <f>IFERROR(IF(D1367="","",VLOOKUP(D1367,CadProd!$A:$B,2,0)),"")</f>
        <v/>
      </c>
      <c r="F1367" t="str">
        <f>IFERROR(IF(D1367="","",VLOOKUP(D1367,CadProd!$A:$C,3,0)),"")</f>
        <v/>
      </c>
      <c r="I1367" s="1" t="str">
        <f t="shared" si="21"/>
        <v/>
      </c>
    </row>
    <row r="1368" spans="5:9" x14ac:dyDescent="0.3">
      <c r="E1368" t="str">
        <f>IFERROR(IF(D1368="","",VLOOKUP(D1368,CadProd!$A:$B,2,0)),"")</f>
        <v/>
      </c>
      <c r="F1368" t="str">
        <f>IFERROR(IF(D1368="","",VLOOKUP(D1368,CadProd!$A:$C,3,0)),"")</f>
        <v/>
      </c>
      <c r="I1368" s="1" t="str">
        <f t="shared" si="21"/>
        <v/>
      </c>
    </row>
    <row r="1369" spans="5:9" x14ac:dyDescent="0.3">
      <c r="E1369" t="str">
        <f>IFERROR(IF(D1369="","",VLOOKUP(D1369,CadProd!$A:$B,2,0)),"")</f>
        <v/>
      </c>
      <c r="F1369" t="str">
        <f>IFERROR(IF(D1369="","",VLOOKUP(D1369,CadProd!$A:$C,3,0)),"")</f>
        <v/>
      </c>
      <c r="I1369" s="1" t="str">
        <f t="shared" si="21"/>
        <v/>
      </c>
    </row>
    <row r="1370" spans="5:9" x14ac:dyDescent="0.3">
      <c r="E1370" t="str">
        <f>IFERROR(IF(D1370="","",VLOOKUP(D1370,CadProd!$A:$B,2,0)),"")</f>
        <v/>
      </c>
      <c r="F1370" t="str">
        <f>IFERROR(IF(D1370="","",VLOOKUP(D1370,CadProd!$A:$C,3,0)),"")</f>
        <v/>
      </c>
      <c r="I1370" s="1" t="str">
        <f t="shared" si="21"/>
        <v/>
      </c>
    </row>
    <row r="1371" spans="5:9" x14ac:dyDescent="0.3">
      <c r="E1371" t="str">
        <f>IFERROR(IF(D1371="","",VLOOKUP(D1371,CadProd!$A:$B,2,0)),"")</f>
        <v/>
      </c>
      <c r="F1371" t="str">
        <f>IFERROR(IF(D1371="","",VLOOKUP(D1371,CadProd!$A:$C,3,0)),"")</f>
        <v/>
      </c>
      <c r="I1371" s="1" t="str">
        <f t="shared" si="21"/>
        <v/>
      </c>
    </row>
    <row r="1372" spans="5:9" x14ac:dyDescent="0.3">
      <c r="E1372" t="str">
        <f>IFERROR(IF(D1372="","",VLOOKUP(D1372,CadProd!$A:$B,2,0)),"")</f>
        <v/>
      </c>
      <c r="F1372" t="str">
        <f>IFERROR(IF(D1372="","",VLOOKUP(D1372,CadProd!$A:$C,3,0)),"")</f>
        <v/>
      </c>
      <c r="I1372" s="1" t="str">
        <f t="shared" si="21"/>
        <v/>
      </c>
    </row>
    <row r="1373" spans="5:9" x14ac:dyDescent="0.3">
      <c r="E1373" t="str">
        <f>IFERROR(IF(D1373="","",VLOOKUP(D1373,CadProd!$A:$B,2,0)),"")</f>
        <v/>
      </c>
      <c r="F1373" t="str">
        <f>IFERROR(IF(D1373="","",VLOOKUP(D1373,CadProd!$A:$C,3,0)),"")</f>
        <v/>
      </c>
      <c r="I1373" s="1" t="str">
        <f t="shared" si="21"/>
        <v/>
      </c>
    </row>
    <row r="1374" spans="5:9" x14ac:dyDescent="0.3">
      <c r="E1374" t="str">
        <f>IFERROR(IF(D1374="","",VLOOKUP(D1374,CadProd!$A:$B,2,0)),"")</f>
        <v/>
      </c>
      <c r="F1374" t="str">
        <f>IFERROR(IF(D1374="","",VLOOKUP(D1374,CadProd!$A:$C,3,0)),"")</f>
        <v/>
      </c>
      <c r="I1374" s="1" t="str">
        <f t="shared" si="21"/>
        <v/>
      </c>
    </row>
    <row r="1375" spans="5:9" x14ac:dyDescent="0.3">
      <c r="E1375" t="str">
        <f>IFERROR(IF(D1375="","",VLOOKUP(D1375,CadProd!$A:$B,2,0)),"")</f>
        <v/>
      </c>
      <c r="F1375" t="str">
        <f>IFERROR(IF(D1375="","",VLOOKUP(D1375,CadProd!$A:$C,3,0)),"")</f>
        <v/>
      </c>
      <c r="I1375" s="1" t="str">
        <f t="shared" si="21"/>
        <v/>
      </c>
    </row>
    <row r="1376" spans="5:9" x14ac:dyDescent="0.3">
      <c r="E1376" t="str">
        <f>IFERROR(IF(D1376="","",VLOOKUP(D1376,CadProd!$A:$B,2,0)),"")</f>
        <v/>
      </c>
      <c r="F1376" t="str">
        <f>IFERROR(IF(D1376="","",VLOOKUP(D1376,CadProd!$A:$C,3,0)),"")</f>
        <v/>
      </c>
      <c r="I1376" s="1" t="str">
        <f t="shared" si="21"/>
        <v/>
      </c>
    </row>
    <row r="1377" spans="5:9" x14ac:dyDescent="0.3">
      <c r="E1377" t="str">
        <f>IFERROR(IF(D1377="","",VLOOKUP(D1377,CadProd!$A:$B,2,0)),"")</f>
        <v/>
      </c>
      <c r="F1377" t="str">
        <f>IFERROR(IF(D1377="","",VLOOKUP(D1377,CadProd!$A:$C,3,0)),"")</f>
        <v/>
      </c>
      <c r="I1377" s="1" t="str">
        <f t="shared" si="21"/>
        <v/>
      </c>
    </row>
    <row r="1378" spans="5:9" x14ac:dyDescent="0.3">
      <c r="E1378" t="str">
        <f>IFERROR(IF(D1378="","",VLOOKUP(D1378,CadProd!$A:$B,2,0)),"")</f>
        <v/>
      </c>
      <c r="F1378" t="str">
        <f>IFERROR(IF(D1378="","",VLOOKUP(D1378,CadProd!$A:$C,3,0)),"")</f>
        <v/>
      </c>
      <c r="I1378" s="1" t="str">
        <f t="shared" si="21"/>
        <v/>
      </c>
    </row>
    <row r="1379" spans="5:9" x14ac:dyDescent="0.3">
      <c r="E1379" t="str">
        <f>IFERROR(IF(D1379="","",VLOOKUP(D1379,CadProd!$A:$B,2,0)),"")</f>
        <v/>
      </c>
      <c r="F1379" t="str">
        <f>IFERROR(IF(D1379="","",VLOOKUP(D1379,CadProd!$A:$C,3,0)),"")</f>
        <v/>
      </c>
      <c r="I1379" s="1" t="str">
        <f t="shared" si="21"/>
        <v/>
      </c>
    </row>
    <row r="1380" spans="5:9" x14ac:dyDescent="0.3">
      <c r="E1380" t="str">
        <f>IFERROR(IF(D1380="","",VLOOKUP(D1380,CadProd!$A:$B,2,0)),"")</f>
        <v/>
      </c>
      <c r="F1380" t="str">
        <f>IFERROR(IF(D1380="","",VLOOKUP(D1380,CadProd!$A:$C,3,0)),"")</f>
        <v/>
      </c>
      <c r="I1380" s="1" t="str">
        <f t="shared" si="21"/>
        <v/>
      </c>
    </row>
    <row r="1381" spans="5:9" x14ac:dyDescent="0.3">
      <c r="E1381" t="str">
        <f>IFERROR(IF(D1381="","",VLOOKUP(D1381,CadProd!$A:$B,2,0)),"")</f>
        <v/>
      </c>
      <c r="F1381" t="str">
        <f>IFERROR(IF(D1381="","",VLOOKUP(D1381,CadProd!$A:$C,3,0)),"")</f>
        <v/>
      </c>
      <c r="I1381" s="1" t="str">
        <f t="shared" si="21"/>
        <v/>
      </c>
    </row>
    <row r="1382" spans="5:9" x14ac:dyDescent="0.3">
      <c r="E1382" t="str">
        <f>IFERROR(IF(D1382="","",VLOOKUP(D1382,CadProd!$A:$B,2,0)),"")</f>
        <v/>
      </c>
      <c r="F1382" t="str">
        <f>IFERROR(IF(D1382="","",VLOOKUP(D1382,CadProd!$A:$C,3,0)),"")</f>
        <v/>
      </c>
      <c r="I1382" s="1" t="str">
        <f t="shared" si="21"/>
        <v/>
      </c>
    </row>
    <row r="1383" spans="5:9" x14ac:dyDescent="0.3">
      <c r="E1383" t="str">
        <f>IFERROR(IF(D1383="","",VLOOKUP(D1383,CadProd!$A:$B,2,0)),"")</f>
        <v/>
      </c>
      <c r="F1383" t="str">
        <f>IFERROR(IF(D1383="","",VLOOKUP(D1383,CadProd!$A:$C,3,0)),"")</f>
        <v/>
      </c>
      <c r="I1383" s="1" t="str">
        <f t="shared" si="21"/>
        <v/>
      </c>
    </row>
    <row r="1384" spans="5:9" x14ac:dyDescent="0.3">
      <c r="E1384" t="str">
        <f>IFERROR(IF(D1384="","",VLOOKUP(D1384,CadProd!$A:$B,2,0)),"")</f>
        <v/>
      </c>
      <c r="F1384" t="str">
        <f>IFERROR(IF(D1384="","",VLOOKUP(D1384,CadProd!$A:$C,3,0)),"")</f>
        <v/>
      </c>
      <c r="I1384" s="1" t="str">
        <f t="shared" si="21"/>
        <v/>
      </c>
    </row>
    <row r="1385" spans="5:9" x14ac:dyDescent="0.3">
      <c r="E1385" t="str">
        <f>IFERROR(IF(D1385="","",VLOOKUP(D1385,CadProd!$A:$B,2,0)),"")</f>
        <v/>
      </c>
      <c r="F1385" t="str">
        <f>IFERROR(IF(D1385="","",VLOOKUP(D1385,CadProd!$A:$C,3,0)),"")</f>
        <v/>
      </c>
      <c r="I1385" s="1" t="str">
        <f t="shared" si="21"/>
        <v/>
      </c>
    </row>
    <row r="1386" spans="5:9" x14ac:dyDescent="0.3">
      <c r="E1386" t="str">
        <f>IFERROR(IF(D1386="","",VLOOKUP(D1386,CadProd!$A:$B,2,0)),"")</f>
        <v/>
      </c>
      <c r="F1386" t="str">
        <f>IFERROR(IF(D1386="","",VLOOKUP(D1386,CadProd!$A:$C,3,0)),"")</f>
        <v/>
      </c>
      <c r="I1386" s="1" t="str">
        <f t="shared" si="21"/>
        <v/>
      </c>
    </row>
    <row r="1387" spans="5:9" x14ac:dyDescent="0.3">
      <c r="E1387" t="str">
        <f>IFERROR(IF(D1387="","",VLOOKUP(D1387,CadProd!$A:$B,2,0)),"")</f>
        <v/>
      </c>
      <c r="F1387" t="str">
        <f>IFERROR(IF(D1387="","",VLOOKUP(D1387,CadProd!$A:$C,3,0)),"")</f>
        <v/>
      </c>
      <c r="I1387" s="1" t="str">
        <f t="shared" si="21"/>
        <v/>
      </c>
    </row>
    <row r="1388" spans="5:9" x14ac:dyDescent="0.3">
      <c r="E1388" t="str">
        <f>IFERROR(IF(D1388="","",VLOOKUP(D1388,CadProd!$A:$B,2,0)),"")</f>
        <v/>
      </c>
      <c r="F1388" t="str">
        <f>IFERROR(IF(D1388="","",VLOOKUP(D1388,CadProd!$A:$C,3,0)),"")</f>
        <v/>
      </c>
      <c r="I1388" s="1" t="str">
        <f t="shared" si="21"/>
        <v/>
      </c>
    </row>
    <row r="1389" spans="5:9" x14ac:dyDescent="0.3">
      <c r="E1389" t="str">
        <f>IFERROR(IF(D1389="","",VLOOKUP(D1389,CadProd!$A:$B,2,0)),"")</f>
        <v/>
      </c>
      <c r="F1389" t="str">
        <f>IFERROR(IF(D1389="","",VLOOKUP(D1389,CadProd!$A:$C,3,0)),"")</f>
        <v/>
      </c>
      <c r="I1389" s="1" t="str">
        <f t="shared" si="21"/>
        <v/>
      </c>
    </row>
    <row r="1390" spans="5:9" x14ac:dyDescent="0.3">
      <c r="E1390" t="str">
        <f>IFERROR(IF(D1390="","",VLOOKUP(D1390,CadProd!$A:$B,2,0)),"")</f>
        <v/>
      </c>
      <c r="F1390" t="str">
        <f>IFERROR(IF(D1390="","",VLOOKUP(D1390,CadProd!$A:$C,3,0)),"")</f>
        <v/>
      </c>
      <c r="I1390" s="1" t="str">
        <f t="shared" si="21"/>
        <v/>
      </c>
    </row>
    <row r="1391" spans="5:9" x14ac:dyDescent="0.3">
      <c r="E1391" t="str">
        <f>IFERROR(IF(D1391="","",VLOOKUP(D1391,CadProd!$A:$B,2,0)),"")</f>
        <v/>
      </c>
      <c r="F1391" t="str">
        <f>IFERROR(IF(D1391="","",VLOOKUP(D1391,CadProd!$A:$C,3,0)),"")</f>
        <v/>
      </c>
      <c r="I1391" s="1" t="str">
        <f t="shared" si="21"/>
        <v/>
      </c>
    </row>
    <row r="1392" spans="5:9" x14ac:dyDescent="0.3">
      <c r="E1392" t="str">
        <f>IFERROR(IF(D1392="","",VLOOKUP(D1392,CadProd!$A:$B,2,0)),"")</f>
        <v/>
      </c>
      <c r="F1392" t="str">
        <f>IFERROR(IF(D1392="","",VLOOKUP(D1392,CadProd!$A:$C,3,0)),"")</f>
        <v/>
      </c>
      <c r="I1392" s="1" t="str">
        <f t="shared" si="21"/>
        <v/>
      </c>
    </row>
    <row r="1393" spans="5:9" x14ac:dyDescent="0.3">
      <c r="E1393" t="str">
        <f>IFERROR(IF(D1393="","",VLOOKUP(D1393,CadProd!$A:$B,2,0)),"")</f>
        <v/>
      </c>
      <c r="F1393" t="str">
        <f>IFERROR(IF(D1393="","",VLOOKUP(D1393,CadProd!$A:$C,3,0)),"")</f>
        <v/>
      </c>
      <c r="I1393" s="1" t="str">
        <f t="shared" si="21"/>
        <v/>
      </c>
    </row>
    <row r="1394" spans="5:9" x14ac:dyDescent="0.3">
      <c r="E1394" t="str">
        <f>IFERROR(IF(D1394="","",VLOOKUP(D1394,CadProd!$A:$B,2,0)),"")</f>
        <v/>
      </c>
      <c r="F1394" t="str">
        <f>IFERROR(IF(D1394="","",VLOOKUP(D1394,CadProd!$A:$C,3,0)),"")</f>
        <v/>
      </c>
      <c r="I1394" s="1" t="str">
        <f t="shared" si="21"/>
        <v/>
      </c>
    </row>
    <row r="1395" spans="5:9" x14ac:dyDescent="0.3">
      <c r="E1395" t="str">
        <f>IFERROR(IF(D1395="","",VLOOKUP(D1395,CadProd!$A:$B,2,0)),"")</f>
        <v/>
      </c>
      <c r="F1395" t="str">
        <f>IFERROR(IF(D1395="","",VLOOKUP(D1395,CadProd!$A:$C,3,0)),"")</f>
        <v/>
      </c>
      <c r="I1395" s="1" t="str">
        <f t="shared" si="21"/>
        <v/>
      </c>
    </row>
    <row r="1396" spans="5:9" x14ac:dyDescent="0.3">
      <c r="E1396" t="str">
        <f>IFERROR(IF(D1396="","",VLOOKUP(D1396,CadProd!$A:$B,2,0)),"")</f>
        <v/>
      </c>
      <c r="F1396" t="str">
        <f>IFERROR(IF(D1396="","",VLOOKUP(D1396,CadProd!$A:$C,3,0)),"")</f>
        <v/>
      </c>
      <c r="I1396" s="1" t="str">
        <f t="shared" si="21"/>
        <v/>
      </c>
    </row>
    <row r="1397" spans="5:9" x14ac:dyDescent="0.3">
      <c r="E1397" t="str">
        <f>IFERROR(IF(D1397="","",VLOOKUP(D1397,CadProd!$A:$B,2,0)),"")</f>
        <v/>
      </c>
      <c r="F1397" t="str">
        <f>IFERROR(IF(D1397="","",VLOOKUP(D1397,CadProd!$A:$C,3,0)),"")</f>
        <v/>
      </c>
      <c r="I1397" s="1" t="str">
        <f t="shared" si="21"/>
        <v/>
      </c>
    </row>
    <row r="1398" spans="5:9" x14ac:dyDescent="0.3">
      <c r="E1398" t="str">
        <f>IFERROR(IF(D1398="","",VLOOKUP(D1398,CadProd!$A:$B,2,0)),"")</f>
        <v/>
      </c>
      <c r="F1398" t="str">
        <f>IFERROR(IF(D1398="","",VLOOKUP(D1398,CadProd!$A:$C,3,0)),"")</f>
        <v/>
      </c>
      <c r="I1398" s="1" t="str">
        <f t="shared" si="21"/>
        <v/>
      </c>
    </row>
    <row r="1399" spans="5:9" x14ac:dyDescent="0.3">
      <c r="E1399" t="str">
        <f>IFERROR(IF(D1399="","",VLOOKUP(D1399,CadProd!$A:$B,2,0)),"")</f>
        <v/>
      </c>
      <c r="F1399" t="str">
        <f>IFERROR(IF(D1399="","",VLOOKUP(D1399,CadProd!$A:$C,3,0)),"")</f>
        <v/>
      </c>
      <c r="I1399" s="1" t="str">
        <f t="shared" si="21"/>
        <v/>
      </c>
    </row>
    <row r="1400" spans="5:9" x14ac:dyDescent="0.3">
      <c r="E1400" t="str">
        <f>IFERROR(IF(D1400="","",VLOOKUP(D1400,CadProd!$A:$B,2,0)),"")</f>
        <v/>
      </c>
      <c r="F1400" t="str">
        <f>IFERROR(IF(D1400="","",VLOOKUP(D1400,CadProd!$A:$C,3,0)),"")</f>
        <v/>
      </c>
      <c r="I1400" s="1" t="str">
        <f t="shared" si="21"/>
        <v/>
      </c>
    </row>
    <row r="1401" spans="5:9" x14ac:dyDescent="0.3">
      <c r="E1401" t="str">
        <f>IFERROR(IF(D1401="","",VLOOKUP(D1401,CadProd!$A:$B,2,0)),"")</f>
        <v/>
      </c>
      <c r="F1401" t="str">
        <f>IFERROR(IF(D1401="","",VLOOKUP(D1401,CadProd!$A:$C,3,0)),"")</f>
        <v/>
      </c>
      <c r="I1401" s="1" t="str">
        <f t="shared" si="21"/>
        <v/>
      </c>
    </row>
    <row r="1402" spans="5:9" x14ac:dyDescent="0.3">
      <c r="E1402" t="str">
        <f>IFERROR(IF(D1402="","",VLOOKUP(D1402,CadProd!$A:$B,2,0)),"")</f>
        <v/>
      </c>
      <c r="F1402" t="str">
        <f>IFERROR(IF(D1402="","",VLOOKUP(D1402,CadProd!$A:$C,3,0)),"")</f>
        <v/>
      </c>
      <c r="I1402" s="1" t="str">
        <f t="shared" si="21"/>
        <v/>
      </c>
    </row>
    <row r="1403" spans="5:9" x14ac:dyDescent="0.3">
      <c r="E1403" t="str">
        <f>IFERROR(IF(D1403="","",VLOOKUP(D1403,CadProd!$A:$B,2,0)),"")</f>
        <v/>
      </c>
      <c r="F1403" t="str">
        <f>IFERROR(IF(D1403="","",VLOOKUP(D1403,CadProd!$A:$C,3,0)),"")</f>
        <v/>
      </c>
      <c r="I1403" s="1" t="str">
        <f t="shared" si="21"/>
        <v/>
      </c>
    </row>
    <row r="1404" spans="5:9" x14ac:dyDescent="0.3">
      <c r="E1404" t="str">
        <f>IFERROR(IF(D1404="","",VLOOKUP(D1404,CadProd!$A:$B,2,0)),"")</f>
        <v/>
      </c>
      <c r="F1404" t="str">
        <f>IFERROR(IF(D1404="","",VLOOKUP(D1404,CadProd!$A:$C,3,0)),"")</f>
        <v/>
      </c>
      <c r="I1404" s="1" t="str">
        <f t="shared" si="21"/>
        <v/>
      </c>
    </row>
    <row r="1405" spans="5:9" x14ac:dyDescent="0.3">
      <c r="E1405" t="str">
        <f>IFERROR(IF(D1405="","",VLOOKUP(D1405,CadProd!$A:$B,2,0)),"")</f>
        <v/>
      </c>
      <c r="F1405" t="str">
        <f>IFERROR(IF(D1405="","",VLOOKUP(D1405,CadProd!$A:$C,3,0)),"")</f>
        <v/>
      </c>
      <c r="I1405" s="1" t="str">
        <f t="shared" si="21"/>
        <v/>
      </c>
    </row>
    <row r="1406" spans="5:9" x14ac:dyDescent="0.3">
      <c r="E1406" t="str">
        <f>IFERROR(IF(D1406="","",VLOOKUP(D1406,CadProd!$A:$B,2,0)),"")</f>
        <v/>
      </c>
      <c r="F1406" t="str">
        <f>IFERROR(IF(D1406="","",VLOOKUP(D1406,CadProd!$A:$C,3,0)),"")</f>
        <v/>
      </c>
      <c r="I1406" s="1" t="str">
        <f t="shared" si="21"/>
        <v/>
      </c>
    </row>
    <row r="1407" spans="5:9" x14ac:dyDescent="0.3">
      <c r="E1407" t="str">
        <f>IFERROR(IF(D1407="","",VLOOKUP(D1407,CadProd!$A:$B,2,0)),"")</f>
        <v/>
      </c>
      <c r="F1407" t="str">
        <f>IFERROR(IF(D1407="","",VLOOKUP(D1407,CadProd!$A:$C,3,0)),"")</f>
        <v/>
      </c>
      <c r="I1407" s="1" t="str">
        <f t="shared" si="21"/>
        <v/>
      </c>
    </row>
    <row r="1408" spans="5:9" x14ac:dyDescent="0.3">
      <c r="E1408" t="str">
        <f>IFERROR(IF(D1408="","",VLOOKUP(D1408,CadProd!$A:$B,2,0)),"")</f>
        <v/>
      </c>
      <c r="F1408" t="str">
        <f>IFERROR(IF(D1408="","",VLOOKUP(D1408,CadProd!$A:$C,3,0)),"")</f>
        <v/>
      </c>
      <c r="I1408" s="1" t="str">
        <f t="shared" si="21"/>
        <v/>
      </c>
    </row>
    <row r="1409" spans="5:9" x14ac:dyDescent="0.3">
      <c r="E1409" t="str">
        <f>IFERROR(IF(D1409="","",VLOOKUP(D1409,CadProd!$A:$B,2,0)),"")</f>
        <v/>
      </c>
      <c r="F1409" t="str">
        <f>IFERROR(IF(D1409="","",VLOOKUP(D1409,CadProd!$A:$C,3,0)),"")</f>
        <v/>
      </c>
      <c r="I1409" s="1" t="str">
        <f t="shared" si="21"/>
        <v/>
      </c>
    </row>
    <row r="1410" spans="5:9" x14ac:dyDescent="0.3">
      <c r="E1410" t="str">
        <f>IFERROR(IF(D1410="","",VLOOKUP(D1410,CadProd!$A:$B,2,0)),"")</f>
        <v/>
      </c>
      <c r="F1410" t="str">
        <f>IFERROR(IF(D1410="","",VLOOKUP(D1410,CadProd!$A:$C,3,0)),"")</f>
        <v/>
      </c>
      <c r="I1410" s="1" t="str">
        <f t="shared" ref="I1410:I1473" si="22">IFERROR(IF(D1410="","",H1410*G1410),"")</f>
        <v/>
      </c>
    </row>
    <row r="1411" spans="5:9" x14ac:dyDescent="0.3">
      <c r="E1411" t="str">
        <f>IFERROR(IF(D1411="","",VLOOKUP(D1411,CadProd!$A:$B,2,0)),"")</f>
        <v/>
      </c>
      <c r="F1411" t="str">
        <f>IFERROR(IF(D1411="","",VLOOKUP(D1411,CadProd!$A:$C,3,0)),"")</f>
        <v/>
      </c>
      <c r="I1411" s="1" t="str">
        <f t="shared" si="22"/>
        <v/>
      </c>
    </row>
    <row r="1412" spans="5:9" x14ac:dyDescent="0.3">
      <c r="E1412" t="str">
        <f>IFERROR(IF(D1412="","",VLOOKUP(D1412,CadProd!$A:$B,2,0)),"")</f>
        <v/>
      </c>
      <c r="F1412" t="str">
        <f>IFERROR(IF(D1412="","",VLOOKUP(D1412,CadProd!$A:$C,3,0)),"")</f>
        <v/>
      </c>
      <c r="I1412" s="1" t="str">
        <f t="shared" si="22"/>
        <v/>
      </c>
    </row>
    <row r="1413" spans="5:9" x14ac:dyDescent="0.3">
      <c r="E1413" t="str">
        <f>IFERROR(IF(D1413="","",VLOOKUP(D1413,CadProd!$A:$B,2,0)),"")</f>
        <v/>
      </c>
      <c r="F1413" t="str">
        <f>IFERROR(IF(D1413="","",VLOOKUP(D1413,CadProd!$A:$C,3,0)),"")</f>
        <v/>
      </c>
      <c r="I1413" s="1" t="str">
        <f t="shared" si="22"/>
        <v/>
      </c>
    </row>
    <row r="1414" spans="5:9" x14ac:dyDescent="0.3">
      <c r="E1414" t="str">
        <f>IFERROR(IF(D1414="","",VLOOKUP(D1414,CadProd!$A:$B,2,0)),"")</f>
        <v/>
      </c>
      <c r="F1414" t="str">
        <f>IFERROR(IF(D1414="","",VLOOKUP(D1414,CadProd!$A:$C,3,0)),"")</f>
        <v/>
      </c>
      <c r="I1414" s="1" t="str">
        <f t="shared" si="22"/>
        <v/>
      </c>
    </row>
    <row r="1415" spans="5:9" x14ac:dyDescent="0.3">
      <c r="E1415" t="str">
        <f>IFERROR(IF(D1415="","",VLOOKUP(D1415,CadProd!$A:$B,2,0)),"")</f>
        <v/>
      </c>
      <c r="F1415" t="str">
        <f>IFERROR(IF(D1415="","",VLOOKUP(D1415,CadProd!$A:$C,3,0)),"")</f>
        <v/>
      </c>
      <c r="I1415" s="1" t="str">
        <f t="shared" si="22"/>
        <v/>
      </c>
    </row>
    <row r="1416" spans="5:9" x14ac:dyDescent="0.3">
      <c r="E1416" t="str">
        <f>IFERROR(IF(D1416="","",VLOOKUP(D1416,CadProd!$A:$B,2,0)),"")</f>
        <v/>
      </c>
      <c r="F1416" t="str">
        <f>IFERROR(IF(D1416="","",VLOOKUP(D1416,CadProd!$A:$C,3,0)),"")</f>
        <v/>
      </c>
      <c r="I1416" s="1" t="str">
        <f t="shared" si="22"/>
        <v/>
      </c>
    </row>
    <row r="1417" spans="5:9" x14ac:dyDescent="0.3">
      <c r="E1417" t="str">
        <f>IFERROR(IF(D1417="","",VLOOKUP(D1417,CadProd!$A:$B,2,0)),"")</f>
        <v/>
      </c>
      <c r="F1417" t="str">
        <f>IFERROR(IF(D1417="","",VLOOKUP(D1417,CadProd!$A:$C,3,0)),"")</f>
        <v/>
      </c>
      <c r="I1417" s="1" t="str">
        <f t="shared" si="22"/>
        <v/>
      </c>
    </row>
    <row r="1418" spans="5:9" x14ac:dyDescent="0.3">
      <c r="E1418" t="str">
        <f>IFERROR(IF(D1418="","",VLOOKUP(D1418,CadProd!$A:$B,2,0)),"")</f>
        <v/>
      </c>
      <c r="F1418" t="str">
        <f>IFERROR(IF(D1418="","",VLOOKUP(D1418,CadProd!$A:$C,3,0)),"")</f>
        <v/>
      </c>
      <c r="I1418" s="1" t="str">
        <f t="shared" si="22"/>
        <v/>
      </c>
    </row>
    <row r="1419" spans="5:9" x14ac:dyDescent="0.3">
      <c r="E1419" t="str">
        <f>IFERROR(IF(D1419="","",VLOOKUP(D1419,CadProd!$A:$B,2,0)),"")</f>
        <v/>
      </c>
      <c r="F1419" t="str">
        <f>IFERROR(IF(D1419="","",VLOOKUP(D1419,CadProd!$A:$C,3,0)),"")</f>
        <v/>
      </c>
      <c r="I1419" s="1" t="str">
        <f t="shared" si="22"/>
        <v/>
      </c>
    </row>
    <row r="1420" spans="5:9" x14ac:dyDescent="0.3">
      <c r="E1420" t="str">
        <f>IFERROR(IF(D1420="","",VLOOKUP(D1420,CadProd!$A:$B,2,0)),"")</f>
        <v/>
      </c>
      <c r="F1420" t="str">
        <f>IFERROR(IF(D1420="","",VLOOKUP(D1420,CadProd!$A:$C,3,0)),"")</f>
        <v/>
      </c>
      <c r="I1420" s="1" t="str">
        <f t="shared" si="22"/>
        <v/>
      </c>
    </row>
    <row r="1421" spans="5:9" x14ac:dyDescent="0.3">
      <c r="E1421" t="str">
        <f>IFERROR(IF(D1421="","",VLOOKUP(D1421,CadProd!$A:$B,2,0)),"")</f>
        <v/>
      </c>
      <c r="F1421" t="str">
        <f>IFERROR(IF(D1421="","",VLOOKUP(D1421,CadProd!$A:$C,3,0)),"")</f>
        <v/>
      </c>
      <c r="I1421" s="1" t="str">
        <f t="shared" si="22"/>
        <v/>
      </c>
    </row>
    <row r="1422" spans="5:9" x14ac:dyDescent="0.3">
      <c r="E1422" t="str">
        <f>IFERROR(IF(D1422="","",VLOOKUP(D1422,CadProd!$A:$B,2,0)),"")</f>
        <v/>
      </c>
      <c r="F1422" t="str">
        <f>IFERROR(IF(D1422="","",VLOOKUP(D1422,CadProd!$A:$C,3,0)),"")</f>
        <v/>
      </c>
      <c r="I1422" s="1" t="str">
        <f t="shared" si="22"/>
        <v/>
      </c>
    </row>
    <row r="1423" spans="5:9" x14ac:dyDescent="0.3">
      <c r="E1423" t="str">
        <f>IFERROR(IF(D1423="","",VLOOKUP(D1423,CadProd!$A:$B,2,0)),"")</f>
        <v/>
      </c>
      <c r="F1423" t="str">
        <f>IFERROR(IF(D1423="","",VLOOKUP(D1423,CadProd!$A:$C,3,0)),"")</f>
        <v/>
      </c>
      <c r="I1423" s="1" t="str">
        <f t="shared" si="22"/>
        <v/>
      </c>
    </row>
    <row r="1424" spans="5:9" x14ac:dyDescent="0.3">
      <c r="E1424" t="str">
        <f>IFERROR(IF(D1424="","",VLOOKUP(D1424,CadProd!$A:$B,2,0)),"")</f>
        <v/>
      </c>
      <c r="F1424" t="str">
        <f>IFERROR(IF(D1424="","",VLOOKUP(D1424,CadProd!$A:$C,3,0)),"")</f>
        <v/>
      </c>
      <c r="I1424" s="1" t="str">
        <f t="shared" si="22"/>
        <v/>
      </c>
    </row>
    <row r="1425" spans="5:9" x14ac:dyDescent="0.3">
      <c r="E1425" t="str">
        <f>IFERROR(IF(D1425="","",VLOOKUP(D1425,CadProd!$A:$B,2,0)),"")</f>
        <v/>
      </c>
      <c r="F1425" t="str">
        <f>IFERROR(IF(D1425="","",VLOOKUP(D1425,CadProd!$A:$C,3,0)),"")</f>
        <v/>
      </c>
      <c r="I1425" s="1" t="str">
        <f t="shared" si="22"/>
        <v/>
      </c>
    </row>
    <row r="1426" spans="5:9" x14ac:dyDescent="0.3">
      <c r="E1426" t="str">
        <f>IFERROR(IF(D1426="","",VLOOKUP(D1426,CadProd!$A:$B,2,0)),"")</f>
        <v/>
      </c>
      <c r="F1426" t="str">
        <f>IFERROR(IF(D1426="","",VLOOKUP(D1426,CadProd!$A:$C,3,0)),"")</f>
        <v/>
      </c>
      <c r="I1426" s="1" t="str">
        <f t="shared" si="22"/>
        <v/>
      </c>
    </row>
    <row r="1427" spans="5:9" x14ac:dyDescent="0.3">
      <c r="E1427" t="str">
        <f>IFERROR(IF(D1427="","",VLOOKUP(D1427,CadProd!$A:$B,2,0)),"")</f>
        <v/>
      </c>
      <c r="F1427" t="str">
        <f>IFERROR(IF(D1427="","",VLOOKUP(D1427,CadProd!$A:$C,3,0)),"")</f>
        <v/>
      </c>
      <c r="I1427" s="1" t="str">
        <f t="shared" si="22"/>
        <v/>
      </c>
    </row>
    <row r="1428" spans="5:9" x14ac:dyDescent="0.3">
      <c r="E1428" t="str">
        <f>IFERROR(IF(D1428="","",VLOOKUP(D1428,CadProd!$A:$B,2,0)),"")</f>
        <v/>
      </c>
      <c r="F1428" t="str">
        <f>IFERROR(IF(D1428="","",VLOOKUP(D1428,CadProd!$A:$C,3,0)),"")</f>
        <v/>
      </c>
      <c r="I1428" s="1" t="str">
        <f t="shared" si="22"/>
        <v/>
      </c>
    </row>
    <row r="1429" spans="5:9" x14ac:dyDescent="0.3">
      <c r="E1429" t="str">
        <f>IFERROR(IF(D1429="","",VLOOKUP(D1429,CadProd!$A:$B,2,0)),"")</f>
        <v/>
      </c>
      <c r="F1429" t="str">
        <f>IFERROR(IF(D1429="","",VLOOKUP(D1429,CadProd!$A:$C,3,0)),"")</f>
        <v/>
      </c>
      <c r="I1429" s="1" t="str">
        <f t="shared" si="22"/>
        <v/>
      </c>
    </row>
    <row r="1430" spans="5:9" x14ac:dyDescent="0.3">
      <c r="E1430" t="str">
        <f>IFERROR(IF(D1430="","",VLOOKUP(D1430,CadProd!$A:$B,2,0)),"")</f>
        <v/>
      </c>
      <c r="F1430" t="str">
        <f>IFERROR(IF(D1430="","",VLOOKUP(D1430,CadProd!$A:$C,3,0)),"")</f>
        <v/>
      </c>
      <c r="I1430" s="1" t="str">
        <f t="shared" si="22"/>
        <v/>
      </c>
    </row>
    <row r="1431" spans="5:9" x14ac:dyDescent="0.3">
      <c r="E1431" t="str">
        <f>IFERROR(IF(D1431="","",VLOOKUP(D1431,CadProd!$A:$B,2,0)),"")</f>
        <v/>
      </c>
      <c r="F1431" t="str">
        <f>IFERROR(IF(D1431="","",VLOOKUP(D1431,CadProd!$A:$C,3,0)),"")</f>
        <v/>
      </c>
      <c r="I1431" s="1" t="str">
        <f t="shared" si="22"/>
        <v/>
      </c>
    </row>
    <row r="1432" spans="5:9" x14ac:dyDescent="0.3">
      <c r="E1432" t="str">
        <f>IFERROR(IF(D1432="","",VLOOKUP(D1432,CadProd!$A:$B,2,0)),"")</f>
        <v/>
      </c>
      <c r="F1432" t="str">
        <f>IFERROR(IF(D1432="","",VLOOKUP(D1432,CadProd!$A:$C,3,0)),"")</f>
        <v/>
      </c>
      <c r="I1432" s="1" t="str">
        <f t="shared" si="22"/>
        <v/>
      </c>
    </row>
    <row r="1433" spans="5:9" x14ac:dyDescent="0.3">
      <c r="E1433" t="str">
        <f>IFERROR(IF(D1433="","",VLOOKUP(D1433,CadProd!$A:$B,2,0)),"")</f>
        <v/>
      </c>
      <c r="F1433" t="str">
        <f>IFERROR(IF(D1433="","",VLOOKUP(D1433,CadProd!$A:$C,3,0)),"")</f>
        <v/>
      </c>
      <c r="I1433" s="1" t="str">
        <f t="shared" si="22"/>
        <v/>
      </c>
    </row>
    <row r="1434" spans="5:9" x14ac:dyDescent="0.3">
      <c r="E1434" t="str">
        <f>IFERROR(IF(D1434="","",VLOOKUP(D1434,CadProd!$A:$B,2,0)),"")</f>
        <v/>
      </c>
      <c r="F1434" t="str">
        <f>IFERROR(IF(D1434="","",VLOOKUP(D1434,CadProd!$A:$C,3,0)),"")</f>
        <v/>
      </c>
      <c r="I1434" s="1" t="str">
        <f t="shared" si="22"/>
        <v/>
      </c>
    </row>
    <row r="1435" spans="5:9" x14ac:dyDescent="0.3">
      <c r="E1435" t="str">
        <f>IFERROR(IF(D1435="","",VLOOKUP(D1435,CadProd!$A:$B,2,0)),"")</f>
        <v/>
      </c>
      <c r="F1435" t="str">
        <f>IFERROR(IF(D1435="","",VLOOKUP(D1435,CadProd!$A:$C,3,0)),"")</f>
        <v/>
      </c>
      <c r="I1435" s="1" t="str">
        <f t="shared" si="22"/>
        <v/>
      </c>
    </row>
    <row r="1436" spans="5:9" x14ac:dyDescent="0.3">
      <c r="E1436" t="str">
        <f>IFERROR(IF(D1436="","",VLOOKUP(D1436,CadProd!$A:$B,2,0)),"")</f>
        <v/>
      </c>
      <c r="F1436" t="str">
        <f>IFERROR(IF(D1436="","",VLOOKUP(D1436,CadProd!$A:$C,3,0)),"")</f>
        <v/>
      </c>
      <c r="I1436" s="1" t="str">
        <f t="shared" si="22"/>
        <v/>
      </c>
    </row>
    <row r="1437" spans="5:9" x14ac:dyDescent="0.3">
      <c r="E1437" t="str">
        <f>IFERROR(IF(D1437="","",VLOOKUP(D1437,CadProd!$A:$B,2,0)),"")</f>
        <v/>
      </c>
      <c r="F1437" t="str">
        <f>IFERROR(IF(D1437="","",VLOOKUP(D1437,CadProd!$A:$C,3,0)),"")</f>
        <v/>
      </c>
      <c r="I1437" s="1" t="str">
        <f t="shared" si="22"/>
        <v/>
      </c>
    </row>
    <row r="1438" spans="5:9" x14ac:dyDescent="0.3">
      <c r="E1438" t="str">
        <f>IFERROR(IF(D1438="","",VLOOKUP(D1438,CadProd!$A:$B,2,0)),"")</f>
        <v/>
      </c>
      <c r="F1438" t="str">
        <f>IFERROR(IF(D1438="","",VLOOKUP(D1438,CadProd!$A:$C,3,0)),"")</f>
        <v/>
      </c>
      <c r="I1438" s="1" t="str">
        <f t="shared" si="22"/>
        <v/>
      </c>
    </row>
    <row r="1439" spans="5:9" x14ac:dyDescent="0.3">
      <c r="E1439" t="str">
        <f>IFERROR(IF(D1439="","",VLOOKUP(D1439,CadProd!$A:$B,2,0)),"")</f>
        <v/>
      </c>
      <c r="F1439" t="str">
        <f>IFERROR(IF(D1439="","",VLOOKUP(D1439,CadProd!$A:$C,3,0)),"")</f>
        <v/>
      </c>
      <c r="I1439" s="1" t="str">
        <f t="shared" si="22"/>
        <v/>
      </c>
    </row>
    <row r="1440" spans="5:9" x14ac:dyDescent="0.3">
      <c r="E1440" t="str">
        <f>IFERROR(IF(D1440="","",VLOOKUP(D1440,CadProd!$A:$B,2,0)),"")</f>
        <v/>
      </c>
      <c r="F1440" t="str">
        <f>IFERROR(IF(D1440="","",VLOOKUP(D1440,CadProd!$A:$C,3,0)),"")</f>
        <v/>
      </c>
      <c r="I1440" s="1" t="str">
        <f t="shared" si="22"/>
        <v/>
      </c>
    </row>
    <row r="1441" spans="5:9" x14ac:dyDescent="0.3">
      <c r="E1441" t="str">
        <f>IFERROR(IF(D1441="","",VLOOKUP(D1441,CadProd!$A:$B,2,0)),"")</f>
        <v/>
      </c>
      <c r="F1441" t="str">
        <f>IFERROR(IF(D1441="","",VLOOKUP(D1441,CadProd!$A:$C,3,0)),"")</f>
        <v/>
      </c>
      <c r="I1441" s="1" t="str">
        <f t="shared" si="22"/>
        <v/>
      </c>
    </row>
    <row r="1442" spans="5:9" x14ac:dyDescent="0.3">
      <c r="E1442" t="str">
        <f>IFERROR(IF(D1442="","",VLOOKUP(D1442,CadProd!$A:$B,2,0)),"")</f>
        <v/>
      </c>
      <c r="F1442" t="str">
        <f>IFERROR(IF(D1442="","",VLOOKUP(D1442,CadProd!$A:$C,3,0)),"")</f>
        <v/>
      </c>
      <c r="I1442" s="1" t="str">
        <f t="shared" si="22"/>
        <v/>
      </c>
    </row>
    <row r="1443" spans="5:9" x14ac:dyDescent="0.3">
      <c r="E1443" t="str">
        <f>IFERROR(IF(D1443="","",VLOOKUP(D1443,CadProd!$A:$B,2,0)),"")</f>
        <v/>
      </c>
      <c r="F1443" t="str">
        <f>IFERROR(IF(D1443="","",VLOOKUP(D1443,CadProd!$A:$C,3,0)),"")</f>
        <v/>
      </c>
      <c r="I1443" s="1" t="str">
        <f t="shared" si="22"/>
        <v/>
      </c>
    </row>
    <row r="1444" spans="5:9" x14ac:dyDescent="0.3">
      <c r="E1444" t="str">
        <f>IFERROR(IF(D1444="","",VLOOKUP(D1444,CadProd!$A:$B,2,0)),"")</f>
        <v/>
      </c>
      <c r="F1444" t="str">
        <f>IFERROR(IF(D1444="","",VLOOKUP(D1444,CadProd!$A:$C,3,0)),"")</f>
        <v/>
      </c>
      <c r="I1444" s="1" t="str">
        <f t="shared" si="22"/>
        <v/>
      </c>
    </row>
    <row r="1445" spans="5:9" x14ac:dyDescent="0.3">
      <c r="E1445" t="str">
        <f>IFERROR(IF(D1445="","",VLOOKUP(D1445,CadProd!$A:$B,2,0)),"")</f>
        <v/>
      </c>
      <c r="F1445" t="str">
        <f>IFERROR(IF(D1445="","",VLOOKUP(D1445,CadProd!$A:$C,3,0)),"")</f>
        <v/>
      </c>
      <c r="I1445" s="1" t="str">
        <f t="shared" si="22"/>
        <v/>
      </c>
    </row>
    <row r="1446" spans="5:9" x14ac:dyDescent="0.3">
      <c r="E1446" t="str">
        <f>IFERROR(IF(D1446="","",VLOOKUP(D1446,CadProd!$A:$B,2,0)),"")</f>
        <v/>
      </c>
      <c r="F1446" t="str">
        <f>IFERROR(IF(D1446="","",VLOOKUP(D1446,CadProd!$A:$C,3,0)),"")</f>
        <v/>
      </c>
      <c r="I1446" s="1" t="str">
        <f t="shared" si="22"/>
        <v/>
      </c>
    </row>
    <row r="1447" spans="5:9" x14ac:dyDescent="0.3">
      <c r="E1447" t="str">
        <f>IFERROR(IF(D1447="","",VLOOKUP(D1447,CadProd!$A:$B,2,0)),"")</f>
        <v/>
      </c>
      <c r="F1447" t="str">
        <f>IFERROR(IF(D1447="","",VLOOKUP(D1447,CadProd!$A:$C,3,0)),"")</f>
        <v/>
      </c>
      <c r="I1447" s="1" t="str">
        <f t="shared" si="22"/>
        <v/>
      </c>
    </row>
    <row r="1448" spans="5:9" x14ac:dyDescent="0.3">
      <c r="E1448" t="str">
        <f>IFERROR(IF(D1448="","",VLOOKUP(D1448,CadProd!$A:$B,2,0)),"")</f>
        <v/>
      </c>
      <c r="F1448" t="str">
        <f>IFERROR(IF(D1448="","",VLOOKUP(D1448,CadProd!$A:$C,3,0)),"")</f>
        <v/>
      </c>
      <c r="I1448" s="1" t="str">
        <f t="shared" si="22"/>
        <v/>
      </c>
    </row>
    <row r="1449" spans="5:9" x14ac:dyDescent="0.3">
      <c r="E1449" t="str">
        <f>IFERROR(IF(D1449="","",VLOOKUP(D1449,CadProd!$A:$B,2,0)),"")</f>
        <v/>
      </c>
      <c r="F1449" t="str">
        <f>IFERROR(IF(D1449="","",VLOOKUP(D1449,CadProd!$A:$C,3,0)),"")</f>
        <v/>
      </c>
      <c r="I1449" s="1" t="str">
        <f t="shared" si="22"/>
        <v/>
      </c>
    </row>
    <row r="1450" spans="5:9" x14ac:dyDescent="0.3">
      <c r="E1450" t="str">
        <f>IFERROR(IF(D1450="","",VLOOKUP(D1450,CadProd!$A:$B,2,0)),"")</f>
        <v/>
      </c>
      <c r="F1450" t="str">
        <f>IFERROR(IF(D1450="","",VLOOKUP(D1450,CadProd!$A:$C,3,0)),"")</f>
        <v/>
      </c>
      <c r="I1450" s="1" t="str">
        <f t="shared" si="22"/>
        <v/>
      </c>
    </row>
    <row r="1451" spans="5:9" x14ac:dyDescent="0.3">
      <c r="E1451" t="str">
        <f>IFERROR(IF(D1451="","",VLOOKUP(D1451,CadProd!$A:$B,2,0)),"")</f>
        <v/>
      </c>
      <c r="F1451" t="str">
        <f>IFERROR(IF(D1451="","",VLOOKUP(D1451,CadProd!$A:$C,3,0)),"")</f>
        <v/>
      </c>
      <c r="I1451" s="1" t="str">
        <f t="shared" si="22"/>
        <v/>
      </c>
    </row>
    <row r="1452" spans="5:9" x14ac:dyDescent="0.3">
      <c r="E1452" t="str">
        <f>IFERROR(IF(D1452="","",VLOOKUP(D1452,CadProd!$A:$B,2,0)),"")</f>
        <v/>
      </c>
      <c r="F1452" t="str">
        <f>IFERROR(IF(D1452="","",VLOOKUP(D1452,CadProd!$A:$C,3,0)),"")</f>
        <v/>
      </c>
      <c r="I1452" s="1" t="str">
        <f t="shared" si="22"/>
        <v/>
      </c>
    </row>
    <row r="1453" spans="5:9" x14ac:dyDescent="0.3">
      <c r="E1453" t="str">
        <f>IFERROR(IF(D1453="","",VLOOKUP(D1453,CadProd!$A:$B,2,0)),"")</f>
        <v/>
      </c>
      <c r="F1453" t="str">
        <f>IFERROR(IF(D1453="","",VLOOKUP(D1453,CadProd!$A:$C,3,0)),"")</f>
        <v/>
      </c>
      <c r="I1453" s="1" t="str">
        <f t="shared" si="22"/>
        <v/>
      </c>
    </row>
    <row r="1454" spans="5:9" x14ac:dyDescent="0.3">
      <c r="E1454" t="str">
        <f>IFERROR(IF(D1454="","",VLOOKUP(D1454,CadProd!$A:$B,2,0)),"")</f>
        <v/>
      </c>
      <c r="F1454" t="str">
        <f>IFERROR(IF(D1454="","",VLOOKUP(D1454,CadProd!$A:$C,3,0)),"")</f>
        <v/>
      </c>
      <c r="I1454" s="1" t="str">
        <f t="shared" si="22"/>
        <v/>
      </c>
    </row>
    <row r="1455" spans="5:9" x14ac:dyDescent="0.3">
      <c r="E1455" t="str">
        <f>IFERROR(IF(D1455="","",VLOOKUP(D1455,CadProd!$A:$B,2,0)),"")</f>
        <v/>
      </c>
      <c r="F1455" t="str">
        <f>IFERROR(IF(D1455="","",VLOOKUP(D1455,CadProd!$A:$C,3,0)),"")</f>
        <v/>
      </c>
      <c r="I1455" s="1" t="str">
        <f t="shared" si="22"/>
        <v/>
      </c>
    </row>
    <row r="1456" spans="5:9" x14ac:dyDescent="0.3">
      <c r="E1456" t="str">
        <f>IFERROR(IF(D1456="","",VLOOKUP(D1456,CadProd!$A:$B,2,0)),"")</f>
        <v/>
      </c>
      <c r="F1456" t="str">
        <f>IFERROR(IF(D1456="","",VLOOKUP(D1456,CadProd!$A:$C,3,0)),"")</f>
        <v/>
      </c>
      <c r="I1456" s="1" t="str">
        <f t="shared" si="22"/>
        <v/>
      </c>
    </row>
    <row r="1457" spans="5:9" x14ac:dyDescent="0.3">
      <c r="E1457" t="str">
        <f>IFERROR(IF(D1457="","",VLOOKUP(D1457,CadProd!$A:$B,2,0)),"")</f>
        <v/>
      </c>
      <c r="F1457" t="str">
        <f>IFERROR(IF(D1457="","",VLOOKUP(D1457,CadProd!$A:$C,3,0)),"")</f>
        <v/>
      </c>
      <c r="I1457" s="1" t="str">
        <f t="shared" si="22"/>
        <v/>
      </c>
    </row>
    <row r="1458" spans="5:9" x14ac:dyDescent="0.3">
      <c r="E1458" t="str">
        <f>IFERROR(IF(D1458="","",VLOOKUP(D1458,CadProd!$A:$B,2,0)),"")</f>
        <v/>
      </c>
      <c r="F1458" t="str">
        <f>IFERROR(IF(D1458="","",VLOOKUP(D1458,CadProd!$A:$C,3,0)),"")</f>
        <v/>
      </c>
      <c r="I1458" s="1" t="str">
        <f t="shared" si="22"/>
        <v/>
      </c>
    </row>
    <row r="1459" spans="5:9" x14ac:dyDescent="0.3">
      <c r="E1459" t="str">
        <f>IFERROR(IF(D1459="","",VLOOKUP(D1459,CadProd!$A:$B,2,0)),"")</f>
        <v/>
      </c>
      <c r="F1459" t="str">
        <f>IFERROR(IF(D1459="","",VLOOKUP(D1459,CadProd!$A:$C,3,0)),"")</f>
        <v/>
      </c>
      <c r="I1459" s="1" t="str">
        <f t="shared" si="22"/>
        <v/>
      </c>
    </row>
    <row r="1460" spans="5:9" x14ac:dyDescent="0.3">
      <c r="E1460" t="str">
        <f>IFERROR(IF(D1460="","",VLOOKUP(D1460,CadProd!$A:$B,2,0)),"")</f>
        <v/>
      </c>
      <c r="F1460" t="str">
        <f>IFERROR(IF(D1460="","",VLOOKUP(D1460,CadProd!$A:$C,3,0)),"")</f>
        <v/>
      </c>
      <c r="I1460" s="1" t="str">
        <f t="shared" si="22"/>
        <v/>
      </c>
    </row>
    <row r="1461" spans="5:9" x14ac:dyDescent="0.3">
      <c r="E1461" t="str">
        <f>IFERROR(IF(D1461="","",VLOOKUP(D1461,CadProd!$A:$B,2,0)),"")</f>
        <v/>
      </c>
      <c r="F1461" t="str">
        <f>IFERROR(IF(D1461="","",VLOOKUP(D1461,CadProd!$A:$C,3,0)),"")</f>
        <v/>
      </c>
      <c r="I1461" s="1" t="str">
        <f t="shared" si="22"/>
        <v/>
      </c>
    </row>
    <row r="1462" spans="5:9" x14ac:dyDescent="0.3">
      <c r="E1462" t="str">
        <f>IFERROR(IF(D1462="","",VLOOKUP(D1462,CadProd!$A:$B,2,0)),"")</f>
        <v/>
      </c>
      <c r="F1462" t="str">
        <f>IFERROR(IF(D1462="","",VLOOKUP(D1462,CadProd!$A:$C,3,0)),"")</f>
        <v/>
      </c>
      <c r="I1462" s="1" t="str">
        <f t="shared" si="22"/>
        <v/>
      </c>
    </row>
    <row r="1463" spans="5:9" x14ac:dyDescent="0.3">
      <c r="E1463" t="str">
        <f>IFERROR(IF(D1463="","",VLOOKUP(D1463,CadProd!$A:$B,2,0)),"")</f>
        <v/>
      </c>
      <c r="F1463" t="str">
        <f>IFERROR(IF(D1463="","",VLOOKUP(D1463,CadProd!$A:$C,3,0)),"")</f>
        <v/>
      </c>
      <c r="I1463" s="1" t="str">
        <f t="shared" si="22"/>
        <v/>
      </c>
    </row>
    <row r="1464" spans="5:9" x14ac:dyDescent="0.3">
      <c r="E1464" t="str">
        <f>IFERROR(IF(D1464="","",VLOOKUP(D1464,CadProd!$A:$B,2,0)),"")</f>
        <v/>
      </c>
      <c r="F1464" t="str">
        <f>IFERROR(IF(D1464="","",VLOOKUP(D1464,CadProd!$A:$C,3,0)),"")</f>
        <v/>
      </c>
      <c r="I1464" s="1" t="str">
        <f t="shared" si="22"/>
        <v/>
      </c>
    </row>
    <row r="1465" spans="5:9" x14ac:dyDescent="0.3">
      <c r="E1465" t="str">
        <f>IFERROR(IF(D1465="","",VLOOKUP(D1465,CadProd!$A:$B,2,0)),"")</f>
        <v/>
      </c>
      <c r="F1465" t="str">
        <f>IFERROR(IF(D1465="","",VLOOKUP(D1465,CadProd!$A:$C,3,0)),"")</f>
        <v/>
      </c>
      <c r="I1465" s="1" t="str">
        <f t="shared" si="22"/>
        <v/>
      </c>
    </row>
    <row r="1466" spans="5:9" x14ac:dyDescent="0.3">
      <c r="E1466" t="str">
        <f>IFERROR(IF(D1466="","",VLOOKUP(D1466,CadProd!$A:$B,2,0)),"")</f>
        <v/>
      </c>
      <c r="F1466" t="str">
        <f>IFERROR(IF(D1466="","",VLOOKUP(D1466,CadProd!$A:$C,3,0)),"")</f>
        <v/>
      </c>
      <c r="I1466" s="1" t="str">
        <f t="shared" si="22"/>
        <v/>
      </c>
    </row>
    <row r="1467" spans="5:9" x14ac:dyDescent="0.3">
      <c r="E1467" t="str">
        <f>IFERROR(IF(D1467="","",VLOOKUP(D1467,CadProd!$A:$B,2,0)),"")</f>
        <v/>
      </c>
      <c r="F1467" t="str">
        <f>IFERROR(IF(D1467="","",VLOOKUP(D1467,CadProd!$A:$C,3,0)),"")</f>
        <v/>
      </c>
      <c r="I1467" s="1" t="str">
        <f t="shared" si="22"/>
        <v/>
      </c>
    </row>
    <row r="1468" spans="5:9" x14ac:dyDescent="0.3">
      <c r="E1468" t="str">
        <f>IFERROR(IF(D1468="","",VLOOKUP(D1468,CadProd!$A:$B,2,0)),"")</f>
        <v/>
      </c>
      <c r="F1468" t="str">
        <f>IFERROR(IF(D1468="","",VLOOKUP(D1468,CadProd!$A:$C,3,0)),"")</f>
        <v/>
      </c>
      <c r="I1468" s="1" t="str">
        <f t="shared" si="22"/>
        <v/>
      </c>
    </row>
    <row r="1469" spans="5:9" x14ac:dyDescent="0.3">
      <c r="E1469" t="str">
        <f>IFERROR(IF(D1469="","",VLOOKUP(D1469,CadProd!$A:$B,2,0)),"")</f>
        <v/>
      </c>
      <c r="F1469" t="str">
        <f>IFERROR(IF(D1469="","",VLOOKUP(D1469,CadProd!$A:$C,3,0)),"")</f>
        <v/>
      </c>
      <c r="I1469" s="1" t="str">
        <f t="shared" si="22"/>
        <v/>
      </c>
    </row>
    <row r="1470" spans="5:9" x14ac:dyDescent="0.3">
      <c r="E1470" t="str">
        <f>IFERROR(IF(D1470="","",VLOOKUP(D1470,CadProd!$A:$B,2,0)),"")</f>
        <v/>
      </c>
      <c r="F1470" t="str">
        <f>IFERROR(IF(D1470="","",VLOOKUP(D1470,CadProd!$A:$C,3,0)),"")</f>
        <v/>
      </c>
      <c r="I1470" s="1" t="str">
        <f t="shared" si="22"/>
        <v/>
      </c>
    </row>
    <row r="1471" spans="5:9" x14ac:dyDescent="0.3">
      <c r="E1471" t="str">
        <f>IFERROR(IF(D1471="","",VLOOKUP(D1471,CadProd!$A:$B,2,0)),"")</f>
        <v/>
      </c>
      <c r="F1471" t="str">
        <f>IFERROR(IF(D1471="","",VLOOKUP(D1471,CadProd!$A:$C,3,0)),"")</f>
        <v/>
      </c>
      <c r="I1471" s="1" t="str">
        <f t="shared" si="22"/>
        <v/>
      </c>
    </row>
    <row r="1472" spans="5:9" x14ac:dyDescent="0.3">
      <c r="E1472" t="str">
        <f>IFERROR(IF(D1472="","",VLOOKUP(D1472,CadProd!$A:$B,2,0)),"")</f>
        <v/>
      </c>
      <c r="F1472" t="str">
        <f>IFERROR(IF(D1472="","",VLOOKUP(D1472,CadProd!$A:$C,3,0)),"")</f>
        <v/>
      </c>
      <c r="I1472" s="1" t="str">
        <f t="shared" si="22"/>
        <v/>
      </c>
    </row>
    <row r="1473" spans="5:9" x14ac:dyDescent="0.3">
      <c r="E1473" t="str">
        <f>IFERROR(IF(D1473="","",VLOOKUP(D1473,CadProd!$A:$B,2,0)),"")</f>
        <v/>
      </c>
      <c r="F1473" t="str">
        <f>IFERROR(IF(D1473="","",VLOOKUP(D1473,CadProd!$A:$C,3,0)),"")</f>
        <v/>
      </c>
      <c r="I1473" s="1" t="str">
        <f t="shared" si="22"/>
        <v/>
      </c>
    </row>
    <row r="1474" spans="5:9" x14ac:dyDescent="0.3">
      <c r="E1474" t="str">
        <f>IFERROR(IF(D1474="","",VLOOKUP(D1474,CadProd!$A:$B,2,0)),"")</f>
        <v/>
      </c>
      <c r="F1474" t="str">
        <f>IFERROR(IF(D1474="","",VLOOKUP(D1474,CadProd!$A:$C,3,0)),"")</f>
        <v/>
      </c>
      <c r="I1474" s="1" t="str">
        <f t="shared" ref="I1474:I1537" si="23">IFERROR(IF(D1474="","",H1474*G1474),"")</f>
        <v/>
      </c>
    </row>
    <row r="1475" spans="5:9" x14ac:dyDescent="0.3">
      <c r="E1475" t="str">
        <f>IFERROR(IF(D1475="","",VLOOKUP(D1475,CadProd!$A:$B,2,0)),"")</f>
        <v/>
      </c>
      <c r="F1475" t="str">
        <f>IFERROR(IF(D1475="","",VLOOKUP(D1475,CadProd!$A:$C,3,0)),"")</f>
        <v/>
      </c>
      <c r="I1475" s="1" t="str">
        <f t="shared" si="23"/>
        <v/>
      </c>
    </row>
    <row r="1476" spans="5:9" x14ac:dyDescent="0.3">
      <c r="E1476" t="str">
        <f>IFERROR(IF(D1476="","",VLOOKUP(D1476,CadProd!$A:$B,2,0)),"")</f>
        <v/>
      </c>
      <c r="F1476" t="str">
        <f>IFERROR(IF(D1476="","",VLOOKUP(D1476,CadProd!$A:$C,3,0)),"")</f>
        <v/>
      </c>
      <c r="I1476" s="1" t="str">
        <f t="shared" si="23"/>
        <v/>
      </c>
    </row>
    <row r="1477" spans="5:9" x14ac:dyDescent="0.3">
      <c r="E1477" t="str">
        <f>IFERROR(IF(D1477="","",VLOOKUP(D1477,CadProd!$A:$B,2,0)),"")</f>
        <v/>
      </c>
      <c r="F1477" t="str">
        <f>IFERROR(IF(D1477="","",VLOOKUP(D1477,CadProd!$A:$C,3,0)),"")</f>
        <v/>
      </c>
      <c r="I1477" s="1" t="str">
        <f t="shared" si="23"/>
        <v/>
      </c>
    </row>
    <row r="1478" spans="5:9" x14ac:dyDescent="0.3">
      <c r="E1478" t="str">
        <f>IFERROR(IF(D1478="","",VLOOKUP(D1478,CadProd!$A:$B,2,0)),"")</f>
        <v/>
      </c>
      <c r="F1478" t="str">
        <f>IFERROR(IF(D1478="","",VLOOKUP(D1478,CadProd!$A:$C,3,0)),"")</f>
        <v/>
      </c>
      <c r="I1478" s="1" t="str">
        <f t="shared" si="23"/>
        <v/>
      </c>
    </row>
    <row r="1479" spans="5:9" x14ac:dyDescent="0.3">
      <c r="E1479" t="str">
        <f>IFERROR(IF(D1479="","",VLOOKUP(D1479,CadProd!$A:$B,2,0)),"")</f>
        <v/>
      </c>
      <c r="F1479" t="str">
        <f>IFERROR(IF(D1479="","",VLOOKUP(D1479,CadProd!$A:$C,3,0)),"")</f>
        <v/>
      </c>
      <c r="I1479" s="1" t="str">
        <f t="shared" si="23"/>
        <v/>
      </c>
    </row>
    <row r="1480" spans="5:9" x14ac:dyDescent="0.3">
      <c r="E1480" t="str">
        <f>IFERROR(IF(D1480="","",VLOOKUP(D1480,CadProd!$A:$B,2,0)),"")</f>
        <v/>
      </c>
      <c r="F1480" t="str">
        <f>IFERROR(IF(D1480="","",VLOOKUP(D1480,CadProd!$A:$C,3,0)),"")</f>
        <v/>
      </c>
      <c r="I1480" s="1" t="str">
        <f t="shared" si="23"/>
        <v/>
      </c>
    </row>
    <row r="1481" spans="5:9" x14ac:dyDescent="0.3">
      <c r="E1481" t="str">
        <f>IFERROR(IF(D1481="","",VLOOKUP(D1481,CadProd!$A:$B,2,0)),"")</f>
        <v/>
      </c>
      <c r="F1481" t="str">
        <f>IFERROR(IF(D1481="","",VLOOKUP(D1481,CadProd!$A:$C,3,0)),"")</f>
        <v/>
      </c>
      <c r="I1481" s="1" t="str">
        <f t="shared" si="23"/>
        <v/>
      </c>
    </row>
    <row r="1482" spans="5:9" x14ac:dyDescent="0.3">
      <c r="E1482" t="str">
        <f>IFERROR(IF(D1482="","",VLOOKUP(D1482,CadProd!$A:$B,2,0)),"")</f>
        <v/>
      </c>
      <c r="F1482" t="str">
        <f>IFERROR(IF(D1482="","",VLOOKUP(D1482,CadProd!$A:$C,3,0)),"")</f>
        <v/>
      </c>
      <c r="I1482" s="1" t="str">
        <f t="shared" si="23"/>
        <v/>
      </c>
    </row>
    <row r="1483" spans="5:9" x14ac:dyDescent="0.3">
      <c r="E1483" t="str">
        <f>IFERROR(IF(D1483="","",VLOOKUP(D1483,CadProd!$A:$B,2,0)),"")</f>
        <v/>
      </c>
      <c r="F1483" t="str">
        <f>IFERROR(IF(D1483="","",VLOOKUP(D1483,CadProd!$A:$C,3,0)),"")</f>
        <v/>
      </c>
      <c r="I1483" s="1" t="str">
        <f t="shared" si="23"/>
        <v/>
      </c>
    </row>
    <row r="1484" spans="5:9" x14ac:dyDescent="0.3">
      <c r="E1484" t="str">
        <f>IFERROR(IF(D1484="","",VLOOKUP(D1484,CadProd!$A:$B,2,0)),"")</f>
        <v/>
      </c>
      <c r="F1484" t="str">
        <f>IFERROR(IF(D1484="","",VLOOKUP(D1484,CadProd!$A:$C,3,0)),"")</f>
        <v/>
      </c>
      <c r="I1484" s="1" t="str">
        <f t="shared" si="23"/>
        <v/>
      </c>
    </row>
    <row r="1485" spans="5:9" x14ac:dyDescent="0.3">
      <c r="E1485" t="str">
        <f>IFERROR(IF(D1485="","",VLOOKUP(D1485,CadProd!$A:$B,2,0)),"")</f>
        <v/>
      </c>
      <c r="F1485" t="str">
        <f>IFERROR(IF(D1485="","",VLOOKUP(D1485,CadProd!$A:$C,3,0)),"")</f>
        <v/>
      </c>
      <c r="I1485" s="1" t="str">
        <f t="shared" si="23"/>
        <v/>
      </c>
    </row>
    <row r="1486" spans="5:9" x14ac:dyDescent="0.3">
      <c r="E1486" t="str">
        <f>IFERROR(IF(D1486="","",VLOOKUP(D1486,CadProd!$A:$B,2,0)),"")</f>
        <v/>
      </c>
      <c r="F1486" t="str">
        <f>IFERROR(IF(D1486="","",VLOOKUP(D1486,CadProd!$A:$C,3,0)),"")</f>
        <v/>
      </c>
      <c r="I1486" s="1" t="str">
        <f t="shared" si="23"/>
        <v/>
      </c>
    </row>
    <row r="1487" spans="5:9" x14ac:dyDescent="0.3">
      <c r="E1487" t="str">
        <f>IFERROR(IF(D1487="","",VLOOKUP(D1487,CadProd!$A:$B,2,0)),"")</f>
        <v/>
      </c>
      <c r="F1487" t="str">
        <f>IFERROR(IF(D1487="","",VLOOKUP(D1487,CadProd!$A:$C,3,0)),"")</f>
        <v/>
      </c>
      <c r="I1487" s="1" t="str">
        <f t="shared" si="23"/>
        <v/>
      </c>
    </row>
    <row r="1488" spans="5:9" x14ac:dyDescent="0.3">
      <c r="E1488" t="str">
        <f>IFERROR(IF(D1488="","",VLOOKUP(D1488,CadProd!$A:$B,2,0)),"")</f>
        <v/>
      </c>
      <c r="F1488" t="str">
        <f>IFERROR(IF(D1488="","",VLOOKUP(D1488,CadProd!$A:$C,3,0)),"")</f>
        <v/>
      </c>
      <c r="I1488" s="1" t="str">
        <f t="shared" si="23"/>
        <v/>
      </c>
    </row>
    <row r="1489" spans="5:9" x14ac:dyDescent="0.3">
      <c r="E1489" t="str">
        <f>IFERROR(IF(D1489="","",VLOOKUP(D1489,CadProd!$A:$B,2,0)),"")</f>
        <v/>
      </c>
      <c r="F1489" t="str">
        <f>IFERROR(IF(D1489="","",VLOOKUP(D1489,CadProd!$A:$C,3,0)),"")</f>
        <v/>
      </c>
      <c r="I1489" s="1" t="str">
        <f t="shared" si="23"/>
        <v/>
      </c>
    </row>
    <row r="1490" spans="5:9" x14ac:dyDescent="0.3">
      <c r="E1490" t="str">
        <f>IFERROR(IF(D1490="","",VLOOKUP(D1490,CadProd!$A:$B,2,0)),"")</f>
        <v/>
      </c>
      <c r="F1490" t="str">
        <f>IFERROR(IF(D1490="","",VLOOKUP(D1490,CadProd!$A:$C,3,0)),"")</f>
        <v/>
      </c>
      <c r="I1490" s="1" t="str">
        <f t="shared" si="23"/>
        <v/>
      </c>
    </row>
    <row r="1491" spans="5:9" x14ac:dyDescent="0.3">
      <c r="E1491" t="str">
        <f>IFERROR(IF(D1491="","",VLOOKUP(D1491,CadProd!$A:$B,2,0)),"")</f>
        <v/>
      </c>
      <c r="F1491" t="str">
        <f>IFERROR(IF(D1491="","",VLOOKUP(D1491,CadProd!$A:$C,3,0)),"")</f>
        <v/>
      </c>
      <c r="I1491" s="1" t="str">
        <f t="shared" si="23"/>
        <v/>
      </c>
    </row>
    <row r="1492" spans="5:9" x14ac:dyDescent="0.3">
      <c r="E1492" t="str">
        <f>IFERROR(IF(D1492="","",VLOOKUP(D1492,CadProd!$A:$B,2,0)),"")</f>
        <v/>
      </c>
      <c r="F1492" t="str">
        <f>IFERROR(IF(D1492="","",VLOOKUP(D1492,CadProd!$A:$C,3,0)),"")</f>
        <v/>
      </c>
      <c r="I1492" s="1" t="str">
        <f t="shared" si="23"/>
        <v/>
      </c>
    </row>
    <row r="1493" spans="5:9" x14ac:dyDescent="0.3">
      <c r="E1493" t="str">
        <f>IFERROR(IF(D1493="","",VLOOKUP(D1493,CadProd!$A:$B,2,0)),"")</f>
        <v/>
      </c>
      <c r="F1493" t="str">
        <f>IFERROR(IF(D1493="","",VLOOKUP(D1493,CadProd!$A:$C,3,0)),"")</f>
        <v/>
      </c>
      <c r="I1493" s="1" t="str">
        <f t="shared" si="23"/>
        <v/>
      </c>
    </row>
    <row r="1494" spans="5:9" x14ac:dyDescent="0.3">
      <c r="E1494" t="str">
        <f>IFERROR(IF(D1494="","",VLOOKUP(D1494,CadProd!$A:$B,2,0)),"")</f>
        <v/>
      </c>
      <c r="F1494" t="str">
        <f>IFERROR(IF(D1494="","",VLOOKUP(D1494,CadProd!$A:$C,3,0)),"")</f>
        <v/>
      </c>
      <c r="I1494" s="1" t="str">
        <f t="shared" si="23"/>
        <v/>
      </c>
    </row>
    <row r="1495" spans="5:9" x14ac:dyDescent="0.3">
      <c r="E1495" t="str">
        <f>IFERROR(IF(D1495="","",VLOOKUP(D1495,CadProd!$A:$B,2,0)),"")</f>
        <v/>
      </c>
      <c r="F1495" t="str">
        <f>IFERROR(IF(D1495="","",VLOOKUP(D1495,CadProd!$A:$C,3,0)),"")</f>
        <v/>
      </c>
      <c r="I1495" s="1" t="str">
        <f t="shared" si="23"/>
        <v/>
      </c>
    </row>
    <row r="1496" spans="5:9" x14ac:dyDescent="0.3">
      <c r="E1496" t="str">
        <f>IFERROR(IF(D1496="","",VLOOKUP(D1496,CadProd!$A:$B,2,0)),"")</f>
        <v/>
      </c>
      <c r="F1496" t="str">
        <f>IFERROR(IF(D1496="","",VLOOKUP(D1496,CadProd!$A:$C,3,0)),"")</f>
        <v/>
      </c>
      <c r="I1496" s="1" t="str">
        <f t="shared" si="23"/>
        <v/>
      </c>
    </row>
    <row r="1497" spans="5:9" x14ac:dyDescent="0.3">
      <c r="E1497" t="str">
        <f>IFERROR(IF(D1497="","",VLOOKUP(D1497,CadProd!$A:$B,2,0)),"")</f>
        <v/>
      </c>
      <c r="F1497" t="str">
        <f>IFERROR(IF(D1497="","",VLOOKUP(D1497,CadProd!$A:$C,3,0)),"")</f>
        <v/>
      </c>
      <c r="I1497" s="1" t="str">
        <f t="shared" si="23"/>
        <v/>
      </c>
    </row>
    <row r="1498" spans="5:9" x14ac:dyDescent="0.3">
      <c r="E1498" t="str">
        <f>IFERROR(IF(D1498="","",VLOOKUP(D1498,CadProd!$A:$B,2,0)),"")</f>
        <v/>
      </c>
      <c r="F1498" t="str">
        <f>IFERROR(IF(D1498="","",VLOOKUP(D1498,CadProd!$A:$C,3,0)),"")</f>
        <v/>
      </c>
      <c r="I1498" s="1" t="str">
        <f t="shared" si="23"/>
        <v/>
      </c>
    </row>
    <row r="1499" spans="5:9" x14ac:dyDescent="0.3">
      <c r="E1499" t="str">
        <f>IFERROR(IF(D1499="","",VLOOKUP(D1499,CadProd!$A:$B,2,0)),"")</f>
        <v/>
      </c>
      <c r="F1499" t="str">
        <f>IFERROR(IF(D1499="","",VLOOKUP(D1499,CadProd!$A:$C,3,0)),"")</f>
        <v/>
      </c>
      <c r="I1499" s="1" t="str">
        <f t="shared" si="23"/>
        <v/>
      </c>
    </row>
    <row r="1500" spans="5:9" x14ac:dyDescent="0.3">
      <c r="E1500" t="str">
        <f>IFERROR(IF(D1500="","",VLOOKUP(D1500,CadProd!$A:$B,2,0)),"")</f>
        <v/>
      </c>
      <c r="F1500" t="str">
        <f>IFERROR(IF(D1500="","",VLOOKUP(D1500,CadProd!$A:$C,3,0)),"")</f>
        <v/>
      </c>
      <c r="I1500" s="1" t="str">
        <f t="shared" si="23"/>
        <v/>
      </c>
    </row>
    <row r="1501" spans="5:9" x14ac:dyDescent="0.3">
      <c r="E1501" t="str">
        <f>IFERROR(IF(D1501="","",VLOOKUP(D1501,CadProd!$A:$B,2,0)),"")</f>
        <v/>
      </c>
      <c r="F1501" t="str">
        <f>IFERROR(IF(D1501="","",VLOOKUP(D1501,CadProd!$A:$C,3,0)),"")</f>
        <v/>
      </c>
      <c r="I1501" s="1" t="str">
        <f t="shared" si="23"/>
        <v/>
      </c>
    </row>
    <row r="1502" spans="5:9" x14ac:dyDescent="0.3">
      <c r="E1502" t="str">
        <f>IFERROR(IF(D1502="","",VLOOKUP(D1502,CadProd!$A:$B,2,0)),"")</f>
        <v/>
      </c>
      <c r="F1502" t="str">
        <f>IFERROR(IF(D1502="","",VLOOKUP(D1502,CadProd!$A:$C,3,0)),"")</f>
        <v/>
      </c>
      <c r="I1502" s="1" t="str">
        <f t="shared" si="23"/>
        <v/>
      </c>
    </row>
    <row r="1503" spans="5:9" x14ac:dyDescent="0.3">
      <c r="E1503" t="str">
        <f>IFERROR(IF(D1503="","",VLOOKUP(D1503,CadProd!$A:$B,2,0)),"")</f>
        <v/>
      </c>
      <c r="F1503" t="str">
        <f>IFERROR(IF(D1503="","",VLOOKUP(D1503,CadProd!$A:$C,3,0)),"")</f>
        <v/>
      </c>
      <c r="I1503" s="1" t="str">
        <f t="shared" si="23"/>
        <v/>
      </c>
    </row>
    <row r="1504" spans="5:9" x14ac:dyDescent="0.3">
      <c r="E1504" t="str">
        <f>IFERROR(IF(D1504="","",VLOOKUP(D1504,CadProd!$A:$B,2,0)),"")</f>
        <v/>
      </c>
      <c r="F1504" t="str">
        <f>IFERROR(IF(D1504="","",VLOOKUP(D1504,CadProd!$A:$C,3,0)),"")</f>
        <v/>
      </c>
      <c r="I1504" s="1" t="str">
        <f t="shared" si="23"/>
        <v/>
      </c>
    </row>
    <row r="1505" spans="5:9" x14ac:dyDescent="0.3">
      <c r="E1505" t="str">
        <f>IFERROR(IF(D1505="","",VLOOKUP(D1505,CadProd!$A:$B,2,0)),"")</f>
        <v/>
      </c>
      <c r="F1505" t="str">
        <f>IFERROR(IF(D1505="","",VLOOKUP(D1505,CadProd!$A:$C,3,0)),"")</f>
        <v/>
      </c>
      <c r="I1505" s="1" t="str">
        <f t="shared" si="23"/>
        <v/>
      </c>
    </row>
    <row r="1506" spans="5:9" x14ac:dyDescent="0.3">
      <c r="E1506" t="str">
        <f>IFERROR(IF(D1506="","",VLOOKUP(D1506,CadProd!$A:$B,2,0)),"")</f>
        <v/>
      </c>
      <c r="F1506" t="str">
        <f>IFERROR(IF(D1506="","",VLOOKUP(D1506,CadProd!$A:$C,3,0)),"")</f>
        <v/>
      </c>
      <c r="I1506" s="1" t="str">
        <f t="shared" si="23"/>
        <v/>
      </c>
    </row>
    <row r="1507" spans="5:9" x14ac:dyDescent="0.3">
      <c r="E1507" t="str">
        <f>IFERROR(IF(D1507="","",VLOOKUP(D1507,CadProd!$A:$B,2,0)),"")</f>
        <v/>
      </c>
      <c r="F1507" t="str">
        <f>IFERROR(IF(D1507="","",VLOOKUP(D1507,CadProd!$A:$C,3,0)),"")</f>
        <v/>
      </c>
      <c r="I1507" s="1" t="str">
        <f t="shared" si="23"/>
        <v/>
      </c>
    </row>
    <row r="1508" spans="5:9" x14ac:dyDescent="0.3">
      <c r="E1508" t="str">
        <f>IFERROR(IF(D1508="","",VLOOKUP(D1508,CadProd!$A:$B,2,0)),"")</f>
        <v/>
      </c>
      <c r="F1508" t="str">
        <f>IFERROR(IF(D1508="","",VLOOKUP(D1508,CadProd!$A:$C,3,0)),"")</f>
        <v/>
      </c>
      <c r="I1508" s="1" t="str">
        <f t="shared" si="23"/>
        <v/>
      </c>
    </row>
    <row r="1509" spans="5:9" x14ac:dyDescent="0.3">
      <c r="E1509" t="str">
        <f>IFERROR(IF(D1509="","",VLOOKUP(D1509,CadProd!$A:$B,2,0)),"")</f>
        <v/>
      </c>
      <c r="F1509" t="str">
        <f>IFERROR(IF(D1509="","",VLOOKUP(D1509,CadProd!$A:$C,3,0)),"")</f>
        <v/>
      </c>
      <c r="I1509" s="1" t="str">
        <f t="shared" si="23"/>
        <v/>
      </c>
    </row>
    <row r="1510" spans="5:9" x14ac:dyDescent="0.3">
      <c r="E1510" t="str">
        <f>IFERROR(IF(D1510="","",VLOOKUP(D1510,CadProd!$A:$B,2,0)),"")</f>
        <v/>
      </c>
      <c r="F1510" t="str">
        <f>IFERROR(IF(D1510="","",VLOOKUP(D1510,CadProd!$A:$C,3,0)),"")</f>
        <v/>
      </c>
      <c r="I1510" s="1" t="str">
        <f t="shared" si="23"/>
        <v/>
      </c>
    </row>
    <row r="1511" spans="5:9" x14ac:dyDescent="0.3">
      <c r="E1511" t="str">
        <f>IFERROR(IF(D1511="","",VLOOKUP(D1511,CadProd!$A:$B,2,0)),"")</f>
        <v/>
      </c>
      <c r="F1511" t="str">
        <f>IFERROR(IF(D1511="","",VLOOKUP(D1511,CadProd!$A:$C,3,0)),"")</f>
        <v/>
      </c>
      <c r="I1511" s="1" t="str">
        <f t="shared" si="23"/>
        <v/>
      </c>
    </row>
    <row r="1512" spans="5:9" x14ac:dyDescent="0.3">
      <c r="E1512" t="str">
        <f>IFERROR(IF(D1512="","",VLOOKUP(D1512,CadProd!$A:$B,2,0)),"")</f>
        <v/>
      </c>
      <c r="F1512" t="str">
        <f>IFERROR(IF(D1512="","",VLOOKUP(D1512,CadProd!$A:$C,3,0)),"")</f>
        <v/>
      </c>
      <c r="I1512" s="1" t="str">
        <f t="shared" si="23"/>
        <v/>
      </c>
    </row>
    <row r="1513" spans="5:9" x14ac:dyDescent="0.3">
      <c r="E1513" t="str">
        <f>IFERROR(IF(D1513="","",VLOOKUP(D1513,CadProd!$A:$B,2,0)),"")</f>
        <v/>
      </c>
      <c r="F1513" t="str">
        <f>IFERROR(IF(D1513="","",VLOOKUP(D1513,CadProd!$A:$C,3,0)),"")</f>
        <v/>
      </c>
      <c r="I1513" s="1" t="str">
        <f t="shared" si="23"/>
        <v/>
      </c>
    </row>
    <row r="1514" spans="5:9" x14ac:dyDescent="0.3">
      <c r="E1514" t="str">
        <f>IFERROR(IF(D1514="","",VLOOKUP(D1514,CadProd!$A:$B,2,0)),"")</f>
        <v/>
      </c>
      <c r="F1514" t="str">
        <f>IFERROR(IF(D1514="","",VLOOKUP(D1514,CadProd!$A:$C,3,0)),"")</f>
        <v/>
      </c>
      <c r="I1514" s="1" t="str">
        <f t="shared" si="23"/>
        <v/>
      </c>
    </row>
    <row r="1515" spans="5:9" x14ac:dyDescent="0.3">
      <c r="E1515" t="str">
        <f>IFERROR(IF(D1515="","",VLOOKUP(D1515,CadProd!$A:$B,2,0)),"")</f>
        <v/>
      </c>
      <c r="F1515" t="str">
        <f>IFERROR(IF(D1515="","",VLOOKUP(D1515,CadProd!$A:$C,3,0)),"")</f>
        <v/>
      </c>
      <c r="I1515" s="1" t="str">
        <f t="shared" si="23"/>
        <v/>
      </c>
    </row>
    <row r="1516" spans="5:9" x14ac:dyDescent="0.3">
      <c r="E1516" t="str">
        <f>IFERROR(IF(D1516="","",VLOOKUP(D1516,CadProd!$A:$B,2,0)),"")</f>
        <v/>
      </c>
      <c r="F1516" t="str">
        <f>IFERROR(IF(D1516="","",VLOOKUP(D1516,CadProd!$A:$C,3,0)),"")</f>
        <v/>
      </c>
      <c r="I1516" s="1" t="str">
        <f t="shared" si="23"/>
        <v/>
      </c>
    </row>
    <row r="1517" spans="5:9" x14ac:dyDescent="0.3">
      <c r="E1517" t="str">
        <f>IFERROR(IF(D1517="","",VLOOKUP(D1517,CadProd!$A:$B,2,0)),"")</f>
        <v/>
      </c>
      <c r="F1517" t="str">
        <f>IFERROR(IF(D1517="","",VLOOKUP(D1517,CadProd!$A:$C,3,0)),"")</f>
        <v/>
      </c>
      <c r="I1517" s="1" t="str">
        <f t="shared" si="23"/>
        <v/>
      </c>
    </row>
    <row r="1518" spans="5:9" x14ac:dyDescent="0.3">
      <c r="E1518" t="str">
        <f>IFERROR(IF(D1518="","",VLOOKUP(D1518,CadProd!$A:$B,2,0)),"")</f>
        <v/>
      </c>
      <c r="F1518" t="str">
        <f>IFERROR(IF(D1518="","",VLOOKUP(D1518,CadProd!$A:$C,3,0)),"")</f>
        <v/>
      </c>
      <c r="I1518" s="1" t="str">
        <f t="shared" si="23"/>
        <v/>
      </c>
    </row>
    <row r="1519" spans="5:9" x14ac:dyDescent="0.3">
      <c r="E1519" t="str">
        <f>IFERROR(IF(D1519="","",VLOOKUP(D1519,CadProd!$A:$B,2,0)),"")</f>
        <v/>
      </c>
      <c r="F1519" t="str">
        <f>IFERROR(IF(D1519="","",VLOOKUP(D1519,CadProd!$A:$C,3,0)),"")</f>
        <v/>
      </c>
      <c r="I1519" s="1" t="str">
        <f t="shared" si="23"/>
        <v/>
      </c>
    </row>
    <row r="1520" spans="5:9" x14ac:dyDescent="0.3">
      <c r="E1520" t="str">
        <f>IFERROR(IF(D1520="","",VLOOKUP(D1520,CadProd!$A:$B,2,0)),"")</f>
        <v/>
      </c>
      <c r="F1520" t="str">
        <f>IFERROR(IF(D1520="","",VLOOKUP(D1520,CadProd!$A:$C,3,0)),"")</f>
        <v/>
      </c>
      <c r="I1520" s="1" t="str">
        <f t="shared" si="23"/>
        <v/>
      </c>
    </row>
    <row r="1521" spans="5:9" x14ac:dyDescent="0.3">
      <c r="E1521" t="str">
        <f>IFERROR(IF(D1521="","",VLOOKUP(D1521,CadProd!$A:$B,2,0)),"")</f>
        <v/>
      </c>
      <c r="F1521" t="str">
        <f>IFERROR(IF(D1521="","",VLOOKUP(D1521,CadProd!$A:$C,3,0)),"")</f>
        <v/>
      </c>
      <c r="I1521" s="1" t="str">
        <f t="shared" si="23"/>
        <v/>
      </c>
    </row>
    <row r="1522" spans="5:9" x14ac:dyDescent="0.3">
      <c r="E1522" t="str">
        <f>IFERROR(IF(D1522="","",VLOOKUP(D1522,CadProd!$A:$B,2,0)),"")</f>
        <v/>
      </c>
      <c r="F1522" t="str">
        <f>IFERROR(IF(D1522="","",VLOOKUP(D1522,CadProd!$A:$C,3,0)),"")</f>
        <v/>
      </c>
      <c r="I1522" s="1" t="str">
        <f t="shared" si="23"/>
        <v/>
      </c>
    </row>
    <row r="1523" spans="5:9" x14ac:dyDescent="0.3">
      <c r="E1523" t="str">
        <f>IFERROR(IF(D1523="","",VLOOKUP(D1523,CadProd!$A:$B,2,0)),"")</f>
        <v/>
      </c>
      <c r="F1523" t="str">
        <f>IFERROR(IF(D1523="","",VLOOKUP(D1523,CadProd!$A:$C,3,0)),"")</f>
        <v/>
      </c>
      <c r="I1523" s="1" t="str">
        <f t="shared" si="23"/>
        <v/>
      </c>
    </row>
    <row r="1524" spans="5:9" x14ac:dyDescent="0.3">
      <c r="E1524" t="str">
        <f>IFERROR(IF(D1524="","",VLOOKUP(D1524,CadProd!$A:$B,2,0)),"")</f>
        <v/>
      </c>
      <c r="F1524" t="str">
        <f>IFERROR(IF(D1524="","",VLOOKUP(D1524,CadProd!$A:$C,3,0)),"")</f>
        <v/>
      </c>
      <c r="I1524" s="1" t="str">
        <f t="shared" si="23"/>
        <v/>
      </c>
    </row>
    <row r="1525" spans="5:9" x14ac:dyDescent="0.3">
      <c r="E1525" t="str">
        <f>IFERROR(IF(D1525="","",VLOOKUP(D1525,CadProd!$A:$B,2,0)),"")</f>
        <v/>
      </c>
      <c r="F1525" t="str">
        <f>IFERROR(IF(D1525="","",VLOOKUP(D1525,CadProd!$A:$C,3,0)),"")</f>
        <v/>
      </c>
      <c r="I1525" s="1" t="str">
        <f t="shared" si="23"/>
        <v/>
      </c>
    </row>
    <row r="1526" spans="5:9" x14ac:dyDescent="0.3">
      <c r="E1526" t="str">
        <f>IFERROR(IF(D1526="","",VLOOKUP(D1526,CadProd!$A:$B,2,0)),"")</f>
        <v/>
      </c>
      <c r="F1526" t="str">
        <f>IFERROR(IF(D1526="","",VLOOKUP(D1526,CadProd!$A:$C,3,0)),"")</f>
        <v/>
      </c>
      <c r="I1526" s="1" t="str">
        <f t="shared" si="23"/>
        <v/>
      </c>
    </row>
    <row r="1527" spans="5:9" x14ac:dyDescent="0.3">
      <c r="E1527" t="str">
        <f>IFERROR(IF(D1527="","",VLOOKUP(D1527,CadProd!$A:$B,2,0)),"")</f>
        <v/>
      </c>
      <c r="F1527" t="str">
        <f>IFERROR(IF(D1527="","",VLOOKUP(D1527,CadProd!$A:$C,3,0)),"")</f>
        <v/>
      </c>
      <c r="I1527" s="1" t="str">
        <f t="shared" si="23"/>
        <v/>
      </c>
    </row>
    <row r="1528" spans="5:9" x14ac:dyDescent="0.3">
      <c r="E1528" t="str">
        <f>IFERROR(IF(D1528="","",VLOOKUP(D1528,CadProd!$A:$B,2,0)),"")</f>
        <v/>
      </c>
      <c r="F1528" t="str">
        <f>IFERROR(IF(D1528="","",VLOOKUP(D1528,CadProd!$A:$C,3,0)),"")</f>
        <v/>
      </c>
      <c r="I1528" s="1" t="str">
        <f t="shared" si="23"/>
        <v/>
      </c>
    </row>
    <row r="1529" spans="5:9" x14ac:dyDescent="0.3">
      <c r="E1529" t="str">
        <f>IFERROR(IF(D1529="","",VLOOKUP(D1529,CadProd!$A:$B,2,0)),"")</f>
        <v/>
      </c>
      <c r="F1529" t="str">
        <f>IFERROR(IF(D1529="","",VLOOKUP(D1529,CadProd!$A:$C,3,0)),"")</f>
        <v/>
      </c>
      <c r="I1529" s="1" t="str">
        <f t="shared" si="23"/>
        <v/>
      </c>
    </row>
    <row r="1530" spans="5:9" x14ac:dyDescent="0.3">
      <c r="E1530" t="str">
        <f>IFERROR(IF(D1530="","",VLOOKUP(D1530,CadProd!$A:$B,2,0)),"")</f>
        <v/>
      </c>
      <c r="F1530" t="str">
        <f>IFERROR(IF(D1530="","",VLOOKUP(D1530,CadProd!$A:$C,3,0)),"")</f>
        <v/>
      </c>
      <c r="I1530" s="1" t="str">
        <f t="shared" si="23"/>
        <v/>
      </c>
    </row>
    <row r="1531" spans="5:9" x14ac:dyDescent="0.3">
      <c r="E1531" t="str">
        <f>IFERROR(IF(D1531="","",VLOOKUP(D1531,CadProd!$A:$B,2,0)),"")</f>
        <v/>
      </c>
      <c r="F1531" t="str">
        <f>IFERROR(IF(D1531="","",VLOOKUP(D1531,CadProd!$A:$C,3,0)),"")</f>
        <v/>
      </c>
      <c r="I1531" s="1" t="str">
        <f t="shared" si="23"/>
        <v/>
      </c>
    </row>
    <row r="1532" spans="5:9" x14ac:dyDescent="0.3">
      <c r="E1532" t="str">
        <f>IFERROR(IF(D1532="","",VLOOKUP(D1532,CadProd!$A:$B,2,0)),"")</f>
        <v/>
      </c>
      <c r="F1532" t="str">
        <f>IFERROR(IF(D1532="","",VLOOKUP(D1532,CadProd!$A:$C,3,0)),"")</f>
        <v/>
      </c>
      <c r="I1532" s="1" t="str">
        <f t="shared" si="23"/>
        <v/>
      </c>
    </row>
    <row r="1533" spans="5:9" x14ac:dyDescent="0.3">
      <c r="E1533" t="str">
        <f>IFERROR(IF(D1533="","",VLOOKUP(D1533,CadProd!$A:$B,2,0)),"")</f>
        <v/>
      </c>
      <c r="F1533" t="str">
        <f>IFERROR(IF(D1533="","",VLOOKUP(D1533,CadProd!$A:$C,3,0)),"")</f>
        <v/>
      </c>
      <c r="I1533" s="1" t="str">
        <f t="shared" si="23"/>
        <v/>
      </c>
    </row>
    <row r="1534" spans="5:9" x14ac:dyDescent="0.3">
      <c r="E1534" t="str">
        <f>IFERROR(IF(D1534="","",VLOOKUP(D1534,CadProd!$A:$B,2,0)),"")</f>
        <v/>
      </c>
      <c r="F1534" t="str">
        <f>IFERROR(IF(D1534="","",VLOOKUP(D1534,CadProd!$A:$C,3,0)),"")</f>
        <v/>
      </c>
      <c r="I1534" s="1" t="str">
        <f t="shared" si="23"/>
        <v/>
      </c>
    </row>
    <row r="1535" spans="5:9" x14ac:dyDescent="0.3">
      <c r="E1535" t="str">
        <f>IFERROR(IF(D1535="","",VLOOKUP(D1535,CadProd!$A:$B,2,0)),"")</f>
        <v/>
      </c>
      <c r="F1535" t="str">
        <f>IFERROR(IF(D1535="","",VLOOKUP(D1535,CadProd!$A:$C,3,0)),"")</f>
        <v/>
      </c>
      <c r="I1535" s="1" t="str">
        <f t="shared" si="23"/>
        <v/>
      </c>
    </row>
    <row r="1536" spans="5:9" x14ac:dyDescent="0.3">
      <c r="E1536" t="str">
        <f>IFERROR(IF(D1536="","",VLOOKUP(D1536,CadProd!$A:$B,2,0)),"")</f>
        <v/>
      </c>
      <c r="F1536" t="str">
        <f>IFERROR(IF(D1536="","",VLOOKUP(D1536,CadProd!$A:$C,3,0)),"")</f>
        <v/>
      </c>
      <c r="I1536" s="1" t="str">
        <f t="shared" si="23"/>
        <v/>
      </c>
    </row>
    <row r="1537" spans="5:9" x14ac:dyDescent="0.3">
      <c r="E1537" t="str">
        <f>IFERROR(IF(D1537="","",VLOOKUP(D1537,CadProd!$A:$B,2,0)),"")</f>
        <v/>
      </c>
      <c r="F1537" t="str">
        <f>IFERROR(IF(D1537="","",VLOOKUP(D1537,CadProd!$A:$C,3,0)),"")</f>
        <v/>
      </c>
      <c r="I1537" s="1" t="str">
        <f t="shared" si="23"/>
        <v/>
      </c>
    </row>
    <row r="1538" spans="5:9" x14ac:dyDescent="0.3">
      <c r="E1538" t="str">
        <f>IFERROR(IF(D1538="","",VLOOKUP(D1538,CadProd!$A:$B,2,0)),"")</f>
        <v/>
      </c>
      <c r="F1538" t="str">
        <f>IFERROR(IF(D1538="","",VLOOKUP(D1538,CadProd!$A:$C,3,0)),"")</f>
        <v/>
      </c>
      <c r="I1538" s="1" t="str">
        <f t="shared" ref="I1538:I1601" si="24">IFERROR(IF(D1538="","",H1538*G1538),"")</f>
        <v/>
      </c>
    </row>
    <row r="1539" spans="5:9" x14ac:dyDescent="0.3">
      <c r="E1539" t="str">
        <f>IFERROR(IF(D1539="","",VLOOKUP(D1539,CadProd!$A:$B,2,0)),"")</f>
        <v/>
      </c>
      <c r="F1539" t="str">
        <f>IFERROR(IF(D1539="","",VLOOKUP(D1539,CadProd!$A:$C,3,0)),"")</f>
        <v/>
      </c>
      <c r="I1539" s="1" t="str">
        <f t="shared" si="24"/>
        <v/>
      </c>
    </row>
    <row r="1540" spans="5:9" x14ac:dyDescent="0.3">
      <c r="E1540" t="str">
        <f>IFERROR(IF(D1540="","",VLOOKUP(D1540,CadProd!$A:$B,2,0)),"")</f>
        <v/>
      </c>
      <c r="F1540" t="str">
        <f>IFERROR(IF(D1540="","",VLOOKUP(D1540,CadProd!$A:$C,3,0)),"")</f>
        <v/>
      </c>
      <c r="I1540" s="1" t="str">
        <f t="shared" si="24"/>
        <v/>
      </c>
    </row>
    <row r="1541" spans="5:9" x14ac:dyDescent="0.3">
      <c r="E1541" t="str">
        <f>IFERROR(IF(D1541="","",VLOOKUP(D1541,CadProd!$A:$B,2,0)),"")</f>
        <v/>
      </c>
      <c r="F1541" t="str">
        <f>IFERROR(IF(D1541="","",VLOOKUP(D1541,CadProd!$A:$C,3,0)),"")</f>
        <v/>
      </c>
      <c r="I1541" s="1" t="str">
        <f t="shared" si="24"/>
        <v/>
      </c>
    </row>
    <row r="1542" spans="5:9" x14ac:dyDescent="0.3">
      <c r="E1542" t="str">
        <f>IFERROR(IF(D1542="","",VLOOKUP(D1542,CadProd!$A:$B,2,0)),"")</f>
        <v/>
      </c>
      <c r="F1542" t="str">
        <f>IFERROR(IF(D1542="","",VLOOKUP(D1542,CadProd!$A:$C,3,0)),"")</f>
        <v/>
      </c>
      <c r="I1542" s="1" t="str">
        <f t="shared" si="24"/>
        <v/>
      </c>
    </row>
    <row r="1543" spans="5:9" x14ac:dyDescent="0.3">
      <c r="E1543" t="str">
        <f>IFERROR(IF(D1543="","",VLOOKUP(D1543,CadProd!$A:$B,2,0)),"")</f>
        <v/>
      </c>
      <c r="F1543" t="str">
        <f>IFERROR(IF(D1543="","",VLOOKUP(D1543,CadProd!$A:$C,3,0)),"")</f>
        <v/>
      </c>
      <c r="I1543" s="1" t="str">
        <f t="shared" si="24"/>
        <v/>
      </c>
    </row>
    <row r="1544" spans="5:9" x14ac:dyDescent="0.3">
      <c r="E1544" t="str">
        <f>IFERROR(IF(D1544="","",VLOOKUP(D1544,CadProd!$A:$B,2,0)),"")</f>
        <v/>
      </c>
      <c r="F1544" t="str">
        <f>IFERROR(IF(D1544="","",VLOOKUP(D1544,CadProd!$A:$C,3,0)),"")</f>
        <v/>
      </c>
      <c r="I1544" s="1" t="str">
        <f t="shared" si="24"/>
        <v/>
      </c>
    </row>
    <row r="1545" spans="5:9" x14ac:dyDescent="0.3">
      <c r="E1545" t="str">
        <f>IFERROR(IF(D1545="","",VLOOKUP(D1545,CadProd!$A:$B,2,0)),"")</f>
        <v/>
      </c>
      <c r="F1545" t="str">
        <f>IFERROR(IF(D1545="","",VLOOKUP(D1545,CadProd!$A:$C,3,0)),"")</f>
        <v/>
      </c>
      <c r="I1545" s="1" t="str">
        <f t="shared" si="24"/>
        <v/>
      </c>
    </row>
    <row r="1546" spans="5:9" x14ac:dyDescent="0.3">
      <c r="E1546" t="str">
        <f>IFERROR(IF(D1546="","",VLOOKUP(D1546,CadProd!$A:$B,2,0)),"")</f>
        <v/>
      </c>
      <c r="F1546" t="str">
        <f>IFERROR(IF(D1546="","",VLOOKUP(D1546,CadProd!$A:$C,3,0)),"")</f>
        <v/>
      </c>
      <c r="I1546" s="1" t="str">
        <f t="shared" si="24"/>
        <v/>
      </c>
    </row>
    <row r="1547" spans="5:9" x14ac:dyDescent="0.3">
      <c r="E1547" t="str">
        <f>IFERROR(IF(D1547="","",VLOOKUP(D1547,CadProd!$A:$B,2,0)),"")</f>
        <v/>
      </c>
      <c r="F1547" t="str">
        <f>IFERROR(IF(D1547="","",VLOOKUP(D1547,CadProd!$A:$C,3,0)),"")</f>
        <v/>
      </c>
      <c r="I1547" s="1" t="str">
        <f t="shared" si="24"/>
        <v/>
      </c>
    </row>
    <row r="1548" spans="5:9" x14ac:dyDescent="0.3">
      <c r="E1548" t="str">
        <f>IFERROR(IF(D1548="","",VLOOKUP(D1548,CadProd!$A:$B,2,0)),"")</f>
        <v/>
      </c>
      <c r="F1548" t="str">
        <f>IFERROR(IF(D1548="","",VLOOKUP(D1548,CadProd!$A:$C,3,0)),"")</f>
        <v/>
      </c>
      <c r="I1548" s="1" t="str">
        <f t="shared" si="24"/>
        <v/>
      </c>
    </row>
    <row r="1549" spans="5:9" x14ac:dyDescent="0.3">
      <c r="E1549" t="str">
        <f>IFERROR(IF(D1549="","",VLOOKUP(D1549,CadProd!$A:$B,2,0)),"")</f>
        <v/>
      </c>
      <c r="F1549" t="str">
        <f>IFERROR(IF(D1549="","",VLOOKUP(D1549,CadProd!$A:$C,3,0)),"")</f>
        <v/>
      </c>
      <c r="I1549" s="1" t="str">
        <f t="shared" si="24"/>
        <v/>
      </c>
    </row>
    <row r="1550" spans="5:9" x14ac:dyDescent="0.3">
      <c r="E1550" t="str">
        <f>IFERROR(IF(D1550="","",VLOOKUP(D1550,CadProd!$A:$B,2,0)),"")</f>
        <v/>
      </c>
      <c r="F1550" t="str">
        <f>IFERROR(IF(D1550="","",VLOOKUP(D1550,CadProd!$A:$C,3,0)),"")</f>
        <v/>
      </c>
      <c r="I1550" s="1" t="str">
        <f t="shared" si="24"/>
        <v/>
      </c>
    </row>
    <row r="1551" spans="5:9" x14ac:dyDescent="0.3">
      <c r="E1551" t="str">
        <f>IFERROR(IF(D1551="","",VLOOKUP(D1551,CadProd!$A:$B,2,0)),"")</f>
        <v/>
      </c>
      <c r="F1551" t="str">
        <f>IFERROR(IF(D1551="","",VLOOKUP(D1551,CadProd!$A:$C,3,0)),"")</f>
        <v/>
      </c>
      <c r="I1551" s="1" t="str">
        <f t="shared" si="24"/>
        <v/>
      </c>
    </row>
    <row r="1552" spans="5:9" x14ac:dyDescent="0.3">
      <c r="E1552" t="str">
        <f>IFERROR(IF(D1552="","",VLOOKUP(D1552,CadProd!$A:$B,2,0)),"")</f>
        <v/>
      </c>
      <c r="F1552" t="str">
        <f>IFERROR(IF(D1552="","",VLOOKUP(D1552,CadProd!$A:$C,3,0)),"")</f>
        <v/>
      </c>
      <c r="I1552" s="1" t="str">
        <f t="shared" si="24"/>
        <v/>
      </c>
    </row>
    <row r="1553" spans="5:9" x14ac:dyDescent="0.3">
      <c r="E1553" t="str">
        <f>IFERROR(IF(D1553="","",VLOOKUP(D1553,CadProd!$A:$B,2,0)),"")</f>
        <v/>
      </c>
      <c r="F1553" t="str">
        <f>IFERROR(IF(D1553="","",VLOOKUP(D1553,CadProd!$A:$C,3,0)),"")</f>
        <v/>
      </c>
      <c r="I1553" s="1" t="str">
        <f t="shared" si="24"/>
        <v/>
      </c>
    </row>
    <row r="1554" spans="5:9" x14ac:dyDescent="0.3">
      <c r="E1554" t="str">
        <f>IFERROR(IF(D1554="","",VLOOKUP(D1554,CadProd!$A:$B,2,0)),"")</f>
        <v/>
      </c>
      <c r="F1554" t="str">
        <f>IFERROR(IF(D1554="","",VLOOKUP(D1554,CadProd!$A:$C,3,0)),"")</f>
        <v/>
      </c>
      <c r="I1554" s="1" t="str">
        <f t="shared" si="24"/>
        <v/>
      </c>
    </row>
    <row r="1555" spans="5:9" x14ac:dyDescent="0.3">
      <c r="E1555" t="str">
        <f>IFERROR(IF(D1555="","",VLOOKUP(D1555,CadProd!$A:$B,2,0)),"")</f>
        <v/>
      </c>
      <c r="F1555" t="str">
        <f>IFERROR(IF(D1555="","",VLOOKUP(D1555,CadProd!$A:$C,3,0)),"")</f>
        <v/>
      </c>
      <c r="I1555" s="1" t="str">
        <f t="shared" si="24"/>
        <v/>
      </c>
    </row>
    <row r="1556" spans="5:9" x14ac:dyDescent="0.3">
      <c r="E1556" t="str">
        <f>IFERROR(IF(D1556="","",VLOOKUP(D1556,CadProd!$A:$B,2,0)),"")</f>
        <v/>
      </c>
      <c r="F1556" t="str">
        <f>IFERROR(IF(D1556="","",VLOOKUP(D1556,CadProd!$A:$C,3,0)),"")</f>
        <v/>
      </c>
      <c r="I1556" s="1" t="str">
        <f t="shared" si="24"/>
        <v/>
      </c>
    </row>
    <row r="1557" spans="5:9" x14ac:dyDescent="0.3">
      <c r="E1557" t="str">
        <f>IFERROR(IF(D1557="","",VLOOKUP(D1557,CadProd!$A:$B,2,0)),"")</f>
        <v/>
      </c>
      <c r="F1557" t="str">
        <f>IFERROR(IF(D1557="","",VLOOKUP(D1557,CadProd!$A:$C,3,0)),"")</f>
        <v/>
      </c>
      <c r="I1557" s="1" t="str">
        <f t="shared" si="24"/>
        <v/>
      </c>
    </row>
    <row r="1558" spans="5:9" x14ac:dyDescent="0.3">
      <c r="E1558" t="str">
        <f>IFERROR(IF(D1558="","",VLOOKUP(D1558,CadProd!$A:$B,2,0)),"")</f>
        <v/>
      </c>
      <c r="F1558" t="str">
        <f>IFERROR(IF(D1558="","",VLOOKUP(D1558,CadProd!$A:$C,3,0)),"")</f>
        <v/>
      </c>
      <c r="I1558" s="1" t="str">
        <f t="shared" si="24"/>
        <v/>
      </c>
    </row>
    <row r="1559" spans="5:9" x14ac:dyDescent="0.3">
      <c r="E1559" t="str">
        <f>IFERROR(IF(D1559="","",VLOOKUP(D1559,CadProd!$A:$B,2,0)),"")</f>
        <v/>
      </c>
      <c r="F1559" t="str">
        <f>IFERROR(IF(D1559="","",VLOOKUP(D1559,CadProd!$A:$C,3,0)),"")</f>
        <v/>
      </c>
      <c r="I1559" s="1" t="str">
        <f t="shared" si="24"/>
        <v/>
      </c>
    </row>
    <row r="1560" spans="5:9" x14ac:dyDescent="0.3">
      <c r="E1560" t="str">
        <f>IFERROR(IF(D1560="","",VLOOKUP(D1560,CadProd!$A:$B,2,0)),"")</f>
        <v/>
      </c>
      <c r="F1560" t="str">
        <f>IFERROR(IF(D1560="","",VLOOKUP(D1560,CadProd!$A:$C,3,0)),"")</f>
        <v/>
      </c>
      <c r="I1560" s="1" t="str">
        <f t="shared" si="24"/>
        <v/>
      </c>
    </row>
    <row r="1561" spans="5:9" x14ac:dyDescent="0.3">
      <c r="E1561" t="str">
        <f>IFERROR(IF(D1561="","",VLOOKUP(D1561,CadProd!$A:$B,2,0)),"")</f>
        <v/>
      </c>
      <c r="F1561" t="str">
        <f>IFERROR(IF(D1561="","",VLOOKUP(D1561,CadProd!$A:$C,3,0)),"")</f>
        <v/>
      </c>
      <c r="I1561" s="1" t="str">
        <f t="shared" si="24"/>
        <v/>
      </c>
    </row>
    <row r="1562" spans="5:9" x14ac:dyDescent="0.3">
      <c r="E1562" t="str">
        <f>IFERROR(IF(D1562="","",VLOOKUP(D1562,CadProd!$A:$B,2,0)),"")</f>
        <v/>
      </c>
      <c r="F1562" t="str">
        <f>IFERROR(IF(D1562="","",VLOOKUP(D1562,CadProd!$A:$C,3,0)),"")</f>
        <v/>
      </c>
      <c r="I1562" s="1" t="str">
        <f t="shared" si="24"/>
        <v/>
      </c>
    </row>
    <row r="1563" spans="5:9" x14ac:dyDescent="0.3">
      <c r="E1563" t="str">
        <f>IFERROR(IF(D1563="","",VLOOKUP(D1563,CadProd!$A:$B,2,0)),"")</f>
        <v/>
      </c>
      <c r="F1563" t="str">
        <f>IFERROR(IF(D1563="","",VLOOKUP(D1563,CadProd!$A:$C,3,0)),"")</f>
        <v/>
      </c>
      <c r="I1563" s="1" t="str">
        <f t="shared" si="24"/>
        <v/>
      </c>
    </row>
    <row r="1564" spans="5:9" x14ac:dyDescent="0.3">
      <c r="E1564" t="str">
        <f>IFERROR(IF(D1564="","",VLOOKUP(D1564,CadProd!$A:$B,2,0)),"")</f>
        <v/>
      </c>
      <c r="F1564" t="str">
        <f>IFERROR(IF(D1564="","",VLOOKUP(D1564,CadProd!$A:$C,3,0)),"")</f>
        <v/>
      </c>
      <c r="I1564" s="1" t="str">
        <f t="shared" si="24"/>
        <v/>
      </c>
    </row>
    <row r="1565" spans="5:9" x14ac:dyDescent="0.3">
      <c r="E1565" t="str">
        <f>IFERROR(IF(D1565="","",VLOOKUP(D1565,CadProd!$A:$B,2,0)),"")</f>
        <v/>
      </c>
      <c r="F1565" t="str">
        <f>IFERROR(IF(D1565="","",VLOOKUP(D1565,CadProd!$A:$C,3,0)),"")</f>
        <v/>
      </c>
      <c r="I1565" s="1" t="str">
        <f t="shared" si="24"/>
        <v/>
      </c>
    </row>
    <row r="1566" spans="5:9" x14ac:dyDescent="0.3">
      <c r="E1566" t="str">
        <f>IFERROR(IF(D1566="","",VLOOKUP(D1566,CadProd!$A:$B,2,0)),"")</f>
        <v/>
      </c>
      <c r="F1566" t="str">
        <f>IFERROR(IF(D1566="","",VLOOKUP(D1566,CadProd!$A:$C,3,0)),"")</f>
        <v/>
      </c>
      <c r="I1566" s="1" t="str">
        <f t="shared" si="24"/>
        <v/>
      </c>
    </row>
    <row r="1567" spans="5:9" x14ac:dyDescent="0.3">
      <c r="E1567" t="str">
        <f>IFERROR(IF(D1567="","",VLOOKUP(D1567,CadProd!$A:$B,2,0)),"")</f>
        <v/>
      </c>
      <c r="F1567" t="str">
        <f>IFERROR(IF(D1567="","",VLOOKUP(D1567,CadProd!$A:$C,3,0)),"")</f>
        <v/>
      </c>
      <c r="I1567" s="1" t="str">
        <f t="shared" si="24"/>
        <v/>
      </c>
    </row>
    <row r="1568" spans="5:9" x14ac:dyDescent="0.3">
      <c r="E1568" t="str">
        <f>IFERROR(IF(D1568="","",VLOOKUP(D1568,CadProd!$A:$B,2,0)),"")</f>
        <v/>
      </c>
      <c r="F1568" t="str">
        <f>IFERROR(IF(D1568="","",VLOOKUP(D1568,CadProd!$A:$C,3,0)),"")</f>
        <v/>
      </c>
      <c r="I1568" s="1" t="str">
        <f t="shared" si="24"/>
        <v/>
      </c>
    </row>
    <row r="1569" spans="5:9" x14ac:dyDescent="0.3">
      <c r="E1569" t="str">
        <f>IFERROR(IF(D1569="","",VLOOKUP(D1569,CadProd!$A:$B,2,0)),"")</f>
        <v/>
      </c>
      <c r="F1569" t="str">
        <f>IFERROR(IF(D1569="","",VLOOKUP(D1569,CadProd!$A:$C,3,0)),"")</f>
        <v/>
      </c>
      <c r="I1569" s="1" t="str">
        <f t="shared" si="24"/>
        <v/>
      </c>
    </row>
    <row r="1570" spans="5:9" x14ac:dyDescent="0.3">
      <c r="E1570" t="str">
        <f>IFERROR(IF(D1570="","",VLOOKUP(D1570,CadProd!$A:$B,2,0)),"")</f>
        <v/>
      </c>
      <c r="F1570" t="str">
        <f>IFERROR(IF(D1570="","",VLOOKUP(D1570,CadProd!$A:$C,3,0)),"")</f>
        <v/>
      </c>
      <c r="I1570" s="1" t="str">
        <f t="shared" si="24"/>
        <v/>
      </c>
    </row>
    <row r="1571" spans="5:9" x14ac:dyDescent="0.3">
      <c r="E1571" t="str">
        <f>IFERROR(IF(D1571="","",VLOOKUP(D1571,CadProd!$A:$B,2,0)),"")</f>
        <v/>
      </c>
      <c r="F1571" t="str">
        <f>IFERROR(IF(D1571="","",VLOOKUP(D1571,CadProd!$A:$C,3,0)),"")</f>
        <v/>
      </c>
      <c r="I1571" s="1" t="str">
        <f t="shared" si="24"/>
        <v/>
      </c>
    </row>
    <row r="1572" spans="5:9" x14ac:dyDescent="0.3">
      <c r="E1572" t="str">
        <f>IFERROR(IF(D1572="","",VLOOKUP(D1572,CadProd!$A:$B,2,0)),"")</f>
        <v/>
      </c>
      <c r="F1572" t="str">
        <f>IFERROR(IF(D1572="","",VLOOKUP(D1572,CadProd!$A:$C,3,0)),"")</f>
        <v/>
      </c>
      <c r="I1572" s="1" t="str">
        <f t="shared" si="24"/>
        <v/>
      </c>
    </row>
    <row r="1573" spans="5:9" x14ac:dyDescent="0.3">
      <c r="E1573" t="str">
        <f>IFERROR(IF(D1573="","",VLOOKUP(D1573,CadProd!$A:$B,2,0)),"")</f>
        <v/>
      </c>
      <c r="F1573" t="str">
        <f>IFERROR(IF(D1573="","",VLOOKUP(D1573,CadProd!$A:$C,3,0)),"")</f>
        <v/>
      </c>
      <c r="I1573" s="1" t="str">
        <f t="shared" si="24"/>
        <v/>
      </c>
    </row>
    <row r="1574" spans="5:9" x14ac:dyDescent="0.3">
      <c r="E1574" t="str">
        <f>IFERROR(IF(D1574="","",VLOOKUP(D1574,CadProd!$A:$B,2,0)),"")</f>
        <v/>
      </c>
      <c r="F1574" t="str">
        <f>IFERROR(IF(D1574="","",VLOOKUP(D1574,CadProd!$A:$C,3,0)),"")</f>
        <v/>
      </c>
      <c r="I1574" s="1" t="str">
        <f t="shared" si="24"/>
        <v/>
      </c>
    </row>
    <row r="1575" spans="5:9" x14ac:dyDescent="0.3">
      <c r="E1575" t="str">
        <f>IFERROR(IF(D1575="","",VLOOKUP(D1575,CadProd!$A:$B,2,0)),"")</f>
        <v/>
      </c>
      <c r="F1575" t="str">
        <f>IFERROR(IF(D1575="","",VLOOKUP(D1575,CadProd!$A:$C,3,0)),"")</f>
        <v/>
      </c>
      <c r="I1575" s="1" t="str">
        <f t="shared" si="24"/>
        <v/>
      </c>
    </row>
    <row r="1576" spans="5:9" x14ac:dyDescent="0.3">
      <c r="E1576" t="str">
        <f>IFERROR(IF(D1576="","",VLOOKUP(D1576,CadProd!$A:$B,2,0)),"")</f>
        <v/>
      </c>
      <c r="F1576" t="str">
        <f>IFERROR(IF(D1576="","",VLOOKUP(D1576,CadProd!$A:$C,3,0)),"")</f>
        <v/>
      </c>
      <c r="I1576" s="1" t="str">
        <f t="shared" si="24"/>
        <v/>
      </c>
    </row>
    <row r="1577" spans="5:9" x14ac:dyDescent="0.3">
      <c r="E1577" t="str">
        <f>IFERROR(IF(D1577="","",VLOOKUP(D1577,CadProd!$A:$B,2,0)),"")</f>
        <v/>
      </c>
      <c r="F1577" t="str">
        <f>IFERROR(IF(D1577="","",VLOOKUP(D1577,CadProd!$A:$C,3,0)),"")</f>
        <v/>
      </c>
      <c r="I1577" s="1" t="str">
        <f t="shared" si="24"/>
        <v/>
      </c>
    </row>
    <row r="1578" spans="5:9" x14ac:dyDescent="0.3">
      <c r="E1578" t="str">
        <f>IFERROR(IF(D1578="","",VLOOKUP(D1578,CadProd!$A:$B,2,0)),"")</f>
        <v/>
      </c>
      <c r="F1578" t="str">
        <f>IFERROR(IF(D1578="","",VLOOKUP(D1578,CadProd!$A:$C,3,0)),"")</f>
        <v/>
      </c>
      <c r="I1578" s="1" t="str">
        <f t="shared" si="24"/>
        <v/>
      </c>
    </row>
    <row r="1579" spans="5:9" x14ac:dyDescent="0.3">
      <c r="E1579" t="str">
        <f>IFERROR(IF(D1579="","",VLOOKUP(D1579,CadProd!$A:$B,2,0)),"")</f>
        <v/>
      </c>
      <c r="F1579" t="str">
        <f>IFERROR(IF(D1579="","",VLOOKUP(D1579,CadProd!$A:$C,3,0)),"")</f>
        <v/>
      </c>
      <c r="I1579" s="1" t="str">
        <f t="shared" si="24"/>
        <v/>
      </c>
    </row>
    <row r="1580" spans="5:9" x14ac:dyDescent="0.3">
      <c r="E1580" t="str">
        <f>IFERROR(IF(D1580="","",VLOOKUP(D1580,CadProd!$A:$B,2,0)),"")</f>
        <v/>
      </c>
      <c r="F1580" t="str">
        <f>IFERROR(IF(D1580="","",VLOOKUP(D1580,CadProd!$A:$C,3,0)),"")</f>
        <v/>
      </c>
      <c r="I1580" s="1" t="str">
        <f t="shared" si="24"/>
        <v/>
      </c>
    </row>
    <row r="1581" spans="5:9" x14ac:dyDescent="0.3">
      <c r="E1581" t="str">
        <f>IFERROR(IF(D1581="","",VLOOKUP(D1581,CadProd!$A:$B,2,0)),"")</f>
        <v/>
      </c>
      <c r="F1581" t="str">
        <f>IFERROR(IF(D1581="","",VLOOKUP(D1581,CadProd!$A:$C,3,0)),"")</f>
        <v/>
      </c>
      <c r="I1581" s="1" t="str">
        <f t="shared" si="24"/>
        <v/>
      </c>
    </row>
    <row r="1582" spans="5:9" x14ac:dyDescent="0.3">
      <c r="E1582" t="str">
        <f>IFERROR(IF(D1582="","",VLOOKUP(D1582,CadProd!$A:$B,2,0)),"")</f>
        <v/>
      </c>
      <c r="F1582" t="str">
        <f>IFERROR(IF(D1582="","",VLOOKUP(D1582,CadProd!$A:$C,3,0)),"")</f>
        <v/>
      </c>
      <c r="I1582" s="1" t="str">
        <f t="shared" si="24"/>
        <v/>
      </c>
    </row>
    <row r="1583" spans="5:9" x14ac:dyDescent="0.3">
      <c r="E1583" t="str">
        <f>IFERROR(IF(D1583="","",VLOOKUP(D1583,CadProd!$A:$B,2,0)),"")</f>
        <v/>
      </c>
      <c r="F1583" t="str">
        <f>IFERROR(IF(D1583="","",VLOOKUP(D1583,CadProd!$A:$C,3,0)),"")</f>
        <v/>
      </c>
      <c r="I1583" s="1" t="str">
        <f t="shared" si="24"/>
        <v/>
      </c>
    </row>
    <row r="1584" spans="5:9" x14ac:dyDescent="0.3">
      <c r="E1584" t="str">
        <f>IFERROR(IF(D1584="","",VLOOKUP(D1584,CadProd!$A:$B,2,0)),"")</f>
        <v/>
      </c>
      <c r="F1584" t="str">
        <f>IFERROR(IF(D1584="","",VLOOKUP(D1584,CadProd!$A:$C,3,0)),"")</f>
        <v/>
      </c>
      <c r="I1584" s="1" t="str">
        <f t="shared" si="24"/>
        <v/>
      </c>
    </row>
    <row r="1585" spans="5:9" x14ac:dyDescent="0.3">
      <c r="E1585" t="str">
        <f>IFERROR(IF(D1585="","",VLOOKUP(D1585,CadProd!$A:$B,2,0)),"")</f>
        <v/>
      </c>
      <c r="F1585" t="str">
        <f>IFERROR(IF(D1585="","",VLOOKUP(D1585,CadProd!$A:$C,3,0)),"")</f>
        <v/>
      </c>
      <c r="I1585" s="1" t="str">
        <f t="shared" si="24"/>
        <v/>
      </c>
    </row>
    <row r="1586" spans="5:9" x14ac:dyDescent="0.3">
      <c r="E1586" t="str">
        <f>IFERROR(IF(D1586="","",VLOOKUP(D1586,CadProd!$A:$B,2,0)),"")</f>
        <v/>
      </c>
      <c r="F1586" t="str">
        <f>IFERROR(IF(D1586="","",VLOOKUP(D1586,CadProd!$A:$C,3,0)),"")</f>
        <v/>
      </c>
      <c r="I1586" s="1" t="str">
        <f t="shared" si="24"/>
        <v/>
      </c>
    </row>
    <row r="1587" spans="5:9" x14ac:dyDescent="0.3">
      <c r="E1587" t="str">
        <f>IFERROR(IF(D1587="","",VLOOKUP(D1587,CadProd!$A:$B,2,0)),"")</f>
        <v/>
      </c>
      <c r="F1587" t="str">
        <f>IFERROR(IF(D1587="","",VLOOKUP(D1587,CadProd!$A:$C,3,0)),"")</f>
        <v/>
      </c>
      <c r="I1587" s="1" t="str">
        <f t="shared" si="24"/>
        <v/>
      </c>
    </row>
    <row r="1588" spans="5:9" x14ac:dyDescent="0.3">
      <c r="E1588" t="str">
        <f>IFERROR(IF(D1588="","",VLOOKUP(D1588,CadProd!$A:$B,2,0)),"")</f>
        <v/>
      </c>
      <c r="F1588" t="str">
        <f>IFERROR(IF(D1588="","",VLOOKUP(D1588,CadProd!$A:$C,3,0)),"")</f>
        <v/>
      </c>
      <c r="I1588" s="1" t="str">
        <f t="shared" si="24"/>
        <v/>
      </c>
    </row>
    <row r="1589" spans="5:9" x14ac:dyDescent="0.3">
      <c r="E1589" t="str">
        <f>IFERROR(IF(D1589="","",VLOOKUP(D1589,CadProd!$A:$B,2,0)),"")</f>
        <v/>
      </c>
      <c r="F1589" t="str">
        <f>IFERROR(IF(D1589="","",VLOOKUP(D1589,CadProd!$A:$C,3,0)),"")</f>
        <v/>
      </c>
      <c r="I1589" s="1" t="str">
        <f t="shared" si="24"/>
        <v/>
      </c>
    </row>
    <row r="1590" spans="5:9" x14ac:dyDescent="0.3">
      <c r="E1590" t="str">
        <f>IFERROR(IF(D1590="","",VLOOKUP(D1590,CadProd!$A:$B,2,0)),"")</f>
        <v/>
      </c>
      <c r="F1590" t="str">
        <f>IFERROR(IF(D1590="","",VLOOKUP(D1590,CadProd!$A:$C,3,0)),"")</f>
        <v/>
      </c>
      <c r="I1590" s="1" t="str">
        <f t="shared" si="24"/>
        <v/>
      </c>
    </row>
    <row r="1591" spans="5:9" x14ac:dyDescent="0.3">
      <c r="E1591" t="str">
        <f>IFERROR(IF(D1591="","",VLOOKUP(D1591,CadProd!$A:$B,2,0)),"")</f>
        <v/>
      </c>
      <c r="F1591" t="str">
        <f>IFERROR(IF(D1591="","",VLOOKUP(D1591,CadProd!$A:$C,3,0)),"")</f>
        <v/>
      </c>
      <c r="I1591" s="1" t="str">
        <f t="shared" si="24"/>
        <v/>
      </c>
    </row>
    <row r="1592" spans="5:9" x14ac:dyDescent="0.3">
      <c r="E1592" t="str">
        <f>IFERROR(IF(D1592="","",VLOOKUP(D1592,CadProd!$A:$B,2,0)),"")</f>
        <v/>
      </c>
      <c r="F1592" t="str">
        <f>IFERROR(IF(D1592="","",VLOOKUP(D1592,CadProd!$A:$C,3,0)),"")</f>
        <v/>
      </c>
      <c r="I1592" s="1" t="str">
        <f t="shared" si="24"/>
        <v/>
      </c>
    </row>
    <row r="1593" spans="5:9" x14ac:dyDescent="0.3">
      <c r="E1593" t="str">
        <f>IFERROR(IF(D1593="","",VLOOKUP(D1593,CadProd!$A:$B,2,0)),"")</f>
        <v/>
      </c>
      <c r="F1593" t="str">
        <f>IFERROR(IF(D1593="","",VLOOKUP(D1593,CadProd!$A:$C,3,0)),"")</f>
        <v/>
      </c>
      <c r="I1593" s="1" t="str">
        <f t="shared" si="24"/>
        <v/>
      </c>
    </row>
    <row r="1594" spans="5:9" x14ac:dyDescent="0.3">
      <c r="E1594" t="str">
        <f>IFERROR(IF(D1594="","",VLOOKUP(D1594,CadProd!$A:$B,2,0)),"")</f>
        <v/>
      </c>
      <c r="F1594" t="str">
        <f>IFERROR(IF(D1594="","",VLOOKUP(D1594,CadProd!$A:$C,3,0)),"")</f>
        <v/>
      </c>
      <c r="I1594" s="1" t="str">
        <f t="shared" si="24"/>
        <v/>
      </c>
    </row>
    <row r="1595" spans="5:9" x14ac:dyDescent="0.3">
      <c r="E1595" t="str">
        <f>IFERROR(IF(D1595="","",VLOOKUP(D1595,CadProd!$A:$B,2,0)),"")</f>
        <v/>
      </c>
      <c r="F1595" t="str">
        <f>IFERROR(IF(D1595="","",VLOOKUP(D1595,CadProd!$A:$C,3,0)),"")</f>
        <v/>
      </c>
      <c r="I1595" s="1" t="str">
        <f t="shared" si="24"/>
        <v/>
      </c>
    </row>
    <row r="1596" spans="5:9" x14ac:dyDescent="0.3">
      <c r="E1596" t="str">
        <f>IFERROR(IF(D1596="","",VLOOKUP(D1596,CadProd!$A:$B,2,0)),"")</f>
        <v/>
      </c>
      <c r="F1596" t="str">
        <f>IFERROR(IF(D1596="","",VLOOKUP(D1596,CadProd!$A:$C,3,0)),"")</f>
        <v/>
      </c>
      <c r="I1596" s="1" t="str">
        <f t="shared" si="24"/>
        <v/>
      </c>
    </row>
    <row r="1597" spans="5:9" x14ac:dyDescent="0.3">
      <c r="E1597" t="str">
        <f>IFERROR(IF(D1597="","",VLOOKUP(D1597,CadProd!$A:$B,2,0)),"")</f>
        <v/>
      </c>
      <c r="F1597" t="str">
        <f>IFERROR(IF(D1597="","",VLOOKUP(D1597,CadProd!$A:$C,3,0)),"")</f>
        <v/>
      </c>
      <c r="I1597" s="1" t="str">
        <f t="shared" si="24"/>
        <v/>
      </c>
    </row>
    <row r="1598" spans="5:9" x14ac:dyDescent="0.3">
      <c r="E1598" t="str">
        <f>IFERROR(IF(D1598="","",VLOOKUP(D1598,CadProd!$A:$B,2,0)),"")</f>
        <v/>
      </c>
      <c r="F1598" t="str">
        <f>IFERROR(IF(D1598="","",VLOOKUP(D1598,CadProd!$A:$C,3,0)),"")</f>
        <v/>
      </c>
      <c r="I1598" s="1" t="str">
        <f t="shared" si="24"/>
        <v/>
      </c>
    </row>
    <row r="1599" spans="5:9" x14ac:dyDescent="0.3">
      <c r="E1599" t="str">
        <f>IFERROR(IF(D1599="","",VLOOKUP(D1599,CadProd!$A:$B,2,0)),"")</f>
        <v/>
      </c>
      <c r="F1599" t="str">
        <f>IFERROR(IF(D1599="","",VLOOKUP(D1599,CadProd!$A:$C,3,0)),"")</f>
        <v/>
      </c>
      <c r="I1599" s="1" t="str">
        <f t="shared" si="24"/>
        <v/>
      </c>
    </row>
    <row r="1600" spans="5:9" x14ac:dyDescent="0.3">
      <c r="E1600" t="str">
        <f>IFERROR(IF(D1600="","",VLOOKUP(D1600,CadProd!$A:$B,2,0)),"")</f>
        <v/>
      </c>
      <c r="F1600" t="str">
        <f>IFERROR(IF(D1600="","",VLOOKUP(D1600,CadProd!$A:$C,3,0)),"")</f>
        <v/>
      </c>
      <c r="I1600" s="1" t="str">
        <f t="shared" si="24"/>
        <v/>
      </c>
    </row>
    <row r="1601" spans="5:9" x14ac:dyDescent="0.3">
      <c r="E1601" t="str">
        <f>IFERROR(IF(D1601="","",VLOOKUP(D1601,CadProd!$A:$B,2,0)),"")</f>
        <v/>
      </c>
      <c r="F1601" t="str">
        <f>IFERROR(IF(D1601="","",VLOOKUP(D1601,CadProd!$A:$C,3,0)),"")</f>
        <v/>
      </c>
      <c r="I1601" s="1" t="str">
        <f t="shared" si="24"/>
        <v/>
      </c>
    </row>
    <row r="1602" spans="5:9" x14ac:dyDescent="0.3">
      <c r="E1602" t="str">
        <f>IFERROR(IF(D1602="","",VLOOKUP(D1602,CadProd!$A:$B,2,0)),"")</f>
        <v/>
      </c>
      <c r="F1602" t="str">
        <f>IFERROR(IF(D1602="","",VLOOKUP(D1602,CadProd!$A:$C,3,0)),"")</f>
        <v/>
      </c>
      <c r="I1602" s="1" t="str">
        <f t="shared" ref="I1602:I1665" si="25">IFERROR(IF(D1602="","",H1602*G1602),"")</f>
        <v/>
      </c>
    </row>
    <row r="1603" spans="5:9" x14ac:dyDescent="0.3">
      <c r="E1603" t="str">
        <f>IFERROR(IF(D1603="","",VLOOKUP(D1603,CadProd!$A:$B,2,0)),"")</f>
        <v/>
      </c>
      <c r="F1603" t="str">
        <f>IFERROR(IF(D1603="","",VLOOKUP(D1603,CadProd!$A:$C,3,0)),"")</f>
        <v/>
      </c>
      <c r="I1603" s="1" t="str">
        <f t="shared" si="25"/>
        <v/>
      </c>
    </row>
    <row r="1604" spans="5:9" x14ac:dyDescent="0.3">
      <c r="E1604" t="str">
        <f>IFERROR(IF(D1604="","",VLOOKUP(D1604,CadProd!$A:$B,2,0)),"")</f>
        <v/>
      </c>
      <c r="F1604" t="str">
        <f>IFERROR(IF(D1604="","",VLOOKUP(D1604,CadProd!$A:$C,3,0)),"")</f>
        <v/>
      </c>
      <c r="I1604" s="1" t="str">
        <f t="shared" si="25"/>
        <v/>
      </c>
    </row>
    <row r="1605" spans="5:9" x14ac:dyDescent="0.3">
      <c r="E1605" t="str">
        <f>IFERROR(IF(D1605="","",VLOOKUP(D1605,CadProd!$A:$B,2,0)),"")</f>
        <v/>
      </c>
      <c r="F1605" t="str">
        <f>IFERROR(IF(D1605="","",VLOOKUP(D1605,CadProd!$A:$C,3,0)),"")</f>
        <v/>
      </c>
      <c r="I1605" s="1" t="str">
        <f t="shared" si="25"/>
        <v/>
      </c>
    </row>
    <row r="1606" spans="5:9" x14ac:dyDescent="0.3">
      <c r="E1606" t="str">
        <f>IFERROR(IF(D1606="","",VLOOKUP(D1606,CadProd!$A:$B,2,0)),"")</f>
        <v/>
      </c>
      <c r="F1606" t="str">
        <f>IFERROR(IF(D1606="","",VLOOKUP(D1606,CadProd!$A:$C,3,0)),"")</f>
        <v/>
      </c>
      <c r="I1606" s="1" t="str">
        <f t="shared" si="25"/>
        <v/>
      </c>
    </row>
    <row r="1607" spans="5:9" x14ac:dyDescent="0.3">
      <c r="E1607" t="str">
        <f>IFERROR(IF(D1607="","",VLOOKUP(D1607,CadProd!$A:$B,2,0)),"")</f>
        <v/>
      </c>
      <c r="F1607" t="str">
        <f>IFERROR(IF(D1607="","",VLOOKUP(D1607,CadProd!$A:$C,3,0)),"")</f>
        <v/>
      </c>
      <c r="I1607" s="1" t="str">
        <f t="shared" si="25"/>
        <v/>
      </c>
    </row>
    <row r="1608" spans="5:9" x14ac:dyDescent="0.3">
      <c r="E1608" t="str">
        <f>IFERROR(IF(D1608="","",VLOOKUP(D1608,CadProd!$A:$B,2,0)),"")</f>
        <v/>
      </c>
      <c r="F1608" t="str">
        <f>IFERROR(IF(D1608="","",VLOOKUP(D1608,CadProd!$A:$C,3,0)),"")</f>
        <v/>
      </c>
      <c r="I1608" s="1" t="str">
        <f t="shared" si="25"/>
        <v/>
      </c>
    </row>
    <row r="1609" spans="5:9" x14ac:dyDescent="0.3">
      <c r="E1609" t="str">
        <f>IFERROR(IF(D1609="","",VLOOKUP(D1609,CadProd!$A:$B,2,0)),"")</f>
        <v/>
      </c>
      <c r="F1609" t="str">
        <f>IFERROR(IF(D1609="","",VLOOKUP(D1609,CadProd!$A:$C,3,0)),"")</f>
        <v/>
      </c>
      <c r="I1609" s="1" t="str">
        <f t="shared" si="25"/>
        <v/>
      </c>
    </row>
    <row r="1610" spans="5:9" x14ac:dyDescent="0.3">
      <c r="E1610" t="str">
        <f>IFERROR(IF(D1610="","",VLOOKUP(D1610,CadProd!$A:$B,2,0)),"")</f>
        <v/>
      </c>
      <c r="F1610" t="str">
        <f>IFERROR(IF(D1610="","",VLOOKUP(D1610,CadProd!$A:$C,3,0)),"")</f>
        <v/>
      </c>
      <c r="I1610" s="1" t="str">
        <f t="shared" si="25"/>
        <v/>
      </c>
    </row>
    <row r="1611" spans="5:9" x14ac:dyDescent="0.3">
      <c r="E1611" t="str">
        <f>IFERROR(IF(D1611="","",VLOOKUP(D1611,CadProd!$A:$B,2,0)),"")</f>
        <v/>
      </c>
      <c r="F1611" t="str">
        <f>IFERROR(IF(D1611="","",VLOOKUP(D1611,CadProd!$A:$C,3,0)),"")</f>
        <v/>
      </c>
      <c r="I1611" s="1" t="str">
        <f t="shared" si="25"/>
        <v/>
      </c>
    </row>
    <row r="1612" spans="5:9" x14ac:dyDescent="0.3">
      <c r="E1612" t="str">
        <f>IFERROR(IF(D1612="","",VLOOKUP(D1612,CadProd!$A:$B,2,0)),"")</f>
        <v/>
      </c>
      <c r="F1612" t="str">
        <f>IFERROR(IF(D1612="","",VLOOKUP(D1612,CadProd!$A:$C,3,0)),"")</f>
        <v/>
      </c>
      <c r="I1612" s="1" t="str">
        <f t="shared" si="25"/>
        <v/>
      </c>
    </row>
    <row r="1613" spans="5:9" x14ac:dyDescent="0.3">
      <c r="E1613" t="str">
        <f>IFERROR(IF(D1613="","",VLOOKUP(D1613,CadProd!$A:$B,2,0)),"")</f>
        <v/>
      </c>
      <c r="F1613" t="str">
        <f>IFERROR(IF(D1613="","",VLOOKUP(D1613,CadProd!$A:$C,3,0)),"")</f>
        <v/>
      </c>
      <c r="I1613" s="1" t="str">
        <f t="shared" si="25"/>
        <v/>
      </c>
    </row>
    <row r="1614" spans="5:9" x14ac:dyDescent="0.3">
      <c r="E1614" t="str">
        <f>IFERROR(IF(D1614="","",VLOOKUP(D1614,CadProd!$A:$B,2,0)),"")</f>
        <v/>
      </c>
      <c r="F1614" t="str">
        <f>IFERROR(IF(D1614="","",VLOOKUP(D1614,CadProd!$A:$C,3,0)),"")</f>
        <v/>
      </c>
      <c r="I1614" s="1" t="str">
        <f t="shared" si="25"/>
        <v/>
      </c>
    </row>
    <row r="1615" spans="5:9" x14ac:dyDescent="0.3">
      <c r="E1615" t="str">
        <f>IFERROR(IF(D1615="","",VLOOKUP(D1615,CadProd!$A:$B,2,0)),"")</f>
        <v/>
      </c>
      <c r="F1615" t="str">
        <f>IFERROR(IF(D1615="","",VLOOKUP(D1615,CadProd!$A:$C,3,0)),"")</f>
        <v/>
      </c>
      <c r="I1615" s="1" t="str">
        <f t="shared" si="25"/>
        <v/>
      </c>
    </row>
    <row r="1616" spans="5:9" x14ac:dyDescent="0.3">
      <c r="E1616" t="str">
        <f>IFERROR(IF(D1616="","",VLOOKUP(D1616,CadProd!$A:$B,2,0)),"")</f>
        <v/>
      </c>
      <c r="F1616" t="str">
        <f>IFERROR(IF(D1616="","",VLOOKUP(D1616,CadProd!$A:$C,3,0)),"")</f>
        <v/>
      </c>
      <c r="I1616" s="1" t="str">
        <f t="shared" si="25"/>
        <v/>
      </c>
    </row>
    <row r="1617" spans="5:9" x14ac:dyDescent="0.3">
      <c r="E1617" t="str">
        <f>IFERROR(IF(D1617="","",VLOOKUP(D1617,CadProd!$A:$B,2,0)),"")</f>
        <v/>
      </c>
      <c r="F1617" t="str">
        <f>IFERROR(IF(D1617="","",VLOOKUP(D1617,CadProd!$A:$C,3,0)),"")</f>
        <v/>
      </c>
      <c r="I1617" s="1" t="str">
        <f t="shared" si="25"/>
        <v/>
      </c>
    </row>
    <row r="1618" spans="5:9" x14ac:dyDescent="0.3">
      <c r="E1618" t="str">
        <f>IFERROR(IF(D1618="","",VLOOKUP(D1618,CadProd!$A:$B,2,0)),"")</f>
        <v/>
      </c>
      <c r="F1618" t="str">
        <f>IFERROR(IF(D1618="","",VLOOKUP(D1618,CadProd!$A:$C,3,0)),"")</f>
        <v/>
      </c>
      <c r="I1618" s="1" t="str">
        <f t="shared" si="25"/>
        <v/>
      </c>
    </row>
    <row r="1619" spans="5:9" x14ac:dyDescent="0.3">
      <c r="E1619" t="str">
        <f>IFERROR(IF(D1619="","",VLOOKUP(D1619,CadProd!$A:$B,2,0)),"")</f>
        <v/>
      </c>
      <c r="F1619" t="str">
        <f>IFERROR(IF(D1619="","",VLOOKUP(D1619,CadProd!$A:$C,3,0)),"")</f>
        <v/>
      </c>
      <c r="I1619" s="1" t="str">
        <f t="shared" si="25"/>
        <v/>
      </c>
    </row>
    <row r="1620" spans="5:9" x14ac:dyDescent="0.3">
      <c r="E1620" t="str">
        <f>IFERROR(IF(D1620="","",VLOOKUP(D1620,CadProd!$A:$B,2,0)),"")</f>
        <v/>
      </c>
      <c r="F1620" t="str">
        <f>IFERROR(IF(D1620="","",VLOOKUP(D1620,CadProd!$A:$C,3,0)),"")</f>
        <v/>
      </c>
      <c r="I1620" s="1" t="str">
        <f t="shared" si="25"/>
        <v/>
      </c>
    </row>
    <row r="1621" spans="5:9" x14ac:dyDescent="0.3">
      <c r="E1621" t="str">
        <f>IFERROR(IF(D1621="","",VLOOKUP(D1621,CadProd!$A:$B,2,0)),"")</f>
        <v/>
      </c>
      <c r="F1621" t="str">
        <f>IFERROR(IF(D1621="","",VLOOKUP(D1621,CadProd!$A:$C,3,0)),"")</f>
        <v/>
      </c>
      <c r="I1621" s="1" t="str">
        <f t="shared" si="25"/>
        <v/>
      </c>
    </row>
    <row r="1622" spans="5:9" x14ac:dyDescent="0.3">
      <c r="E1622" t="str">
        <f>IFERROR(IF(D1622="","",VLOOKUP(D1622,CadProd!$A:$B,2,0)),"")</f>
        <v/>
      </c>
      <c r="F1622" t="str">
        <f>IFERROR(IF(D1622="","",VLOOKUP(D1622,CadProd!$A:$C,3,0)),"")</f>
        <v/>
      </c>
      <c r="I1622" s="1" t="str">
        <f t="shared" si="25"/>
        <v/>
      </c>
    </row>
    <row r="1623" spans="5:9" x14ac:dyDescent="0.3">
      <c r="E1623" t="str">
        <f>IFERROR(IF(D1623="","",VLOOKUP(D1623,CadProd!$A:$B,2,0)),"")</f>
        <v/>
      </c>
      <c r="F1623" t="str">
        <f>IFERROR(IF(D1623="","",VLOOKUP(D1623,CadProd!$A:$C,3,0)),"")</f>
        <v/>
      </c>
      <c r="I1623" s="1" t="str">
        <f t="shared" si="25"/>
        <v/>
      </c>
    </row>
    <row r="1624" spans="5:9" x14ac:dyDescent="0.3">
      <c r="E1624" t="str">
        <f>IFERROR(IF(D1624="","",VLOOKUP(D1624,CadProd!$A:$B,2,0)),"")</f>
        <v/>
      </c>
      <c r="F1624" t="str">
        <f>IFERROR(IF(D1624="","",VLOOKUP(D1624,CadProd!$A:$C,3,0)),"")</f>
        <v/>
      </c>
      <c r="I1624" s="1" t="str">
        <f t="shared" si="25"/>
        <v/>
      </c>
    </row>
    <row r="1625" spans="5:9" x14ac:dyDescent="0.3">
      <c r="E1625" t="str">
        <f>IFERROR(IF(D1625="","",VLOOKUP(D1625,CadProd!$A:$B,2,0)),"")</f>
        <v/>
      </c>
      <c r="F1625" t="str">
        <f>IFERROR(IF(D1625="","",VLOOKUP(D1625,CadProd!$A:$C,3,0)),"")</f>
        <v/>
      </c>
      <c r="I1625" s="1" t="str">
        <f t="shared" si="25"/>
        <v/>
      </c>
    </row>
    <row r="1626" spans="5:9" x14ac:dyDescent="0.3">
      <c r="E1626" t="str">
        <f>IFERROR(IF(D1626="","",VLOOKUP(D1626,CadProd!$A:$B,2,0)),"")</f>
        <v/>
      </c>
      <c r="F1626" t="str">
        <f>IFERROR(IF(D1626="","",VLOOKUP(D1626,CadProd!$A:$C,3,0)),"")</f>
        <v/>
      </c>
      <c r="I1626" s="1" t="str">
        <f t="shared" si="25"/>
        <v/>
      </c>
    </row>
    <row r="1627" spans="5:9" x14ac:dyDescent="0.3">
      <c r="E1627" t="str">
        <f>IFERROR(IF(D1627="","",VLOOKUP(D1627,CadProd!$A:$B,2,0)),"")</f>
        <v/>
      </c>
      <c r="F1627" t="str">
        <f>IFERROR(IF(D1627="","",VLOOKUP(D1627,CadProd!$A:$C,3,0)),"")</f>
        <v/>
      </c>
      <c r="I1627" s="1" t="str">
        <f t="shared" si="25"/>
        <v/>
      </c>
    </row>
    <row r="1628" spans="5:9" x14ac:dyDescent="0.3">
      <c r="E1628" t="str">
        <f>IFERROR(IF(D1628="","",VLOOKUP(D1628,CadProd!$A:$B,2,0)),"")</f>
        <v/>
      </c>
      <c r="F1628" t="str">
        <f>IFERROR(IF(D1628="","",VLOOKUP(D1628,CadProd!$A:$C,3,0)),"")</f>
        <v/>
      </c>
      <c r="I1628" s="1" t="str">
        <f t="shared" si="25"/>
        <v/>
      </c>
    </row>
    <row r="1629" spans="5:9" x14ac:dyDescent="0.3">
      <c r="E1629" t="str">
        <f>IFERROR(IF(D1629="","",VLOOKUP(D1629,CadProd!$A:$B,2,0)),"")</f>
        <v/>
      </c>
      <c r="F1629" t="str">
        <f>IFERROR(IF(D1629="","",VLOOKUP(D1629,CadProd!$A:$C,3,0)),"")</f>
        <v/>
      </c>
      <c r="I1629" s="1" t="str">
        <f t="shared" si="25"/>
        <v/>
      </c>
    </row>
    <row r="1630" spans="5:9" x14ac:dyDescent="0.3">
      <c r="E1630" t="str">
        <f>IFERROR(IF(D1630="","",VLOOKUP(D1630,CadProd!$A:$B,2,0)),"")</f>
        <v/>
      </c>
      <c r="F1630" t="str">
        <f>IFERROR(IF(D1630="","",VLOOKUP(D1630,CadProd!$A:$C,3,0)),"")</f>
        <v/>
      </c>
      <c r="I1630" s="1" t="str">
        <f t="shared" si="25"/>
        <v/>
      </c>
    </row>
    <row r="1631" spans="5:9" x14ac:dyDescent="0.3">
      <c r="E1631" t="str">
        <f>IFERROR(IF(D1631="","",VLOOKUP(D1631,CadProd!$A:$B,2,0)),"")</f>
        <v/>
      </c>
      <c r="F1631" t="str">
        <f>IFERROR(IF(D1631="","",VLOOKUP(D1631,CadProd!$A:$C,3,0)),"")</f>
        <v/>
      </c>
      <c r="I1631" s="1" t="str">
        <f t="shared" si="25"/>
        <v/>
      </c>
    </row>
    <row r="1632" spans="5:9" x14ac:dyDescent="0.3">
      <c r="E1632" t="str">
        <f>IFERROR(IF(D1632="","",VLOOKUP(D1632,CadProd!$A:$B,2,0)),"")</f>
        <v/>
      </c>
      <c r="F1632" t="str">
        <f>IFERROR(IF(D1632="","",VLOOKUP(D1632,CadProd!$A:$C,3,0)),"")</f>
        <v/>
      </c>
      <c r="I1632" s="1" t="str">
        <f t="shared" si="25"/>
        <v/>
      </c>
    </row>
    <row r="1633" spans="5:9" x14ac:dyDescent="0.3">
      <c r="E1633" t="str">
        <f>IFERROR(IF(D1633="","",VLOOKUP(D1633,CadProd!$A:$B,2,0)),"")</f>
        <v/>
      </c>
      <c r="F1633" t="str">
        <f>IFERROR(IF(D1633="","",VLOOKUP(D1633,CadProd!$A:$C,3,0)),"")</f>
        <v/>
      </c>
      <c r="I1633" s="1" t="str">
        <f t="shared" si="25"/>
        <v/>
      </c>
    </row>
    <row r="1634" spans="5:9" x14ac:dyDescent="0.3">
      <c r="E1634" t="str">
        <f>IFERROR(IF(D1634="","",VLOOKUP(D1634,CadProd!$A:$B,2,0)),"")</f>
        <v/>
      </c>
      <c r="F1634" t="str">
        <f>IFERROR(IF(D1634="","",VLOOKUP(D1634,CadProd!$A:$C,3,0)),"")</f>
        <v/>
      </c>
      <c r="I1634" s="1" t="str">
        <f t="shared" si="25"/>
        <v/>
      </c>
    </row>
    <row r="1635" spans="5:9" x14ac:dyDescent="0.3">
      <c r="E1635" t="str">
        <f>IFERROR(IF(D1635="","",VLOOKUP(D1635,CadProd!$A:$B,2,0)),"")</f>
        <v/>
      </c>
      <c r="F1635" t="str">
        <f>IFERROR(IF(D1635="","",VLOOKUP(D1635,CadProd!$A:$C,3,0)),"")</f>
        <v/>
      </c>
      <c r="I1635" s="1" t="str">
        <f t="shared" si="25"/>
        <v/>
      </c>
    </row>
    <row r="1636" spans="5:9" x14ac:dyDescent="0.3">
      <c r="E1636" t="str">
        <f>IFERROR(IF(D1636="","",VLOOKUP(D1636,CadProd!$A:$B,2,0)),"")</f>
        <v/>
      </c>
      <c r="F1636" t="str">
        <f>IFERROR(IF(D1636="","",VLOOKUP(D1636,CadProd!$A:$C,3,0)),"")</f>
        <v/>
      </c>
      <c r="I1636" s="1" t="str">
        <f t="shared" si="25"/>
        <v/>
      </c>
    </row>
    <row r="1637" spans="5:9" x14ac:dyDescent="0.3">
      <c r="E1637" t="str">
        <f>IFERROR(IF(D1637="","",VLOOKUP(D1637,CadProd!$A:$B,2,0)),"")</f>
        <v/>
      </c>
      <c r="F1637" t="str">
        <f>IFERROR(IF(D1637="","",VLOOKUP(D1637,CadProd!$A:$C,3,0)),"")</f>
        <v/>
      </c>
      <c r="I1637" s="1" t="str">
        <f t="shared" si="25"/>
        <v/>
      </c>
    </row>
    <row r="1638" spans="5:9" x14ac:dyDescent="0.3">
      <c r="E1638" t="str">
        <f>IFERROR(IF(D1638="","",VLOOKUP(D1638,CadProd!$A:$B,2,0)),"")</f>
        <v/>
      </c>
      <c r="F1638" t="str">
        <f>IFERROR(IF(D1638="","",VLOOKUP(D1638,CadProd!$A:$C,3,0)),"")</f>
        <v/>
      </c>
      <c r="I1638" s="1" t="str">
        <f t="shared" si="25"/>
        <v/>
      </c>
    </row>
    <row r="1639" spans="5:9" x14ac:dyDescent="0.3">
      <c r="E1639" t="str">
        <f>IFERROR(IF(D1639="","",VLOOKUP(D1639,CadProd!$A:$B,2,0)),"")</f>
        <v/>
      </c>
      <c r="F1639" t="str">
        <f>IFERROR(IF(D1639="","",VLOOKUP(D1639,CadProd!$A:$C,3,0)),"")</f>
        <v/>
      </c>
      <c r="I1639" s="1" t="str">
        <f t="shared" si="25"/>
        <v/>
      </c>
    </row>
    <row r="1640" spans="5:9" x14ac:dyDescent="0.3">
      <c r="E1640" t="str">
        <f>IFERROR(IF(D1640="","",VLOOKUP(D1640,CadProd!$A:$B,2,0)),"")</f>
        <v/>
      </c>
      <c r="F1640" t="str">
        <f>IFERROR(IF(D1640="","",VLOOKUP(D1640,CadProd!$A:$C,3,0)),"")</f>
        <v/>
      </c>
      <c r="I1640" s="1" t="str">
        <f t="shared" si="25"/>
        <v/>
      </c>
    </row>
    <row r="1641" spans="5:9" x14ac:dyDescent="0.3">
      <c r="E1641" t="str">
        <f>IFERROR(IF(D1641="","",VLOOKUP(D1641,CadProd!$A:$B,2,0)),"")</f>
        <v/>
      </c>
      <c r="F1641" t="str">
        <f>IFERROR(IF(D1641="","",VLOOKUP(D1641,CadProd!$A:$C,3,0)),"")</f>
        <v/>
      </c>
      <c r="I1641" s="1" t="str">
        <f t="shared" si="25"/>
        <v/>
      </c>
    </row>
    <row r="1642" spans="5:9" x14ac:dyDescent="0.3">
      <c r="E1642" t="str">
        <f>IFERROR(IF(D1642="","",VLOOKUP(D1642,CadProd!$A:$B,2,0)),"")</f>
        <v/>
      </c>
      <c r="F1642" t="str">
        <f>IFERROR(IF(D1642="","",VLOOKUP(D1642,CadProd!$A:$C,3,0)),"")</f>
        <v/>
      </c>
      <c r="I1642" s="1" t="str">
        <f t="shared" si="25"/>
        <v/>
      </c>
    </row>
    <row r="1643" spans="5:9" x14ac:dyDescent="0.3">
      <c r="E1643" t="str">
        <f>IFERROR(IF(D1643="","",VLOOKUP(D1643,CadProd!$A:$B,2,0)),"")</f>
        <v/>
      </c>
      <c r="F1643" t="str">
        <f>IFERROR(IF(D1643="","",VLOOKUP(D1643,CadProd!$A:$C,3,0)),"")</f>
        <v/>
      </c>
      <c r="I1643" s="1" t="str">
        <f t="shared" si="25"/>
        <v/>
      </c>
    </row>
    <row r="1644" spans="5:9" x14ac:dyDescent="0.3">
      <c r="E1644" t="str">
        <f>IFERROR(IF(D1644="","",VLOOKUP(D1644,CadProd!$A:$B,2,0)),"")</f>
        <v/>
      </c>
      <c r="F1644" t="str">
        <f>IFERROR(IF(D1644="","",VLOOKUP(D1644,CadProd!$A:$C,3,0)),"")</f>
        <v/>
      </c>
      <c r="I1644" s="1" t="str">
        <f t="shared" si="25"/>
        <v/>
      </c>
    </row>
    <row r="1645" spans="5:9" x14ac:dyDescent="0.3">
      <c r="E1645" t="str">
        <f>IFERROR(IF(D1645="","",VLOOKUP(D1645,CadProd!$A:$B,2,0)),"")</f>
        <v/>
      </c>
      <c r="F1645" t="str">
        <f>IFERROR(IF(D1645="","",VLOOKUP(D1645,CadProd!$A:$C,3,0)),"")</f>
        <v/>
      </c>
      <c r="I1645" s="1" t="str">
        <f t="shared" si="25"/>
        <v/>
      </c>
    </row>
    <row r="1646" spans="5:9" x14ac:dyDescent="0.3">
      <c r="E1646" t="str">
        <f>IFERROR(IF(D1646="","",VLOOKUP(D1646,CadProd!$A:$B,2,0)),"")</f>
        <v/>
      </c>
      <c r="F1646" t="str">
        <f>IFERROR(IF(D1646="","",VLOOKUP(D1646,CadProd!$A:$C,3,0)),"")</f>
        <v/>
      </c>
      <c r="I1646" s="1" t="str">
        <f t="shared" si="25"/>
        <v/>
      </c>
    </row>
    <row r="1647" spans="5:9" x14ac:dyDescent="0.3">
      <c r="E1647" t="str">
        <f>IFERROR(IF(D1647="","",VLOOKUP(D1647,CadProd!$A:$B,2,0)),"")</f>
        <v/>
      </c>
      <c r="F1647" t="str">
        <f>IFERROR(IF(D1647="","",VLOOKUP(D1647,CadProd!$A:$C,3,0)),"")</f>
        <v/>
      </c>
      <c r="I1647" s="1" t="str">
        <f t="shared" si="25"/>
        <v/>
      </c>
    </row>
    <row r="1648" spans="5:9" x14ac:dyDescent="0.3">
      <c r="E1648" t="str">
        <f>IFERROR(IF(D1648="","",VLOOKUP(D1648,CadProd!$A:$B,2,0)),"")</f>
        <v/>
      </c>
      <c r="F1648" t="str">
        <f>IFERROR(IF(D1648="","",VLOOKUP(D1648,CadProd!$A:$C,3,0)),"")</f>
        <v/>
      </c>
      <c r="I1648" s="1" t="str">
        <f t="shared" si="25"/>
        <v/>
      </c>
    </row>
    <row r="1649" spans="5:9" x14ac:dyDescent="0.3">
      <c r="E1649" t="str">
        <f>IFERROR(IF(D1649="","",VLOOKUP(D1649,CadProd!$A:$B,2,0)),"")</f>
        <v/>
      </c>
      <c r="F1649" t="str">
        <f>IFERROR(IF(D1649="","",VLOOKUP(D1649,CadProd!$A:$C,3,0)),"")</f>
        <v/>
      </c>
      <c r="I1649" s="1" t="str">
        <f t="shared" si="25"/>
        <v/>
      </c>
    </row>
    <row r="1650" spans="5:9" x14ac:dyDescent="0.3">
      <c r="E1650" t="str">
        <f>IFERROR(IF(D1650="","",VLOOKUP(D1650,CadProd!$A:$B,2,0)),"")</f>
        <v/>
      </c>
      <c r="F1650" t="str">
        <f>IFERROR(IF(D1650="","",VLOOKUP(D1650,CadProd!$A:$C,3,0)),"")</f>
        <v/>
      </c>
      <c r="I1650" s="1" t="str">
        <f t="shared" si="25"/>
        <v/>
      </c>
    </row>
    <row r="1651" spans="5:9" x14ac:dyDescent="0.3">
      <c r="E1651" t="str">
        <f>IFERROR(IF(D1651="","",VLOOKUP(D1651,CadProd!$A:$B,2,0)),"")</f>
        <v/>
      </c>
      <c r="F1651" t="str">
        <f>IFERROR(IF(D1651="","",VLOOKUP(D1651,CadProd!$A:$C,3,0)),"")</f>
        <v/>
      </c>
      <c r="I1651" s="1" t="str">
        <f t="shared" si="25"/>
        <v/>
      </c>
    </row>
    <row r="1652" spans="5:9" x14ac:dyDescent="0.3">
      <c r="E1652" t="str">
        <f>IFERROR(IF(D1652="","",VLOOKUP(D1652,CadProd!$A:$B,2,0)),"")</f>
        <v/>
      </c>
      <c r="F1652" t="str">
        <f>IFERROR(IF(D1652="","",VLOOKUP(D1652,CadProd!$A:$C,3,0)),"")</f>
        <v/>
      </c>
      <c r="I1652" s="1" t="str">
        <f t="shared" si="25"/>
        <v/>
      </c>
    </row>
    <row r="1653" spans="5:9" x14ac:dyDescent="0.3">
      <c r="E1653" t="str">
        <f>IFERROR(IF(D1653="","",VLOOKUP(D1653,CadProd!$A:$B,2,0)),"")</f>
        <v/>
      </c>
      <c r="F1653" t="str">
        <f>IFERROR(IF(D1653="","",VLOOKUP(D1653,CadProd!$A:$C,3,0)),"")</f>
        <v/>
      </c>
      <c r="I1653" s="1" t="str">
        <f t="shared" si="25"/>
        <v/>
      </c>
    </row>
    <row r="1654" spans="5:9" x14ac:dyDescent="0.3">
      <c r="E1654" t="str">
        <f>IFERROR(IF(D1654="","",VLOOKUP(D1654,CadProd!$A:$B,2,0)),"")</f>
        <v/>
      </c>
      <c r="F1654" t="str">
        <f>IFERROR(IF(D1654="","",VLOOKUP(D1654,CadProd!$A:$C,3,0)),"")</f>
        <v/>
      </c>
      <c r="I1654" s="1" t="str">
        <f t="shared" si="25"/>
        <v/>
      </c>
    </row>
    <row r="1655" spans="5:9" x14ac:dyDescent="0.3">
      <c r="E1655" t="str">
        <f>IFERROR(IF(D1655="","",VLOOKUP(D1655,CadProd!$A:$B,2,0)),"")</f>
        <v/>
      </c>
      <c r="F1655" t="str">
        <f>IFERROR(IF(D1655="","",VLOOKUP(D1655,CadProd!$A:$C,3,0)),"")</f>
        <v/>
      </c>
      <c r="I1655" s="1" t="str">
        <f t="shared" si="25"/>
        <v/>
      </c>
    </row>
    <row r="1656" spans="5:9" x14ac:dyDescent="0.3">
      <c r="E1656" t="str">
        <f>IFERROR(IF(D1656="","",VLOOKUP(D1656,CadProd!$A:$B,2,0)),"")</f>
        <v/>
      </c>
      <c r="F1656" t="str">
        <f>IFERROR(IF(D1656="","",VLOOKUP(D1656,CadProd!$A:$C,3,0)),"")</f>
        <v/>
      </c>
      <c r="I1656" s="1" t="str">
        <f t="shared" si="25"/>
        <v/>
      </c>
    </row>
    <row r="1657" spans="5:9" x14ac:dyDescent="0.3">
      <c r="E1657" t="str">
        <f>IFERROR(IF(D1657="","",VLOOKUP(D1657,CadProd!$A:$B,2,0)),"")</f>
        <v/>
      </c>
      <c r="F1657" t="str">
        <f>IFERROR(IF(D1657="","",VLOOKUP(D1657,CadProd!$A:$C,3,0)),"")</f>
        <v/>
      </c>
      <c r="I1657" s="1" t="str">
        <f t="shared" si="25"/>
        <v/>
      </c>
    </row>
    <row r="1658" spans="5:9" x14ac:dyDescent="0.3">
      <c r="E1658" t="str">
        <f>IFERROR(IF(D1658="","",VLOOKUP(D1658,CadProd!$A:$B,2,0)),"")</f>
        <v/>
      </c>
      <c r="F1658" t="str">
        <f>IFERROR(IF(D1658="","",VLOOKUP(D1658,CadProd!$A:$C,3,0)),"")</f>
        <v/>
      </c>
      <c r="I1658" s="1" t="str">
        <f t="shared" si="25"/>
        <v/>
      </c>
    </row>
    <row r="1659" spans="5:9" x14ac:dyDescent="0.3">
      <c r="E1659" t="str">
        <f>IFERROR(IF(D1659="","",VLOOKUP(D1659,CadProd!$A:$B,2,0)),"")</f>
        <v/>
      </c>
      <c r="F1659" t="str">
        <f>IFERROR(IF(D1659="","",VLOOKUP(D1659,CadProd!$A:$C,3,0)),"")</f>
        <v/>
      </c>
      <c r="I1659" s="1" t="str">
        <f t="shared" si="25"/>
        <v/>
      </c>
    </row>
    <row r="1660" spans="5:9" x14ac:dyDescent="0.3">
      <c r="E1660" t="str">
        <f>IFERROR(IF(D1660="","",VLOOKUP(D1660,CadProd!$A:$B,2,0)),"")</f>
        <v/>
      </c>
      <c r="F1660" t="str">
        <f>IFERROR(IF(D1660="","",VLOOKUP(D1660,CadProd!$A:$C,3,0)),"")</f>
        <v/>
      </c>
      <c r="I1660" s="1" t="str">
        <f t="shared" si="25"/>
        <v/>
      </c>
    </row>
    <row r="1661" spans="5:9" x14ac:dyDescent="0.3">
      <c r="E1661" t="str">
        <f>IFERROR(IF(D1661="","",VLOOKUP(D1661,CadProd!$A:$B,2,0)),"")</f>
        <v/>
      </c>
      <c r="F1661" t="str">
        <f>IFERROR(IF(D1661="","",VLOOKUP(D1661,CadProd!$A:$C,3,0)),"")</f>
        <v/>
      </c>
      <c r="I1661" s="1" t="str">
        <f t="shared" si="25"/>
        <v/>
      </c>
    </row>
    <row r="1662" spans="5:9" x14ac:dyDescent="0.3">
      <c r="E1662" t="str">
        <f>IFERROR(IF(D1662="","",VLOOKUP(D1662,CadProd!$A:$B,2,0)),"")</f>
        <v/>
      </c>
      <c r="F1662" t="str">
        <f>IFERROR(IF(D1662="","",VLOOKUP(D1662,CadProd!$A:$C,3,0)),"")</f>
        <v/>
      </c>
      <c r="I1662" s="1" t="str">
        <f t="shared" si="25"/>
        <v/>
      </c>
    </row>
    <row r="1663" spans="5:9" x14ac:dyDescent="0.3">
      <c r="E1663" t="str">
        <f>IFERROR(IF(D1663="","",VLOOKUP(D1663,CadProd!$A:$B,2,0)),"")</f>
        <v/>
      </c>
      <c r="F1663" t="str">
        <f>IFERROR(IF(D1663="","",VLOOKUP(D1663,CadProd!$A:$C,3,0)),"")</f>
        <v/>
      </c>
      <c r="I1663" s="1" t="str">
        <f t="shared" si="25"/>
        <v/>
      </c>
    </row>
    <row r="1664" spans="5:9" x14ac:dyDescent="0.3">
      <c r="E1664" t="str">
        <f>IFERROR(IF(D1664="","",VLOOKUP(D1664,CadProd!$A:$B,2,0)),"")</f>
        <v/>
      </c>
      <c r="F1664" t="str">
        <f>IFERROR(IF(D1664="","",VLOOKUP(D1664,CadProd!$A:$C,3,0)),"")</f>
        <v/>
      </c>
      <c r="I1664" s="1" t="str">
        <f t="shared" si="25"/>
        <v/>
      </c>
    </row>
    <row r="1665" spans="5:9" x14ac:dyDescent="0.3">
      <c r="E1665" t="str">
        <f>IFERROR(IF(D1665="","",VLOOKUP(D1665,CadProd!$A:$B,2,0)),"")</f>
        <v/>
      </c>
      <c r="F1665" t="str">
        <f>IFERROR(IF(D1665="","",VLOOKUP(D1665,CadProd!$A:$C,3,0)),"")</f>
        <v/>
      </c>
      <c r="I1665" s="1" t="str">
        <f t="shared" si="25"/>
        <v/>
      </c>
    </row>
    <row r="1666" spans="5:9" x14ac:dyDescent="0.3">
      <c r="E1666" t="str">
        <f>IFERROR(IF(D1666="","",VLOOKUP(D1666,CadProd!$A:$B,2,0)),"")</f>
        <v/>
      </c>
      <c r="F1666" t="str">
        <f>IFERROR(IF(D1666="","",VLOOKUP(D1666,CadProd!$A:$C,3,0)),"")</f>
        <v/>
      </c>
      <c r="I1666" s="1" t="str">
        <f t="shared" ref="I1666:I1729" si="26">IFERROR(IF(D1666="","",H1666*G1666),"")</f>
        <v/>
      </c>
    </row>
    <row r="1667" spans="5:9" x14ac:dyDescent="0.3">
      <c r="E1667" t="str">
        <f>IFERROR(IF(D1667="","",VLOOKUP(D1667,CadProd!$A:$B,2,0)),"")</f>
        <v/>
      </c>
      <c r="F1667" t="str">
        <f>IFERROR(IF(D1667="","",VLOOKUP(D1667,CadProd!$A:$C,3,0)),"")</f>
        <v/>
      </c>
      <c r="I1667" s="1" t="str">
        <f t="shared" si="26"/>
        <v/>
      </c>
    </row>
    <row r="1668" spans="5:9" x14ac:dyDescent="0.3">
      <c r="E1668" t="str">
        <f>IFERROR(IF(D1668="","",VLOOKUP(D1668,CadProd!$A:$B,2,0)),"")</f>
        <v/>
      </c>
      <c r="F1668" t="str">
        <f>IFERROR(IF(D1668="","",VLOOKUP(D1668,CadProd!$A:$C,3,0)),"")</f>
        <v/>
      </c>
      <c r="I1668" s="1" t="str">
        <f t="shared" si="26"/>
        <v/>
      </c>
    </row>
    <row r="1669" spans="5:9" x14ac:dyDescent="0.3">
      <c r="E1669" t="str">
        <f>IFERROR(IF(D1669="","",VLOOKUP(D1669,CadProd!$A:$B,2,0)),"")</f>
        <v/>
      </c>
      <c r="F1669" t="str">
        <f>IFERROR(IF(D1669="","",VLOOKUP(D1669,CadProd!$A:$C,3,0)),"")</f>
        <v/>
      </c>
      <c r="I1669" s="1" t="str">
        <f t="shared" si="26"/>
        <v/>
      </c>
    </row>
    <row r="1670" spans="5:9" x14ac:dyDescent="0.3">
      <c r="E1670" t="str">
        <f>IFERROR(IF(D1670="","",VLOOKUP(D1670,CadProd!$A:$B,2,0)),"")</f>
        <v/>
      </c>
      <c r="F1670" t="str">
        <f>IFERROR(IF(D1670="","",VLOOKUP(D1670,CadProd!$A:$C,3,0)),"")</f>
        <v/>
      </c>
      <c r="I1670" s="1" t="str">
        <f t="shared" si="26"/>
        <v/>
      </c>
    </row>
    <row r="1671" spans="5:9" x14ac:dyDescent="0.3">
      <c r="E1671" t="str">
        <f>IFERROR(IF(D1671="","",VLOOKUP(D1671,CadProd!$A:$B,2,0)),"")</f>
        <v/>
      </c>
      <c r="F1671" t="str">
        <f>IFERROR(IF(D1671="","",VLOOKUP(D1671,CadProd!$A:$C,3,0)),"")</f>
        <v/>
      </c>
      <c r="I1671" s="1" t="str">
        <f t="shared" si="26"/>
        <v/>
      </c>
    </row>
    <row r="1672" spans="5:9" x14ac:dyDescent="0.3">
      <c r="E1672" t="str">
        <f>IFERROR(IF(D1672="","",VLOOKUP(D1672,CadProd!$A:$B,2,0)),"")</f>
        <v/>
      </c>
      <c r="F1672" t="str">
        <f>IFERROR(IF(D1672="","",VLOOKUP(D1672,CadProd!$A:$C,3,0)),"")</f>
        <v/>
      </c>
      <c r="I1672" s="1" t="str">
        <f t="shared" si="26"/>
        <v/>
      </c>
    </row>
    <row r="1673" spans="5:9" x14ac:dyDescent="0.3">
      <c r="E1673" t="str">
        <f>IFERROR(IF(D1673="","",VLOOKUP(D1673,CadProd!$A:$B,2,0)),"")</f>
        <v/>
      </c>
      <c r="F1673" t="str">
        <f>IFERROR(IF(D1673="","",VLOOKUP(D1673,CadProd!$A:$C,3,0)),"")</f>
        <v/>
      </c>
      <c r="I1673" s="1" t="str">
        <f t="shared" si="26"/>
        <v/>
      </c>
    </row>
    <row r="1674" spans="5:9" x14ac:dyDescent="0.3">
      <c r="E1674" t="str">
        <f>IFERROR(IF(D1674="","",VLOOKUP(D1674,CadProd!$A:$B,2,0)),"")</f>
        <v/>
      </c>
      <c r="F1674" t="str">
        <f>IFERROR(IF(D1674="","",VLOOKUP(D1674,CadProd!$A:$C,3,0)),"")</f>
        <v/>
      </c>
      <c r="I1674" s="1" t="str">
        <f t="shared" si="26"/>
        <v/>
      </c>
    </row>
    <row r="1675" spans="5:9" x14ac:dyDescent="0.3">
      <c r="E1675" t="str">
        <f>IFERROR(IF(D1675="","",VLOOKUP(D1675,CadProd!$A:$B,2,0)),"")</f>
        <v/>
      </c>
      <c r="F1675" t="str">
        <f>IFERROR(IF(D1675="","",VLOOKUP(D1675,CadProd!$A:$C,3,0)),"")</f>
        <v/>
      </c>
      <c r="I1675" s="1" t="str">
        <f t="shared" si="26"/>
        <v/>
      </c>
    </row>
    <row r="1676" spans="5:9" x14ac:dyDescent="0.3">
      <c r="E1676" t="str">
        <f>IFERROR(IF(D1676="","",VLOOKUP(D1676,CadProd!$A:$B,2,0)),"")</f>
        <v/>
      </c>
      <c r="F1676" t="str">
        <f>IFERROR(IF(D1676="","",VLOOKUP(D1676,CadProd!$A:$C,3,0)),"")</f>
        <v/>
      </c>
      <c r="I1676" s="1" t="str">
        <f t="shared" si="26"/>
        <v/>
      </c>
    </row>
    <row r="1677" spans="5:9" x14ac:dyDescent="0.3">
      <c r="E1677" t="str">
        <f>IFERROR(IF(D1677="","",VLOOKUP(D1677,CadProd!$A:$B,2,0)),"")</f>
        <v/>
      </c>
      <c r="F1677" t="str">
        <f>IFERROR(IF(D1677="","",VLOOKUP(D1677,CadProd!$A:$C,3,0)),"")</f>
        <v/>
      </c>
      <c r="I1677" s="1" t="str">
        <f t="shared" si="26"/>
        <v/>
      </c>
    </row>
    <row r="1678" spans="5:9" x14ac:dyDescent="0.3">
      <c r="E1678" t="str">
        <f>IFERROR(IF(D1678="","",VLOOKUP(D1678,CadProd!$A:$B,2,0)),"")</f>
        <v/>
      </c>
      <c r="F1678" t="str">
        <f>IFERROR(IF(D1678="","",VLOOKUP(D1678,CadProd!$A:$C,3,0)),"")</f>
        <v/>
      </c>
      <c r="I1678" s="1" t="str">
        <f t="shared" si="26"/>
        <v/>
      </c>
    </row>
    <row r="1679" spans="5:9" x14ac:dyDescent="0.3">
      <c r="E1679" t="str">
        <f>IFERROR(IF(D1679="","",VLOOKUP(D1679,CadProd!$A:$B,2,0)),"")</f>
        <v/>
      </c>
      <c r="F1679" t="str">
        <f>IFERROR(IF(D1679="","",VLOOKUP(D1679,CadProd!$A:$C,3,0)),"")</f>
        <v/>
      </c>
      <c r="I1679" s="1" t="str">
        <f t="shared" si="26"/>
        <v/>
      </c>
    </row>
    <row r="1680" spans="5:9" x14ac:dyDescent="0.3">
      <c r="E1680" t="str">
        <f>IFERROR(IF(D1680="","",VLOOKUP(D1680,CadProd!$A:$B,2,0)),"")</f>
        <v/>
      </c>
      <c r="F1680" t="str">
        <f>IFERROR(IF(D1680="","",VLOOKUP(D1680,CadProd!$A:$C,3,0)),"")</f>
        <v/>
      </c>
      <c r="I1680" s="1" t="str">
        <f t="shared" si="26"/>
        <v/>
      </c>
    </row>
    <row r="1681" spans="5:9" x14ac:dyDescent="0.3">
      <c r="E1681" t="str">
        <f>IFERROR(IF(D1681="","",VLOOKUP(D1681,CadProd!$A:$B,2,0)),"")</f>
        <v/>
      </c>
      <c r="F1681" t="str">
        <f>IFERROR(IF(D1681="","",VLOOKUP(D1681,CadProd!$A:$C,3,0)),"")</f>
        <v/>
      </c>
      <c r="I1681" s="1" t="str">
        <f t="shared" si="26"/>
        <v/>
      </c>
    </row>
    <row r="1682" spans="5:9" x14ac:dyDescent="0.3">
      <c r="E1682" t="str">
        <f>IFERROR(IF(D1682="","",VLOOKUP(D1682,CadProd!$A:$B,2,0)),"")</f>
        <v/>
      </c>
      <c r="F1682" t="str">
        <f>IFERROR(IF(D1682="","",VLOOKUP(D1682,CadProd!$A:$C,3,0)),"")</f>
        <v/>
      </c>
      <c r="I1682" s="1" t="str">
        <f t="shared" si="26"/>
        <v/>
      </c>
    </row>
    <row r="1683" spans="5:9" x14ac:dyDescent="0.3">
      <c r="E1683" t="str">
        <f>IFERROR(IF(D1683="","",VLOOKUP(D1683,CadProd!$A:$B,2,0)),"")</f>
        <v/>
      </c>
      <c r="F1683" t="str">
        <f>IFERROR(IF(D1683="","",VLOOKUP(D1683,CadProd!$A:$C,3,0)),"")</f>
        <v/>
      </c>
      <c r="I1683" s="1" t="str">
        <f t="shared" si="26"/>
        <v/>
      </c>
    </row>
    <row r="1684" spans="5:9" x14ac:dyDescent="0.3">
      <c r="E1684" t="str">
        <f>IFERROR(IF(D1684="","",VLOOKUP(D1684,CadProd!$A:$B,2,0)),"")</f>
        <v/>
      </c>
      <c r="F1684" t="str">
        <f>IFERROR(IF(D1684="","",VLOOKUP(D1684,CadProd!$A:$C,3,0)),"")</f>
        <v/>
      </c>
      <c r="I1684" s="1" t="str">
        <f t="shared" si="26"/>
        <v/>
      </c>
    </row>
    <row r="1685" spans="5:9" x14ac:dyDescent="0.3">
      <c r="E1685" t="str">
        <f>IFERROR(IF(D1685="","",VLOOKUP(D1685,CadProd!$A:$B,2,0)),"")</f>
        <v/>
      </c>
      <c r="F1685" t="str">
        <f>IFERROR(IF(D1685="","",VLOOKUP(D1685,CadProd!$A:$C,3,0)),"")</f>
        <v/>
      </c>
      <c r="I1685" s="1" t="str">
        <f t="shared" si="26"/>
        <v/>
      </c>
    </row>
    <row r="1686" spans="5:9" x14ac:dyDescent="0.3">
      <c r="E1686" t="str">
        <f>IFERROR(IF(D1686="","",VLOOKUP(D1686,CadProd!$A:$B,2,0)),"")</f>
        <v/>
      </c>
      <c r="F1686" t="str">
        <f>IFERROR(IF(D1686="","",VLOOKUP(D1686,CadProd!$A:$C,3,0)),"")</f>
        <v/>
      </c>
      <c r="I1686" s="1" t="str">
        <f t="shared" si="26"/>
        <v/>
      </c>
    </row>
    <row r="1687" spans="5:9" x14ac:dyDescent="0.3">
      <c r="E1687" t="str">
        <f>IFERROR(IF(D1687="","",VLOOKUP(D1687,CadProd!$A:$B,2,0)),"")</f>
        <v/>
      </c>
      <c r="F1687" t="str">
        <f>IFERROR(IF(D1687="","",VLOOKUP(D1687,CadProd!$A:$C,3,0)),"")</f>
        <v/>
      </c>
      <c r="I1687" s="1" t="str">
        <f t="shared" si="26"/>
        <v/>
      </c>
    </row>
    <row r="1688" spans="5:9" x14ac:dyDescent="0.3">
      <c r="E1688" t="str">
        <f>IFERROR(IF(D1688="","",VLOOKUP(D1688,CadProd!$A:$B,2,0)),"")</f>
        <v/>
      </c>
      <c r="F1688" t="str">
        <f>IFERROR(IF(D1688="","",VLOOKUP(D1688,CadProd!$A:$C,3,0)),"")</f>
        <v/>
      </c>
      <c r="I1688" s="1" t="str">
        <f t="shared" si="26"/>
        <v/>
      </c>
    </row>
    <row r="1689" spans="5:9" x14ac:dyDescent="0.3">
      <c r="E1689" t="str">
        <f>IFERROR(IF(D1689="","",VLOOKUP(D1689,CadProd!$A:$B,2,0)),"")</f>
        <v/>
      </c>
      <c r="F1689" t="str">
        <f>IFERROR(IF(D1689="","",VLOOKUP(D1689,CadProd!$A:$C,3,0)),"")</f>
        <v/>
      </c>
      <c r="I1689" s="1" t="str">
        <f t="shared" si="26"/>
        <v/>
      </c>
    </row>
    <row r="1690" spans="5:9" x14ac:dyDescent="0.3">
      <c r="E1690" t="str">
        <f>IFERROR(IF(D1690="","",VLOOKUP(D1690,CadProd!$A:$B,2,0)),"")</f>
        <v/>
      </c>
      <c r="F1690" t="str">
        <f>IFERROR(IF(D1690="","",VLOOKUP(D1690,CadProd!$A:$C,3,0)),"")</f>
        <v/>
      </c>
      <c r="I1690" s="1" t="str">
        <f t="shared" si="26"/>
        <v/>
      </c>
    </row>
    <row r="1691" spans="5:9" x14ac:dyDescent="0.3">
      <c r="E1691" t="str">
        <f>IFERROR(IF(D1691="","",VLOOKUP(D1691,CadProd!$A:$B,2,0)),"")</f>
        <v/>
      </c>
      <c r="F1691" t="str">
        <f>IFERROR(IF(D1691="","",VLOOKUP(D1691,CadProd!$A:$C,3,0)),"")</f>
        <v/>
      </c>
      <c r="I1691" s="1" t="str">
        <f t="shared" si="26"/>
        <v/>
      </c>
    </row>
    <row r="1692" spans="5:9" x14ac:dyDescent="0.3">
      <c r="E1692" t="str">
        <f>IFERROR(IF(D1692="","",VLOOKUP(D1692,CadProd!$A:$B,2,0)),"")</f>
        <v/>
      </c>
      <c r="F1692" t="str">
        <f>IFERROR(IF(D1692="","",VLOOKUP(D1692,CadProd!$A:$C,3,0)),"")</f>
        <v/>
      </c>
      <c r="I1692" s="1" t="str">
        <f t="shared" si="26"/>
        <v/>
      </c>
    </row>
    <row r="1693" spans="5:9" x14ac:dyDescent="0.3">
      <c r="E1693" t="str">
        <f>IFERROR(IF(D1693="","",VLOOKUP(D1693,CadProd!$A:$B,2,0)),"")</f>
        <v/>
      </c>
      <c r="F1693" t="str">
        <f>IFERROR(IF(D1693="","",VLOOKUP(D1693,CadProd!$A:$C,3,0)),"")</f>
        <v/>
      </c>
      <c r="I1693" s="1" t="str">
        <f t="shared" si="26"/>
        <v/>
      </c>
    </row>
    <row r="1694" spans="5:9" x14ac:dyDescent="0.3">
      <c r="E1694" t="str">
        <f>IFERROR(IF(D1694="","",VLOOKUP(D1694,CadProd!$A:$B,2,0)),"")</f>
        <v/>
      </c>
      <c r="F1694" t="str">
        <f>IFERROR(IF(D1694="","",VLOOKUP(D1694,CadProd!$A:$C,3,0)),"")</f>
        <v/>
      </c>
      <c r="I1694" s="1" t="str">
        <f t="shared" si="26"/>
        <v/>
      </c>
    </row>
    <row r="1695" spans="5:9" x14ac:dyDescent="0.3">
      <c r="E1695" t="str">
        <f>IFERROR(IF(D1695="","",VLOOKUP(D1695,CadProd!$A:$B,2,0)),"")</f>
        <v/>
      </c>
      <c r="F1695" t="str">
        <f>IFERROR(IF(D1695="","",VLOOKUP(D1695,CadProd!$A:$C,3,0)),"")</f>
        <v/>
      </c>
      <c r="I1695" s="1" t="str">
        <f t="shared" si="26"/>
        <v/>
      </c>
    </row>
    <row r="1696" spans="5:9" x14ac:dyDescent="0.3">
      <c r="E1696" t="str">
        <f>IFERROR(IF(D1696="","",VLOOKUP(D1696,CadProd!$A:$B,2,0)),"")</f>
        <v/>
      </c>
      <c r="F1696" t="str">
        <f>IFERROR(IF(D1696="","",VLOOKUP(D1696,CadProd!$A:$C,3,0)),"")</f>
        <v/>
      </c>
      <c r="I1696" s="1" t="str">
        <f t="shared" si="26"/>
        <v/>
      </c>
    </row>
    <row r="1697" spans="5:9" x14ac:dyDescent="0.3">
      <c r="E1697" t="str">
        <f>IFERROR(IF(D1697="","",VLOOKUP(D1697,CadProd!$A:$B,2,0)),"")</f>
        <v/>
      </c>
      <c r="F1697" t="str">
        <f>IFERROR(IF(D1697="","",VLOOKUP(D1697,CadProd!$A:$C,3,0)),"")</f>
        <v/>
      </c>
      <c r="I1697" s="1" t="str">
        <f t="shared" si="26"/>
        <v/>
      </c>
    </row>
    <row r="1698" spans="5:9" x14ac:dyDescent="0.3">
      <c r="E1698" t="str">
        <f>IFERROR(IF(D1698="","",VLOOKUP(D1698,CadProd!$A:$B,2,0)),"")</f>
        <v/>
      </c>
      <c r="F1698" t="str">
        <f>IFERROR(IF(D1698="","",VLOOKUP(D1698,CadProd!$A:$C,3,0)),"")</f>
        <v/>
      </c>
      <c r="I1698" s="1" t="str">
        <f t="shared" si="26"/>
        <v/>
      </c>
    </row>
    <row r="1699" spans="5:9" x14ac:dyDescent="0.3">
      <c r="E1699" t="str">
        <f>IFERROR(IF(D1699="","",VLOOKUP(D1699,CadProd!$A:$B,2,0)),"")</f>
        <v/>
      </c>
      <c r="F1699" t="str">
        <f>IFERROR(IF(D1699="","",VLOOKUP(D1699,CadProd!$A:$C,3,0)),"")</f>
        <v/>
      </c>
      <c r="I1699" s="1" t="str">
        <f t="shared" si="26"/>
        <v/>
      </c>
    </row>
    <row r="1700" spans="5:9" x14ac:dyDescent="0.3">
      <c r="E1700" t="str">
        <f>IFERROR(IF(D1700="","",VLOOKUP(D1700,CadProd!$A:$B,2,0)),"")</f>
        <v/>
      </c>
      <c r="F1700" t="str">
        <f>IFERROR(IF(D1700="","",VLOOKUP(D1700,CadProd!$A:$C,3,0)),"")</f>
        <v/>
      </c>
      <c r="I1700" s="1" t="str">
        <f t="shared" si="26"/>
        <v/>
      </c>
    </row>
    <row r="1701" spans="5:9" x14ac:dyDescent="0.3">
      <c r="E1701" t="str">
        <f>IFERROR(IF(D1701="","",VLOOKUP(D1701,CadProd!$A:$B,2,0)),"")</f>
        <v/>
      </c>
      <c r="F1701" t="str">
        <f>IFERROR(IF(D1701="","",VLOOKUP(D1701,CadProd!$A:$C,3,0)),"")</f>
        <v/>
      </c>
      <c r="I1701" s="1" t="str">
        <f t="shared" si="26"/>
        <v/>
      </c>
    </row>
    <row r="1702" spans="5:9" x14ac:dyDescent="0.3">
      <c r="E1702" t="str">
        <f>IFERROR(IF(D1702="","",VLOOKUP(D1702,CadProd!$A:$B,2,0)),"")</f>
        <v/>
      </c>
      <c r="F1702" t="str">
        <f>IFERROR(IF(D1702="","",VLOOKUP(D1702,CadProd!$A:$C,3,0)),"")</f>
        <v/>
      </c>
      <c r="I1702" s="1" t="str">
        <f t="shared" si="26"/>
        <v/>
      </c>
    </row>
    <row r="1703" spans="5:9" x14ac:dyDescent="0.3">
      <c r="E1703" t="str">
        <f>IFERROR(IF(D1703="","",VLOOKUP(D1703,CadProd!$A:$B,2,0)),"")</f>
        <v/>
      </c>
      <c r="F1703" t="str">
        <f>IFERROR(IF(D1703="","",VLOOKUP(D1703,CadProd!$A:$C,3,0)),"")</f>
        <v/>
      </c>
      <c r="I1703" s="1" t="str">
        <f t="shared" si="26"/>
        <v/>
      </c>
    </row>
    <row r="1704" spans="5:9" x14ac:dyDescent="0.3">
      <c r="E1704" t="str">
        <f>IFERROR(IF(D1704="","",VLOOKUP(D1704,CadProd!$A:$B,2,0)),"")</f>
        <v/>
      </c>
      <c r="F1704" t="str">
        <f>IFERROR(IF(D1704="","",VLOOKUP(D1704,CadProd!$A:$C,3,0)),"")</f>
        <v/>
      </c>
      <c r="I1704" s="1" t="str">
        <f t="shared" si="26"/>
        <v/>
      </c>
    </row>
    <row r="1705" spans="5:9" x14ac:dyDescent="0.3">
      <c r="E1705" t="str">
        <f>IFERROR(IF(D1705="","",VLOOKUP(D1705,CadProd!$A:$B,2,0)),"")</f>
        <v/>
      </c>
      <c r="F1705" t="str">
        <f>IFERROR(IF(D1705="","",VLOOKUP(D1705,CadProd!$A:$C,3,0)),"")</f>
        <v/>
      </c>
      <c r="I1705" s="1" t="str">
        <f t="shared" si="26"/>
        <v/>
      </c>
    </row>
    <row r="1706" spans="5:9" x14ac:dyDescent="0.3">
      <c r="E1706" t="str">
        <f>IFERROR(IF(D1706="","",VLOOKUP(D1706,CadProd!$A:$B,2,0)),"")</f>
        <v/>
      </c>
      <c r="F1706" t="str">
        <f>IFERROR(IF(D1706="","",VLOOKUP(D1706,CadProd!$A:$C,3,0)),"")</f>
        <v/>
      </c>
      <c r="I1706" s="1" t="str">
        <f t="shared" si="26"/>
        <v/>
      </c>
    </row>
    <row r="1707" spans="5:9" x14ac:dyDescent="0.3">
      <c r="E1707" t="str">
        <f>IFERROR(IF(D1707="","",VLOOKUP(D1707,CadProd!$A:$B,2,0)),"")</f>
        <v/>
      </c>
      <c r="F1707" t="str">
        <f>IFERROR(IF(D1707="","",VLOOKUP(D1707,CadProd!$A:$C,3,0)),"")</f>
        <v/>
      </c>
      <c r="I1707" s="1" t="str">
        <f t="shared" si="26"/>
        <v/>
      </c>
    </row>
    <row r="1708" spans="5:9" x14ac:dyDescent="0.3">
      <c r="E1708" t="str">
        <f>IFERROR(IF(D1708="","",VLOOKUP(D1708,CadProd!$A:$B,2,0)),"")</f>
        <v/>
      </c>
      <c r="F1708" t="str">
        <f>IFERROR(IF(D1708="","",VLOOKUP(D1708,CadProd!$A:$C,3,0)),"")</f>
        <v/>
      </c>
      <c r="I1708" s="1" t="str">
        <f t="shared" si="26"/>
        <v/>
      </c>
    </row>
    <row r="1709" spans="5:9" x14ac:dyDescent="0.3">
      <c r="E1709" t="str">
        <f>IFERROR(IF(D1709="","",VLOOKUP(D1709,CadProd!$A:$B,2,0)),"")</f>
        <v/>
      </c>
      <c r="F1709" t="str">
        <f>IFERROR(IF(D1709="","",VLOOKUP(D1709,CadProd!$A:$C,3,0)),"")</f>
        <v/>
      </c>
      <c r="I1709" s="1" t="str">
        <f t="shared" si="26"/>
        <v/>
      </c>
    </row>
    <row r="1710" spans="5:9" x14ac:dyDescent="0.3">
      <c r="E1710" t="str">
        <f>IFERROR(IF(D1710="","",VLOOKUP(D1710,CadProd!$A:$B,2,0)),"")</f>
        <v/>
      </c>
      <c r="F1710" t="str">
        <f>IFERROR(IF(D1710="","",VLOOKUP(D1710,CadProd!$A:$C,3,0)),"")</f>
        <v/>
      </c>
      <c r="I1710" s="1" t="str">
        <f t="shared" si="26"/>
        <v/>
      </c>
    </row>
    <row r="1711" spans="5:9" x14ac:dyDescent="0.3">
      <c r="E1711" t="str">
        <f>IFERROR(IF(D1711="","",VLOOKUP(D1711,CadProd!$A:$B,2,0)),"")</f>
        <v/>
      </c>
      <c r="F1711" t="str">
        <f>IFERROR(IF(D1711="","",VLOOKUP(D1711,CadProd!$A:$C,3,0)),"")</f>
        <v/>
      </c>
      <c r="I1711" s="1" t="str">
        <f t="shared" si="26"/>
        <v/>
      </c>
    </row>
    <row r="1712" spans="5:9" x14ac:dyDescent="0.3">
      <c r="E1712" t="str">
        <f>IFERROR(IF(D1712="","",VLOOKUP(D1712,CadProd!$A:$B,2,0)),"")</f>
        <v/>
      </c>
      <c r="F1712" t="str">
        <f>IFERROR(IF(D1712="","",VLOOKUP(D1712,CadProd!$A:$C,3,0)),"")</f>
        <v/>
      </c>
      <c r="I1712" s="1" t="str">
        <f t="shared" si="26"/>
        <v/>
      </c>
    </row>
    <row r="1713" spans="5:9" x14ac:dyDescent="0.3">
      <c r="E1713" t="str">
        <f>IFERROR(IF(D1713="","",VLOOKUP(D1713,CadProd!$A:$B,2,0)),"")</f>
        <v/>
      </c>
      <c r="F1713" t="str">
        <f>IFERROR(IF(D1713="","",VLOOKUP(D1713,CadProd!$A:$C,3,0)),"")</f>
        <v/>
      </c>
      <c r="I1713" s="1" t="str">
        <f t="shared" si="26"/>
        <v/>
      </c>
    </row>
    <row r="1714" spans="5:9" x14ac:dyDescent="0.3">
      <c r="E1714" t="str">
        <f>IFERROR(IF(D1714="","",VLOOKUP(D1714,CadProd!$A:$B,2,0)),"")</f>
        <v/>
      </c>
      <c r="F1714" t="str">
        <f>IFERROR(IF(D1714="","",VLOOKUP(D1714,CadProd!$A:$C,3,0)),"")</f>
        <v/>
      </c>
      <c r="I1714" s="1" t="str">
        <f t="shared" si="26"/>
        <v/>
      </c>
    </row>
    <row r="1715" spans="5:9" x14ac:dyDescent="0.3">
      <c r="E1715" t="str">
        <f>IFERROR(IF(D1715="","",VLOOKUP(D1715,CadProd!$A:$B,2,0)),"")</f>
        <v/>
      </c>
      <c r="F1715" t="str">
        <f>IFERROR(IF(D1715="","",VLOOKUP(D1715,CadProd!$A:$C,3,0)),"")</f>
        <v/>
      </c>
      <c r="I1715" s="1" t="str">
        <f t="shared" si="26"/>
        <v/>
      </c>
    </row>
    <row r="1716" spans="5:9" x14ac:dyDescent="0.3">
      <c r="E1716" t="str">
        <f>IFERROR(IF(D1716="","",VLOOKUP(D1716,CadProd!$A:$B,2,0)),"")</f>
        <v/>
      </c>
      <c r="F1716" t="str">
        <f>IFERROR(IF(D1716="","",VLOOKUP(D1716,CadProd!$A:$C,3,0)),"")</f>
        <v/>
      </c>
      <c r="I1716" s="1" t="str">
        <f t="shared" si="26"/>
        <v/>
      </c>
    </row>
    <row r="1717" spans="5:9" x14ac:dyDescent="0.3">
      <c r="E1717" t="str">
        <f>IFERROR(IF(D1717="","",VLOOKUP(D1717,CadProd!$A:$B,2,0)),"")</f>
        <v/>
      </c>
      <c r="F1717" t="str">
        <f>IFERROR(IF(D1717="","",VLOOKUP(D1717,CadProd!$A:$C,3,0)),"")</f>
        <v/>
      </c>
      <c r="I1717" s="1" t="str">
        <f t="shared" si="26"/>
        <v/>
      </c>
    </row>
    <row r="1718" spans="5:9" x14ac:dyDescent="0.3">
      <c r="E1718" t="str">
        <f>IFERROR(IF(D1718="","",VLOOKUP(D1718,CadProd!$A:$B,2,0)),"")</f>
        <v/>
      </c>
      <c r="F1718" t="str">
        <f>IFERROR(IF(D1718="","",VLOOKUP(D1718,CadProd!$A:$C,3,0)),"")</f>
        <v/>
      </c>
      <c r="I1718" s="1" t="str">
        <f t="shared" si="26"/>
        <v/>
      </c>
    </row>
    <row r="1719" spans="5:9" x14ac:dyDescent="0.3">
      <c r="E1719" t="str">
        <f>IFERROR(IF(D1719="","",VLOOKUP(D1719,CadProd!$A:$B,2,0)),"")</f>
        <v/>
      </c>
      <c r="F1719" t="str">
        <f>IFERROR(IF(D1719="","",VLOOKUP(D1719,CadProd!$A:$C,3,0)),"")</f>
        <v/>
      </c>
      <c r="I1719" s="1" t="str">
        <f t="shared" si="26"/>
        <v/>
      </c>
    </row>
    <row r="1720" spans="5:9" x14ac:dyDescent="0.3">
      <c r="E1720" t="str">
        <f>IFERROR(IF(D1720="","",VLOOKUP(D1720,CadProd!$A:$B,2,0)),"")</f>
        <v/>
      </c>
      <c r="F1720" t="str">
        <f>IFERROR(IF(D1720="","",VLOOKUP(D1720,CadProd!$A:$C,3,0)),"")</f>
        <v/>
      </c>
      <c r="I1720" s="1" t="str">
        <f t="shared" si="26"/>
        <v/>
      </c>
    </row>
    <row r="1721" spans="5:9" x14ac:dyDescent="0.3">
      <c r="E1721" t="str">
        <f>IFERROR(IF(D1721="","",VLOOKUP(D1721,CadProd!$A:$B,2,0)),"")</f>
        <v/>
      </c>
      <c r="F1721" t="str">
        <f>IFERROR(IF(D1721="","",VLOOKUP(D1721,CadProd!$A:$C,3,0)),"")</f>
        <v/>
      </c>
      <c r="I1721" s="1" t="str">
        <f t="shared" si="26"/>
        <v/>
      </c>
    </row>
    <row r="1722" spans="5:9" x14ac:dyDescent="0.3">
      <c r="E1722" t="str">
        <f>IFERROR(IF(D1722="","",VLOOKUP(D1722,CadProd!$A:$B,2,0)),"")</f>
        <v/>
      </c>
      <c r="F1722" t="str">
        <f>IFERROR(IF(D1722="","",VLOOKUP(D1722,CadProd!$A:$C,3,0)),"")</f>
        <v/>
      </c>
      <c r="I1722" s="1" t="str">
        <f t="shared" si="26"/>
        <v/>
      </c>
    </row>
    <row r="1723" spans="5:9" x14ac:dyDescent="0.3">
      <c r="E1723" t="str">
        <f>IFERROR(IF(D1723="","",VLOOKUP(D1723,CadProd!$A:$B,2,0)),"")</f>
        <v/>
      </c>
      <c r="F1723" t="str">
        <f>IFERROR(IF(D1723="","",VLOOKUP(D1723,CadProd!$A:$C,3,0)),"")</f>
        <v/>
      </c>
      <c r="I1723" s="1" t="str">
        <f t="shared" si="26"/>
        <v/>
      </c>
    </row>
    <row r="1724" spans="5:9" x14ac:dyDescent="0.3">
      <c r="E1724" t="str">
        <f>IFERROR(IF(D1724="","",VLOOKUP(D1724,CadProd!$A:$B,2,0)),"")</f>
        <v/>
      </c>
      <c r="F1724" t="str">
        <f>IFERROR(IF(D1724="","",VLOOKUP(D1724,CadProd!$A:$C,3,0)),"")</f>
        <v/>
      </c>
      <c r="I1724" s="1" t="str">
        <f t="shared" si="26"/>
        <v/>
      </c>
    </row>
    <row r="1725" spans="5:9" x14ac:dyDescent="0.3">
      <c r="E1725" t="str">
        <f>IFERROR(IF(D1725="","",VLOOKUP(D1725,CadProd!$A:$B,2,0)),"")</f>
        <v/>
      </c>
      <c r="F1725" t="str">
        <f>IFERROR(IF(D1725="","",VLOOKUP(D1725,CadProd!$A:$C,3,0)),"")</f>
        <v/>
      </c>
      <c r="I1725" s="1" t="str">
        <f t="shared" si="26"/>
        <v/>
      </c>
    </row>
    <row r="1726" spans="5:9" x14ac:dyDescent="0.3">
      <c r="E1726" t="str">
        <f>IFERROR(IF(D1726="","",VLOOKUP(D1726,CadProd!$A:$B,2,0)),"")</f>
        <v/>
      </c>
      <c r="F1726" t="str">
        <f>IFERROR(IF(D1726="","",VLOOKUP(D1726,CadProd!$A:$C,3,0)),"")</f>
        <v/>
      </c>
      <c r="I1726" s="1" t="str">
        <f t="shared" si="26"/>
        <v/>
      </c>
    </row>
    <row r="1727" spans="5:9" x14ac:dyDescent="0.3">
      <c r="E1727" t="str">
        <f>IFERROR(IF(D1727="","",VLOOKUP(D1727,CadProd!$A:$B,2,0)),"")</f>
        <v/>
      </c>
      <c r="F1727" t="str">
        <f>IFERROR(IF(D1727="","",VLOOKUP(D1727,CadProd!$A:$C,3,0)),"")</f>
        <v/>
      </c>
      <c r="I1727" s="1" t="str">
        <f t="shared" si="26"/>
        <v/>
      </c>
    </row>
    <row r="1728" spans="5:9" x14ac:dyDescent="0.3">
      <c r="E1728" t="str">
        <f>IFERROR(IF(D1728="","",VLOOKUP(D1728,CadProd!$A:$B,2,0)),"")</f>
        <v/>
      </c>
      <c r="F1728" t="str">
        <f>IFERROR(IF(D1728="","",VLOOKUP(D1728,CadProd!$A:$C,3,0)),"")</f>
        <v/>
      </c>
      <c r="I1728" s="1" t="str">
        <f t="shared" si="26"/>
        <v/>
      </c>
    </row>
    <row r="1729" spans="5:9" x14ac:dyDescent="0.3">
      <c r="E1729" t="str">
        <f>IFERROR(IF(D1729="","",VLOOKUP(D1729,CadProd!$A:$B,2,0)),"")</f>
        <v/>
      </c>
      <c r="F1729" t="str">
        <f>IFERROR(IF(D1729="","",VLOOKUP(D1729,CadProd!$A:$C,3,0)),"")</f>
        <v/>
      </c>
      <c r="I1729" s="1" t="str">
        <f t="shared" si="26"/>
        <v/>
      </c>
    </row>
    <row r="1730" spans="5:9" x14ac:dyDescent="0.3">
      <c r="E1730" t="str">
        <f>IFERROR(IF(D1730="","",VLOOKUP(D1730,CadProd!$A:$B,2,0)),"")</f>
        <v/>
      </c>
      <c r="F1730" t="str">
        <f>IFERROR(IF(D1730="","",VLOOKUP(D1730,CadProd!$A:$C,3,0)),"")</f>
        <v/>
      </c>
      <c r="I1730" s="1" t="str">
        <f t="shared" ref="I1730:I1793" si="27">IFERROR(IF(D1730="","",H1730*G1730),"")</f>
        <v/>
      </c>
    </row>
    <row r="1731" spans="5:9" x14ac:dyDescent="0.3">
      <c r="E1731" t="str">
        <f>IFERROR(IF(D1731="","",VLOOKUP(D1731,CadProd!$A:$B,2,0)),"")</f>
        <v/>
      </c>
      <c r="F1731" t="str">
        <f>IFERROR(IF(D1731="","",VLOOKUP(D1731,CadProd!$A:$C,3,0)),"")</f>
        <v/>
      </c>
      <c r="I1731" s="1" t="str">
        <f t="shared" si="27"/>
        <v/>
      </c>
    </row>
    <row r="1732" spans="5:9" x14ac:dyDescent="0.3">
      <c r="E1732" t="str">
        <f>IFERROR(IF(D1732="","",VLOOKUP(D1732,CadProd!$A:$B,2,0)),"")</f>
        <v/>
      </c>
      <c r="F1732" t="str">
        <f>IFERROR(IF(D1732="","",VLOOKUP(D1732,CadProd!$A:$C,3,0)),"")</f>
        <v/>
      </c>
      <c r="I1732" s="1" t="str">
        <f t="shared" si="27"/>
        <v/>
      </c>
    </row>
    <row r="1733" spans="5:9" x14ac:dyDescent="0.3">
      <c r="E1733" t="str">
        <f>IFERROR(IF(D1733="","",VLOOKUP(D1733,CadProd!$A:$B,2,0)),"")</f>
        <v/>
      </c>
      <c r="F1733" t="str">
        <f>IFERROR(IF(D1733="","",VLOOKUP(D1733,CadProd!$A:$C,3,0)),"")</f>
        <v/>
      </c>
      <c r="I1733" s="1" t="str">
        <f t="shared" si="27"/>
        <v/>
      </c>
    </row>
    <row r="1734" spans="5:9" x14ac:dyDescent="0.3">
      <c r="E1734" t="str">
        <f>IFERROR(IF(D1734="","",VLOOKUP(D1734,CadProd!$A:$B,2,0)),"")</f>
        <v/>
      </c>
      <c r="F1734" t="str">
        <f>IFERROR(IF(D1734="","",VLOOKUP(D1734,CadProd!$A:$C,3,0)),"")</f>
        <v/>
      </c>
      <c r="I1734" s="1" t="str">
        <f t="shared" si="27"/>
        <v/>
      </c>
    </row>
    <row r="1735" spans="5:9" x14ac:dyDescent="0.3">
      <c r="E1735" t="str">
        <f>IFERROR(IF(D1735="","",VLOOKUP(D1735,CadProd!$A:$B,2,0)),"")</f>
        <v/>
      </c>
      <c r="F1735" t="str">
        <f>IFERROR(IF(D1735="","",VLOOKUP(D1735,CadProd!$A:$C,3,0)),"")</f>
        <v/>
      </c>
      <c r="I1735" s="1" t="str">
        <f t="shared" si="27"/>
        <v/>
      </c>
    </row>
    <row r="1736" spans="5:9" x14ac:dyDescent="0.3">
      <c r="E1736" t="str">
        <f>IFERROR(IF(D1736="","",VLOOKUP(D1736,CadProd!$A:$B,2,0)),"")</f>
        <v/>
      </c>
      <c r="F1736" t="str">
        <f>IFERROR(IF(D1736="","",VLOOKUP(D1736,CadProd!$A:$C,3,0)),"")</f>
        <v/>
      </c>
      <c r="I1736" s="1" t="str">
        <f t="shared" si="27"/>
        <v/>
      </c>
    </row>
    <row r="1737" spans="5:9" x14ac:dyDescent="0.3">
      <c r="E1737" t="str">
        <f>IFERROR(IF(D1737="","",VLOOKUP(D1737,CadProd!$A:$B,2,0)),"")</f>
        <v/>
      </c>
      <c r="F1737" t="str">
        <f>IFERROR(IF(D1737="","",VLOOKUP(D1737,CadProd!$A:$C,3,0)),"")</f>
        <v/>
      </c>
      <c r="I1737" s="1" t="str">
        <f t="shared" si="27"/>
        <v/>
      </c>
    </row>
    <row r="1738" spans="5:9" x14ac:dyDescent="0.3">
      <c r="E1738" t="str">
        <f>IFERROR(IF(D1738="","",VLOOKUP(D1738,CadProd!$A:$B,2,0)),"")</f>
        <v/>
      </c>
      <c r="F1738" t="str">
        <f>IFERROR(IF(D1738="","",VLOOKUP(D1738,CadProd!$A:$C,3,0)),"")</f>
        <v/>
      </c>
      <c r="I1738" s="1" t="str">
        <f t="shared" si="27"/>
        <v/>
      </c>
    </row>
    <row r="1739" spans="5:9" x14ac:dyDescent="0.3">
      <c r="E1739" t="str">
        <f>IFERROR(IF(D1739="","",VLOOKUP(D1739,CadProd!$A:$B,2,0)),"")</f>
        <v/>
      </c>
      <c r="F1739" t="str">
        <f>IFERROR(IF(D1739="","",VLOOKUP(D1739,CadProd!$A:$C,3,0)),"")</f>
        <v/>
      </c>
      <c r="I1739" s="1" t="str">
        <f t="shared" si="27"/>
        <v/>
      </c>
    </row>
    <row r="1740" spans="5:9" x14ac:dyDescent="0.3">
      <c r="E1740" t="str">
        <f>IFERROR(IF(D1740="","",VLOOKUP(D1740,CadProd!$A:$B,2,0)),"")</f>
        <v/>
      </c>
      <c r="F1740" t="str">
        <f>IFERROR(IF(D1740="","",VLOOKUP(D1740,CadProd!$A:$C,3,0)),"")</f>
        <v/>
      </c>
      <c r="I1740" s="1" t="str">
        <f t="shared" si="27"/>
        <v/>
      </c>
    </row>
    <row r="1741" spans="5:9" x14ac:dyDescent="0.3">
      <c r="E1741" t="str">
        <f>IFERROR(IF(D1741="","",VLOOKUP(D1741,CadProd!$A:$B,2,0)),"")</f>
        <v/>
      </c>
      <c r="F1741" t="str">
        <f>IFERROR(IF(D1741="","",VLOOKUP(D1741,CadProd!$A:$C,3,0)),"")</f>
        <v/>
      </c>
      <c r="I1741" s="1" t="str">
        <f t="shared" si="27"/>
        <v/>
      </c>
    </row>
    <row r="1742" spans="5:9" x14ac:dyDescent="0.3">
      <c r="E1742" t="str">
        <f>IFERROR(IF(D1742="","",VLOOKUP(D1742,CadProd!$A:$B,2,0)),"")</f>
        <v/>
      </c>
      <c r="F1742" t="str">
        <f>IFERROR(IF(D1742="","",VLOOKUP(D1742,CadProd!$A:$C,3,0)),"")</f>
        <v/>
      </c>
      <c r="I1742" s="1" t="str">
        <f t="shared" si="27"/>
        <v/>
      </c>
    </row>
    <row r="1743" spans="5:9" x14ac:dyDescent="0.3">
      <c r="E1743" t="str">
        <f>IFERROR(IF(D1743="","",VLOOKUP(D1743,CadProd!$A:$B,2,0)),"")</f>
        <v/>
      </c>
      <c r="F1743" t="str">
        <f>IFERROR(IF(D1743="","",VLOOKUP(D1743,CadProd!$A:$C,3,0)),"")</f>
        <v/>
      </c>
      <c r="I1743" s="1" t="str">
        <f t="shared" si="27"/>
        <v/>
      </c>
    </row>
    <row r="1744" spans="5:9" x14ac:dyDescent="0.3">
      <c r="E1744" t="str">
        <f>IFERROR(IF(D1744="","",VLOOKUP(D1744,CadProd!$A:$B,2,0)),"")</f>
        <v/>
      </c>
      <c r="F1744" t="str">
        <f>IFERROR(IF(D1744="","",VLOOKUP(D1744,CadProd!$A:$C,3,0)),"")</f>
        <v/>
      </c>
      <c r="I1744" s="1" t="str">
        <f t="shared" si="27"/>
        <v/>
      </c>
    </row>
    <row r="1745" spans="5:9" x14ac:dyDescent="0.3">
      <c r="E1745" t="str">
        <f>IFERROR(IF(D1745="","",VLOOKUP(D1745,CadProd!$A:$B,2,0)),"")</f>
        <v/>
      </c>
      <c r="F1745" t="str">
        <f>IFERROR(IF(D1745="","",VLOOKUP(D1745,CadProd!$A:$C,3,0)),"")</f>
        <v/>
      </c>
      <c r="I1745" s="1" t="str">
        <f t="shared" si="27"/>
        <v/>
      </c>
    </row>
    <row r="1746" spans="5:9" x14ac:dyDescent="0.3">
      <c r="E1746" t="str">
        <f>IFERROR(IF(D1746="","",VLOOKUP(D1746,CadProd!$A:$B,2,0)),"")</f>
        <v/>
      </c>
      <c r="F1746" t="str">
        <f>IFERROR(IF(D1746="","",VLOOKUP(D1746,CadProd!$A:$C,3,0)),"")</f>
        <v/>
      </c>
      <c r="I1746" s="1" t="str">
        <f t="shared" si="27"/>
        <v/>
      </c>
    </row>
    <row r="1747" spans="5:9" x14ac:dyDescent="0.3">
      <c r="E1747" t="str">
        <f>IFERROR(IF(D1747="","",VLOOKUP(D1747,CadProd!$A:$B,2,0)),"")</f>
        <v/>
      </c>
      <c r="F1747" t="str">
        <f>IFERROR(IF(D1747="","",VLOOKUP(D1747,CadProd!$A:$C,3,0)),"")</f>
        <v/>
      </c>
      <c r="I1747" s="1" t="str">
        <f t="shared" si="27"/>
        <v/>
      </c>
    </row>
    <row r="1748" spans="5:9" x14ac:dyDescent="0.3">
      <c r="E1748" t="str">
        <f>IFERROR(IF(D1748="","",VLOOKUP(D1748,CadProd!$A:$B,2,0)),"")</f>
        <v/>
      </c>
      <c r="F1748" t="str">
        <f>IFERROR(IF(D1748="","",VLOOKUP(D1748,CadProd!$A:$C,3,0)),"")</f>
        <v/>
      </c>
      <c r="I1748" s="1" t="str">
        <f t="shared" si="27"/>
        <v/>
      </c>
    </row>
    <row r="1749" spans="5:9" x14ac:dyDescent="0.3">
      <c r="E1749" t="str">
        <f>IFERROR(IF(D1749="","",VLOOKUP(D1749,CadProd!$A:$B,2,0)),"")</f>
        <v/>
      </c>
      <c r="F1749" t="str">
        <f>IFERROR(IF(D1749="","",VLOOKUP(D1749,CadProd!$A:$C,3,0)),"")</f>
        <v/>
      </c>
      <c r="I1749" s="1" t="str">
        <f t="shared" si="27"/>
        <v/>
      </c>
    </row>
    <row r="1750" spans="5:9" x14ac:dyDescent="0.3">
      <c r="E1750" t="str">
        <f>IFERROR(IF(D1750="","",VLOOKUP(D1750,CadProd!$A:$B,2,0)),"")</f>
        <v/>
      </c>
      <c r="F1750" t="str">
        <f>IFERROR(IF(D1750="","",VLOOKUP(D1750,CadProd!$A:$C,3,0)),"")</f>
        <v/>
      </c>
      <c r="I1750" s="1" t="str">
        <f t="shared" si="27"/>
        <v/>
      </c>
    </row>
    <row r="1751" spans="5:9" x14ac:dyDescent="0.3">
      <c r="E1751" t="str">
        <f>IFERROR(IF(D1751="","",VLOOKUP(D1751,CadProd!$A:$B,2,0)),"")</f>
        <v/>
      </c>
      <c r="F1751" t="str">
        <f>IFERROR(IF(D1751="","",VLOOKUP(D1751,CadProd!$A:$C,3,0)),"")</f>
        <v/>
      </c>
      <c r="I1751" s="1" t="str">
        <f t="shared" si="27"/>
        <v/>
      </c>
    </row>
    <row r="1752" spans="5:9" x14ac:dyDescent="0.3">
      <c r="E1752" t="str">
        <f>IFERROR(IF(D1752="","",VLOOKUP(D1752,CadProd!$A:$B,2,0)),"")</f>
        <v/>
      </c>
      <c r="F1752" t="str">
        <f>IFERROR(IF(D1752="","",VLOOKUP(D1752,CadProd!$A:$C,3,0)),"")</f>
        <v/>
      </c>
      <c r="I1752" s="1" t="str">
        <f t="shared" si="27"/>
        <v/>
      </c>
    </row>
    <row r="1753" spans="5:9" x14ac:dyDescent="0.3">
      <c r="E1753" t="str">
        <f>IFERROR(IF(D1753="","",VLOOKUP(D1753,CadProd!$A:$B,2,0)),"")</f>
        <v/>
      </c>
      <c r="F1753" t="str">
        <f>IFERROR(IF(D1753="","",VLOOKUP(D1753,CadProd!$A:$C,3,0)),"")</f>
        <v/>
      </c>
      <c r="I1753" s="1" t="str">
        <f t="shared" si="27"/>
        <v/>
      </c>
    </row>
    <row r="1754" spans="5:9" x14ac:dyDescent="0.3">
      <c r="E1754" t="str">
        <f>IFERROR(IF(D1754="","",VLOOKUP(D1754,CadProd!$A:$B,2,0)),"")</f>
        <v/>
      </c>
      <c r="F1754" t="str">
        <f>IFERROR(IF(D1754="","",VLOOKUP(D1754,CadProd!$A:$C,3,0)),"")</f>
        <v/>
      </c>
      <c r="I1754" s="1" t="str">
        <f t="shared" si="27"/>
        <v/>
      </c>
    </row>
    <row r="1755" spans="5:9" x14ac:dyDescent="0.3">
      <c r="E1755" t="str">
        <f>IFERROR(IF(D1755="","",VLOOKUP(D1755,CadProd!$A:$B,2,0)),"")</f>
        <v/>
      </c>
      <c r="F1755" t="str">
        <f>IFERROR(IF(D1755="","",VLOOKUP(D1755,CadProd!$A:$C,3,0)),"")</f>
        <v/>
      </c>
      <c r="I1755" s="1" t="str">
        <f t="shared" si="27"/>
        <v/>
      </c>
    </row>
    <row r="1756" spans="5:9" x14ac:dyDescent="0.3">
      <c r="E1756" t="str">
        <f>IFERROR(IF(D1756="","",VLOOKUP(D1756,CadProd!$A:$B,2,0)),"")</f>
        <v/>
      </c>
      <c r="F1756" t="str">
        <f>IFERROR(IF(D1756="","",VLOOKUP(D1756,CadProd!$A:$C,3,0)),"")</f>
        <v/>
      </c>
      <c r="I1756" s="1" t="str">
        <f t="shared" si="27"/>
        <v/>
      </c>
    </row>
    <row r="1757" spans="5:9" x14ac:dyDescent="0.3">
      <c r="E1757" t="str">
        <f>IFERROR(IF(D1757="","",VLOOKUP(D1757,CadProd!$A:$B,2,0)),"")</f>
        <v/>
      </c>
      <c r="F1757" t="str">
        <f>IFERROR(IF(D1757="","",VLOOKUP(D1757,CadProd!$A:$C,3,0)),"")</f>
        <v/>
      </c>
      <c r="I1757" s="1" t="str">
        <f t="shared" si="27"/>
        <v/>
      </c>
    </row>
    <row r="1758" spans="5:9" x14ac:dyDescent="0.3">
      <c r="E1758" t="str">
        <f>IFERROR(IF(D1758="","",VLOOKUP(D1758,CadProd!$A:$B,2,0)),"")</f>
        <v/>
      </c>
      <c r="F1758" t="str">
        <f>IFERROR(IF(D1758="","",VLOOKUP(D1758,CadProd!$A:$C,3,0)),"")</f>
        <v/>
      </c>
      <c r="I1758" s="1" t="str">
        <f t="shared" si="27"/>
        <v/>
      </c>
    </row>
    <row r="1759" spans="5:9" x14ac:dyDescent="0.3">
      <c r="E1759" t="str">
        <f>IFERROR(IF(D1759="","",VLOOKUP(D1759,CadProd!$A:$B,2,0)),"")</f>
        <v/>
      </c>
      <c r="F1759" t="str">
        <f>IFERROR(IF(D1759="","",VLOOKUP(D1759,CadProd!$A:$C,3,0)),"")</f>
        <v/>
      </c>
      <c r="I1759" s="1" t="str">
        <f t="shared" si="27"/>
        <v/>
      </c>
    </row>
    <row r="1760" spans="5:9" x14ac:dyDescent="0.3">
      <c r="E1760" t="str">
        <f>IFERROR(IF(D1760="","",VLOOKUP(D1760,CadProd!$A:$B,2,0)),"")</f>
        <v/>
      </c>
      <c r="F1760" t="str">
        <f>IFERROR(IF(D1760="","",VLOOKUP(D1760,CadProd!$A:$C,3,0)),"")</f>
        <v/>
      </c>
      <c r="I1760" s="1" t="str">
        <f t="shared" si="27"/>
        <v/>
      </c>
    </row>
    <row r="1761" spans="5:9" x14ac:dyDescent="0.3">
      <c r="E1761" t="str">
        <f>IFERROR(IF(D1761="","",VLOOKUP(D1761,CadProd!$A:$B,2,0)),"")</f>
        <v/>
      </c>
      <c r="F1761" t="str">
        <f>IFERROR(IF(D1761="","",VLOOKUP(D1761,CadProd!$A:$C,3,0)),"")</f>
        <v/>
      </c>
      <c r="I1761" s="1" t="str">
        <f t="shared" si="27"/>
        <v/>
      </c>
    </row>
    <row r="1762" spans="5:9" x14ac:dyDescent="0.3">
      <c r="E1762" t="str">
        <f>IFERROR(IF(D1762="","",VLOOKUP(D1762,CadProd!$A:$B,2,0)),"")</f>
        <v/>
      </c>
      <c r="F1762" t="str">
        <f>IFERROR(IF(D1762="","",VLOOKUP(D1762,CadProd!$A:$C,3,0)),"")</f>
        <v/>
      </c>
      <c r="I1762" s="1" t="str">
        <f t="shared" si="27"/>
        <v/>
      </c>
    </row>
    <row r="1763" spans="5:9" x14ac:dyDescent="0.3">
      <c r="E1763" t="str">
        <f>IFERROR(IF(D1763="","",VLOOKUP(D1763,CadProd!$A:$B,2,0)),"")</f>
        <v/>
      </c>
      <c r="F1763" t="str">
        <f>IFERROR(IF(D1763="","",VLOOKUP(D1763,CadProd!$A:$C,3,0)),"")</f>
        <v/>
      </c>
      <c r="I1763" s="1" t="str">
        <f t="shared" si="27"/>
        <v/>
      </c>
    </row>
    <row r="1764" spans="5:9" x14ac:dyDescent="0.3">
      <c r="E1764" t="str">
        <f>IFERROR(IF(D1764="","",VLOOKUP(D1764,CadProd!$A:$B,2,0)),"")</f>
        <v/>
      </c>
      <c r="F1764" t="str">
        <f>IFERROR(IF(D1764="","",VLOOKUP(D1764,CadProd!$A:$C,3,0)),"")</f>
        <v/>
      </c>
      <c r="I1764" s="1" t="str">
        <f t="shared" si="27"/>
        <v/>
      </c>
    </row>
    <row r="1765" spans="5:9" x14ac:dyDescent="0.3">
      <c r="E1765" t="str">
        <f>IFERROR(IF(D1765="","",VLOOKUP(D1765,CadProd!$A:$B,2,0)),"")</f>
        <v/>
      </c>
      <c r="F1765" t="str">
        <f>IFERROR(IF(D1765="","",VLOOKUP(D1765,CadProd!$A:$C,3,0)),"")</f>
        <v/>
      </c>
      <c r="I1765" s="1" t="str">
        <f t="shared" si="27"/>
        <v/>
      </c>
    </row>
    <row r="1766" spans="5:9" x14ac:dyDescent="0.3">
      <c r="E1766" t="str">
        <f>IFERROR(IF(D1766="","",VLOOKUP(D1766,CadProd!$A:$B,2,0)),"")</f>
        <v/>
      </c>
      <c r="F1766" t="str">
        <f>IFERROR(IF(D1766="","",VLOOKUP(D1766,CadProd!$A:$C,3,0)),"")</f>
        <v/>
      </c>
      <c r="I1766" s="1" t="str">
        <f t="shared" si="27"/>
        <v/>
      </c>
    </row>
    <row r="1767" spans="5:9" x14ac:dyDescent="0.3">
      <c r="E1767" t="str">
        <f>IFERROR(IF(D1767="","",VLOOKUP(D1767,CadProd!$A:$B,2,0)),"")</f>
        <v/>
      </c>
      <c r="F1767" t="str">
        <f>IFERROR(IF(D1767="","",VLOOKUP(D1767,CadProd!$A:$C,3,0)),"")</f>
        <v/>
      </c>
      <c r="I1767" s="1" t="str">
        <f t="shared" si="27"/>
        <v/>
      </c>
    </row>
    <row r="1768" spans="5:9" x14ac:dyDescent="0.3">
      <c r="E1768" t="str">
        <f>IFERROR(IF(D1768="","",VLOOKUP(D1768,CadProd!$A:$B,2,0)),"")</f>
        <v/>
      </c>
      <c r="F1768" t="str">
        <f>IFERROR(IF(D1768="","",VLOOKUP(D1768,CadProd!$A:$C,3,0)),"")</f>
        <v/>
      </c>
      <c r="I1768" s="1" t="str">
        <f t="shared" si="27"/>
        <v/>
      </c>
    </row>
    <row r="1769" spans="5:9" x14ac:dyDescent="0.3">
      <c r="E1769" t="str">
        <f>IFERROR(IF(D1769="","",VLOOKUP(D1769,CadProd!$A:$B,2,0)),"")</f>
        <v/>
      </c>
      <c r="F1769" t="str">
        <f>IFERROR(IF(D1769="","",VLOOKUP(D1769,CadProd!$A:$C,3,0)),"")</f>
        <v/>
      </c>
      <c r="I1769" s="1" t="str">
        <f t="shared" si="27"/>
        <v/>
      </c>
    </row>
    <row r="1770" spans="5:9" x14ac:dyDescent="0.3">
      <c r="E1770" t="str">
        <f>IFERROR(IF(D1770="","",VLOOKUP(D1770,CadProd!$A:$B,2,0)),"")</f>
        <v/>
      </c>
      <c r="F1770" t="str">
        <f>IFERROR(IF(D1770="","",VLOOKUP(D1770,CadProd!$A:$C,3,0)),"")</f>
        <v/>
      </c>
      <c r="I1770" s="1" t="str">
        <f t="shared" si="27"/>
        <v/>
      </c>
    </row>
    <row r="1771" spans="5:9" x14ac:dyDescent="0.3">
      <c r="E1771" t="str">
        <f>IFERROR(IF(D1771="","",VLOOKUP(D1771,CadProd!$A:$B,2,0)),"")</f>
        <v/>
      </c>
      <c r="F1771" t="str">
        <f>IFERROR(IF(D1771="","",VLOOKUP(D1771,CadProd!$A:$C,3,0)),"")</f>
        <v/>
      </c>
      <c r="I1771" s="1" t="str">
        <f t="shared" si="27"/>
        <v/>
      </c>
    </row>
    <row r="1772" spans="5:9" x14ac:dyDescent="0.3">
      <c r="E1772" t="str">
        <f>IFERROR(IF(D1772="","",VLOOKUP(D1772,CadProd!$A:$B,2,0)),"")</f>
        <v/>
      </c>
      <c r="F1772" t="str">
        <f>IFERROR(IF(D1772="","",VLOOKUP(D1772,CadProd!$A:$C,3,0)),"")</f>
        <v/>
      </c>
      <c r="I1772" s="1" t="str">
        <f t="shared" si="27"/>
        <v/>
      </c>
    </row>
    <row r="1773" spans="5:9" x14ac:dyDescent="0.3">
      <c r="E1773" t="str">
        <f>IFERROR(IF(D1773="","",VLOOKUP(D1773,CadProd!$A:$B,2,0)),"")</f>
        <v/>
      </c>
      <c r="F1773" t="str">
        <f>IFERROR(IF(D1773="","",VLOOKUP(D1773,CadProd!$A:$C,3,0)),"")</f>
        <v/>
      </c>
      <c r="I1773" s="1" t="str">
        <f t="shared" si="27"/>
        <v/>
      </c>
    </row>
    <row r="1774" spans="5:9" x14ac:dyDescent="0.3">
      <c r="E1774" t="str">
        <f>IFERROR(IF(D1774="","",VLOOKUP(D1774,CadProd!$A:$B,2,0)),"")</f>
        <v/>
      </c>
      <c r="F1774" t="str">
        <f>IFERROR(IF(D1774="","",VLOOKUP(D1774,CadProd!$A:$C,3,0)),"")</f>
        <v/>
      </c>
      <c r="I1774" s="1" t="str">
        <f t="shared" si="27"/>
        <v/>
      </c>
    </row>
    <row r="1775" spans="5:9" x14ac:dyDescent="0.3">
      <c r="E1775" t="str">
        <f>IFERROR(IF(D1775="","",VLOOKUP(D1775,CadProd!$A:$B,2,0)),"")</f>
        <v/>
      </c>
      <c r="F1775" t="str">
        <f>IFERROR(IF(D1775="","",VLOOKUP(D1775,CadProd!$A:$C,3,0)),"")</f>
        <v/>
      </c>
      <c r="I1775" s="1" t="str">
        <f t="shared" si="27"/>
        <v/>
      </c>
    </row>
    <row r="1776" spans="5:9" x14ac:dyDescent="0.3">
      <c r="E1776" t="str">
        <f>IFERROR(IF(D1776="","",VLOOKUP(D1776,CadProd!$A:$B,2,0)),"")</f>
        <v/>
      </c>
      <c r="F1776" t="str">
        <f>IFERROR(IF(D1776="","",VLOOKUP(D1776,CadProd!$A:$C,3,0)),"")</f>
        <v/>
      </c>
      <c r="I1776" s="1" t="str">
        <f t="shared" si="27"/>
        <v/>
      </c>
    </row>
    <row r="1777" spans="5:9" x14ac:dyDescent="0.3">
      <c r="E1777" t="str">
        <f>IFERROR(IF(D1777="","",VLOOKUP(D1777,CadProd!$A:$B,2,0)),"")</f>
        <v/>
      </c>
      <c r="F1777" t="str">
        <f>IFERROR(IF(D1777="","",VLOOKUP(D1777,CadProd!$A:$C,3,0)),"")</f>
        <v/>
      </c>
      <c r="I1777" s="1" t="str">
        <f t="shared" si="27"/>
        <v/>
      </c>
    </row>
    <row r="1778" spans="5:9" x14ac:dyDescent="0.3">
      <c r="E1778" t="str">
        <f>IFERROR(IF(D1778="","",VLOOKUP(D1778,CadProd!$A:$B,2,0)),"")</f>
        <v/>
      </c>
      <c r="F1778" t="str">
        <f>IFERROR(IF(D1778="","",VLOOKUP(D1778,CadProd!$A:$C,3,0)),"")</f>
        <v/>
      </c>
      <c r="I1778" s="1" t="str">
        <f t="shared" si="27"/>
        <v/>
      </c>
    </row>
    <row r="1779" spans="5:9" x14ac:dyDescent="0.3">
      <c r="E1779" t="str">
        <f>IFERROR(IF(D1779="","",VLOOKUP(D1779,CadProd!$A:$B,2,0)),"")</f>
        <v/>
      </c>
      <c r="F1779" t="str">
        <f>IFERROR(IF(D1779="","",VLOOKUP(D1779,CadProd!$A:$C,3,0)),"")</f>
        <v/>
      </c>
      <c r="I1779" s="1" t="str">
        <f t="shared" si="27"/>
        <v/>
      </c>
    </row>
    <row r="1780" spans="5:9" x14ac:dyDescent="0.3">
      <c r="E1780" t="str">
        <f>IFERROR(IF(D1780="","",VLOOKUP(D1780,CadProd!$A:$B,2,0)),"")</f>
        <v/>
      </c>
      <c r="F1780" t="str">
        <f>IFERROR(IF(D1780="","",VLOOKUP(D1780,CadProd!$A:$C,3,0)),"")</f>
        <v/>
      </c>
      <c r="I1780" s="1" t="str">
        <f t="shared" si="27"/>
        <v/>
      </c>
    </row>
    <row r="1781" spans="5:9" x14ac:dyDescent="0.3">
      <c r="E1781" t="str">
        <f>IFERROR(IF(D1781="","",VLOOKUP(D1781,CadProd!$A:$B,2,0)),"")</f>
        <v/>
      </c>
      <c r="F1781" t="str">
        <f>IFERROR(IF(D1781="","",VLOOKUP(D1781,CadProd!$A:$C,3,0)),"")</f>
        <v/>
      </c>
      <c r="I1781" s="1" t="str">
        <f t="shared" si="27"/>
        <v/>
      </c>
    </row>
    <row r="1782" spans="5:9" x14ac:dyDescent="0.3">
      <c r="E1782" t="str">
        <f>IFERROR(IF(D1782="","",VLOOKUP(D1782,CadProd!$A:$B,2,0)),"")</f>
        <v/>
      </c>
      <c r="F1782" t="str">
        <f>IFERROR(IF(D1782="","",VLOOKUP(D1782,CadProd!$A:$C,3,0)),"")</f>
        <v/>
      </c>
      <c r="I1782" s="1" t="str">
        <f t="shared" si="27"/>
        <v/>
      </c>
    </row>
    <row r="1783" spans="5:9" x14ac:dyDescent="0.3">
      <c r="E1783" t="str">
        <f>IFERROR(IF(D1783="","",VLOOKUP(D1783,CadProd!$A:$B,2,0)),"")</f>
        <v/>
      </c>
      <c r="F1783" t="str">
        <f>IFERROR(IF(D1783="","",VLOOKUP(D1783,CadProd!$A:$C,3,0)),"")</f>
        <v/>
      </c>
      <c r="I1783" s="1" t="str">
        <f t="shared" si="27"/>
        <v/>
      </c>
    </row>
    <row r="1784" spans="5:9" x14ac:dyDescent="0.3">
      <c r="E1784" t="str">
        <f>IFERROR(IF(D1784="","",VLOOKUP(D1784,CadProd!$A:$B,2,0)),"")</f>
        <v/>
      </c>
      <c r="F1784" t="str">
        <f>IFERROR(IF(D1784="","",VLOOKUP(D1784,CadProd!$A:$C,3,0)),"")</f>
        <v/>
      </c>
      <c r="I1784" s="1" t="str">
        <f t="shared" si="27"/>
        <v/>
      </c>
    </row>
    <row r="1785" spans="5:9" x14ac:dyDescent="0.3">
      <c r="E1785" t="str">
        <f>IFERROR(IF(D1785="","",VLOOKUP(D1785,CadProd!$A:$B,2,0)),"")</f>
        <v/>
      </c>
      <c r="F1785" t="str">
        <f>IFERROR(IF(D1785="","",VLOOKUP(D1785,CadProd!$A:$C,3,0)),"")</f>
        <v/>
      </c>
      <c r="I1785" s="1" t="str">
        <f t="shared" si="27"/>
        <v/>
      </c>
    </row>
    <row r="1786" spans="5:9" x14ac:dyDescent="0.3">
      <c r="E1786" t="str">
        <f>IFERROR(IF(D1786="","",VLOOKUP(D1786,CadProd!$A:$B,2,0)),"")</f>
        <v/>
      </c>
      <c r="F1786" t="str">
        <f>IFERROR(IF(D1786="","",VLOOKUP(D1786,CadProd!$A:$C,3,0)),"")</f>
        <v/>
      </c>
      <c r="I1786" s="1" t="str">
        <f t="shared" si="27"/>
        <v/>
      </c>
    </row>
    <row r="1787" spans="5:9" x14ac:dyDescent="0.3">
      <c r="E1787" t="str">
        <f>IFERROR(IF(D1787="","",VLOOKUP(D1787,CadProd!$A:$B,2,0)),"")</f>
        <v/>
      </c>
      <c r="F1787" t="str">
        <f>IFERROR(IF(D1787="","",VLOOKUP(D1787,CadProd!$A:$C,3,0)),"")</f>
        <v/>
      </c>
      <c r="I1787" s="1" t="str">
        <f t="shared" si="27"/>
        <v/>
      </c>
    </row>
    <row r="1788" spans="5:9" x14ac:dyDescent="0.3">
      <c r="E1788" t="str">
        <f>IFERROR(IF(D1788="","",VLOOKUP(D1788,CadProd!$A:$B,2,0)),"")</f>
        <v/>
      </c>
      <c r="F1788" t="str">
        <f>IFERROR(IF(D1788="","",VLOOKUP(D1788,CadProd!$A:$C,3,0)),"")</f>
        <v/>
      </c>
      <c r="I1788" s="1" t="str">
        <f t="shared" si="27"/>
        <v/>
      </c>
    </row>
    <row r="1789" spans="5:9" x14ac:dyDescent="0.3">
      <c r="E1789" t="str">
        <f>IFERROR(IF(D1789="","",VLOOKUP(D1789,CadProd!$A:$B,2,0)),"")</f>
        <v/>
      </c>
      <c r="F1789" t="str">
        <f>IFERROR(IF(D1789="","",VLOOKUP(D1789,CadProd!$A:$C,3,0)),"")</f>
        <v/>
      </c>
      <c r="I1789" s="1" t="str">
        <f t="shared" si="27"/>
        <v/>
      </c>
    </row>
    <row r="1790" spans="5:9" x14ac:dyDescent="0.3">
      <c r="E1790" t="str">
        <f>IFERROR(IF(D1790="","",VLOOKUP(D1790,CadProd!$A:$B,2,0)),"")</f>
        <v/>
      </c>
      <c r="F1790" t="str">
        <f>IFERROR(IF(D1790="","",VLOOKUP(D1790,CadProd!$A:$C,3,0)),"")</f>
        <v/>
      </c>
      <c r="I1790" s="1" t="str">
        <f t="shared" si="27"/>
        <v/>
      </c>
    </row>
    <row r="1791" spans="5:9" x14ac:dyDescent="0.3">
      <c r="E1791" t="str">
        <f>IFERROR(IF(D1791="","",VLOOKUP(D1791,CadProd!$A:$B,2,0)),"")</f>
        <v/>
      </c>
      <c r="F1791" t="str">
        <f>IFERROR(IF(D1791="","",VLOOKUP(D1791,CadProd!$A:$C,3,0)),"")</f>
        <v/>
      </c>
      <c r="I1791" s="1" t="str">
        <f t="shared" si="27"/>
        <v/>
      </c>
    </row>
    <row r="1792" spans="5:9" x14ac:dyDescent="0.3">
      <c r="E1792" t="str">
        <f>IFERROR(IF(D1792="","",VLOOKUP(D1792,CadProd!$A:$B,2,0)),"")</f>
        <v/>
      </c>
      <c r="F1792" t="str">
        <f>IFERROR(IF(D1792="","",VLOOKUP(D1792,CadProd!$A:$C,3,0)),"")</f>
        <v/>
      </c>
      <c r="I1792" s="1" t="str">
        <f t="shared" si="27"/>
        <v/>
      </c>
    </row>
    <row r="1793" spans="5:9" x14ac:dyDescent="0.3">
      <c r="E1793" t="str">
        <f>IFERROR(IF(D1793="","",VLOOKUP(D1793,CadProd!$A:$B,2,0)),"")</f>
        <v/>
      </c>
      <c r="F1793" t="str">
        <f>IFERROR(IF(D1793="","",VLOOKUP(D1793,CadProd!$A:$C,3,0)),"")</f>
        <v/>
      </c>
      <c r="I1793" s="1" t="str">
        <f t="shared" si="27"/>
        <v/>
      </c>
    </row>
    <row r="1794" spans="5:9" x14ac:dyDescent="0.3">
      <c r="E1794" t="str">
        <f>IFERROR(IF(D1794="","",VLOOKUP(D1794,CadProd!$A:$B,2,0)),"")</f>
        <v/>
      </c>
      <c r="F1794" t="str">
        <f>IFERROR(IF(D1794="","",VLOOKUP(D1794,CadProd!$A:$C,3,0)),"")</f>
        <v/>
      </c>
      <c r="I1794" s="1" t="str">
        <f t="shared" ref="I1794:I1857" si="28">IFERROR(IF(D1794="","",H1794*G1794),"")</f>
        <v/>
      </c>
    </row>
    <row r="1795" spans="5:9" x14ac:dyDescent="0.3">
      <c r="E1795" t="str">
        <f>IFERROR(IF(D1795="","",VLOOKUP(D1795,CadProd!$A:$B,2,0)),"")</f>
        <v/>
      </c>
      <c r="F1795" t="str">
        <f>IFERROR(IF(D1795="","",VLOOKUP(D1795,CadProd!$A:$C,3,0)),"")</f>
        <v/>
      </c>
      <c r="I1795" s="1" t="str">
        <f t="shared" si="28"/>
        <v/>
      </c>
    </row>
    <row r="1796" spans="5:9" x14ac:dyDescent="0.3">
      <c r="E1796" t="str">
        <f>IFERROR(IF(D1796="","",VLOOKUP(D1796,CadProd!$A:$B,2,0)),"")</f>
        <v/>
      </c>
      <c r="F1796" t="str">
        <f>IFERROR(IF(D1796="","",VLOOKUP(D1796,CadProd!$A:$C,3,0)),"")</f>
        <v/>
      </c>
      <c r="I1796" s="1" t="str">
        <f t="shared" si="28"/>
        <v/>
      </c>
    </row>
    <row r="1797" spans="5:9" x14ac:dyDescent="0.3">
      <c r="E1797" t="str">
        <f>IFERROR(IF(D1797="","",VLOOKUP(D1797,CadProd!$A:$B,2,0)),"")</f>
        <v/>
      </c>
      <c r="F1797" t="str">
        <f>IFERROR(IF(D1797="","",VLOOKUP(D1797,CadProd!$A:$C,3,0)),"")</f>
        <v/>
      </c>
      <c r="I1797" s="1" t="str">
        <f t="shared" si="28"/>
        <v/>
      </c>
    </row>
    <row r="1798" spans="5:9" x14ac:dyDescent="0.3">
      <c r="E1798" t="str">
        <f>IFERROR(IF(D1798="","",VLOOKUP(D1798,CadProd!$A:$B,2,0)),"")</f>
        <v/>
      </c>
      <c r="F1798" t="str">
        <f>IFERROR(IF(D1798="","",VLOOKUP(D1798,CadProd!$A:$C,3,0)),"")</f>
        <v/>
      </c>
      <c r="I1798" s="1" t="str">
        <f t="shared" si="28"/>
        <v/>
      </c>
    </row>
    <row r="1799" spans="5:9" x14ac:dyDescent="0.3">
      <c r="E1799" t="str">
        <f>IFERROR(IF(D1799="","",VLOOKUP(D1799,CadProd!$A:$B,2,0)),"")</f>
        <v/>
      </c>
      <c r="F1799" t="str">
        <f>IFERROR(IF(D1799="","",VLOOKUP(D1799,CadProd!$A:$C,3,0)),"")</f>
        <v/>
      </c>
      <c r="I1799" s="1" t="str">
        <f t="shared" si="28"/>
        <v/>
      </c>
    </row>
    <row r="1800" spans="5:9" x14ac:dyDescent="0.3">
      <c r="E1800" t="str">
        <f>IFERROR(IF(D1800="","",VLOOKUP(D1800,CadProd!$A:$B,2,0)),"")</f>
        <v/>
      </c>
      <c r="F1800" t="str">
        <f>IFERROR(IF(D1800="","",VLOOKUP(D1800,CadProd!$A:$C,3,0)),"")</f>
        <v/>
      </c>
      <c r="I1800" s="1" t="str">
        <f t="shared" si="28"/>
        <v/>
      </c>
    </row>
    <row r="1801" spans="5:9" x14ac:dyDescent="0.3">
      <c r="E1801" t="str">
        <f>IFERROR(IF(D1801="","",VLOOKUP(D1801,CadProd!$A:$B,2,0)),"")</f>
        <v/>
      </c>
      <c r="F1801" t="str">
        <f>IFERROR(IF(D1801="","",VLOOKUP(D1801,CadProd!$A:$C,3,0)),"")</f>
        <v/>
      </c>
      <c r="I1801" s="1" t="str">
        <f t="shared" si="28"/>
        <v/>
      </c>
    </row>
    <row r="1802" spans="5:9" x14ac:dyDescent="0.3">
      <c r="E1802" t="str">
        <f>IFERROR(IF(D1802="","",VLOOKUP(D1802,CadProd!$A:$B,2,0)),"")</f>
        <v/>
      </c>
      <c r="F1802" t="str">
        <f>IFERROR(IF(D1802="","",VLOOKUP(D1802,CadProd!$A:$C,3,0)),"")</f>
        <v/>
      </c>
      <c r="I1802" s="1" t="str">
        <f t="shared" si="28"/>
        <v/>
      </c>
    </row>
    <row r="1803" spans="5:9" x14ac:dyDescent="0.3">
      <c r="E1803" t="str">
        <f>IFERROR(IF(D1803="","",VLOOKUP(D1803,CadProd!$A:$B,2,0)),"")</f>
        <v/>
      </c>
      <c r="F1803" t="str">
        <f>IFERROR(IF(D1803="","",VLOOKUP(D1803,CadProd!$A:$C,3,0)),"")</f>
        <v/>
      </c>
      <c r="I1803" s="1" t="str">
        <f t="shared" si="28"/>
        <v/>
      </c>
    </row>
    <row r="1804" spans="5:9" x14ac:dyDescent="0.3">
      <c r="E1804" t="str">
        <f>IFERROR(IF(D1804="","",VLOOKUP(D1804,CadProd!$A:$B,2,0)),"")</f>
        <v/>
      </c>
      <c r="F1804" t="str">
        <f>IFERROR(IF(D1804="","",VLOOKUP(D1804,CadProd!$A:$C,3,0)),"")</f>
        <v/>
      </c>
      <c r="I1804" s="1" t="str">
        <f t="shared" si="28"/>
        <v/>
      </c>
    </row>
    <row r="1805" spans="5:9" x14ac:dyDescent="0.3">
      <c r="E1805" t="str">
        <f>IFERROR(IF(D1805="","",VLOOKUP(D1805,CadProd!$A:$B,2,0)),"")</f>
        <v/>
      </c>
      <c r="F1805" t="str">
        <f>IFERROR(IF(D1805="","",VLOOKUP(D1805,CadProd!$A:$C,3,0)),"")</f>
        <v/>
      </c>
      <c r="I1805" s="1" t="str">
        <f t="shared" si="28"/>
        <v/>
      </c>
    </row>
    <row r="1806" spans="5:9" x14ac:dyDescent="0.3">
      <c r="E1806" t="str">
        <f>IFERROR(IF(D1806="","",VLOOKUP(D1806,CadProd!$A:$B,2,0)),"")</f>
        <v/>
      </c>
      <c r="F1806" t="str">
        <f>IFERROR(IF(D1806="","",VLOOKUP(D1806,CadProd!$A:$C,3,0)),"")</f>
        <v/>
      </c>
      <c r="I1806" s="1" t="str">
        <f t="shared" si="28"/>
        <v/>
      </c>
    </row>
    <row r="1807" spans="5:9" x14ac:dyDescent="0.3">
      <c r="E1807" t="str">
        <f>IFERROR(IF(D1807="","",VLOOKUP(D1807,CadProd!$A:$B,2,0)),"")</f>
        <v/>
      </c>
      <c r="F1807" t="str">
        <f>IFERROR(IF(D1807="","",VLOOKUP(D1807,CadProd!$A:$C,3,0)),"")</f>
        <v/>
      </c>
      <c r="I1807" s="1" t="str">
        <f t="shared" si="28"/>
        <v/>
      </c>
    </row>
    <row r="1808" spans="5:9" x14ac:dyDescent="0.3">
      <c r="E1808" t="str">
        <f>IFERROR(IF(D1808="","",VLOOKUP(D1808,CadProd!$A:$B,2,0)),"")</f>
        <v/>
      </c>
      <c r="F1808" t="str">
        <f>IFERROR(IF(D1808="","",VLOOKUP(D1808,CadProd!$A:$C,3,0)),"")</f>
        <v/>
      </c>
      <c r="I1808" s="1" t="str">
        <f t="shared" si="28"/>
        <v/>
      </c>
    </row>
    <row r="1809" spans="5:9" x14ac:dyDescent="0.3">
      <c r="E1809" t="str">
        <f>IFERROR(IF(D1809="","",VLOOKUP(D1809,CadProd!$A:$B,2,0)),"")</f>
        <v/>
      </c>
      <c r="F1809" t="str">
        <f>IFERROR(IF(D1809="","",VLOOKUP(D1809,CadProd!$A:$C,3,0)),"")</f>
        <v/>
      </c>
      <c r="I1809" s="1" t="str">
        <f t="shared" si="28"/>
        <v/>
      </c>
    </row>
    <row r="1810" spans="5:9" x14ac:dyDescent="0.3">
      <c r="E1810" t="str">
        <f>IFERROR(IF(D1810="","",VLOOKUP(D1810,CadProd!$A:$B,2,0)),"")</f>
        <v/>
      </c>
      <c r="F1810" t="str">
        <f>IFERROR(IF(D1810="","",VLOOKUP(D1810,CadProd!$A:$C,3,0)),"")</f>
        <v/>
      </c>
      <c r="I1810" s="1" t="str">
        <f t="shared" si="28"/>
        <v/>
      </c>
    </row>
    <row r="1811" spans="5:9" x14ac:dyDescent="0.3">
      <c r="E1811" t="str">
        <f>IFERROR(IF(D1811="","",VLOOKUP(D1811,CadProd!$A:$B,2,0)),"")</f>
        <v/>
      </c>
      <c r="F1811" t="str">
        <f>IFERROR(IF(D1811="","",VLOOKUP(D1811,CadProd!$A:$C,3,0)),"")</f>
        <v/>
      </c>
      <c r="I1811" s="1" t="str">
        <f t="shared" si="28"/>
        <v/>
      </c>
    </row>
    <row r="1812" spans="5:9" x14ac:dyDescent="0.3">
      <c r="E1812" t="str">
        <f>IFERROR(IF(D1812="","",VLOOKUP(D1812,CadProd!$A:$B,2,0)),"")</f>
        <v/>
      </c>
      <c r="F1812" t="str">
        <f>IFERROR(IF(D1812="","",VLOOKUP(D1812,CadProd!$A:$C,3,0)),"")</f>
        <v/>
      </c>
      <c r="I1812" s="1" t="str">
        <f t="shared" si="28"/>
        <v/>
      </c>
    </row>
    <row r="1813" spans="5:9" x14ac:dyDescent="0.3">
      <c r="E1813" t="str">
        <f>IFERROR(IF(D1813="","",VLOOKUP(D1813,CadProd!$A:$B,2,0)),"")</f>
        <v/>
      </c>
      <c r="F1813" t="str">
        <f>IFERROR(IF(D1813="","",VLOOKUP(D1813,CadProd!$A:$C,3,0)),"")</f>
        <v/>
      </c>
      <c r="I1813" s="1" t="str">
        <f t="shared" si="28"/>
        <v/>
      </c>
    </row>
    <row r="1814" spans="5:9" x14ac:dyDescent="0.3">
      <c r="E1814" t="str">
        <f>IFERROR(IF(D1814="","",VLOOKUP(D1814,CadProd!$A:$B,2,0)),"")</f>
        <v/>
      </c>
      <c r="F1814" t="str">
        <f>IFERROR(IF(D1814="","",VLOOKUP(D1814,CadProd!$A:$C,3,0)),"")</f>
        <v/>
      </c>
      <c r="I1814" s="1" t="str">
        <f t="shared" si="28"/>
        <v/>
      </c>
    </row>
    <row r="1815" spans="5:9" x14ac:dyDescent="0.3">
      <c r="E1815" t="str">
        <f>IFERROR(IF(D1815="","",VLOOKUP(D1815,CadProd!$A:$B,2,0)),"")</f>
        <v/>
      </c>
      <c r="F1815" t="str">
        <f>IFERROR(IF(D1815="","",VLOOKUP(D1815,CadProd!$A:$C,3,0)),"")</f>
        <v/>
      </c>
      <c r="I1815" s="1" t="str">
        <f t="shared" si="28"/>
        <v/>
      </c>
    </row>
    <row r="1816" spans="5:9" x14ac:dyDescent="0.3">
      <c r="E1816" t="str">
        <f>IFERROR(IF(D1816="","",VLOOKUP(D1816,CadProd!$A:$B,2,0)),"")</f>
        <v/>
      </c>
      <c r="F1816" t="str">
        <f>IFERROR(IF(D1816="","",VLOOKUP(D1816,CadProd!$A:$C,3,0)),"")</f>
        <v/>
      </c>
      <c r="I1816" s="1" t="str">
        <f t="shared" si="28"/>
        <v/>
      </c>
    </row>
    <row r="1817" spans="5:9" x14ac:dyDescent="0.3">
      <c r="E1817" t="str">
        <f>IFERROR(IF(D1817="","",VLOOKUP(D1817,CadProd!$A:$B,2,0)),"")</f>
        <v/>
      </c>
      <c r="F1817" t="str">
        <f>IFERROR(IF(D1817="","",VLOOKUP(D1817,CadProd!$A:$C,3,0)),"")</f>
        <v/>
      </c>
      <c r="I1817" s="1" t="str">
        <f t="shared" si="28"/>
        <v/>
      </c>
    </row>
    <row r="1818" spans="5:9" x14ac:dyDescent="0.3">
      <c r="E1818" t="str">
        <f>IFERROR(IF(D1818="","",VLOOKUP(D1818,CadProd!$A:$B,2,0)),"")</f>
        <v/>
      </c>
      <c r="F1818" t="str">
        <f>IFERROR(IF(D1818="","",VLOOKUP(D1818,CadProd!$A:$C,3,0)),"")</f>
        <v/>
      </c>
      <c r="I1818" s="1" t="str">
        <f t="shared" si="28"/>
        <v/>
      </c>
    </row>
    <row r="1819" spans="5:9" x14ac:dyDescent="0.3">
      <c r="E1819" t="str">
        <f>IFERROR(IF(D1819="","",VLOOKUP(D1819,CadProd!$A:$B,2,0)),"")</f>
        <v/>
      </c>
      <c r="F1819" t="str">
        <f>IFERROR(IF(D1819="","",VLOOKUP(D1819,CadProd!$A:$C,3,0)),"")</f>
        <v/>
      </c>
      <c r="I1819" s="1" t="str">
        <f t="shared" si="28"/>
        <v/>
      </c>
    </row>
    <row r="1820" spans="5:9" x14ac:dyDescent="0.3">
      <c r="E1820" t="str">
        <f>IFERROR(IF(D1820="","",VLOOKUP(D1820,CadProd!$A:$B,2,0)),"")</f>
        <v/>
      </c>
      <c r="F1820" t="str">
        <f>IFERROR(IF(D1820="","",VLOOKUP(D1820,CadProd!$A:$C,3,0)),"")</f>
        <v/>
      </c>
      <c r="I1820" s="1" t="str">
        <f t="shared" si="28"/>
        <v/>
      </c>
    </row>
    <row r="1821" spans="5:9" x14ac:dyDescent="0.3">
      <c r="E1821" t="str">
        <f>IFERROR(IF(D1821="","",VLOOKUP(D1821,CadProd!$A:$B,2,0)),"")</f>
        <v/>
      </c>
      <c r="F1821" t="str">
        <f>IFERROR(IF(D1821="","",VLOOKUP(D1821,CadProd!$A:$C,3,0)),"")</f>
        <v/>
      </c>
      <c r="I1821" s="1" t="str">
        <f t="shared" si="28"/>
        <v/>
      </c>
    </row>
    <row r="1822" spans="5:9" x14ac:dyDescent="0.3">
      <c r="E1822" t="str">
        <f>IFERROR(IF(D1822="","",VLOOKUP(D1822,CadProd!$A:$B,2,0)),"")</f>
        <v/>
      </c>
      <c r="F1822" t="str">
        <f>IFERROR(IF(D1822="","",VLOOKUP(D1822,CadProd!$A:$C,3,0)),"")</f>
        <v/>
      </c>
      <c r="I1822" s="1" t="str">
        <f t="shared" si="28"/>
        <v/>
      </c>
    </row>
    <row r="1823" spans="5:9" x14ac:dyDescent="0.3">
      <c r="E1823" t="str">
        <f>IFERROR(IF(D1823="","",VLOOKUP(D1823,CadProd!$A:$B,2,0)),"")</f>
        <v/>
      </c>
      <c r="F1823" t="str">
        <f>IFERROR(IF(D1823="","",VLOOKUP(D1823,CadProd!$A:$C,3,0)),"")</f>
        <v/>
      </c>
      <c r="I1823" s="1" t="str">
        <f t="shared" si="28"/>
        <v/>
      </c>
    </row>
    <row r="1824" spans="5:9" x14ac:dyDescent="0.3">
      <c r="E1824" t="str">
        <f>IFERROR(IF(D1824="","",VLOOKUP(D1824,CadProd!$A:$B,2,0)),"")</f>
        <v/>
      </c>
      <c r="F1824" t="str">
        <f>IFERROR(IF(D1824="","",VLOOKUP(D1824,CadProd!$A:$C,3,0)),"")</f>
        <v/>
      </c>
      <c r="I1824" s="1" t="str">
        <f t="shared" si="28"/>
        <v/>
      </c>
    </row>
    <row r="1825" spans="5:9" x14ac:dyDescent="0.3">
      <c r="E1825" t="str">
        <f>IFERROR(IF(D1825="","",VLOOKUP(D1825,CadProd!$A:$B,2,0)),"")</f>
        <v/>
      </c>
      <c r="F1825" t="str">
        <f>IFERROR(IF(D1825="","",VLOOKUP(D1825,CadProd!$A:$C,3,0)),"")</f>
        <v/>
      </c>
      <c r="I1825" s="1" t="str">
        <f t="shared" si="28"/>
        <v/>
      </c>
    </row>
    <row r="1826" spans="5:9" x14ac:dyDescent="0.3">
      <c r="E1826" t="str">
        <f>IFERROR(IF(D1826="","",VLOOKUP(D1826,CadProd!$A:$B,2,0)),"")</f>
        <v/>
      </c>
      <c r="F1826" t="str">
        <f>IFERROR(IF(D1826="","",VLOOKUP(D1826,CadProd!$A:$C,3,0)),"")</f>
        <v/>
      </c>
      <c r="I1826" s="1" t="str">
        <f t="shared" si="28"/>
        <v/>
      </c>
    </row>
    <row r="1827" spans="5:9" x14ac:dyDescent="0.3">
      <c r="E1827" t="str">
        <f>IFERROR(IF(D1827="","",VLOOKUP(D1827,CadProd!$A:$B,2,0)),"")</f>
        <v/>
      </c>
      <c r="F1827" t="str">
        <f>IFERROR(IF(D1827="","",VLOOKUP(D1827,CadProd!$A:$C,3,0)),"")</f>
        <v/>
      </c>
      <c r="I1827" s="1" t="str">
        <f t="shared" si="28"/>
        <v/>
      </c>
    </row>
    <row r="1828" spans="5:9" x14ac:dyDescent="0.3">
      <c r="E1828" t="str">
        <f>IFERROR(IF(D1828="","",VLOOKUP(D1828,CadProd!$A:$B,2,0)),"")</f>
        <v/>
      </c>
      <c r="F1828" t="str">
        <f>IFERROR(IF(D1828="","",VLOOKUP(D1828,CadProd!$A:$C,3,0)),"")</f>
        <v/>
      </c>
      <c r="I1828" s="1" t="str">
        <f t="shared" si="28"/>
        <v/>
      </c>
    </row>
    <row r="1829" spans="5:9" x14ac:dyDescent="0.3">
      <c r="E1829" t="str">
        <f>IFERROR(IF(D1829="","",VLOOKUP(D1829,CadProd!$A:$B,2,0)),"")</f>
        <v/>
      </c>
      <c r="F1829" t="str">
        <f>IFERROR(IF(D1829="","",VLOOKUP(D1829,CadProd!$A:$C,3,0)),"")</f>
        <v/>
      </c>
      <c r="I1829" s="1" t="str">
        <f t="shared" si="28"/>
        <v/>
      </c>
    </row>
    <row r="1830" spans="5:9" x14ac:dyDescent="0.3">
      <c r="E1830" t="str">
        <f>IFERROR(IF(D1830="","",VLOOKUP(D1830,CadProd!$A:$B,2,0)),"")</f>
        <v/>
      </c>
      <c r="F1830" t="str">
        <f>IFERROR(IF(D1830="","",VLOOKUP(D1830,CadProd!$A:$C,3,0)),"")</f>
        <v/>
      </c>
      <c r="I1830" s="1" t="str">
        <f t="shared" si="28"/>
        <v/>
      </c>
    </row>
    <row r="1831" spans="5:9" x14ac:dyDescent="0.3">
      <c r="E1831" t="str">
        <f>IFERROR(IF(D1831="","",VLOOKUP(D1831,CadProd!$A:$B,2,0)),"")</f>
        <v/>
      </c>
      <c r="F1831" t="str">
        <f>IFERROR(IF(D1831="","",VLOOKUP(D1831,CadProd!$A:$C,3,0)),"")</f>
        <v/>
      </c>
      <c r="I1831" s="1" t="str">
        <f t="shared" si="28"/>
        <v/>
      </c>
    </row>
    <row r="1832" spans="5:9" x14ac:dyDescent="0.3">
      <c r="E1832" t="str">
        <f>IFERROR(IF(D1832="","",VLOOKUP(D1832,CadProd!$A:$B,2,0)),"")</f>
        <v/>
      </c>
      <c r="F1832" t="str">
        <f>IFERROR(IF(D1832="","",VLOOKUP(D1832,CadProd!$A:$C,3,0)),"")</f>
        <v/>
      </c>
      <c r="I1832" s="1" t="str">
        <f t="shared" si="28"/>
        <v/>
      </c>
    </row>
    <row r="1833" spans="5:9" x14ac:dyDescent="0.3">
      <c r="E1833" t="str">
        <f>IFERROR(IF(D1833="","",VLOOKUP(D1833,CadProd!$A:$B,2,0)),"")</f>
        <v/>
      </c>
      <c r="F1833" t="str">
        <f>IFERROR(IF(D1833="","",VLOOKUP(D1833,CadProd!$A:$C,3,0)),"")</f>
        <v/>
      </c>
      <c r="I1833" s="1" t="str">
        <f t="shared" si="28"/>
        <v/>
      </c>
    </row>
    <row r="1834" spans="5:9" x14ac:dyDescent="0.3">
      <c r="E1834" t="str">
        <f>IFERROR(IF(D1834="","",VLOOKUP(D1834,CadProd!$A:$B,2,0)),"")</f>
        <v/>
      </c>
      <c r="F1834" t="str">
        <f>IFERROR(IF(D1834="","",VLOOKUP(D1834,CadProd!$A:$C,3,0)),"")</f>
        <v/>
      </c>
      <c r="I1834" s="1" t="str">
        <f t="shared" si="28"/>
        <v/>
      </c>
    </row>
    <row r="1835" spans="5:9" x14ac:dyDescent="0.3">
      <c r="E1835" t="str">
        <f>IFERROR(IF(D1835="","",VLOOKUP(D1835,CadProd!$A:$B,2,0)),"")</f>
        <v/>
      </c>
      <c r="F1835" t="str">
        <f>IFERROR(IF(D1835="","",VLOOKUP(D1835,CadProd!$A:$C,3,0)),"")</f>
        <v/>
      </c>
      <c r="I1835" s="1" t="str">
        <f t="shared" si="28"/>
        <v/>
      </c>
    </row>
    <row r="1836" spans="5:9" x14ac:dyDescent="0.3">
      <c r="E1836" t="str">
        <f>IFERROR(IF(D1836="","",VLOOKUP(D1836,CadProd!$A:$B,2,0)),"")</f>
        <v/>
      </c>
      <c r="F1836" t="str">
        <f>IFERROR(IF(D1836="","",VLOOKUP(D1836,CadProd!$A:$C,3,0)),"")</f>
        <v/>
      </c>
      <c r="I1836" s="1" t="str">
        <f t="shared" si="28"/>
        <v/>
      </c>
    </row>
    <row r="1837" spans="5:9" x14ac:dyDescent="0.3">
      <c r="E1837" t="str">
        <f>IFERROR(IF(D1837="","",VLOOKUP(D1837,CadProd!$A:$B,2,0)),"")</f>
        <v/>
      </c>
      <c r="F1837" t="str">
        <f>IFERROR(IF(D1837="","",VLOOKUP(D1837,CadProd!$A:$C,3,0)),"")</f>
        <v/>
      </c>
      <c r="I1837" s="1" t="str">
        <f t="shared" si="28"/>
        <v/>
      </c>
    </row>
    <row r="1838" spans="5:9" x14ac:dyDescent="0.3">
      <c r="E1838" t="str">
        <f>IFERROR(IF(D1838="","",VLOOKUP(D1838,CadProd!$A:$B,2,0)),"")</f>
        <v/>
      </c>
      <c r="F1838" t="str">
        <f>IFERROR(IF(D1838="","",VLOOKUP(D1838,CadProd!$A:$C,3,0)),"")</f>
        <v/>
      </c>
      <c r="I1838" s="1" t="str">
        <f t="shared" si="28"/>
        <v/>
      </c>
    </row>
    <row r="1839" spans="5:9" x14ac:dyDescent="0.3">
      <c r="E1839" t="str">
        <f>IFERROR(IF(D1839="","",VLOOKUP(D1839,CadProd!$A:$B,2,0)),"")</f>
        <v/>
      </c>
      <c r="F1839" t="str">
        <f>IFERROR(IF(D1839="","",VLOOKUP(D1839,CadProd!$A:$C,3,0)),"")</f>
        <v/>
      </c>
      <c r="I1839" s="1" t="str">
        <f t="shared" si="28"/>
        <v/>
      </c>
    </row>
    <row r="1840" spans="5:9" x14ac:dyDescent="0.3">
      <c r="E1840" t="str">
        <f>IFERROR(IF(D1840="","",VLOOKUP(D1840,CadProd!$A:$B,2,0)),"")</f>
        <v/>
      </c>
      <c r="F1840" t="str">
        <f>IFERROR(IF(D1840="","",VLOOKUP(D1840,CadProd!$A:$C,3,0)),"")</f>
        <v/>
      </c>
      <c r="I1840" s="1" t="str">
        <f t="shared" si="28"/>
        <v/>
      </c>
    </row>
    <row r="1841" spans="5:9" x14ac:dyDescent="0.3">
      <c r="E1841" t="str">
        <f>IFERROR(IF(D1841="","",VLOOKUP(D1841,CadProd!$A:$B,2,0)),"")</f>
        <v/>
      </c>
      <c r="F1841" t="str">
        <f>IFERROR(IF(D1841="","",VLOOKUP(D1841,CadProd!$A:$C,3,0)),"")</f>
        <v/>
      </c>
      <c r="I1841" s="1" t="str">
        <f t="shared" si="28"/>
        <v/>
      </c>
    </row>
    <row r="1842" spans="5:9" x14ac:dyDescent="0.3">
      <c r="E1842" t="str">
        <f>IFERROR(IF(D1842="","",VLOOKUP(D1842,CadProd!$A:$B,2,0)),"")</f>
        <v/>
      </c>
      <c r="F1842" t="str">
        <f>IFERROR(IF(D1842="","",VLOOKUP(D1842,CadProd!$A:$C,3,0)),"")</f>
        <v/>
      </c>
      <c r="I1842" s="1" t="str">
        <f t="shared" si="28"/>
        <v/>
      </c>
    </row>
    <row r="1843" spans="5:9" x14ac:dyDescent="0.3">
      <c r="E1843" t="str">
        <f>IFERROR(IF(D1843="","",VLOOKUP(D1843,CadProd!$A:$B,2,0)),"")</f>
        <v/>
      </c>
      <c r="F1843" t="str">
        <f>IFERROR(IF(D1843="","",VLOOKUP(D1843,CadProd!$A:$C,3,0)),"")</f>
        <v/>
      </c>
      <c r="I1843" s="1" t="str">
        <f t="shared" si="28"/>
        <v/>
      </c>
    </row>
    <row r="1844" spans="5:9" x14ac:dyDescent="0.3">
      <c r="E1844" t="str">
        <f>IFERROR(IF(D1844="","",VLOOKUP(D1844,CadProd!$A:$B,2,0)),"")</f>
        <v/>
      </c>
      <c r="F1844" t="str">
        <f>IFERROR(IF(D1844="","",VLOOKUP(D1844,CadProd!$A:$C,3,0)),"")</f>
        <v/>
      </c>
      <c r="I1844" s="1" t="str">
        <f t="shared" si="28"/>
        <v/>
      </c>
    </row>
    <row r="1845" spans="5:9" x14ac:dyDescent="0.3">
      <c r="E1845" t="str">
        <f>IFERROR(IF(D1845="","",VLOOKUP(D1845,CadProd!$A:$B,2,0)),"")</f>
        <v/>
      </c>
      <c r="F1845" t="str">
        <f>IFERROR(IF(D1845="","",VLOOKUP(D1845,CadProd!$A:$C,3,0)),"")</f>
        <v/>
      </c>
      <c r="I1845" s="1" t="str">
        <f t="shared" si="28"/>
        <v/>
      </c>
    </row>
    <row r="1846" spans="5:9" x14ac:dyDescent="0.3">
      <c r="E1846" t="str">
        <f>IFERROR(IF(D1846="","",VLOOKUP(D1846,CadProd!$A:$B,2,0)),"")</f>
        <v/>
      </c>
      <c r="F1846" t="str">
        <f>IFERROR(IF(D1846="","",VLOOKUP(D1846,CadProd!$A:$C,3,0)),"")</f>
        <v/>
      </c>
      <c r="I1846" s="1" t="str">
        <f t="shared" si="28"/>
        <v/>
      </c>
    </row>
    <row r="1847" spans="5:9" x14ac:dyDescent="0.3">
      <c r="E1847" t="str">
        <f>IFERROR(IF(D1847="","",VLOOKUP(D1847,CadProd!$A:$B,2,0)),"")</f>
        <v/>
      </c>
      <c r="F1847" t="str">
        <f>IFERROR(IF(D1847="","",VLOOKUP(D1847,CadProd!$A:$C,3,0)),"")</f>
        <v/>
      </c>
      <c r="I1847" s="1" t="str">
        <f t="shared" si="28"/>
        <v/>
      </c>
    </row>
    <row r="1848" spans="5:9" x14ac:dyDescent="0.3">
      <c r="E1848" t="str">
        <f>IFERROR(IF(D1848="","",VLOOKUP(D1848,CadProd!$A:$B,2,0)),"")</f>
        <v/>
      </c>
      <c r="F1848" t="str">
        <f>IFERROR(IF(D1848="","",VLOOKUP(D1848,CadProd!$A:$C,3,0)),"")</f>
        <v/>
      </c>
      <c r="I1848" s="1" t="str">
        <f t="shared" si="28"/>
        <v/>
      </c>
    </row>
    <row r="1849" spans="5:9" x14ac:dyDescent="0.3">
      <c r="E1849" t="str">
        <f>IFERROR(IF(D1849="","",VLOOKUP(D1849,CadProd!$A:$B,2,0)),"")</f>
        <v/>
      </c>
      <c r="F1849" t="str">
        <f>IFERROR(IF(D1849="","",VLOOKUP(D1849,CadProd!$A:$C,3,0)),"")</f>
        <v/>
      </c>
      <c r="I1849" s="1" t="str">
        <f t="shared" si="28"/>
        <v/>
      </c>
    </row>
    <row r="1850" spans="5:9" x14ac:dyDescent="0.3">
      <c r="E1850" t="str">
        <f>IFERROR(IF(D1850="","",VLOOKUP(D1850,CadProd!$A:$B,2,0)),"")</f>
        <v/>
      </c>
      <c r="F1850" t="str">
        <f>IFERROR(IF(D1850="","",VLOOKUP(D1850,CadProd!$A:$C,3,0)),"")</f>
        <v/>
      </c>
      <c r="I1850" s="1" t="str">
        <f t="shared" si="28"/>
        <v/>
      </c>
    </row>
    <row r="1851" spans="5:9" x14ac:dyDescent="0.3">
      <c r="E1851" t="str">
        <f>IFERROR(IF(D1851="","",VLOOKUP(D1851,CadProd!$A:$B,2,0)),"")</f>
        <v/>
      </c>
      <c r="F1851" t="str">
        <f>IFERROR(IF(D1851="","",VLOOKUP(D1851,CadProd!$A:$C,3,0)),"")</f>
        <v/>
      </c>
      <c r="I1851" s="1" t="str">
        <f t="shared" si="28"/>
        <v/>
      </c>
    </row>
    <row r="1852" spans="5:9" x14ac:dyDescent="0.3">
      <c r="E1852" t="str">
        <f>IFERROR(IF(D1852="","",VLOOKUP(D1852,CadProd!$A:$B,2,0)),"")</f>
        <v/>
      </c>
      <c r="F1852" t="str">
        <f>IFERROR(IF(D1852="","",VLOOKUP(D1852,CadProd!$A:$C,3,0)),"")</f>
        <v/>
      </c>
      <c r="I1852" s="1" t="str">
        <f t="shared" si="28"/>
        <v/>
      </c>
    </row>
    <row r="1853" spans="5:9" x14ac:dyDescent="0.3">
      <c r="E1853" t="str">
        <f>IFERROR(IF(D1853="","",VLOOKUP(D1853,CadProd!$A:$B,2,0)),"")</f>
        <v/>
      </c>
      <c r="F1853" t="str">
        <f>IFERROR(IF(D1853="","",VLOOKUP(D1853,CadProd!$A:$C,3,0)),"")</f>
        <v/>
      </c>
      <c r="I1853" s="1" t="str">
        <f t="shared" si="28"/>
        <v/>
      </c>
    </row>
    <row r="1854" spans="5:9" x14ac:dyDescent="0.3">
      <c r="E1854" t="str">
        <f>IFERROR(IF(D1854="","",VLOOKUP(D1854,CadProd!$A:$B,2,0)),"")</f>
        <v/>
      </c>
      <c r="F1854" t="str">
        <f>IFERROR(IF(D1854="","",VLOOKUP(D1854,CadProd!$A:$C,3,0)),"")</f>
        <v/>
      </c>
      <c r="I1854" s="1" t="str">
        <f t="shared" si="28"/>
        <v/>
      </c>
    </row>
    <row r="1855" spans="5:9" x14ac:dyDescent="0.3">
      <c r="E1855" t="str">
        <f>IFERROR(IF(D1855="","",VLOOKUP(D1855,CadProd!$A:$B,2,0)),"")</f>
        <v/>
      </c>
      <c r="F1855" t="str">
        <f>IFERROR(IF(D1855="","",VLOOKUP(D1855,CadProd!$A:$C,3,0)),"")</f>
        <v/>
      </c>
      <c r="I1855" s="1" t="str">
        <f t="shared" si="28"/>
        <v/>
      </c>
    </row>
    <row r="1856" spans="5:9" x14ac:dyDescent="0.3">
      <c r="E1856" t="str">
        <f>IFERROR(IF(D1856="","",VLOOKUP(D1856,CadProd!$A:$B,2,0)),"")</f>
        <v/>
      </c>
      <c r="F1856" t="str">
        <f>IFERROR(IF(D1856="","",VLOOKUP(D1856,CadProd!$A:$C,3,0)),"")</f>
        <v/>
      </c>
      <c r="I1856" s="1" t="str">
        <f t="shared" si="28"/>
        <v/>
      </c>
    </row>
    <row r="1857" spans="5:9" x14ac:dyDescent="0.3">
      <c r="E1857" t="str">
        <f>IFERROR(IF(D1857="","",VLOOKUP(D1857,CadProd!$A:$B,2,0)),"")</f>
        <v/>
      </c>
      <c r="F1857" t="str">
        <f>IFERROR(IF(D1857="","",VLOOKUP(D1857,CadProd!$A:$C,3,0)),"")</f>
        <v/>
      </c>
      <c r="I1857" s="1" t="str">
        <f t="shared" si="28"/>
        <v/>
      </c>
    </row>
    <row r="1858" spans="5:9" x14ac:dyDescent="0.3">
      <c r="E1858" t="str">
        <f>IFERROR(IF(D1858="","",VLOOKUP(D1858,CadProd!$A:$B,2,0)),"")</f>
        <v/>
      </c>
      <c r="F1858" t="str">
        <f>IFERROR(IF(D1858="","",VLOOKUP(D1858,CadProd!$A:$C,3,0)),"")</f>
        <v/>
      </c>
      <c r="I1858" s="1" t="str">
        <f t="shared" ref="I1858:I1921" si="29">IFERROR(IF(D1858="","",H1858*G1858),"")</f>
        <v/>
      </c>
    </row>
    <row r="1859" spans="5:9" x14ac:dyDescent="0.3">
      <c r="E1859" t="str">
        <f>IFERROR(IF(D1859="","",VLOOKUP(D1859,CadProd!$A:$B,2,0)),"")</f>
        <v/>
      </c>
      <c r="F1859" t="str">
        <f>IFERROR(IF(D1859="","",VLOOKUP(D1859,CadProd!$A:$C,3,0)),"")</f>
        <v/>
      </c>
      <c r="I1859" s="1" t="str">
        <f t="shared" si="29"/>
        <v/>
      </c>
    </row>
    <row r="1860" spans="5:9" x14ac:dyDescent="0.3">
      <c r="E1860" t="str">
        <f>IFERROR(IF(D1860="","",VLOOKUP(D1860,CadProd!$A:$B,2,0)),"")</f>
        <v/>
      </c>
      <c r="F1860" t="str">
        <f>IFERROR(IF(D1860="","",VLOOKUP(D1860,CadProd!$A:$C,3,0)),"")</f>
        <v/>
      </c>
      <c r="I1860" s="1" t="str">
        <f t="shared" si="29"/>
        <v/>
      </c>
    </row>
    <row r="1861" spans="5:9" x14ac:dyDescent="0.3">
      <c r="E1861" t="str">
        <f>IFERROR(IF(D1861="","",VLOOKUP(D1861,CadProd!$A:$B,2,0)),"")</f>
        <v/>
      </c>
      <c r="F1861" t="str">
        <f>IFERROR(IF(D1861="","",VLOOKUP(D1861,CadProd!$A:$C,3,0)),"")</f>
        <v/>
      </c>
      <c r="I1861" s="1" t="str">
        <f t="shared" si="29"/>
        <v/>
      </c>
    </row>
    <row r="1862" spans="5:9" x14ac:dyDescent="0.3">
      <c r="E1862" t="str">
        <f>IFERROR(IF(D1862="","",VLOOKUP(D1862,CadProd!$A:$B,2,0)),"")</f>
        <v/>
      </c>
      <c r="F1862" t="str">
        <f>IFERROR(IF(D1862="","",VLOOKUP(D1862,CadProd!$A:$C,3,0)),"")</f>
        <v/>
      </c>
      <c r="I1862" s="1" t="str">
        <f t="shared" si="29"/>
        <v/>
      </c>
    </row>
    <row r="1863" spans="5:9" x14ac:dyDescent="0.3">
      <c r="E1863" t="str">
        <f>IFERROR(IF(D1863="","",VLOOKUP(D1863,CadProd!$A:$B,2,0)),"")</f>
        <v/>
      </c>
      <c r="F1863" t="str">
        <f>IFERROR(IF(D1863="","",VLOOKUP(D1863,CadProd!$A:$C,3,0)),"")</f>
        <v/>
      </c>
      <c r="I1863" s="1" t="str">
        <f t="shared" si="29"/>
        <v/>
      </c>
    </row>
    <row r="1864" spans="5:9" x14ac:dyDescent="0.3">
      <c r="E1864" t="str">
        <f>IFERROR(IF(D1864="","",VLOOKUP(D1864,CadProd!$A:$B,2,0)),"")</f>
        <v/>
      </c>
      <c r="F1864" t="str">
        <f>IFERROR(IF(D1864="","",VLOOKUP(D1864,CadProd!$A:$C,3,0)),"")</f>
        <v/>
      </c>
      <c r="I1864" s="1" t="str">
        <f t="shared" si="29"/>
        <v/>
      </c>
    </row>
    <row r="1865" spans="5:9" x14ac:dyDescent="0.3">
      <c r="E1865" t="str">
        <f>IFERROR(IF(D1865="","",VLOOKUP(D1865,CadProd!$A:$B,2,0)),"")</f>
        <v/>
      </c>
      <c r="F1865" t="str">
        <f>IFERROR(IF(D1865="","",VLOOKUP(D1865,CadProd!$A:$C,3,0)),"")</f>
        <v/>
      </c>
      <c r="I1865" s="1" t="str">
        <f t="shared" si="29"/>
        <v/>
      </c>
    </row>
    <row r="1866" spans="5:9" x14ac:dyDescent="0.3">
      <c r="E1866" t="str">
        <f>IFERROR(IF(D1866="","",VLOOKUP(D1866,CadProd!$A:$B,2,0)),"")</f>
        <v/>
      </c>
      <c r="F1866" t="str">
        <f>IFERROR(IF(D1866="","",VLOOKUP(D1866,CadProd!$A:$C,3,0)),"")</f>
        <v/>
      </c>
      <c r="I1866" s="1" t="str">
        <f t="shared" si="29"/>
        <v/>
      </c>
    </row>
    <row r="1867" spans="5:9" x14ac:dyDescent="0.3">
      <c r="E1867" t="str">
        <f>IFERROR(IF(D1867="","",VLOOKUP(D1867,CadProd!$A:$B,2,0)),"")</f>
        <v/>
      </c>
      <c r="F1867" t="str">
        <f>IFERROR(IF(D1867="","",VLOOKUP(D1867,CadProd!$A:$C,3,0)),"")</f>
        <v/>
      </c>
      <c r="I1867" s="1" t="str">
        <f t="shared" si="29"/>
        <v/>
      </c>
    </row>
    <row r="1868" spans="5:9" x14ac:dyDescent="0.3">
      <c r="E1868" t="str">
        <f>IFERROR(IF(D1868="","",VLOOKUP(D1868,CadProd!$A:$B,2,0)),"")</f>
        <v/>
      </c>
      <c r="F1868" t="str">
        <f>IFERROR(IF(D1868="","",VLOOKUP(D1868,CadProd!$A:$C,3,0)),"")</f>
        <v/>
      </c>
      <c r="I1868" s="1" t="str">
        <f t="shared" si="29"/>
        <v/>
      </c>
    </row>
    <row r="1869" spans="5:9" x14ac:dyDescent="0.3">
      <c r="E1869" t="str">
        <f>IFERROR(IF(D1869="","",VLOOKUP(D1869,CadProd!$A:$B,2,0)),"")</f>
        <v/>
      </c>
      <c r="F1869" t="str">
        <f>IFERROR(IF(D1869="","",VLOOKUP(D1869,CadProd!$A:$C,3,0)),"")</f>
        <v/>
      </c>
      <c r="I1869" s="1" t="str">
        <f t="shared" si="29"/>
        <v/>
      </c>
    </row>
    <row r="1870" spans="5:9" x14ac:dyDescent="0.3">
      <c r="E1870" t="str">
        <f>IFERROR(IF(D1870="","",VLOOKUP(D1870,CadProd!$A:$B,2,0)),"")</f>
        <v/>
      </c>
      <c r="F1870" t="str">
        <f>IFERROR(IF(D1870="","",VLOOKUP(D1870,CadProd!$A:$C,3,0)),"")</f>
        <v/>
      </c>
      <c r="I1870" s="1" t="str">
        <f t="shared" si="29"/>
        <v/>
      </c>
    </row>
    <row r="1871" spans="5:9" x14ac:dyDescent="0.3">
      <c r="E1871" t="str">
        <f>IFERROR(IF(D1871="","",VLOOKUP(D1871,CadProd!$A:$B,2,0)),"")</f>
        <v/>
      </c>
      <c r="F1871" t="str">
        <f>IFERROR(IF(D1871="","",VLOOKUP(D1871,CadProd!$A:$C,3,0)),"")</f>
        <v/>
      </c>
      <c r="I1871" s="1" t="str">
        <f t="shared" si="29"/>
        <v/>
      </c>
    </row>
    <row r="1872" spans="5:9" x14ac:dyDescent="0.3">
      <c r="E1872" t="str">
        <f>IFERROR(IF(D1872="","",VLOOKUP(D1872,CadProd!$A:$B,2,0)),"")</f>
        <v/>
      </c>
      <c r="F1872" t="str">
        <f>IFERROR(IF(D1872="","",VLOOKUP(D1872,CadProd!$A:$C,3,0)),"")</f>
        <v/>
      </c>
      <c r="I1872" s="1" t="str">
        <f t="shared" si="29"/>
        <v/>
      </c>
    </row>
    <row r="1873" spans="5:9" x14ac:dyDescent="0.3">
      <c r="E1873" t="str">
        <f>IFERROR(IF(D1873="","",VLOOKUP(D1873,CadProd!$A:$B,2,0)),"")</f>
        <v/>
      </c>
      <c r="F1873" t="str">
        <f>IFERROR(IF(D1873="","",VLOOKUP(D1873,CadProd!$A:$C,3,0)),"")</f>
        <v/>
      </c>
      <c r="I1873" s="1" t="str">
        <f t="shared" si="29"/>
        <v/>
      </c>
    </row>
    <row r="1874" spans="5:9" x14ac:dyDescent="0.3">
      <c r="E1874" t="str">
        <f>IFERROR(IF(D1874="","",VLOOKUP(D1874,CadProd!$A:$B,2,0)),"")</f>
        <v/>
      </c>
      <c r="F1874" t="str">
        <f>IFERROR(IF(D1874="","",VLOOKUP(D1874,CadProd!$A:$C,3,0)),"")</f>
        <v/>
      </c>
      <c r="I1874" s="1" t="str">
        <f t="shared" si="29"/>
        <v/>
      </c>
    </row>
    <row r="1875" spans="5:9" x14ac:dyDescent="0.3">
      <c r="E1875" t="str">
        <f>IFERROR(IF(D1875="","",VLOOKUP(D1875,CadProd!$A:$B,2,0)),"")</f>
        <v/>
      </c>
      <c r="F1875" t="str">
        <f>IFERROR(IF(D1875="","",VLOOKUP(D1875,CadProd!$A:$C,3,0)),"")</f>
        <v/>
      </c>
      <c r="I1875" s="1" t="str">
        <f t="shared" si="29"/>
        <v/>
      </c>
    </row>
    <row r="1876" spans="5:9" x14ac:dyDescent="0.3">
      <c r="E1876" t="str">
        <f>IFERROR(IF(D1876="","",VLOOKUP(D1876,CadProd!$A:$B,2,0)),"")</f>
        <v/>
      </c>
      <c r="F1876" t="str">
        <f>IFERROR(IF(D1876="","",VLOOKUP(D1876,CadProd!$A:$C,3,0)),"")</f>
        <v/>
      </c>
      <c r="I1876" s="1" t="str">
        <f t="shared" si="29"/>
        <v/>
      </c>
    </row>
    <row r="1877" spans="5:9" x14ac:dyDescent="0.3">
      <c r="E1877" t="str">
        <f>IFERROR(IF(D1877="","",VLOOKUP(D1877,CadProd!$A:$B,2,0)),"")</f>
        <v/>
      </c>
      <c r="F1877" t="str">
        <f>IFERROR(IF(D1877="","",VLOOKUP(D1877,CadProd!$A:$C,3,0)),"")</f>
        <v/>
      </c>
      <c r="I1877" s="1" t="str">
        <f t="shared" si="29"/>
        <v/>
      </c>
    </row>
    <row r="1878" spans="5:9" x14ac:dyDescent="0.3">
      <c r="E1878" t="str">
        <f>IFERROR(IF(D1878="","",VLOOKUP(D1878,CadProd!$A:$B,2,0)),"")</f>
        <v/>
      </c>
      <c r="F1878" t="str">
        <f>IFERROR(IF(D1878="","",VLOOKUP(D1878,CadProd!$A:$C,3,0)),"")</f>
        <v/>
      </c>
      <c r="I1878" s="1" t="str">
        <f t="shared" si="29"/>
        <v/>
      </c>
    </row>
    <row r="1879" spans="5:9" x14ac:dyDescent="0.3">
      <c r="E1879" t="str">
        <f>IFERROR(IF(D1879="","",VLOOKUP(D1879,CadProd!$A:$B,2,0)),"")</f>
        <v/>
      </c>
      <c r="F1879" t="str">
        <f>IFERROR(IF(D1879="","",VLOOKUP(D1879,CadProd!$A:$C,3,0)),"")</f>
        <v/>
      </c>
      <c r="I1879" s="1" t="str">
        <f t="shared" si="29"/>
        <v/>
      </c>
    </row>
    <row r="1880" spans="5:9" x14ac:dyDescent="0.3">
      <c r="E1880" t="str">
        <f>IFERROR(IF(D1880="","",VLOOKUP(D1880,CadProd!$A:$B,2,0)),"")</f>
        <v/>
      </c>
      <c r="F1880" t="str">
        <f>IFERROR(IF(D1880="","",VLOOKUP(D1880,CadProd!$A:$C,3,0)),"")</f>
        <v/>
      </c>
      <c r="I1880" s="1" t="str">
        <f t="shared" si="29"/>
        <v/>
      </c>
    </row>
    <row r="1881" spans="5:9" x14ac:dyDescent="0.3">
      <c r="E1881" t="str">
        <f>IFERROR(IF(D1881="","",VLOOKUP(D1881,CadProd!$A:$B,2,0)),"")</f>
        <v/>
      </c>
      <c r="F1881" t="str">
        <f>IFERROR(IF(D1881="","",VLOOKUP(D1881,CadProd!$A:$C,3,0)),"")</f>
        <v/>
      </c>
      <c r="I1881" s="1" t="str">
        <f t="shared" si="29"/>
        <v/>
      </c>
    </row>
    <row r="1882" spans="5:9" x14ac:dyDescent="0.3">
      <c r="E1882" t="str">
        <f>IFERROR(IF(D1882="","",VLOOKUP(D1882,CadProd!$A:$B,2,0)),"")</f>
        <v/>
      </c>
      <c r="F1882" t="str">
        <f>IFERROR(IF(D1882="","",VLOOKUP(D1882,CadProd!$A:$C,3,0)),"")</f>
        <v/>
      </c>
      <c r="I1882" s="1" t="str">
        <f t="shared" si="29"/>
        <v/>
      </c>
    </row>
    <row r="1883" spans="5:9" x14ac:dyDescent="0.3">
      <c r="E1883" t="str">
        <f>IFERROR(IF(D1883="","",VLOOKUP(D1883,CadProd!$A:$B,2,0)),"")</f>
        <v/>
      </c>
      <c r="F1883" t="str">
        <f>IFERROR(IF(D1883="","",VLOOKUP(D1883,CadProd!$A:$C,3,0)),"")</f>
        <v/>
      </c>
      <c r="I1883" s="1" t="str">
        <f t="shared" si="29"/>
        <v/>
      </c>
    </row>
    <row r="1884" spans="5:9" x14ac:dyDescent="0.3">
      <c r="E1884" t="str">
        <f>IFERROR(IF(D1884="","",VLOOKUP(D1884,CadProd!$A:$B,2,0)),"")</f>
        <v/>
      </c>
      <c r="F1884" t="str">
        <f>IFERROR(IF(D1884="","",VLOOKUP(D1884,CadProd!$A:$C,3,0)),"")</f>
        <v/>
      </c>
      <c r="I1884" s="1" t="str">
        <f t="shared" si="29"/>
        <v/>
      </c>
    </row>
    <row r="1885" spans="5:9" x14ac:dyDescent="0.3">
      <c r="E1885" t="str">
        <f>IFERROR(IF(D1885="","",VLOOKUP(D1885,CadProd!$A:$B,2,0)),"")</f>
        <v/>
      </c>
      <c r="F1885" t="str">
        <f>IFERROR(IF(D1885="","",VLOOKUP(D1885,CadProd!$A:$C,3,0)),"")</f>
        <v/>
      </c>
      <c r="I1885" s="1" t="str">
        <f t="shared" si="29"/>
        <v/>
      </c>
    </row>
    <row r="1886" spans="5:9" x14ac:dyDescent="0.3">
      <c r="E1886" t="str">
        <f>IFERROR(IF(D1886="","",VLOOKUP(D1886,CadProd!$A:$B,2,0)),"")</f>
        <v/>
      </c>
      <c r="F1886" t="str">
        <f>IFERROR(IF(D1886="","",VLOOKUP(D1886,CadProd!$A:$C,3,0)),"")</f>
        <v/>
      </c>
      <c r="I1886" s="1" t="str">
        <f t="shared" si="29"/>
        <v/>
      </c>
    </row>
    <row r="1887" spans="5:9" x14ac:dyDescent="0.3">
      <c r="E1887" t="str">
        <f>IFERROR(IF(D1887="","",VLOOKUP(D1887,CadProd!$A:$B,2,0)),"")</f>
        <v/>
      </c>
      <c r="F1887" t="str">
        <f>IFERROR(IF(D1887="","",VLOOKUP(D1887,CadProd!$A:$C,3,0)),"")</f>
        <v/>
      </c>
      <c r="I1887" s="1" t="str">
        <f t="shared" si="29"/>
        <v/>
      </c>
    </row>
    <row r="1888" spans="5:9" x14ac:dyDescent="0.3">
      <c r="E1888" t="str">
        <f>IFERROR(IF(D1888="","",VLOOKUP(D1888,CadProd!$A:$B,2,0)),"")</f>
        <v/>
      </c>
      <c r="F1888" t="str">
        <f>IFERROR(IF(D1888="","",VLOOKUP(D1888,CadProd!$A:$C,3,0)),"")</f>
        <v/>
      </c>
      <c r="I1888" s="1" t="str">
        <f t="shared" si="29"/>
        <v/>
      </c>
    </row>
    <row r="1889" spans="5:9" x14ac:dyDescent="0.3">
      <c r="E1889" t="str">
        <f>IFERROR(IF(D1889="","",VLOOKUP(D1889,CadProd!$A:$B,2,0)),"")</f>
        <v/>
      </c>
      <c r="F1889" t="str">
        <f>IFERROR(IF(D1889="","",VLOOKUP(D1889,CadProd!$A:$C,3,0)),"")</f>
        <v/>
      </c>
      <c r="I1889" s="1" t="str">
        <f t="shared" si="29"/>
        <v/>
      </c>
    </row>
    <row r="1890" spans="5:9" x14ac:dyDescent="0.3">
      <c r="E1890" t="str">
        <f>IFERROR(IF(D1890="","",VLOOKUP(D1890,CadProd!$A:$B,2,0)),"")</f>
        <v/>
      </c>
      <c r="F1890" t="str">
        <f>IFERROR(IF(D1890="","",VLOOKUP(D1890,CadProd!$A:$C,3,0)),"")</f>
        <v/>
      </c>
      <c r="I1890" s="1" t="str">
        <f t="shared" si="29"/>
        <v/>
      </c>
    </row>
    <row r="1891" spans="5:9" x14ac:dyDescent="0.3">
      <c r="E1891" t="str">
        <f>IFERROR(IF(D1891="","",VLOOKUP(D1891,CadProd!$A:$B,2,0)),"")</f>
        <v/>
      </c>
      <c r="F1891" t="str">
        <f>IFERROR(IF(D1891="","",VLOOKUP(D1891,CadProd!$A:$C,3,0)),"")</f>
        <v/>
      </c>
      <c r="I1891" s="1" t="str">
        <f t="shared" si="29"/>
        <v/>
      </c>
    </row>
    <row r="1892" spans="5:9" x14ac:dyDescent="0.3">
      <c r="E1892" t="str">
        <f>IFERROR(IF(D1892="","",VLOOKUP(D1892,CadProd!$A:$B,2,0)),"")</f>
        <v/>
      </c>
      <c r="F1892" t="str">
        <f>IFERROR(IF(D1892="","",VLOOKUP(D1892,CadProd!$A:$C,3,0)),"")</f>
        <v/>
      </c>
      <c r="I1892" s="1" t="str">
        <f t="shared" si="29"/>
        <v/>
      </c>
    </row>
    <row r="1893" spans="5:9" x14ac:dyDescent="0.3">
      <c r="E1893" t="str">
        <f>IFERROR(IF(D1893="","",VLOOKUP(D1893,CadProd!$A:$B,2,0)),"")</f>
        <v/>
      </c>
      <c r="F1893" t="str">
        <f>IFERROR(IF(D1893="","",VLOOKUP(D1893,CadProd!$A:$C,3,0)),"")</f>
        <v/>
      </c>
      <c r="I1893" s="1" t="str">
        <f t="shared" si="29"/>
        <v/>
      </c>
    </row>
    <row r="1894" spans="5:9" x14ac:dyDescent="0.3">
      <c r="E1894" t="str">
        <f>IFERROR(IF(D1894="","",VLOOKUP(D1894,CadProd!$A:$B,2,0)),"")</f>
        <v/>
      </c>
      <c r="F1894" t="str">
        <f>IFERROR(IF(D1894="","",VLOOKUP(D1894,CadProd!$A:$C,3,0)),"")</f>
        <v/>
      </c>
      <c r="I1894" s="1" t="str">
        <f t="shared" si="29"/>
        <v/>
      </c>
    </row>
    <row r="1895" spans="5:9" x14ac:dyDescent="0.3">
      <c r="E1895" t="str">
        <f>IFERROR(IF(D1895="","",VLOOKUP(D1895,CadProd!$A:$B,2,0)),"")</f>
        <v/>
      </c>
      <c r="F1895" t="str">
        <f>IFERROR(IF(D1895="","",VLOOKUP(D1895,CadProd!$A:$C,3,0)),"")</f>
        <v/>
      </c>
      <c r="I1895" s="1" t="str">
        <f t="shared" si="29"/>
        <v/>
      </c>
    </row>
    <row r="1896" spans="5:9" x14ac:dyDescent="0.3">
      <c r="E1896" t="str">
        <f>IFERROR(IF(D1896="","",VLOOKUP(D1896,CadProd!$A:$B,2,0)),"")</f>
        <v/>
      </c>
      <c r="F1896" t="str">
        <f>IFERROR(IF(D1896="","",VLOOKUP(D1896,CadProd!$A:$C,3,0)),"")</f>
        <v/>
      </c>
      <c r="I1896" s="1" t="str">
        <f t="shared" si="29"/>
        <v/>
      </c>
    </row>
    <row r="1897" spans="5:9" x14ac:dyDescent="0.3">
      <c r="E1897" t="str">
        <f>IFERROR(IF(D1897="","",VLOOKUP(D1897,CadProd!$A:$B,2,0)),"")</f>
        <v/>
      </c>
      <c r="F1897" t="str">
        <f>IFERROR(IF(D1897="","",VLOOKUP(D1897,CadProd!$A:$C,3,0)),"")</f>
        <v/>
      </c>
      <c r="I1897" s="1" t="str">
        <f t="shared" si="29"/>
        <v/>
      </c>
    </row>
    <row r="1898" spans="5:9" x14ac:dyDescent="0.3">
      <c r="E1898" t="str">
        <f>IFERROR(IF(D1898="","",VLOOKUP(D1898,CadProd!$A:$B,2,0)),"")</f>
        <v/>
      </c>
      <c r="F1898" t="str">
        <f>IFERROR(IF(D1898="","",VLOOKUP(D1898,CadProd!$A:$C,3,0)),"")</f>
        <v/>
      </c>
      <c r="I1898" s="1" t="str">
        <f t="shared" si="29"/>
        <v/>
      </c>
    </row>
    <row r="1899" spans="5:9" x14ac:dyDescent="0.3">
      <c r="E1899" t="str">
        <f>IFERROR(IF(D1899="","",VLOOKUP(D1899,CadProd!$A:$B,2,0)),"")</f>
        <v/>
      </c>
      <c r="F1899" t="str">
        <f>IFERROR(IF(D1899="","",VLOOKUP(D1899,CadProd!$A:$C,3,0)),"")</f>
        <v/>
      </c>
      <c r="I1899" s="1" t="str">
        <f t="shared" si="29"/>
        <v/>
      </c>
    </row>
    <row r="1900" spans="5:9" x14ac:dyDescent="0.3">
      <c r="E1900" t="str">
        <f>IFERROR(IF(D1900="","",VLOOKUP(D1900,CadProd!$A:$B,2,0)),"")</f>
        <v/>
      </c>
      <c r="F1900" t="str">
        <f>IFERROR(IF(D1900="","",VLOOKUP(D1900,CadProd!$A:$C,3,0)),"")</f>
        <v/>
      </c>
      <c r="I1900" s="1" t="str">
        <f t="shared" si="29"/>
        <v/>
      </c>
    </row>
    <row r="1901" spans="5:9" x14ac:dyDescent="0.3">
      <c r="E1901" t="str">
        <f>IFERROR(IF(D1901="","",VLOOKUP(D1901,CadProd!$A:$B,2,0)),"")</f>
        <v/>
      </c>
      <c r="F1901" t="str">
        <f>IFERROR(IF(D1901="","",VLOOKUP(D1901,CadProd!$A:$C,3,0)),"")</f>
        <v/>
      </c>
      <c r="I1901" s="1" t="str">
        <f t="shared" si="29"/>
        <v/>
      </c>
    </row>
    <row r="1902" spans="5:9" x14ac:dyDescent="0.3">
      <c r="E1902" t="str">
        <f>IFERROR(IF(D1902="","",VLOOKUP(D1902,CadProd!$A:$B,2,0)),"")</f>
        <v/>
      </c>
      <c r="F1902" t="str">
        <f>IFERROR(IF(D1902="","",VLOOKUP(D1902,CadProd!$A:$C,3,0)),"")</f>
        <v/>
      </c>
      <c r="I1902" s="1" t="str">
        <f t="shared" si="29"/>
        <v/>
      </c>
    </row>
    <row r="1903" spans="5:9" x14ac:dyDescent="0.3">
      <c r="E1903" t="str">
        <f>IFERROR(IF(D1903="","",VLOOKUP(D1903,CadProd!$A:$B,2,0)),"")</f>
        <v/>
      </c>
      <c r="F1903" t="str">
        <f>IFERROR(IF(D1903="","",VLOOKUP(D1903,CadProd!$A:$C,3,0)),"")</f>
        <v/>
      </c>
      <c r="I1903" s="1" t="str">
        <f t="shared" si="29"/>
        <v/>
      </c>
    </row>
    <row r="1904" spans="5:9" x14ac:dyDescent="0.3">
      <c r="E1904" t="str">
        <f>IFERROR(IF(D1904="","",VLOOKUP(D1904,CadProd!$A:$B,2,0)),"")</f>
        <v/>
      </c>
      <c r="F1904" t="str">
        <f>IFERROR(IF(D1904="","",VLOOKUP(D1904,CadProd!$A:$C,3,0)),"")</f>
        <v/>
      </c>
      <c r="I1904" s="1" t="str">
        <f t="shared" si="29"/>
        <v/>
      </c>
    </row>
    <row r="1905" spans="5:9" x14ac:dyDescent="0.3">
      <c r="E1905" t="str">
        <f>IFERROR(IF(D1905="","",VLOOKUP(D1905,CadProd!$A:$B,2,0)),"")</f>
        <v/>
      </c>
      <c r="F1905" t="str">
        <f>IFERROR(IF(D1905="","",VLOOKUP(D1905,CadProd!$A:$C,3,0)),"")</f>
        <v/>
      </c>
      <c r="I1905" s="1" t="str">
        <f t="shared" si="29"/>
        <v/>
      </c>
    </row>
    <row r="1906" spans="5:9" x14ac:dyDescent="0.3">
      <c r="E1906" t="str">
        <f>IFERROR(IF(D1906="","",VLOOKUP(D1906,CadProd!$A:$B,2,0)),"")</f>
        <v/>
      </c>
      <c r="F1906" t="str">
        <f>IFERROR(IF(D1906="","",VLOOKUP(D1906,CadProd!$A:$C,3,0)),"")</f>
        <v/>
      </c>
      <c r="I1906" s="1" t="str">
        <f t="shared" si="29"/>
        <v/>
      </c>
    </row>
    <row r="1907" spans="5:9" x14ac:dyDescent="0.3">
      <c r="E1907" t="str">
        <f>IFERROR(IF(D1907="","",VLOOKUP(D1907,CadProd!$A:$B,2,0)),"")</f>
        <v/>
      </c>
      <c r="F1907" t="str">
        <f>IFERROR(IF(D1907="","",VLOOKUP(D1907,CadProd!$A:$C,3,0)),"")</f>
        <v/>
      </c>
      <c r="I1907" s="1" t="str">
        <f t="shared" si="29"/>
        <v/>
      </c>
    </row>
    <row r="1908" spans="5:9" x14ac:dyDescent="0.3">
      <c r="E1908" t="str">
        <f>IFERROR(IF(D1908="","",VLOOKUP(D1908,CadProd!$A:$B,2,0)),"")</f>
        <v/>
      </c>
      <c r="F1908" t="str">
        <f>IFERROR(IF(D1908="","",VLOOKUP(D1908,CadProd!$A:$C,3,0)),"")</f>
        <v/>
      </c>
      <c r="I1908" s="1" t="str">
        <f t="shared" si="29"/>
        <v/>
      </c>
    </row>
    <row r="1909" spans="5:9" x14ac:dyDescent="0.3">
      <c r="E1909" t="str">
        <f>IFERROR(IF(D1909="","",VLOOKUP(D1909,CadProd!$A:$B,2,0)),"")</f>
        <v/>
      </c>
      <c r="F1909" t="str">
        <f>IFERROR(IF(D1909="","",VLOOKUP(D1909,CadProd!$A:$C,3,0)),"")</f>
        <v/>
      </c>
      <c r="I1909" s="1" t="str">
        <f t="shared" si="29"/>
        <v/>
      </c>
    </row>
    <row r="1910" spans="5:9" x14ac:dyDescent="0.3">
      <c r="E1910" t="str">
        <f>IFERROR(IF(D1910="","",VLOOKUP(D1910,CadProd!$A:$B,2,0)),"")</f>
        <v/>
      </c>
      <c r="F1910" t="str">
        <f>IFERROR(IF(D1910="","",VLOOKUP(D1910,CadProd!$A:$C,3,0)),"")</f>
        <v/>
      </c>
      <c r="I1910" s="1" t="str">
        <f t="shared" si="29"/>
        <v/>
      </c>
    </row>
    <row r="1911" spans="5:9" x14ac:dyDescent="0.3">
      <c r="E1911" t="str">
        <f>IFERROR(IF(D1911="","",VLOOKUP(D1911,CadProd!$A:$B,2,0)),"")</f>
        <v/>
      </c>
      <c r="F1911" t="str">
        <f>IFERROR(IF(D1911="","",VLOOKUP(D1911,CadProd!$A:$C,3,0)),"")</f>
        <v/>
      </c>
      <c r="I1911" s="1" t="str">
        <f t="shared" si="29"/>
        <v/>
      </c>
    </row>
    <row r="1912" spans="5:9" x14ac:dyDescent="0.3">
      <c r="E1912" t="str">
        <f>IFERROR(IF(D1912="","",VLOOKUP(D1912,CadProd!$A:$B,2,0)),"")</f>
        <v/>
      </c>
      <c r="F1912" t="str">
        <f>IFERROR(IF(D1912="","",VLOOKUP(D1912,CadProd!$A:$C,3,0)),"")</f>
        <v/>
      </c>
      <c r="I1912" s="1" t="str">
        <f t="shared" si="29"/>
        <v/>
      </c>
    </row>
    <row r="1913" spans="5:9" x14ac:dyDescent="0.3">
      <c r="E1913" t="str">
        <f>IFERROR(IF(D1913="","",VLOOKUP(D1913,CadProd!$A:$B,2,0)),"")</f>
        <v/>
      </c>
      <c r="F1913" t="str">
        <f>IFERROR(IF(D1913="","",VLOOKUP(D1913,CadProd!$A:$C,3,0)),"")</f>
        <v/>
      </c>
      <c r="I1913" s="1" t="str">
        <f t="shared" si="29"/>
        <v/>
      </c>
    </row>
    <row r="1914" spans="5:9" x14ac:dyDescent="0.3">
      <c r="E1914" t="str">
        <f>IFERROR(IF(D1914="","",VLOOKUP(D1914,CadProd!$A:$B,2,0)),"")</f>
        <v/>
      </c>
      <c r="F1914" t="str">
        <f>IFERROR(IF(D1914="","",VLOOKUP(D1914,CadProd!$A:$C,3,0)),"")</f>
        <v/>
      </c>
      <c r="I1914" s="1" t="str">
        <f t="shared" si="29"/>
        <v/>
      </c>
    </row>
    <row r="1915" spans="5:9" x14ac:dyDescent="0.3">
      <c r="E1915" t="str">
        <f>IFERROR(IF(D1915="","",VLOOKUP(D1915,CadProd!$A:$B,2,0)),"")</f>
        <v/>
      </c>
      <c r="F1915" t="str">
        <f>IFERROR(IF(D1915="","",VLOOKUP(D1915,CadProd!$A:$C,3,0)),"")</f>
        <v/>
      </c>
      <c r="I1915" s="1" t="str">
        <f t="shared" si="29"/>
        <v/>
      </c>
    </row>
    <row r="1916" spans="5:9" x14ac:dyDescent="0.3">
      <c r="E1916" t="str">
        <f>IFERROR(IF(D1916="","",VLOOKUP(D1916,CadProd!$A:$B,2,0)),"")</f>
        <v/>
      </c>
      <c r="F1916" t="str">
        <f>IFERROR(IF(D1916="","",VLOOKUP(D1916,CadProd!$A:$C,3,0)),"")</f>
        <v/>
      </c>
      <c r="I1916" s="1" t="str">
        <f t="shared" si="29"/>
        <v/>
      </c>
    </row>
    <row r="1917" spans="5:9" x14ac:dyDescent="0.3">
      <c r="E1917" t="str">
        <f>IFERROR(IF(D1917="","",VLOOKUP(D1917,CadProd!$A:$B,2,0)),"")</f>
        <v/>
      </c>
      <c r="F1917" t="str">
        <f>IFERROR(IF(D1917="","",VLOOKUP(D1917,CadProd!$A:$C,3,0)),"")</f>
        <v/>
      </c>
      <c r="I1917" s="1" t="str">
        <f t="shared" si="29"/>
        <v/>
      </c>
    </row>
    <row r="1918" spans="5:9" x14ac:dyDescent="0.3">
      <c r="E1918" t="str">
        <f>IFERROR(IF(D1918="","",VLOOKUP(D1918,CadProd!$A:$B,2,0)),"")</f>
        <v/>
      </c>
      <c r="F1918" t="str">
        <f>IFERROR(IF(D1918="","",VLOOKUP(D1918,CadProd!$A:$C,3,0)),"")</f>
        <v/>
      </c>
      <c r="I1918" s="1" t="str">
        <f t="shared" si="29"/>
        <v/>
      </c>
    </row>
    <row r="1919" spans="5:9" x14ac:dyDescent="0.3">
      <c r="E1919" t="str">
        <f>IFERROR(IF(D1919="","",VLOOKUP(D1919,CadProd!$A:$B,2,0)),"")</f>
        <v/>
      </c>
      <c r="F1919" t="str">
        <f>IFERROR(IF(D1919="","",VLOOKUP(D1919,CadProd!$A:$C,3,0)),"")</f>
        <v/>
      </c>
      <c r="I1919" s="1" t="str">
        <f t="shared" si="29"/>
        <v/>
      </c>
    </row>
    <row r="1920" spans="5:9" x14ac:dyDescent="0.3">
      <c r="E1920" t="str">
        <f>IFERROR(IF(D1920="","",VLOOKUP(D1920,CadProd!$A:$B,2,0)),"")</f>
        <v/>
      </c>
      <c r="F1920" t="str">
        <f>IFERROR(IF(D1920="","",VLOOKUP(D1920,CadProd!$A:$C,3,0)),"")</f>
        <v/>
      </c>
      <c r="I1920" s="1" t="str">
        <f t="shared" si="29"/>
        <v/>
      </c>
    </row>
    <row r="1921" spans="5:9" x14ac:dyDescent="0.3">
      <c r="E1921" t="str">
        <f>IFERROR(IF(D1921="","",VLOOKUP(D1921,CadProd!$A:$B,2,0)),"")</f>
        <v/>
      </c>
      <c r="F1921" t="str">
        <f>IFERROR(IF(D1921="","",VLOOKUP(D1921,CadProd!$A:$C,3,0)),"")</f>
        <v/>
      </c>
      <c r="I1921" s="1" t="str">
        <f t="shared" si="29"/>
        <v/>
      </c>
    </row>
    <row r="1922" spans="5:9" x14ac:dyDescent="0.3">
      <c r="E1922" t="str">
        <f>IFERROR(IF(D1922="","",VLOOKUP(D1922,CadProd!$A:$B,2,0)),"")</f>
        <v/>
      </c>
      <c r="F1922" t="str">
        <f>IFERROR(IF(D1922="","",VLOOKUP(D1922,CadProd!$A:$C,3,0)),"")</f>
        <v/>
      </c>
      <c r="I1922" s="1" t="str">
        <f t="shared" ref="I1922:I1985" si="30">IFERROR(IF(D1922="","",H1922*G1922),"")</f>
        <v/>
      </c>
    </row>
    <row r="1923" spans="5:9" x14ac:dyDescent="0.3">
      <c r="E1923" t="str">
        <f>IFERROR(IF(D1923="","",VLOOKUP(D1923,CadProd!$A:$B,2,0)),"")</f>
        <v/>
      </c>
      <c r="F1923" t="str">
        <f>IFERROR(IF(D1923="","",VLOOKUP(D1923,CadProd!$A:$C,3,0)),"")</f>
        <v/>
      </c>
      <c r="I1923" s="1" t="str">
        <f t="shared" si="30"/>
        <v/>
      </c>
    </row>
    <row r="1924" spans="5:9" x14ac:dyDescent="0.3">
      <c r="E1924" t="str">
        <f>IFERROR(IF(D1924="","",VLOOKUP(D1924,CadProd!$A:$B,2,0)),"")</f>
        <v/>
      </c>
      <c r="F1924" t="str">
        <f>IFERROR(IF(D1924="","",VLOOKUP(D1924,CadProd!$A:$C,3,0)),"")</f>
        <v/>
      </c>
      <c r="I1924" s="1" t="str">
        <f t="shared" si="30"/>
        <v/>
      </c>
    </row>
    <row r="1925" spans="5:9" x14ac:dyDescent="0.3">
      <c r="E1925" t="str">
        <f>IFERROR(IF(D1925="","",VLOOKUP(D1925,CadProd!$A:$B,2,0)),"")</f>
        <v/>
      </c>
      <c r="F1925" t="str">
        <f>IFERROR(IF(D1925="","",VLOOKUP(D1925,CadProd!$A:$C,3,0)),"")</f>
        <v/>
      </c>
      <c r="I1925" s="1" t="str">
        <f t="shared" si="30"/>
        <v/>
      </c>
    </row>
    <row r="1926" spans="5:9" x14ac:dyDescent="0.3">
      <c r="E1926" t="str">
        <f>IFERROR(IF(D1926="","",VLOOKUP(D1926,CadProd!$A:$B,2,0)),"")</f>
        <v/>
      </c>
      <c r="F1926" t="str">
        <f>IFERROR(IF(D1926="","",VLOOKUP(D1926,CadProd!$A:$C,3,0)),"")</f>
        <v/>
      </c>
      <c r="I1926" s="1" t="str">
        <f t="shared" si="30"/>
        <v/>
      </c>
    </row>
    <row r="1927" spans="5:9" x14ac:dyDescent="0.3">
      <c r="E1927" t="str">
        <f>IFERROR(IF(D1927="","",VLOOKUP(D1927,CadProd!$A:$B,2,0)),"")</f>
        <v/>
      </c>
      <c r="F1927" t="str">
        <f>IFERROR(IF(D1927="","",VLOOKUP(D1927,CadProd!$A:$C,3,0)),"")</f>
        <v/>
      </c>
      <c r="I1927" s="1" t="str">
        <f t="shared" si="30"/>
        <v/>
      </c>
    </row>
    <row r="1928" spans="5:9" x14ac:dyDescent="0.3">
      <c r="E1928" t="str">
        <f>IFERROR(IF(D1928="","",VLOOKUP(D1928,CadProd!$A:$B,2,0)),"")</f>
        <v/>
      </c>
      <c r="F1928" t="str">
        <f>IFERROR(IF(D1928="","",VLOOKUP(D1928,CadProd!$A:$C,3,0)),"")</f>
        <v/>
      </c>
      <c r="I1928" s="1" t="str">
        <f t="shared" si="30"/>
        <v/>
      </c>
    </row>
    <row r="1929" spans="5:9" x14ac:dyDescent="0.3">
      <c r="E1929" t="str">
        <f>IFERROR(IF(D1929="","",VLOOKUP(D1929,CadProd!$A:$B,2,0)),"")</f>
        <v/>
      </c>
      <c r="F1929" t="str">
        <f>IFERROR(IF(D1929="","",VLOOKUP(D1929,CadProd!$A:$C,3,0)),"")</f>
        <v/>
      </c>
      <c r="I1929" s="1" t="str">
        <f t="shared" si="30"/>
        <v/>
      </c>
    </row>
    <row r="1930" spans="5:9" x14ac:dyDescent="0.3">
      <c r="E1930" t="str">
        <f>IFERROR(IF(D1930="","",VLOOKUP(D1930,CadProd!$A:$B,2,0)),"")</f>
        <v/>
      </c>
      <c r="F1930" t="str">
        <f>IFERROR(IF(D1930="","",VLOOKUP(D1930,CadProd!$A:$C,3,0)),"")</f>
        <v/>
      </c>
      <c r="I1930" s="1" t="str">
        <f t="shared" si="30"/>
        <v/>
      </c>
    </row>
    <row r="1931" spans="5:9" x14ac:dyDescent="0.3">
      <c r="E1931" t="str">
        <f>IFERROR(IF(D1931="","",VLOOKUP(D1931,CadProd!$A:$B,2,0)),"")</f>
        <v/>
      </c>
      <c r="F1931" t="str">
        <f>IFERROR(IF(D1931="","",VLOOKUP(D1931,CadProd!$A:$C,3,0)),"")</f>
        <v/>
      </c>
      <c r="I1931" s="1" t="str">
        <f t="shared" si="30"/>
        <v/>
      </c>
    </row>
    <row r="1932" spans="5:9" x14ac:dyDescent="0.3">
      <c r="E1932" t="str">
        <f>IFERROR(IF(D1932="","",VLOOKUP(D1932,CadProd!$A:$B,2,0)),"")</f>
        <v/>
      </c>
      <c r="F1932" t="str">
        <f>IFERROR(IF(D1932="","",VLOOKUP(D1932,CadProd!$A:$C,3,0)),"")</f>
        <v/>
      </c>
      <c r="I1932" s="1" t="str">
        <f t="shared" si="30"/>
        <v/>
      </c>
    </row>
    <row r="1933" spans="5:9" x14ac:dyDescent="0.3">
      <c r="E1933" t="str">
        <f>IFERROR(IF(D1933="","",VLOOKUP(D1933,CadProd!$A:$B,2,0)),"")</f>
        <v/>
      </c>
      <c r="F1933" t="str">
        <f>IFERROR(IF(D1933="","",VLOOKUP(D1933,CadProd!$A:$C,3,0)),"")</f>
        <v/>
      </c>
      <c r="I1933" s="1" t="str">
        <f t="shared" si="30"/>
        <v/>
      </c>
    </row>
    <row r="1934" spans="5:9" x14ac:dyDescent="0.3">
      <c r="E1934" t="str">
        <f>IFERROR(IF(D1934="","",VLOOKUP(D1934,CadProd!$A:$B,2,0)),"")</f>
        <v/>
      </c>
      <c r="F1934" t="str">
        <f>IFERROR(IF(D1934="","",VLOOKUP(D1934,CadProd!$A:$C,3,0)),"")</f>
        <v/>
      </c>
      <c r="I1934" s="1" t="str">
        <f t="shared" si="30"/>
        <v/>
      </c>
    </row>
    <row r="1935" spans="5:9" x14ac:dyDescent="0.3">
      <c r="E1935" t="str">
        <f>IFERROR(IF(D1935="","",VLOOKUP(D1935,CadProd!$A:$B,2,0)),"")</f>
        <v/>
      </c>
      <c r="F1935" t="str">
        <f>IFERROR(IF(D1935="","",VLOOKUP(D1935,CadProd!$A:$C,3,0)),"")</f>
        <v/>
      </c>
      <c r="I1935" s="1" t="str">
        <f t="shared" si="30"/>
        <v/>
      </c>
    </row>
    <row r="1936" spans="5:9" x14ac:dyDescent="0.3">
      <c r="E1936" t="str">
        <f>IFERROR(IF(D1936="","",VLOOKUP(D1936,CadProd!$A:$B,2,0)),"")</f>
        <v/>
      </c>
      <c r="F1936" t="str">
        <f>IFERROR(IF(D1936="","",VLOOKUP(D1936,CadProd!$A:$C,3,0)),"")</f>
        <v/>
      </c>
      <c r="I1936" s="1" t="str">
        <f t="shared" si="30"/>
        <v/>
      </c>
    </row>
    <row r="1937" spans="5:9" x14ac:dyDescent="0.3">
      <c r="E1937" t="str">
        <f>IFERROR(IF(D1937="","",VLOOKUP(D1937,CadProd!$A:$B,2,0)),"")</f>
        <v/>
      </c>
      <c r="F1937" t="str">
        <f>IFERROR(IF(D1937="","",VLOOKUP(D1937,CadProd!$A:$C,3,0)),"")</f>
        <v/>
      </c>
      <c r="I1937" s="1" t="str">
        <f t="shared" si="30"/>
        <v/>
      </c>
    </row>
    <row r="1938" spans="5:9" x14ac:dyDescent="0.3">
      <c r="E1938" t="str">
        <f>IFERROR(IF(D1938="","",VLOOKUP(D1938,CadProd!$A:$B,2,0)),"")</f>
        <v/>
      </c>
      <c r="F1938" t="str">
        <f>IFERROR(IF(D1938="","",VLOOKUP(D1938,CadProd!$A:$C,3,0)),"")</f>
        <v/>
      </c>
      <c r="I1938" s="1" t="str">
        <f t="shared" si="30"/>
        <v/>
      </c>
    </row>
    <row r="1939" spans="5:9" x14ac:dyDescent="0.3">
      <c r="E1939" t="str">
        <f>IFERROR(IF(D1939="","",VLOOKUP(D1939,CadProd!$A:$B,2,0)),"")</f>
        <v/>
      </c>
      <c r="F1939" t="str">
        <f>IFERROR(IF(D1939="","",VLOOKUP(D1939,CadProd!$A:$C,3,0)),"")</f>
        <v/>
      </c>
      <c r="I1939" s="1" t="str">
        <f t="shared" si="30"/>
        <v/>
      </c>
    </row>
    <row r="1940" spans="5:9" x14ac:dyDescent="0.3">
      <c r="E1940" t="str">
        <f>IFERROR(IF(D1940="","",VLOOKUP(D1940,CadProd!$A:$B,2,0)),"")</f>
        <v/>
      </c>
      <c r="F1940" t="str">
        <f>IFERROR(IF(D1940="","",VLOOKUP(D1940,CadProd!$A:$C,3,0)),"")</f>
        <v/>
      </c>
      <c r="I1940" s="1" t="str">
        <f t="shared" si="30"/>
        <v/>
      </c>
    </row>
    <row r="1941" spans="5:9" x14ac:dyDescent="0.3">
      <c r="E1941" t="str">
        <f>IFERROR(IF(D1941="","",VLOOKUP(D1941,CadProd!$A:$B,2,0)),"")</f>
        <v/>
      </c>
      <c r="F1941" t="str">
        <f>IFERROR(IF(D1941="","",VLOOKUP(D1941,CadProd!$A:$C,3,0)),"")</f>
        <v/>
      </c>
      <c r="I1941" s="1" t="str">
        <f t="shared" si="30"/>
        <v/>
      </c>
    </row>
    <row r="1942" spans="5:9" x14ac:dyDescent="0.3">
      <c r="E1942" t="str">
        <f>IFERROR(IF(D1942="","",VLOOKUP(D1942,CadProd!$A:$B,2,0)),"")</f>
        <v/>
      </c>
      <c r="F1942" t="str">
        <f>IFERROR(IF(D1942="","",VLOOKUP(D1942,CadProd!$A:$C,3,0)),"")</f>
        <v/>
      </c>
      <c r="I1942" s="1" t="str">
        <f t="shared" si="30"/>
        <v/>
      </c>
    </row>
    <row r="1943" spans="5:9" x14ac:dyDescent="0.3">
      <c r="E1943" t="str">
        <f>IFERROR(IF(D1943="","",VLOOKUP(D1943,CadProd!$A:$B,2,0)),"")</f>
        <v/>
      </c>
      <c r="F1943" t="str">
        <f>IFERROR(IF(D1943="","",VLOOKUP(D1943,CadProd!$A:$C,3,0)),"")</f>
        <v/>
      </c>
      <c r="I1943" s="1" t="str">
        <f t="shared" si="30"/>
        <v/>
      </c>
    </row>
    <row r="1944" spans="5:9" x14ac:dyDescent="0.3">
      <c r="E1944" t="str">
        <f>IFERROR(IF(D1944="","",VLOOKUP(D1944,CadProd!$A:$B,2,0)),"")</f>
        <v/>
      </c>
      <c r="F1944" t="str">
        <f>IFERROR(IF(D1944="","",VLOOKUP(D1944,CadProd!$A:$C,3,0)),"")</f>
        <v/>
      </c>
      <c r="I1944" s="1" t="str">
        <f t="shared" si="30"/>
        <v/>
      </c>
    </row>
    <row r="1945" spans="5:9" x14ac:dyDescent="0.3">
      <c r="E1945" t="str">
        <f>IFERROR(IF(D1945="","",VLOOKUP(D1945,CadProd!$A:$B,2,0)),"")</f>
        <v/>
      </c>
      <c r="F1945" t="str">
        <f>IFERROR(IF(D1945="","",VLOOKUP(D1945,CadProd!$A:$C,3,0)),"")</f>
        <v/>
      </c>
      <c r="I1945" s="1" t="str">
        <f t="shared" si="30"/>
        <v/>
      </c>
    </row>
    <row r="1946" spans="5:9" x14ac:dyDescent="0.3">
      <c r="E1946" t="str">
        <f>IFERROR(IF(D1946="","",VLOOKUP(D1946,CadProd!$A:$B,2,0)),"")</f>
        <v/>
      </c>
      <c r="F1946" t="str">
        <f>IFERROR(IF(D1946="","",VLOOKUP(D1946,CadProd!$A:$C,3,0)),"")</f>
        <v/>
      </c>
      <c r="I1946" s="1" t="str">
        <f t="shared" si="30"/>
        <v/>
      </c>
    </row>
    <row r="1947" spans="5:9" x14ac:dyDescent="0.3">
      <c r="E1947" t="str">
        <f>IFERROR(IF(D1947="","",VLOOKUP(D1947,CadProd!$A:$B,2,0)),"")</f>
        <v/>
      </c>
      <c r="F1947" t="str">
        <f>IFERROR(IF(D1947="","",VLOOKUP(D1947,CadProd!$A:$C,3,0)),"")</f>
        <v/>
      </c>
      <c r="I1947" s="1" t="str">
        <f t="shared" si="30"/>
        <v/>
      </c>
    </row>
    <row r="1948" spans="5:9" x14ac:dyDescent="0.3">
      <c r="E1948" t="str">
        <f>IFERROR(IF(D1948="","",VLOOKUP(D1948,CadProd!$A:$B,2,0)),"")</f>
        <v/>
      </c>
      <c r="F1948" t="str">
        <f>IFERROR(IF(D1948="","",VLOOKUP(D1948,CadProd!$A:$C,3,0)),"")</f>
        <v/>
      </c>
      <c r="I1948" s="1" t="str">
        <f t="shared" si="30"/>
        <v/>
      </c>
    </row>
    <row r="1949" spans="5:9" x14ac:dyDescent="0.3">
      <c r="E1949" t="str">
        <f>IFERROR(IF(D1949="","",VLOOKUP(D1949,CadProd!$A:$B,2,0)),"")</f>
        <v/>
      </c>
      <c r="F1949" t="str">
        <f>IFERROR(IF(D1949="","",VLOOKUP(D1949,CadProd!$A:$C,3,0)),"")</f>
        <v/>
      </c>
      <c r="I1949" s="1" t="str">
        <f t="shared" si="30"/>
        <v/>
      </c>
    </row>
    <row r="1950" spans="5:9" x14ac:dyDescent="0.3">
      <c r="E1950" t="str">
        <f>IFERROR(IF(D1950="","",VLOOKUP(D1950,CadProd!$A:$B,2,0)),"")</f>
        <v/>
      </c>
      <c r="F1950" t="str">
        <f>IFERROR(IF(D1950="","",VLOOKUP(D1950,CadProd!$A:$C,3,0)),"")</f>
        <v/>
      </c>
      <c r="I1950" s="1" t="str">
        <f t="shared" si="30"/>
        <v/>
      </c>
    </row>
    <row r="1951" spans="5:9" x14ac:dyDescent="0.3">
      <c r="E1951" t="str">
        <f>IFERROR(IF(D1951="","",VLOOKUP(D1951,CadProd!$A:$B,2,0)),"")</f>
        <v/>
      </c>
      <c r="F1951" t="str">
        <f>IFERROR(IF(D1951="","",VLOOKUP(D1951,CadProd!$A:$C,3,0)),"")</f>
        <v/>
      </c>
      <c r="I1951" s="1" t="str">
        <f t="shared" si="30"/>
        <v/>
      </c>
    </row>
    <row r="1952" spans="5:9" x14ac:dyDescent="0.3">
      <c r="E1952" t="str">
        <f>IFERROR(IF(D1952="","",VLOOKUP(D1952,CadProd!$A:$B,2,0)),"")</f>
        <v/>
      </c>
      <c r="F1952" t="str">
        <f>IFERROR(IF(D1952="","",VLOOKUP(D1952,CadProd!$A:$C,3,0)),"")</f>
        <v/>
      </c>
      <c r="I1952" s="1" t="str">
        <f t="shared" si="30"/>
        <v/>
      </c>
    </row>
    <row r="1953" spans="5:9" x14ac:dyDescent="0.3">
      <c r="E1953" t="str">
        <f>IFERROR(IF(D1953="","",VLOOKUP(D1953,CadProd!$A:$B,2,0)),"")</f>
        <v/>
      </c>
      <c r="F1953" t="str">
        <f>IFERROR(IF(D1953="","",VLOOKUP(D1953,CadProd!$A:$C,3,0)),"")</f>
        <v/>
      </c>
      <c r="I1953" s="1" t="str">
        <f t="shared" si="30"/>
        <v/>
      </c>
    </row>
    <row r="1954" spans="5:9" x14ac:dyDescent="0.3">
      <c r="E1954" t="str">
        <f>IFERROR(IF(D1954="","",VLOOKUP(D1954,CadProd!$A:$B,2,0)),"")</f>
        <v/>
      </c>
      <c r="F1954" t="str">
        <f>IFERROR(IF(D1954="","",VLOOKUP(D1954,CadProd!$A:$C,3,0)),"")</f>
        <v/>
      </c>
      <c r="I1954" s="1" t="str">
        <f t="shared" si="30"/>
        <v/>
      </c>
    </row>
    <row r="1955" spans="5:9" x14ac:dyDescent="0.3">
      <c r="E1955" t="str">
        <f>IFERROR(IF(D1955="","",VLOOKUP(D1955,CadProd!$A:$B,2,0)),"")</f>
        <v/>
      </c>
      <c r="F1955" t="str">
        <f>IFERROR(IF(D1955="","",VLOOKUP(D1955,CadProd!$A:$C,3,0)),"")</f>
        <v/>
      </c>
      <c r="I1955" s="1" t="str">
        <f t="shared" si="30"/>
        <v/>
      </c>
    </row>
    <row r="1956" spans="5:9" x14ac:dyDescent="0.3">
      <c r="E1956" t="str">
        <f>IFERROR(IF(D1956="","",VLOOKUP(D1956,CadProd!$A:$B,2,0)),"")</f>
        <v/>
      </c>
      <c r="F1956" t="str">
        <f>IFERROR(IF(D1956="","",VLOOKUP(D1956,CadProd!$A:$C,3,0)),"")</f>
        <v/>
      </c>
      <c r="I1956" s="1" t="str">
        <f t="shared" si="30"/>
        <v/>
      </c>
    </row>
    <row r="1957" spans="5:9" x14ac:dyDescent="0.3">
      <c r="E1957" t="str">
        <f>IFERROR(IF(D1957="","",VLOOKUP(D1957,CadProd!$A:$B,2,0)),"")</f>
        <v/>
      </c>
      <c r="F1957" t="str">
        <f>IFERROR(IF(D1957="","",VLOOKUP(D1957,CadProd!$A:$C,3,0)),"")</f>
        <v/>
      </c>
      <c r="I1957" s="1" t="str">
        <f t="shared" si="30"/>
        <v/>
      </c>
    </row>
    <row r="1958" spans="5:9" x14ac:dyDescent="0.3">
      <c r="E1958" t="str">
        <f>IFERROR(IF(D1958="","",VLOOKUP(D1958,CadProd!$A:$B,2,0)),"")</f>
        <v/>
      </c>
      <c r="F1958" t="str">
        <f>IFERROR(IF(D1958="","",VLOOKUP(D1958,CadProd!$A:$C,3,0)),"")</f>
        <v/>
      </c>
      <c r="I1958" s="1" t="str">
        <f t="shared" si="30"/>
        <v/>
      </c>
    </row>
    <row r="1959" spans="5:9" x14ac:dyDescent="0.3">
      <c r="E1959" t="str">
        <f>IFERROR(IF(D1959="","",VLOOKUP(D1959,CadProd!$A:$B,2,0)),"")</f>
        <v/>
      </c>
      <c r="F1959" t="str">
        <f>IFERROR(IF(D1959="","",VLOOKUP(D1959,CadProd!$A:$C,3,0)),"")</f>
        <v/>
      </c>
      <c r="I1959" s="1" t="str">
        <f t="shared" si="30"/>
        <v/>
      </c>
    </row>
    <row r="1960" spans="5:9" x14ac:dyDescent="0.3">
      <c r="E1960" t="str">
        <f>IFERROR(IF(D1960="","",VLOOKUP(D1960,CadProd!$A:$B,2,0)),"")</f>
        <v/>
      </c>
      <c r="F1960" t="str">
        <f>IFERROR(IF(D1960="","",VLOOKUP(D1960,CadProd!$A:$C,3,0)),"")</f>
        <v/>
      </c>
      <c r="I1960" s="1" t="str">
        <f t="shared" si="30"/>
        <v/>
      </c>
    </row>
    <row r="1961" spans="5:9" x14ac:dyDescent="0.3">
      <c r="E1961" t="str">
        <f>IFERROR(IF(D1961="","",VLOOKUP(D1961,CadProd!$A:$B,2,0)),"")</f>
        <v/>
      </c>
      <c r="F1961" t="str">
        <f>IFERROR(IF(D1961="","",VLOOKUP(D1961,CadProd!$A:$C,3,0)),"")</f>
        <v/>
      </c>
      <c r="I1961" s="1" t="str">
        <f t="shared" si="30"/>
        <v/>
      </c>
    </row>
    <row r="1962" spans="5:9" x14ac:dyDescent="0.3">
      <c r="E1962" t="str">
        <f>IFERROR(IF(D1962="","",VLOOKUP(D1962,CadProd!$A:$B,2,0)),"")</f>
        <v/>
      </c>
      <c r="F1962" t="str">
        <f>IFERROR(IF(D1962="","",VLOOKUP(D1962,CadProd!$A:$C,3,0)),"")</f>
        <v/>
      </c>
      <c r="I1962" s="1" t="str">
        <f t="shared" si="30"/>
        <v/>
      </c>
    </row>
    <row r="1963" spans="5:9" x14ac:dyDescent="0.3">
      <c r="E1963" t="str">
        <f>IFERROR(IF(D1963="","",VLOOKUP(D1963,CadProd!$A:$B,2,0)),"")</f>
        <v/>
      </c>
      <c r="F1963" t="str">
        <f>IFERROR(IF(D1963="","",VLOOKUP(D1963,CadProd!$A:$C,3,0)),"")</f>
        <v/>
      </c>
      <c r="I1963" s="1" t="str">
        <f t="shared" si="30"/>
        <v/>
      </c>
    </row>
    <row r="1964" spans="5:9" x14ac:dyDescent="0.3">
      <c r="E1964" t="str">
        <f>IFERROR(IF(D1964="","",VLOOKUP(D1964,CadProd!$A:$B,2,0)),"")</f>
        <v/>
      </c>
      <c r="F1964" t="str">
        <f>IFERROR(IF(D1964="","",VLOOKUP(D1964,CadProd!$A:$C,3,0)),"")</f>
        <v/>
      </c>
      <c r="I1964" s="1" t="str">
        <f t="shared" si="30"/>
        <v/>
      </c>
    </row>
    <row r="1965" spans="5:9" x14ac:dyDescent="0.3">
      <c r="E1965" t="str">
        <f>IFERROR(IF(D1965="","",VLOOKUP(D1965,CadProd!$A:$B,2,0)),"")</f>
        <v/>
      </c>
      <c r="F1965" t="str">
        <f>IFERROR(IF(D1965="","",VLOOKUP(D1965,CadProd!$A:$C,3,0)),"")</f>
        <v/>
      </c>
      <c r="I1965" s="1" t="str">
        <f t="shared" si="30"/>
        <v/>
      </c>
    </row>
    <row r="1966" spans="5:9" x14ac:dyDescent="0.3">
      <c r="E1966" t="str">
        <f>IFERROR(IF(D1966="","",VLOOKUP(D1966,CadProd!$A:$B,2,0)),"")</f>
        <v/>
      </c>
      <c r="F1966" t="str">
        <f>IFERROR(IF(D1966="","",VLOOKUP(D1966,CadProd!$A:$C,3,0)),"")</f>
        <v/>
      </c>
      <c r="I1966" s="1" t="str">
        <f t="shared" si="30"/>
        <v/>
      </c>
    </row>
    <row r="1967" spans="5:9" x14ac:dyDescent="0.3">
      <c r="E1967" t="str">
        <f>IFERROR(IF(D1967="","",VLOOKUP(D1967,CadProd!$A:$B,2,0)),"")</f>
        <v/>
      </c>
      <c r="F1967" t="str">
        <f>IFERROR(IF(D1967="","",VLOOKUP(D1967,CadProd!$A:$C,3,0)),"")</f>
        <v/>
      </c>
      <c r="I1967" s="1" t="str">
        <f t="shared" si="30"/>
        <v/>
      </c>
    </row>
    <row r="1968" spans="5:9" x14ac:dyDescent="0.3">
      <c r="E1968" t="str">
        <f>IFERROR(IF(D1968="","",VLOOKUP(D1968,CadProd!$A:$B,2,0)),"")</f>
        <v/>
      </c>
      <c r="F1968" t="str">
        <f>IFERROR(IF(D1968="","",VLOOKUP(D1968,CadProd!$A:$C,3,0)),"")</f>
        <v/>
      </c>
      <c r="I1968" s="1" t="str">
        <f t="shared" si="30"/>
        <v/>
      </c>
    </row>
    <row r="1969" spans="5:9" x14ac:dyDescent="0.3">
      <c r="E1969" t="str">
        <f>IFERROR(IF(D1969="","",VLOOKUP(D1969,CadProd!$A:$B,2,0)),"")</f>
        <v/>
      </c>
      <c r="F1969" t="str">
        <f>IFERROR(IF(D1969="","",VLOOKUP(D1969,CadProd!$A:$C,3,0)),"")</f>
        <v/>
      </c>
      <c r="I1969" s="1" t="str">
        <f t="shared" si="30"/>
        <v/>
      </c>
    </row>
    <row r="1970" spans="5:9" x14ac:dyDescent="0.3">
      <c r="E1970" t="str">
        <f>IFERROR(IF(D1970="","",VLOOKUP(D1970,CadProd!$A:$B,2,0)),"")</f>
        <v/>
      </c>
      <c r="F1970" t="str">
        <f>IFERROR(IF(D1970="","",VLOOKUP(D1970,CadProd!$A:$C,3,0)),"")</f>
        <v/>
      </c>
      <c r="I1970" s="1" t="str">
        <f t="shared" si="30"/>
        <v/>
      </c>
    </row>
    <row r="1971" spans="5:9" x14ac:dyDescent="0.3">
      <c r="E1971" t="str">
        <f>IFERROR(IF(D1971="","",VLOOKUP(D1971,CadProd!$A:$B,2,0)),"")</f>
        <v/>
      </c>
      <c r="F1971" t="str">
        <f>IFERROR(IF(D1971="","",VLOOKUP(D1971,CadProd!$A:$C,3,0)),"")</f>
        <v/>
      </c>
      <c r="I1971" s="1" t="str">
        <f t="shared" si="30"/>
        <v/>
      </c>
    </row>
    <row r="1972" spans="5:9" x14ac:dyDescent="0.3">
      <c r="E1972" t="str">
        <f>IFERROR(IF(D1972="","",VLOOKUP(D1972,CadProd!$A:$B,2,0)),"")</f>
        <v/>
      </c>
      <c r="F1972" t="str">
        <f>IFERROR(IF(D1972="","",VLOOKUP(D1972,CadProd!$A:$C,3,0)),"")</f>
        <v/>
      </c>
      <c r="I1972" s="1" t="str">
        <f t="shared" si="30"/>
        <v/>
      </c>
    </row>
    <row r="1973" spans="5:9" x14ac:dyDescent="0.3">
      <c r="E1973" t="str">
        <f>IFERROR(IF(D1973="","",VLOOKUP(D1973,CadProd!$A:$B,2,0)),"")</f>
        <v/>
      </c>
      <c r="F1973" t="str">
        <f>IFERROR(IF(D1973="","",VLOOKUP(D1973,CadProd!$A:$C,3,0)),"")</f>
        <v/>
      </c>
      <c r="I1973" s="1" t="str">
        <f t="shared" si="30"/>
        <v/>
      </c>
    </row>
    <row r="1974" spans="5:9" x14ac:dyDescent="0.3">
      <c r="E1974" t="str">
        <f>IFERROR(IF(D1974="","",VLOOKUP(D1974,CadProd!$A:$B,2,0)),"")</f>
        <v/>
      </c>
      <c r="F1974" t="str">
        <f>IFERROR(IF(D1974="","",VLOOKUP(D1974,CadProd!$A:$C,3,0)),"")</f>
        <v/>
      </c>
      <c r="I1974" s="1" t="str">
        <f t="shared" si="30"/>
        <v/>
      </c>
    </row>
    <row r="1975" spans="5:9" x14ac:dyDescent="0.3">
      <c r="E1975" t="str">
        <f>IFERROR(IF(D1975="","",VLOOKUP(D1975,CadProd!$A:$B,2,0)),"")</f>
        <v/>
      </c>
      <c r="F1975" t="str">
        <f>IFERROR(IF(D1975="","",VLOOKUP(D1975,CadProd!$A:$C,3,0)),"")</f>
        <v/>
      </c>
      <c r="I1975" s="1" t="str">
        <f t="shared" si="30"/>
        <v/>
      </c>
    </row>
    <row r="1976" spans="5:9" x14ac:dyDescent="0.3">
      <c r="E1976" t="str">
        <f>IFERROR(IF(D1976="","",VLOOKUP(D1976,CadProd!$A:$B,2,0)),"")</f>
        <v/>
      </c>
      <c r="F1976" t="str">
        <f>IFERROR(IF(D1976="","",VLOOKUP(D1976,CadProd!$A:$C,3,0)),"")</f>
        <v/>
      </c>
      <c r="I1976" s="1" t="str">
        <f t="shared" si="30"/>
        <v/>
      </c>
    </row>
    <row r="1977" spans="5:9" x14ac:dyDescent="0.3">
      <c r="E1977" t="str">
        <f>IFERROR(IF(D1977="","",VLOOKUP(D1977,CadProd!$A:$B,2,0)),"")</f>
        <v/>
      </c>
      <c r="F1977" t="str">
        <f>IFERROR(IF(D1977="","",VLOOKUP(D1977,CadProd!$A:$C,3,0)),"")</f>
        <v/>
      </c>
      <c r="I1977" s="1" t="str">
        <f t="shared" si="30"/>
        <v/>
      </c>
    </row>
    <row r="1978" spans="5:9" x14ac:dyDescent="0.3">
      <c r="E1978" t="str">
        <f>IFERROR(IF(D1978="","",VLOOKUP(D1978,CadProd!$A:$B,2,0)),"")</f>
        <v/>
      </c>
      <c r="F1978" t="str">
        <f>IFERROR(IF(D1978="","",VLOOKUP(D1978,CadProd!$A:$C,3,0)),"")</f>
        <v/>
      </c>
      <c r="I1978" s="1" t="str">
        <f t="shared" si="30"/>
        <v/>
      </c>
    </row>
    <row r="1979" spans="5:9" x14ac:dyDescent="0.3">
      <c r="E1979" t="str">
        <f>IFERROR(IF(D1979="","",VLOOKUP(D1979,CadProd!$A:$B,2,0)),"")</f>
        <v/>
      </c>
      <c r="F1979" t="str">
        <f>IFERROR(IF(D1979="","",VLOOKUP(D1979,CadProd!$A:$C,3,0)),"")</f>
        <v/>
      </c>
      <c r="I1979" s="1" t="str">
        <f t="shared" si="30"/>
        <v/>
      </c>
    </row>
    <row r="1980" spans="5:9" x14ac:dyDescent="0.3">
      <c r="E1980" t="str">
        <f>IFERROR(IF(D1980="","",VLOOKUP(D1980,CadProd!$A:$B,2,0)),"")</f>
        <v/>
      </c>
      <c r="F1980" t="str">
        <f>IFERROR(IF(D1980="","",VLOOKUP(D1980,CadProd!$A:$C,3,0)),"")</f>
        <v/>
      </c>
      <c r="I1980" s="1" t="str">
        <f t="shared" si="30"/>
        <v/>
      </c>
    </row>
    <row r="1981" spans="5:9" x14ac:dyDescent="0.3">
      <c r="E1981" t="str">
        <f>IFERROR(IF(D1981="","",VLOOKUP(D1981,CadProd!$A:$B,2,0)),"")</f>
        <v/>
      </c>
      <c r="F1981" t="str">
        <f>IFERROR(IF(D1981="","",VLOOKUP(D1981,CadProd!$A:$C,3,0)),"")</f>
        <v/>
      </c>
      <c r="I1981" s="1" t="str">
        <f t="shared" si="30"/>
        <v/>
      </c>
    </row>
    <row r="1982" spans="5:9" x14ac:dyDescent="0.3">
      <c r="E1982" t="str">
        <f>IFERROR(IF(D1982="","",VLOOKUP(D1982,CadProd!$A:$B,2,0)),"")</f>
        <v/>
      </c>
      <c r="F1982" t="str">
        <f>IFERROR(IF(D1982="","",VLOOKUP(D1982,CadProd!$A:$C,3,0)),"")</f>
        <v/>
      </c>
      <c r="I1982" s="1" t="str">
        <f t="shared" si="30"/>
        <v/>
      </c>
    </row>
    <row r="1983" spans="5:9" x14ac:dyDescent="0.3">
      <c r="E1983" t="str">
        <f>IFERROR(IF(D1983="","",VLOOKUP(D1983,CadProd!$A:$B,2,0)),"")</f>
        <v/>
      </c>
      <c r="F1983" t="str">
        <f>IFERROR(IF(D1983="","",VLOOKUP(D1983,CadProd!$A:$C,3,0)),"")</f>
        <v/>
      </c>
      <c r="I1983" s="1" t="str">
        <f t="shared" si="30"/>
        <v/>
      </c>
    </row>
    <row r="1984" spans="5:9" x14ac:dyDescent="0.3">
      <c r="E1984" t="str">
        <f>IFERROR(IF(D1984="","",VLOOKUP(D1984,CadProd!$A:$B,2,0)),"")</f>
        <v/>
      </c>
      <c r="F1984" t="str">
        <f>IFERROR(IF(D1984="","",VLOOKUP(D1984,CadProd!$A:$C,3,0)),"")</f>
        <v/>
      </c>
      <c r="I1984" s="1" t="str">
        <f t="shared" si="30"/>
        <v/>
      </c>
    </row>
    <row r="1985" spans="5:9" x14ac:dyDescent="0.3">
      <c r="E1985" t="str">
        <f>IFERROR(IF(D1985="","",VLOOKUP(D1985,CadProd!$A:$B,2,0)),"")</f>
        <v/>
      </c>
      <c r="F1985" t="str">
        <f>IFERROR(IF(D1985="","",VLOOKUP(D1985,CadProd!$A:$C,3,0)),"")</f>
        <v/>
      </c>
      <c r="I1985" s="1" t="str">
        <f t="shared" si="30"/>
        <v/>
      </c>
    </row>
    <row r="1986" spans="5:9" x14ac:dyDescent="0.3">
      <c r="E1986" t="str">
        <f>IFERROR(IF(D1986="","",VLOOKUP(D1986,CadProd!$A:$B,2,0)),"")</f>
        <v/>
      </c>
      <c r="F1986" t="str">
        <f>IFERROR(IF(D1986="","",VLOOKUP(D1986,CadProd!$A:$C,3,0)),"")</f>
        <v/>
      </c>
      <c r="I1986" s="1" t="str">
        <f t="shared" ref="I1986:I2049" si="31">IFERROR(IF(D1986="","",H1986*G1986),"")</f>
        <v/>
      </c>
    </row>
    <row r="1987" spans="5:9" x14ac:dyDescent="0.3">
      <c r="E1987" t="str">
        <f>IFERROR(IF(D1987="","",VLOOKUP(D1987,CadProd!$A:$B,2,0)),"")</f>
        <v/>
      </c>
      <c r="F1987" t="str">
        <f>IFERROR(IF(D1987="","",VLOOKUP(D1987,CadProd!$A:$C,3,0)),"")</f>
        <v/>
      </c>
      <c r="I1987" s="1" t="str">
        <f t="shared" si="31"/>
        <v/>
      </c>
    </row>
    <row r="1988" spans="5:9" x14ac:dyDescent="0.3">
      <c r="E1988" t="str">
        <f>IFERROR(IF(D1988="","",VLOOKUP(D1988,CadProd!$A:$B,2,0)),"")</f>
        <v/>
      </c>
      <c r="F1988" t="str">
        <f>IFERROR(IF(D1988="","",VLOOKUP(D1988,CadProd!$A:$C,3,0)),"")</f>
        <v/>
      </c>
      <c r="I1988" s="1" t="str">
        <f t="shared" si="31"/>
        <v/>
      </c>
    </row>
    <row r="1989" spans="5:9" x14ac:dyDescent="0.3">
      <c r="E1989" t="str">
        <f>IFERROR(IF(D1989="","",VLOOKUP(D1989,CadProd!$A:$B,2,0)),"")</f>
        <v/>
      </c>
      <c r="F1989" t="str">
        <f>IFERROR(IF(D1989="","",VLOOKUP(D1989,CadProd!$A:$C,3,0)),"")</f>
        <v/>
      </c>
      <c r="I1989" s="1" t="str">
        <f t="shared" si="31"/>
        <v/>
      </c>
    </row>
    <row r="1990" spans="5:9" x14ac:dyDescent="0.3">
      <c r="E1990" t="str">
        <f>IFERROR(IF(D1990="","",VLOOKUP(D1990,CadProd!$A:$B,2,0)),"")</f>
        <v/>
      </c>
      <c r="F1990" t="str">
        <f>IFERROR(IF(D1990="","",VLOOKUP(D1990,CadProd!$A:$C,3,0)),"")</f>
        <v/>
      </c>
      <c r="I1990" s="1" t="str">
        <f t="shared" si="31"/>
        <v/>
      </c>
    </row>
    <row r="1991" spans="5:9" x14ac:dyDescent="0.3">
      <c r="E1991" t="str">
        <f>IFERROR(IF(D1991="","",VLOOKUP(D1991,CadProd!$A:$B,2,0)),"")</f>
        <v/>
      </c>
      <c r="F1991" t="str">
        <f>IFERROR(IF(D1991="","",VLOOKUP(D1991,CadProd!$A:$C,3,0)),"")</f>
        <v/>
      </c>
      <c r="I1991" s="1" t="str">
        <f t="shared" si="31"/>
        <v/>
      </c>
    </row>
    <row r="1992" spans="5:9" x14ac:dyDescent="0.3">
      <c r="E1992" t="str">
        <f>IFERROR(IF(D1992="","",VLOOKUP(D1992,CadProd!$A:$B,2,0)),"")</f>
        <v/>
      </c>
      <c r="F1992" t="str">
        <f>IFERROR(IF(D1992="","",VLOOKUP(D1992,CadProd!$A:$C,3,0)),"")</f>
        <v/>
      </c>
      <c r="I1992" s="1" t="str">
        <f t="shared" si="31"/>
        <v/>
      </c>
    </row>
    <row r="1993" spans="5:9" x14ac:dyDescent="0.3">
      <c r="E1993" t="str">
        <f>IFERROR(IF(D1993="","",VLOOKUP(D1993,CadProd!$A:$B,2,0)),"")</f>
        <v/>
      </c>
      <c r="F1993" t="str">
        <f>IFERROR(IF(D1993="","",VLOOKUP(D1993,CadProd!$A:$C,3,0)),"")</f>
        <v/>
      </c>
      <c r="I1993" s="1" t="str">
        <f t="shared" si="31"/>
        <v/>
      </c>
    </row>
    <row r="1994" spans="5:9" x14ac:dyDescent="0.3">
      <c r="E1994" t="str">
        <f>IFERROR(IF(D1994="","",VLOOKUP(D1994,CadProd!$A:$B,2,0)),"")</f>
        <v/>
      </c>
      <c r="F1994" t="str">
        <f>IFERROR(IF(D1994="","",VLOOKUP(D1994,CadProd!$A:$C,3,0)),"")</f>
        <v/>
      </c>
      <c r="I1994" s="1" t="str">
        <f t="shared" si="31"/>
        <v/>
      </c>
    </row>
    <row r="1995" spans="5:9" x14ac:dyDescent="0.3">
      <c r="E1995" t="str">
        <f>IFERROR(IF(D1995="","",VLOOKUP(D1995,CadProd!$A:$B,2,0)),"")</f>
        <v/>
      </c>
      <c r="F1995" t="str">
        <f>IFERROR(IF(D1995="","",VLOOKUP(D1995,CadProd!$A:$C,3,0)),"")</f>
        <v/>
      </c>
      <c r="I1995" s="1" t="str">
        <f t="shared" si="31"/>
        <v/>
      </c>
    </row>
    <row r="1996" spans="5:9" x14ac:dyDescent="0.3">
      <c r="E1996" t="str">
        <f>IFERROR(IF(D1996="","",VLOOKUP(D1996,CadProd!$A:$B,2,0)),"")</f>
        <v/>
      </c>
      <c r="F1996" t="str">
        <f>IFERROR(IF(D1996="","",VLOOKUP(D1996,CadProd!$A:$C,3,0)),"")</f>
        <v/>
      </c>
      <c r="I1996" s="1" t="str">
        <f t="shared" si="31"/>
        <v/>
      </c>
    </row>
    <row r="1997" spans="5:9" x14ac:dyDescent="0.3">
      <c r="E1997" t="str">
        <f>IFERROR(IF(D1997="","",VLOOKUP(D1997,CadProd!$A:$B,2,0)),"")</f>
        <v/>
      </c>
      <c r="F1997" t="str">
        <f>IFERROR(IF(D1997="","",VLOOKUP(D1997,CadProd!$A:$C,3,0)),"")</f>
        <v/>
      </c>
      <c r="I1997" s="1" t="str">
        <f t="shared" si="31"/>
        <v/>
      </c>
    </row>
    <row r="1998" spans="5:9" x14ac:dyDescent="0.3">
      <c r="E1998" t="str">
        <f>IFERROR(IF(D1998="","",VLOOKUP(D1998,CadProd!$A:$B,2,0)),"")</f>
        <v/>
      </c>
      <c r="F1998" t="str">
        <f>IFERROR(IF(D1998="","",VLOOKUP(D1998,CadProd!$A:$C,3,0)),"")</f>
        <v/>
      </c>
      <c r="I1998" s="1" t="str">
        <f t="shared" si="31"/>
        <v/>
      </c>
    </row>
    <row r="1999" spans="5:9" x14ac:dyDescent="0.3">
      <c r="E1999" t="str">
        <f>IFERROR(IF(D1999="","",VLOOKUP(D1999,CadProd!$A:$B,2,0)),"")</f>
        <v/>
      </c>
      <c r="F1999" t="str">
        <f>IFERROR(IF(D1999="","",VLOOKUP(D1999,CadProd!$A:$C,3,0)),"")</f>
        <v/>
      </c>
      <c r="I1999" s="1" t="str">
        <f t="shared" si="31"/>
        <v/>
      </c>
    </row>
    <row r="2000" spans="5:9" x14ac:dyDescent="0.3">
      <c r="E2000" t="str">
        <f>IFERROR(IF(D2000="","",VLOOKUP(D2000,CadProd!$A:$B,2,0)),"")</f>
        <v/>
      </c>
      <c r="F2000" t="str">
        <f>IFERROR(IF(D2000="","",VLOOKUP(D2000,CadProd!$A:$C,3,0)),"")</f>
        <v/>
      </c>
      <c r="I2000" s="1" t="str">
        <f t="shared" si="31"/>
        <v/>
      </c>
    </row>
    <row r="2001" spans="5:9" x14ac:dyDescent="0.3">
      <c r="E2001" t="str">
        <f>IFERROR(IF(D2001="","",VLOOKUP(D2001,CadProd!$A:$B,2,0)),"")</f>
        <v/>
      </c>
      <c r="F2001" t="str">
        <f>IFERROR(IF(D2001="","",VLOOKUP(D2001,CadProd!$A:$C,3,0)),"")</f>
        <v/>
      </c>
      <c r="I2001" s="1" t="str">
        <f t="shared" si="31"/>
        <v/>
      </c>
    </row>
    <row r="2002" spans="5:9" x14ac:dyDescent="0.3">
      <c r="E2002" t="str">
        <f>IFERROR(IF(D2002="","",VLOOKUP(D2002,CadProd!$A:$B,2,0)),"")</f>
        <v/>
      </c>
      <c r="F2002" t="str">
        <f>IFERROR(IF(D2002="","",VLOOKUP(D2002,CadProd!$A:$C,3,0)),"")</f>
        <v/>
      </c>
      <c r="I2002" s="1" t="str">
        <f t="shared" si="31"/>
        <v/>
      </c>
    </row>
    <row r="2003" spans="5:9" x14ac:dyDescent="0.3">
      <c r="E2003" t="str">
        <f>IFERROR(IF(D2003="","",VLOOKUP(D2003,CadProd!$A:$B,2,0)),"")</f>
        <v/>
      </c>
      <c r="F2003" t="str">
        <f>IFERROR(IF(D2003="","",VLOOKUP(D2003,CadProd!$A:$C,3,0)),"")</f>
        <v/>
      </c>
      <c r="I2003" s="1" t="str">
        <f t="shared" si="31"/>
        <v/>
      </c>
    </row>
    <row r="2004" spans="5:9" x14ac:dyDescent="0.3">
      <c r="E2004" t="str">
        <f>IFERROR(IF(D2004="","",VLOOKUP(D2004,CadProd!$A:$B,2,0)),"")</f>
        <v/>
      </c>
      <c r="F2004" t="str">
        <f>IFERROR(IF(D2004="","",VLOOKUP(D2004,CadProd!$A:$C,3,0)),"")</f>
        <v/>
      </c>
      <c r="I2004" s="1" t="str">
        <f t="shared" si="31"/>
        <v/>
      </c>
    </row>
    <row r="2005" spans="5:9" x14ac:dyDescent="0.3">
      <c r="E2005" t="str">
        <f>IFERROR(IF(D2005="","",VLOOKUP(D2005,CadProd!$A:$B,2,0)),"")</f>
        <v/>
      </c>
      <c r="F2005" t="str">
        <f>IFERROR(IF(D2005="","",VLOOKUP(D2005,CadProd!$A:$C,3,0)),"")</f>
        <v/>
      </c>
      <c r="I2005" s="1" t="str">
        <f t="shared" si="31"/>
        <v/>
      </c>
    </row>
    <row r="2006" spans="5:9" x14ac:dyDescent="0.3">
      <c r="E2006" t="str">
        <f>IFERROR(IF(D2006="","",VLOOKUP(D2006,CadProd!$A:$B,2,0)),"")</f>
        <v/>
      </c>
      <c r="F2006" t="str">
        <f>IFERROR(IF(D2006="","",VLOOKUP(D2006,CadProd!$A:$C,3,0)),"")</f>
        <v/>
      </c>
      <c r="I2006" s="1" t="str">
        <f t="shared" si="31"/>
        <v/>
      </c>
    </row>
    <row r="2007" spans="5:9" x14ac:dyDescent="0.3">
      <c r="E2007" t="str">
        <f>IFERROR(IF(D2007="","",VLOOKUP(D2007,CadProd!$A:$B,2,0)),"")</f>
        <v/>
      </c>
      <c r="F2007" t="str">
        <f>IFERROR(IF(D2007="","",VLOOKUP(D2007,CadProd!$A:$C,3,0)),"")</f>
        <v/>
      </c>
      <c r="I2007" s="1" t="str">
        <f t="shared" si="31"/>
        <v/>
      </c>
    </row>
    <row r="2008" spans="5:9" x14ac:dyDescent="0.3">
      <c r="E2008" t="str">
        <f>IFERROR(IF(D2008="","",VLOOKUP(D2008,CadProd!$A:$B,2,0)),"")</f>
        <v/>
      </c>
      <c r="F2008" t="str">
        <f>IFERROR(IF(D2008="","",VLOOKUP(D2008,CadProd!$A:$C,3,0)),"")</f>
        <v/>
      </c>
      <c r="I2008" s="1" t="str">
        <f t="shared" si="31"/>
        <v/>
      </c>
    </row>
    <row r="2009" spans="5:9" x14ac:dyDescent="0.3">
      <c r="E2009" t="str">
        <f>IFERROR(IF(D2009="","",VLOOKUP(D2009,CadProd!$A:$B,2,0)),"")</f>
        <v/>
      </c>
      <c r="F2009" t="str">
        <f>IFERROR(IF(D2009="","",VLOOKUP(D2009,CadProd!$A:$C,3,0)),"")</f>
        <v/>
      </c>
      <c r="I2009" s="1" t="str">
        <f t="shared" si="31"/>
        <v/>
      </c>
    </row>
    <row r="2010" spans="5:9" x14ac:dyDescent="0.3">
      <c r="E2010" t="str">
        <f>IFERROR(IF(D2010="","",VLOOKUP(D2010,CadProd!$A:$B,2,0)),"")</f>
        <v/>
      </c>
      <c r="F2010" t="str">
        <f>IFERROR(IF(D2010="","",VLOOKUP(D2010,CadProd!$A:$C,3,0)),"")</f>
        <v/>
      </c>
      <c r="I2010" s="1" t="str">
        <f t="shared" si="31"/>
        <v/>
      </c>
    </row>
    <row r="2011" spans="5:9" x14ac:dyDescent="0.3">
      <c r="E2011" t="str">
        <f>IFERROR(IF(D2011="","",VLOOKUP(D2011,CadProd!$A:$B,2,0)),"")</f>
        <v/>
      </c>
      <c r="F2011" t="str">
        <f>IFERROR(IF(D2011="","",VLOOKUP(D2011,CadProd!$A:$C,3,0)),"")</f>
        <v/>
      </c>
      <c r="I2011" s="1" t="str">
        <f t="shared" si="31"/>
        <v/>
      </c>
    </row>
    <row r="2012" spans="5:9" x14ac:dyDescent="0.3">
      <c r="E2012" t="str">
        <f>IFERROR(IF(D2012="","",VLOOKUP(D2012,CadProd!$A:$B,2,0)),"")</f>
        <v/>
      </c>
      <c r="F2012" t="str">
        <f>IFERROR(IF(D2012="","",VLOOKUP(D2012,CadProd!$A:$C,3,0)),"")</f>
        <v/>
      </c>
      <c r="I2012" s="1" t="str">
        <f t="shared" si="31"/>
        <v/>
      </c>
    </row>
    <row r="2013" spans="5:9" x14ac:dyDescent="0.3">
      <c r="E2013" t="str">
        <f>IFERROR(IF(D2013="","",VLOOKUP(D2013,CadProd!$A:$B,2,0)),"")</f>
        <v/>
      </c>
      <c r="F2013" t="str">
        <f>IFERROR(IF(D2013="","",VLOOKUP(D2013,CadProd!$A:$C,3,0)),"")</f>
        <v/>
      </c>
      <c r="I2013" s="1" t="str">
        <f t="shared" si="31"/>
        <v/>
      </c>
    </row>
    <row r="2014" spans="5:9" x14ac:dyDescent="0.3">
      <c r="E2014" t="str">
        <f>IFERROR(IF(D2014="","",VLOOKUP(D2014,CadProd!$A:$B,2,0)),"")</f>
        <v/>
      </c>
      <c r="F2014" t="str">
        <f>IFERROR(IF(D2014="","",VLOOKUP(D2014,CadProd!$A:$C,3,0)),"")</f>
        <v/>
      </c>
      <c r="I2014" s="1" t="str">
        <f t="shared" si="31"/>
        <v/>
      </c>
    </row>
    <row r="2015" spans="5:9" x14ac:dyDescent="0.3">
      <c r="E2015" t="str">
        <f>IFERROR(IF(D2015="","",VLOOKUP(D2015,CadProd!$A:$B,2,0)),"")</f>
        <v/>
      </c>
      <c r="F2015" t="str">
        <f>IFERROR(IF(D2015="","",VLOOKUP(D2015,CadProd!$A:$C,3,0)),"")</f>
        <v/>
      </c>
      <c r="I2015" s="1" t="str">
        <f t="shared" si="31"/>
        <v/>
      </c>
    </row>
    <row r="2016" spans="5:9" x14ac:dyDescent="0.3">
      <c r="E2016" t="str">
        <f>IFERROR(IF(D2016="","",VLOOKUP(D2016,CadProd!$A:$B,2,0)),"")</f>
        <v/>
      </c>
      <c r="F2016" t="str">
        <f>IFERROR(IF(D2016="","",VLOOKUP(D2016,CadProd!$A:$C,3,0)),"")</f>
        <v/>
      </c>
      <c r="I2016" s="1" t="str">
        <f t="shared" si="31"/>
        <v/>
      </c>
    </row>
    <row r="2017" spans="5:9" x14ac:dyDescent="0.3">
      <c r="E2017" t="str">
        <f>IFERROR(IF(D2017="","",VLOOKUP(D2017,CadProd!$A:$B,2,0)),"")</f>
        <v/>
      </c>
      <c r="F2017" t="str">
        <f>IFERROR(IF(D2017="","",VLOOKUP(D2017,CadProd!$A:$C,3,0)),"")</f>
        <v/>
      </c>
      <c r="I2017" s="1" t="str">
        <f t="shared" si="31"/>
        <v/>
      </c>
    </row>
    <row r="2018" spans="5:9" x14ac:dyDescent="0.3">
      <c r="E2018" t="str">
        <f>IFERROR(IF(D2018="","",VLOOKUP(D2018,CadProd!$A:$B,2,0)),"")</f>
        <v/>
      </c>
      <c r="F2018" t="str">
        <f>IFERROR(IF(D2018="","",VLOOKUP(D2018,CadProd!$A:$C,3,0)),"")</f>
        <v/>
      </c>
      <c r="I2018" s="1" t="str">
        <f t="shared" si="31"/>
        <v/>
      </c>
    </row>
    <row r="2019" spans="5:9" x14ac:dyDescent="0.3">
      <c r="E2019" t="str">
        <f>IFERROR(IF(D2019="","",VLOOKUP(D2019,CadProd!$A:$B,2,0)),"")</f>
        <v/>
      </c>
      <c r="F2019" t="str">
        <f>IFERROR(IF(D2019="","",VLOOKUP(D2019,CadProd!$A:$C,3,0)),"")</f>
        <v/>
      </c>
      <c r="I2019" s="1" t="str">
        <f t="shared" si="31"/>
        <v/>
      </c>
    </row>
    <row r="2020" spans="5:9" x14ac:dyDescent="0.3">
      <c r="E2020" t="str">
        <f>IFERROR(IF(D2020="","",VLOOKUP(D2020,CadProd!$A:$B,2,0)),"")</f>
        <v/>
      </c>
      <c r="F2020" t="str">
        <f>IFERROR(IF(D2020="","",VLOOKUP(D2020,CadProd!$A:$C,3,0)),"")</f>
        <v/>
      </c>
      <c r="I2020" s="1" t="str">
        <f t="shared" si="31"/>
        <v/>
      </c>
    </row>
    <row r="2021" spans="5:9" x14ac:dyDescent="0.3">
      <c r="E2021" t="str">
        <f>IFERROR(IF(D2021="","",VLOOKUP(D2021,CadProd!$A:$B,2,0)),"")</f>
        <v/>
      </c>
      <c r="F2021" t="str">
        <f>IFERROR(IF(D2021="","",VLOOKUP(D2021,CadProd!$A:$C,3,0)),"")</f>
        <v/>
      </c>
      <c r="I2021" s="1" t="str">
        <f t="shared" si="31"/>
        <v/>
      </c>
    </row>
    <row r="2022" spans="5:9" x14ac:dyDescent="0.3">
      <c r="E2022" t="str">
        <f>IFERROR(IF(D2022="","",VLOOKUP(D2022,CadProd!$A:$B,2,0)),"")</f>
        <v/>
      </c>
      <c r="F2022" t="str">
        <f>IFERROR(IF(D2022="","",VLOOKUP(D2022,CadProd!$A:$C,3,0)),"")</f>
        <v/>
      </c>
      <c r="I2022" s="1" t="str">
        <f t="shared" si="31"/>
        <v/>
      </c>
    </row>
    <row r="2023" spans="5:9" x14ac:dyDescent="0.3">
      <c r="E2023" t="str">
        <f>IFERROR(IF(D2023="","",VLOOKUP(D2023,CadProd!$A:$B,2,0)),"")</f>
        <v/>
      </c>
      <c r="F2023" t="str">
        <f>IFERROR(IF(D2023="","",VLOOKUP(D2023,CadProd!$A:$C,3,0)),"")</f>
        <v/>
      </c>
      <c r="I2023" s="1" t="str">
        <f t="shared" si="31"/>
        <v/>
      </c>
    </row>
    <row r="2024" spans="5:9" x14ac:dyDescent="0.3">
      <c r="E2024" t="str">
        <f>IFERROR(IF(D2024="","",VLOOKUP(D2024,CadProd!$A:$B,2,0)),"")</f>
        <v/>
      </c>
      <c r="F2024" t="str">
        <f>IFERROR(IF(D2024="","",VLOOKUP(D2024,CadProd!$A:$C,3,0)),"")</f>
        <v/>
      </c>
      <c r="I2024" s="1" t="str">
        <f t="shared" si="31"/>
        <v/>
      </c>
    </row>
    <row r="2025" spans="5:9" x14ac:dyDescent="0.3">
      <c r="E2025" t="str">
        <f>IFERROR(IF(D2025="","",VLOOKUP(D2025,CadProd!$A:$B,2,0)),"")</f>
        <v/>
      </c>
      <c r="F2025" t="str">
        <f>IFERROR(IF(D2025="","",VLOOKUP(D2025,CadProd!$A:$C,3,0)),"")</f>
        <v/>
      </c>
      <c r="I2025" s="1" t="str">
        <f t="shared" si="31"/>
        <v/>
      </c>
    </row>
    <row r="2026" spans="5:9" x14ac:dyDescent="0.3">
      <c r="E2026" t="str">
        <f>IFERROR(IF(D2026="","",VLOOKUP(D2026,CadProd!$A:$B,2,0)),"")</f>
        <v/>
      </c>
      <c r="F2026" t="str">
        <f>IFERROR(IF(D2026="","",VLOOKUP(D2026,CadProd!$A:$C,3,0)),"")</f>
        <v/>
      </c>
      <c r="I2026" s="1" t="str">
        <f t="shared" si="31"/>
        <v/>
      </c>
    </row>
    <row r="2027" spans="5:9" x14ac:dyDescent="0.3">
      <c r="E2027" t="str">
        <f>IFERROR(IF(D2027="","",VLOOKUP(D2027,CadProd!$A:$B,2,0)),"")</f>
        <v/>
      </c>
      <c r="F2027" t="str">
        <f>IFERROR(IF(D2027="","",VLOOKUP(D2027,CadProd!$A:$C,3,0)),"")</f>
        <v/>
      </c>
      <c r="I2027" s="1" t="str">
        <f t="shared" si="31"/>
        <v/>
      </c>
    </row>
    <row r="2028" spans="5:9" x14ac:dyDescent="0.3">
      <c r="E2028" t="str">
        <f>IFERROR(IF(D2028="","",VLOOKUP(D2028,CadProd!$A:$B,2,0)),"")</f>
        <v/>
      </c>
      <c r="F2028" t="str">
        <f>IFERROR(IF(D2028="","",VLOOKUP(D2028,CadProd!$A:$C,3,0)),"")</f>
        <v/>
      </c>
      <c r="I2028" s="1" t="str">
        <f t="shared" si="31"/>
        <v/>
      </c>
    </row>
    <row r="2029" spans="5:9" x14ac:dyDescent="0.3">
      <c r="E2029" t="str">
        <f>IFERROR(IF(D2029="","",VLOOKUP(D2029,CadProd!$A:$B,2,0)),"")</f>
        <v/>
      </c>
      <c r="F2029" t="str">
        <f>IFERROR(IF(D2029="","",VLOOKUP(D2029,CadProd!$A:$C,3,0)),"")</f>
        <v/>
      </c>
      <c r="I2029" s="1" t="str">
        <f t="shared" si="31"/>
        <v/>
      </c>
    </row>
    <row r="2030" spans="5:9" x14ac:dyDescent="0.3">
      <c r="E2030" t="str">
        <f>IFERROR(IF(D2030="","",VLOOKUP(D2030,CadProd!$A:$B,2,0)),"")</f>
        <v/>
      </c>
      <c r="F2030" t="str">
        <f>IFERROR(IF(D2030="","",VLOOKUP(D2030,CadProd!$A:$C,3,0)),"")</f>
        <v/>
      </c>
      <c r="I2030" s="1" t="str">
        <f t="shared" si="31"/>
        <v/>
      </c>
    </row>
    <row r="2031" spans="5:9" x14ac:dyDescent="0.3">
      <c r="E2031" t="str">
        <f>IFERROR(IF(D2031="","",VLOOKUP(D2031,CadProd!$A:$B,2,0)),"")</f>
        <v/>
      </c>
      <c r="F2031" t="str">
        <f>IFERROR(IF(D2031="","",VLOOKUP(D2031,CadProd!$A:$C,3,0)),"")</f>
        <v/>
      </c>
      <c r="I2031" s="1" t="str">
        <f t="shared" si="31"/>
        <v/>
      </c>
    </row>
    <row r="2032" spans="5:9" x14ac:dyDescent="0.3">
      <c r="E2032" t="str">
        <f>IFERROR(IF(D2032="","",VLOOKUP(D2032,CadProd!$A:$B,2,0)),"")</f>
        <v/>
      </c>
      <c r="F2032" t="str">
        <f>IFERROR(IF(D2032="","",VLOOKUP(D2032,CadProd!$A:$C,3,0)),"")</f>
        <v/>
      </c>
      <c r="I2032" s="1" t="str">
        <f t="shared" si="31"/>
        <v/>
      </c>
    </row>
    <row r="2033" spans="5:9" x14ac:dyDescent="0.3">
      <c r="E2033" t="str">
        <f>IFERROR(IF(D2033="","",VLOOKUP(D2033,CadProd!$A:$B,2,0)),"")</f>
        <v/>
      </c>
      <c r="F2033" t="str">
        <f>IFERROR(IF(D2033="","",VLOOKUP(D2033,CadProd!$A:$C,3,0)),"")</f>
        <v/>
      </c>
      <c r="I2033" s="1" t="str">
        <f t="shared" si="31"/>
        <v/>
      </c>
    </row>
    <row r="2034" spans="5:9" x14ac:dyDescent="0.3">
      <c r="E2034" t="str">
        <f>IFERROR(IF(D2034="","",VLOOKUP(D2034,CadProd!$A:$B,2,0)),"")</f>
        <v/>
      </c>
      <c r="F2034" t="str">
        <f>IFERROR(IF(D2034="","",VLOOKUP(D2034,CadProd!$A:$C,3,0)),"")</f>
        <v/>
      </c>
      <c r="I2034" s="1" t="str">
        <f t="shared" si="31"/>
        <v/>
      </c>
    </row>
    <row r="2035" spans="5:9" x14ac:dyDescent="0.3">
      <c r="E2035" t="str">
        <f>IFERROR(IF(D2035="","",VLOOKUP(D2035,CadProd!$A:$B,2,0)),"")</f>
        <v/>
      </c>
      <c r="F2035" t="str">
        <f>IFERROR(IF(D2035="","",VLOOKUP(D2035,CadProd!$A:$C,3,0)),"")</f>
        <v/>
      </c>
      <c r="I2035" s="1" t="str">
        <f t="shared" si="31"/>
        <v/>
      </c>
    </row>
    <row r="2036" spans="5:9" x14ac:dyDescent="0.3">
      <c r="E2036" t="str">
        <f>IFERROR(IF(D2036="","",VLOOKUP(D2036,CadProd!$A:$B,2,0)),"")</f>
        <v/>
      </c>
      <c r="F2036" t="str">
        <f>IFERROR(IF(D2036="","",VLOOKUP(D2036,CadProd!$A:$C,3,0)),"")</f>
        <v/>
      </c>
      <c r="I2036" s="1" t="str">
        <f t="shared" si="31"/>
        <v/>
      </c>
    </row>
    <row r="2037" spans="5:9" x14ac:dyDescent="0.3">
      <c r="E2037" t="str">
        <f>IFERROR(IF(D2037="","",VLOOKUP(D2037,CadProd!$A:$B,2,0)),"")</f>
        <v/>
      </c>
      <c r="F2037" t="str">
        <f>IFERROR(IF(D2037="","",VLOOKUP(D2037,CadProd!$A:$C,3,0)),"")</f>
        <v/>
      </c>
      <c r="I2037" s="1" t="str">
        <f t="shared" si="31"/>
        <v/>
      </c>
    </row>
    <row r="2038" spans="5:9" x14ac:dyDescent="0.3">
      <c r="E2038" t="str">
        <f>IFERROR(IF(D2038="","",VLOOKUP(D2038,CadProd!$A:$B,2,0)),"")</f>
        <v/>
      </c>
      <c r="F2038" t="str">
        <f>IFERROR(IF(D2038="","",VLOOKUP(D2038,CadProd!$A:$C,3,0)),"")</f>
        <v/>
      </c>
      <c r="I2038" s="1" t="str">
        <f t="shared" si="31"/>
        <v/>
      </c>
    </row>
    <row r="2039" spans="5:9" x14ac:dyDescent="0.3">
      <c r="E2039" t="str">
        <f>IFERROR(IF(D2039="","",VLOOKUP(D2039,CadProd!$A:$B,2,0)),"")</f>
        <v/>
      </c>
      <c r="F2039" t="str">
        <f>IFERROR(IF(D2039="","",VLOOKUP(D2039,CadProd!$A:$C,3,0)),"")</f>
        <v/>
      </c>
      <c r="I2039" s="1" t="str">
        <f t="shared" si="31"/>
        <v/>
      </c>
    </row>
    <row r="2040" spans="5:9" x14ac:dyDescent="0.3">
      <c r="E2040" t="str">
        <f>IFERROR(IF(D2040="","",VLOOKUP(D2040,CadProd!$A:$B,2,0)),"")</f>
        <v/>
      </c>
      <c r="F2040" t="str">
        <f>IFERROR(IF(D2040="","",VLOOKUP(D2040,CadProd!$A:$C,3,0)),"")</f>
        <v/>
      </c>
      <c r="I2040" s="1" t="str">
        <f t="shared" si="31"/>
        <v/>
      </c>
    </row>
    <row r="2041" spans="5:9" x14ac:dyDescent="0.3">
      <c r="E2041" t="str">
        <f>IFERROR(IF(D2041="","",VLOOKUP(D2041,CadProd!$A:$B,2,0)),"")</f>
        <v/>
      </c>
      <c r="F2041" t="str">
        <f>IFERROR(IF(D2041="","",VLOOKUP(D2041,CadProd!$A:$C,3,0)),"")</f>
        <v/>
      </c>
      <c r="I2041" s="1" t="str">
        <f t="shared" si="31"/>
        <v/>
      </c>
    </row>
    <row r="2042" spans="5:9" x14ac:dyDescent="0.3">
      <c r="E2042" t="str">
        <f>IFERROR(IF(D2042="","",VLOOKUP(D2042,CadProd!$A:$B,2,0)),"")</f>
        <v/>
      </c>
      <c r="F2042" t="str">
        <f>IFERROR(IF(D2042="","",VLOOKUP(D2042,CadProd!$A:$C,3,0)),"")</f>
        <v/>
      </c>
      <c r="I2042" s="1" t="str">
        <f t="shared" si="31"/>
        <v/>
      </c>
    </row>
    <row r="2043" spans="5:9" x14ac:dyDescent="0.3">
      <c r="E2043" t="str">
        <f>IFERROR(IF(D2043="","",VLOOKUP(D2043,CadProd!$A:$B,2,0)),"")</f>
        <v/>
      </c>
      <c r="F2043" t="str">
        <f>IFERROR(IF(D2043="","",VLOOKUP(D2043,CadProd!$A:$C,3,0)),"")</f>
        <v/>
      </c>
      <c r="I2043" s="1" t="str">
        <f t="shared" si="31"/>
        <v/>
      </c>
    </row>
    <row r="2044" spans="5:9" x14ac:dyDescent="0.3">
      <c r="E2044" t="str">
        <f>IFERROR(IF(D2044="","",VLOOKUP(D2044,CadProd!$A:$B,2,0)),"")</f>
        <v/>
      </c>
      <c r="F2044" t="str">
        <f>IFERROR(IF(D2044="","",VLOOKUP(D2044,CadProd!$A:$C,3,0)),"")</f>
        <v/>
      </c>
      <c r="I2044" s="1" t="str">
        <f t="shared" si="31"/>
        <v/>
      </c>
    </row>
    <row r="2045" spans="5:9" x14ac:dyDescent="0.3">
      <c r="E2045" t="str">
        <f>IFERROR(IF(D2045="","",VLOOKUP(D2045,CadProd!$A:$B,2,0)),"")</f>
        <v/>
      </c>
      <c r="F2045" t="str">
        <f>IFERROR(IF(D2045="","",VLOOKUP(D2045,CadProd!$A:$C,3,0)),"")</f>
        <v/>
      </c>
      <c r="I2045" s="1" t="str">
        <f t="shared" si="31"/>
        <v/>
      </c>
    </row>
    <row r="2046" spans="5:9" x14ac:dyDescent="0.3">
      <c r="E2046" t="str">
        <f>IFERROR(IF(D2046="","",VLOOKUP(D2046,CadProd!$A:$B,2,0)),"")</f>
        <v/>
      </c>
      <c r="F2046" t="str">
        <f>IFERROR(IF(D2046="","",VLOOKUP(D2046,CadProd!$A:$C,3,0)),"")</f>
        <v/>
      </c>
      <c r="I2046" s="1" t="str">
        <f t="shared" si="31"/>
        <v/>
      </c>
    </row>
    <row r="2047" spans="5:9" x14ac:dyDescent="0.3">
      <c r="E2047" t="str">
        <f>IFERROR(IF(D2047="","",VLOOKUP(D2047,CadProd!$A:$B,2,0)),"")</f>
        <v/>
      </c>
      <c r="F2047" t="str">
        <f>IFERROR(IF(D2047="","",VLOOKUP(D2047,CadProd!$A:$C,3,0)),"")</f>
        <v/>
      </c>
      <c r="I2047" s="1" t="str">
        <f t="shared" si="31"/>
        <v/>
      </c>
    </row>
    <row r="2048" spans="5:9" x14ac:dyDescent="0.3">
      <c r="E2048" t="str">
        <f>IFERROR(IF(D2048="","",VLOOKUP(D2048,CadProd!$A:$B,2,0)),"")</f>
        <v/>
      </c>
      <c r="F2048" t="str">
        <f>IFERROR(IF(D2048="","",VLOOKUP(D2048,CadProd!$A:$C,3,0)),"")</f>
        <v/>
      </c>
      <c r="I2048" s="1" t="str">
        <f t="shared" si="31"/>
        <v/>
      </c>
    </row>
    <row r="2049" spans="5:9" x14ac:dyDescent="0.3">
      <c r="E2049" t="str">
        <f>IFERROR(IF(D2049="","",VLOOKUP(D2049,CadProd!$A:$B,2,0)),"")</f>
        <v/>
      </c>
      <c r="F2049" t="str">
        <f>IFERROR(IF(D2049="","",VLOOKUP(D2049,CadProd!$A:$C,3,0)),"")</f>
        <v/>
      </c>
      <c r="I2049" s="1" t="str">
        <f t="shared" si="31"/>
        <v/>
      </c>
    </row>
    <row r="2050" spans="5:9" x14ac:dyDescent="0.3">
      <c r="E2050" t="str">
        <f>IFERROR(IF(D2050="","",VLOOKUP(D2050,CadProd!$A:$B,2,0)),"")</f>
        <v/>
      </c>
      <c r="F2050" t="str">
        <f>IFERROR(IF(D2050="","",VLOOKUP(D2050,CadProd!$A:$C,3,0)),"")</f>
        <v/>
      </c>
      <c r="I2050" s="1" t="str">
        <f t="shared" ref="I2050:I2113" si="32">IFERROR(IF(D2050="","",H2050*G2050),"")</f>
        <v/>
      </c>
    </row>
    <row r="2051" spans="5:9" x14ac:dyDescent="0.3">
      <c r="E2051" t="str">
        <f>IFERROR(IF(D2051="","",VLOOKUP(D2051,CadProd!$A:$B,2,0)),"")</f>
        <v/>
      </c>
      <c r="F2051" t="str">
        <f>IFERROR(IF(D2051="","",VLOOKUP(D2051,CadProd!$A:$C,3,0)),"")</f>
        <v/>
      </c>
      <c r="I2051" s="1" t="str">
        <f t="shared" si="32"/>
        <v/>
      </c>
    </row>
    <row r="2052" spans="5:9" x14ac:dyDescent="0.3">
      <c r="E2052" t="str">
        <f>IFERROR(IF(D2052="","",VLOOKUP(D2052,CadProd!$A:$B,2,0)),"")</f>
        <v/>
      </c>
      <c r="F2052" t="str">
        <f>IFERROR(IF(D2052="","",VLOOKUP(D2052,CadProd!$A:$C,3,0)),"")</f>
        <v/>
      </c>
      <c r="I2052" s="1" t="str">
        <f t="shared" si="32"/>
        <v/>
      </c>
    </row>
    <row r="2053" spans="5:9" x14ac:dyDescent="0.3">
      <c r="E2053" t="str">
        <f>IFERROR(IF(D2053="","",VLOOKUP(D2053,CadProd!$A:$B,2,0)),"")</f>
        <v/>
      </c>
      <c r="F2053" t="str">
        <f>IFERROR(IF(D2053="","",VLOOKUP(D2053,CadProd!$A:$C,3,0)),"")</f>
        <v/>
      </c>
      <c r="I2053" s="1" t="str">
        <f t="shared" si="32"/>
        <v/>
      </c>
    </row>
    <row r="2054" spans="5:9" x14ac:dyDescent="0.3">
      <c r="E2054" t="str">
        <f>IFERROR(IF(D2054="","",VLOOKUP(D2054,CadProd!$A:$B,2,0)),"")</f>
        <v/>
      </c>
      <c r="F2054" t="str">
        <f>IFERROR(IF(D2054="","",VLOOKUP(D2054,CadProd!$A:$C,3,0)),"")</f>
        <v/>
      </c>
      <c r="I2054" s="1" t="str">
        <f t="shared" si="32"/>
        <v/>
      </c>
    </row>
    <row r="2055" spans="5:9" x14ac:dyDescent="0.3">
      <c r="E2055" t="str">
        <f>IFERROR(IF(D2055="","",VLOOKUP(D2055,CadProd!$A:$B,2,0)),"")</f>
        <v/>
      </c>
      <c r="F2055" t="str">
        <f>IFERROR(IF(D2055="","",VLOOKUP(D2055,CadProd!$A:$C,3,0)),"")</f>
        <v/>
      </c>
      <c r="I2055" s="1" t="str">
        <f t="shared" si="32"/>
        <v/>
      </c>
    </row>
    <row r="2056" spans="5:9" x14ac:dyDescent="0.3">
      <c r="E2056" t="str">
        <f>IFERROR(IF(D2056="","",VLOOKUP(D2056,CadProd!$A:$B,2,0)),"")</f>
        <v/>
      </c>
      <c r="F2056" t="str">
        <f>IFERROR(IF(D2056="","",VLOOKUP(D2056,CadProd!$A:$C,3,0)),"")</f>
        <v/>
      </c>
      <c r="I2056" s="1" t="str">
        <f t="shared" si="32"/>
        <v/>
      </c>
    </row>
    <row r="2057" spans="5:9" x14ac:dyDescent="0.3">
      <c r="E2057" t="str">
        <f>IFERROR(IF(D2057="","",VLOOKUP(D2057,CadProd!$A:$B,2,0)),"")</f>
        <v/>
      </c>
      <c r="F2057" t="str">
        <f>IFERROR(IF(D2057="","",VLOOKUP(D2057,CadProd!$A:$C,3,0)),"")</f>
        <v/>
      </c>
      <c r="I2057" s="1" t="str">
        <f t="shared" si="32"/>
        <v/>
      </c>
    </row>
    <row r="2058" spans="5:9" x14ac:dyDescent="0.3">
      <c r="E2058" t="str">
        <f>IFERROR(IF(D2058="","",VLOOKUP(D2058,CadProd!$A:$B,2,0)),"")</f>
        <v/>
      </c>
      <c r="F2058" t="str">
        <f>IFERROR(IF(D2058="","",VLOOKUP(D2058,CadProd!$A:$C,3,0)),"")</f>
        <v/>
      </c>
      <c r="I2058" s="1" t="str">
        <f t="shared" si="32"/>
        <v/>
      </c>
    </row>
    <row r="2059" spans="5:9" x14ac:dyDescent="0.3">
      <c r="E2059" t="str">
        <f>IFERROR(IF(D2059="","",VLOOKUP(D2059,CadProd!$A:$B,2,0)),"")</f>
        <v/>
      </c>
      <c r="F2059" t="str">
        <f>IFERROR(IF(D2059="","",VLOOKUP(D2059,CadProd!$A:$C,3,0)),"")</f>
        <v/>
      </c>
      <c r="I2059" s="1" t="str">
        <f t="shared" si="32"/>
        <v/>
      </c>
    </row>
    <row r="2060" spans="5:9" x14ac:dyDescent="0.3">
      <c r="E2060" t="str">
        <f>IFERROR(IF(D2060="","",VLOOKUP(D2060,CadProd!$A:$B,2,0)),"")</f>
        <v/>
      </c>
      <c r="F2060" t="str">
        <f>IFERROR(IF(D2060="","",VLOOKUP(D2060,CadProd!$A:$C,3,0)),"")</f>
        <v/>
      </c>
      <c r="I2060" s="1" t="str">
        <f t="shared" si="32"/>
        <v/>
      </c>
    </row>
    <row r="2061" spans="5:9" x14ac:dyDescent="0.3">
      <c r="E2061" t="str">
        <f>IFERROR(IF(D2061="","",VLOOKUP(D2061,CadProd!$A:$B,2,0)),"")</f>
        <v/>
      </c>
      <c r="F2061" t="str">
        <f>IFERROR(IF(D2061="","",VLOOKUP(D2061,CadProd!$A:$C,3,0)),"")</f>
        <v/>
      </c>
      <c r="I2061" s="1" t="str">
        <f t="shared" si="32"/>
        <v/>
      </c>
    </row>
    <row r="2062" spans="5:9" x14ac:dyDescent="0.3">
      <c r="E2062" t="str">
        <f>IFERROR(IF(D2062="","",VLOOKUP(D2062,CadProd!$A:$B,2,0)),"")</f>
        <v/>
      </c>
      <c r="F2062" t="str">
        <f>IFERROR(IF(D2062="","",VLOOKUP(D2062,CadProd!$A:$C,3,0)),"")</f>
        <v/>
      </c>
      <c r="I2062" s="1" t="str">
        <f t="shared" si="32"/>
        <v/>
      </c>
    </row>
    <row r="2063" spans="5:9" x14ac:dyDescent="0.3">
      <c r="E2063" t="str">
        <f>IFERROR(IF(D2063="","",VLOOKUP(D2063,CadProd!$A:$B,2,0)),"")</f>
        <v/>
      </c>
      <c r="F2063" t="str">
        <f>IFERROR(IF(D2063="","",VLOOKUP(D2063,CadProd!$A:$C,3,0)),"")</f>
        <v/>
      </c>
      <c r="I2063" s="1" t="str">
        <f t="shared" si="32"/>
        <v/>
      </c>
    </row>
    <row r="2064" spans="5:9" x14ac:dyDescent="0.3">
      <c r="E2064" t="str">
        <f>IFERROR(IF(D2064="","",VLOOKUP(D2064,CadProd!$A:$B,2,0)),"")</f>
        <v/>
      </c>
      <c r="F2064" t="str">
        <f>IFERROR(IF(D2064="","",VLOOKUP(D2064,CadProd!$A:$C,3,0)),"")</f>
        <v/>
      </c>
      <c r="I2064" s="1" t="str">
        <f t="shared" si="32"/>
        <v/>
      </c>
    </row>
    <row r="2065" spans="5:9" x14ac:dyDescent="0.3">
      <c r="E2065" t="str">
        <f>IFERROR(IF(D2065="","",VLOOKUP(D2065,CadProd!$A:$B,2,0)),"")</f>
        <v/>
      </c>
      <c r="F2065" t="str">
        <f>IFERROR(IF(D2065="","",VLOOKUP(D2065,CadProd!$A:$C,3,0)),"")</f>
        <v/>
      </c>
      <c r="I2065" s="1" t="str">
        <f t="shared" si="32"/>
        <v/>
      </c>
    </row>
    <row r="2066" spans="5:9" x14ac:dyDescent="0.3">
      <c r="E2066" t="str">
        <f>IFERROR(IF(D2066="","",VLOOKUP(D2066,CadProd!$A:$B,2,0)),"")</f>
        <v/>
      </c>
      <c r="F2066" t="str">
        <f>IFERROR(IF(D2066="","",VLOOKUP(D2066,CadProd!$A:$C,3,0)),"")</f>
        <v/>
      </c>
      <c r="I2066" s="1" t="str">
        <f t="shared" si="32"/>
        <v/>
      </c>
    </row>
    <row r="2067" spans="5:9" x14ac:dyDescent="0.3">
      <c r="E2067" t="str">
        <f>IFERROR(IF(D2067="","",VLOOKUP(D2067,CadProd!$A:$B,2,0)),"")</f>
        <v/>
      </c>
      <c r="F2067" t="str">
        <f>IFERROR(IF(D2067="","",VLOOKUP(D2067,CadProd!$A:$C,3,0)),"")</f>
        <v/>
      </c>
      <c r="I2067" s="1" t="str">
        <f t="shared" si="32"/>
        <v/>
      </c>
    </row>
    <row r="2068" spans="5:9" x14ac:dyDescent="0.3">
      <c r="E2068" t="str">
        <f>IFERROR(IF(D2068="","",VLOOKUP(D2068,CadProd!$A:$B,2,0)),"")</f>
        <v/>
      </c>
      <c r="F2068" t="str">
        <f>IFERROR(IF(D2068="","",VLOOKUP(D2068,CadProd!$A:$C,3,0)),"")</f>
        <v/>
      </c>
      <c r="I2068" s="1" t="str">
        <f t="shared" si="32"/>
        <v/>
      </c>
    </row>
    <row r="2069" spans="5:9" x14ac:dyDescent="0.3">
      <c r="E2069" t="str">
        <f>IFERROR(IF(D2069="","",VLOOKUP(D2069,CadProd!$A:$B,2,0)),"")</f>
        <v/>
      </c>
      <c r="F2069" t="str">
        <f>IFERROR(IF(D2069="","",VLOOKUP(D2069,CadProd!$A:$C,3,0)),"")</f>
        <v/>
      </c>
      <c r="I2069" s="1" t="str">
        <f t="shared" si="32"/>
        <v/>
      </c>
    </row>
    <row r="2070" spans="5:9" x14ac:dyDescent="0.3">
      <c r="E2070" t="str">
        <f>IFERROR(IF(D2070="","",VLOOKUP(D2070,CadProd!$A:$B,2,0)),"")</f>
        <v/>
      </c>
      <c r="F2070" t="str">
        <f>IFERROR(IF(D2070="","",VLOOKUP(D2070,CadProd!$A:$C,3,0)),"")</f>
        <v/>
      </c>
      <c r="I2070" s="1" t="str">
        <f t="shared" si="32"/>
        <v/>
      </c>
    </row>
    <row r="2071" spans="5:9" x14ac:dyDescent="0.3">
      <c r="E2071" t="str">
        <f>IFERROR(IF(D2071="","",VLOOKUP(D2071,CadProd!$A:$B,2,0)),"")</f>
        <v/>
      </c>
      <c r="F2071" t="str">
        <f>IFERROR(IF(D2071="","",VLOOKUP(D2071,CadProd!$A:$C,3,0)),"")</f>
        <v/>
      </c>
      <c r="I2071" s="1" t="str">
        <f t="shared" si="32"/>
        <v/>
      </c>
    </row>
    <row r="2072" spans="5:9" x14ac:dyDescent="0.3">
      <c r="E2072" t="str">
        <f>IFERROR(IF(D2072="","",VLOOKUP(D2072,CadProd!$A:$B,2,0)),"")</f>
        <v/>
      </c>
      <c r="F2072" t="str">
        <f>IFERROR(IF(D2072="","",VLOOKUP(D2072,CadProd!$A:$C,3,0)),"")</f>
        <v/>
      </c>
      <c r="I2072" s="1" t="str">
        <f t="shared" si="32"/>
        <v/>
      </c>
    </row>
    <row r="2073" spans="5:9" x14ac:dyDescent="0.3">
      <c r="E2073" t="str">
        <f>IFERROR(IF(D2073="","",VLOOKUP(D2073,CadProd!$A:$B,2,0)),"")</f>
        <v/>
      </c>
      <c r="F2073" t="str">
        <f>IFERROR(IF(D2073="","",VLOOKUP(D2073,CadProd!$A:$C,3,0)),"")</f>
        <v/>
      </c>
      <c r="I2073" s="1" t="str">
        <f t="shared" si="32"/>
        <v/>
      </c>
    </row>
    <row r="2074" spans="5:9" x14ac:dyDescent="0.3">
      <c r="E2074" t="str">
        <f>IFERROR(IF(D2074="","",VLOOKUP(D2074,CadProd!$A:$B,2,0)),"")</f>
        <v/>
      </c>
      <c r="F2074" t="str">
        <f>IFERROR(IF(D2074="","",VLOOKUP(D2074,CadProd!$A:$C,3,0)),"")</f>
        <v/>
      </c>
      <c r="I2074" s="1" t="str">
        <f t="shared" si="32"/>
        <v/>
      </c>
    </row>
    <row r="2075" spans="5:9" x14ac:dyDescent="0.3">
      <c r="E2075" t="str">
        <f>IFERROR(IF(D2075="","",VLOOKUP(D2075,CadProd!$A:$B,2,0)),"")</f>
        <v/>
      </c>
      <c r="F2075" t="str">
        <f>IFERROR(IF(D2075="","",VLOOKUP(D2075,CadProd!$A:$C,3,0)),"")</f>
        <v/>
      </c>
      <c r="I2075" s="1" t="str">
        <f t="shared" si="32"/>
        <v/>
      </c>
    </row>
    <row r="2076" spans="5:9" x14ac:dyDescent="0.3">
      <c r="E2076" t="str">
        <f>IFERROR(IF(D2076="","",VLOOKUP(D2076,CadProd!$A:$B,2,0)),"")</f>
        <v/>
      </c>
      <c r="F2076" t="str">
        <f>IFERROR(IF(D2076="","",VLOOKUP(D2076,CadProd!$A:$C,3,0)),"")</f>
        <v/>
      </c>
      <c r="I2076" s="1" t="str">
        <f t="shared" si="32"/>
        <v/>
      </c>
    </row>
    <row r="2077" spans="5:9" x14ac:dyDescent="0.3">
      <c r="E2077" t="str">
        <f>IFERROR(IF(D2077="","",VLOOKUP(D2077,CadProd!$A:$B,2,0)),"")</f>
        <v/>
      </c>
      <c r="F2077" t="str">
        <f>IFERROR(IF(D2077="","",VLOOKUP(D2077,CadProd!$A:$C,3,0)),"")</f>
        <v/>
      </c>
      <c r="I2077" s="1" t="str">
        <f t="shared" si="32"/>
        <v/>
      </c>
    </row>
    <row r="2078" spans="5:9" x14ac:dyDescent="0.3">
      <c r="E2078" t="str">
        <f>IFERROR(IF(D2078="","",VLOOKUP(D2078,CadProd!$A:$B,2,0)),"")</f>
        <v/>
      </c>
      <c r="F2078" t="str">
        <f>IFERROR(IF(D2078="","",VLOOKUP(D2078,CadProd!$A:$C,3,0)),"")</f>
        <v/>
      </c>
      <c r="I2078" s="1" t="str">
        <f t="shared" si="32"/>
        <v/>
      </c>
    </row>
    <row r="2079" spans="5:9" x14ac:dyDescent="0.3">
      <c r="E2079" t="str">
        <f>IFERROR(IF(D2079="","",VLOOKUP(D2079,CadProd!$A:$B,2,0)),"")</f>
        <v/>
      </c>
      <c r="F2079" t="str">
        <f>IFERROR(IF(D2079="","",VLOOKUP(D2079,CadProd!$A:$C,3,0)),"")</f>
        <v/>
      </c>
      <c r="I2079" s="1" t="str">
        <f t="shared" si="32"/>
        <v/>
      </c>
    </row>
    <row r="2080" spans="5:9" x14ac:dyDescent="0.3">
      <c r="E2080" t="str">
        <f>IFERROR(IF(D2080="","",VLOOKUP(D2080,CadProd!$A:$B,2,0)),"")</f>
        <v/>
      </c>
      <c r="F2080" t="str">
        <f>IFERROR(IF(D2080="","",VLOOKUP(D2080,CadProd!$A:$C,3,0)),"")</f>
        <v/>
      </c>
      <c r="I2080" s="1" t="str">
        <f t="shared" si="32"/>
        <v/>
      </c>
    </row>
    <row r="2081" spans="5:9" x14ac:dyDescent="0.3">
      <c r="E2081" t="str">
        <f>IFERROR(IF(D2081="","",VLOOKUP(D2081,CadProd!$A:$B,2,0)),"")</f>
        <v/>
      </c>
      <c r="F2081" t="str">
        <f>IFERROR(IF(D2081="","",VLOOKUP(D2081,CadProd!$A:$C,3,0)),"")</f>
        <v/>
      </c>
      <c r="I2081" s="1" t="str">
        <f t="shared" si="32"/>
        <v/>
      </c>
    </row>
    <row r="2082" spans="5:9" x14ac:dyDescent="0.3">
      <c r="E2082" t="str">
        <f>IFERROR(IF(D2082="","",VLOOKUP(D2082,CadProd!$A:$B,2,0)),"")</f>
        <v/>
      </c>
      <c r="F2082" t="str">
        <f>IFERROR(IF(D2082="","",VLOOKUP(D2082,CadProd!$A:$C,3,0)),"")</f>
        <v/>
      </c>
      <c r="I2082" s="1" t="str">
        <f t="shared" si="32"/>
        <v/>
      </c>
    </row>
    <row r="2083" spans="5:9" x14ac:dyDescent="0.3">
      <c r="E2083" t="str">
        <f>IFERROR(IF(D2083="","",VLOOKUP(D2083,CadProd!$A:$B,2,0)),"")</f>
        <v/>
      </c>
      <c r="F2083" t="str">
        <f>IFERROR(IF(D2083="","",VLOOKUP(D2083,CadProd!$A:$C,3,0)),"")</f>
        <v/>
      </c>
      <c r="I2083" s="1" t="str">
        <f t="shared" si="32"/>
        <v/>
      </c>
    </row>
    <row r="2084" spans="5:9" x14ac:dyDescent="0.3">
      <c r="E2084" t="str">
        <f>IFERROR(IF(D2084="","",VLOOKUP(D2084,CadProd!$A:$B,2,0)),"")</f>
        <v/>
      </c>
      <c r="F2084" t="str">
        <f>IFERROR(IF(D2084="","",VLOOKUP(D2084,CadProd!$A:$C,3,0)),"")</f>
        <v/>
      </c>
      <c r="I2084" s="1" t="str">
        <f t="shared" si="32"/>
        <v/>
      </c>
    </row>
    <row r="2085" spans="5:9" x14ac:dyDescent="0.3">
      <c r="E2085" t="str">
        <f>IFERROR(IF(D2085="","",VLOOKUP(D2085,CadProd!$A:$B,2,0)),"")</f>
        <v/>
      </c>
      <c r="F2085" t="str">
        <f>IFERROR(IF(D2085="","",VLOOKUP(D2085,CadProd!$A:$C,3,0)),"")</f>
        <v/>
      </c>
      <c r="I2085" s="1" t="str">
        <f t="shared" si="32"/>
        <v/>
      </c>
    </row>
    <row r="2086" spans="5:9" x14ac:dyDescent="0.3">
      <c r="E2086" t="str">
        <f>IFERROR(IF(D2086="","",VLOOKUP(D2086,CadProd!$A:$B,2,0)),"")</f>
        <v/>
      </c>
      <c r="F2086" t="str">
        <f>IFERROR(IF(D2086="","",VLOOKUP(D2086,CadProd!$A:$C,3,0)),"")</f>
        <v/>
      </c>
      <c r="I2086" s="1" t="str">
        <f t="shared" si="32"/>
        <v/>
      </c>
    </row>
    <row r="2087" spans="5:9" x14ac:dyDescent="0.3">
      <c r="E2087" t="str">
        <f>IFERROR(IF(D2087="","",VLOOKUP(D2087,CadProd!$A:$B,2,0)),"")</f>
        <v/>
      </c>
      <c r="F2087" t="str">
        <f>IFERROR(IF(D2087="","",VLOOKUP(D2087,CadProd!$A:$C,3,0)),"")</f>
        <v/>
      </c>
      <c r="I2087" s="1" t="str">
        <f t="shared" si="32"/>
        <v/>
      </c>
    </row>
    <row r="2088" spans="5:9" x14ac:dyDescent="0.3">
      <c r="E2088" t="str">
        <f>IFERROR(IF(D2088="","",VLOOKUP(D2088,CadProd!$A:$B,2,0)),"")</f>
        <v/>
      </c>
      <c r="F2088" t="str">
        <f>IFERROR(IF(D2088="","",VLOOKUP(D2088,CadProd!$A:$C,3,0)),"")</f>
        <v/>
      </c>
      <c r="I2088" s="1" t="str">
        <f t="shared" si="32"/>
        <v/>
      </c>
    </row>
    <row r="2089" spans="5:9" x14ac:dyDescent="0.3">
      <c r="E2089" t="str">
        <f>IFERROR(IF(D2089="","",VLOOKUP(D2089,CadProd!$A:$B,2,0)),"")</f>
        <v/>
      </c>
      <c r="F2089" t="str">
        <f>IFERROR(IF(D2089="","",VLOOKUP(D2089,CadProd!$A:$C,3,0)),"")</f>
        <v/>
      </c>
      <c r="I2089" s="1" t="str">
        <f t="shared" si="32"/>
        <v/>
      </c>
    </row>
    <row r="2090" spans="5:9" x14ac:dyDescent="0.3">
      <c r="E2090" t="str">
        <f>IFERROR(IF(D2090="","",VLOOKUP(D2090,CadProd!$A:$B,2,0)),"")</f>
        <v/>
      </c>
      <c r="F2090" t="str">
        <f>IFERROR(IF(D2090="","",VLOOKUP(D2090,CadProd!$A:$C,3,0)),"")</f>
        <v/>
      </c>
      <c r="I2090" s="1" t="str">
        <f t="shared" si="32"/>
        <v/>
      </c>
    </row>
    <row r="2091" spans="5:9" x14ac:dyDescent="0.3">
      <c r="E2091" t="str">
        <f>IFERROR(IF(D2091="","",VLOOKUP(D2091,CadProd!$A:$B,2,0)),"")</f>
        <v/>
      </c>
      <c r="F2091" t="str">
        <f>IFERROR(IF(D2091="","",VLOOKUP(D2091,CadProd!$A:$C,3,0)),"")</f>
        <v/>
      </c>
      <c r="I2091" s="1" t="str">
        <f t="shared" si="32"/>
        <v/>
      </c>
    </row>
    <row r="2092" spans="5:9" x14ac:dyDescent="0.3">
      <c r="E2092" t="str">
        <f>IFERROR(IF(D2092="","",VLOOKUP(D2092,CadProd!$A:$B,2,0)),"")</f>
        <v/>
      </c>
      <c r="F2092" t="str">
        <f>IFERROR(IF(D2092="","",VLOOKUP(D2092,CadProd!$A:$C,3,0)),"")</f>
        <v/>
      </c>
      <c r="I2092" s="1" t="str">
        <f t="shared" si="32"/>
        <v/>
      </c>
    </row>
    <row r="2093" spans="5:9" x14ac:dyDescent="0.3">
      <c r="E2093" t="str">
        <f>IFERROR(IF(D2093="","",VLOOKUP(D2093,CadProd!$A:$B,2,0)),"")</f>
        <v/>
      </c>
      <c r="F2093" t="str">
        <f>IFERROR(IF(D2093="","",VLOOKUP(D2093,CadProd!$A:$C,3,0)),"")</f>
        <v/>
      </c>
      <c r="I2093" s="1" t="str">
        <f t="shared" si="32"/>
        <v/>
      </c>
    </row>
    <row r="2094" spans="5:9" x14ac:dyDescent="0.3">
      <c r="E2094" t="str">
        <f>IFERROR(IF(D2094="","",VLOOKUP(D2094,CadProd!$A:$B,2,0)),"")</f>
        <v/>
      </c>
      <c r="F2094" t="str">
        <f>IFERROR(IF(D2094="","",VLOOKUP(D2094,CadProd!$A:$C,3,0)),"")</f>
        <v/>
      </c>
      <c r="I2094" s="1" t="str">
        <f t="shared" si="32"/>
        <v/>
      </c>
    </row>
    <row r="2095" spans="5:9" x14ac:dyDescent="0.3">
      <c r="E2095" t="str">
        <f>IFERROR(IF(D2095="","",VLOOKUP(D2095,CadProd!$A:$B,2,0)),"")</f>
        <v/>
      </c>
      <c r="F2095" t="str">
        <f>IFERROR(IF(D2095="","",VLOOKUP(D2095,CadProd!$A:$C,3,0)),"")</f>
        <v/>
      </c>
      <c r="I2095" s="1" t="str">
        <f t="shared" si="32"/>
        <v/>
      </c>
    </row>
    <row r="2096" spans="5:9" x14ac:dyDescent="0.3">
      <c r="E2096" t="str">
        <f>IFERROR(IF(D2096="","",VLOOKUP(D2096,CadProd!$A:$B,2,0)),"")</f>
        <v/>
      </c>
      <c r="F2096" t="str">
        <f>IFERROR(IF(D2096="","",VLOOKUP(D2096,CadProd!$A:$C,3,0)),"")</f>
        <v/>
      </c>
      <c r="I2096" s="1" t="str">
        <f t="shared" si="32"/>
        <v/>
      </c>
    </row>
    <row r="2097" spans="5:9" x14ac:dyDescent="0.3">
      <c r="E2097" t="str">
        <f>IFERROR(IF(D2097="","",VLOOKUP(D2097,CadProd!$A:$B,2,0)),"")</f>
        <v/>
      </c>
      <c r="F2097" t="str">
        <f>IFERROR(IF(D2097="","",VLOOKUP(D2097,CadProd!$A:$C,3,0)),"")</f>
        <v/>
      </c>
      <c r="I2097" s="1" t="str">
        <f t="shared" si="32"/>
        <v/>
      </c>
    </row>
    <row r="2098" spans="5:9" x14ac:dyDescent="0.3">
      <c r="E2098" t="str">
        <f>IFERROR(IF(D2098="","",VLOOKUP(D2098,CadProd!$A:$B,2,0)),"")</f>
        <v/>
      </c>
      <c r="F2098" t="str">
        <f>IFERROR(IF(D2098="","",VLOOKUP(D2098,CadProd!$A:$C,3,0)),"")</f>
        <v/>
      </c>
      <c r="I2098" s="1" t="str">
        <f t="shared" si="32"/>
        <v/>
      </c>
    </row>
    <row r="2099" spans="5:9" x14ac:dyDescent="0.3">
      <c r="E2099" t="str">
        <f>IFERROR(IF(D2099="","",VLOOKUP(D2099,CadProd!$A:$B,2,0)),"")</f>
        <v/>
      </c>
      <c r="F2099" t="str">
        <f>IFERROR(IF(D2099="","",VLOOKUP(D2099,CadProd!$A:$C,3,0)),"")</f>
        <v/>
      </c>
      <c r="I2099" s="1" t="str">
        <f t="shared" si="32"/>
        <v/>
      </c>
    </row>
    <row r="2100" spans="5:9" x14ac:dyDescent="0.3">
      <c r="E2100" t="str">
        <f>IFERROR(IF(D2100="","",VLOOKUP(D2100,CadProd!$A:$B,2,0)),"")</f>
        <v/>
      </c>
      <c r="F2100" t="str">
        <f>IFERROR(IF(D2100="","",VLOOKUP(D2100,CadProd!$A:$C,3,0)),"")</f>
        <v/>
      </c>
      <c r="I2100" s="1" t="str">
        <f t="shared" si="32"/>
        <v/>
      </c>
    </row>
    <row r="2101" spans="5:9" x14ac:dyDescent="0.3">
      <c r="E2101" t="str">
        <f>IFERROR(IF(D2101="","",VLOOKUP(D2101,CadProd!$A:$B,2,0)),"")</f>
        <v/>
      </c>
      <c r="F2101" t="str">
        <f>IFERROR(IF(D2101="","",VLOOKUP(D2101,CadProd!$A:$C,3,0)),"")</f>
        <v/>
      </c>
      <c r="I2101" s="1" t="str">
        <f t="shared" si="32"/>
        <v/>
      </c>
    </row>
    <row r="2102" spans="5:9" x14ac:dyDescent="0.3">
      <c r="E2102" t="str">
        <f>IFERROR(IF(D2102="","",VLOOKUP(D2102,CadProd!$A:$B,2,0)),"")</f>
        <v/>
      </c>
      <c r="F2102" t="str">
        <f>IFERROR(IF(D2102="","",VLOOKUP(D2102,CadProd!$A:$C,3,0)),"")</f>
        <v/>
      </c>
      <c r="I2102" s="1" t="str">
        <f t="shared" si="32"/>
        <v/>
      </c>
    </row>
    <row r="2103" spans="5:9" x14ac:dyDescent="0.3">
      <c r="E2103" t="str">
        <f>IFERROR(IF(D2103="","",VLOOKUP(D2103,CadProd!$A:$B,2,0)),"")</f>
        <v/>
      </c>
      <c r="F2103" t="str">
        <f>IFERROR(IF(D2103="","",VLOOKUP(D2103,CadProd!$A:$C,3,0)),"")</f>
        <v/>
      </c>
      <c r="I2103" s="1" t="str">
        <f t="shared" si="32"/>
        <v/>
      </c>
    </row>
    <row r="2104" spans="5:9" x14ac:dyDescent="0.3">
      <c r="E2104" t="str">
        <f>IFERROR(IF(D2104="","",VLOOKUP(D2104,CadProd!$A:$B,2,0)),"")</f>
        <v/>
      </c>
      <c r="F2104" t="str">
        <f>IFERROR(IF(D2104="","",VLOOKUP(D2104,CadProd!$A:$C,3,0)),"")</f>
        <v/>
      </c>
      <c r="I2104" s="1" t="str">
        <f t="shared" si="32"/>
        <v/>
      </c>
    </row>
    <row r="2105" spans="5:9" x14ac:dyDescent="0.3">
      <c r="E2105" t="str">
        <f>IFERROR(IF(D2105="","",VLOOKUP(D2105,CadProd!$A:$B,2,0)),"")</f>
        <v/>
      </c>
      <c r="F2105" t="str">
        <f>IFERROR(IF(D2105="","",VLOOKUP(D2105,CadProd!$A:$C,3,0)),"")</f>
        <v/>
      </c>
      <c r="I2105" s="1" t="str">
        <f t="shared" si="32"/>
        <v/>
      </c>
    </row>
    <row r="2106" spans="5:9" x14ac:dyDescent="0.3">
      <c r="E2106" t="str">
        <f>IFERROR(IF(D2106="","",VLOOKUP(D2106,CadProd!$A:$B,2,0)),"")</f>
        <v/>
      </c>
      <c r="F2106" t="str">
        <f>IFERROR(IF(D2106="","",VLOOKUP(D2106,CadProd!$A:$C,3,0)),"")</f>
        <v/>
      </c>
      <c r="I2106" s="1" t="str">
        <f t="shared" si="32"/>
        <v/>
      </c>
    </row>
    <row r="2107" spans="5:9" x14ac:dyDescent="0.3">
      <c r="E2107" t="str">
        <f>IFERROR(IF(D2107="","",VLOOKUP(D2107,CadProd!$A:$B,2,0)),"")</f>
        <v/>
      </c>
      <c r="F2107" t="str">
        <f>IFERROR(IF(D2107="","",VLOOKUP(D2107,CadProd!$A:$C,3,0)),"")</f>
        <v/>
      </c>
      <c r="I2107" s="1" t="str">
        <f t="shared" si="32"/>
        <v/>
      </c>
    </row>
    <row r="2108" spans="5:9" x14ac:dyDescent="0.3">
      <c r="E2108" t="str">
        <f>IFERROR(IF(D2108="","",VLOOKUP(D2108,CadProd!$A:$B,2,0)),"")</f>
        <v/>
      </c>
      <c r="F2108" t="str">
        <f>IFERROR(IF(D2108="","",VLOOKUP(D2108,CadProd!$A:$C,3,0)),"")</f>
        <v/>
      </c>
      <c r="I2108" s="1" t="str">
        <f t="shared" si="32"/>
        <v/>
      </c>
    </row>
    <row r="2109" spans="5:9" x14ac:dyDescent="0.3">
      <c r="E2109" t="str">
        <f>IFERROR(IF(D2109="","",VLOOKUP(D2109,CadProd!$A:$B,2,0)),"")</f>
        <v/>
      </c>
      <c r="F2109" t="str">
        <f>IFERROR(IF(D2109="","",VLOOKUP(D2109,CadProd!$A:$C,3,0)),"")</f>
        <v/>
      </c>
      <c r="I2109" s="1" t="str">
        <f t="shared" si="32"/>
        <v/>
      </c>
    </row>
    <row r="2110" spans="5:9" x14ac:dyDescent="0.3">
      <c r="E2110" t="str">
        <f>IFERROR(IF(D2110="","",VLOOKUP(D2110,CadProd!$A:$B,2,0)),"")</f>
        <v/>
      </c>
      <c r="F2110" t="str">
        <f>IFERROR(IF(D2110="","",VLOOKUP(D2110,CadProd!$A:$C,3,0)),"")</f>
        <v/>
      </c>
      <c r="I2110" s="1" t="str">
        <f t="shared" si="32"/>
        <v/>
      </c>
    </row>
    <row r="2111" spans="5:9" x14ac:dyDescent="0.3">
      <c r="E2111" t="str">
        <f>IFERROR(IF(D2111="","",VLOOKUP(D2111,CadProd!$A:$B,2,0)),"")</f>
        <v/>
      </c>
      <c r="F2111" t="str">
        <f>IFERROR(IF(D2111="","",VLOOKUP(D2111,CadProd!$A:$C,3,0)),"")</f>
        <v/>
      </c>
      <c r="I2111" s="1" t="str">
        <f t="shared" si="32"/>
        <v/>
      </c>
    </row>
    <row r="2112" spans="5:9" x14ac:dyDescent="0.3">
      <c r="E2112" t="str">
        <f>IFERROR(IF(D2112="","",VLOOKUP(D2112,CadProd!$A:$B,2,0)),"")</f>
        <v/>
      </c>
      <c r="F2112" t="str">
        <f>IFERROR(IF(D2112="","",VLOOKUP(D2112,CadProd!$A:$C,3,0)),"")</f>
        <v/>
      </c>
      <c r="I2112" s="1" t="str">
        <f t="shared" si="32"/>
        <v/>
      </c>
    </row>
    <row r="2113" spans="5:9" x14ac:dyDescent="0.3">
      <c r="E2113" t="str">
        <f>IFERROR(IF(D2113="","",VLOOKUP(D2113,CadProd!$A:$B,2,0)),"")</f>
        <v/>
      </c>
      <c r="F2113" t="str">
        <f>IFERROR(IF(D2113="","",VLOOKUP(D2113,CadProd!$A:$C,3,0)),"")</f>
        <v/>
      </c>
      <c r="I2113" s="1" t="str">
        <f t="shared" si="32"/>
        <v/>
      </c>
    </row>
    <row r="2114" spans="5:9" x14ac:dyDescent="0.3">
      <c r="E2114" t="str">
        <f>IFERROR(IF(D2114="","",VLOOKUP(D2114,CadProd!$A:$B,2,0)),"")</f>
        <v/>
      </c>
      <c r="F2114" t="str">
        <f>IFERROR(IF(D2114="","",VLOOKUP(D2114,CadProd!$A:$C,3,0)),"")</f>
        <v/>
      </c>
      <c r="I2114" s="1" t="str">
        <f t="shared" ref="I2114:I2177" si="33">IFERROR(IF(D2114="","",H2114*G2114),"")</f>
        <v/>
      </c>
    </row>
    <row r="2115" spans="5:9" x14ac:dyDescent="0.3">
      <c r="E2115" t="str">
        <f>IFERROR(IF(D2115="","",VLOOKUP(D2115,CadProd!$A:$B,2,0)),"")</f>
        <v/>
      </c>
      <c r="F2115" t="str">
        <f>IFERROR(IF(D2115="","",VLOOKUP(D2115,CadProd!$A:$C,3,0)),"")</f>
        <v/>
      </c>
      <c r="I2115" s="1" t="str">
        <f t="shared" si="33"/>
        <v/>
      </c>
    </row>
    <row r="2116" spans="5:9" x14ac:dyDescent="0.3">
      <c r="E2116" t="str">
        <f>IFERROR(IF(D2116="","",VLOOKUP(D2116,CadProd!$A:$B,2,0)),"")</f>
        <v/>
      </c>
      <c r="F2116" t="str">
        <f>IFERROR(IF(D2116="","",VLOOKUP(D2116,CadProd!$A:$C,3,0)),"")</f>
        <v/>
      </c>
      <c r="I2116" s="1" t="str">
        <f t="shared" si="33"/>
        <v/>
      </c>
    </row>
    <row r="2117" spans="5:9" x14ac:dyDescent="0.3">
      <c r="E2117" t="str">
        <f>IFERROR(IF(D2117="","",VLOOKUP(D2117,CadProd!$A:$B,2,0)),"")</f>
        <v/>
      </c>
      <c r="F2117" t="str">
        <f>IFERROR(IF(D2117="","",VLOOKUP(D2117,CadProd!$A:$C,3,0)),"")</f>
        <v/>
      </c>
      <c r="I2117" s="1" t="str">
        <f t="shared" si="33"/>
        <v/>
      </c>
    </row>
    <row r="2118" spans="5:9" x14ac:dyDescent="0.3">
      <c r="E2118" t="str">
        <f>IFERROR(IF(D2118="","",VLOOKUP(D2118,CadProd!$A:$B,2,0)),"")</f>
        <v/>
      </c>
      <c r="F2118" t="str">
        <f>IFERROR(IF(D2118="","",VLOOKUP(D2118,CadProd!$A:$C,3,0)),"")</f>
        <v/>
      </c>
      <c r="I2118" s="1" t="str">
        <f t="shared" si="33"/>
        <v/>
      </c>
    </row>
    <row r="2119" spans="5:9" x14ac:dyDescent="0.3">
      <c r="E2119" t="str">
        <f>IFERROR(IF(D2119="","",VLOOKUP(D2119,CadProd!$A:$B,2,0)),"")</f>
        <v/>
      </c>
      <c r="F2119" t="str">
        <f>IFERROR(IF(D2119="","",VLOOKUP(D2119,CadProd!$A:$C,3,0)),"")</f>
        <v/>
      </c>
      <c r="I2119" s="1" t="str">
        <f t="shared" si="33"/>
        <v/>
      </c>
    </row>
    <row r="2120" spans="5:9" x14ac:dyDescent="0.3">
      <c r="E2120" t="str">
        <f>IFERROR(IF(D2120="","",VLOOKUP(D2120,CadProd!$A:$B,2,0)),"")</f>
        <v/>
      </c>
      <c r="F2120" t="str">
        <f>IFERROR(IF(D2120="","",VLOOKUP(D2120,CadProd!$A:$C,3,0)),"")</f>
        <v/>
      </c>
      <c r="I2120" s="1" t="str">
        <f t="shared" si="33"/>
        <v/>
      </c>
    </row>
    <row r="2121" spans="5:9" x14ac:dyDescent="0.3">
      <c r="E2121" t="str">
        <f>IFERROR(IF(D2121="","",VLOOKUP(D2121,CadProd!$A:$B,2,0)),"")</f>
        <v/>
      </c>
      <c r="F2121" t="str">
        <f>IFERROR(IF(D2121="","",VLOOKUP(D2121,CadProd!$A:$C,3,0)),"")</f>
        <v/>
      </c>
      <c r="I2121" s="1" t="str">
        <f t="shared" si="33"/>
        <v/>
      </c>
    </row>
    <row r="2122" spans="5:9" x14ac:dyDescent="0.3">
      <c r="E2122" t="str">
        <f>IFERROR(IF(D2122="","",VLOOKUP(D2122,CadProd!$A:$B,2,0)),"")</f>
        <v/>
      </c>
      <c r="F2122" t="str">
        <f>IFERROR(IF(D2122="","",VLOOKUP(D2122,CadProd!$A:$C,3,0)),"")</f>
        <v/>
      </c>
      <c r="I2122" s="1" t="str">
        <f t="shared" si="33"/>
        <v/>
      </c>
    </row>
    <row r="2123" spans="5:9" x14ac:dyDescent="0.3">
      <c r="E2123" t="str">
        <f>IFERROR(IF(D2123="","",VLOOKUP(D2123,CadProd!$A:$B,2,0)),"")</f>
        <v/>
      </c>
      <c r="F2123" t="str">
        <f>IFERROR(IF(D2123="","",VLOOKUP(D2123,CadProd!$A:$C,3,0)),"")</f>
        <v/>
      </c>
      <c r="I2123" s="1" t="str">
        <f t="shared" si="33"/>
        <v/>
      </c>
    </row>
    <row r="2124" spans="5:9" x14ac:dyDescent="0.3">
      <c r="E2124" t="str">
        <f>IFERROR(IF(D2124="","",VLOOKUP(D2124,CadProd!$A:$B,2,0)),"")</f>
        <v/>
      </c>
      <c r="F2124" t="str">
        <f>IFERROR(IF(D2124="","",VLOOKUP(D2124,CadProd!$A:$C,3,0)),"")</f>
        <v/>
      </c>
      <c r="I2124" s="1" t="str">
        <f t="shared" si="33"/>
        <v/>
      </c>
    </row>
    <row r="2125" spans="5:9" x14ac:dyDescent="0.3">
      <c r="E2125" t="str">
        <f>IFERROR(IF(D2125="","",VLOOKUP(D2125,CadProd!$A:$B,2,0)),"")</f>
        <v/>
      </c>
      <c r="F2125" t="str">
        <f>IFERROR(IF(D2125="","",VLOOKUP(D2125,CadProd!$A:$C,3,0)),"")</f>
        <v/>
      </c>
      <c r="I2125" s="1" t="str">
        <f t="shared" si="33"/>
        <v/>
      </c>
    </row>
    <row r="2126" spans="5:9" x14ac:dyDescent="0.3">
      <c r="E2126" t="str">
        <f>IFERROR(IF(D2126="","",VLOOKUP(D2126,CadProd!$A:$B,2,0)),"")</f>
        <v/>
      </c>
      <c r="F2126" t="str">
        <f>IFERROR(IF(D2126="","",VLOOKUP(D2126,CadProd!$A:$C,3,0)),"")</f>
        <v/>
      </c>
      <c r="I2126" s="1" t="str">
        <f t="shared" si="33"/>
        <v/>
      </c>
    </row>
    <row r="2127" spans="5:9" x14ac:dyDescent="0.3">
      <c r="E2127" t="str">
        <f>IFERROR(IF(D2127="","",VLOOKUP(D2127,CadProd!$A:$B,2,0)),"")</f>
        <v/>
      </c>
      <c r="F2127" t="str">
        <f>IFERROR(IF(D2127="","",VLOOKUP(D2127,CadProd!$A:$C,3,0)),"")</f>
        <v/>
      </c>
      <c r="I2127" s="1" t="str">
        <f t="shared" si="33"/>
        <v/>
      </c>
    </row>
    <row r="2128" spans="5:9" x14ac:dyDescent="0.3">
      <c r="E2128" t="str">
        <f>IFERROR(IF(D2128="","",VLOOKUP(D2128,CadProd!$A:$B,2,0)),"")</f>
        <v/>
      </c>
      <c r="F2128" t="str">
        <f>IFERROR(IF(D2128="","",VLOOKUP(D2128,CadProd!$A:$C,3,0)),"")</f>
        <v/>
      </c>
      <c r="I2128" s="1" t="str">
        <f t="shared" si="33"/>
        <v/>
      </c>
    </row>
    <row r="2129" spans="5:9" x14ac:dyDescent="0.3">
      <c r="E2129" t="str">
        <f>IFERROR(IF(D2129="","",VLOOKUP(D2129,CadProd!$A:$B,2,0)),"")</f>
        <v/>
      </c>
      <c r="F2129" t="str">
        <f>IFERROR(IF(D2129="","",VLOOKUP(D2129,CadProd!$A:$C,3,0)),"")</f>
        <v/>
      </c>
      <c r="I2129" s="1" t="str">
        <f t="shared" si="33"/>
        <v/>
      </c>
    </row>
    <row r="2130" spans="5:9" x14ac:dyDescent="0.3">
      <c r="E2130" t="str">
        <f>IFERROR(IF(D2130="","",VLOOKUP(D2130,CadProd!$A:$B,2,0)),"")</f>
        <v/>
      </c>
      <c r="F2130" t="str">
        <f>IFERROR(IF(D2130="","",VLOOKUP(D2130,CadProd!$A:$C,3,0)),"")</f>
        <v/>
      </c>
      <c r="I2130" s="1" t="str">
        <f t="shared" si="33"/>
        <v/>
      </c>
    </row>
    <row r="2131" spans="5:9" x14ac:dyDescent="0.3">
      <c r="E2131" t="str">
        <f>IFERROR(IF(D2131="","",VLOOKUP(D2131,CadProd!$A:$B,2,0)),"")</f>
        <v/>
      </c>
      <c r="F2131" t="str">
        <f>IFERROR(IF(D2131="","",VLOOKUP(D2131,CadProd!$A:$C,3,0)),"")</f>
        <v/>
      </c>
      <c r="I2131" s="1" t="str">
        <f t="shared" si="33"/>
        <v/>
      </c>
    </row>
    <row r="2132" spans="5:9" x14ac:dyDescent="0.3">
      <c r="E2132" t="str">
        <f>IFERROR(IF(D2132="","",VLOOKUP(D2132,CadProd!$A:$B,2,0)),"")</f>
        <v/>
      </c>
      <c r="F2132" t="str">
        <f>IFERROR(IF(D2132="","",VLOOKUP(D2132,CadProd!$A:$C,3,0)),"")</f>
        <v/>
      </c>
      <c r="I2132" s="1" t="str">
        <f t="shared" si="33"/>
        <v/>
      </c>
    </row>
    <row r="2133" spans="5:9" x14ac:dyDescent="0.3">
      <c r="E2133" t="str">
        <f>IFERROR(IF(D2133="","",VLOOKUP(D2133,CadProd!$A:$B,2,0)),"")</f>
        <v/>
      </c>
      <c r="F2133" t="str">
        <f>IFERROR(IF(D2133="","",VLOOKUP(D2133,CadProd!$A:$C,3,0)),"")</f>
        <v/>
      </c>
      <c r="I2133" s="1" t="str">
        <f t="shared" si="33"/>
        <v/>
      </c>
    </row>
    <row r="2134" spans="5:9" x14ac:dyDescent="0.3">
      <c r="E2134" t="str">
        <f>IFERROR(IF(D2134="","",VLOOKUP(D2134,CadProd!$A:$B,2,0)),"")</f>
        <v/>
      </c>
      <c r="F2134" t="str">
        <f>IFERROR(IF(D2134="","",VLOOKUP(D2134,CadProd!$A:$C,3,0)),"")</f>
        <v/>
      </c>
      <c r="I2134" s="1" t="str">
        <f t="shared" si="33"/>
        <v/>
      </c>
    </row>
    <row r="2135" spans="5:9" x14ac:dyDescent="0.3">
      <c r="E2135" t="str">
        <f>IFERROR(IF(D2135="","",VLOOKUP(D2135,CadProd!$A:$B,2,0)),"")</f>
        <v/>
      </c>
      <c r="F2135" t="str">
        <f>IFERROR(IF(D2135="","",VLOOKUP(D2135,CadProd!$A:$C,3,0)),"")</f>
        <v/>
      </c>
      <c r="I2135" s="1" t="str">
        <f t="shared" si="33"/>
        <v/>
      </c>
    </row>
    <row r="2136" spans="5:9" x14ac:dyDescent="0.3">
      <c r="E2136" t="str">
        <f>IFERROR(IF(D2136="","",VLOOKUP(D2136,CadProd!$A:$B,2,0)),"")</f>
        <v/>
      </c>
      <c r="F2136" t="str">
        <f>IFERROR(IF(D2136="","",VLOOKUP(D2136,CadProd!$A:$C,3,0)),"")</f>
        <v/>
      </c>
      <c r="I2136" s="1" t="str">
        <f t="shared" si="33"/>
        <v/>
      </c>
    </row>
    <row r="2137" spans="5:9" x14ac:dyDescent="0.3">
      <c r="E2137" t="str">
        <f>IFERROR(IF(D2137="","",VLOOKUP(D2137,CadProd!$A:$B,2,0)),"")</f>
        <v/>
      </c>
      <c r="F2137" t="str">
        <f>IFERROR(IF(D2137="","",VLOOKUP(D2137,CadProd!$A:$C,3,0)),"")</f>
        <v/>
      </c>
      <c r="I2137" s="1" t="str">
        <f t="shared" si="33"/>
        <v/>
      </c>
    </row>
    <row r="2138" spans="5:9" x14ac:dyDescent="0.3">
      <c r="E2138" t="str">
        <f>IFERROR(IF(D2138="","",VLOOKUP(D2138,CadProd!$A:$B,2,0)),"")</f>
        <v/>
      </c>
      <c r="F2138" t="str">
        <f>IFERROR(IF(D2138="","",VLOOKUP(D2138,CadProd!$A:$C,3,0)),"")</f>
        <v/>
      </c>
      <c r="I2138" s="1" t="str">
        <f t="shared" si="33"/>
        <v/>
      </c>
    </row>
    <row r="2139" spans="5:9" x14ac:dyDescent="0.3">
      <c r="E2139" t="str">
        <f>IFERROR(IF(D2139="","",VLOOKUP(D2139,CadProd!$A:$B,2,0)),"")</f>
        <v/>
      </c>
      <c r="F2139" t="str">
        <f>IFERROR(IF(D2139="","",VLOOKUP(D2139,CadProd!$A:$C,3,0)),"")</f>
        <v/>
      </c>
      <c r="I2139" s="1" t="str">
        <f t="shared" si="33"/>
        <v/>
      </c>
    </row>
    <row r="2140" spans="5:9" x14ac:dyDescent="0.3">
      <c r="E2140" t="str">
        <f>IFERROR(IF(D2140="","",VLOOKUP(D2140,CadProd!$A:$B,2,0)),"")</f>
        <v/>
      </c>
      <c r="F2140" t="str">
        <f>IFERROR(IF(D2140="","",VLOOKUP(D2140,CadProd!$A:$C,3,0)),"")</f>
        <v/>
      </c>
      <c r="I2140" s="1" t="str">
        <f t="shared" si="33"/>
        <v/>
      </c>
    </row>
    <row r="2141" spans="5:9" x14ac:dyDescent="0.3">
      <c r="E2141" t="str">
        <f>IFERROR(IF(D2141="","",VLOOKUP(D2141,CadProd!$A:$B,2,0)),"")</f>
        <v/>
      </c>
      <c r="F2141" t="str">
        <f>IFERROR(IF(D2141="","",VLOOKUP(D2141,CadProd!$A:$C,3,0)),"")</f>
        <v/>
      </c>
      <c r="I2141" s="1" t="str">
        <f t="shared" si="33"/>
        <v/>
      </c>
    </row>
    <row r="2142" spans="5:9" x14ac:dyDescent="0.3">
      <c r="E2142" t="str">
        <f>IFERROR(IF(D2142="","",VLOOKUP(D2142,CadProd!$A:$B,2,0)),"")</f>
        <v/>
      </c>
      <c r="F2142" t="str">
        <f>IFERROR(IF(D2142="","",VLOOKUP(D2142,CadProd!$A:$C,3,0)),"")</f>
        <v/>
      </c>
      <c r="I2142" s="1" t="str">
        <f t="shared" si="33"/>
        <v/>
      </c>
    </row>
    <row r="2143" spans="5:9" x14ac:dyDescent="0.3">
      <c r="E2143" t="str">
        <f>IFERROR(IF(D2143="","",VLOOKUP(D2143,CadProd!$A:$B,2,0)),"")</f>
        <v/>
      </c>
      <c r="F2143" t="str">
        <f>IFERROR(IF(D2143="","",VLOOKUP(D2143,CadProd!$A:$C,3,0)),"")</f>
        <v/>
      </c>
      <c r="I2143" s="1" t="str">
        <f t="shared" si="33"/>
        <v/>
      </c>
    </row>
    <row r="2144" spans="5:9" x14ac:dyDescent="0.3">
      <c r="E2144" t="str">
        <f>IFERROR(IF(D2144="","",VLOOKUP(D2144,CadProd!$A:$B,2,0)),"")</f>
        <v/>
      </c>
      <c r="F2144" t="str">
        <f>IFERROR(IF(D2144="","",VLOOKUP(D2144,CadProd!$A:$C,3,0)),"")</f>
        <v/>
      </c>
      <c r="I2144" s="1" t="str">
        <f t="shared" si="33"/>
        <v/>
      </c>
    </row>
    <row r="2145" spans="5:9" x14ac:dyDescent="0.3">
      <c r="E2145" t="str">
        <f>IFERROR(IF(D2145="","",VLOOKUP(D2145,CadProd!$A:$B,2,0)),"")</f>
        <v/>
      </c>
      <c r="F2145" t="str">
        <f>IFERROR(IF(D2145="","",VLOOKUP(D2145,CadProd!$A:$C,3,0)),"")</f>
        <v/>
      </c>
      <c r="I2145" s="1" t="str">
        <f t="shared" si="33"/>
        <v/>
      </c>
    </row>
    <row r="2146" spans="5:9" x14ac:dyDescent="0.3">
      <c r="E2146" t="str">
        <f>IFERROR(IF(D2146="","",VLOOKUP(D2146,CadProd!$A:$B,2,0)),"")</f>
        <v/>
      </c>
      <c r="F2146" t="str">
        <f>IFERROR(IF(D2146="","",VLOOKUP(D2146,CadProd!$A:$C,3,0)),"")</f>
        <v/>
      </c>
      <c r="I2146" s="1" t="str">
        <f t="shared" si="33"/>
        <v/>
      </c>
    </row>
    <row r="2147" spans="5:9" x14ac:dyDescent="0.3">
      <c r="E2147" t="str">
        <f>IFERROR(IF(D2147="","",VLOOKUP(D2147,CadProd!$A:$B,2,0)),"")</f>
        <v/>
      </c>
      <c r="F2147" t="str">
        <f>IFERROR(IF(D2147="","",VLOOKUP(D2147,CadProd!$A:$C,3,0)),"")</f>
        <v/>
      </c>
      <c r="I2147" s="1" t="str">
        <f t="shared" si="33"/>
        <v/>
      </c>
    </row>
    <row r="2148" spans="5:9" x14ac:dyDescent="0.3">
      <c r="E2148" t="str">
        <f>IFERROR(IF(D2148="","",VLOOKUP(D2148,CadProd!$A:$B,2,0)),"")</f>
        <v/>
      </c>
      <c r="F2148" t="str">
        <f>IFERROR(IF(D2148="","",VLOOKUP(D2148,CadProd!$A:$C,3,0)),"")</f>
        <v/>
      </c>
      <c r="I2148" s="1" t="str">
        <f t="shared" si="33"/>
        <v/>
      </c>
    </row>
    <row r="2149" spans="5:9" x14ac:dyDescent="0.3">
      <c r="E2149" t="str">
        <f>IFERROR(IF(D2149="","",VLOOKUP(D2149,CadProd!$A:$B,2,0)),"")</f>
        <v/>
      </c>
      <c r="F2149" t="str">
        <f>IFERROR(IF(D2149="","",VLOOKUP(D2149,CadProd!$A:$C,3,0)),"")</f>
        <v/>
      </c>
      <c r="I2149" s="1" t="str">
        <f t="shared" si="33"/>
        <v/>
      </c>
    </row>
    <row r="2150" spans="5:9" x14ac:dyDescent="0.3">
      <c r="E2150" t="str">
        <f>IFERROR(IF(D2150="","",VLOOKUP(D2150,CadProd!$A:$B,2,0)),"")</f>
        <v/>
      </c>
      <c r="F2150" t="str">
        <f>IFERROR(IF(D2150="","",VLOOKUP(D2150,CadProd!$A:$C,3,0)),"")</f>
        <v/>
      </c>
      <c r="I2150" s="1" t="str">
        <f t="shared" si="33"/>
        <v/>
      </c>
    </row>
    <row r="2151" spans="5:9" x14ac:dyDescent="0.3">
      <c r="E2151" t="str">
        <f>IFERROR(IF(D2151="","",VLOOKUP(D2151,CadProd!$A:$B,2,0)),"")</f>
        <v/>
      </c>
      <c r="F2151" t="str">
        <f>IFERROR(IF(D2151="","",VLOOKUP(D2151,CadProd!$A:$C,3,0)),"")</f>
        <v/>
      </c>
      <c r="I2151" s="1" t="str">
        <f t="shared" si="33"/>
        <v/>
      </c>
    </row>
    <row r="2152" spans="5:9" x14ac:dyDescent="0.3">
      <c r="E2152" t="str">
        <f>IFERROR(IF(D2152="","",VLOOKUP(D2152,CadProd!$A:$B,2,0)),"")</f>
        <v/>
      </c>
      <c r="F2152" t="str">
        <f>IFERROR(IF(D2152="","",VLOOKUP(D2152,CadProd!$A:$C,3,0)),"")</f>
        <v/>
      </c>
      <c r="I2152" s="1" t="str">
        <f t="shared" si="33"/>
        <v/>
      </c>
    </row>
    <row r="2153" spans="5:9" x14ac:dyDescent="0.3">
      <c r="E2153" t="str">
        <f>IFERROR(IF(D2153="","",VLOOKUP(D2153,CadProd!$A:$B,2,0)),"")</f>
        <v/>
      </c>
      <c r="F2153" t="str">
        <f>IFERROR(IF(D2153="","",VLOOKUP(D2153,CadProd!$A:$C,3,0)),"")</f>
        <v/>
      </c>
      <c r="I2153" s="1" t="str">
        <f t="shared" si="33"/>
        <v/>
      </c>
    </row>
    <row r="2154" spans="5:9" x14ac:dyDescent="0.3">
      <c r="E2154" t="str">
        <f>IFERROR(IF(D2154="","",VLOOKUP(D2154,CadProd!$A:$B,2,0)),"")</f>
        <v/>
      </c>
      <c r="F2154" t="str">
        <f>IFERROR(IF(D2154="","",VLOOKUP(D2154,CadProd!$A:$C,3,0)),"")</f>
        <v/>
      </c>
      <c r="I2154" s="1" t="str">
        <f t="shared" si="33"/>
        <v/>
      </c>
    </row>
    <row r="2155" spans="5:9" x14ac:dyDescent="0.3">
      <c r="E2155" t="str">
        <f>IFERROR(IF(D2155="","",VLOOKUP(D2155,CadProd!$A:$B,2,0)),"")</f>
        <v/>
      </c>
      <c r="F2155" t="str">
        <f>IFERROR(IF(D2155="","",VLOOKUP(D2155,CadProd!$A:$C,3,0)),"")</f>
        <v/>
      </c>
      <c r="I2155" s="1" t="str">
        <f t="shared" si="33"/>
        <v/>
      </c>
    </row>
    <row r="2156" spans="5:9" x14ac:dyDescent="0.3">
      <c r="E2156" t="str">
        <f>IFERROR(IF(D2156="","",VLOOKUP(D2156,CadProd!$A:$B,2,0)),"")</f>
        <v/>
      </c>
      <c r="F2156" t="str">
        <f>IFERROR(IF(D2156="","",VLOOKUP(D2156,CadProd!$A:$C,3,0)),"")</f>
        <v/>
      </c>
      <c r="I2156" s="1" t="str">
        <f t="shared" si="33"/>
        <v/>
      </c>
    </row>
    <row r="2157" spans="5:9" x14ac:dyDescent="0.3">
      <c r="E2157" t="str">
        <f>IFERROR(IF(D2157="","",VLOOKUP(D2157,CadProd!$A:$B,2,0)),"")</f>
        <v/>
      </c>
      <c r="F2157" t="str">
        <f>IFERROR(IF(D2157="","",VLOOKUP(D2157,CadProd!$A:$C,3,0)),"")</f>
        <v/>
      </c>
      <c r="I2157" s="1" t="str">
        <f t="shared" si="33"/>
        <v/>
      </c>
    </row>
    <row r="2158" spans="5:9" x14ac:dyDescent="0.3">
      <c r="E2158" t="str">
        <f>IFERROR(IF(D2158="","",VLOOKUP(D2158,CadProd!$A:$B,2,0)),"")</f>
        <v/>
      </c>
      <c r="F2158" t="str">
        <f>IFERROR(IF(D2158="","",VLOOKUP(D2158,CadProd!$A:$C,3,0)),"")</f>
        <v/>
      </c>
      <c r="I2158" s="1" t="str">
        <f t="shared" si="33"/>
        <v/>
      </c>
    </row>
    <row r="2159" spans="5:9" x14ac:dyDescent="0.3">
      <c r="E2159" t="str">
        <f>IFERROR(IF(D2159="","",VLOOKUP(D2159,CadProd!$A:$B,2,0)),"")</f>
        <v/>
      </c>
      <c r="F2159" t="str">
        <f>IFERROR(IF(D2159="","",VLOOKUP(D2159,CadProd!$A:$C,3,0)),"")</f>
        <v/>
      </c>
      <c r="I2159" s="1" t="str">
        <f t="shared" si="33"/>
        <v/>
      </c>
    </row>
    <row r="2160" spans="5:9" x14ac:dyDescent="0.3">
      <c r="E2160" t="str">
        <f>IFERROR(IF(D2160="","",VLOOKUP(D2160,CadProd!$A:$B,2,0)),"")</f>
        <v/>
      </c>
      <c r="F2160" t="str">
        <f>IFERROR(IF(D2160="","",VLOOKUP(D2160,CadProd!$A:$C,3,0)),"")</f>
        <v/>
      </c>
      <c r="I2160" s="1" t="str">
        <f t="shared" si="33"/>
        <v/>
      </c>
    </row>
    <row r="2161" spans="5:9" x14ac:dyDescent="0.3">
      <c r="E2161" t="str">
        <f>IFERROR(IF(D2161="","",VLOOKUP(D2161,CadProd!$A:$B,2,0)),"")</f>
        <v/>
      </c>
      <c r="F2161" t="str">
        <f>IFERROR(IF(D2161="","",VLOOKUP(D2161,CadProd!$A:$C,3,0)),"")</f>
        <v/>
      </c>
      <c r="I2161" s="1" t="str">
        <f t="shared" si="33"/>
        <v/>
      </c>
    </row>
    <row r="2162" spans="5:9" x14ac:dyDescent="0.3">
      <c r="E2162" t="str">
        <f>IFERROR(IF(D2162="","",VLOOKUP(D2162,CadProd!$A:$B,2,0)),"")</f>
        <v/>
      </c>
      <c r="F2162" t="str">
        <f>IFERROR(IF(D2162="","",VLOOKUP(D2162,CadProd!$A:$C,3,0)),"")</f>
        <v/>
      </c>
      <c r="I2162" s="1" t="str">
        <f t="shared" si="33"/>
        <v/>
      </c>
    </row>
    <row r="2163" spans="5:9" x14ac:dyDescent="0.3">
      <c r="E2163" t="str">
        <f>IFERROR(IF(D2163="","",VLOOKUP(D2163,CadProd!$A:$B,2,0)),"")</f>
        <v/>
      </c>
      <c r="F2163" t="str">
        <f>IFERROR(IF(D2163="","",VLOOKUP(D2163,CadProd!$A:$C,3,0)),"")</f>
        <v/>
      </c>
      <c r="I2163" s="1" t="str">
        <f t="shared" si="33"/>
        <v/>
      </c>
    </row>
    <row r="2164" spans="5:9" x14ac:dyDescent="0.3">
      <c r="E2164" t="str">
        <f>IFERROR(IF(D2164="","",VLOOKUP(D2164,CadProd!$A:$B,2,0)),"")</f>
        <v/>
      </c>
      <c r="F2164" t="str">
        <f>IFERROR(IF(D2164="","",VLOOKUP(D2164,CadProd!$A:$C,3,0)),"")</f>
        <v/>
      </c>
      <c r="I2164" s="1" t="str">
        <f t="shared" si="33"/>
        <v/>
      </c>
    </row>
    <row r="2165" spans="5:9" x14ac:dyDescent="0.3">
      <c r="E2165" t="str">
        <f>IFERROR(IF(D2165="","",VLOOKUP(D2165,CadProd!$A:$B,2,0)),"")</f>
        <v/>
      </c>
      <c r="F2165" t="str">
        <f>IFERROR(IF(D2165="","",VLOOKUP(D2165,CadProd!$A:$C,3,0)),"")</f>
        <v/>
      </c>
      <c r="I2165" s="1" t="str">
        <f t="shared" si="33"/>
        <v/>
      </c>
    </row>
    <row r="2166" spans="5:9" x14ac:dyDescent="0.3">
      <c r="E2166" t="str">
        <f>IFERROR(IF(D2166="","",VLOOKUP(D2166,CadProd!$A:$B,2,0)),"")</f>
        <v/>
      </c>
      <c r="F2166" t="str">
        <f>IFERROR(IF(D2166="","",VLOOKUP(D2166,CadProd!$A:$C,3,0)),"")</f>
        <v/>
      </c>
      <c r="I2166" s="1" t="str">
        <f t="shared" si="33"/>
        <v/>
      </c>
    </row>
    <row r="2167" spans="5:9" x14ac:dyDescent="0.3">
      <c r="E2167" t="str">
        <f>IFERROR(IF(D2167="","",VLOOKUP(D2167,CadProd!$A:$B,2,0)),"")</f>
        <v/>
      </c>
      <c r="F2167" t="str">
        <f>IFERROR(IF(D2167="","",VLOOKUP(D2167,CadProd!$A:$C,3,0)),"")</f>
        <v/>
      </c>
      <c r="I2167" s="1" t="str">
        <f t="shared" si="33"/>
        <v/>
      </c>
    </row>
    <row r="2168" spans="5:9" x14ac:dyDescent="0.3">
      <c r="E2168" t="str">
        <f>IFERROR(IF(D2168="","",VLOOKUP(D2168,CadProd!$A:$B,2,0)),"")</f>
        <v/>
      </c>
      <c r="F2168" t="str">
        <f>IFERROR(IF(D2168="","",VLOOKUP(D2168,CadProd!$A:$C,3,0)),"")</f>
        <v/>
      </c>
      <c r="I2168" s="1" t="str">
        <f t="shared" si="33"/>
        <v/>
      </c>
    </row>
    <row r="2169" spans="5:9" x14ac:dyDescent="0.3">
      <c r="E2169" t="str">
        <f>IFERROR(IF(D2169="","",VLOOKUP(D2169,CadProd!$A:$B,2,0)),"")</f>
        <v/>
      </c>
      <c r="F2169" t="str">
        <f>IFERROR(IF(D2169="","",VLOOKUP(D2169,CadProd!$A:$C,3,0)),"")</f>
        <v/>
      </c>
      <c r="I2169" s="1" t="str">
        <f t="shared" si="33"/>
        <v/>
      </c>
    </row>
    <row r="2170" spans="5:9" x14ac:dyDescent="0.3">
      <c r="E2170" t="str">
        <f>IFERROR(IF(D2170="","",VLOOKUP(D2170,CadProd!$A:$B,2,0)),"")</f>
        <v/>
      </c>
      <c r="F2170" t="str">
        <f>IFERROR(IF(D2170="","",VLOOKUP(D2170,CadProd!$A:$C,3,0)),"")</f>
        <v/>
      </c>
      <c r="I2170" s="1" t="str">
        <f t="shared" si="33"/>
        <v/>
      </c>
    </row>
    <row r="2171" spans="5:9" x14ac:dyDescent="0.3">
      <c r="E2171" t="str">
        <f>IFERROR(IF(D2171="","",VLOOKUP(D2171,CadProd!$A:$B,2,0)),"")</f>
        <v/>
      </c>
      <c r="F2171" t="str">
        <f>IFERROR(IF(D2171="","",VLOOKUP(D2171,CadProd!$A:$C,3,0)),"")</f>
        <v/>
      </c>
      <c r="I2171" s="1" t="str">
        <f t="shared" si="33"/>
        <v/>
      </c>
    </row>
    <row r="2172" spans="5:9" x14ac:dyDescent="0.3">
      <c r="E2172" t="str">
        <f>IFERROR(IF(D2172="","",VLOOKUP(D2172,CadProd!$A:$B,2,0)),"")</f>
        <v/>
      </c>
      <c r="F2172" t="str">
        <f>IFERROR(IF(D2172="","",VLOOKUP(D2172,CadProd!$A:$C,3,0)),"")</f>
        <v/>
      </c>
      <c r="I2172" s="1" t="str">
        <f t="shared" si="33"/>
        <v/>
      </c>
    </row>
    <row r="2173" spans="5:9" x14ac:dyDescent="0.3">
      <c r="E2173" t="str">
        <f>IFERROR(IF(D2173="","",VLOOKUP(D2173,CadProd!$A:$B,2,0)),"")</f>
        <v/>
      </c>
      <c r="F2173" t="str">
        <f>IFERROR(IF(D2173="","",VLOOKUP(D2173,CadProd!$A:$C,3,0)),"")</f>
        <v/>
      </c>
      <c r="I2173" s="1" t="str">
        <f t="shared" si="33"/>
        <v/>
      </c>
    </row>
    <row r="2174" spans="5:9" x14ac:dyDescent="0.3">
      <c r="E2174" t="str">
        <f>IFERROR(IF(D2174="","",VLOOKUP(D2174,CadProd!$A:$B,2,0)),"")</f>
        <v/>
      </c>
      <c r="F2174" t="str">
        <f>IFERROR(IF(D2174="","",VLOOKUP(D2174,CadProd!$A:$C,3,0)),"")</f>
        <v/>
      </c>
      <c r="I2174" s="1" t="str">
        <f t="shared" si="33"/>
        <v/>
      </c>
    </row>
    <row r="2175" spans="5:9" x14ac:dyDescent="0.3">
      <c r="E2175" t="str">
        <f>IFERROR(IF(D2175="","",VLOOKUP(D2175,CadProd!$A:$B,2,0)),"")</f>
        <v/>
      </c>
      <c r="F2175" t="str">
        <f>IFERROR(IF(D2175="","",VLOOKUP(D2175,CadProd!$A:$C,3,0)),"")</f>
        <v/>
      </c>
      <c r="I2175" s="1" t="str">
        <f t="shared" si="33"/>
        <v/>
      </c>
    </row>
    <row r="2176" spans="5:9" x14ac:dyDescent="0.3">
      <c r="E2176" t="str">
        <f>IFERROR(IF(D2176="","",VLOOKUP(D2176,CadProd!$A:$B,2,0)),"")</f>
        <v/>
      </c>
      <c r="F2176" t="str">
        <f>IFERROR(IF(D2176="","",VLOOKUP(D2176,CadProd!$A:$C,3,0)),"")</f>
        <v/>
      </c>
      <c r="I2176" s="1" t="str">
        <f t="shared" si="33"/>
        <v/>
      </c>
    </row>
    <row r="2177" spans="5:9" x14ac:dyDescent="0.3">
      <c r="E2177" t="str">
        <f>IFERROR(IF(D2177="","",VLOOKUP(D2177,CadProd!$A:$B,2,0)),"")</f>
        <v/>
      </c>
      <c r="F2177" t="str">
        <f>IFERROR(IF(D2177="","",VLOOKUP(D2177,CadProd!$A:$C,3,0)),"")</f>
        <v/>
      </c>
      <c r="I2177" s="1" t="str">
        <f t="shared" si="33"/>
        <v/>
      </c>
    </row>
    <row r="2178" spans="5:9" x14ac:dyDescent="0.3">
      <c r="E2178" t="str">
        <f>IFERROR(IF(D2178="","",VLOOKUP(D2178,CadProd!$A:$B,2,0)),"")</f>
        <v/>
      </c>
      <c r="F2178" t="str">
        <f>IFERROR(IF(D2178="","",VLOOKUP(D2178,CadProd!$A:$C,3,0)),"")</f>
        <v/>
      </c>
      <c r="I2178" s="1" t="str">
        <f t="shared" ref="I2178:I2241" si="34">IFERROR(IF(D2178="","",H2178*G2178),"")</f>
        <v/>
      </c>
    </row>
    <row r="2179" spans="5:9" x14ac:dyDescent="0.3">
      <c r="E2179" t="str">
        <f>IFERROR(IF(D2179="","",VLOOKUP(D2179,CadProd!$A:$B,2,0)),"")</f>
        <v/>
      </c>
      <c r="F2179" t="str">
        <f>IFERROR(IF(D2179="","",VLOOKUP(D2179,CadProd!$A:$C,3,0)),"")</f>
        <v/>
      </c>
      <c r="I2179" s="1" t="str">
        <f t="shared" si="34"/>
        <v/>
      </c>
    </row>
    <row r="2180" spans="5:9" x14ac:dyDescent="0.3">
      <c r="E2180" t="str">
        <f>IFERROR(IF(D2180="","",VLOOKUP(D2180,CadProd!$A:$B,2,0)),"")</f>
        <v/>
      </c>
      <c r="F2180" t="str">
        <f>IFERROR(IF(D2180="","",VLOOKUP(D2180,CadProd!$A:$C,3,0)),"")</f>
        <v/>
      </c>
      <c r="I2180" s="1" t="str">
        <f t="shared" si="34"/>
        <v/>
      </c>
    </row>
    <row r="2181" spans="5:9" x14ac:dyDescent="0.3">
      <c r="E2181" t="str">
        <f>IFERROR(IF(D2181="","",VLOOKUP(D2181,CadProd!$A:$B,2,0)),"")</f>
        <v/>
      </c>
      <c r="F2181" t="str">
        <f>IFERROR(IF(D2181="","",VLOOKUP(D2181,CadProd!$A:$C,3,0)),"")</f>
        <v/>
      </c>
      <c r="I2181" s="1" t="str">
        <f t="shared" si="34"/>
        <v/>
      </c>
    </row>
    <row r="2182" spans="5:9" x14ac:dyDescent="0.3">
      <c r="E2182" t="str">
        <f>IFERROR(IF(D2182="","",VLOOKUP(D2182,CadProd!$A:$B,2,0)),"")</f>
        <v/>
      </c>
      <c r="F2182" t="str">
        <f>IFERROR(IF(D2182="","",VLOOKUP(D2182,CadProd!$A:$C,3,0)),"")</f>
        <v/>
      </c>
      <c r="I2182" s="1" t="str">
        <f t="shared" si="34"/>
        <v/>
      </c>
    </row>
    <row r="2183" spans="5:9" x14ac:dyDescent="0.3">
      <c r="E2183" t="str">
        <f>IFERROR(IF(D2183="","",VLOOKUP(D2183,CadProd!$A:$B,2,0)),"")</f>
        <v/>
      </c>
      <c r="F2183" t="str">
        <f>IFERROR(IF(D2183="","",VLOOKUP(D2183,CadProd!$A:$C,3,0)),"")</f>
        <v/>
      </c>
      <c r="I2183" s="1" t="str">
        <f t="shared" si="34"/>
        <v/>
      </c>
    </row>
    <row r="2184" spans="5:9" x14ac:dyDescent="0.3">
      <c r="E2184" t="str">
        <f>IFERROR(IF(D2184="","",VLOOKUP(D2184,CadProd!$A:$B,2,0)),"")</f>
        <v/>
      </c>
      <c r="F2184" t="str">
        <f>IFERROR(IF(D2184="","",VLOOKUP(D2184,CadProd!$A:$C,3,0)),"")</f>
        <v/>
      </c>
      <c r="I2184" s="1" t="str">
        <f t="shared" si="34"/>
        <v/>
      </c>
    </row>
    <row r="2185" spans="5:9" x14ac:dyDescent="0.3">
      <c r="E2185" t="str">
        <f>IFERROR(IF(D2185="","",VLOOKUP(D2185,CadProd!$A:$B,2,0)),"")</f>
        <v/>
      </c>
      <c r="F2185" t="str">
        <f>IFERROR(IF(D2185="","",VLOOKUP(D2185,CadProd!$A:$C,3,0)),"")</f>
        <v/>
      </c>
      <c r="I2185" s="1" t="str">
        <f t="shared" si="34"/>
        <v/>
      </c>
    </row>
    <row r="2186" spans="5:9" x14ac:dyDescent="0.3">
      <c r="E2186" t="str">
        <f>IFERROR(IF(D2186="","",VLOOKUP(D2186,CadProd!$A:$B,2,0)),"")</f>
        <v/>
      </c>
      <c r="F2186" t="str">
        <f>IFERROR(IF(D2186="","",VLOOKUP(D2186,CadProd!$A:$C,3,0)),"")</f>
        <v/>
      </c>
      <c r="I2186" s="1" t="str">
        <f t="shared" si="34"/>
        <v/>
      </c>
    </row>
    <row r="2187" spans="5:9" x14ac:dyDescent="0.3">
      <c r="E2187" t="str">
        <f>IFERROR(IF(D2187="","",VLOOKUP(D2187,CadProd!$A:$B,2,0)),"")</f>
        <v/>
      </c>
      <c r="F2187" t="str">
        <f>IFERROR(IF(D2187="","",VLOOKUP(D2187,CadProd!$A:$C,3,0)),"")</f>
        <v/>
      </c>
      <c r="I2187" s="1" t="str">
        <f t="shared" si="34"/>
        <v/>
      </c>
    </row>
    <row r="2188" spans="5:9" x14ac:dyDescent="0.3">
      <c r="E2188" t="str">
        <f>IFERROR(IF(D2188="","",VLOOKUP(D2188,CadProd!$A:$B,2,0)),"")</f>
        <v/>
      </c>
      <c r="F2188" t="str">
        <f>IFERROR(IF(D2188="","",VLOOKUP(D2188,CadProd!$A:$C,3,0)),"")</f>
        <v/>
      </c>
      <c r="I2188" s="1" t="str">
        <f t="shared" si="34"/>
        <v/>
      </c>
    </row>
    <row r="2189" spans="5:9" x14ac:dyDescent="0.3">
      <c r="E2189" t="str">
        <f>IFERROR(IF(D2189="","",VLOOKUP(D2189,CadProd!$A:$B,2,0)),"")</f>
        <v/>
      </c>
      <c r="F2189" t="str">
        <f>IFERROR(IF(D2189="","",VLOOKUP(D2189,CadProd!$A:$C,3,0)),"")</f>
        <v/>
      </c>
      <c r="I2189" s="1" t="str">
        <f t="shared" si="34"/>
        <v/>
      </c>
    </row>
    <row r="2190" spans="5:9" x14ac:dyDescent="0.3">
      <c r="E2190" t="str">
        <f>IFERROR(IF(D2190="","",VLOOKUP(D2190,CadProd!$A:$B,2,0)),"")</f>
        <v/>
      </c>
      <c r="F2190" t="str">
        <f>IFERROR(IF(D2190="","",VLOOKUP(D2190,CadProd!$A:$C,3,0)),"")</f>
        <v/>
      </c>
      <c r="I2190" s="1" t="str">
        <f t="shared" si="34"/>
        <v/>
      </c>
    </row>
    <row r="2191" spans="5:9" x14ac:dyDescent="0.3">
      <c r="E2191" t="str">
        <f>IFERROR(IF(D2191="","",VLOOKUP(D2191,CadProd!$A:$B,2,0)),"")</f>
        <v/>
      </c>
      <c r="F2191" t="str">
        <f>IFERROR(IF(D2191="","",VLOOKUP(D2191,CadProd!$A:$C,3,0)),"")</f>
        <v/>
      </c>
      <c r="I2191" s="1" t="str">
        <f t="shared" si="34"/>
        <v/>
      </c>
    </row>
    <row r="2192" spans="5:9" x14ac:dyDescent="0.3">
      <c r="E2192" t="str">
        <f>IFERROR(IF(D2192="","",VLOOKUP(D2192,CadProd!$A:$B,2,0)),"")</f>
        <v/>
      </c>
      <c r="F2192" t="str">
        <f>IFERROR(IF(D2192="","",VLOOKUP(D2192,CadProd!$A:$C,3,0)),"")</f>
        <v/>
      </c>
      <c r="I2192" s="1" t="str">
        <f t="shared" si="34"/>
        <v/>
      </c>
    </row>
    <row r="2193" spans="5:9" x14ac:dyDescent="0.3">
      <c r="E2193" t="str">
        <f>IFERROR(IF(D2193="","",VLOOKUP(D2193,CadProd!$A:$B,2,0)),"")</f>
        <v/>
      </c>
      <c r="F2193" t="str">
        <f>IFERROR(IF(D2193="","",VLOOKUP(D2193,CadProd!$A:$C,3,0)),"")</f>
        <v/>
      </c>
      <c r="I2193" s="1" t="str">
        <f t="shared" si="34"/>
        <v/>
      </c>
    </row>
    <row r="2194" spans="5:9" x14ac:dyDescent="0.3">
      <c r="E2194" t="str">
        <f>IFERROR(IF(D2194="","",VLOOKUP(D2194,CadProd!$A:$B,2,0)),"")</f>
        <v/>
      </c>
      <c r="F2194" t="str">
        <f>IFERROR(IF(D2194="","",VLOOKUP(D2194,CadProd!$A:$C,3,0)),"")</f>
        <v/>
      </c>
      <c r="I2194" s="1" t="str">
        <f t="shared" si="34"/>
        <v/>
      </c>
    </row>
    <row r="2195" spans="5:9" x14ac:dyDescent="0.3">
      <c r="E2195" t="str">
        <f>IFERROR(IF(D2195="","",VLOOKUP(D2195,CadProd!$A:$B,2,0)),"")</f>
        <v/>
      </c>
      <c r="F2195" t="str">
        <f>IFERROR(IF(D2195="","",VLOOKUP(D2195,CadProd!$A:$C,3,0)),"")</f>
        <v/>
      </c>
      <c r="I2195" s="1" t="str">
        <f t="shared" si="34"/>
        <v/>
      </c>
    </row>
    <row r="2196" spans="5:9" x14ac:dyDescent="0.3">
      <c r="E2196" t="str">
        <f>IFERROR(IF(D2196="","",VLOOKUP(D2196,CadProd!$A:$B,2,0)),"")</f>
        <v/>
      </c>
      <c r="F2196" t="str">
        <f>IFERROR(IF(D2196="","",VLOOKUP(D2196,CadProd!$A:$C,3,0)),"")</f>
        <v/>
      </c>
      <c r="I2196" s="1" t="str">
        <f t="shared" si="34"/>
        <v/>
      </c>
    </row>
    <row r="2197" spans="5:9" x14ac:dyDescent="0.3">
      <c r="E2197" t="str">
        <f>IFERROR(IF(D2197="","",VLOOKUP(D2197,CadProd!$A:$B,2,0)),"")</f>
        <v/>
      </c>
      <c r="F2197" t="str">
        <f>IFERROR(IF(D2197="","",VLOOKUP(D2197,CadProd!$A:$C,3,0)),"")</f>
        <v/>
      </c>
      <c r="I2197" s="1" t="str">
        <f t="shared" si="34"/>
        <v/>
      </c>
    </row>
    <row r="2198" spans="5:9" x14ac:dyDescent="0.3">
      <c r="E2198" t="str">
        <f>IFERROR(IF(D2198="","",VLOOKUP(D2198,CadProd!$A:$B,2,0)),"")</f>
        <v/>
      </c>
      <c r="F2198" t="str">
        <f>IFERROR(IF(D2198="","",VLOOKUP(D2198,CadProd!$A:$C,3,0)),"")</f>
        <v/>
      </c>
      <c r="I2198" s="1" t="str">
        <f t="shared" si="34"/>
        <v/>
      </c>
    </row>
    <row r="2199" spans="5:9" x14ac:dyDescent="0.3">
      <c r="E2199" t="str">
        <f>IFERROR(IF(D2199="","",VLOOKUP(D2199,CadProd!$A:$B,2,0)),"")</f>
        <v/>
      </c>
      <c r="F2199" t="str">
        <f>IFERROR(IF(D2199="","",VLOOKUP(D2199,CadProd!$A:$C,3,0)),"")</f>
        <v/>
      </c>
      <c r="I2199" s="1" t="str">
        <f t="shared" si="34"/>
        <v/>
      </c>
    </row>
    <row r="2200" spans="5:9" x14ac:dyDescent="0.3">
      <c r="E2200" t="str">
        <f>IFERROR(IF(D2200="","",VLOOKUP(D2200,CadProd!$A:$B,2,0)),"")</f>
        <v/>
      </c>
      <c r="F2200" t="str">
        <f>IFERROR(IF(D2200="","",VLOOKUP(D2200,CadProd!$A:$C,3,0)),"")</f>
        <v/>
      </c>
      <c r="I2200" s="1" t="str">
        <f t="shared" si="34"/>
        <v/>
      </c>
    </row>
    <row r="2201" spans="5:9" x14ac:dyDescent="0.3">
      <c r="E2201" t="str">
        <f>IFERROR(IF(D2201="","",VLOOKUP(D2201,CadProd!$A:$B,2,0)),"")</f>
        <v/>
      </c>
      <c r="F2201" t="str">
        <f>IFERROR(IF(D2201="","",VLOOKUP(D2201,CadProd!$A:$C,3,0)),"")</f>
        <v/>
      </c>
      <c r="I2201" s="1" t="str">
        <f t="shared" si="34"/>
        <v/>
      </c>
    </row>
    <row r="2202" spans="5:9" x14ac:dyDescent="0.3">
      <c r="E2202" t="str">
        <f>IFERROR(IF(D2202="","",VLOOKUP(D2202,CadProd!$A:$B,2,0)),"")</f>
        <v/>
      </c>
      <c r="F2202" t="str">
        <f>IFERROR(IF(D2202="","",VLOOKUP(D2202,CadProd!$A:$C,3,0)),"")</f>
        <v/>
      </c>
      <c r="I2202" s="1" t="str">
        <f t="shared" si="34"/>
        <v/>
      </c>
    </row>
    <row r="2203" spans="5:9" x14ac:dyDescent="0.3">
      <c r="E2203" t="str">
        <f>IFERROR(IF(D2203="","",VLOOKUP(D2203,CadProd!$A:$B,2,0)),"")</f>
        <v/>
      </c>
      <c r="F2203" t="str">
        <f>IFERROR(IF(D2203="","",VLOOKUP(D2203,CadProd!$A:$C,3,0)),"")</f>
        <v/>
      </c>
      <c r="I2203" s="1" t="str">
        <f t="shared" si="34"/>
        <v/>
      </c>
    </row>
    <row r="2204" spans="5:9" x14ac:dyDescent="0.3">
      <c r="E2204" t="str">
        <f>IFERROR(IF(D2204="","",VLOOKUP(D2204,CadProd!$A:$B,2,0)),"")</f>
        <v/>
      </c>
      <c r="F2204" t="str">
        <f>IFERROR(IF(D2204="","",VLOOKUP(D2204,CadProd!$A:$C,3,0)),"")</f>
        <v/>
      </c>
      <c r="I2204" s="1" t="str">
        <f t="shared" si="34"/>
        <v/>
      </c>
    </row>
    <row r="2205" spans="5:9" x14ac:dyDescent="0.3">
      <c r="E2205" t="str">
        <f>IFERROR(IF(D2205="","",VLOOKUP(D2205,CadProd!$A:$B,2,0)),"")</f>
        <v/>
      </c>
      <c r="F2205" t="str">
        <f>IFERROR(IF(D2205="","",VLOOKUP(D2205,CadProd!$A:$C,3,0)),"")</f>
        <v/>
      </c>
      <c r="I2205" s="1" t="str">
        <f t="shared" si="34"/>
        <v/>
      </c>
    </row>
    <row r="2206" spans="5:9" x14ac:dyDescent="0.3">
      <c r="E2206" t="str">
        <f>IFERROR(IF(D2206="","",VLOOKUP(D2206,CadProd!$A:$B,2,0)),"")</f>
        <v/>
      </c>
      <c r="F2206" t="str">
        <f>IFERROR(IF(D2206="","",VLOOKUP(D2206,CadProd!$A:$C,3,0)),"")</f>
        <v/>
      </c>
      <c r="I2206" s="1" t="str">
        <f t="shared" si="34"/>
        <v/>
      </c>
    </row>
    <row r="2207" spans="5:9" x14ac:dyDescent="0.3">
      <c r="E2207" t="str">
        <f>IFERROR(IF(D2207="","",VLOOKUP(D2207,CadProd!$A:$B,2,0)),"")</f>
        <v/>
      </c>
      <c r="F2207" t="str">
        <f>IFERROR(IF(D2207="","",VLOOKUP(D2207,CadProd!$A:$C,3,0)),"")</f>
        <v/>
      </c>
      <c r="I2207" s="1" t="str">
        <f t="shared" si="34"/>
        <v/>
      </c>
    </row>
    <row r="2208" spans="5:9" x14ac:dyDescent="0.3">
      <c r="E2208" t="str">
        <f>IFERROR(IF(D2208="","",VLOOKUP(D2208,CadProd!$A:$B,2,0)),"")</f>
        <v/>
      </c>
      <c r="F2208" t="str">
        <f>IFERROR(IF(D2208="","",VLOOKUP(D2208,CadProd!$A:$C,3,0)),"")</f>
        <v/>
      </c>
      <c r="I2208" s="1" t="str">
        <f t="shared" si="34"/>
        <v/>
      </c>
    </row>
    <row r="2209" spans="5:9" x14ac:dyDescent="0.3">
      <c r="E2209" t="str">
        <f>IFERROR(IF(D2209="","",VLOOKUP(D2209,CadProd!$A:$B,2,0)),"")</f>
        <v/>
      </c>
      <c r="F2209" t="str">
        <f>IFERROR(IF(D2209="","",VLOOKUP(D2209,CadProd!$A:$C,3,0)),"")</f>
        <v/>
      </c>
      <c r="I2209" s="1" t="str">
        <f t="shared" si="34"/>
        <v/>
      </c>
    </row>
    <row r="2210" spans="5:9" x14ac:dyDescent="0.3">
      <c r="E2210" t="str">
        <f>IFERROR(IF(D2210="","",VLOOKUP(D2210,CadProd!$A:$B,2,0)),"")</f>
        <v/>
      </c>
      <c r="F2210" t="str">
        <f>IFERROR(IF(D2210="","",VLOOKUP(D2210,CadProd!$A:$C,3,0)),"")</f>
        <v/>
      </c>
      <c r="I2210" s="1" t="str">
        <f t="shared" si="34"/>
        <v/>
      </c>
    </row>
    <row r="2211" spans="5:9" x14ac:dyDescent="0.3">
      <c r="E2211" t="str">
        <f>IFERROR(IF(D2211="","",VLOOKUP(D2211,CadProd!$A:$B,2,0)),"")</f>
        <v/>
      </c>
      <c r="F2211" t="str">
        <f>IFERROR(IF(D2211="","",VLOOKUP(D2211,CadProd!$A:$C,3,0)),"")</f>
        <v/>
      </c>
      <c r="I2211" s="1" t="str">
        <f t="shared" si="34"/>
        <v/>
      </c>
    </row>
    <row r="2212" spans="5:9" x14ac:dyDescent="0.3">
      <c r="E2212" t="str">
        <f>IFERROR(IF(D2212="","",VLOOKUP(D2212,CadProd!$A:$B,2,0)),"")</f>
        <v/>
      </c>
      <c r="F2212" t="str">
        <f>IFERROR(IF(D2212="","",VLOOKUP(D2212,CadProd!$A:$C,3,0)),"")</f>
        <v/>
      </c>
      <c r="I2212" s="1" t="str">
        <f t="shared" si="34"/>
        <v/>
      </c>
    </row>
    <row r="2213" spans="5:9" x14ac:dyDescent="0.3">
      <c r="E2213" t="str">
        <f>IFERROR(IF(D2213="","",VLOOKUP(D2213,CadProd!$A:$B,2,0)),"")</f>
        <v/>
      </c>
      <c r="F2213" t="str">
        <f>IFERROR(IF(D2213="","",VLOOKUP(D2213,CadProd!$A:$C,3,0)),"")</f>
        <v/>
      </c>
      <c r="I2213" s="1" t="str">
        <f t="shared" si="34"/>
        <v/>
      </c>
    </row>
    <row r="2214" spans="5:9" x14ac:dyDescent="0.3">
      <c r="E2214" t="str">
        <f>IFERROR(IF(D2214="","",VLOOKUP(D2214,CadProd!$A:$B,2,0)),"")</f>
        <v/>
      </c>
      <c r="F2214" t="str">
        <f>IFERROR(IF(D2214="","",VLOOKUP(D2214,CadProd!$A:$C,3,0)),"")</f>
        <v/>
      </c>
      <c r="I2214" s="1" t="str">
        <f t="shared" si="34"/>
        <v/>
      </c>
    </row>
    <row r="2215" spans="5:9" x14ac:dyDescent="0.3">
      <c r="E2215" t="str">
        <f>IFERROR(IF(D2215="","",VLOOKUP(D2215,CadProd!$A:$B,2,0)),"")</f>
        <v/>
      </c>
      <c r="F2215" t="str">
        <f>IFERROR(IF(D2215="","",VLOOKUP(D2215,CadProd!$A:$C,3,0)),"")</f>
        <v/>
      </c>
      <c r="I2215" s="1" t="str">
        <f t="shared" si="34"/>
        <v/>
      </c>
    </row>
    <row r="2216" spans="5:9" x14ac:dyDescent="0.3">
      <c r="E2216" t="str">
        <f>IFERROR(IF(D2216="","",VLOOKUP(D2216,CadProd!$A:$B,2,0)),"")</f>
        <v/>
      </c>
      <c r="F2216" t="str">
        <f>IFERROR(IF(D2216="","",VLOOKUP(D2216,CadProd!$A:$C,3,0)),"")</f>
        <v/>
      </c>
      <c r="I2216" s="1" t="str">
        <f t="shared" si="34"/>
        <v/>
      </c>
    </row>
    <row r="2217" spans="5:9" x14ac:dyDescent="0.3">
      <c r="E2217" t="str">
        <f>IFERROR(IF(D2217="","",VLOOKUP(D2217,CadProd!$A:$B,2,0)),"")</f>
        <v/>
      </c>
      <c r="F2217" t="str">
        <f>IFERROR(IF(D2217="","",VLOOKUP(D2217,CadProd!$A:$C,3,0)),"")</f>
        <v/>
      </c>
      <c r="I2217" s="1" t="str">
        <f t="shared" si="34"/>
        <v/>
      </c>
    </row>
    <row r="2218" spans="5:9" x14ac:dyDescent="0.3">
      <c r="E2218" t="str">
        <f>IFERROR(IF(D2218="","",VLOOKUP(D2218,CadProd!$A:$B,2,0)),"")</f>
        <v/>
      </c>
      <c r="F2218" t="str">
        <f>IFERROR(IF(D2218="","",VLOOKUP(D2218,CadProd!$A:$C,3,0)),"")</f>
        <v/>
      </c>
      <c r="I2218" s="1" t="str">
        <f t="shared" si="34"/>
        <v/>
      </c>
    </row>
    <row r="2219" spans="5:9" x14ac:dyDescent="0.3">
      <c r="E2219" t="str">
        <f>IFERROR(IF(D2219="","",VLOOKUP(D2219,CadProd!$A:$B,2,0)),"")</f>
        <v/>
      </c>
      <c r="F2219" t="str">
        <f>IFERROR(IF(D2219="","",VLOOKUP(D2219,CadProd!$A:$C,3,0)),"")</f>
        <v/>
      </c>
      <c r="I2219" s="1" t="str">
        <f t="shared" si="34"/>
        <v/>
      </c>
    </row>
    <row r="2220" spans="5:9" x14ac:dyDescent="0.3">
      <c r="E2220" t="str">
        <f>IFERROR(IF(D2220="","",VLOOKUP(D2220,CadProd!$A:$B,2,0)),"")</f>
        <v/>
      </c>
      <c r="F2220" t="str">
        <f>IFERROR(IF(D2220="","",VLOOKUP(D2220,CadProd!$A:$C,3,0)),"")</f>
        <v/>
      </c>
      <c r="I2220" s="1" t="str">
        <f t="shared" si="34"/>
        <v/>
      </c>
    </row>
    <row r="2221" spans="5:9" x14ac:dyDescent="0.3">
      <c r="E2221" t="str">
        <f>IFERROR(IF(D2221="","",VLOOKUP(D2221,CadProd!$A:$B,2,0)),"")</f>
        <v/>
      </c>
      <c r="F2221" t="str">
        <f>IFERROR(IF(D2221="","",VLOOKUP(D2221,CadProd!$A:$C,3,0)),"")</f>
        <v/>
      </c>
      <c r="I2221" s="1" t="str">
        <f t="shared" si="34"/>
        <v/>
      </c>
    </row>
    <row r="2222" spans="5:9" x14ac:dyDescent="0.3">
      <c r="E2222" t="str">
        <f>IFERROR(IF(D2222="","",VLOOKUP(D2222,CadProd!$A:$B,2,0)),"")</f>
        <v/>
      </c>
      <c r="F2222" t="str">
        <f>IFERROR(IF(D2222="","",VLOOKUP(D2222,CadProd!$A:$C,3,0)),"")</f>
        <v/>
      </c>
      <c r="I2222" s="1" t="str">
        <f t="shared" si="34"/>
        <v/>
      </c>
    </row>
    <row r="2223" spans="5:9" x14ac:dyDescent="0.3">
      <c r="E2223" t="str">
        <f>IFERROR(IF(D2223="","",VLOOKUP(D2223,CadProd!$A:$B,2,0)),"")</f>
        <v/>
      </c>
      <c r="F2223" t="str">
        <f>IFERROR(IF(D2223="","",VLOOKUP(D2223,CadProd!$A:$C,3,0)),"")</f>
        <v/>
      </c>
      <c r="I2223" s="1" t="str">
        <f t="shared" si="34"/>
        <v/>
      </c>
    </row>
    <row r="2224" spans="5:9" x14ac:dyDescent="0.3">
      <c r="E2224" t="str">
        <f>IFERROR(IF(D2224="","",VLOOKUP(D2224,CadProd!$A:$B,2,0)),"")</f>
        <v/>
      </c>
      <c r="F2224" t="str">
        <f>IFERROR(IF(D2224="","",VLOOKUP(D2224,CadProd!$A:$C,3,0)),"")</f>
        <v/>
      </c>
      <c r="I2224" s="1" t="str">
        <f t="shared" si="34"/>
        <v/>
      </c>
    </row>
    <row r="2225" spans="5:9" x14ac:dyDescent="0.3">
      <c r="E2225" t="str">
        <f>IFERROR(IF(D2225="","",VLOOKUP(D2225,CadProd!$A:$B,2,0)),"")</f>
        <v/>
      </c>
      <c r="F2225" t="str">
        <f>IFERROR(IF(D2225="","",VLOOKUP(D2225,CadProd!$A:$C,3,0)),"")</f>
        <v/>
      </c>
      <c r="I2225" s="1" t="str">
        <f t="shared" si="34"/>
        <v/>
      </c>
    </row>
    <row r="2226" spans="5:9" x14ac:dyDescent="0.3">
      <c r="E2226" t="str">
        <f>IFERROR(IF(D2226="","",VLOOKUP(D2226,CadProd!$A:$B,2,0)),"")</f>
        <v/>
      </c>
      <c r="F2226" t="str">
        <f>IFERROR(IF(D2226="","",VLOOKUP(D2226,CadProd!$A:$C,3,0)),"")</f>
        <v/>
      </c>
      <c r="I2226" s="1" t="str">
        <f t="shared" si="34"/>
        <v/>
      </c>
    </row>
    <row r="2227" spans="5:9" x14ac:dyDescent="0.3">
      <c r="E2227" t="str">
        <f>IFERROR(IF(D2227="","",VLOOKUP(D2227,CadProd!$A:$B,2,0)),"")</f>
        <v/>
      </c>
      <c r="F2227" t="str">
        <f>IFERROR(IF(D2227="","",VLOOKUP(D2227,CadProd!$A:$C,3,0)),"")</f>
        <v/>
      </c>
      <c r="I2227" s="1" t="str">
        <f t="shared" si="34"/>
        <v/>
      </c>
    </row>
    <row r="2228" spans="5:9" x14ac:dyDescent="0.3">
      <c r="E2228" t="str">
        <f>IFERROR(IF(D2228="","",VLOOKUP(D2228,CadProd!$A:$B,2,0)),"")</f>
        <v/>
      </c>
      <c r="F2228" t="str">
        <f>IFERROR(IF(D2228="","",VLOOKUP(D2228,CadProd!$A:$C,3,0)),"")</f>
        <v/>
      </c>
      <c r="I2228" s="1" t="str">
        <f t="shared" si="34"/>
        <v/>
      </c>
    </row>
    <row r="2229" spans="5:9" x14ac:dyDescent="0.3">
      <c r="E2229" t="str">
        <f>IFERROR(IF(D2229="","",VLOOKUP(D2229,CadProd!$A:$B,2,0)),"")</f>
        <v/>
      </c>
      <c r="F2229" t="str">
        <f>IFERROR(IF(D2229="","",VLOOKUP(D2229,CadProd!$A:$C,3,0)),"")</f>
        <v/>
      </c>
      <c r="I2229" s="1" t="str">
        <f t="shared" si="34"/>
        <v/>
      </c>
    </row>
    <row r="2230" spans="5:9" x14ac:dyDescent="0.3">
      <c r="E2230" t="str">
        <f>IFERROR(IF(D2230="","",VLOOKUP(D2230,CadProd!$A:$B,2,0)),"")</f>
        <v/>
      </c>
      <c r="F2230" t="str">
        <f>IFERROR(IF(D2230="","",VLOOKUP(D2230,CadProd!$A:$C,3,0)),"")</f>
        <v/>
      </c>
      <c r="I2230" s="1" t="str">
        <f t="shared" si="34"/>
        <v/>
      </c>
    </row>
    <row r="2231" spans="5:9" x14ac:dyDescent="0.3">
      <c r="E2231" t="str">
        <f>IFERROR(IF(D2231="","",VLOOKUP(D2231,CadProd!$A:$B,2,0)),"")</f>
        <v/>
      </c>
      <c r="F2231" t="str">
        <f>IFERROR(IF(D2231="","",VLOOKUP(D2231,CadProd!$A:$C,3,0)),"")</f>
        <v/>
      </c>
      <c r="I2231" s="1" t="str">
        <f t="shared" si="34"/>
        <v/>
      </c>
    </row>
    <row r="2232" spans="5:9" x14ac:dyDescent="0.3">
      <c r="E2232" t="str">
        <f>IFERROR(IF(D2232="","",VLOOKUP(D2232,CadProd!$A:$B,2,0)),"")</f>
        <v/>
      </c>
      <c r="F2232" t="str">
        <f>IFERROR(IF(D2232="","",VLOOKUP(D2232,CadProd!$A:$C,3,0)),"")</f>
        <v/>
      </c>
      <c r="I2232" s="1" t="str">
        <f t="shared" si="34"/>
        <v/>
      </c>
    </row>
    <row r="2233" spans="5:9" x14ac:dyDescent="0.3">
      <c r="E2233" t="str">
        <f>IFERROR(IF(D2233="","",VLOOKUP(D2233,CadProd!$A:$B,2,0)),"")</f>
        <v/>
      </c>
      <c r="F2233" t="str">
        <f>IFERROR(IF(D2233="","",VLOOKUP(D2233,CadProd!$A:$C,3,0)),"")</f>
        <v/>
      </c>
      <c r="I2233" s="1" t="str">
        <f t="shared" si="34"/>
        <v/>
      </c>
    </row>
    <row r="2234" spans="5:9" x14ac:dyDescent="0.3">
      <c r="E2234" t="str">
        <f>IFERROR(IF(D2234="","",VLOOKUP(D2234,CadProd!$A:$B,2,0)),"")</f>
        <v/>
      </c>
      <c r="F2234" t="str">
        <f>IFERROR(IF(D2234="","",VLOOKUP(D2234,CadProd!$A:$C,3,0)),"")</f>
        <v/>
      </c>
      <c r="I2234" s="1" t="str">
        <f t="shared" si="34"/>
        <v/>
      </c>
    </row>
    <row r="2235" spans="5:9" x14ac:dyDescent="0.3">
      <c r="E2235" t="str">
        <f>IFERROR(IF(D2235="","",VLOOKUP(D2235,CadProd!$A:$B,2,0)),"")</f>
        <v/>
      </c>
      <c r="F2235" t="str">
        <f>IFERROR(IF(D2235="","",VLOOKUP(D2235,CadProd!$A:$C,3,0)),"")</f>
        <v/>
      </c>
      <c r="I2235" s="1" t="str">
        <f t="shared" si="34"/>
        <v/>
      </c>
    </row>
    <row r="2236" spans="5:9" x14ac:dyDescent="0.3">
      <c r="E2236" t="str">
        <f>IFERROR(IF(D2236="","",VLOOKUP(D2236,CadProd!$A:$B,2,0)),"")</f>
        <v/>
      </c>
      <c r="F2236" t="str">
        <f>IFERROR(IF(D2236="","",VLOOKUP(D2236,CadProd!$A:$C,3,0)),"")</f>
        <v/>
      </c>
      <c r="I2236" s="1" t="str">
        <f t="shared" si="34"/>
        <v/>
      </c>
    </row>
    <row r="2237" spans="5:9" x14ac:dyDescent="0.3">
      <c r="E2237" t="str">
        <f>IFERROR(IF(D2237="","",VLOOKUP(D2237,CadProd!$A:$B,2,0)),"")</f>
        <v/>
      </c>
      <c r="F2237" t="str">
        <f>IFERROR(IF(D2237="","",VLOOKUP(D2237,CadProd!$A:$C,3,0)),"")</f>
        <v/>
      </c>
      <c r="I2237" s="1" t="str">
        <f t="shared" si="34"/>
        <v/>
      </c>
    </row>
    <row r="2238" spans="5:9" x14ac:dyDescent="0.3">
      <c r="E2238" t="str">
        <f>IFERROR(IF(D2238="","",VLOOKUP(D2238,CadProd!$A:$B,2,0)),"")</f>
        <v/>
      </c>
      <c r="F2238" t="str">
        <f>IFERROR(IF(D2238="","",VLOOKUP(D2238,CadProd!$A:$C,3,0)),"")</f>
        <v/>
      </c>
      <c r="I2238" s="1" t="str">
        <f t="shared" si="34"/>
        <v/>
      </c>
    </row>
    <row r="2239" spans="5:9" x14ac:dyDescent="0.3">
      <c r="E2239" t="str">
        <f>IFERROR(IF(D2239="","",VLOOKUP(D2239,CadProd!$A:$B,2,0)),"")</f>
        <v/>
      </c>
      <c r="F2239" t="str">
        <f>IFERROR(IF(D2239="","",VLOOKUP(D2239,CadProd!$A:$C,3,0)),"")</f>
        <v/>
      </c>
      <c r="I2239" s="1" t="str">
        <f t="shared" si="34"/>
        <v/>
      </c>
    </row>
    <row r="2240" spans="5:9" x14ac:dyDescent="0.3">
      <c r="E2240" t="str">
        <f>IFERROR(IF(D2240="","",VLOOKUP(D2240,CadProd!$A:$B,2,0)),"")</f>
        <v/>
      </c>
      <c r="F2240" t="str">
        <f>IFERROR(IF(D2240="","",VLOOKUP(D2240,CadProd!$A:$C,3,0)),"")</f>
        <v/>
      </c>
      <c r="I2240" s="1" t="str">
        <f t="shared" si="34"/>
        <v/>
      </c>
    </row>
    <row r="2241" spans="5:9" x14ac:dyDescent="0.3">
      <c r="E2241" t="str">
        <f>IFERROR(IF(D2241="","",VLOOKUP(D2241,CadProd!$A:$B,2,0)),"")</f>
        <v/>
      </c>
      <c r="F2241" t="str">
        <f>IFERROR(IF(D2241="","",VLOOKUP(D2241,CadProd!$A:$C,3,0)),"")</f>
        <v/>
      </c>
      <c r="I2241" s="1" t="str">
        <f t="shared" si="34"/>
        <v/>
      </c>
    </row>
    <row r="2242" spans="5:9" x14ac:dyDescent="0.3">
      <c r="E2242" t="str">
        <f>IFERROR(IF(D2242="","",VLOOKUP(D2242,CadProd!$A:$B,2,0)),"")</f>
        <v/>
      </c>
      <c r="F2242" t="str">
        <f>IFERROR(IF(D2242="","",VLOOKUP(D2242,CadProd!$A:$C,3,0)),"")</f>
        <v/>
      </c>
      <c r="I2242" s="1" t="str">
        <f t="shared" ref="I2242:I2305" si="35">IFERROR(IF(D2242="","",H2242*G2242),"")</f>
        <v/>
      </c>
    </row>
    <row r="2243" spans="5:9" x14ac:dyDescent="0.3">
      <c r="E2243" t="str">
        <f>IFERROR(IF(D2243="","",VLOOKUP(D2243,CadProd!$A:$B,2,0)),"")</f>
        <v/>
      </c>
      <c r="F2243" t="str">
        <f>IFERROR(IF(D2243="","",VLOOKUP(D2243,CadProd!$A:$C,3,0)),"")</f>
        <v/>
      </c>
      <c r="I2243" s="1" t="str">
        <f t="shared" si="35"/>
        <v/>
      </c>
    </row>
    <row r="2244" spans="5:9" x14ac:dyDescent="0.3">
      <c r="E2244" t="str">
        <f>IFERROR(IF(D2244="","",VLOOKUP(D2244,CadProd!$A:$B,2,0)),"")</f>
        <v/>
      </c>
      <c r="F2244" t="str">
        <f>IFERROR(IF(D2244="","",VLOOKUP(D2244,CadProd!$A:$C,3,0)),"")</f>
        <v/>
      </c>
      <c r="I2244" s="1" t="str">
        <f t="shared" si="35"/>
        <v/>
      </c>
    </row>
    <row r="2245" spans="5:9" x14ac:dyDescent="0.3">
      <c r="E2245" t="str">
        <f>IFERROR(IF(D2245="","",VLOOKUP(D2245,CadProd!$A:$B,2,0)),"")</f>
        <v/>
      </c>
      <c r="F2245" t="str">
        <f>IFERROR(IF(D2245="","",VLOOKUP(D2245,CadProd!$A:$C,3,0)),"")</f>
        <v/>
      </c>
      <c r="I2245" s="1" t="str">
        <f t="shared" si="35"/>
        <v/>
      </c>
    </row>
    <row r="2246" spans="5:9" x14ac:dyDescent="0.3">
      <c r="E2246" t="str">
        <f>IFERROR(IF(D2246="","",VLOOKUP(D2246,CadProd!$A:$B,2,0)),"")</f>
        <v/>
      </c>
      <c r="F2246" t="str">
        <f>IFERROR(IF(D2246="","",VLOOKUP(D2246,CadProd!$A:$C,3,0)),"")</f>
        <v/>
      </c>
      <c r="I2246" s="1" t="str">
        <f t="shared" si="35"/>
        <v/>
      </c>
    </row>
    <row r="2247" spans="5:9" x14ac:dyDescent="0.3">
      <c r="E2247" t="str">
        <f>IFERROR(IF(D2247="","",VLOOKUP(D2247,CadProd!$A:$B,2,0)),"")</f>
        <v/>
      </c>
      <c r="F2247" t="str">
        <f>IFERROR(IF(D2247="","",VLOOKUP(D2247,CadProd!$A:$C,3,0)),"")</f>
        <v/>
      </c>
      <c r="I2247" s="1" t="str">
        <f t="shared" si="35"/>
        <v/>
      </c>
    </row>
    <row r="2248" spans="5:9" x14ac:dyDescent="0.3">
      <c r="E2248" t="str">
        <f>IFERROR(IF(D2248="","",VLOOKUP(D2248,CadProd!$A:$B,2,0)),"")</f>
        <v/>
      </c>
      <c r="F2248" t="str">
        <f>IFERROR(IF(D2248="","",VLOOKUP(D2248,CadProd!$A:$C,3,0)),"")</f>
        <v/>
      </c>
      <c r="I2248" s="1" t="str">
        <f t="shared" si="35"/>
        <v/>
      </c>
    </row>
    <row r="2249" spans="5:9" x14ac:dyDescent="0.3">
      <c r="E2249" t="str">
        <f>IFERROR(IF(D2249="","",VLOOKUP(D2249,CadProd!$A:$B,2,0)),"")</f>
        <v/>
      </c>
      <c r="F2249" t="str">
        <f>IFERROR(IF(D2249="","",VLOOKUP(D2249,CadProd!$A:$C,3,0)),"")</f>
        <v/>
      </c>
      <c r="I2249" s="1" t="str">
        <f t="shared" si="35"/>
        <v/>
      </c>
    </row>
    <row r="2250" spans="5:9" x14ac:dyDescent="0.3">
      <c r="E2250" t="str">
        <f>IFERROR(IF(D2250="","",VLOOKUP(D2250,CadProd!$A:$B,2,0)),"")</f>
        <v/>
      </c>
      <c r="F2250" t="str">
        <f>IFERROR(IF(D2250="","",VLOOKUP(D2250,CadProd!$A:$C,3,0)),"")</f>
        <v/>
      </c>
      <c r="I2250" s="1" t="str">
        <f t="shared" si="35"/>
        <v/>
      </c>
    </row>
    <row r="2251" spans="5:9" x14ac:dyDescent="0.3">
      <c r="E2251" t="str">
        <f>IFERROR(IF(D2251="","",VLOOKUP(D2251,CadProd!$A:$B,2,0)),"")</f>
        <v/>
      </c>
      <c r="F2251" t="str">
        <f>IFERROR(IF(D2251="","",VLOOKUP(D2251,CadProd!$A:$C,3,0)),"")</f>
        <v/>
      </c>
      <c r="I2251" s="1" t="str">
        <f t="shared" si="35"/>
        <v/>
      </c>
    </row>
    <row r="2252" spans="5:9" x14ac:dyDescent="0.3">
      <c r="E2252" t="str">
        <f>IFERROR(IF(D2252="","",VLOOKUP(D2252,CadProd!$A:$B,2,0)),"")</f>
        <v/>
      </c>
      <c r="F2252" t="str">
        <f>IFERROR(IF(D2252="","",VLOOKUP(D2252,CadProd!$A:$C,3,0)),"")</f>
        <v/>
      </c>
      <c r="I2252" s="1" t="str">
        <f t="shared" si="35"/>
        <v/>
      </c>
    </row>
    <row r="2253" spans="5:9" x14ac:dyDescent="0.3">
      <c r="E2253" t="str">
        <f>IFERROR(IF(D2253="","",VLOOKUP(D2253,CadProd!$A:$B,2,0)),"")</f>
        <v/>
      </c>
      <c r="F2253" t="str">
        <f>IFERROR(IF(D2253="","",VLOOKUP(D2253,CadProd!$A:$C,3,0)),"")</f>
        <v/>
      </c>
      <c r="I2253" s="1" t="str">
        <f t="shared" si="35"/>
        <v/>
      </c>
    </row>
    <row r="2254" spans="5:9" x14ac:dyDescent="0.3">
      <c r="E2254" t="str">
        <f>IFERROR(IF(D2254="","",VLOOKUP(D2254,CadProd!$A:$B,2,0)),"")</f>
        <v/>
      </c>
      <c r="F2254" t="str">
        <f>IFERROR(IF(D2254="","",VLOOKUP(D2254,CadProd!$A:$C,3,0)),"")</f>
        <v/>
      </c>
      <c r="I2254" s="1" t="str">
        <f t="shared" si="35"/>
        <v/>
      </c>
    </row>
    <row r="2255" spans="5:9" x14ac:dyDescent="0.3">
      <c r="E2255" t="str">
        <f>IFERROR(IF(D2255="","",VLOOKUP(D2255,CadProd!$A:$B,2,0)),"")</f>
        <v/>
      </c>
      <c r="F2255" t="str">
        <f>IFERROR(IF(D2255="","",VLOOKUP(D2255,CadProd!$A:$C,3,0)),"")</f>
        <v/>
      </c>
      <c r="I2255" s="1" t="str">
        <f t="shared" si="35"/>
        <v/>
      </c>
    </row>
    <row r="2256" spans="5:9" x14ac:dyDescent="0.3">
      <c r="E2256" t="str">
        <f>IFERROR(IF(D2256="","",VLOOKUP(D2256,CadProd!$A:$B,2,0)),"")</f>
        <v/>
      </c>
      <c r="F2256" t="str">
        <f>IFERROR(IF(D2256="","",VLOOKUP(D2256,CadProd!$A:$C,3,0)),"")</f>
        <v/>
      </c>
      <c r="I2256" s="1" t="str">
        <f t="shared" si="35"/>
        <v/>
      </c>
    </row>
    <row r="2257" spans="5:9" x14ac:dyDescent="0.3">
      <c r="E2257" t="str">
        <f>IFERROR(IF(D2257="","",VLOOKUP(D2257,CadProd!$A:$B,2,0)),"")</f>
        <v/>
      </c>
      <c r="F2257" t="str">
        <f>IFERROR(IF(D2257="","",VLOOKUP(D2257,CadProd!$A:$C,3,0)),"")</f>
        <v/>
      </c>
      <c r="I2257" s="1" t="str">
        <f t="shared" si="35"/>
        <v/>
      </c>
    </row>
    <row r="2258" spans="5:9" x14ac:dyDescent="0.3">
      <c r="E2258" t="str">
        <f>IFERROR(IF(D2258="","",VLOOKUP(D2258,CadProd!$A:$B,2,0)),"")</f>
        <v/>
      </c>
      <c r="F2258" t="str">
        <f>IFERROR(IF(D2258="","",VLOOKUP(D2258,CadProd!$A:$C,3,0)),"")</f>
        <v/>
      </c>
      <c r="I2258" s="1" t="str">
        <f t="shared" si="35"/>
        <v/>
      </c>
    </row>
    <row r="2259" spans="5:9" x14ac:dyDescent="0.3">
      <c r="E2259" t="str">
        <f>IFERROR(IF(D2259="","",VLOOKUP(D2259,CadProd!$A:$B,2,0)),"")</f>
        <v/>
      </c>
      <c r="F2259" t="str">
        <f>IFERROR(IF(D2259="","",VLOOKUP(D2259,CadProd!$A:$C,3,0)),"")</f>
        <v/>
      </c>
      <c r="I2259" s="1" t="str">
        <f t="shared" si="35"/>
        <v/>
      </c>
    </row>
    <row r="2260" spans="5:9" x14ac:dyDescent="0.3">
      <c r="E2260" t="str">
        <f>IFERROR(IF(D2260="","",VLOOKUP(D2260,CadProd!$A:$B,2,0)),"")</f>
        <v/>
      </c>
      <c r="F2260" t="str">
        <f>IFERROR(IF(D2260="","",VLOOKUP(D2260,CadProd!$A:$C,3,0)),"")</f>
        <v/>
      </c>
      <c r="I2260" s="1" t="str">
        <f t="shared" si="35"/>
        <v/>
      </c>
    </row>
    <row r="2261" spans="5:9" x14ac:dyDescent="0.3">
      <c r="E2261" t="str">
        <f>IFERROR(IF(D2261="","",VLOOKUP(D2261,CadProd!$A:$B,2,0)),"")</f>
        <v/>
      </c>
      <c r="F2261" t="str">
        <f>IFERROR(IF(D2261="","",VLOOKUP(D2261,CadProd!$A:$C,3,0)),"")</f>
        <v/>
      </c>
      <c r="I2261" s="1" t="str">
        <f t="shared" si="35"/>
        <v/>
      </c>
    </row>
    <row r="2262" spans="5:9" x14ac:dyDescent="0.3">
      <c r="E2262" t="str">
        <f>IFERROR(IF(D2262="","",VLOOKUP(D2262,CadProd!$A:$B,2,0)),"")</f>
        <v/>
      </c>
      <c r="F2262" t="str">
        <f>IFERROR(IF(D2262="","",VLOOKUP(D2262,CadProd!$A:$C,3,0)),"")</f>
        <v/>
      </c>
      <c r="I2262" s="1" t="str">
        <f t="shared" si="35"/>
        <v/>
      </c>
    </row>
    <row r="2263" spans="5:9" x14ac:dyDescent="0.3">
      <c r="E2263" t="str">
        <f>IFERROR(IF(D2263="","",VLOOKUP(D2263,CadProd!$A:$B,2,0)),"")</f>
        <v/>
      </c>
      <c r="F2263" t="str">
        <f>IFERROR(IF(D2263="","",VLOOKUP(D2263,CadProd!$A:$C,3,0)),"")</f>
        <v/>
      </c>
      <c r="I2263" s="1" t="str">
        <f t="shared" si="35"/>
        <v/>
      </c>
    </row>
    <row r="2264" spans="5:9" x14ac:dyDescent="0.3">
      <c r="E2264" t="str">
        <f>IFERROR(IF(D2264="","",VLOOKUP(D2264,CadProd!$A:$B,2,0)),"")</f>
        <v/>
      </c>
      <c r="F2264" t="str">
        <f>IFERROR(IF(D2264="","",VLOOKUP(D2264,CadProd!$A:$C,3,0)),"")</f>
        <v/>
      </c>
      <c r="I2264" s="1" t="str">
        <f t="shared" si="35"/>
        <v/>
      </c>
    </row>
    <row r="2265" spans="5:9" x14ac:dyDescent="0.3">
      <c r="E2265" t="str">
        <f>IFERROR(IF(D2265="","",VLOOKUP(D2265,CadProd!$A:$B,2,0)),"")</f>
        <v/>
      </c>
      <c r="F2265" t="str">
        <f>IFERROR(IF(D2265="","",VLOOKUP(D2265,CadProd!$A:$C,3,0)),"")</f>
        <v/>
      </c>
      <c r="I2265" s="1" t="str">
        <f t="shared" si="35"/>
        <v/>
      </c>
    </row>
    <row r="2266" spans="5:9" x14ac:dyDescent="0.3">
      <c r="E2266" t="str">
        <f>IFERROR(IF(D2266="","",VLOOKUP(D2266,CadProd!$A:$B,2,0)),"")</f>
        <v/>
      </c>
      <c r="F2266" t="str">
        <f>IFERROR(IF(D2266="","",VLOOKUP(D2266,CadProd!$A:$C,3,0)),"")</f>
        <v/>
      </c>
      <c r="I2266" s="1" t="str">
        <f t="shared" si="35"/>
        <v/>
      </c>
    </row>
    <row r="2267" spans="5:9" x14ac:dyDescent="0.3">
      <c r="E2267" t="str">
        <f>IFERROR(IF(D2267="","",VLOOKUP(D2267,CadProd!$A:$B,2,0)),"")</f>
        <v/>
      </c>
      <c r="F2267" t="str">
        <f>IFERROR(IF(D2267="","",VLOOKUP(D2267,CadProd!$A:$C,3,0)),"")</f>
        <v/>
      </c>
      <c r="I2267" s="1" t="str">
        <f t="shared" si="35"/>
        <v/>
      </c>
    </row>
    <row r="2268" spans="5:9" x14ac:dyDescent="0.3">
      <c r="E2268" t="str">
        <f>IFERROR(IF(D2268="","",VLOOKUP(D2268,CadProd!$A:$B,2,0)),"")</f>
        <v/>
      </c>
      <c r="F2268" t="str">
        <f>IFERROR(IF(D2268="","",VLOOKUP(D2268,CadProd!$A:$C,3,0)),"")</f>
        <v/>
      </c>
      <c r="I2268" s="1" t="str">
        <f t="shared" si="35"/>
        <v/>
      </c>
    </row>
    <row r="2269" spans="5:9" x14ac:dyDescent="0.3">
      <c r="E2269" t="str">
        <f>IFERROR(IF(D2269="","",VLOOKUP(D2269,CadProd!$A:$B,2,0)),"")</f>
        <v/>
      </c>
      <c r="F2269" t="str">
        <f>IFERROR(IF(D2269="","",VLOOKUP(D2269,CadProd!$A:$C,3,0)),"")</f>
        <v/>
      </c>
      <c r="I2269" s="1" t="str">
        <f t="shared" si="35"/>
        <v/>
      </c>
    </row>
    <row r="2270" spans="5:9" x14ac:dyDescent="0.3">
      <c r="E2270" t="str">
        <f>IFERROR(IF(D2270="","",VLOOKUP(D2270,CadProd!$A:$B,2,0)),"")</f>
        <v/>
      </c>
      <c r="F2270" t="str">
        <f>IFERROR(IF(D2270="","",VLOOKUP(D2270,CadProd!$A:$C,3,0)),"")</f>
        <v/>
      </c>
      <c r="I2270" s="1" t="str">
        <f t="shared" si="35"/>
        <v/>
      </c>
    </row>
    <row r="2271" spans="5:9" x14ac:dyDescent="0.3">
      <c r="E2271" t="str">
        <f>IFERROR(IF(D2271="","",VLOOKUP(D2271,CadProd!$A:$B,2,0)),"")</f>
        <v/>
      </c>
      <c r="F2271" t="str">
        <f>IFERROR(IF(D2271="","",VLOOKUP(D2271,CadProd!$A:$C,3,0)),"")</f>
        <v/>
      </c>
      <c r="I2271" s="1" t="str">
        <f t="shared" si="35"/>
        <v/>
      </c>
    </row>
    <row r="2272" spans="5:9" x14ac:dyDescent="0.3">
      <c r="E2272" t="str">
        <f>IFERROR(IF(D2272="","",VLOOKUP(D2272,CadProd!$A:$B,2,0)),"")</f>
        <v/>
      </c>
      <c r="F2272" t="str">
        <f>IFERROR(IF(D2272="","",VLOOKUP(D2272,CadProd!$A:$C,3,0)),"")</f>
        <v/>
      </c>
      <c r="I2272" s="1" t="str">
        <f t="shared" si="35"/>
        <v/>
      </c>
    </row>
    <row r="2273" spans="5:9" x14ac:dyDescent="0.3">
      <c r="E2273" t="str">
        <f>IFERROR(IF(D2273="","",VLOOKUP(D2273,CadProd!$A:$B,2,0)),"")</f>
        <v/>
      </c>
      <c r="F2273" t="str">
        <f>IFERROR(IF(D2273="","",VLOOKUP(D2273,CadProd!$A:$C,3,0)),"")</f>
        <v/>
      </c>
      <c r="I2273" s="1" t="str">
        <f t="shared" si="35"/>
        <v/>
      </c>
    </row>
    <row r="2274" spans="5:9" x14ac:dyDescent="0.3">
      <c r="E2274" t="str">
        <f>IFERROR(IF(D2274="","",VLOOKUP(D2274,CadProd!$A:$B,2,0)),"")</f>
        <v/>
      </c>
      <c r="F2274" t="str">
        <f>IFERROR(IF(D2274="","",VLOOKUP(D2274,CadProd!$A:$C,3,0)),"")</f>
        <v/>
      </c>
      <c r="I2274" s="1" t="str">
        <f t="shared" si="35"/>
        <v/>
      </c>
    </row>
    <row r="2275" spans="5:9" x14ac:dyDescent="0.3">
      <c r="E2275" t="str">
        <f>IFERROR(IF(D2275="","",VLOOKUP(D2275,CadProd!$A:$B,2,0)),"")</f>
        <v/>
      </c>
      <c r="F2275" t="str">
        <f>IFERROR(IF(D2275="","",VLOOKUP(D2275,CadProd!$A:$C,3,0)),"")</f>
        <v/>
      </c>
      <c r="I2275" s="1" t="str">
        <f t="shared" si="35"/>
        <v/>
      </c>
    </row>
    <row r="2276" spans="5:9" x14ac:dyDescent="0.3">
      <c r="E2276" t="str">
        <f>IFERROR(IF(D2276="","",VLOOKUP(D2276,CadProd!$A:$B,2,0)),"")</f>
        <v/>
      </c>
      <c r="F2276" t="str">
        <f>IFERROR(IF(D2276="","",VLOOKUP(D2276,CadProd!$A:$C,3,0)),"")</f>
        <v/>
      </c>
      <c r="I2276" s="1" t="str">
        <f t="shared" si="35"/>
        <v/>
      </c>
    </row>
    <row r="2277" spans="5:9" x14ac:dyDescent="0.3">
      <c r="E2277" t="str">
        <f>IFERROR(IF(D2277="","",VLOOKUP(D2277,CadProd!$A:$B,2,0)),"")</f>
        <v/>
      </c>
      <c r="F2277" t="str">
        <f>IFERROR(IF(D2277="","",VLOOKUP(D2277,CadProd!$A:$C,3,0)),"")</f>
        <v/>
      </c>
      <c r="I2277" s="1" t="str">
        <f t="shared" si="35"/>
        <v/>
      </c>
    </row>
    <row r="2278" spans="5:9" x14ac:dyDescent="0.3">
      <c r="E2278" t="str">
        <f>IFERROR(IF(D2278="","",VLOOKUP(D2278,CadProd!$A:$B,2,0)),"")</f>
        <v/>
      </c>
      <c r="F2278" t="str">
        <f>IFERROR(IF(D2278="","",VLOOKUP(D2278,CadProd!$A:$C,3,0)),"")</f>
        <v/>
      </c>
      <c r="I2278" s="1" t="str">
        <f t="shared" si="35"/>
        <v/>
      </c>
    </row>
    <row r="2279" spans="5:9" x14ac:dyDescent="0.3">
      <c r="E2279" t="str">
        <f>IFERROR(IF(D2279="","",VLOOKUP(D2279,CadProd!$A:$B,2,0)),"")</f>
        <v/>
      </c>
      <c r="F2279" t="str">
        <f>IFERROR(IF(D2279="","",VLOOKUP(D2279,CadProd!$A:$C,3,0)),"")</f>
        <v/>
      </c>
      <c r="I2279" s="1" t="str">
        <f t="shared" si="35"/>
        <v/>
      </c>
    </row>
    <row r="2280" spans="5:9" x14ac:dyDescent="0.3">
      <c r="E2280" t="str">
        <f>IFERROR(IF(D2280="","",VLOOKUP(D2280,CadProd!$A:$B,2,0)),"")</f>
        <v/>
      </c>
      <c r="F2280" t="str">
        <f>IFERROR(IF(D2280="","",VLOOKUP(D2280,CadProd!$A:$C,3,0)),"")</f>
        <v/>
      </c>
      <c r="I2280" s="1" t="str">
        <f t="shared" si="35"/>
        <v/>
      </c>
    </row>
    <row r="2281" spans="5:9" x14ac:dyDescent="0.3">
      <c r="E2281" t="str">
        <f>IFERROR(IF(D2281="","",VLOOKUP(D2281,CadProd!$A:$B,2,0)),"")</f>
        <v/>
      </c>
      <c r="F2281" t="str">
        <f>IFERROR(IF(D2281="","",VLOOKUP(D2281,CadProd!$A:$C,3,0)),"")</f>
        <v/>
      </c>
      <c r="I2281" s="1" t="str">
        <f t="shared" si="35"/>
        <v/>
      </c>
    </row>
    <row r="2282" spans="5:9" x14ac:dyDescent="0.3">
      <c r="E2282" t="str">
        <f>IFERROR(IF(D2282="","",VLOOKUP(D2282,CadProd!$A:$B,2,0)),"")</f>
        <v/>
      </c>
      <c r="F2282" t="str">
        <f>IFERROR(IF(D2282="","",VLOOKUP(D2282,CadProd!$A:$C,3,0)),"")</f>
        <v/>
      </c>
      <c r="I2282" s="1" t="str">
        <f t="shared" si="35"/>
        <v/>
      </c>
    </row>
    <row r="2283" spans="5:9" x14ac:dyDescent="0.3">
      <c r="E2283" t="str">
        <f>IFERROR(IF(D2283="","",VLOOKUP(D2283,CadProd!$A:$B,2,0)),"")</f>
        <v/>
      </c>
      <c r="F2283" t="str">
        <f>IFERROR(IF(D2283="","",VLOOKUP(D2283,CadProd!$A:$C,3,0)),"")</f>
        <v/>
      </c>
      <c r="I2283" s="1" t="str">
        <f t="shared" si="35"/>
        <v/>
      </c>
    </row>
    <row r="2284" spans="5:9" x14ac:dyDescent="0.3">
      <c r="E2284" t="str">
        <f>IFERROR(IF(D2284="","",VLOOKUP(D2284,CadProd!$A:$B,2,0)),"")</f>
        <v/>
      </c>
      <c r="F2284" t="str">
        <f>IFERROR(IF(D2284="","",VLOOKUP(D2284,CadProd!$A:$C,3,0)),"")</f>
        <v/>
      </c>
      <c r="I2284" s="1" t="str">
        <f t="shared" si="35"/>
        <v/>
      </c>
    </row>
    <row r="2285" spans="5:9" x14ac:dyDescent="0.3">
      <c r="E2285" t="str">
        <f>IFERROR(IF(D2285="","",VLOOKUP(D2285,CadProd!$A:$B,2,0)),"")</f>
        <v/>
      </c>
      <c r="F2285" t="str">
        <f>IFERROR(IF(D2285="","",VLOOKUP(D2285,CadProd!$A:$C,3,0)),"")</f>
        <v/>
      </c>
      <c r="I2285" s="1" t="str">
        <f t="shared" si="35"/>
        <v/>
      </c>
    </row>
    <row r="2286" spans="5:9" x14ac:dyDescent="0.3">
      <c r="E2286" t="str">
        <f>IFERROR(IF(D2286="","",VLOOKUP(D2286,CadProd!$A:$B,2,0)),"")</f>
        <v/>
      </c>
      <c r="F2286" t="str">
        <f>IFERROR(IF(D2286="","",VLOOKUP(D2286,CadProd!$A:$C,3,0)),"")</f>
        <v/>
      </c>
      <c r="I2286" s="1" t="str">
        <f t="shared" si="35"/>
        <v/>
      </c>
    </row>
    <row r="2287" spans="5:9" x14ac:dyDescent="0.3">
      <c r="E2287" t="str">
        <f>IFERROR(IF(D2287="","",VLOOKUP(D2287,CadProd!$A:$B,2,0)),"")</f>
        <v/>
      </c>
      <c r="F2287" t="str">
        <f>IFERROR(IF(D2287="","",VLOOKUP(D2287,CadProd!$A:$C,3,0)),"")</f>
        <v/>
      </c>
      <c r="I2287" s="1" t="str">
        <f t="shared" si="35"/>
        <v/>
      </c>
    </row>
    <row r="2288" spans="5:9" x14ac:dyDescent="0.3">
      <c r="E2288" t="str">
        <f>IFERROR(IF(D2288="","",VLOOKUP(D2288,CadProd!$A:$B,2,0)),"")</f>
        <v/>
      </c>
      <c r="F2288" t="str">
        <f>IFERROR(IF(D2288="","",VLOOKUP(D2288,CadProd!$A:$C,3,0)),"")</f>
        <v/>
      </c>
      <c r="I2288" s="1" t="str">
        <f t="shared" si="35"/>
        <v/>
      </c>
    </row>
    <row r="2289" spans="5:9" x14ac:dyDescent="0.3">
      <c r="E2289" t="str">
        <f>IFERROR(IF(D2289="","",VLOOKUP(D2289,CadProd!$A:$B,2,0)),"")</f>
        <v/>
      </c>
      <c r="F2289" t="str">
        <f>IFERROR(IF(D2289="","",VLOOKUP(D2289,CadProd!$A:$C,3,0)),"")</f>
        <v/>
      </c>
      <c r="I2289" s="1" t="str">
        <f t="shared" si="35"/>
        <v/>
      </c>
    </row>
    <row r="2290" spans="5:9" x14ac:dyDescent="0.3">
      <c r="E2290" t="str">
        <f>IFERROR(IF(D2290="","",VLOOKUP(D2290,CadProd!$A:$B,2,0)),"")</f>
        <v/>
      </c>
      <c r="F2290" t="str">
        <f>IFERROR(IF(D2290="","",VLOOKUP(D2290,CadProd!$A:$C,3,0)),"")</f>
        <v/>
      </c>
      <c r="I2290" s="1" t="str">
        <f t="shared" si="35"/>
        <v/>
      </c>
    </row>
    <row r="2291" spans="5:9" x14ac:dyDescent="0.3">
      <c r="E2291" t="str">
        <f>IFERROR(IF(D2291="","",VLOOKUP(D2291,CadProd!$A:$B,2,0)),"")</f>
        <v/>
      </c>
      <c r="F2291" t="str">
        <f>IFERROR(IF(D2291="","",VLOOKUP(D2291,CadProd!$A:$C,3,0)),"")</f>
        <v/>
      </c>
      <c r="I2291" s="1" t="str">
        <f t="shared" si="35"/>
        <v/>
      </c>
    </row>
    <row r="2292" spans="5:9" x14ac:dyDescent="0.3">
      <c r="E2292" t="str">
        <f>IFERROR(IF(D2292="","",VLOOKUP(D2292,CadProd!$A:$B,2,0)),"")</f>
        <v/>
      </c>
      <c r="F2292" t="str">
        <f>IFERROR(IF(D2292="","",VLOOKUP(D2292,CadProd!$A:$C,3,0)),"")</f>
        <v/>
      </c>
      <c r="I2292" s="1" t="str">
        <f t="shared" si="35"/>
        <v/>
      </c>
    </row>
    <row r="2293" spans="5:9" x14ac:dyDescent="0.3">
      <c r="E2293" t="str">
        <f>IFERROR(IF(D2293="","",VLOOKUP(D2293,CadProd!$A:$B,2,0)),"")</f>
        <v/>
      </c>
      <c r="F2293" t="str">
        <f>IFERROR(IF(D2293="","",VLOOKUP(D2293,CadProd!$A:$C,3,0)),"")</f>
        <v/>
      </c>
      <c r="I2293" s="1" t="str">
        <f t="shared" si="35"/>
        <v/>
      </c>
    </row>
    <row r="2294" spans="5:9" x14ac:dyDescent="0.3">
      <c r="E2294" t="str">
        <f>IFERROR(IF(D2294="","",VLOOKUP(D2294,CadProd!$A:$B,2,0)),"")</f>
        <v/>
      </c>
      <c r="F2294" t="str">
        <f>IFERROR(IF(D2294="","",VLOOKUP(D2294,CadProd!$A:$C,3,0)),"")</f>
        <v/>
      </c>
      <c r="I2294" s="1" t="str">
        <f t="shared" si="35"/>
        <v/>
      </c>
    </row>
    <row r="2295" spans="5:9" x14ac:dyDescent="0.3">
      <c r="E2295" t="str">
        <f>IFERROR(IF(D2295="","",VLOOKUP(D2295,CadProd!$A:$B,2,0)),"")</f>
        <v/>
      </c>
      <c r="F2295" t="str">
        <f>IFERROR(IF(D2295="","",VLOOKUP(D2295,CadProd!$A:$C,3,0)),"")</f>
        <v/>
      </c>
      <c r="I2295" s="1" t="str">
        <f t="shared" si="35"/>
        <v/>
      </c>
    </row>
    <row r="2296" spans="5:9" x14ac:dyDescent="0.3">
      <c r="E2296" t="str">
        <f>IFERROR(IF(D2296="","",VLOOKUP(D2296,CadProd!$A:$B,2,0)),"")</f>
        <v/>
      </c>
      <c r="F2296" t="str">
        <f>IFERROR(IF(D2296="","",VLOOKUP(D2296,CadProd!$A:$C,3,0)),"")</f>
        <v/>
      </c>
      <c r="I2296" s="1" t="str">
        <f t="shared" si="35"/>
        <v/>
      </c>
    </row>
    <row r="2297" spans="5:9" x14ac:dyDescent="0.3">
      <c r="E2297" t="str">
        <f>IFERROR(IF(D2297="","",VLOOKUP(D2297,CadProd!$A:$B,2,0)),"")</f>
        <v/>
      </c>
      <c r="F2297" t="str">
        <f>IFERROR(IF(D2297="","",VLOOKUP(D2297,CadProd!$A:$C,3,0)),"")</f>
        <v/>
      </c>
      <c r="I2297" s="1" t="str">
        <f t="shared" si="35"/>
        <v/>
      </c>
    </row>
    <row r="2298" spans="5:9" x14ac:dyDescent="0.3">
      <c r="E2298" t="str">
        <f>IFERROR(IF(D2298="","",VLOOKUP(D2298,CadProd!$A:$B,2,0)),"")</f>
        <v/>
      </c>
      <c r="F2298" t="str">
        <f>IFERROR(IF(D2298="","",VLOOKUP(D2298,CadProd!$A:$C,3,0)),"")</f>
        <v/>
      </c>
      <c r="I2298" s="1" t="str">
        <f t="shared" si="35"/>
        <v/>
      </c>
    </row>
    <row r="2299" spans="5:9" x14ac:dyDescent="0.3">
      <c r="E2299" t="str">
        <f>IFERROR(IF(D2299="","",VLOOKUP(D2299,CadProd!$A:$B,2,0)),"")</f>
        <v/>
      </c>
      <c r="F2299" t="str">
        <f>IFERROR(IF(D2299="","",VLOOKUP(D2299,CadProd!$A:$C,3,0)),"")</f>
        <v/>
      </c>
      <c r="I2299" s="1" t="str">
        <f t="shared" si="35"/>
        <v/>
      </c>
    </row>
    <row r="2300" spans="5:9" x14ac:dyDescent="0.3">
      <c r="E2300" t="str">
        <f>IFERROR(IF(D2300="","",VLOOKUP(D2300,CadProd!$A:$B,2,0)),"")</f>
        <v/>
      </c>
      <c r="F2300" t="str">
        <f>IFERROR(IF(D2300="","",VLOOKUP(D2300,CadProd!$A:$C,3,0)),"")</f>
        <v/>
      </c>
      <c r="I2300" s="1" t="str">
        <f t="shared" si="35"/>
        <v/>
      </c>
    </row>
    <row r="2301" spans="5:9" x14ac:dyDescent="0.3">
      <c r="E2301" t="str">
        <f>IFERROR(IF(D2301="","",VLOOKUP(D2301,CadProd!$A:$B,2,0)),"")</f>
        <v/>
      </c>
      <c r="F2301" t="str">
        <f>IFERROR(IF(D2301="","",VLOOKUP(D2301,CadProd!$A:$C,3,0)),"")</f>
        <v/>
      </c>
      <c r="I2301" s="1" t="str">
        <f t="shared" si="35"/>
        <v/>
      </c>
    </row>
    <row r="2302" spans="5:9" x14ac:dyDescent="0.3">
      <c r="E2302" t="str">
        <f>IFERROR(IF(D2302="","",VLOOKUP(D2302,CadProd!$A:$B,2,0)),"")</f>
        <v/>
      </c>
      <c r="F2302" t="str">
        <f>IFERROR(IF(D2302="","",VLOOKUP(D2302,CadProd!$A:$C,3,0)),"")</f>
        <v/>
      </c>
      <c r="I2302" s="1" t="str">
        <f t="shared" si="35"/>
        <v/>
      </c>
    </row>
    <row r="2303" spans="5:9" x14ac:dyDescent="0.3">
      <c r="E2303" t="str">
        <f>IFERROR(IF(D2303="","",VLOOKUP(D2303,CadProd!$A:$B,2,0)),"")</f>
        <v/>
      </c>
      <c r="F2303" t="str">
        <f>IFERROR(IF(D2303="","",VLOOKUP(D2303,CadProd!$A:$C,3,0)),"")</f>
        <v/>
      </c>
      <c r="I2303" s="1" t="str">
        <f t="shared" si="35"/>
        <v/>
      </c>
    </row>
    <row r="2304" spans="5:9" x14ac:dyDescent="0.3">
      <c r="E2304" t="str">
        <f>IFERROR(IF(D2304="","",VLOOKUP(D2304,CadProd!$A:$B,2,0)),"")</f>
        <v/>
      </c>
      <c r="F2304" t="str">
        <f>IFERROR(IF(D2304="","",VLOOKUP(D2304,CadProd!$A:$C,3,0)),"")</f>
        <v/>
      </c>
      <c r="I2304" s="1" t="str">
        <f t="shared" si="35"/>
        <v/>
      </c>
    </row>
    <row r="2305" spans="5:9" x14ac:dyDescent="0.3">
      <c r="E2305" t="str">
        <f>IFERROR(IF(D2305="","",VLOOKUP(D2305,CadProd!$A:$B,2,0)),"")</f>
        <v/>
      </c>
      <c r="F2305" t="str">
        <f>IFERROR(IF(D2305="","",VLOOKUP(D2305,CadProd!$A:$C,3,0)),"")</f>
        <v/>
      </c>
      <c r="I2305" s="1" t="str">
        <f t="shared" si="35"/>
        <v/>
      </c>
    </row>
    <row r="2306" spans="5:9" x14ac:dyDescent="0.3">
      <c r="E2306" t="str">
        <f>IFERROR(IF(D2306="","",VLOOKUP(D2306,CadProd!$A:$B,2,0)),"")</f>
        <v/>
      </c>
      <c r="F2306" t="str">
        <f>IFERROR(IF(D2306="","",VLOOKUP(D2306,CadProd!$A:$C,3,0)),"")</f>
        <v/>
      </c>
      <c r="I2306" s="1" t="str">
        <f t="shared" ref="I2306:I2369" si="36">IFERROR(IF(D2306="","",H2306*G2306),"")</f>
        <v/>
      </c>
    </row>
    <row r="2307" spans="5:9" x14ac:dyDescent="0.3">
      <c r="E2307" t="str">
        <f>IFERROR(IF(D2307="","",VLOOKUP(D2307,CadProd!$A:$B,2,0)),"")</f>
        <v/>
      </c>
      <c r="F2307" t="str">
        <f>IFERROR(IF(D2307="","",VLOOKUP(D2307,CadProd!$A:$C,3,0)),"")</f>
        <v/>
      </c>
      <c r="I2307" s="1" t="str">
        <f t="shared" si="36"/>
        <v/>
      </c>
    </row>
    <row r="2308" spans="5:9" x14ac:dyDescent="0.3">
      <c r="E2308" t="str">
        <f>IFERROR(IF(D2308="","",VLOOKUP(D2308,CadProd!$A:$B,2,0)),"")</f>
        <v/>
      </c>
      <c r="F2308" t="str">
        <f>IFERROR(IF(D2308="","",VLOOKUP(D2308,CadProd!$A:$C,3,0)),"")</f>
        <v/>
      </c>
      <c r="I2308" s="1" t="str">
        <f t="shared" si="36"/>
        <v/>
      </c>
    </row>
    <row r="2309" spans="5:9" x14ac:dyDescent="0.3">
      <c r="E2309" t="str">
        <f>IFERROR(IF(D2309="","",VLOOKUP(D2309,CadProd!$A:$B,2,0)),"")</f>
        <v/>
      </c>
      <c r="F2309" t="str">
        <f>IFERROR(IF(D2309="","",VLOOKUP(D2309,CadProd!$A:$C,3,0)),"")</f>
        <v/>
      </c>
      <c r="I2309" s="1" t="str">
        <f t="shared" si="36"/>
        <v/>
      </c>
    </row>
    <row r="2310" spans="5:9" x14ac:dyDescent="0.3">
      <c r="E2310" t="str">
        <f>IFERROR(IF(D2310="","",VLOOKUP(D2310,CadProd!$A:$B,2,0)),"")</f>
        <v/>
      </c>
      <c r="F2310" t="str">
        <f>IFERROR(IF(D2310="","",VLOOKUP(D2310,CadProd!$A:$C,3,0)),"")</f>
        <v/>
      </c>
      <c r="I2310" s="1" t="str">
        <f t="shared" si="36"/>
        <v/>
      </c>
    </row>
    <row r="2311" spans="5:9" x14ac:dyDescent="0.3">
      <c r="E2311" t="str">
        <f>IFERROR(IF(D2311="","",VLOOKUP(D2311,CadProd!$A:$B,2,0)),"")</f>
        <v/>
      </c>
      <c r="F2311" t="str">
        <f>IFERROR(IF(D2311="","",VLOOKUP(D2311,CadProd!$A:$C,3,0)),"")</f>
        <v/>
      </c>
      <c r="I2311" s="1" t="str">
        <f t="shared" si="36"/>
        <v/>
      </c>
    </row>
    <row r="2312" spans="5:9" x14ac:dyDescent="0.3">
      <c r="E2312" t="str">
        <f>IFERROR(IF(D2312="","",VLOOKUP(D2312,CadProd!$A:$B,2,0)),"")</f>
        <v/>
      </c>
      <c r="F2312" t="str">
        <f>IFERROR(IF(D2312="","",VLOOKUP(D2312,CadProd!$A:$C,3,0)),"")</f>
        <v/>
      </c>
      <c r="I2312" s="1" t="str">
        <f t="shared" si="36"/>
        <v/>
      </c>
    </row>
    <row r="2313" spans="5:9" x14ac:dyDescent="0.3">
      <c r="E2313" t="str">
        <f>IFERROR(IF(D2313="","",VLOOKUP(D2313,CadProd!$A:$B,2,0)),"")</f>
        <v/>
      </c>
      <c r="F2313" t="str">
        <f>IFERROR(IF(D2313="","",VLOOKUP(D2313,CadProd!$A:$C,3,0)),"")</f>
        <v/>
      </c>
      <c r="I2313" s="1" t="str">
        <f t="shared" si="36"/>
        <v/>
      </c>
    </row>
    <row r="2314" spans="5:9" x14ac:dyDescent="0.3">
      <c r="E2314" t="str">
        <f>IFERROR(IF(D2314="","",VLOOKUP(D2314,CadProd!$A:$B,2,0)),"")</f>
        <v/>
      </c>
      <c r="F2314" t="str">
        <f>IFERROR(IF(D2314="","",VLOOKUP(D2314,CadProd!$A:$C,3,0)),"")</f>
        <v/>
      </c>
      <c r="I2314" s="1" t="str">
        <f t="shared" si="36"/>
        <v/>
      </c>
    </row>
    <row r="2315" spans="5:9" x14ac:dyDescent="0.3">
      <c r="E2315" t="str">
        <f>IFERROR(IF(D2315="","",VLOOKUP(D2315,CadProd!$A:$B,2,0)),"")</f>
        <v/>
      </c>
      <c r="F2315" t="str">
        <f>IFERROR(IF(D2315="","",VLOOKUP(D2315,CadProd!$A:$C,3,0)),"")</f>
        <v/>
      </c>
      <c r="I2315" s="1" t="str">
        <f t="shared" si="36"/>
        <v/>
      </c>
    </row>
    <row r="2316" spans="5:9" x14ac:dyDescent="0.3">
      <c r="E2316" t="str">
        <f>IFERROR(IF(D2316="","",VLOOKUP(D2316,CadProd!$A:$B,2,0)),"")</f>
        <v/>
      </c>
      <c r="F2316" t="str">
        <f>IFERROR(IF(D2316="","",VLOOKUP(D2316,CadProd!$A:$C,3,0)),"")</f>
        <v/>
      </c>
      <c r="I2316" s="1" t="str">
        <f t="shared" si="36"/>
        <v/>
      </c>
    </row>
    <row r="2317" spans="5:9" x14ac:dyDescent="0.3">
      <c r="E2317" t="str">
        <f>IFERROR(IF(D2317="","",VLOOKUP(D2317,CadProd!$A:$B,2,0)),"")</f>
        <v/>
      </c>
      <c r="F2317" t="str">
        <f>IFERROR(IF(D2317="","",VLOOKUP(D2317,CadProd!$A:$C,3,0)),"")</f>
        <v/>
      </c>
      <c r="I2317" s="1" t="str">
        <f t="shared" si="36"/>
        <v/>
      </c>
    </row>
    <row r="2318" spans="5:9" x14ac:dyDescent="0.3">
      <c r="E2318" t="str">
        <f>IFERROR(IF(D2318="","",VLOOKUP(D2318,CadProd!$A:$B,2,0)),"")</f>
        <v/>
      </c>
      <c r="F2318" t="str">
        <f>IFERROR(IF(D2318="","",VLOOKUP(D2318,CadProd!$A:$C,3,0)),"")</f>
        <v/>
      </c>
      <c r="I2318" s="1" t="str">
        <f t="shared" si="36"/>
        <v/>
      </c>
    </row>
    <row r="2319" spans="5:9" x14ac:dyDescent="0.3">
      <c r="E2319" t="str">
        <f>IFERROR(IF(D2319="","",VLOOKUP(D2319,CadProd!$A:$B,2,0)),"")</f>
        <v/>
      </c>
      <c r="F2319" t="str">
        <f>IFERROR(IF(D2319="","",VLOOKUP(D2319,CadProd!$A:$C,3,0)),"")</f>
        <v/>
      </c>
      <c r="I2319" s="1" t="str">
        <f t="shared" si="36"/>
        <v/>
      </c>
    </row>
    <row r="2320" spans="5:9" x14ac:dyDescent="0.3">
      <c r="E2320" t="str">
        <f>IFERROR(IF(D2320="","",VLOOKUP(D2320,CadProd!$A:$B,2,0)),"")</f>
        <v/>
      </c>
      <c r="F2320" t="str">
        <f>IFERROR(IF(D2320="","",VLOOKUP(D2320,CadProd!$A:$C,3,0)),"")</f>
        <v/>
      </c>
      <c r="I2320" s="1" t="str">
        <f t="shared" si="36"/>
        <v/>
      </c>
    </row>
    <row r="2321" spans="5:9" x14ac:dyDescent="0.3">
      <c r="E2321" t="str">
        <f>IFERROR(IF(D2321="","",VLOOKUP(D2321,CadProd!$A:$B,2,0)),"")</f>
        <v/>
      </c>
      <c r="F2321" t="str">
        <f>IFERROR(IF(D2321="","",VLOOKUP(D2321,CadProd!$A:$C,3,0)),"")</f>
        <v/>
      </c>
      <c r="I2321" s="1" t="str">
        <f t="shared" si="36"/>
        <v/>
      </c>
    </row>
    <row r="2322" spans="5:9" x14ac:dyDescent="0.3">
      <c r="E2322" t="str">
        <f>IFERROR(IF(D2322="","",VLOOKUP(D2322,CadProd!$A:$B,2,0)),"")</f>
        <v/>
      </c>
      <c r="F2322" t="str">
        <f>IFERROR(IF(D2322="","",VLOOKUP(D2322,CadProd!$A:$C,3,0)),"")</f>
        <v/>
      </c>
      <c r="I2322" s="1" t="str">
        <f t="shared" si="36"/>
        <v/>
      </c>
    </row>
    <row r="2323" spans="5:9" x14ac:dyDescent="0.3">
      <c r="E2323" t="str">
        <f>IFERROR(IF(D2323="","",VLOOKUP(D2323,CadProd!$A:$B,2,0)),"")</f>
        <v/>
      </c>
      <c r="F2323" t="str">
        <f>IFERROR(IF(D2323="","",VLOOKUP(D2323,CadProd!$A:$C,3,0)),"")</f>
        <v/>
      </c>
      <c r="I2323" s="1" t="str">
        <f t="shared" si="36"/>
        <v/>
      </c>
    </row>
    <row r="2324" spans="5:9" x14ac:dyDescent="0.3">
      <c r="E2324" t="str">
        <f>IFERROR(IF(D2324="","",VLOOKUP(D2324,CadProd!$A:$B,2,0)),"")</f>
        <v/>
      </c>
      <c r="F2324" t="str">
        <f>IFERROR(IF(D2324="","",VLOOKUP(D2324,CadProd!$A:$C,3,0)),"")</f>
        <v/>
      </c>
      <c r="I2324" s="1" t="str">
        <f t="shared" si="36"/>
        <v/>
      </c>
    </row>
    <row r="2325" spans="5:9" x14ac:dyDescent="0.3">
      <c r="E2325" t="str">
        <f>IFERROR(IF(D2325="","",VLOOKUP(D2325,CadProd!$A:$B,2,0)),"")</f>
        <v/>
      </c>
      <c r="F2325" t="str">
        <f>IFERROR(IF(D2325="","",VLOOKUP(D2325,CadProd!$A:$C,3,0)),"")</f>
        <v/>
      </c>
      <c r="I2325" s="1" t="str">
        <f t="shared" si="36"/>
        <v/>
      </c>
    </row>
    <row r="2326" spans="5:9" x14ac:dyDescent="0.3">
      <c r="E2326" t="str">
        <f>IFERROR(IF(D2326="","",VLOOKUP(D2326,CadProd!$A:$B,2,0)),"")</f>
        <v/>
      </c>
      <c r="F2326" t="str">
        <f>IFERROR(IF(D2326="","",VLOOKUP(D2326,CadProd!$A:$C,3,0)),"")</f>
        <v/>
      </c>
      <c r="I2326" s="1" t="str">
        <f t="shared" si="36"/>
        <v/>
      </c>
    </row>
    <row r="2327" spans="5:9" x14ac:dyDescent="0.3">
      <c r="E2327" t="str">
        <f>IFERROR(IF(D2327="","",VLOOKUP(D2327,CadProd!$A:$B,2,0)),"")</f>
        <v/>
      </c>
      <c r="F2327" t="str">
        <f>IFERROR(IF(D2327="","",VLOOKUP(D2327,CadProd!$A:$C,3,0)),"")</f>
        <v/>
      </c>
      <c r="I2327" s="1" t="str">
        <f t="shared" si="36"/>
        <v/>
      </c>
    </row>
    <row r="2328" spans="5:9" x14ac:dyDescent="0.3">
      <c r="E2328" t="str">
        <f>IFERROR(IF(D2328="","",VLOOKUP(D2328,CadProd!$A:$B,2,0)),"")</f>
        <v/>
      </c>
      <c r="F2328" t="str">
        <f>IFERROR(IF(D2328="","",VLOOKUP(D2328,CadProd!$A:$C,3,0)),"")</f>
        <v/>
      </c>
      <c r="I2328" s="1" t="str">
        <f t="shared" si="36"/>
        <v/>
      </c>
    </row>
    <row r="2329" spans="5:9" x14ac:dyDescent="0.3">
      <c r="E2329" t="str">
        <f>IFERROR(IF(D2329="","",VLOOKUP(D2329,CadProd!$A:$B,2,0)),"")</f>
        <v/>
      </c>
      <c r="F2329" t="str">
        <f>IFERROR(IF(D2329="","",VLOOKUP(D2329,CadProd!$A:$C,3,0)),"")</f>
        <v/>
      </c>
      <c r="I2329" s="1" t="str">
        <f t="shared" si="36"/>
        <v/>
      </c>
    </row>
    <row r="2330" spans="5:9" x14ac:dyDescent="0.3">
      <c r="E2330" t="str">
        <f>IFERROR(IF(D2330="","",VLOOKUP(D2330,CadProd!$A:$B,2,0)),"")</f>
        <v/>
      </c>
      <c r="F2330" t="str">
        <f>IFERROR(IF(D2330="","",VLOOKUP(D2330,CadProd!$A:$C,3,0)),"")</f>
        <v/>
      </c>
      <c r="I2330" s="1" t="str">
        <f t="shared" si="36"/>
        <v/>
      </c>
    </row>
    <row r="2331" spans="5:9" x14ac:dyDescent="0.3">
      <c r="E2331" t="str">
        <f>IFERROR(IF(D2331="","",VLOOKUP(D2331,CadProd!$A:$B,2,0)),"")</f>
        <v/>
      </c>
      <c r="F2331" t="str">
        <f>IFERROR(IF(D2331="","",VLOOKUP(D2331,CadProd!$A:$C,3,0)),"")</f>
        <v/>
      </c>
      <c r="I2331" s="1" t="str">
        <f t="shared" si="36"/>
        <v/>
      </c>
    </row>
    <row r="2332" spans="5:9" x14ac:dyDescent="0.3">
      <c r="E2332" t="str">
        <f>IFERROR(IF(D2332="","",VLOOKUP(D2332,CadProd!$A:$B,2,0)),"")</f>
        <v/>
      </c>
      <c r="F2332" t="str">
        <f>IFERROR(IF(D2332="","",VLOOKUP(D2332,CadProd!$A:$C,3,0)),"")</f>
        <v/>
      </c>
      <c r="I2332" s="1" t="str">
        <f t="shared" si="36"/>
        <v/>
      </c>
    </row>
    <row r="2333" spans="5:9" x14ac:dyDescent="0.3">
      <c r="E2333" t="str">
        <f>IFERROR(IF(D2333="","",VLOOKUP(D2333,CadProd!$A:$B,2,0)),"")</f>
        <v/>
      </c>
      <c r="F2333" t="str">
        <f>IFERROR(IF(D2333="","",VLOOKUP(D2333,CadProd!$A:$C,3,0)),"")</f>
        <v/>
      </c>
      <c r="I2333" s="1" t="str">
        <f t="shared" si="36"/>
        <v/>
      </c>
    </row>
    <row r="2334" spans="5:9" x14ac:dyDescent="0.3">
      <c r="E2334" t="str">
        <f>IFERROR(IF(D2334="","",VLOOKUP(D2334,CadProd!$A:$B,2,0)),"")</f>
        <v/>
      </c>
      <c r="F2334" t="str">
        <f>IFERROR(IF(D2334="","",VLOOKUP(D2334,CadProd!$A:$C,3,0)),"")</f>
        <v/>
      </c>
      <c r="I2334" s="1" t="str">
        <f t="shared" si="36"/>
        <v/>
      </c>
    </row>
    <row r="2335" spans="5:9" x14ac:dyDescent="0.3">
      <c r="E2335" t="str">
        <f>IFERROR(IF(D2335="","",VLOOKUP(D2335,CadProd!$A:$B,2,0)),"")</f>
        <v/>
      </c>
      <c r="F2335" t="str">
        <f>IFERROR(IF(D2335="","",VLOOKUP(D2335,CadProd!$A:$C,3,0)),"")</f>
        <v/>
      </c>
      <c r="I2335" s="1" t="str">
        <f t="shared" si="36"/>
        <v/>
      </c>
    </row>
    <row r="2336" spans="5:9" x14ac:dyDescent="0.3">
      <c r="E2336" t="str">
        <f>IFERROR(IF(D2336="","",VLOOKUP(D2336,CadProd!$A:$B,2,0)),"")</f>
        <v/>
      </c>
      <c r="F2336" t="str">
        <f>IFERROR(IF(D2336="","",VLOOKUP(D2336,CadProd!$A:$C,3,0)),"")</f>
        <v/>
      </c>
      <c r="I2336" s="1" t="str">
        <f t="shared" si="36"/>
        <v/>
      </c>
    </row>
    <row r="2337" spans="5:9" x14ac:dyDescent="0.3">
      <c r="E2337" t="str">
        <f>IFERROR(IF(D2337="","",VLOOKUP(D2337,CadProd!$A:$B,2,0)),"")</f>
        <v/>
      </c>
      <c r="F2337" t="str">
        <f>IFERROR(IF(D2337="","",VLOOKUP(D2337,CadProd!$A:$C,3,0)),"")</f>
        <v/>
      </c>
      <c r="I2337" s="1" t="str">
        <f t="shared" si="36"/>
        <v/>
      </c>
    </row>
    <row r="2338" spans="5:9" x14ac:dyDescent="0.3">
      <c r="E2338" t="str">
        <f>IFERROR(IF(D2338="","",VLOOKUP(D2338,CadProd!$A:$B,2,0)),"")</f>
        <v/>
      </c>
      <c r="F2338" t="str">
        <f>IFERROR(IF(D2338="","",VLOOKUP(D2338,CadProd!$A:$C,3,0)),"")</f>
        <v/>
      </c>
      <c r="I2338" s="1" t="str">
        <f t="shared" si="36"/>
        <v/>
      </c>
    </row>
    <row r="2339" spans="5:9" x14ac:dyDescent="0.3">
      <c r="E2339" t="str">
        <f>IFERROR(IF(D2339="","",VLOOKUP(D2339,CadProd!$A:$B,2,0)),"")</f>
        <v/>
      </c>
      <c r="F2339" t="str">
        <f>IFERROR(IF(D2339="","",VLOOKUP(D2339,CadProd!$A:$C,3,0)),"")</f>
        <v/>
      </c>
      <c r="I2339" s="1" t="str">
        <f t="shared" si="36"/>
        <v/>
      </c>
    </row>
    <row r="2340" spans="5:9" x14ac:dyDescent="0.3">
      <c r="E2340" t="str">
        <f>IFERROR(IF(D2340="","",VLOOKUP(D2340,CadProd!$A:$B,2,0)),"")</f>
        <v/>
      </c>
      <c r="F2340" t="str">
        <f>IFERROR(IF(D2340="","",VLOOKUP(D2340,CadProd!$A:$C,3,0)),"")</f>
        <v/>
      </c>
      <c r="I2340" s="1" t="str">
        <f t="shared" si="36"/>
        <v/>
      </c>
    </row>
    <row r="2341" spans="5:9" x14ac:dyDescent="0.3">
      <c r="E2341" t="str">
        <f>IFERROR(IF(D2341="","",VLOOKUP(D2341,CadProd!$A:$B,2,0)),"")</f>
        <v/>
      </c>
      <c r="F2341" t="str">
        <f>IFERROR(IF(D2341="","",VLOOKUP(D2341,CadProd!$A:$C,3,0)),"")</f>
        <v/>
      </c>
      <c r="I2341" s="1" t="str">
        <f t="shared" si="36"/>
        <v/>
      </c>
    </row>
    <row r="2342" spans="5:9" x14ac:dyDescent="0.3">
      <c r="E2342" t="str">
        <f>IFERROR(IF(D2342="","",VLOOKUP(D2342,CadProd!$A:$B,2,0)),"")</f>
        <v/>
      </c>
      <c r="F2342" t="str">
        <f>IFERROR(IF(D2342="","",VLOOKUP(D2342,CadProd!$A:$C,3,0)),"")</f>
        <v/>
      </c>
      <c r="I2342" s="1" t="str">
        <f t="shared" si="36"/>
        <v/>
      </c>
    </row>
    <row r="2343" spans="5:9" x14ac:dyDescent="0.3">
      <c r="E2343" t="str">
        <f>IFERROR(IF(D2343="","",VLOOKUP(D2343,CadProd!$A:$B,2,0)),"")</f>
        <v/>
      </c>
      <c r="F2343" t="str">
        <f>IFERROR(IF(D2343="","",VLOOKUP(D2343,CadProd!$A:$C,3,0)),"")</f>
        <v/>
      </c>
      <c r="I2343" s="1" t="str">
        <f t="shared" si="36"/>
        <v/>
      </c>
    </row>
    <row r="2344" spans="5:9" x14ac:dyDescent="0.3">
      <c r="E2344" t="str">
        <f>IFERROR(IF(D2344="","",VLOOKUP(D2344,CadProd!$A:$B,2,0)),"")</f>
        <v/>
      </c>
      <c r="F2344" t="str">
        <f>IFERROR(IF(D2344="","",VLOOKUP(D2344,CadProd!$A:$C,3,0)),"")</f>
        <v/>
      </c>
      <c r="I2344" s="1" t="str">
        <f t="shared" si="36"/>
        <v/>
      </c>
    </row>
    <row r="2345" spans="5:9" x14ac:dyDescent="0.3">
      <c r="E2345" t="str">
        <f>IFERROR(IF(D2345="","",VLOOKUP(D2345,CadProd!$A:$B,2,0)),"")</f>
        <v/>
      </c>
      <c r="F2345" t="str">
        <f>IFERROR(IF(D2345="","",VLOOKUP(D2345,CadProd!$A:$C,3,0)),"")</f>
        <v/>
      </c>
      <c r="I2345" s="1" t="str">
        <f t="shared" si="36"/>
        <v/>
      </c>
    </row>
    <row r="2346" spans="5:9" x14ac:dyDescent="0.3">
      <c r="E2346" t="str">
        <f>IFERROR(IF(D2346="","",VLOOKUP(D2346,CadProd!$A:$B,2,0)),"")</f>
        <v/>
      </c>
      <c r="F2346" t="str">
        <f>IFERROR(IF(D2346="","",VLOOKUP(D2346,CadProd!$A:$C,3,0)),"")</f>
        <v/>
      </c>
      <c r="I2346" s="1" t="str">
        <f t="shared" si="36"/>
        <v/>
      </c>
    </row>
    <row r="2347" spans="5:9" x14ac:dyDescent="0.3">
      <c r="E2347" t="str">
        <f>IFERROR(IF(D2347="","",VLOOKUP(D2347,CadProd!$A:$B,2,0)),"")</f>
        <v/>
      </c>
      <c r="F2347" t="str">
        <f>IFERROR(IF(D2347="","",VLOOKUP(D2347,CadProd!$A:$C,3,0)),"")</f>
        <v/>
      </c>
      <c r="I2347" s="1" t="str">
        <f t="shared" si="36"/>
        <v/>
      </c>
    </row>
    <row r="2348" spans="5:9" x14ac:dyDescent="0.3">
      <c r="E2348" t="str">
        <f>IFERROR(IF(D2348="","",VLOOKUP(D2348,CadProd!$A:$B,2,0)),"")</f>
        <v/>
      </c>
      <c r="F2348" t="str">
        <f>IFERROR(IF(D2348="","",VLOOKUP(D2348,CadProd!$A:$C,3,0)),"")</f>
        <v/>
      </c>
      <c r="I2348" s="1" t="str">
        <f t="shared" si="36"/>
        <v/>
      </c>
    </row>
    <row r="2349" spans="5:9" x14ac:dyDescent="0.3">
      <c r="E2349" t="str">
        <f>IFERROR(IF(D2349="","",VLOOKUP(D2349,CadProd!$A:$B,2,0)),"")</f>
        <v/>
      </c>
      <c r="F2349" t="str">
        <f>IFERROR(IF(D2349="","",VLOOKUP(D2349,CadProd!$A:$C,3,0)),"")</f>
        <v/>
      </c>
      <c r="I2349" s="1" t="str">
        <f t="shared" si="36"/>
        <v/>
      </c>
    </row>
    <row r="2350" spans="5:9" x14ac:dyDescent="0.3">
      <c r="E2350" t="str">
        <f>IFERROR(IF(D2350="","",VLOOKUP(D2350,CadProd!$A:$B,2,0)),"")</f>
        <v/>
      </c>
      <c r="F2350" t="str">
        <f>IFERROR(IF(D2350="","",VLOOKUP(D2350,CadProd!$A:$C,3,0)),"")</f>
        <v/>
      </c>
      <c r="I2350" s="1" t="str">
        <f t="shared" si="36"/>
        <v/>
      </c>
    </row>
    <row r="2351" spans="5:9" x14ac:dyDescent="0.3">
      <c r="E2351" t="str">
        <f>IFERROR(IF(D2351="","",VLOOKUP(D2351,CadProd!$A:$B,2,0)),"")</f>
        <v/>
      </c>
      <c r="F2351" t="str">
        <f>IFERROR(IF(D2351="","",VLOOKUP(D2351,CadProd!$A:$C,3,0)),"")</f>
        <v/>
      </c>
      <c r="I2351" s="1" t="str">
        <f t="shared" si="36"/>
        <v/>
      </c>
    </row>
    <row r="2352" spans="5:9" x14ac:dyDescent="0.3">
      <c r="E2352" t="str">
        <f>IFERROR(IF(D2352="","",VLOOKUP(D2352,CadProd!$A:$B,2,0)),"")</f>
        <v/>
      </c>
      <c r="F2352" t="str">
        <f>IFERROR(IF(D2352="","",VLOOKUP(D2352,CadProd!$A:$C,3,0)),"")</f>
        <v/>
      </c>
      <c r="I2352" s="1" t="str">
        <f t="shared" si="36"/>
        <v/>
      </c>
    </row>
    <row r="2353" spans="5:9" x14ac:dyDescent="0.3">
      <c r="E2353" t="str">
        <f>IFERROR(IF(D2353="","",VLOOKUP(D2353,CadProd!$A:$B,2,0)),"")</f>
        <v/>
      </c>
      <c r="F2353" t="str">
        <f>IFERROR(IF(D2353="","",VLOOKUP(D2353,CadProd!$A:$C,3,0)),"")</f>
        <v/>
      </c>
      <c r="I2353" s="1" t="str">
        <f t="shared" si="36"/>
        <v/>
      </c>
    </row>
    <row r="2354" spans="5:9" x14ac:dyDescent="0.3">
      <c r="E2354" t="str">
        <f>IFERROR(IF(D2354="","",VLOOKUP(D2354,CadProd!$A:$B,2,0)),"")</f>
        <v/>
      </c>
      <c r="F2354" t="str">
        <f>IFERROR(IF(D2354="","",VLOOKUP(D2354,CadProd!$A:$C,3,0)),"")</f>
        <v/>
      </c>
      <c r="I2354" s="1" t="str">
        <f t="shared" si="36"/>
        <v/>
      </c>
    </row>
    <row r="2355" spans="5:9" x14ac:dyDescent="0.3">
      <c r="E2355" t="str">
        <f>IFERROR(IF(D2355="","",VLOOKUP(D2355,CadProd!$A:$B,2,0)),"")</f>
        <v/>
      </c>
      <c r="F2355" t="str">
        <f>IFERROR(IF(D2355="","",VLOOKUP(D2355,CadProd!$A:$C,3,0)),"")</f>
        <v/>
      </c>
      <c r="I2355" s="1" t="str">
        <f t="shared" si="36"/>
        <v/>
      </c>
    </row>
    <row r="2356" spans="5:9" x14ac:dyDescent="0.3">
      <c r="E2356" t="str">
        <f>IFERROR(IF(D2356="","",VLOOKUP(D2356,CadProd!$A:$B,2,0)),"")</f>
        <v/>
      </c>
      <c r="F2356" t="str">
        <f>IFERROR(IF(D2356="","",VLOOKUP(D2356,CadProd!$A:$C,3,0)),"")</f>
        <v/>
      </c>
      <c r="I2356" s="1" t="str">
        <f t="shared" si="36"/>
        <v/>
      </c>
    </row>
    <row r="2357" spans="5:9" x14ac:dyDescent="0.3">
      <c r="E2357" t="str">
        <f>IFERROR(IF(D2357="","",VLOOKUP(D2357,CadProd!$A:$B,2,0)),"")</f>
        <v/>
      </c>
      <c r="F2357" t="str">
        <f>IFERROR(IF(D2357="","",VLOOKUP(D2357,CadProd!$A:$C,3,0)),"")</f>
        <v/>
      </c>
      <c r="I2357" s="1" t="str">
        <f t="shared" si="36"/>
        <v/>
      </c>
    </row>
    <row r="2358" spans="5:9" x14ac:dyDescent="0.3">
      <c r="E2358" t="str">
        <f>IFERROR(IF(D2358="","",VLOOKUP(D2358,CadProd!$A:$B,2,0)),"")</f>
        <v/>
      </c>
      <c r="F2358" t="str">
        <f>IFERROR(IF(D2358="","",VLOOKUP(D2358,CadProd!$A:$C,3,0)),"")</f>
        <v/>
      </c>
      <c r="I2358" s="1" t="str">
        <f t="shared" si="36"/>
        <v/>
      </c>
    </row>
    <row r="2359" spans="5:9" x14ac:dyDescent="0.3">
      <c r="E2359" t="str">
        <f>IFERROR(IF(D2359="","",VLOOKUP(D2359,CadProd!$A:$B,2,0)),"")</f>
        <v/>
      </c>
      <c r="F2359" t="str">
        <f>IFERROR(IF(D2359="","",VLOOKUP(D2359,CadProd!$A:$C,3,0)),"")</f>
        <v/>
      </c>
      <c r="I2359" s="1" t="str">
        <f t="shared" si="36"/>
        <v/>
      </c>
    </row>
    <row r="2360" spans="5:9" x14ac:dyDescent="0.3">
      <c r="E2360" t="str">
        <f>IFERROR(IF(D2360="","",VLOOKUP(D2360,CadProd!$A:$B,2,0)),"")</f>
        <v/>
      </c>
      <c r="F2360" t="str">
        <f>IFERROR(IF(D2360="","",VLOOKUP(D2360,CadProd!$A:$C,3,0)),"")</f>
        <v/>
      </c>
      <c r="I2360" s="1" t="str">
        <f t="shared" si="36"/>
        <v/>
      </c>
    </row>
    <row r="2361" spans="5:9" x14ac:dyDescent="0.3">
      <c r="E2361" t="str">
        <f>IFERROR(IF(D2361="","",VLOOKUP(D2361,CadProd!$A:$B,2,0)),"")</f>
        <v/>
      </c>
      <c r="F2361" t="str">
        <f>IFERROR(IF(D2361="","",VLOOKUP(D2361,CadProd!$A:$C,3,0)),"")</f>
        <v/>
      </c>
      <c r="I2361" s="1" t="str">
        <f t="shared" si="36"/>
        <v/>
      </c>
    </row>
    <row r="2362" spans="5:9" x14ac:dyDescent="0.3">
      <c r="E2362" t="str">
        <f>IFERROR(IF(D2362="","",VLOOKUP(D2362,CadProd!$A:$B,2,0)),"")</f>
        <v/>
      </c>
      <c r="F2362" t="str">
        <f>IFERROR(IF(D2362="","",VLOOKUP(D2362,CadProd!$A:$C,3,0)),"")</f>
        <v/>
      </c>
      <c r="I2362" s="1" t="str">
        <f t="shared" si="36"/>
        <v/>
      </c>
    </row>
    <row r="2363" spans="5:9" x14ac:dyDescent="0.3">
      <c r="E2363" t="str">
        <f>IFERROR(IF(D2363="","",VLOOKUP(D2363,CadProd!$A:$B,2,0)),"")</f>
        <v/>
      </c>
      <c r="F2363" t="str">
        <f>IFERROR(IF(D2363="","",VLOOKUP(D2363,CadProd!$A:$C,3,0)),"")</f>
        <v/>
      </c>
      <c r="I2363" s="1" t="str">
        <f t="shared" si="36"/>
        <v/>
      </c>
    </row>
    <row r="2364" spans="5:9" x14ac:dyDescent="0.3">
      <c r="E2364" t="str">
        <f>IFERROR(IF(D2364="","",VLOOKUP(D2364,CadProd!$A:$B,2,0)),"")</f>
        <v/>
      </c>
      <c r="F2364" t="str">
        <f>IFERROR(IF(D2364="","",VLOOKUP(D2364,CadProd!$A:$C,3,0)),"")</f>
        <v/>
      </c>
      <c r="I2364" s="1" t="str">
        <f t="shared" si="36"/>
        <v/>
      </c>
    </row>
    <row r="2365" spans="5:9" x14ac:dyDescent="0.3">
      <c r="E2365" t="str">
        <f>IFERROR(IF(D2365="","",VLOOKUP(D2365,CadProd!$A:$B,2,0)),"")</f>
        <v/>
      </c>
      <c r="F2365" t="str">
        <f>IFERROR(IF(D2365="","",VLOOKUP(D2365,CadProd!$A:$C,3,0)),"")</f>
        <v/>
      </c>
      <c r="I2365" s="1" t="str">
        <f t="shared" si="36"/>
        <v/>
      </c>
    </row>
    <row r="2366" spans="5:9" x14ac:dyDescent="0.3">
      <c r="E2366" t="str">
        <f>IFERROR(IF(D2366="","",VLOOKUP(D2366,CadProd!$A:$B,2,0)),"")</f>
        <v/>
      </c>
      <c r="F2366" t="str">
        <f>IFERROR(IF(D2366="","",VLOOKUP(D2366,CadProd!$A:$C,3,0)),"")</f>
        <v/>
      </c>
      <c r="I2366" s="1" t="str">
        <f t="shared" si="36"/>
        <v/>
      </c>
    </row>
    <row r="2367" spans="5:9" x14ac:dyDescent="0.3">
      <c r="E2367" t="str">
        <f>IFERROR(IF(D2367="","",VLOOKUP(D2367,CadProd!$A:$B,2,0)),"")</f>
        <v/>
      </c>
      <c r="F2367" t="str">
        <f>IFERROR(IF(D2367="","",VLOOKUP(D2367,CadProd!$A:$C,3,0)),"")</f>
        <v/>
      </c>
      <c r="I2367" s="1" t="str">
        <f t="shared" si="36"/>
        <v/>
      </c>
    </row>
    <row r="2368" spans="5:9" x14ac:dyDescent="0.3">
      <c r="E2368" t="str">
        <f>IFERROR(IF(D2368="","",VLOOKUP(D2368,CadProd!$A:$B,2,0)),"")</f>
        <v/>
      </c>
      <c r="F2368" t="str">
        <f>IFERROR(IF(D2368="","",VLOOKUP(D2368,CadProd!$A:$C,3,0)),"")</f>
        <v/>
      </c>
      <c r="I2368" s="1" t="str">
        <f t="shared" si="36"/>
        <v/>
      </c>
    </row>
    <row r="2369" spans="5:9" x14ac:dyDescent="0.3">
      <c r="E2369" t="str">
        <f>IFERROR(IF(D2369="","",VLOOKUP(D2369,CadProd!$A:$B,2,0)),"")</f>
        <v/>
      </c>
      <c r="F2369" t="str">
        <f>IFERROR(IF(D2369="","",VLOOKUP(D2369,CadProd!$A:$C,3,0)),"")</f>
        <v/>
      </c>
      <c r="I2369" s="1" t="str">
        <f t="shared" si="36"/>
        <v/>
      </c>
    </row>
    <row r="2370" spans="5:9" x14ac:dyDescent="0.3">
      <c r="E2370" t="str">
        <f>IFERROR(IF(D2370="","",VLOOKUP(D2370,CadProd!$A:$B,2,0)),"")</f>
        <v/>
      </c>
      <c r="F2370" t="str">
        <f>IFERROR(IF(D2370="","",VLOOKUP(D2370,CadProd!$A:$C,3,0)),"")</f>
        <v/>
      </c>
      <c r="I2370" s="1" t="str">
        <f t="shared" ref="I2370:I2433" si="37">IFERROR(IF(D2370="","",H2370*G2370),"")</f>
        <v/>
      </c>
    </row>
    <row r="2371" spans="5:9" x14ac:dyDescent="0.3">
      <c r="E2371" t="str">
        <f>IFERROR(IF(D2371="","",VLOOKUP(D2371,CadProd!$A:$B,2,0)),"")</f>
        <v/>
      </c>
      <c r="F2371" t="str">
        <f>IFERROR(IF(D2371="","",VLOOKUP(D2371,CadProd!$A:$C,3,0)),"")</f>
        <v/>
      </c>
      <c r="I2371" s="1" t="str">
        <f t="shared" si="37"/>
        <v/>
      </c>
    </row>
    <row r="2372" spans="5:9" x14ac:dyDescent="0.3">
      <c r="E2372" t="str">
        <f>IFERROR(IF(D2372="","",VLOOKUP(D2372,CadProd!$A:$B,2,0)),"")</f>
        <v/>
      </c>
      <c r="F2372" t="str">
        <f>IFERROR(IF(D2372="","",VLOOKUP(D2372,CadProd!$A:$C,3,0)),"")</f>
        <v/>
      </c>
      <c r="I2372" s="1" t="str">
        <f t="shared" si="37"/>
        <v/>
      </c>
    </row>
    <row r="2373" spans="5:9" x14ac:dyDescent="0.3">
      <c r="E2373" t="str">
        <f>IFERROR(IF(D2373="","",VLOOKUP(D2373,CadProd!$A:$B,2,0)),"")</f>
        <v/>
      </c>
      <c r="F2373" t="str">
        <f>IFERROR(IF(D2373="","",VLOOKUP(D2373,CadProd!$A:$C,3,0)),"")</f>
        <v/>
      </c>
      <c r="I2373" s="1" t="str">
        <f t="shared" si="37"/>
        <v/>
      </c>
    </row>
    <row r="2374" spans="5:9" x14ac:dyDescent="0.3">
      <c r="E2374" t="str">
        <f>IFERROR(IF(D2374="","",VLOOKUP(D2374,CadProd!$A:$B,2,0)),"")</f>
        <v/>
      </c>
      <c r="F2374" t="str">
        <f>IFERROR(IF(D2374="","",VLOOKUP(D2374,CadProd!$A:$C,3,0)),"")</f>
        <v/>
      </c>
      <c r="I2374" s="1" t="str">
        <f t="shared" si="37"/>
        <v/>
      </c>
    </row>
    <row r="2375" spans="5:9" x14ac:dyDescent="0.3">
      <c r="E2375" t="str">
        <f>IFERROR(IF(D2375="","",VLOOKUP(D2375,CadProd!$A:$B,2,0)),"")</f>
        <v/>
      </c>
      <c r="F2375" t="str">
        <f>IFERROR(IF(D2375="","",VLOOKUP(D2375,CadProd!$A:$C,3,0)),"")</f>
        <v/>
      </c>
      <c r="I2375" s="1" t="str">
        <f t="shared" si="37"/>
        <v/>
      </c>
    </row>
    <row r="2376" spans="5:9" x14ac:dyDescent="0.3">
      <c r="E2376" t="str">
        <f>IFERROR(IF(D2376="","",VLOOKUP(D2376,CadProd!$A:$B,2,0)),"")</f>
        <v/>
      </c>
      <c r="F2376" t="str">
        <f>IFERROR(IF(D2376="","",VLOOKUP(D2376,CadProd!$A:$C,3,0)),"")</f>
        <v/>
      </c>
      <c r="I2376" s="1" t="str">
        <f t="shared" si="37"/>
        <v/>
      </c>
    </row>
    <row r="2377" spans="5:9" x14ac:dyDescent="0.3">
      <c r="E2377" t="str">
        <f>IFERROR(IF(D2377="","",VLOOKUP(D2377,CadProd!$A:$B,2,0)),"")</f>
        <v/>
      </c>
      <c r="F2377" t="str">
        <f>IFERROR(IF(D2377="","",VLOOKUP(D2377,CadProd!$A:$C,3,0)),"")</f>
        <v/>
      </c>
      <c r="I2377" s="1" t="str">
        <f t="shared" si="37"/>
        <v/>
      </c>
    </row>
    <row r="2378" spans="5:9" x14ac:dyDescent="0.3">
      <c r="E2378" t="str">
        <f>IFERROR(IF(D2378="","",VLOOKUP(D2378,CadProd!$A:$B,2,0)),"")</f>
        <v/>
      </c>
      <c r="F2378" t="str">
        <f>IFERROR(IF(D2378="","",VLOOKUP(D2378,CadProd!$A:$C,3,0)),"")</f>
        <v/>
      </c>
      <c r="I2378" s="1" t="str">
        <f t="shared" si="37"/>
        <v/>
      </c>
    </row>
    <row r="2379" spans="5:9" x14ac:dyDescent="0.3">
      <c r="E2379" t="str">
        <f>IFERROR(IF(D2379="","",VLOOKUP(D2379,CadProd!$A:$B,2,0)),"")</f>
        <v/>
      </c>
      <c r="F2379" t="str">
        <f>IFERROR(IF(D2379="","",VLOOKUP(D2379,CadProd!$A:$C,3,0)),"")</f>
        <v/>
      </c>
      <c r="I2379" s="1" t="str">
        <f t="shared" si="37"/>
        <v/>
      </c>
    </row>
    <row r="2380" spans="5:9" x14ac:dyDescent="0.3">
      <c r="E2380" t="str">
        <f>IFERROR(IF(D2380="","",VLOOKUP(D2380,CadProd!$A:$B,2,0)),"")</f>
        <v/>
      </c>
      <c r="F2380" t="str">
        <f>IFERROR(IF(D2380="","",VLOOKUP(D2380,CadProd!$A:$C,3,0)),"")</f>
        <v/>
      </c>
      <c r="I2380" s="1" t="str">
        <f t="shared" si="37"/>
        <v/>
      </c>
    </row>
    <row r="2381" spans="5:9" x14ac:dyDescent="0.3">
      <c r="E2381" t="str">
        <f>IFERROR(IF(D2381="","",VLOOKUP(D2381,CadProd!$A:$B,2,0)),"")</f>
        <v/>
      </c>
      <c r="F2381" t="str">
        <f>IFERROR(IF(D2381="","",VLOOKUP(D2381,CadProd!$A:$C,3,0)),"")</f>
        <v/>
      </c>
      <c r="I2381" s="1" t="str">
        <f t="shared" si="37"/>
        <v/>
      </c>
    </row>
    <row r="2382" spans="5:9" x14ac:dyDescent="0.3">
      <c r="E2382" t="str">
        <f>IFERROR(IF(D2382="","",VLOOKUP(D2382,CadProd!$A:$B,2,0)),"")</f>
        <v/>
      </c>
      <c r="F2382" t="str">
        <f>IFERROR(IF(D2382="","",VLOOKUP(D2382,CadProd!$A:$C,3,0)),"")</f>
        <v/>
      </c>
      <c r="I2382" s="1" t="str">
        <f t="shared" si="37"/>
        <v/>
      </c>
    </row>
    <row r="2383" spans="5:9" x14ac:dyDescent="0.3">
      <c r="E2383" t="str">
        <f>IFERROR(IF(D2383="","",VLOOKUP(D2383,CadProd!$A:$B,2,0)),"")</f>
        <v/>
      </c>
      <c r="F2383" t="str">
        <f>IFERROR(IF(D2383="","",VLOOKUP(D2383,CadProd!$A:$C,3,0)),"")</f>
        <v/>
      </c>
      <c r="I2383" s="1" t="str">
        <f t="shared" si="37"/>
        <v/>
      </c>
    </row>
    <row r="2384" spans="5:9" x14ac:dyDescent="0.3">
      <c r="E2384" t="str">
        <f>IFERROR(IF(D2384="","",VLOOKUP(D2384,CadProd!$A:$B,2,0)),"")</f>
        <v/>
      </c>
      <c r="F2384" t="str">
        <f>IFERROR(IF(D2384="","",VLOOKUP(D2384,CadProd!$A:$C,3,0)),"")</f>
        <v/>
      </c>
      <c r="I2384" s="1" t="str">
        <f t="shared" si="37"/>
        <v/>
      </c>
    </row>
    <row r="2385" spans="5:9" x14ac:dyDescent="0.3">
      <c r="E2385" t="str">
        <f>IFERROR(IF(D2385="","",VLOOKUP(D2385,CadProd!$A:$B,2,0)),"")</f>
        <v/>
      </c>
      <c r="F2385" t="str">
        <f>IFERROR(IF(D2385="","",VLOOKUP(D2385,CadProd!$A:$C,3,0)),"")</f>
        <v/>
      </c>
      <c r="I2385" s="1" t="str">
        <f t="shared" si="37"/>
        <v/>
      </c>
    </row>
    <row r="2386" spans="5:9" x14ac:dyDescent="0.3">
      <c r="E2386" t="str">
        <f>IFERROR(IF(D2386="","",VLOOKUP(D2386,CadProd!$A:$B,2,0)),"")</f>
        <v/>
      </c>
      <c r="F2386" t="str">
        <f>IFERROR(IF(D2386="","",VLOOKUP(D2386,CadProd!$A:$C,3,0)),"")</f>
        <v/>
      </c>
      <c r="I2386" s="1" t="str">
        <f t="shared" si="37"/>
        <v/>
      </c>
    </row>
    <row r="2387" spans="5:9" x14ac:dyDescent="0.3">
      <c r="E2387" t="str">
        <f>IFERROR(IF(D2387="","",VLOOKUP(D2387,CadProd!$A:$B,2,0)),"")</f>
        <v/>
      </c>
      <c r="F2387" t="str">
        <f>IFERROR(IF(D2387="","",VLOOKUP(D2387,CadProd!$A:$C,3,0)),"")</f>
        <v/>
      </c>
      <c r="I2387" s="1" t="str">
        <f t="shared" si="37"/>
        <v/>
      </c>
    </row>
    <row r="2388" spans="5:9" x14ac:dyDescent="0.3">
      <c r="E2388" t="str">
        <f>IFERROR(IF(D2388="","",VLOOKUP(D2388,CadProd!$A:$B,2,0)),"")</f>
        <v/>
      </c>
      <c r="F2388" t="str">
        <f>IFERROR(IF(D2388="","",VLOOKUP(D2388,CadProd!$A:$C,3,0)),"")</f>
        <v/>
      </c>
      <c r="I2388" s="1" t="str">
        <f t="shared" si="37"/>
        <v/>
      </c>
    </row>
    <row r="2389" spans="5:9" x14ac:dyDescent="0.3">
      <c r="E2389" t="str">
        <f>IFERROR(IF(D2389="","",VLOOKUP(D2389,CadProd!$A:$B,2,0)),"")</f>
        <v/>
      </c>
      <c r="F2389" t="str">
        <f>IFERROR(IF(D2389="","",VLOOKUP(D2389,CadProd!$A:$C,3,0)),"")</f>
        <v/>
      </c>
      <c r="I2389" s="1" t="str">
        <f t="shared" si="37"/>
        <v/>
      </c>
    </row>
    <row r="2390" spans="5:9" x14ac:dyDescent="0.3">
      <c r="E2390" t="str">
        <f>IFERROR(IF(D2390="","",VLOOKUP(D2390,CadProd!$A:$B,2,0)),"")</f>
        <v/>
      </c>
      <c r="F2390" t="str">
        <f>IFERROR(IF(D2390="","",VLOOKUP(D2390,CadProd!$A:$C,3,0)),"")</f>
        <v/>
      </c>
      <c r="I2390" s="1" t="str">
        <f t="shared" si="37"/>
        <v/>
      </c>
    </row>
    <row r="2391" spans="5:9" x14ac:dyDescent="0.3">
      <c r="E2391" t="str">
        <f>IFERROR(IF(D2391="","",VLOOKUP(D2391,CadProd!$A:$B,2,0)),"")</f>
        <v/>
      </c>
      <c r="F2391" t="str">
        <f>IFERROR(IF(D2391="","",VLOOKUP(D2391,CadProd!$A:$C,3,0)),"")</f>
        <v/>
      </c>
      <c r="I2391" s="1" t="str">
        <f t="shared" si="37"/>
        <v/>
      </c>
    </row>
    <row r="2392" spans="5:9" x14ac:dyDescent="0.3">
      <c r="E2392" t="str">
        <f>IFERROR(IF(D2392="","",VLOOKUP(D2392,CadProd!$A:$B,2,0)),"")</f>
        <v/>
      </c>
      <c r="F2392" t="str">
        <f>IFERROR(IF(D2392="","",VLOOKUP(D2392,CadProd!$A:$C,3,0)),"")</f>
        <v/>
      </c>
      <c r="I2392" s="1" t="str">
        <f t="shared" si="37"/>
        <v/>
      </c>
    </row>
    <row r="2393" spans="5:9" x14ac:dyDescent="0.3">
      <c r="E2393" t="str">
        <f>IFERROR(IF(D2393="","",VLOOKUP(D2393,CadProd!$A:$B,2,0)),"")</f>
        <v/>
      </c>
      <c r="F2393" t="str">
        <f>IFERROR(IF(D2393="","",VLOOKUP(D2393,CadProd!$A:$C,3,0)),"")</f>
        <v/>
      </c>
      <c r="I2393" s="1" t="str">
        <f t="shared" si="37"/>
        <v/>
      </c>
    </row>
    <row r="2394" spans="5:9" x14ac:dyDescent="0.3">
      <c r="E2394" t="str">
        <f>IFERROR(IF(D2394="","",VLOOKUP(D2394,CadProd!$A:$B,2,0)),"")</f>
        <v/>
      </c>
      <c r="F2394" t="str">
        <f>IFERROR(IF(D2394="","",VLOOKUP(D2394,CadProd!$A:$C,3,0)),"")</f>
        <v/>
      </c>
      <c r="I2394" s="1" t="str">
        <f t="shared" si="37"/>
        <v/>
      </c>
    </row>
    <row r="2395" spans="5:9" x14ac:dyDescent="0.3">
      <c r="E2395" t="str">
        <f>IFERROR(IF(D2395="","",VLOOKUP(D2395,CadProd!$A:$B,2,0)),"")</f>
        <v/>
      </c>
      <c r="F2395" t="str">
        <f>IFERROR(IF(D2395="","",VLOOKUP(D2395,CadProd!$A:$C,3,0)),"")</f>
        <v/>
      </c>
      <c r="I2395" s="1" t="str">
        <f t="shared" si="37"/>
        <v/>
      </c>
    </row>
    <row r="2396" spans="5:9" x14ac:dyDescent="0.3">
      <c r="E2396" t="str">
        <f>IFERROR(IF(D2396="","",VLOOKUP(D2396,CadProd!$A:$B,2,0)),"")</f>
        <v/>
      </c>
      <c r="F2396" t="str">
        <f>IFERROR(IF(D2396="","",VLOOKUP(D2396,CadProd!$A:$C,3,0)),"")</f>
        <v/>
      </c>
      <c r="I2396" s="1" t="str">
        <f t="shared" si="37"/>
        <v/>
      </c>
    </row>
    <row r="2397" spans="5:9" x14ac:dyDescent="0.3">
      <c r="E2397" t="str">
        <f>IFERROR(IF(D2397="","",VLOOKUP(D2397,CadProd!$A:$B,2,0)),"")</f>
        <v/>
      </c>
      <c r="F2397" t="str">
        <f>IFERROR(IF(D2397="","",VLOOKUP(D2397,CadProd!$A:$C,3,0)),"")</f>
        <v/>
      </c>
      <c r="I2397" s="1" t="str">
        <f t="shared" si="37"/>
        <v/>
      </c>
    </row>
    <row r="2398" spans="5:9" x14ac:dyDescent="0.3">
      <c r="E2398" t="str">
        <f>IFERROR(IF(D2398="","",VLOOKUP(D2398,CadProd!$A:$B,2,0)),"")</f>
        <v/>
      </c>
      <c r="F2398" t="str">
        <f>IFERROR(IF(D2398="","",VLOOKUP(D2398,CadProd!$A:$C,3,0)),"")</f>
        <v/>
      </c>
      <c r="I2398" s="1" t="str">
        <f t="shared" si="37"/>
        <v/>
      </c>
    </row>
    <row r="2399" spans="5:9" x14ac:dyDescent="0.3">
      <c r="E2399" t="str">
        <f>IFERROR(IF(D2399="","",VLOOKUP(D2399,CadProd!$A:$B,2,0)),"")</f>
        <v/>
      </c>
      <c r="F2399" t="str">
        <f>IFERROR(IF(D2399="","",VLOOKUP(D2399,CadProd!$A:$C,3,0)),"")</f>
        <v/>
      </c>
      <c r="I2399" s="1" t="str">
        <f t="shared" si="37"/>
        <v/>
      </c>
    </row>
    <row r="2400" spans="5:9" x14ac:dyDescent="0.3">
      <c r="E2400" t="str">
        <f>IFERROR(IF(D2400="","",VLOOKUP(D2400,CadProd!$A:$B,2,0)),"")</f>
        <v/>
      </c>
      <c r="F2400" t="str">
        <f>IFERROR(IF(D2400="","",VLOOKUP(D2400,CadProd!$A:$C,3,0)),"")</f>
        <v/>
      </c>
      <c r="I2400" s="1" t="str">
        <f t="shared" si="37"/>
        <v/>
      </c>
    </row>
    <row r="2401" spans="5:9" x14ac:dyDescent="0.3">
      <c r="E2401" t="str">
        <f>IFERROR(IF(D2401="","",VLOOKUP(D2401,CadProd!$A:$B,2,0)),"")</f>
        <v/>
      </c>
      <c r="F2401" t="str">
        <f>IFERROR(IF(D2401="","",VLOOKUP(D2401,CadProd!$A:$C,3,0)),"")</f>
        <v/>
      </c>
      <c r="I2401" s="1" t="str">
        <f t="shared" si="37"/>
        <v/>
      </c>
    </row>
    <row r="2402" spans="5:9" x14ac:dyDescent="0.3">
      <c r="E2402" t="str">
        <f>IFERROR(IF(D2402="","",VLOOKUP(D2402,CadProd!$A:$B,2,0)),"")</f>
        <v/>
      </c>
      <c r="F2402" t="str">
        <f>IFERROR(IF(D2402="","",VLOOKUP(D2402,CadProd!$A:$C,3,0)),"")</f>
        <v/>
      </c>
      <c r="I2402" s="1" t="str">
        <f t="shared" si="37"/>
        <v/>
      </c>
    </row>
    <row r="2403" spans="5:9" x14ac:dyDescent="0.3">
      <c r="E2403" t="str">
        <f>IFERROR(IF(D2403="","",VLOOKUP(D2403,CadProd!$A:$B,2,0)),"")</f>
        <v/>
      </c>
      <c r="F2403" t="str">
        <f>IFERROR(IF(D2403="","",VLOOKUP(D2403,CadProd!$A:$C,3,0)),"")</f>
        <v/>
      </c>
      <c r="I2403" s="1" t="str">
        <f t="shared" si="37"/>
        <v/>
      </c>
    </row>
    <row r="2404" spans="5:9" x14ac:dyDescent="0.3">
      <c r="E2404" t="str">
        <f>IFERROR(IF(D2404="","",VLOOKUP(D2404,CadProd!$A:$B,2,0)),"")</f>
        <v/>
      </c>
      <c r="F2404" t="str">
        <f>IFERROR(IF(D2404="","",VLOOKUP(D2404,CadProd!$A:$C,3,0)),"")</f>
        <v/>
      </c>
      <c r="I2404" s="1" t="str">
        <f t="shared" si="37"/>
        <v/>
      </c>
    </row>
    <row r="2405" spans="5:9" x14ac:dyDescent="0.3">
      <c r="E2405" t="str">
        <f>IFERROR(IF(D2405="","",VLOOKUP(D2405,CadProd!$A:$B,2,0)),"")</f>
        <v/>
      </c>
      <c r="F2405" t="str">
        <f>IFERROR(IF(D2405="","",VLOOKUP(D2405,CadProd!$A:$C,3,0)),"")</f>
        <v/>
      </c>
      <c r="I2405" s="1" t="str">
        <f t="shared" si="37"/>
        <v/>
      </c>
    </row>
    <row r="2406" spans="5:9" x14ac:dyDescent="0.3">
      <c r="E2406" t="str">
        <f>IFERROR(IF(D2406="","",VLOOKUP(D2406,CadProd!$A:$B,2,0)),"")</f>
        <v/>
      </c>
      <c r="F2406" t="str">
        <f>IFERROR(IF(D2406="","",VLOOKUP(D2406,CadProd!$A:$C,3,0)),"")</f>
        <v/>
      </c>
      <c r="I2406" s="1" t="str">
        <f t="shared" si="37"/>
        <v/>
      </c>
    </row>
    <row r="2407" spans="5:9" x14ac:dyDescent="0.3">
      <c r="E2407" t="str">
        <f>IFERROR(IF(D2407="","",VLOOKUP(D2407,CadProd!$A:$B,2,0)),"")</f>
        <v/>
      </c>
      <c r="F2407" t="str">
        <f>IFERROR(IF(D2407="","",VLOOKUP(D2407,CadProd!$A:$C,3,0)),"")</f>
        <v/>
      </c>
      <c r="I2407" s="1" t="str">
        <f t="shared" si="37"/>
        <v/>
      </c>
    </row>
    <row r="2408" spans="5:9" x14ac:dyDescent="0.3">
      <c r="E2408" t="str">
        <f>IFERROR(IF(D2408="","",VLOOKUP(D2408,CadProd!$A:$B,2,0)),"")</f>
        <v/>
      </c>
      <c r="F2408" t="str">
        <f>IFERROR(IF(D2408="","",VLOOKUP(D2408,CadProd!$A:$C,3,0)),"")</f>
        <v/>
      </c>
      <c r="I2408" s="1" t="str">
        <f t="shared" si="37"/>
        <v/>
      </c>
    </row>
    <row r="2409" spans="5:9" x14ac:dyDescent="0.3">
      <c r="E2409" t="str">
        <f>IFERROR(IF(D2409="","",VLOOKUP(D2409,CadProd!$A:$B,2,0)),"")</f>
        <v/>
      </c>
      <c r="F2409" t="str">
        <f>IFERROR(IF(D2409="","",VLOOKUP(D2409,CadProd!$A:$C,3,0)),"")</f>
        <v/>
      </c>
      <c r="I2409" s="1" t="str">
        <f t="shared" si="37"/>
        <v/>
      </c>
    </row>
    <row r="2410" spans="5:9" x14ac:dyDescent="0.3">
      <c r="E2410" t="str">
        <f>IFERROR(IF(D2410="","",VLOOKUP(D2410,CadProd!$A:$B,2,0)),"")</f>
        <v/>
      </c>
      <c r="F2410" t="str">
        <f>IFERROR(IF(D2410="","",VLOOKUP(D2410,CadProd!$A:$C,3,0)),"")</f>
        <v/>
      </c>
      <c r="I2410" s="1" t="str">
        <f t="shared" si="37"/>
        <v/>
      </c>
    </row>
    <row r="2411" spans="5:9" x14ac:dyDescent="0.3">
      <c r="E2411" t="str">
        <f>IFERROR(IF(D2411="","",VLOOKUP(D2411,CadProd!$A:$B,2,0)),"")</f>
        <v/>
      </c>
      <c r="F2411" t="str">
        <f>IFERROR(IF(D2411="","",VLOOKUP(D2411,CadProd!$A:$C,3,0)),"")</f>
        <v/>
      </c>
      <c r="I2411" s="1" t="str">
        <f t="shared" si="37"/>
        <v/>
      </c>
    </row>
    <row r="2412" spans="5:9" x14ac:dyDescent="0.3">
      <c r="E2412" t="str">
        <f>IFERROR(IF(D2412="","",VLOOKUP(D2412,CadProd!$A:$B,2,0)),"")</f>
        <v/>
      </c>
      <c r="F2412" t="str">
        <f>IFERROR(IF(D2412="","",VLOOKUP(D2412,CadProd!$A:$C,3,0)),"")</f>
        <v/>
      </c>
      <c r="I2412" s="1" t="str">
        <f t="shared" si="37"/>
        <v/>
      </c>
    </row>
    <row r="2413" spans="5:9" x14ac:dyDescent="0.3">
      <c r="E2413" t="str">
        <f>IFERROR(IF(D2413="","",VLOOKUP(D2413,CadProd!$A:$B,2,0)),"")</f>
        <v/>
      </c>
      <c r="F2413" t="str">
        <f>IFERROR(IF(D2413="","",VLOOKUP(D2413,CadProd!$A:$C,3,0)),"")</f>
        <v/>
      </c>
      <c r="I2413" s="1" t="str">
        <f t="shared" si="37"/>
        <v/>
      </c>
    </row>
    <row r="2414" spans="5:9" x14ac:dyDescent="0.3">
      <c r="E2414" t="str">
        <f>IFERROR(IF(D2414="","",VLOOKUP(D2414,CadProd!$A:$B,2,0)),"")</f>
        <v/>
      </c>
      <c r="F2414" t="str">
        <f>IFERROR(IF(D2414="","",VLOOKUP(D2414,CadProd!$A:$C,3,0)),"")</f>
        <v/>
      </c>
      <c r="I2414" s="1" t="str">
        <f t="shared" si="37"/>
        <v/>
      </c>
    </row>
    <row r="2415" spans="5:9" x14ac:dyDescent="0.3">
      <c r="E2415" t="str">
        <f>IFERROR(IF(D2415="","",VLOOKUP(D2415,CadProd!$A:$B,2,0)),"")</f>
        <v/>
      </c>
      <c r="F2415" t="str">
        <f>IFERROR(IF(D2415="","",VLOOKUP(D2415,CadProd!$A:$C,3,0)),"")</f>
        <v/>
      </c>
      <c r="I2415" s="1" t="str">
        <f t="shared" si="37"/>
        <v/>
      </c>
    </row>
    <row r="2416" spans="5:9" x14ac:dyDescent="0.3">
      <c r="E2416" t="str">
        <f>IFERROR(IF(D2416="","",VLOOKUP(D2416,CadProd!$A:$B,2,0)),"")</f>
        <v/>
      </c>
      <c r="F2416" t="str">
        <f>IFERROR(IF(D2416="","",VLOOKUP(D2416,CadProd!$A:$C,3,0)),"")</f>
        <v/>
      </c>
      <c r="I2416" s="1" t="str">
        <f t="shared" si="37"/>
        <v/>
      </c>
    </row>
    <row r="2417" spans="5:9" x14ac:dyDescent="0.3">
      <c r="E2417" t="str">
        <f>IFERROR(IF(D2417="","",VLOOKUP(D2417,CadProd!$A:$B,2,0)),"")</f>
        <v/>
      </c>
      <c r="F2417" t="str">
        <f>IFERROR(IF(D2417="","",VLOOKUP(D2417,CadProd!$A:$C,3,0)),"")</f>
        <v/>
      </c>
      <c r="I2417" s="1" t="str">
        <f t="shared" si="37"/>
        <v/>
      </c>
    </row>
    <row r="2418" spans="5:9" x14ac:dyDescent="0.3">
      <c r="E2418" t="str">
        <f>IFERROR(IF(D2418="","",VLOOKUP(D2418,CadProd!$A:$B,2,0)),"")</f>
        <v/>
      </c>
      <c r="F2418" t="str">
        <f>IFERROR(IF(D2418="","",VLOOKUP(D2418,CadProd!$A:$C,3,0)),"")</f>
        <v/>
      </c>
      <c r="I2418" s="1" t="str">
        <f t="shared" si="37"/>
        <v/>
      </c>
    </row>
    <row r="2419" spans="5:9" x14ac:dyDescent="0.3">
      <c r="E2419" t="str">
        <f>IFERROR(IF(D2419="","",VLOOKUP(D2419,CadProd!$A:$B,2,0)),"")</f>
        <v/>
      </c>
      <c r="F2419" t="str">
        <f>IFERROR(IF(D2419="","",VLOOKUP(D2419,CadProd!$A:$C,3,0)),"")</f>
        <v/>
      </c>
      <c r="I2419" s="1" t="str">
        <f t="shared" si="37"/>
        <v/>
      </c>
    </row>
    <row r="2420" spans="5:9" x14ac:dyDescent="0.3">
      <c r="E2420" t="str">
        <f>IFERROR(IF(D2420="","",VLOOKUP(D2420,CadProd!$A:$B,2,0)),"")</f>
        <v/>
      </c>
      <c r="F2420" t="str">
        <f>IFERROR(IF(D2420="","",VLOOKUP(D2420,CadProd!$A:$C,3,0)),"")</f>
        <v/>
      </c>
      <c r="I2420" s="1" t="str">
        <f t="shared" si="37"/>
        <v/>
      </c>
    </row>
    <row r="2421" spans="5:9" x14ac:dyDescent="0.3">
      <c r="E2421" t="str">
        <f>IFERROR(IF(D2421="","",VLOOKUP(D2421,CadProd!$A:$B,2,0)),"")</f>
        <v/>
      </c>
      <c r="F2421" t="str">
        <f>IFERROR(IF(D2421="","",VLOOKUP(D2421,CadProd!$A:$C,3,0)),"")</f>
        <v/>
      </c>
      <c r="I2421" s="1" t="str">
        <f t="shared" si="37"/>
        <v/>
      </c>
    </row>
    <row r="2422" spans="5:9" x14ac:dyDescent="0.3">
      <c r="E2422" t="str">
        <f>IFERROR(IF(D2422="","",VLOOKUP(D2422,CadProd!$A:$B,2,0)),"")</f>
        <v/>
      </c>
      <c r="F2422" t="str">
        <f>IFERROR(IF(D2422="","",VLOOKUP(D2422,CadProd!$A:$C,3,0)),"")</f>
        <v/>
      </c>
      <c r="I2422" s="1" t="str">
        <f t="shared" si="37"/>
        <v/>
      </c>
    </row>
    <row r="2423" spans="5:9" x14ac:dyDescent="0.3">
      <c r="E2423" t="str">
        <f>IFERROR(IF(D2423="","",VLOOKUP(D2423,CadProd!$A:$B,2,0)),"")</f>
        <v/>
      </c>
      <c r="F2423" t="str">
        <f>IFERROR(IF(D2423="","",VLOOKUP(D2423,CadProd!$A:$C,3,0)),"")</f>
        <v/>
      </c>
      <c r="I2423" s="1" t="str">
        <f t="shared" si="37"/>
        <v/>
      </c>
    </row>
    <row r="2424" spans="5:9" x14ac:dyDescent="0.3">
      <c r="E2424" t="str">
        <f>IFERROR(IF(D2424="","",VLOOKUP(D2424,CadProd!$A:$B,2,0)),"")</f>
        <v/>
      </c>
      <c r="F2424" t="str">
        <f>IFERROR(IF(D2424="","",VLOOKUP(D2424,CadProd!$A:$C,3,0)),"")</f>
        <v/>
      </c>
      <c r="I2424" s="1" t="str">
        <f t="shared" si="37"/>
        <v/>
      </c>
    </row>
    <row r="2425" spans="5:9" x14ac:dyDescent="0.3">
      <c r="E2425" t="str">
        <f>IFERROR(IF(D2425="","",VLOOKUP(D2425,CadProd!$A:$B,2,0)),"")</f>
        <v/>
      </c>
      <c r="F2425" t="str">
        <f>IFERROR(IF(D2425="","",VLOOKUP(D2425,CadProd!$A:$C,3,0)),"")</f>
        <v/>
      </c>
      <c r="I2425" s="1" t="str">
        <f t="shared" si="37"/>
        <v/>
      </c>
    </row>
    <row r="2426" spans="5:9" x14ac:dyDescent="0.3">
      <c r="E2426" t="str">
        <f>IFERROR(IF(D2426="","",VLOOKUP(D2426,CadProd!$A:$B,2,0)),"")</f>
        <v/>
      </c>
      <c r="F2426" t="str">
        <f>IFERROR(IF(D2426="","",VLOOKUP(D2426,CadProd!$A:$C,3,0)),"")</f>
        <v/>
      </c>
      <c r="I2426" s="1" t="str">
        <f t="shared" si="37"/>
        <v/>
      </c>
    </row>
    <row r="2427" spans="5:9" x14ac:dyDescent="0.3">
      <c r="E2427" t="str">
        <f>IFERROR(IF(D2427="","",VLOOKUP(D2427,CadProd!$A:$B,2,0)),"")</f>
        <v/>
      </c>
      <c r="F2427" t="str">
        <f>IFERROR(IF(D2427="","",VLOOKUP(D2427,CadProd!$A:$C,3,0)),"")</f>
        <v/>
      </c>
      <c r="I2427" s="1" t="str">
        <f t="shared" si="37"/>
        <v/>
      </c>
    </row>
    <row r="2428" spans="5:9" x14ac:dyDescent="0.3">
      <c r="E2428" t="str">
        <f>IFERROR(IF(D2428="","",VLOOKUP(D2428,CadProd!$A:$B,2,0)),"")</f>
        <v/>
      </c>
      <c r="F2428" t="str">
        <f>IFERROR(IF(D2428="","",VLOOKUP(D2428,CadProd!$A:$C,3,0)),"")</f>
        <v/>
      </c>
      <c r="I2428" s="1" t="str">
        <f t="shared" si="37"/>
        <v/>
      </c>
    </row>
    <row r="2429" spans="5:9" x14ac:dyDescent="0.3">
      <c r="E2429" t="str">
        <f>IFERROR(IF(D2429="","",VLOOKUP(D2429,CadProd!$A:$B,2,0)),"")</f>
        <v/>
      </c>
      <c r="F2429" t="str">
        <f>IFERROR(IF(D2429="","",VLOOKUP(D2429,CadProd!$A:$C,3,0)),"")</f>
        <v/>
      </c>
      <c r="I2429" s="1" t="str">
        <f t="shared" si="37"/>
        <v/>
      </c>
    </row>
    <row r="2430" spans="5:9" x14ac:dyDescent="0.3">
      <c r="E2430" t="str">
        <f>IFERROR(IF(D2430="","",VLOOKUP(D2430,CadProd!$A:$B,2,0)),"")</f>
        <v/>
      </c>
      <c r="F2430" t="str">
        <f>IFERROR(IF(D2430="","",VLOOKUP(D2430,CadProd!$A:$C,3,0)),"")</f>
        <v/>
      </c>
      <c r="I2430" s="1" t="str">
        <f t="shared" si="37"/>
        <v/>
      </c>
    </row>
    <row r="2431" spans="5:9" x14ac:dyDescent="0.3">
      <c r="E2431" t="str">
        <f>IFERROR(IF(D2431="","",VLOOKUP(D2431,CadProd!$A:$B,2,0)),"")</f>
        <v/>
      </c>
      <c r="F2431" t="str">
        <f>IFERROR(IF(D2431="","",VLOOKUP(D2431,CadProd!$A:$C,3,0)),"")</f>
        <v/>
      </c>
      <c r="I2431" s="1" t="str">
        <f t="shared" si="37"/>
        <v/>
      </c>
    </row>
    <row r="2432" spans="5:9" x14ac:dyDescent="0.3">
      <c r="E2432" t="str">
        <f>IFERROR(IF(D2432="","",VLOOKUP(D2432,CadProd!$A:$B,2,0)),"")</f>
        <v/>
      </c>
      <c r="F2432" t="str">
        <f>IFERROR(IF(D2432="","",VLOOKUP(D2432,CadProd!$A:$C,3,0)),"")</f>
        <v/>
      </c>
      <c r="I2432" s="1" t="str">
        <f t="shared" si="37"/>
        <v/>
      </c>
    </row>
    <row r="2433" spans="5:9" x14ac:dyDescent="0.3">
      <c r="E2433" t="str">
        <f>IFERROR(IF(D2433="","",VLOOKUP(D2433,CadProd!$A:$B,2,0)),"")</f>
        <v/>
      </c>
      <c r="F2433" t="str">
        <f>IFERROR(IF(D2433="","",VLOOKUP(D2433,CadProd!$A:$C,3,0)),"")</f>
        <v/>
      </c>
      <c r="I2433" s="1" t="str">
        <f t="shared" si="37"/>
        <v/>
      </c>
    </row>
    <row r="2434" spans="5:9" x14ac:dyDescent="0.3">
      <c r="E2434" t="str">
        <f>IFERROR(IF(D2434="","",VLOOKUP(D2434,CadProd!$A:$B,2,0)),"")</f>
        <v/>
      </c>
      <c r="F2434" t="str">
        <f>IFERROR(IF(D2434="","",VLOOKUP(D2434,CadProd!$A:$C,3,0)),"")</f>
        <v/>
      </c>
      <c r="I2434" s="1" t="str">
        <f t="shared" ref="I2434:I2497" si="38">IFERROR(IF(D2434="","",H2434*G2434),"")</f>
        <v/>
      </c>
    </row>
    <row r="2435" spans="5:9" x14ac:dyDescent="0.3">
      <c r="E2435" t="str">
        <f>IFERROR(IF(D2435="","",VLOOKUP(D2435,CadProd!$A:$B,2,0)),"")</f>
        <v/>
      </c>
      <c r="F2435" t="str">
        <f>IFERROR(IF(D2435="","",VLOOKUP(D2435,CadProd!$A:$C,3,0)),"")</f>
        <v/>
      </c>
      <c r="I2435" s="1" t="str">
        <f t="shared" si="38"/>
        <v/>
      </c>
    </row>
    <row r="2436" spans="5:9" x14ac:dyDescent="0.3">
      <c r="E2436" t="str">
        <f>IFERROR(IF(D2436="","",VLOOKUP(D2436,CadProd!$A:$B,2,0)),"")</f>
        <v/>
      </c>
      <c r="F2436" t="str">
        <f>IFERROR(IF(D2436="","",VLOOKUP(D2436,CadProd!$A:$C,3,0)),"")</f>
        <v/>
      </c>
      <c r="I2436" s="1" t="str">
        <f t="shared" si="38"/>
        <v/>
      </c>
    </row>
    <row r="2437" spans="5:9" x14ac:dyDescent="0.3">
      <c r="E2437" t="str">
        <f>IFERROR(IF(D2437="","",VLOOKUP(D2437,CadProd!$A:$B,2,0)),"")</f>
        <v/>
      </c>
      <c r="F2437" t="str">
        <f>IFERROR(IF(D2437="","",VLOOKUP(D2437,CadProd!$A:$C,3,0)),"")</f>
        <v/>
      </c>
      <c r="I2437" s="1" t="str">
        <f t="shared" si="38"/>
        <v/>
      </c>
    </row>
    <row r="2438" spans="5:9" x14ac:dyDescent="0.3">
      <c r="E2438" t="str">
        <f>IFERROR(IF(D2438="","",VLOOKUP(D2438,CadProd!$A:$B,2,0)),"")</f>
        <v/>
      </c>
      <c r="F2438" t="str">
        <f>IFERROR(IF(D2438="","",VLOOKUP(D2438,CadProd!$A:$C,3,0)),"")</f>
        <v/>
      </c>
      <c r="I2438" s="1" t="str">
        <f t="shared" si="38"/>
        <v/>
      </c>
    </row>
    <row r="2439" spans="5:9" x14ac:dyDescent="0.3">
      <c r="E2439" t="str">
        <f>IFERROR(IF(D2439="","",VLOOKUP(D2439,CadProd!$A:$B,2,0)),"")</f>
        <v/>
      </c>
      <c r="F2439" t="str">
        <f>IFERROR(IF(D2439="","",VLOOKUP(D2439,CadProd!$A:$C,3,0)),"")</f>
        <v/>
      </c>
      <c r="I2439" s="1" t="str">
        <f t="shared" si="38"/>
        <v/>
      </c>
    </row>
    <row r="2440" spans="5:9" x14ac:dyDescent="0.3">
      <c r="E2440" t="str">
        <f>IFERROR(IF(D2440="","",VLOOKUP(D2440,CadProd!$A:$B,2,0)),"")</f>
        <v/>
      </c>
      <c r="F2440" t="str">
        <f>IFERROR(IF(D2440="","",VLOOKUP(D2440,CadProd!$A:$C,3,0)),"")</f>
        <v/>
      </c>
      <c r="I2440" s="1" t="str">
        <f t="shared" si="38"/>
        <v/>
      </c>
    </row>
    <row r="2441" spans="5:9" x14ac:dyDescent="0.3">
      <c r="E2441" t="str">
        <f>IFERROR(IF(D2441="","",VLOOKUP(D2441,CadProd!$A:$B,2,0)),"")</f>
        <v/>
      </c>
      <c r="F2441" t="str">
        <f>IFERROR(IF(D2441="","",VLOOKUP(D2441,CadProd!$A:$C,3,0)),"")</f>
        <v/>
      </c>
      <c r="I2441" s="1" t="str">
        <f t="shared" si="38"/>
        <v/>
      </c>
    </row>
    <row r="2442" spans="5:9" x14ac:dyDescent="0.3">
      <c r="E2442" t="str">
        <f>IFERROR(IF(D2442="","",VLOOKUP(D2442,CadProd!$A:$B,2,0)),"")</f>
        <v/>
      </c>
      <c r="F2442" t="str">
        <f>IFERROR(IF(D2442="","",VLOOKUP(D2442,CadProd!$A:$C,3,0)),"")</f>
        <v/>
      </c>
      <c r="I2442" s="1" t="str">
        <f t="shared" si="38"/>
        <v/>
      </c>
    </row>
    <row r="2443" spans="5:9" x14ac:dyDescent="0.3">
      <c r="E2443" t="str">
        <f>IFERROR(IF(D2443="","",VLOOKUP(D2443,CadProd!$A:$B,2,0)),"")</f>
        <v/>
      </c>
      <c r="F2443" t="str">
        <f>IFERROR(IF(D2443="","",VLOOKUP(D2443,CadProd!$A:$C,3,0)),"")</f>
        <v/>
      </c>
      <c r="I2443" s="1" t="str">
        <f t="shared" si="38"/>
        <v/>
      </c>
    </row>
    <row r="2444" spans="5:9" x14ac:dyDescent="0.3">
      <c r="E2444" t="str">
        <f>IFERROR(IF(D2444="","",VLOOKUP(D2444,CadProd!$A:$B,2,0)),"")</f>
        <v/>
      </c>
      <c r="F2444" t="str">
        <f>IFERROR(IF(D2444="","",VLOOKUP(D2444,CadProd!$A:$C,3,0)),"")</f>
        <v/>
      </c>
      <c r="I2444" s="1" t="str">
        <f t="shared" si="38"/>
        <v/>
      </c>
    </row>
    <row r="2445" spans="5:9" x14ac:dyDescent="0.3">
      <c r="E2445" t="str">
        <f>IFERROR(IF(D2445="","",VLOOKUP(D2445,CadProd!$A:$B,2,0)),"")</f>
        <v/>
      </c>
      <c r="F2445" t="str">
        <f>IFERROR(IF(D2445="","",VLOOKUP(D2445,CadProd!$A:$C,3,0)),"")</f>
        <v/>
      </c>
      <c r="I2445" s="1" t="str">
        <f t="shared" si="38"/>
        <v/>
      </c>
    </row>
    <row r="2446" spans="5:9" x14ac:dyDescent="0.3">
      <c r="E2446" t="str">
        <f>IFERROR(IF(D2446="","",VLOOKUP(D2446,CadProd!$A:$B,2,0)),"")</f>
        <v/>
      </c>
      <c r="F2446" t="str">
        <f>IFERROR(IF(D2446="","",VLOOKUP(D2446,CadProd!$A:$C,3,0)),"")</f>
        <v/>
      </c>
      <c r="I2446" s="1" t="str">
        <f t="shared" si="38"/>
        <v/>
      </c>
    </row>
    <row r="2447" spans="5:9" x14ac:dyDescent="0.3">
      <c r="E2447" t="str">
        <f>IFERROR(IF(D2447="","",VLOOKUP(D2447,CadProd!$A:$B,2,0)),"")</f>
        <v/>
      </c>
      <c r="F2447" t="str">
        <f>IFERROR(IF(D2447="","",VLOOKUP(D2447,CadProd!$A:$C,3,0)),"")</f>
        <v/>
      </c>
      <c r="I2447" s="1" t="str">
        <f t="shared" si="38"/>
        <v/>
      </c>
    </row>
    <row r="2448" spans="5:9" x14ac:dyDescent="0.3">
      <c r="E2448" t="str">
        <f>IFERROR(IF(D2448="","",VLOOKUP(D2448,CadProd!$A:$B,2,0)),"")</f>
        <v/>
      </c>
      <c r="F2448" t="str">
        <f>IFERROR(IF(D2448="","",VLOOKUP(D2448,CadProd!$A:$C,3,0)),"")</f>
        <v/>
      </c>
      <c r="I2448" s="1" t="str">
        <f t="shared" si="38"/>
        <v/>
      </c>
    </row>
    <row r="2449" spans="5:9" x14ac:dyDescent="0.3">
      <c r="E2449" t="str">
        <f>IFERROR(IF(D2449="","",VLOOKUP(D2449,CadProd!$A:$B,2,0)),"")</f>
        <v/>
      </c>
      <c r="F2449" t="str">
        <f>IFERROR(IF(D2449="","",VLOOKUP(D2449,CadProd!$A:$C,3,0)),"")</f>
        <v/>
      </c>
      <c r="I2449" s="1" t="str">
        <f t="shared" si="38"/>
        <v/>
      </c>
    </row>
    <row r="2450" spans="5:9" x14ac:dyDescent="0.3">
      <c r="E2450" t="str">
        <f>IFERROR(IF(D2450="","",VLOOKUP(D2450,CadProd!$A:$B,2,0)),"")</f>
        <v/>
      </c>
      <c r="F2450" t="str">
        <f>IFERROR(IF(D2450="","",VLOOKUP(D2450,CadProd!$A:$C,3,0)),"")</f>
        <v/>
      </c>
      <c r="I2450" s="1" t="str">
        <f t="shared" si="38"/>
        <v/>
      </c>
    </row>
    <row r="2451" spans="5:9" x14ac:dyDescent="0.3">
      <c r="E2451" t="str">
        <f>IFERROR(IF(D2451="","",VLOOKUP(D2451,CadProd!$A:$B,2,0)),"")</f>
        <v/>
      </c>
      <c r="F2451" t="str">
        <f>IFERROR(IF(D2451="","",VLOOKUP(D2451,CadProd!$A:$C,3,0)),"")</f>
        <v/>
      </c>
      <c r="I2451" s="1" t="str">
        <f t="shared" si="38"/>
        <v/>
      </c>
    </row>
    <row r="2452" spans="5:9" x14ac:dyDescent="0.3">
      <c r="E2452" t="str">
        <f>IFERROR(IF(D2452="","",VLOOKUP(D2452,CadProd!$A:$B,2,0)),"")</f>
        <v/>
      </c>
      <c r="F2452" t="str">
        <f>IFERROR(IF(D2452="","",VLOOKUP(D2452,CadProd!$A:$C,3,0)),"")</f>
        <v/>
      </c>
      <c r="I2452" s="1" t="str">
        <f t="shared" si="38"/>
        <v/>
      </c>
    </row>
    <row r="2453" spans="5:9" x14ac:dyDescent="0.3">
      <c r="E2453" t="str">
        <f>IFERROR(IF(D2453="","",VLOOKUP(D2453,CadProd!$A:$B,2,0)),"")</f>
        <v/>
      </c>
      <c r="F2453" t="str">
        <f>IFERROR(IF(D2453="","",VLOOKUP(D2453,CadProd!$A:$C,3,0)),"")</f>
        <v/>
      </c>
      <c r="I2453" s="1" t="str">
        <f t="shared" si="38"/>
        <v/>
      </c>
    </row>
    <row r="2454" spans="5:9" x14ac:dyDescent="0.3">
      <c r="E2454" t="str">
        <f>IFERROR(IF(D2454="","",VLOOKUP(D2454,CadProd!$A:$B,2,0)),"")</f>
        <v/>
      </c>
      <c r="F2454" t="str">
        <f>IFERROR(IF(D2454="","",VLOOKUP(D2454,CadProd!$A:$C,3,0)),"")</f>
        <v/>
      </c>
      <c r="I2454" s="1" t="str">
        <f t="shared" si="38"/>
        <v/>
      </c>
    </row>
    <row r="2455" spans="5:9" x14ac:dyDescent="0.3">
      <c r="E2455" t="str">
        <f>IFERROR(IF(D2455="","",VLOOKUP(D2455,CadProd!$A:$B,2,0)),"")</f>
        <v/>
      </c>
      <c r="F2455" t="str">
        <f>IFERROR(IF(D2455="","",VLOOKUP(D2455,CadProd!$A:$C,3,0)),"")</f>
        <v/>
      </c>
      <c r="I2455" s="1" t="str">
        <f t="shared" si="38"/>
        <v/>
      </c>
    </row>
    <row r="2456" spans="5:9" x14ac:dyDescent="0.3">
      <c r="E2456" t="str">
        <f>IFERROR(IF(D2456="","",VLOOKUP(D2456,CadProd!$A:$B,2,0)),"")</f>
        <v/>
      </c>
      <c r="F2456" t="str">
        <f>IFERROR(IF(D2456="","",VLOOKUP(D2456,CadProd!$A:$C,3,0)),"")</f>
        <v/>
      </c>
      <c r="I2456" s="1" t="str">
        <f t="shared" si="38"/>
        <v/>
      </c>
    </row>
    <row r="2457" spans="5:9" x14ac:dyDescent="0.3">
      <c r="E2457" t="str">
        <f>IFERROR(IF(D2457="","",VLOOKUP(D2457,CadProd!$A:$B,2,0)),"")</f>
        <v/>
      </c>
      <c r="F2457" t="str">
        <f>IFERROR(IF(D2457="","",VLOOKUP(D2457,CadProd!$A:$C,3,0)),"")</f>
        <v/>
      </c>
      <c r="I2457" s="1" t="str">
        <f t="shared" si="38"/>
        <v/>
      </c>
    </row>
    <row r="2458" spans="5:9" x14ac:dyDescent="0.3">
      <c r="E2458" t="str">
        <f>IFERROR(IF(D2458="","",VLOOKUP(D2458,CadProd!$A:$B,2,0)),"")</f>
        <v/>
      </c>
      <c r="F2458" t="str">
        <f>IFERROR(IF(D2458="","",VLOOKUP(D2458,CadProd!$A:$C,3,0)),"")</f>
        <v/>
      </c>
      <c r="I2458" s="1" t="str">
        <f t="shared" si="38"/>
        <v/>
      </c>
    </row>
    <row r="2459" spans="5:9" x14ac:dyDescent="0.3">
      <c r="E2459" t="str">
        <f>IFERROR(IF(D2459="","",VLOOKUP(D2459,CadProd!$A:$B,2,0)),"")</f>
        <v/>
      </c>
      <c r="F2459" t="str">
        <f>IFERROR(IF(D2459="","",VLOOKUP(D2459,CadProd!$A:$C,3,0)),"")</f>
        <v/>
      </c>
      <c r="I2459" s="1" t="str">
        <f t="shared" si="38"/>
        <v/>
      </c>
    </row>
    <row r="2460" spans="5:9" x14ac:dyDescent="0.3">
      <c r="E2460" t="str">
        <f>IFERROR(IF(D2460="","",VLOOKUP(D2460,CadProd!$A:$B,2,0)),"")</f>
        <v/>
      </c>
      <c r="F2460" t="str">
        <f>IFERROR(IF(D2460="","",VLOOKUP(D2460,CadProd!$A:$C,3,0)),"")</f>
        <v/>
      </c>
      <c r="I2460" s="1" t="str">
        <f t="shared" si="38"/>
        <v/>
      </c>
    </row>
    <row r="2461" spans="5:9" x14ac:dyDescent="0.3">
      <c r="E2461" t="str">
        <f>IFERROR(IF(D2461="","",VLOOKUP(D2461,CadProd!$A:$B,2,0)),"")</f>
        <v/>
      </c>
      <c r="F2461" t="str">
        <f>IFERROR(IF(D2461="","",VLOOKUP(D2461,CadProd!$A:$C,3,0)),"")</f>
        <v/>
      </c>
      <c r="I2461" s="1" t="str">
        <f t="shared" si="38"/>
        <v/>
      </c>
    </row>
    <row r="2462" spans="5:9" x14ac:dyDescent="0.3">
      <c r="E2462" t="str">
        <f>IFERROR(IF(D2462="","",VLOOKUP(D2462,CadProd!$A:$B,2,0)),"")</f>
        <v/>
      </c>
      <c r="F2462" t="str">
        <f>IFERROR(IF(D2462="","",VLOOKUP(D2462,CadProd!$A:$C,3,0)),"")</f>
        <v/>
      </c>
      <c r="I2462" s="1" t="str">
        <f t="shared" si="38"/>
        <v/>
      </c>
    </row>
    <row r="2463" spans="5:9" x14ac:dyDescent="0.3">
      <c r="E2463" t="str">
        <f>IFERROR(IF(D2463="","",VLOOKUP(D2463,CadProd!$A:$B,2,0)),"")</f>
        <v/>
      </c>
      <c r="F2463" t="str">
        <f>IFERROR(IF(D2463="","",VLOOKUP(D2463,CadProd!$A:$C,3,0)),"")</f>
        <v/>
      </c>
      <c r="I2463" s="1" t="str">
        <f t="shared" si="38"/>
        <v/>
      </c>
    </row>
    <row r="2464" spans="5:9" x14ac:dyDescent="0.3">
      <c r="E2464" t="str">
        <f>IFERROR(IF(D2464="","",VLOOKUP(D2464,CadProd!$A:$B,2,0)),"")</f>
        <v/>
      </c>
      <c r="F2464" t="str">
        <f>IFERROR(IF(D2464="","",VLOOKUP(D2464,CadProd!$A:$C,3,0)),"")</f>
        <v/>
      </c>
      <c r="I2464" s="1" t="str">
        <f t="shared" si="38"/>
        <v/>
      </c>
    </row>
    <row r="2465" spans="5:9" x14ac:dyDescent="0.3">
      <c r="E2465" t="str">
        <f>IFERROR(IF(D2465="","",VLOOKUP(D2465,CadProd!$A:$B,2,0)),"")</f>
        <v/>
      </c>
      <c r="F2465" t="str">
        <f>IFERROR(IF(D2465="","",VLOOKUP(D2465,CadProd!$A:$C,3,0)),"")</f>
        <v/>
      </c>
      <c r="I2465" s="1" t="str">
        <f t="shared" si="38"/>
        <v/>
      </c>
    </row>
    <row r="2466" spans="5:9" x14ac:dyDescent="0.3">
      <c r="E2466" t="str">
        <f>IFERROR(IF(D2466="","",VLOOKUP(D2466,CadProd!$A:$B,2,0)),"")</f>
        <v/>
      </c>
      <c r="F2466" t="str">
        <f>IFERROR(IF(D2466="","",VLOOKUP(D2466,CadProd!$A:$C,3,0)),"")</f>
        <v/>
      </c>
      <c r="I2466" s="1" t="str">
        <f t="shared" si="38"/>
        <v/>
      </c>
    </row>
    <row r="2467" spans="5:9" x14ac:dyDescent="0.3">
      <c r="E2467" t="str">
        <f>IFERROR(IF(D2467="","",VLOOKUP(D2467,CadProd!$A:$B,2,0)),"")</f>
        <v/>
      </c>
      <c r="F2467" t="str">
        <f>IFERROR(IF(D2467="","",VLOOKUP(D2467,CadProd!$A:$C,3,0)),"")</f>
        <v/>
      </c>
      <c r="I2467" s="1" t="str">
        <f t="shared" si="38"/>
        <v/>
      </c>
    </row>
    <row r="2468" spans="5:9" x14ac:dyDescent="0.3">
      <c r="E2468" t="str">
        <f>IFERROR(IF(D2468="","",VLOOKUP(D2468,CadProd!$A:$B,2,0)),"")</f>
        <v/>
      </c>
      <c r="F2468" t="str">
        <f>IFERROR(IF(D2468="","",VLOOKUP(D2468,CadProd!$A:$C,3,0)),"")</f>
        <v/>
      </c>
      <c r="I2468" s="1" t="str">
        <f t="shared" si="38"/>
        <v/>
      </c>
    </row>
    <row r="2469" spans="5:9" x14ac:dyDescent="0.3">
      <c r="E2469" t="str">
        <f>IFERROR(IF(D2469="","",VLOOKUP(D2469,CadProd!$A:$B,2,0)),"")</f>
        <v/>
      </c>
      <c r="F2469" t="str">
        <f>IFERROR(IF(D2469="","",VLOOKUP(D2469,CadProd!$A:$C,3,0)),"")</f>
        <v/>
      </c>
      <c r="I2469" s="1" t="str">
        <f t="shared" si="38"/>
        <v/>
      </c>
    </row>
    <row r="2470" spans="5:9" x14ac:dyDescent="0.3">
      <c r="E2470" t="str">
        <f>IFERROR(IF(D2470="","",VLOOKUP(D2470,CadProd!$A:$B,2,0)),"")</f>
        <v/>
      </c>
      <c r="F2470" t="str">
        <f>IFERROR(IF(D2470="","",VLOOKUP(D2470,CadProd!$A:$C,3,0)),"")</f>
        <v/>
      </c>
      <c r="I2470" s="1" t="str">
        <f t="shared" si="38"/>
        <v/>
      </c>
    </row>
    <row r="2471" spans="5:9" x14ac:dyDescent="0.3">
      <c r="E2471" t="str">
        <f>IFERROR(IF(D2471="","",VLOOKUP(D2471,CadProd!$A:$B,2,0)),"")</f>
        <v/>
      </c>
      <c r="F2471" t="str">
        <f>IFERROR(IF(D2471="","",VLOOKUP(D2471,CadProd!$A:$C,3,0)),"")</f>
        <v/>
      </c>
      <c r="I2471" s="1" t="str">
        <f t="shared" si="38"/>
        <v/>
      </c>
    </row>
    <row r="2472" spans="5:9" x14ac:dyDescent="0.3">
      <c r="E2472" t="str">
        <f>IFERROR(IF(D2472="","",VLOOKUP(D2472,CadProd!$A:$B,2,0)),"")</f>
        <v/>
      </c>
      <c r="F2472" t="str">
        <f>IFERROR(IF(D2472="","",VLOOKUP(D2472,CadProd!$A:$C,3,0)),"")</f>
        <v/>
      </c>
      <c r="I2472" s="1" t="str">
        <f t="shared" si="38"/>
        <v/>
      </c>
    </row>
    <row r="2473" spans="5:9" x14ac:dyDescent="0.3">
      <c r="E2473" t="str">
        <f>IFERROR(IF(D2473="","",VLOOKUP(D2473,CadProd!$A:$B,2,0)),"")</f>
        <v/>
      </c>
      <c r="F2473" t="str">
        <f>IFERROR(IF(D2473="","",VLOOKUP(D2473,CadProd!$A:$C,3,0)),"")</f>
        <v/>
      </c>
      <c r="I2473" s="1" t="str">
        <f t="shared" si="38"/>
        <v/>
      </c>
    </row>
    <row r="2474" spans="5:9" x14ac:dyDescent="0.3">
      <c r="E2474" t="str">
        <f>IFERROR(IF(D2474="","",VLOOKUP(D2474,CadProd!$A:$B,2,0)),"")</f>
        <v/>
      </c>
      <c r="F2474" t="str">
        <f>IFERROR(IF(D2474="","",VLOOKUP(D2474,CadProd!$A:$C,3,0)),"")</f>
        <v/>
      </c>
      <c r="I2474" s="1" t="str">
        <f t="shared" si="38"/>
        <v/>
      </c>
    </row>
    <row r="2475" spans="5:9" x14ac:dyDescent="0.3">
      <c r="E2475" t="str">
        <f>IFERROR(IF(D2475="","",VLOOKUP(D2475,CadProd!$A:$B,2,0)),"")</f>
        <v/>
      </c>
      <c r="F2475" t="str">
        <f>IFERROR(IF(D2475="","",VLOOKUP(D2475,CadProd!$A:$C,3,0)),"")</f>
        <v/>
      </c>
      <c r="I2475" s="1" t="str">
        <f t="shared" si="38"/>
        <v/>
      </c>
    </row>
    <row r="2476" spans="5:9" x14ac:dyDescent="0.3">
      <c r="E2476" t="str">
        <f>IFERROR(IF(D2476="","",VLOOKUP(D2476,CadProd!$A:$B,2,0)),"")</f>
        <v/>
      </c>
      <c r="F2476" t="str">
        <f>IFERROR(IF(D2476="","",VLOOKUP(D2476,CadProd!$A:$C,3,0)),"")</f>
        <v/>
      </c>
      <c r="I2476" s="1" t="str">
        <f t="shared" si="38"/>
        <v/>
      </c>
    </row>
    <row r="2477" spans="5:9" x14ac:dyDescent="0.3">
      <c r="E2477" t="str">
        <f>IFERROR(IF(D2477="","",VLOOKUP(D2477,CadProd!$A:$B,2,0)),"")</f>
        <v/>
      </c>
      <c r="F2477" t="str">
        <f>IFERROR(IF(D2477="","",VLOOKUP(D2477,CadProd!$A:$C,3,0)),"")</f>
        <v/>
      </c>
      <c r="I2477" s="1" t="str">
        <f t="shared" si="38"/>
        <v/>
      </c>
    </row>
    <row r="2478" spans="5:9" x14ac:dyDescent="0.3">
      <c r="E2478" t="str">
        <f>IFERROR(IF(D2478="","",VLOOKUP(D2478,CadProd!$A:$B,2,0)),"")</f>
        <v/>
      </c>
      <c r="F2478" t="str">
        <f>IFERROR(IF(D2478="","",VLOOKUP(D2478,CadProd!$A:$C,3,0)),"")</f>
        <v/>
      </c>
      <c r="I2478" s="1" t="str">
        <f t="shared" si="38"/>
        <v/>
      </c>
    </row>
    <row r="2479" spans="5:9" x14ac:dyDescent="0.3">
      <c r="E2479" t="str">
        <f>IFERROR(IF(D2479="","",VLOOKUP(D2479,CadProd!$A:$B,2,0)),"")</f>
        <v/>
      </c>
      <c r="F2479" t="str">
        <f>IFERROR(IF(D2479="","",VLOOKUP(D2479,CadProd!$A:$C,3,0)),"")</f>
        <v/>
      </c>
      <c r="I2479" s="1" t="str">
        <f t="shared" si="38"/>
        <v/>
      </c>
    </row>
    <row r="2480" spans="5:9" x14ac:dyDescent="0.3">
      <c r="E2480" t="str">
        <f>IFERROR(IF(D2480="","",VLOOKUP(D2480,CadProd!$A:$B,2,0)),"")</f>
        <v/>
      </c>
      <c r="F2480" t="str">
        <f>IFERROR(IF(D2480="","",VLOOKUP(D2480,CadProd!$A:$C,3,0)),"")</f>
        <v/>
      </c>
      <c r="I2480" s="1" t="str">
        <f t="shared" si="38"/>
        <v/>
      </c>
    </row>
    <row r="2481" spans="5:9" x14ac:dyDescent="0.3">
      <c r="E2481" t="str">
        <f>IFERROR(IF(D2481="","",VLOOKUP(D2481,CadProd!$A:$B,2,0)),"")</f>
        <v/>
      </c>
      <c r="F2481" t="str">
        <f>IFERROR(IF(D2481="","",VLOOKUP(D2481,CadProd!$A:$C,3,0)),"")</f>
        <v/>
      </c>
      <c r="I2481" s="1" t="str">
        <f t="shared" si="38"/>
        <v/>
      </c>
    </row>
    <row r="2482" spans="5:9" x14ac:dyDescent="0.3">
      <c r="E2482" t="str">
        <f>IFERROR(IF(D2482="","",VLOOKUP(D2482,CadProd!$A:$B,2,0)),"")</f>
        <v/>
      </c>
      <c r="F2482" t="str">
        <f>IFERROR(IF(D2482="","",VLOOKUP(D2482,CadProd!$A:$C,3,0)),"")</f>
        <v/>
      </c>
      <c r="I2482" s="1" t="str">
        <f t="shared" si="38"/>
        <v/>
      </c>
    </row>
    <row r="2483" spans="5:9" x14ac:dyDescent="0.3">
      <c r="E2483" t="str">
        <f>IFERROR(IF(D2483="","",VLOOKUP(D2483,CadProd!$A:$B,2,0)),"")</f>
        <v/>
      </c>
      <c r="F2483" t="str">
        <f>IFERROR(IF(D2483="","",VLOOKUP(D2483,CadProd!$A:$C,3,0)),"")</f>
        <v/>
      </c>
      <c r="I2483" s="1" t="str">
        <f t="shared" si="38"/>
        <v/>
      </c>
    </row>
    <row r="2484" spans="5:9" x14ac:dyDescent="0.3">
      <c r="E2484" t="str">
        <f>IFERROR(IF(D2484="","",VLOOKUP(D2484,CadProd!$A:$B,2,0)),"")</f>
        <v/>
      </c>
      <c r="F2484" t="str">
        <f>IFERROR(IF(D2484="","",VLOOKUP(D2484,CadProd!$A:$C,3,0)),"")</f>
        <v/>
      </c>
      <c r="I2484" s="1" t="str">
        <f t="shared" si="38"/>
        <v/>
      </c>
    </row>
    <row r="2485" spans="5:9" x14ac:dyDescent="0.3">
      <c r="E2485" t="str">
        <f>IFERROR(IF(D2485="","",VLOOKUP(D2485,CadProd!$A:$B,2,0)),"")</f>
        <v/>
      </c>
      <c r="F2485" t="str">
        <f>IFERROR(IF(D2485="","",VLOOKUP(D2485,CadProd!$A:$C,3,0)),"")</f>
        <v/>
      </c>
      <c r="I2485" s="1" t="str">
        <f t="shared" si="38"/>
        <v/>
      </c>
    </row>
    <row r="2486" spans="5:9" x14ac:dyDescent="0.3">
      <c r="E2486" t="str">
        <f>IFERROR(IF(D2486="","",VLOOKUP(D2486,CadProd!$A:$B,2,0)),"")</f>
        <v/>
      </c>
      <c r="F2486" t="str">
        <f>IFERROR(IF(D2486="","",VLOOKUP(D2486,CadProd!$A:$C,3,0)),"")</f>
        <v/>
      </c>
      <c r="I2486" s="1" t="str">
        <f t="shared" si="38"/>
        <v/>
      </c>
    </row>
    <row r="2487" spans="5:9" x14ac:dyDescent="0.3">
      <c r="E2487" t="str">
        <f>IFERROR(IF(D2487="","",VLOOKUP(D2487,CadProd!$A:$B,2,0)),"")</f>
        <v/>
      </c>
      <c r="F2487" t="str">
        <f>IFERROR(IF(D2487="","",VLOOKUP(D2487,CadProd!$A:$C,3,0)),"")</f>
        <v/>
      </c>
      <c r="I2487" s="1" t="str">
        <f t="shared" si="38"/>
        <v/>
      </c>
    </row>
    <row r="2488" spans="5:9" x14ac:dyDescent="0.3">
      <c r="E2488" t="str">
        <f>IFERROR(IF(D2488="","",VLOOKUP(D2488,CadProd!$A:$B,2,0)),"")</f>
        <v/>
      </c>
      <c r="F2488" t="str">
        <f>IFERROR(IF(D2488="","",VLOOKUP(D2488,CadProd!$A:$C,3,0)),"")</f>
        <v/>
      </c>
      <c r="I2488" s="1" t="str">
        <f t="shared" si="38"/>
        <v/>
      </c>
    </row>
    <row r="2489" spans="5:9" x14ac:dyDescent="0.3">
      <c r="E2489" t="str">
        <f>IFERROR(IF(D2489="","",VLOOKUP(D2489,CadProd!$A:$B,2,0)),"")</f>
        <v/>
      </c>
      <c r="F2489" t="str">
        <f>IFERROR(IF(D2489="","",VLOOKUP(D2489,CadProd!$A:$C,3,0)),"")</f>
        <v/>
      </c>
      <c r="I2489" s="1" t="str">
        <f t="shared" si="38"/>
        <v/>
      </c>
    </row>
    <row r="2490" spans="5:9" x14ac:dyDescent="0.3">
      <c r="E2490" t="str">
        <f>IFERROR(IF(D2490="","",VLOOKUP(D2490,CadProd!$A:$B,2,0)),"")</f>
        <v/>
      </c>
      <c r="F2490" t="str">
        <f>IFERROR(IF(D2490="","",VLOOKUP(D2490,CadProd!$A:$C,3,0)),"")</f>
        <v/>
      </c>
      <c r="I2490" s="1" t="str">
        <f t="shared" si="38"/>
        <v/>
      </c>
    </row>
    <row r="2491" spans="5:9" x14ac:dyDescent="0.3">
      <c r="E2491" t="str">
        <f>IFERROR(IF(D2491="","",VLOOKUP(D2491,CadProd!$A:$B,2,0)),"")</f>
        <v/>
      </c>
      <c r="F2491" t="str">
        <f>IFERROR(IF(D2491="","",VLOOKUP(D2491,CadProd!$A:$C,3,0)),"")</f>
        <v/>
      </c>
      <c r="I2491" s="1" t="str">
        <f t="shared" si="38"/>
        <v/>
      </c>
    </row>
    <row r="2492" spans="5:9" x14ac:dyDescent="0.3">
      <c r="E2492" t="str">
        <f>IFERROR(IF(D2492="","",VLOOKUP(D2492,CadProd!$A:$B,2,0)),"")</f>
        <v/>
      </c>
      <c r="F2492" t="str">
        <f>IFERROR(IF(D2492="","",VLOOKUP(D2492,CadProd!$A:$C,3,0)),"")</f>
        <v/>
      </c>
      <c r="I2492" s="1" t="str">
        <f t="shared" si="38"/>
        <v/>
      </c>
    </row>
    <row r="2493" spans="5:9" x14ac:dyDescent="0.3">
      <c r="E2493" t="str">
        <f>IFERROR(IF(D2493="","",VLOOKUP(D2493,CadProd!$A:$B,2,0)),"")</f>
        <v/>
      </c>
      <c r="F2493" t="str">
        <f>IFERROR(IF(D2493="","",VLOOKUP(D2493,CadProd!$A:$C,3,0)),"")</f>
        <v/>
      </c>
      <c r="I2493" s="1" t="str">
        <f t="shared" si="38"/>
        <v/>
      </c>
    </row>
    <row r="2494" spans="5:9" x14ac:dyDescent="0.3">
      <c r="E2494" t="str">
        <f>IFERROR(IF(D2494="","",VLOOKUP(D2494,CadProd!$A:$B,2,0)),"")</f>
        <v/>
      </c>
      <c r="F2494" t="str">
        <f>IFERROR(IF(D2494="","",VLOOKUP(D2494,CadProd!$A:$C,3,0)),"")</f>
        <v/>
      </c>
      <c r="I2494" s="1" t="str">
        <f t="shared" si="38"/>
        <v/>
      </c>
    </row>
    <row r="2495" spans="5:9" x14ac:dyDescent="0.3">
      <c r="E2495" t="str">
        <f>IFERROR(IF(D2495="","",VLOOKUP(D2495,CadProd!$A:$B,2,0)),"")</f>
        <v/>
      </c>
      <c r="F2495" t="str">
        <f>IFERROR(IF(D2495="","",VLOOKUP(D2495,CadProd!$A:$C,3,0)),"")</f>
        <v/>
      </c>
      <c r="I2495" s="1" t="str">
        <f t="shared" si="38"/>
        <v/>
      </c>
    </row>
    <row r="2496" spans="5:9" x14ac:dyDescent="0.3">
      <c r="E2496" t="str">
        <f>IFERROR(IF(D2496="","",VLOOKUP(D2496,CadProd!$A:$B,2,0)),"")</f>
        <v/>
      </c>
      <c r="F2496" t="str">
        <f>IFERROR(IF(D2496="","",VLOOKUP(D2496,CadProd!$A:$C,3,0)),"")</f>
        <v/>
      </c>
      <c r="I2496" s="1" t="str">
        <f t="shared" si="38"/>
        <v/>
      </c>
    </row>
    <row r="2497" spans="5:9" x14ac:dyDescent="0.3">
      <c r="E2497" t="str">
        <f>IFERROR(IF(D2497="","",VLOOKUP(D2497,CadProd!$A:$B,2,0)),"")</f>
        <v/>
      </c>
      <c r="F2497" t="str">
        <f>IFERROR(IF(D2497="","",VLOOKUP(D2497,CadProd!$A:$C,3,0)),"")</f>
        <v/>
      </c>
      <c r="I2497" s="1" t="str">
        <f t="shared" si="38"/>
        <v/>
      </c>
    </row>
    <row r="2498" spans="5:9" x14ac:dyDescent="0.3">
      <c r="E2498" t="str">
        <f>IFERROR(IF(D2498="","",VLOOKUP(D2498,CadProd!$A:$B,2,0)),"")</f>
        <v/>
      </c>
      <c r="F2498" t="str">
        <f>IFERROR(IF(D2498="","",VLOOKUP(D2498,CadProd!$A:$C,3,0)),"")</f>
        <v/>
      </c>
      <c r="I2498" s="1" t="str">
        <f t="shared" ref="I2498:I2561" si="39">IFERROR(IF(D2498="","",H2498*G2498),"")</f>
        <v/>
      </c>
    </row>
    <row r="2499" spans="5:9" x14ac:dyDescent="0.3">
      <c r="E2499" t="str">
        <f>IFERROR(IF(D2499="","",VLOOKUP(D2499,CadProd!$A:$B,2,0)),"")</f>
        <v/>
      </c>
      <c r="F2499" t="str">
        <f>IFERROR(IF(D2499="","",VLOOKUP(D2499,CadProd!$A:$C,3,0)),"")</f>
        <v/>
      </c>
      <c r="I2499" s="1" t="str">
        <f t="shared" si="39"/>
        <v/>
      </c>
    </row>
    <row r="2500" spans="5:9" x14ac:dyDescent="0.3">
      <c r="E2500" t="str">
        <f>IFERROR(IF(D2500="","",VLOOKUP(D2500,CadProd!$A:$B,2,0)),"")</f>
        <v/>
      </c>
      <c r="F2500" t="str">
        <f>IFERROR(IF(D2500="","",VLOOKUP(D2500,CadProd!$A:$C,3,0)),"")</f>
        <v/>
      </c>
      <c r="I2500" s="1" t="str">
        <f t="shared" si="39"/>
        <v/>
      </c>
    </row>
    <row r="2501" spans="5:9" x14ac:dyDescent="0.3">
      <c r="E2501" t="str">
        <f>IFERROR(IF(D2501="","",VLOOKUP(D2501,CadProd!$A:$B,2,0)),"")</f>
        <v/>
      </c>
      <c r="F2501" t="str">
        <f>IFERROR(IF(D2501="","",VLOOKUP(D2501,CadProd!$A:$C,3,0)),"")</f>
        <v/>
      </c>
      <c r="I2501" s="1" t="str">
        <f t="shared" si="39"/>
        <v/>
      </c>
    </row>
    <row r="2502" spans="5:9" x14ac:dyDescent="0.3">
      <c r="E2502" t="str">
        <f>IFERROR(IF(D2502="","",VLOOKUP(D2502,CadProd!$A:$B,2,0)),"")</f>
        <v/>
      </c>
      <c r="F2502" t="str">
        <f>IFERROR(IF(D2502="","",VLOOKUP(D2502,CadProd!$A:$C,3,0)),"")</f>
        <v/>
      </c>
      <c r="I2502" s="1" t="str">
        <f t="shared" si="39"/>
        <v/>
      </c>
    </row>
    <row r="2503" spans="5:9" x14ac:dyDescent="0.3">
      <c r="E2503" t="str">
        <f>IFERROR(IF(D2503="","",VLOOKUP(D2503,CadProd!$A:$B,2,0)),"")</f>
        <v/>
      </c>
      <c r="F2503" t="str">
        <f>IFERROR(IF(D2503="","",VLOOKUP(D2503,CadProd!$A:$C,3,0)),"")</f>
        <v/>
      </c>
      <c r="I2503" s="1" t="str">
        <f t="shared" si="39"/>
        <v/>
      </c>
    </row>
    <row r="2504" spans="5:9" x14ac:dyDescent="0.3">
      <c r="E2504" t="str">
        <f>IFERROR(IF(D2504="","",VLOOKUP(D2504,CadProd!$A:$B,2,0)),"")</f>
        <v/>
      </c>
      <c r="F2504" t="str">
        <f>IFERROR(IF(D2504="","",VLOOKUP(D2504,CadProd!$A:$C,3,0)),"")</f>
        <v/>
      </c>
      <c r="I2504" s="1" t="str">
        <f t="shared" si="39"/>
        <v/>
      </c>
    </row>
    <row r="2505" spans="5:9" x14ac:dyDescent="0.3">
      <c r="E2505" t="str">
        <f>IFERROR(IF(D2505="","",VLOOKUP(D2505,CadProd!$A:$B,2,0)),"")</f>
        <v/>
      </c>
      <c r="F2505" t="str">
        <f>IFERROR(IF(D2505="","",VLOOKUP(D2505,CadProd!$A:$C,3,0)),"")</f>
        <v/>
      </c>
      <c r="I2505" s="1" t="str">
        <f t="shared" si="39"/>
        <v/>
      </c>
    </row>
    <row r="2506" spans="5:9" x14ac:dyDescent="0.3">
      <c r="E2506" t="str">
        <f>IFERROR(IF(D2506="","",VLOOKUP(D2506,CadProd!$A:$B,2,0)),"")</f>
        <v/>
      </c>
      <c r="F2506" t="str">
        <f>IFERROR(IF(D2506="","",VLOOKUP(D2506,CadProd!$A:$C,3,0)),"")</f>
        <v/>
      </c>
      <c r="I2506" s="1" t="str">
        <f t="shared" si="39"/>
        <v/>
      </c>
    </row>
    <row r="2507" spans="5:9" x14ac:dyDescent="0.3">
      <c r="E2507" t="str">
        <f>IFERROR(IF(D2507="","",VLOOKUP(D2507,CadProd!$A:$B,2,0)),"")</f>
        <v/>
      </c>
      <c r="F2507" t="str">
        <f>IFERROR(IF(D2507="","",VLOOKUP(D2507,CadProd!$A:$C,3,0)),"")</f>
        <v/>
      </c>
      <c r="I2507" s="1" t="str">
        <f t="shared" si="39"/>
        <v/>
      </c>
    </row>
    <row r="2508" spans="5:9" x14ac:dyDescent="0.3">
      <c r="E2508" t="str">
        <f>IFERROR(IF(D2508="","",VLOOKUP(D2508,CadProd!$A:$B,2,0)),"")</f>
        <v/>
      </c>
      <c r="F2508" t="str">
        <f>IFERROR(IF(D2508="","",VLOOKUP(D2508,CadProd!$A:$C,3,0)),"")</f>
        <v/>
      </c>
      <c r="I2508" s="1" t="str">
        <f t="shared" si="39"/>
        <v/>
      </c>
    </row>
    <row r="2509" spans="5:9" x14ac:dyDescent="0.3">
      <c r="E2509" t="str">
        <f>IFERROR(IF(D2509="","",VLOOKUP(D2509,CadProd!$A:$B,2,0)),"")</f>
        <v/>
      </c>
      <c r="F2509" t="str">
        <f>IFERROR(IF(D2509="","",VLOOKUP(D2509,CadProd!$A:$C,3,0)),"")</f>
        <v/>
      </c>
      <c r="I2509" s="1" t="str">
        <f t="shared" si="39"/>
        <v/>
      </c>
    </row>
    <row r="2510" spans="5:9" x14ac:dyDescent="0.3">
      <c r="E2510" t="str">
        <f>IFERROR(IF(D2510="","",VLOOKUP(D2510,CadProd!$A:$B,2,0)),"")</f>
        <v/>
      </c>
      <c r="F2510" t="str">
        <f>IFERROR(IF(D2510="","",VLOOKUP(D2510,CadProd!$A:$C,3,0)),"")</f>
        <v/>
      </c>
      <c r="I2510" s="1" t="str">
        <f t="shared" si="39"/>
        <v/>
      </c>
    </row>
    <row r="2511" spans="5:9" x14ac:dyDescent="0.3">
      <c r="E2511" t="str">
        <f>IFERROR(IF(D2511="","",VLOOKUP(D2511,CadProd!$A:$B,2,0)),"")</f>
        <v/>
      </c>
      <c r="F2511" t="str">
        <f>IFERROR(IF(D2511="","",VLOOKUP(D2511,CadProd!$A:$C,3,0)),"")</f>
        <v/>
      </c>
      <c r="I2511" s="1" t="str">
        <f t="shared" si="39"/>
        <v/>
      </c>
    </row>
    <row r="2512" spans="5:9" x14ac:dyDescent="0.3">
      <c r="E2512" t="str">
        <f>IFERROR(IF(D2512="","",VLOOKUP(D2512,CadProd!$A:$B,2,0)),"")</f>
        <v/>
      </c>
      <c r="F2512" t="str">
        <f>IFERROR(IF(D2512="","",VLOOKUP(D2512,CadProd!$A:$C,3,0)),"")</f>
        <v/>
      </c>
      <c r="I2512" s="1" t="str">
        <f t="shared" si="39"/>
        <v/>
      </c>
    </row>
    <row r="2513" spans="5:9" x14ac:dyDescent="0.3">
      <c r="E2513" t="str">
        <f>IFERROR(IF(D2513="","",VLOOKUP(D2513,CadProd!$A:$B,2,0)),"")</f>
        <v/>
      </c>
      <c r="F2513" t="str">
        <f>IFERROR(IF(D2513="","",VLOOKUP(D2513,CadProd!$A:$C,3,0)),"")</f>
        <v/>
      </c>
      <c r="I2513" s="1" t="str">
        <f t="shared" si="39"/>
        <v/>
      </c>
    </row>
    <row r="2514" spans="5:9" x14ac:dyDescent="0.3">
      <c r="E2514" t="str">
        <f>IFERROR(IF(D2514="","",VLOOKUP(D2514,CadProd!$A:$B,2,0)),"")</f>
        <v/>
      </c>
      <c r="F2514" t="str">
        <f>IFERROR(IF(D2514="","",VLOOKUP(D2514,CadProd!$A:$C,3,0)),"")</f>
        <v/>
      </c>
      <c r="I2514" s="1" t="str">
        <f t="shared" si="39"/>
        <v/>
      </c>
    </row>
    <row r="2515" spans="5:9" x14ac:dyDescent="0.3">
      <c r="E2515" t="str">
        <f>IFERROR(IF(D2515="","",VLOOKUP(D2515,CadProd!$A:$B,2,0)),"")</f>
        <v/>
      </c>
      <c r="F2515" t="str">
        <f>IFERROR(IF(D2515="","",VLOOKUP(D2515,CadProd!$A:$C,3,0)),"")</f>
        <v/>
      </c>
      <c r="I2515" s="1" t="str">
        <f t="shared" si="39"/>
        <v/>
      </c>
    </row>
    <row r="2516" spans="5:9" x14ac:dyDescent="0.3">
      <c r="E2516" t="str">
        <f>IFERROR(IF(D2516="","",VLOOKUP(D2516,CadProd!$A:$B,2,0)),"")</f>
        <v/>
      </c>
      <c r="F2516" t="str">
        <f>IFERROR(IF(D2516="","",VLOOKUP(D2516,CadProd!$A:$C,3,0)),"")</f>
        <v/>
      </c>
      <c r="I2516" s="1" t="str">
        <f t="shared" si="39"/>
        <v/>
      </c>
    </row>
    <row r="2517" spans="5:9" x14ac:dyDescent="0.3">
      <c r="E2517" t="str">
        <f>IFERROR(IF(D2517="","",VLOOKUP(D2517,CadProd!$A:$B,2,0)),"")</f>
        <v/>
      </c>
      <c r="F2517" t="str">
        <f>IFERROR(IF(D2517="","",VLOOKUP(D2517,CadProd!$A:$C,3,0)),"")</f>
        <v/>
      </c>
      <c r="I2517" s="1" t="str">
        <f t="shared" si="39"/>
        <v/>
      </c>
    </row>
    <row r="2518" spans="5:9" x14ac:dyDescent="0.3">
      <c r="E2518" t="str">
        <f>IFERROR(IF(D2518="","",VLOOKUP(D2518,CadProd!$A:$B,2,0)),"")</f>
        <v/>
      </c>
      <c r="F2518" t="str">
        <f>IFERROR(IF(D2518="","",VLOOKUP(D2518,CadProd!$A:$C,3,0)),"")</f>
        <v/>
      </c>
      <c r="I2518" s="1" t="str">
        <f t="shared" si="39"/>
        <v/>
      </c>
    </row>
    <row r="2519" spans="5:9" x14ac:dyDescent="0.3">
      <c r="E2519" t="str">
        <f>IFERROR(IF(D2519="","",VLOOKUP(D2519,CadProd!$A:$B,2,0)),"")</f>
        <v/>
      </c>
      <c r="F2519" t="str">
        <f>IFERROR(IF(D2519="","",VLOOKUP(D2519,CadProd!$A:$C,3,0)),"")</f>
        <v/>
      </c>
      <c r="I2519" s="1" t="str">
        <f t="shared" si="39"/>
        <v/>
      </c>
    </row>
    <row r="2520" spans="5:9" x14ac:dyDescent="0.3">
      <c r="E2520" t="str">
        <f>IFERROR(IF(D2520="","",VLOOKUP(D2520,CadProd!$A:$B,2,0)),"")</f>
        <v/>
      </c>
      <c r="F2520" t="str">
        <f>IFERROR(IF(D2520="","",VLOOKUP(D2520,CadProd!$A:$C,3,0)),"")</f>
        <v/>
      </c>
      <c r="I2520" s="1" t="str">
        <f t="shared" si="39"/>
        <v/>
      </c>
    </row>
    <row r="2521" spans="5:9" x14ac:dyDescent="0.3">
      <c r="E2521" t="str">
        <f>IFERROR(IF(D2521="","",VLOOKUP(D2521,CadProd!$A:$B,2,0)),"")</f>
        <v/>
      </c>
      <c r="F2521" t="str">
        <f>IFERROR(IF(D2521="","",VLOOKUP(D2521,CadProd!$A:$C,3,0)),"")</f>
        <v/>
      </c>
      <c r="I2521" s="1" t="str">
        <f t="shared" si="39"/>
        <v/>
      </c>
    </row>
    <row r="2522" spans="5:9" x14ac:dyDescent="0.3">
      <c r="E2522" t="str">
        <f>IFERROR(IF(D2522="","",VLOOKUP(D2522,CadProd!$A:$B,2,0)),"")</f>
        <v/>
      </c>
      <c r="F2522" t="str">
        <f>IFERROR(IF(D2522="","",VLOOKUP(D2522,CadProd!$A:$C,3,0)),"")</f>
        <v/>
      </c>
      <c r="I2522" s="1" t="str">
        <f t="shared" si="39"/>
        <v/>
      </c>
    </row>
    <row r="2523" spans="5:9" x14ac:dyDescent="0.3">
      <c r="E2523" t="str">
        <f>IFERROR(IF(D2523="","",VLOOKUP(D2523,CadProd!$A:$B,2,0)),"")</f>
        <v/>
      </c>
      <c r="F2523" t="str">
        <f>IFERROR(IF(D2523="","",VLOOKUP(D2523,CadProd!$A:$C,3,0)),"")</f>
        <v/>
      </c>
      <c r="I2523" s="1" t="str">
        <f t="shared" si="39"/>
        <v/>
      </c>
    </row>
    <row r="2524" spans="5:9" x14ac:dyDescent="0.3">
      <c r="E2524" t="str">
        <f>IFERROR(IF(D2524="","",VLOOKUP(D2524,CadProd!$A:$B,2,0)),"")</f>
        <v/>
      </c>
      <c r="F2524" t="str">
        <f>IFERROR(IF(D2524="","",VLOOKUP(D2524,CadProd!$A:$C,3,0)),"")</f>
        <v/>
      </c>
      <c r="I2524" s="1" t="str">
        <f t="shared" si="39"/>
        <v/>
      </c>
    </row>
    <row r="2525" spans="5:9" x14ac:dyDescent="0.3">
      <c r="E2525" t="str">
        <f>IFERROR(IF(D2525="","",VLOOKUP(D2525,CadProd!$A:$B,2,0)),"")</f>
        <v/>
      </c>
      <c r="F2525" t="str">
        <f>IFERROR(IF(D2525="","",VLOOKUP(D2525,CadProd!$A:$C,3,0)),"")</f>
        <v/>
      </c>
      <c r="I2525" s="1" t="str">
        <f t="shared" si="39"/>
        <v/>
      </c>
    </row>
    <row r="2526" spans="5:9" x14ac:dyDescent="0.3">
      <c r="E2526" t="str">
        <f>IFERROR(IF(D2526="","",VLOOKUP(D2526,CadProd!$A:$B,2,0)),"")</f>
        <v/>
      </c>
      <c r="F2526" t="str">
        <f>IFERROR(IF(D2526="","",VLOOKUP(D2526,CadProd!$A:$C,3,0)),"")</f>
        <v/>
      </c>
      <c r="I2526" s="1" t="str">
        <f t="shared" si="39"/>
        <v/>
      </c>
    </row>
    <row r="2527" spans="5:9" x14ac:dyDescent="0.3">
      <c r="E2527" t="str">
        <f>IFERROR(IF(D2527="","",VLOOKUP(D2527,CadProd!$A:$B,2,0)),"")</f>
        <v/>
      </c>
      <c r="F2527" t="str">
        <f>IFERROR(IF(D2527="","",VLOOKUP(D2527,CadProd!$A:$C,3,0)),"")</f>
        <v/>
      </c>
      <c r="I2527" s="1" t="str">
        <f t="shared" si="39"/>
        <v/>
      </c>
    </row>
    <row r="2528" spans="5:9" x14ac:dyDescent="0.3">
      <c r="E2528" t="str">
        <f>IFERROR(IF(D2528="","",VLOOKUP(D2528,CadProd!$A:$B,2,0)),"")</f>
        <v/>
      </c>
      <c r="F2528" t="str">
        <f>IFERROR(IF(D2528="","",VLOOKUP(D2528,CadProd!$A:$C,3,0)),"")</f>
        <v/>
      </c>
      <c r="I2528" s="1" t="str">
        <f t="shared" si="39"/>
        <v/>
      </c>
    </row>
    <row r="2529" spans="5:9" x14ac:dyDescent="0.3">
      <c r="E2529" t="str">
        <f>IFERROR(IF(D2529="","",VLOOKUP(D2529,CadProd!$A:$B,2,0)),"")</f>
        <v/>
      </c>
      <c r="F2529" t="str">
        <f>IFERROR(IF(D2529="","",VLOOKUP(D2529,CadProd!$A:$C,3,0)),"")</f>
        <v/>
      </c>
      <c r="I2529" s="1" t="str">
        <f t="shared" si="39"/>
        <v/>
      </c>
    </row>
    <row r="2530" spans="5:9" x14ac:dyDescent="0.3">
      <c r="E2530" t="str">
        <f>IFERROR(IF(D2530="","",VLOOKUP(D2530,CadProd!$A:$B,2,0)),"")</f>
        <v/>
      </c>
      <c r="F2530" t="str">
        <f>IFERROR(IF(D2530="","",VLOOKUP(D2530,CadProd!$A:$C,3,0)),"")</f>
        <v/>
      </c>
      <c r="I2530" s="1" t="str">
        <f t="shared" si="39"/>
        <v/>
      </c>
    </row>
    <row r="2531" spans="5:9" x14ac:dyDescent="0.3">
      <c r="E2531" t="str">
        <f>IFERROR(IF(D2531="","",VLOOKUP(D2531,CadProd!$A:$B,2,0)),"")</f>
        <v/>
      </c>
      <c r="F2531" t="str">
        <f>IFERROR(IF(D2531="","",VLOOKUP(D2531,CadProd!$A:$C,3,0)),"")</f>
        <v/>
      </c>
      <c r="I2531" s="1" t="str">
        <f t="shared" si="39"/>
        <v/>
      </c>
    </row>
    <row r="2532" spans="5:9" x14ac:dyDescent="0.3">
      <c r="E2532" t="str">
        <f>IFERROR(IF(D2532="","",VLOOKUP(D2532,CadProd!$A:$B,2,0)),"")</f>
        <v/>
      </c>
      <c r="F2532" t="str">
        <f>IFERROR(IF(D2532="","",VLOOKUP(D2532,CadProd!$A:$C,3,0)),"")</f>
        <v/>
      </c>
      <c r="I2532" s="1" t="str">
        <f t="shared" si="39"/>
        <v/>
      </c>
    </row>
    <row r="2533" spans="5:9" x14ac:dyDescent="0.3">
      <c r="E2533" t="str">
        <f>IFERROR(IF(D2533="","",VLOOKUP(D2533,CadProd!$A:$B,2,0)),"")</f>
        <v/>
      </c>
      <c r="F2533" t="str">
        <f>IFERROR(IF(D2533="","",VLOOKUP(D2533,CadProd!$A:$C,3,0)),"")</f>
        <v/>
      </c>
      <c r="I2533" s="1" t="str">
        <f t="shared" si="39"/>
        <v/>
      </c>
    </row>
    <row r="2534" spans="5:9" x14ac:dyDescent="0.3">
      <c r="E2534" t="str">
        <f>IFERROR(IF(D2534="","",VLOOKUP(D2534,CadProd!$A:$B,2,0)),"")</f>
        <v/>
      </c>
      <c r="F2534" t="str">
        <f>IFERROR(IF(D2534="","",VLOOKUP(D2534,CadProd!$A:$C,3,0)),"")</f>
        <v/>
      </c>
      <c r="I2534" s="1" t="str">
        <f t="shared" si="39"/>
        <v/>
      </c>
    </row>
    <row r="2535" spans="5:9" x14ac:dyDescent="0.3">
      <c r="E2535" t="str">
        <f>IFERROR(IF(D2535="","",VLOOKUP(D2535,CadProd!$A:$B,2,0)),"")</f>
        <v/>
      </c>
      <c r="F2535" t="str">
        <f>IFERROR(IF(D2535="","",VLOOKUP(D2535,CadProd!$A:$C,3,0)),"")</f>
        <v/>
      </c>
      <c r="I2535" s="1" t="str">
        <f t="shared" si="39"/>
        <v/>
      </c>
    </row>
    <row r="2536" spans="5:9" x14ac:dyDescent="0.3">
      <c r="E2536" t="str">
        <f>IFERROR(IF(D2536="","",VLOOKUP(D2536,CadProd!$A:$B,2,0)),"")</f>
        <v/>
      </c>
      <c r="F2536" t="str">
        <f>IFERROR(IF(D2536="","",VLOOKUP(D2536,CadProd!$A:$C,3,0)),"")</f>
        <v/>
      </c>
      <c r="I2536" s="1" t="str">
        <f t="shared" si="39"/>
        <v/>
      </c>
    </row>
    <row r="2537" spans="5:9" x14ac:dyDescent="0.3">
      <c r="E2537" t="str">
        <f>IFERROR(IF(D2537="","",VLOOKUP(D2537,CadProd!$A:$B,2,0)),"")</f>
        <v/>
      </c>
      <c r="F2537" t="str">
        <f>IFERROR(IF(D2537="","",VLOOKUP(D2537,CadProd!$A:$C,3,0)),"")</f>
        <v/>
      </c>
      <c r="I2537" s="1" t="str">
        <f t="shared" si="39"/>
        <v/>
      </c>
    </row>
    <row r="2538" spans="5:9" x14ac:dyDescent="0.3">
      <c r="E2538" t="str">
        <f>IFERROR(IF(D2538="","",VLOOKUP(D2538,CadProd!$A:$B,2,0)),"")</f>
        <v/>
      </c>
      <c r="F2538" t="str">
        <f>IFERROR(IF(D2538="","",VLOOKUP(D2538,CadProd!$A:$C,3,0)),"")</f>
        <v/>
      </c>
      <c r="I2538" s="1" t="str">
        <f t="shared" si="39"/>
        <v/>
      </c>
    </row>
    <row r="2539" spans="5:9" x14ac:dyDescent="0.3">
      <c r="E2539" t="str">
        <f>IFERROR(IF(D2539="","",VLOOKUP(D2539,CadProd!$A:$B,2,0)),"")</f>
        <v/>
      </c>
      <c r="F2539" t="str">
        <f>IFERROR(IF(D2539="","",VLOOKUP(D2539,CadProd!$A:$C,3,0)),"")</f>
        <v/>
      </c>
      <c r="I2539" s="1" t="str">
        <f t="shared" si="39"/>
        <v/>
      </c>
    </row>
    <row r="2540" spans="5:9" x14ac:dyDescent="0.3">
      <c r="E2540" t="str">
        <f>IFERROR(IF(D2540="","",VLOOKUP(D2540,CadProd!$A:$B,2,0)),"")</f>
        <v/>
      </c>
      <c r="F2540" t="str">
        <f>IFERROR(IF(D2540="","",VLOOKUP(D2540,CadProd!$A:$C,3,0)),"")</f>
        <v/>
      </c>
      <c r="I2540" s="1" t="str">
        <f t="shared" si="39"/>
        <v/>
      </c>
    </row>
    <row r="2541" spans="5:9" x14ac:dyDescent="0.3">
      <c r="E2541" t="str">
        <f>IFERROR(IF(D2541="","",VLOOKUP(D2541,CadProd!$A:$B,2,0)),"")</f>
        <v/>
      </c>
      <c r="F2541" t="str">
        <f>IFERROR(IF(D2541="","",VLOOKUP(D2541,CadProd!$A:$C,3,0)),"")</f>
        <v/>
      </c>
      <c r="I2541" s="1" t="str">
        <f t="shared" si="39"/>
        <v/>
      </c>
    </row>
    <row r="2542" spans="5:9" x14ac:dyDescent="0.3">
      <c r="E2542" t="str">
        <f>IFERROR(IF(D2542="","",VLOOKUP(D2542,CadProd!$A:$B,2,0)),"")</f>
        <v/>
      </c>
      <c r="F2542" t="str">
        <f>IFERROR(IF(D2542="","",VLOOKUP(D2542,CadProd!$A:$C,3,0)),"")</f>
        <v/>
      </c>
      <c r="I2542" s="1" t="str">
        <f t="shared" si="39"/>
        <v/>
      </c>
    </row>
    <row r="2543" spans="5:9" x14ac:dyDescent="0.3">
      <c r="E2543" t="str">
        <f>IFERROR(IF(D2543="","",VLOOKUP(D2543,CadProd!$A:$B,2,0)),"")</f>
        <v/>
      </c>
      <c r="F2543" t="str">
        <f>IFERROR(IF(D2543="","",VLOOKUP(D2543,CadProd!$A:$C,3,0)),"")</f>
        <v/>
      </c>
      <c r="I2543" s="1" t="str">
        <f t="shared" si="39"/>
        <v/>
      </c>
    </row>
    <row r="2544" spans="5:9" x14ac:dyDescent="0.3">
      <c r="E2544" t="str">
        <f>IFERROR(IF(D2544="","",VLOOKUP(D2544,CadProd!$A:$B,2,0)),"")</f>
        <v/>
      </c>
      <c r="F2544" t="str">
        <f>IFERROR(IF(D2544="","",VLOOKUP(D2544,CadProd!$A:$C,3,0)),"")</f>
        <v/>
      </c>
      <c r="I2544" s="1" t="str">
        <f t="shared" si="39"/>
        <v/>
      </c>
    </row>
    <row r="2545" spans="5:9" x14ac:dyDescent="0.3">
      <c r="E2545" t="str">
        <f>IFERROR(IF(D2545="","",VLOOKUP(D2545,CadProd!$A:$B,2,0)),"")</f>
        <v/>
      </c>
      <c r="F2545" t="str">
        <f>IFERROR(IF(D2545="","",VLOOKUP(D2545,CadProd!$A:$C,3,0)),"")</f>
        <v/>
      </c>
      <c r="I2545" s="1" t="str">
        <f t="shared" si="39"/>
        <v/>
      </c>
    </row>
    <row r="2546" spans="5:9" x14ac:dyDescent="0.3">
      <c r="E2546" t="str">
        <f>IFERROR(IF(D2546="","",VLOOKUP(D2546,CadProd!$A:$B,2,0)),"")</f>
        <v/>
      </c>
      <c r="F2546" t="str">
        <f>IFERROR(IF(D2546="","",VLOOKUP(D2546,CadProd!$A:$C,3,0)),"")</f>
        <v/>
      </c>
      <c r="I2546" s="1" t="str">
        <f t="shared" si="39"/>
        <v/>
      </c>
    </row>
    <row r="2547" spans="5:9" x14ac:dyDescent="0.3">
      <c r="E2547" t="str">
        <f>IFERROR(IF(D2547="","",VLOOKUP(D2547,CadProd!$A:$B,2,0)),"")</f>
        <v/>
      </c>
      <c r="F2547" t="str">
        <f>IFERROR(IF(D2547="","",VLOOKUP(D2547,CadProd!$A:$C,3,0)),"")</f>
        <v/>
      </c>
      <c r="I2547" s="1" t="str">
        <f t="shared" si="39"/>
        <v/>
      </c>
    </row>
    <row r="2548" spans="5:9" x14ac:dyDescent="0.3">
      <c r="E2548" t="str">
        <f>IFERROR(IF(D2548="","",VLOOKUP(D2548,CadProd!$A:$B,2,0)),"")</f>
        <v/>
      </c>
      <c r="F2548" t="str">
        <f>IFERROR(IF(D2548="","",VLOOKUP(D2548,CadProd!$A:$C,3,0)),"")</f>
        <v/>
      </c>
      <c r="I2548" s="1" t="str">
        <f t="shared" si="39"/>
        <v/>
      </c>
    </row>
    <row r="2549" spans="5:9" x14ac:dyDescent="0.3">
      <c r="E2549" t="str">
        <f>IFERROR(IF(D2549="","",VLOOKUP(D2549,CadProd!$A:$B,2,0)),"")</f>
        <v/>
      </c>
      <c r="F2549" t="str">
        <f>IFERROR(IF(D2549="","",VLOOKUP(D2549,CadProd!$A:$C,3,0)),"")</f>
        <v/>
      </c>
      <c r="I2549" s="1" t="str">
        <f t="shared" si="39"/>
        <v/>
      </c>
    </row>
    <row r="2550" spans="5:9" x14ac:dyDescent="0.3">
      <c r="E2550" t="str">
        <f>IFERROR(IF(D2550="","",VLOOKUP(D2550,CadProd!$A:$B,2,0)),"")</f>
        <v/>
      </c>
      <c r="F2550" t="str">
        <f>IFERROR(IF(D2550="","",VLOOKUP(D2550,CadProd!$A:$C,3,0)),"")</f>
        <v/>
      </c>
      <c r="I2550" s="1" t="str">
        <f t="shared" si="39"/>
        <v/>
      </c>
    </row>
    <row r="2551" spans="5:9" x14ac:dyDescent="0.3">
      <c r="E2551" t="str">
        <f>IFERROR(IF(D2551="","",VLOOKUP(D2551,CadProd!$A:$B,2,0)),"")</f>
        <v/>
      </c>
      <c r="F2551" t="str">
        <f>IFERROR(IF(D2551="","",VLOOKUP(D2551,CadProd!$A:$C,3,0)),"")</f>
        <v/>
      </c>
      <c r="I2551" s="1" t="str">
        <f t="shared" si="39"/>
        <v/>
      </c>
    </row>
    <row r="2552" spans="5:9" x14ac:dyDescent="0.3">
      <c r="E2552" t="str">
        <f>IFERROR(IF(D2552="","",VLOOKUP(D2552,CadProd!$A:$B,2,0)),"")</f>
        <v/>
      </c>
      <c r="F2552" t="str">
        <f>IFERROR(IF(D2552="","",VLOOKUP(D2552,CadProd!$A:$C,3,0)),"")</f>
        <v/>
      </c>
      <c r="I2552" s="1" t="str">
        <f t="shared" si="39"/>
        <v/>
      </c>
    </row>
    <row r="2553" spans="5:9" x14ac:dyDescent="0.3">
      <c r="E2553" t="str">
        <f>IFERROR(IF(D2553="","",VLOOKUP(D2553,CadProd!$A:$B,2,0)),"")</f>
        <v/>
      </c>
      <c r="F2553" t="str">
        <f>IFERROR(IF(D2553="","",VLOOKUP(D2553,CadProd!$A:$C,3,0)),"")</f>
        <v/>
      </c>
      <c r="I2553" s="1" t="str">
        <f t="shared" si="39"/>
        <v/>
      </c>
    </row>
    <row r="2554" spans="5:9" x14ac:dyDescent="0.3">
      <c r="E2554" t="str">
        <f>IFERROR(IF(D2554="","",VLOOKUP(D2554,CadProd!$A:$B,2,0)),"")</f>
        <v/>
      </c>
      <c r="F2554" t="str">
        <f>IFERROR(IF(D2554="","",VLOOKUP(D2554,CadProd!$A:$C,3,0)),"")</f>
        <v/>
      </c>
      <c r="I2554" s="1" t="str">
        <f t="shared" si="39"/>
        <v/>
      </c>
    </row>
    <row r="2555" spans="5:9" x14ac:dyDescent="0.3">
      <c r="E2555" t="str">
        <f>IFERROR(IF(D2555="","",VLOOKUP(D2555,CadProd!$A:$B,2,0)),"")</f>
        <v/>
      </c>
      <c r="F2555" t="str">
        <f>IFERROR(IF(D2555="","",VLOOKUP(D2555,CadProd!$A:$C,3,0)),"")</f>
        <v/>
      </c>
      <c r="I2555" s="1" t="str">
        <f t="shared" si="39"/>
        <v/>
      </c>
    </row>
    <row r="2556" spans="5:9" x14ac:dyDescent="0.3">
      <c r="E2556" t="str">
        <f>IFERROR(IF(D2556="","",VLOOKUP(D2556,CadProd!$A:$B,2,0)),"")</f>
        <v/>
      </c>
      <c r="F2556" t="str">
        <f>IFERROR(IF(D2556="","",VLOOKUP(D2556,CadProd!$A:$C,3,0)),"")</f>
        <v/>
      </c>
      <c r="I2556" s="1" t="str">
        <f t="shared" si="39"/>
        <v/>
      </c>
    </row>
    <row r="2557" spans="5:9" x14ac:dyDescent="0.3">
      <c r="E2557" t="str">
        <f>IFERROR(IF(D2557="","",VLOOKUP(D2557,CadProd!$A:$B,2,0)),"")</f>
        <v/>
      </c>
      <c r="F2557" t="str">
        <f>IFERROR(IF(D2557="","",VLOOKUP(D2557,CadProd!$A:$C,3,0)),"")</f>
        <v/>
      </c>
      <c r="I2557" s="1" t="str">
        <f t="shared" si="39"/>
        <v/>
      </c>
    </row>
    <row r="2558" spans="5:9" x14ac:dyDescent="0.3">
      <c r="E2558" t="str">
        <f>IFERROR(IF(D2558="","",VLOOKUP(D2558,CadProd!$A:$B,2,0)),"")</f>
        <v/>
      </c>
      <c r="F2558" t="str">
        <f>IFERROR(IF(D2558="","",VLOOKUP(D2558,CadProd!$A:$C,3,0)),"")</f>
        <v/>
      </c>
      <c r="I2558" s="1" t="str">
        <f t="shared" si="39"/>
        <v/>
      </c>
    </row>
    <row r="2559" spans="5:9" x14ac:dyDescent="0.3">
      <c r="E2559" t="str">
        <f>IFERROR(IF(D2559="","",VLOOKUP(D2559,CadProd!$A:$B,2,0)),"")</f>
        <v/>
      </c>
      <c r="F2559" t="str">
        <f>IFERROR(IF(D2559="","",VLOOKUP(D2559,CadProd!$A:$C,3,0)),"")</f>
        <v/>
      </c>
      <c r="I2559" s="1" t="str">
        <f t="shared" si="39"/>
        <v/>
      </c>
    </row>
    <row r="2560" spans="5:9" x14ac:dyDescent="0.3">
      <c r="E2560" t="str">
        <f>IFERROR(IF(D2560="","",VLOOKUP(D2560,CadProd!$A:$B,2,0)),"")</f>
        <v/>
      </c>
      <c r="F2560" t="str">
        <f>IFERROR(IF(D2560="","",VLOOKUP(D2560,CadProd!$A:$C,3,0)),"")</f>
        <v/>
      </c>
      <c r="I2560" s="1" t="str">
        <f t="shared" si="39"/>
        <v/>
      </c>
    </row>
    <row r="2561" spans="5:9" x14ac:dyDescent="0.3">
      <c r="E2561" t="str">
        <f>IFERROR(IF(D2561="","",VLOOKUP(D2561,CadProd!$A:$B,2,0)),"")</f>
        <v/>
      </c>
      <c r="F2561" t="str">
        <f>IFERROR(IF(D2561="","",VLOOKUP(D2561,CadProd!$A:$C,3,0)),"")</f>
        <v/>
      </c>
      <c r="I2561" s="1" t="str">
        <f t="shared" si="39"/>
        <v/>
      </c>
    </row>
    <row r="2562" spans="5:9" x14ac:dyDescent="0.3">
      <c r="E2562" t="str">
        <f>IFERROR(IF(D2562="","",VLOOKUP(D2562,CadProd!$A:$B,2,0)),"")</f>
        <v/>
      </c>
      <c r="F2562" t="str">
        <f>IFERROR(IF(D2562="","",VLOOKUP(D2562,CadProd!$A:$C,3,0)),"")</f>
        <v/>
      </c>
      <c r="I2562" s="1" t="str">
        <f t="shared" ref="I2562:I2625" si="40">IFERROR(IF(D2562="","",H2562*G2562),"")</f>
        <v/>
      </c>
    </row>
    <row r="2563" spans="5:9" x14ac:dyDescent="0.3">
      <c r="E2563" t="str">
        <f>IFERROR(IF(D2563="","",VLOOKUP(D2563,CadProd!$A:$B,2,0)),"")</f>
        <v/>
      </c>
      <c r="F2563" t="str">
        <f>IFERROR(IF(D2563="","",VLOOKUP(D2563,CadProd!$A:$C,3,0)),"")</f>
        <v/>
      </c>
      <c r="I2563" s="1" t="str">
        <f t="shared" si="40"/>
        <v/>
      </c>
    </row>
    <row r="2564" spans="5:9" x14ac:dyDescent="0.3">
      <c r="E2564" t="str">
        <f>IFERROR(IF(D2564="","",VLOOKUP(D2564,CadProd!$A:$B,2,0)),"")</f>
        <v/>
      </c>
      <c r="F2564" t="str">
        <f>IFERROR(IF(D2564="","",VLOOKUP(D2564,CadProd!$A:$C,3,0)),"")</f>
        <v/>
      </c>
      <c r="I2564" s="1" t="str">
        <f t="shared" si="40"/>
        <v/>
      </c>
    </row>
    <row r="2565" spans="5:9" x14ac:dyDescent="0.3">
      <c r="E2565" t="str">
        <f>IFERROR(IF(D2565="","",VLOOKUP(D2565,CadProd!$A:$B,2,0)),"")</f>
        <v/>
      </c>
      <c r="F2565" t="str">
        <f>IFERROR(IF(D2565="","",VLOOKUP(D2565,CadProd!$A:$C,3,0)),"")</f>
        <v/>
      </c>
      <c r="I2565" s="1" t="str">
        <f t="shared" si="40"/>
        <v/>
      </c>
    </row>
    <row r="2566" spans="5:9" x14ac:dyDescent="0.3">
      <c r="E2566" t="str">
        <f>IFERROR(IF(D2566="","",VLOOKUP(D2566,CadProd!$A:$B,2,0)),"")</f>
        <v/>
      </c>
      <c r="F2566" t="str">
        <f>IFERROR(IF(D2566="","",VLOOKUP(D2566,CadProd!$A:$C,3,0)),"")</f>
        <v/>
      </c>
      <c r="I2566" s="1" t="str">
        <f t="shared" si="40"/>
        <v/>
      </c>
    </row>
    <row r="2567" spans="5:9" x14ac:dyDescent="0.3">
      <c r="E2567" t="str">
        <f>IFERROR(IF(D2567="","",VLOOKUP(D2567,CadProd!$A:$B,2,0)),"")</f>
        <v/>
      </c>
      <c r="F2567" t="str">
        <f>IFERROR(IF(D2567="","",VLOOKUP(D2567,CadProd!$A:$C,3,0)),"")</f>
        <v/>
      </c>
      <c r="I2567" s="1" t="str">
        <f t="shared" si="40"/>
        <v/>
      </c>
    </row>
    <row r="2568" spans="5:9" x14ac:dyDescent="0.3">
      <c r="E2568" t="str">
        <f>IFERROR(IF(D2568="","",VLOOKUP(D2568,CadProd!$A:$B,2,0)),"")</f>
        <v/>
      </c>
      <c r="F2568" t="str">
        <f>IFERROR(IF(D2568="","",VLOOKUP(D2568,CadProd!$A:$C,3,0)),"")</f>
        <v/>
      </c>
      <c r="I2568" s="1" t="str">
        <f t="shared" si="40"/>
        <v/>
      </c>
    </row>
    <row r="2569" spans="5:9" x14ac:dyDescent="0.3">
      <c r="E2569" t="str">
        <f>IFERROR(IF(D2569="","",VLOOKUP(D2569,CadProd!$A:$B,2,0)),"")</f>
        <v/>
      </c>
      <c r="F2569" t="str">
        <f>IFERROR(IF(D2569="","",VLOOKUP(D2569,CadProd!$A:$C,3,0)),"")</f>
        <v/>
      </c>
      <c r="I2569" s="1" t="str">
        <f t="shared" si="40"/>
        <v/>
      </c>
    </row>
    <row r="2570" spans="5:9" x14ac:dyDescent="0.3">
      <c r="E2570" t="str">
        <f>IFERROR(IF(D2570="","",VLOOKUP(D2570,CadProd!$A:$B,2,0)),"")</f>
        <v/>
      </c>
      <c r="F2570" t="str">
        <f>IFERROR(IF(D2570="","",VLOOKUP(D2570,CadProd!$A:$C,3,0)),"")</f>
        <v/>
      </c>
      <c r="I2570" s="1" t="str">
        <f t="shared" si="40"/>
        <v/>
      </c>
    </row>
    <row r="2571" spans="5:9" x14ac:dyDescent="0.3">
      <c r="E2571" t="str">
        <f>IFERROR(IF(D2571="","",VLOOKUP(D2571,CadProd!$A:$B,2,0)),"")</f>
        <v/>
      </c>
      <c r="F2571" t="str">
        <f>IFERROR(IF(D2571="","",VLOOKUP(D2571,CadProd!$A:$C,3,0)),"")</f>
        <v/>
      </c>
      <c r="I2571" s="1" t="str">
        <f t="shared" si="40"/>
        <v/>
      </c>
    </row>
    <row r="2572" spans="5:9" x14ac:dyDescent="0.3">
      <c r="E2572" t="str">
        <f>IFERROR(IF(D2572="","",VLOOKUP(D2572,CadProd!$A:$B,2,0)),"")</f>
        <v/>
      </c>
      <c r="F2572" t="str">
        <f>IFERROR(IF(D2572="","",VLOOKUP(D2572,CadProd!$A:$C,3,0)),"")</f>
        <v/>
      </c>
      <c r="I2572" s="1" t="str">
        <f t="shared" si="40"/>
        <v/>
      </c>
    </row>
    <row r="2573" spans="5:9" x14ac:dyDescent="0.3">
      <c r="E2573" t="str">
        <f>IFERROR(IF(D2573="","",VLOOKUP(D2573,CadProd!$A:$B,2,0)),"")</f>
        <v/>
      </c>
      <c r="F2573" t="str">
        <f>IFERROR(IF(D2573="","",VLOOKUP(D2573,CadProd!$A:$C,3,0)),"")</f>
        <v/>
      </c>
      <c r="I2573" s="1" t="str">
        <f t="shared" si="40"/>
        <v/>
      </c>
    </row>
    <row r="2574" spans="5:9" x14ac:dyDescent="0.3">
      <c r="E2574" t="str">
        <f>IFERROR(IF(D2574="","",VLOOKUP(D2574,CadProd!$A:$B,2,0)),"")</f>
        <v/>
      </c>
      <c r="F2574" t="str">
        <f>IFERROR(IF(D2574="","",VLOOKUP(D2574,CadProd!$A:$C,3,0)),"")</f>
        <v/>
      </c>
      <c r="I2574" s="1" t="str">
        <f t="shared" si="40"/>
        <v/>
      </c>
    </row>
    <row r="2575" spans="5:9" x14ac:dyDescent="0.3">
      <c r="E2575" t="str">
        <f>IFERROR(IF(D2575="","",VLOOKUP(D2575,CadProd!$A:$B,2,0)),"")</f>
        <v/>
      </c>
      <c r="F2575" t="str">
        <f>IFERROR(IF(D2575="","",VLOOKUP(D2575,CadProd!$A:$C,3,0)),"")</f>
        <v/>
      </c>
      <c r="I2575" s="1" t="str">
        <f t="shared" si="40"/>
        <v/>
      </c>
    </row>
    <row r="2576" spans="5:9" x14ac:dyDescent="0.3">
      <c r="E2576" t="str">
        <f>IFERROR(IF(D2576="","",VLOOKUP(D2576,CadProd!$A:$B,2,0)),"")</f>
        <v/>
      </c>
      <c r="F2576" t="str">
        <f>IFERROR(IF(D2576="","",VLOOKUP(D2576,CadProd!$A:$C,3,0)),"")</f>
        <v/>
      </c>
      <c r="I2576" s="1" t="str">
        <f t="shared" si="40"/>
        <v/>
      </c>
    </row>
    <row r="2577" spans="5:9" x14ac:dyDescent="0.3">
      <c r="E2577" t="str">
        <f>IFERROR(IF(D2577="","",VLOOKUP(D2577,CadProd!$A:$B,2,0)),"")</f>
        <v/>
      </c>
      <c r="F2577" t="str">
        <f>IFERROR(IF(D2577="","",VLOOKUP(D2577,CadProd!$A:$C,3,0)),"")</f>
        <v/>
      </c>
      <c r="I2577" s="1" t="str">
        <f t="shared" si="40"/>
        <v/>
      </c>
    </row>
    <row r="2578" spans="5:9" x14ac:dyDescent="0.3">
      <c r="E2578" t="str">
        <f>IFERROR(IF(D2578="","",VLOOKUP(D2578,CadProd!$A:$B,2,0)),"")</f>
        <v/>
      </c>
      <c r="F2578" t="str">
        <f>IFERROR(IF(D2578="","",VLOOKUP(D2578,CadProd!$A:$C,3,0)),"")</f>
        <v/>
      </c>
      <c r="I2578" s="1" t="str">
        <f t="shared" si="40"/>
        <v/>
      </c>
    </row>
    <row r="2579" spans="5:9" x14ac:dyDescent="0.3">
      <c r="E2579" t="str">
        <f>IFERROR(IF(D2579="","",VLOOKUP(D2579,CadProd!$A:$B,2,0)),"")</f>
        <v/>
      </c>
      <c r="F2579" t="str">
        <f>IFERROR(IF(D2579="","",VLOOKUP(D2579,CadProd!$A:$C,3,0)),"")</f>
        <v/>
      </c>
      <c r="I2579" s="1" t="str">
        <f t="shared" si="40"/>
        <v/>
      </c>
    </row>
    <row r="2580" spans="5:9" x14ac:dyDescent="0.3">
      <c r="E2580" t="str">
        <f>IFERROR(IF(D2580="","",VLOOKUP(D2580,CadProd!$A:$B,2,0)),"")</f>
        <v/>
      </c>
      <c r="F2580" t="str">
        <f>IFERROR(IF(D2580="","",VLOOKUP(D2580,CadProd!$A:$C,3,0)),"")</f>
        <v/>
      </c>
      <c r="I2580" s="1" t="str">
        <f t="shared" si="40"/>
        <v/>
      </c>
    </row>
    <row r="2581" spans="5:9" x14ac:dyDescent="0.3">
      <c r="E2581" t="str">
        <f>IFERROR(IF(D2581="","",VLOOKUP(D2581,CadProd!$A:$B,2,0)),"")</f>
        <v/>
      </c>
      <c r="F2581" t="str">
        <f>IFERROR(IF(D2581="","",VLOOKUP(D2581,CadProd!$A:$C,3,0)),"")</f>
        <v/>
      </c>
      <c r="I2581" s="1" t="str">
        <f t="shared" si="40"/>
        <v/>
      </c>
    </row>
    <row r="2582" spans="5:9" x14ac:dyDescent="0.3">
      <c r="E2582" t="str">
        <f>IFERROR(IF(D2582="","",VLOOKUP(D2582,CadProd!$A:$B,2,0)),"")</f>
        <v/>
      </c>
      <c r="F2582" t="str">
        <f>IFERROR(IF(D2582="","",VLOOKUP(D2582,CadProd!$A:$C,3,0)),"")</f>
        <v/>
      </c>
      <c r="I2582" s="1" t="str">
        <f t="shared" si="40"/>
        <v/>
      </c>
    </row>
    <row r="2583" spans="5:9" x14ac:dyDescent="0.3">
      <c r="E2583" t="str">
        <f>IFERROR(IF(D2583="","",VLOOKUP(D2583,CadProd!$A:$B,2,0)),"")</f>
        <v/>
      </c>
      <c r="F2583" t="str">
        <f>IFERROR(IF(D2583="","",VLOOKUP(D2583,CadProd!$A:$C,3,0)),"")</f>
        <v/>
      </c>
      <c r="I2583" s="1" t="str">
        <f t="shared" si="40"/>
        <v/>
      </c>
    </row>
    <row r="2584" spans="5:9" x14ac:dyDescent="0.3">
      <c r="E2584" t="str">
        <f>IFERROR(IF(D2584="","",VLOOKUP(D2584,CadProd!$A:$B,2,0)),"")</f>
        <v/>
      </c>
      <c r="F2584" t="str">
        <f>IFERROR(IF(D2584="","",VLOOKUP(D2584,CadProd!$A:$C,3,0)),"")</f>
        <v/>
      </c>
      <c r="I2584" s="1" t="str">
        <f t="shared" si="40"/>
        <v/>
      </c>
    </row>
    <row r="2585" spans="5:9" x14ac:dyDescent="0.3">
      <c r="E2585" t="str">
        <f>IFERROR(IF(D2585="","",VLOOKUP(D2585,CadProd!$A:$B,2,0)),"")</f>
        <v/>
      </c>
      <c r="F2585" t="str">
        <f>IFERROR(IF(D2585="","",VLOOKUP(D2585,CadProd!$A:$C,3,0)),"")</f>
        <v/>
      </c>
      <c r="I2585" s="1" t="str">
        <f t="shared" si="40"/>
        <v/>
      </c>
    </row>
    <row r="2586" spans="5:9" x14ac:dyDescent="0.3">
      <c r="E2586" t="str">
        <f>IFERROR(IF(D2586="","",VLOOKUP(D2586,CadProd!$A:$B,2,0)),"")</f>
        <v/>
      </c>
      <c r="F2586" t="str">
        <f>IFERROR(IF(D2586="","",VLOOKUP(D2586,CadProd!$A:$C,3,0)),"")</f>
        <v/>
      </c>
      <c r="I2586" s="1" t="str">
        <f t="shared" si="40"/>
        <v/>
      </c>
    </row>
    <row r="2587" spans="5:9" x14ac:dyDescent="0.3">
      <c r="E2587" t="str">
        <f>IFERROR(IF(D2587="","",VLOOKUP(D2587,CadProd!$A:$B,2,0)),"")</f>
        <v/>
      </c>
      <c r="F2587" t="str">
        <f>IFERROR(IF(D2587="","",VLOOKUP(D2587,CadProd!$A:$C,3,0)),"")</f>
        <v/>
      </c>
      <c r="I2587" s="1" t="str">
        <f t="shared" si="40"/>
        <v/>
      </c>
    </row>
    <row r="2588" spans="5:9" x14ac:dyDescent="0.3">
      <c r="E2588" t="str">
        <f>IFERROR(IF(D2588="","",VLOOKUP(D2588,CadProd!$A:$B,2,0)),"")</f>
        <v/>
      </c>
      <c r="F2588" t="str">
        <f>IFERROR(IF(D2588="","",VLOOKUP(D2588,CadProd!$A:$C,3,0)),"")</f>
        <v/>
      </c>
      <c r="I2588" s="1" t="str">
        <f t="shared" si="40"/>
        <v/>
      </c>
    </row>
    <row r="2589" spans="5:9" x14ac:dyDescent="0.3">
      <c r="E2589" t="str">
        <f>IFERROR(IF(D2589="","",VLOOKUP(D2589,CadProd!$A:$B,2,0)),"")</f>
        <v/>
      </c>
      <c r="F2589" t="str">
        <f>IFERROR(IF(D2589="","",VLOOKUP(D2589,CadProd!$A:$C,3,0)),"")</f>
        <v/>
      </c>
      <c r="I2589" s="1" t="str">
        <f t="shared" si="40"/>
        <v/>
      </c>
    </row>
    <row r="2590" spans="5:9" x14ac:dyDescent="0.3">
      <c r="E2590" t="str">
        <f>IFERROR(IF(D2590="","",VLOOKUP(D2590,CadProd!$A:$B,2,0)),"")</f>
        <v/>
      </c>
      <c r="F2590" t="str">
        <f>IFERROR(IF(D2590="","",VLOOKUP(D2590,CadProd!$A:$C,3,0)),"")</f>
        <v/>
      </c>
      <c r="I2590" s="1" t="str">
        <f t="shared" si="40"/>
        <v/>
      </c>
    </row>
    <row r="2591" spans="5:9" x14ac:dyDescent="0.3">
      <c r="E2591" t="str">
        <f>IFERROR(IF(D2591="","",VLOOKUP(D2591,CadProd!$A:$B,2,0)),"")</f>
        <v/>
      </c>
      <c r="F2591" t="str">
        <f>IFERROR(IF(D2591="","",VLOOKUP(D2591,CadProd!$A:$C,3,0)),"")</f>
        <v/>
      </c>
      <c r="I2591" s="1" t="str">
        <f t="shared" si="40"/>
        <v/>
      </c>
    </row>
    <row r="2592" spans="5:9" x14ac:dyDescent="0.3">
      <c r="E2592" t="str">
        <f>IFERROR(IF(D2592="","",VLOOKUP(D2592,CadProd!$A:$B,2,0)),"")</f>
        <v/>
      </c>
      <c r="F2592" t="str">
        <f>IFERROR(IF(D2592="","",VLOOKUP(D2592,CadProd!$A:$C,3,0)),"")</f>
        <v/>
      </c>
      <c r="I2592" s="1" t="str">
        <f t="shared" si="40"/>
        <v/>
      </c>
    </row>
    <row r="2593" spans="5:9" x14ac:dyDescent="0.3">
      <c r="E2593" t="str">
        <f>IFERROR(IF(D2593="","",VLOOKUP(D2593,CadProd!$A:$B,2,0)),"")</f>
        <v/>
      </c>
      <c r="F2593" t="str">
        <f>IFERROR(IF(D2593="","",VLOOKUP(D2593,CadProd!$A:$C,3,0)),"")</f>
        <v/>
      </c>
      <c r="I2593" s="1" t="str">
        <f t="shared" si="40"/>
        <v/>
      </c>
    </row>
    <row r="2594" spans="5:9" x14ac:dyDescent="0.3">
      <c r="E2594" t="str">
        <f>IFERROR(IF(D2594="","",VLOOKUP(D2594,CadProd!$A:$B,2,0)),"")</f>
        <v/>
      </c>
      <c r="F2594" t="str">
        <f>IFERROR(IF(D2594="","",VLOOKUP(D2594,CadProd!$A:$C,3,0)),"")</f>
        <v/>
      </c>
      <c r="I2594" s="1" t="str">
        <f t="shared" si="40"/>
        <v/>
      </c>
    </row>
    <row r="2595" spans="5:9" x14ac:dyDescent="0.3">
      <c r="E2595" t="str">
        <f>IFERROR(IF(D2595="","",VLOOKUP(D2595,CadProd!$A:$B,2,0)),"")</f>
        <v/>
      </c>
      <c r="F2595" t="str">
        <f>IFERROR(IF(D2595="","",VLOOKUP(D2595,CadProd!$A:$C,3,0)),"")</f>
        <v/>
      </c>
      <c r="I2595" s="1" t="str">
        <f t="shared" si="40"/>
        <v/>
      </c>
    </row>
    <row r="2596" spans="5:9" x14ac:dyDescent="0.3">
      <c r="E2596" t="str">
        <f>IFERROR(IF(D2596="","",VLOOKUP(D2596,CadProd!$A:$B,2,0)),"")</f>
        <v/>
      </c>
      <c r="F2596" t="str">
        <f>IFERROR(IF(D2596="","",VLOOKUP(D2596,CadProd!$A:$C,3,0)),"")</f>
        <v/>
      </c>
      <c r="I2596" s="1" t="str">
        <f t="shared" si="40"/>
        <v/>
      </c>
    </row>
    <row r="2597" spans="5:9" x14ac:dyDescent="0.3">
      <c r="E2597" t="str">
        <f>IFERROR(IF(D2597="","",VLOOKUP(D2597,CadProd!$A:$B,2,0)),"")</f>
        <v/>
      </c>
      <c r="F2597" t="str">
        <f>IFERROR(IF(D2597="","",VLOOKUP(D2597,CadProd!$A:$C,3,0)),"")</f>
        <v/>
      </c>
      <c r="I2597" s="1" t="str">
        <f t="shared" si="40"/>
        <v/>
      </c>
    </row>
    <row r="2598" spans="5:9" x14ac:dyDescent="0.3">
      <c r="E2598" t="str">
        <f>IFERROR(IF(D2598="","",VLOOKUP(D2598,CadProd!$A:$B,2,0)),"")</f>
        <v/>
      </c>
      <c r="F2598" t="str">
        <f>IFERROR(IF(D2598="","",VLOOKUP(D2598,CadProd!$A:$C,3,0)),"")</f>
        <v/>
      </c>
      <c r="I2598" s="1" t="str">
        <f t="shared" si="40"/>
        <v/>
      </c>
    </row>
    <row r="2599" spans="5:9" x14ac:dyDescent="0.3">
      <c r="E2599" t="str">
        <f>IFERROR(IF(D2599="","",VLOOKUP(D2599,CadProd!$A:$B,2,0)),"")</f>
        <v/>
      </c>
      <c r="F2599" t="str">
        <f>IFERROR(IF(D2599="","",VLOOKUP(D2599,CadProd!$A:$C,3,0)),"")</f>
        <v/>
      </c>
      <c r="I2599" s="1" t="str">
        <f t="shared" si="40"/>
        <v/>
      </c>
    </row>
    <row r="2600" spans="5:9" x14ac:dyDescent="0.3">
      <c r="E2600" t="str">
        <f>IFERROR(IF(D2600="","",VLOOKUP(D2600,CadProd!$A:$B,2,0)),"")</f>
        <v/>
      </c>
      <c r="F2600" t="str">
        <f>IFERROR(IF(D2600="","",VLOOKUP(D2600,CadProd!$A:$C,3,0)),"")</f>
        <v/>
      </c>
      <c r="I2600" s="1" t="str">
        <f t="shared" si="40"/>
        <v/>
      </c>
    </row>
    <row r="2601" spans="5:9" x14ac:dyDescent="0.3">
      <c r="E2601" t="str">
        <f>IFERROR(IF(D2601="","",VLOOKUP(D2601,CadProd!$A:$B,2,0)),"")</f>
        <v/>
      </c>
      <c r="F2601" t="str">
        <f>IFERROR(IF(D2601="","",VLOOKUP(D2601,CadProd!$A:$C,3,0)),"")</f>
        <v/>
      </c>
      <c r="I2601" s="1" t="str">
        <f t="shared" si="40"/>
        <v/>
      </c>
    </row>
    <row r="2602" spans="5:9" x14ac:dyDescent="0.3">
      <c r="E2602" t="str">
        <f>IFERROR(IF(D2602="","",VLOOKUP(D2602,CadProd!$A:$B,2,0)),"")</f>
        <v/>
      </c>
      <c r="F2602" t="str">
        <f>IFERROR(IF(D2602="","",VLOOKUP(D2602,CadProd!$A:$C,3,0)),"")</f>
        <v/>
      </c>
      <c r="I2602" s="1" t="str">
        <f t="shared" si="40"/>
        <v/>
      </c>
    </row>
    <row r="2603" spans="5:9" x14ac:dyDescent="0.3">
      <c r="E2603" t="str">
        <f>IFERROR(IF(D2603="","",VLOOKUP(D2603,CadProd!$A:$B,2,0)),"")</f>
        <v/>
      </c>
      <c r="F2603" t="str">
        <f>IFERROR(IF(D2603="","",VLOOKUP(D2603,CadProd!$A:$C,3,0)),"")</f>
        <v/>
      </c>
      <c r="I2603" s="1" t="str">
        <f t="shared" si="40"/>
        <v/>
      </c>
    </row>
    <row r="2604" spans="5:9" x14ac:dyDescent="0.3">
      <c r="E2604" t="str">
        <f>IFERROR(IF(D2604="","",VLOOKUP(D2604,CadProd!$A:$B,2,0)),"")</f>
        <v/>
      </c>
      <c r="F2604" t="str">
        <f>IFERROR(IF(D2604="","",VLOOKUP(D2604,CadProd!$A:$C,3,0)),"")</f>
        <v/>
      </c>
      <c r="I2604" s="1" t="str">
        <f t="shared" si="40"/>
        <v/>
      </c>
    </row>
    <row r="2605" spans="5:9" x14ac:dyDescent="0.3">
      <c r="E2605" t="str">
        <f>IFERROR(IF(D2605="","",VLOOKUP(D2605,CadProd!$A:$B,2,0)),"")</f>
        <v/>
      </c>
      <c r="F2605" t="str">
        <f>IFERROR(IF(D2605="","",VLOOKUP(D2605,CadProd!$A:$C,3,0)),"")</f>
        <v/>
      </c>
      <c r="I2605" s="1" t="str">
        <f t="shared" si="40"/>
        <v/>
      </c>
    </row>
    <row r="2606" spans="5:9" x14ac:dyDescent="0.3">
      <c r="E2606" t="str">
        <f>IFERROR(IF(D2606="","",VLOOKUP(D2606,CadProd!$A:$B,2,0)),"")</f>
        <v/>
      </c>
      <c r="F2606" t="str">
        <f>IFERROR(IF(D2606="","",VLOOKUP(D2606,CadProd!$A:$C,3,0)),"")</f>
        <v/>
      </c>
      <c r="I2606" s="1" t="str">
        <f t="shared" si="40"/>
        <v/>
      </c>
    </row>
    <row r="2607" spans="5:9" x14ac:dyDescent="0.3">
      <c r="E2607" t="str">
        <f>IFERROR(IF(D2607="","",VLOOKUP(D2607,CadProd!$A:$B,2,0)),"")</f>
        <v/>
      </c>
      <c r="F2607" t="str">
        <f>IFERROR(IF(D2607="","",VLOOKUP(D2607,CadProd!$A:$C,3,0)),"")</f>
        <v/>
      </c>
      <c r="I2607" s="1" t="str">
        <f t="shared" si="40"/>
        <v/>
      </c>
    </row>
    <row r="2608" spans="5:9" x14ac:dyDescent="0.3">
      <c r="E2608" t="str">
        <f>IFERROR(IF(D2608="","",VLOOKUP(D2608,CadProd!$A:$B,2,0)),"")</f>
        <v/>
      </c>
      <c r="F2608" t="str">
        <f>IFERROR(IF(D2608="","",VLOOKUP(D2608,CadProd!$A:$C,3,0)),"")</f>
        <v/>
      </c>
      <c r="I2608" s="1" t="str">
        <f t="shared" si="40"/>
        <v/>
      </c>
    </row>
    <row r="2609" spans="5:9" x14ac:dyDescent="0.3">
      <c r="E2609" t="str">
        <f>IFERROR(IF(D2609="","",VLOOKUP(D2609,CadProd!$A:$B,2,0)),"")</f>
        <v/>
      </c>
      <c r="F2609" t="str">
        <f>IFERROR(IF(D2609="","",VLOOKUP(D2609,CadProd!$A:$C,3,0)),"")</f>
        <v/>
      </c>
      <c r="I2609" s="1" t="str">
        <f t="shared" si="40"/>
        <v/>
      </c>
    </row>
    <row r="2610" spans="5:9" x14ac:dyDescent="0.3">
      <c r="E2610" t="str">
        <f>IFERROR(IF(D2610="","",VLOOKUP(D2610,CadProd!$A:$B,2,0)),"")</f>
        <v/>
      </c>
      <c r="F2610" t="str">
        <f>IFERROR(IF(D2610="","",VLOOKUP(D2610,CadProd!$A:$C,3,0)),"")</f>
        <v/>
      </c>
      <c r="I2610" s="1" t="str">
        <f t="shared" si="40"/>
        <v/>
      </c>
    </row>
    <row r="2611" spans="5:9" x14ac:dyDescent="0.3">
      <c r="E2611" t="str">
        <f>IFERROR(IF(D2611="","",VLOOKUP(D2611,CadProd!$A:$B,2,0)),"")</f>
        <v/>
      </c>
      <c r="F2611" t="str">
        <f>IFERROR(IF(D2611="","",VLOOKUP(D2611,CadProd!$A:$C,3,0)),"")</f>
        <v/>
      </c>
      <c r="I2611" s="1" t="str">
        <f t="shared" si="40"/>
        <v/>
      </c>
    </row>
    <row r="2612" spans="5:9" x14ac:dyDescent="0.3">
      <c r="E2612" t="str">
        <f>IFERROR(IF(D2612="","",VLOOKUP(D2612,CadProd!$A:$B,2,0)),"")</f>
        <v/>
      </c>
      <c r="F2612" t="str">
        <f>IFERROR(IF(D2612="","",VLOOKUP(D2612,CadProd!$A:$C,3,0)),"")</f>
        <v/>
      </c>
      <c r="I2612" s="1" t="str">
        <f t="shared" si="40"/>
        <v/>
      </c>
    </row>
    <row r="2613" spans="5:9" x14ac:dyDescent="0.3">
      <c r="E2613" t="str">
        <f>IFERROR(IF(D2613="","",VLOOKUP(D2613,CadProd!$A:$B,2,0)),"")</f>
        <v/>
      </c>
      <c r="F2613" t="str">
        <f>IFERROR(IF(D2613="","",VLOOKUP(D2613,CadProd!$A:$C,3,0)),"")</f>
        <v/>
      </c>
      <c r="I2613" s="1" t="str">
        <f t="shared" si="40"/>
        <v/>
      </c>
    </row>
    <row r="2614" spans="5:9" x14ac:dyDescent="0.3">
      <c r="E2614" t="str">
        <f>IFERROR(IF(D2614="","",VLOOKUP(D2614,CadProd!$A:$B,2,0)),"")</f>
        <v/>
      </c>
      <c r="F2614" t="str">
        <f>IFERROR(IF(D2614="","",VLOOKUP(D2614,CadProd!$A:$C,3,0)),"")</f>
        <v/>
      </c>
      <c r="I2614" s="1" t="str">
        <f t="shared" si="40"/>
        <v/>
      </c>
    </row>
    <row r="2615" spans="5:9" x14ac:dyDescent="0.3">
      <c r="E2615" t="str">
        <f>IFERROR(IF(D2615="","",VLOOKUP(D2615,CadProd!$A:$B,2,0)),"")</f>
        <v/>
      </c>
      <c r="F2615" t="str">
        <f>IFERROR(IF(D2615="","",VLOOKUP(D2615,CadProd!$A:$C,3,0)),"")</f>
        <v/>
      </c>
      <c r="I2615" s="1" t="str">
        <f t="shared" si="40"/>
        <v/>
      </c>
    </row>
    <row r="2616" spans="5:9" x14ac:dyDescent="0.3">
      <c r="E2616" t="str">
        <f>IFERROR(IF(D2616="","",VLOOKUP(D2616,CadProd!$A:$B,2,0)),"")</f>
        <v/>
      </c>
      <c r="F2616" t="str">
        <f>IFERROR(IF(D2616="","",VLOOKUP(D2616,CadProd!$A:$C,3,0)),"")</f>
        <v/>
      </c>
      <c r="I2616" s="1" t="str">
        <f t="shared" si="40"/>
        <v/>
      </c>
    </row>
    <row r="2617" spans="5:9" x14ac:dyDescent="0.3">
      <c r="E2617" t="str">
        <f>IFERROR(IF(D2617="","",VLOOKUP(D2617,CadProd!$A:$B,2,0)),"")</f>
        <v/>
      </c>
      <c r="F2617" t="str">
        <f>IFERROR(IF(D2617="","",VLOOKUP(D2617,CadProd!$A:$C,3,0)),"")</f>
        <v/>
      </c>
      <c r="I2617" s="1" t="str">
        <f t="shared" si="40"/>
        <v/>
      </c>
    </row>
    <row r="2618" spans="5:9" x14ac:dyDescent="0.3">
      <c r="E2618" t="str">
        <f>IFERROR(IF(D2618="","",VLOOKUP(D2618,CadProd!$A:$B,2,0)),"")</f>
        <v/>
      </c>
      <c r="F2618" t="str">
        <f>IFERROR(IF(D2618="","",VLOOKUP(D2618,CadProd!$A:$C,3,0)),"")</f>
        <v/>
      </c>
      <c r="I2618" s="1" t="str">
        <f t="shared" si="40"/>
        <v/>
      </c>
    </row>
    <row r="2619" spans="5:9" x14ac:dyDescent="0.3">
      <c r="E2619" t="str">
        <f>IFERROR(IF(D2619="","",VLOOKUP(D2619,CadProd!$A:$B,2,0)),"")</f>
        <v/>
      </c>
      <c r="F2619" t="str">
        <f>IFERROR(IF(D2619="","",VLOOKUP(D2619,CadProd!$A:$C,3,0)),"")</f>
        <v/>
      </c>
      <c r="I2619" s="1" t="str">
        <f t="shared" si="40"/>
        <v/>
      </c>
    </row>
    <row r="2620" spans="5:9" x14ac:dyDescent="0.3">
      <c r="E2620" t="str">
        <f>IFERROR(IF(D2620="","",VLOOKUP(D2620,CadProd!$A:$B,2,0)),"")</f>
        <v/>
      </c>
      <c r="F2620" t="str">
        <f>IFERROR(IF(D2620="","",VLOOKUP(D2620,CadProd!$A:$C,3,0)),"")</f>
        <v/>
      </c>
      <c r="I2620" s="1" t="str">
        <f t="shared" si="40"/>
        <v/>
      </c>
    </row>
    <row r="2621" spans="5:9" x14ac:dyDescent="0.3">
      <c r="E2621" t="str">
        <f>IFERROR(IF(D2621="","",VLOOKUP(D2621,CadProd!$A:$B,2,0)),"")</f>
        <v/>
      </c>
      <c r="F2621" t="str">
        <f>IFERROR(IF(D2621="","",VLOOKUP(D2621,CadProd!$A:$C,3,0)),"")</f>
        <v/>
      </c>
      <c r="I2621" s="1" t="str">
        <f t="shared" si="40"/>
        <v/>
      </c>
    </row>
    <row r="2622" spans="5:9" x14ac:dyDescent="0.3">
      <c r="E2622" t="str">
        <f>IFERROR(IF(D2622="","",VLOOKUP(D2622,CadProd!$A:$B,2,0)),"")</f>
        <v/>
      </c>
      <c r="F2622" t="str">
        <f>IFERROR(IF(D2622="","",VLOOKUP(D2622,CadProd!$A:$C,3,0)),"")</f>
        <v/>
      </c>
      <c r="I2622" s="1" t="str">
        <f t="shared" si="40"/>
        <v/>
      </c>
    </row>
    <row r="2623" spans="5:9" x14ac:dyDescent="0.3">
      <c r="E2623" t="str">
        <f>IFERROR(IF(D2623="","",VLOOKUP(D2623,CadProd!$A:$B,2,0)),"")</f>
        <v/>
      </c>
      <c r="F2623" t="str">
        <f>IFERROR(IF(D2623="","",VLOOKUP(D2623,CadProd!$A:$C,3,0)),"")</f>
        <v/>
      </c>
      <c r="I2623" s="1" t="str">
        <f t="shared" si="40"/>
        <v/>
      </c>
    </row>
    <row r="2624" spans="5:9" x14ac:dyDescent="0.3">
      <c r="E2624" t="str">
        <f>IFERROR(IF(D2624="","",VLOOKUP(D2624,CadProd!$A:$B,2,0)),"")</f>
        <v/>
      </c>
      <c r="F2624" t="str">
        <f>IFERROR(IF(D2624="","",VLOOKUP(D2624,CadProd!$A:$C,3,0)),"")</f>
        <v/>
      </c>
      <c r="I2624" s="1" t="str">
        <f t="shared" si="40"/>
        <v/>
      </c>
    </row>
    <row r="2625" spans="5:9" x14ac:dyDescent="0.3">
      <c r="E2625" t="str">
        <f>IFERROR(IF(D2625="","",VLOOKUP(D2625,CadProd!$A:$B,2,0)),"")</f>
        <v/>
      </c>
      <c r="F2625" t="str">
        <f>IFERROR(IF(D2625="","",VLOOKUP(D2625,CadProd!$A:$C,3,0)),"")</f>
        <v/>
      </c>
      <c r="I2625" s="1" t="str">
        <f t="shared" si="40"/>
        <v/>
      </c>
    </row>
    <row r="2626" spans="5:9" x14ac:dyDescent="0.3">
      <c r="E2626" t="str">
        <f>IFERROR(IF(D2626="","",VLOOKUP(D2626,CadProd!$A:$B,2,0)),"")</f>
        <v/>
      </c>
      <c r="F2626" t="str">
        <f>IFERROR(IF(D2626="","",VLOOKUP(D2626,CadProd!$A:$C,3,0)),"")</f>
        <v/>
      </c>
      <c r="I2626" s="1" t="str">
        <f t="shared" ref="I2626:I2689" si="41">IFERROR(IF(D2626="","",H2626*G2626),"")</f>
        <v/>
      </c>
    </row>
    <row r="2627" spans="5:9" x14ac:dyDescent="0.3">
      <c r="E2627" t="str">
        <f>IFERROR(IF(D2627="","",VLOOKUP(D2627,CadProd!$A:$B,2,0)),"")</f>
        <v/>
      </c>
      <c r="F2627" t="str">
        <f>IFERROR(IF(D2627="","",VLOOKUP(D2627,CadProd!$A:$C,3,0)),"")</f>
        <v/>
      </c>
      <c r="I2627" s="1" t="str">
        <f t="shared" si="41"/>
        <v/>
      </c>
    </row>
    <row r="2628" spans="5:9" x14ac:dyDescent="0.3">
      <c r="E2628" t="str">
        <f>IFERROR(IF(D2628="","",VLOOKUP(D2628,CadProd!$A:$B,2,0)),"")</f>
        <v/>
      </c>
      <c r="F2628" t="str">
        <f>IFERROR(IF(D2628="","",VLOOKUP(D2628,CadProd!$A:$C,3,0)),"")</f>
        <v/>
      </c>
      <c r="I2628" s="1" t="str">
        <f t="shared" si="41"/>
        <v/>
      </c>
    </row>
    <row r="2629" spans="5:9" x14ac:dyDescent="0.3">
      <c r="E2629" t="str">
        <f>IFERROR(IF(D2629="","",VLOOKUP(D2629,CadProd!$A:$B,2,0)),"")</f>
        <v/>
      </c>
      <c r="F2629" t="str">
        <f>IFERROR(IF(D2629="","",VLOOKUP(D2629,CadProd!$A:$C,3,0)),"")</f>
        <v/>
      </c>
      <c r="I2629" s="1" t="str">
        <f t="shared" si="41"/>
        <v/>
      </c>
    </row>
    <row r="2630" spans="5:9" x14ac:dyDescent="0.3">
      <c r="E2630" t="str">
        <f>IFERROR(IF(D2630="","",VLOOKUP(D2630,CadProd!$A:$B,2,0)),"")</f>
        <v/>
      </c>
      <c r="F2630" t="str">
        <f>IFERROR(IF(D2630="","",VLOOKUP(D2630,CadProd!$A:$C,3,0)),"")</f>
        <v/>
      </c>
      <c r="I2630" s="1" t="str">
        <f t="shared" si="41"/>
        <v/>
      </c>
    </row>
    <row r="2631" spans="5:9" x14ac:dyDescent="0.3">
      <c r="E2631" t="str">
        <f>IFERROR(IF(D2631="","",VLOOKUP(D2631,CadProd!$A:$B,2,0)),"")</f>
        <v/>
      </c>
      <c r="F2631" t="str">
        <f>IFERROR(IF(D2631="","",VLOOKUP(D2631,CadProd!$A:$C,3,0)),"")</f>
        <v/>
      </c>
      <c r="I2631" s="1" t="str">
        <f t="shared" si="41"/>
        <v/>
      </c>
    </row>
    <row r="2632" spans="5:9" x14ac:dyDescent="0.3">
      <c r="E2632" t="str">
        <f>IFERROR(IF(D2632="","",VLOOKUP(D2632,CadProd!$A:$B,2,0)),"")</f>
        <v/>
      </c>
      <c r="F2632" t="str">
        <f>IFERROR(IF(D2632="","",VLOOKUP(D2632,CadProd!$A:$C,3,0)),"")</f>
        <v/>
      </c>
      <c r="I2632" s="1" t="str">
        <f t="shared" si="41"/>
        <v/>
      </c>
    </row>
    <row r="2633" spans="5:9" x14ac:dyDescent="0.3">
      <c r="E2633" t="str">
        <f>IFERROR(IF(D2633="","",VLOOKUP(D2633,CadProd!$A:$B,2,0)),"")</f>
        <v/>
      </c>
      <c r="F2633" t="str">
        <f>IFERROR(IF(D2633="","",VLOOKUP(D2633,CadProd!$A:$C,3,0)),"")</f>
        <v/>
      </c>
      <c r="I2633" s="1" t="str">
        <f t="shared" si="41"/>
        <v/>
      </c>
    </row>
    <row r="2634" spans="5:9" x14ac:dyDescent="0.3">
      <c r="E2634" t="str">
        <f>IFERROR(IF(D2634="","",VLOOKUP(D2634,CadProd!$A:$B,2,0)),"")</f>
        <v/>
      </c>
      <c r="F2634" t="str">
        <f>IFERROR(IF(D2634="","",VLOOKUP(D2634,CadProd!$A:$C,3,0)),"")</f>
        <v/>
      </c>
      <c r="I2634" s="1" t="str">
        <f t="shared" si="41"/>
        <v/>
      </c>
    </row>
    <row r="2635" spans="5:9" x14ac:dyDescent="0.3">
      <c r="E2635" t="str">
        <f>IFERROR(IF(D2635="","",VLOOKUP(D2635,CadProd!$A:$B,2,0)),"")</f>
        <v/>
      </c>
      <c r="F2635" t="str">
        <f>IFERROR(IF(D2635="","",VLOOKUP(D2635,CadProd!$A:$C,3,0)),"")</f>
        <v/>
      </c>
      <c r="I2635" s="1" t="str">
        <f t="shared" si="41"/>
        <v/>
      </c>
    </row>
    <row r="2636" spans="5:9" x14ac:dyDescent="0.3">
      <c r="E2636" t="str">
        <f>IFERROR(IF(D2636="","",VLOOKUP(D2636,CadProd!$A:$B,2,0)),"")</f>
        <v/>
      </c>
      <c r="F2636" t="str">
        <f>IFERROR(IF(D2636="","",VLOOKUP(D2636,CadProd!$A:$C,3,0)),"")</f>
        <v/>
      </c>
      <c r="I2636" s="1" t="str">
        <f t="shared" si="41"/>
        <v/>
      </c>
    </row>
    <row r="2637" spans="5:9" x14ac:dyDescent="0.3">
      <c r="E2637" t="str">
        <f>IFERROR(IF(D2637="","",VLOOKUP(D2637,CadProd!$A:$B,2,0)),"")</f>
        <v/>
      </c>
      <c r="F2637" t="str">
        <f>IFERROR(IF(D2637="","",VLOOKUP(D2637,CadProd!$A:$C,3,0)),"")</f>
        <v/>
      </c>
      <c r="I2637" s="1" t="str">
        <f t="shared" si="41"/>
        <v/>
      </c>
    </row>
    <row r="2638" spans="5:9" x14ac:dyDescent="0.3">
      <c r="E2638" t="str">
        <f>IFERROR(IF(D2638="","",VLOOKUP(D2638,CadProd!$A:$B,2,0)),"")</f>
        <v/>
      </c>
      <c r="F2638" t="str">
        <f>IFERROR(IF(D2638="","",VLOOKUP(D2638,CadProd!$A:$C,3,0)),"")</f>
        <v/>
      </c>
      <c r="I2638" s="1" t="str">
        <f t="shared" si="41"/>
        <v/>
      </c>
    </row>
    <row r="2639" spans="5:9" x14ac:dyDescent="0.3">
      <c r="E2639" t="str">
        <f>IFERROR(IF(D2639="","",VLOOKUP(D2639,CadProd!$A:$B,2,0)),"")</f>
        <v/>
      </c>
      <c r="F2639" t="str">
        <f>IFERROR(IF(D2639="","",VLOOKUP(D2639,CadProd!$A:$C,3,0)),"")</f>
        <v/>
      </c>
      <c r="I2639" s="1" t="str">
        <f t="shared" si="41"/>
        <v/>
      </c>
    </row>
    <row r="2640" spans="5:9" x14ac:dyDescent="0.3">
      <c r="E2640" t="str">
        <f>IFERROR(IF(D2640="","",VLOOKUP(D2640,CadProd!$A:$B,2,0)),"")</f>
        <v/>
      </c>
      <c r="F2640" t="str">
        <f>IFERROR(IF(D2640="","",VLOOKUP(D2640,CadProd!$A:$C,3,0)),"")</f>
        <v/>
      </c>
      <c r="I2640" s="1" t="str">
        <f t="shared" si="41"/>
        <v/>
      </c>
    </row>
    <row r="2641" spans="5:9" x14ac:dyDescent="0.3">
      <c r="E2641" t="str">
        <f>IFERROR(IF(D2641="","",VLOOKUP(D2641,CadProd!$A:$B,2,0)),"")</f>
        <v/>
      </c>
      <c r="F2641" t="str">
        <f>IFERROR(IF(D2641="","",VLOOKUP(D2641,CadProd!$A:$C,3,0)),"")</f>
        <v/>
      </c>
      <c r="I2641" s="1" t="str">
        <f t="shared" si="41"/>
        <v/>
      </c>
    </row>
    <row r="2642" spans="5:9" x14ac:dyDescent="0.3">
      <c r="E2642" t="str">
        <f>IFERROR(IF(D2642="","",VLOOKUP(D2642,CadProd!$A:$B,2,0)),"")</f>
        <v/>
      </c>
      <c r="F2642" t="str">
        <f>IFERROR(IF(D2642="","",VLOOKUP(D2642,CadProd!$A:$C,3,0)),"")</f>
        <v/>
      </c>
      <c r="I2642" s="1" t="str">
        <f t="shared" si="41"/>
        <v/>
      </c>
    </row>
    <row r="2643" spans="5:9" x14ac:dyDescent="0.3">
      <c r="E2643" t="str">
        <f>IFERROR(IF(D2643="","",VLOOKUP(D2643,CadProd!$A:$B,2,0)),"")</f>
        <v/>
      </c>
      <c r="F2643" t="str">
        <f>IFERROR(IF(D2643="","",VLOOKUP(D2643,CadProd!$A:$C,3,0)),"")</f>
        <v/>
      </c>
      <c r="I2643" s="1" t="str">
        <f t="shared" si="41"/>
        <v/>
      </c>
    </row>
    <row r="2644" spans="5:9" x14ac:dyDescent="0.3">
      <c r="E2644" t="str">
        <f>IFERROR(IF(D2644="","",VLOOKUP(D2644,CadProd!$A:$B,2,0)),"")</f>
        <v/>
      </c>
      <c r="F2644" t="str">
        <f>IFERROR(IF(D2644="","",VLOOKUP(D2644,CadProd!$A:$C,3,0)),"")</f>
        <v/>
      </c>
      <c r="I2644" s="1" t="str">
        <f t="shared" si="41"/>
        <v/>
      </c>
    </row>
    <row r="2645" spans="5:9" x14ac:dyDescent="0.3">
      <c r="E2645" t="str">
        <f>IFERROR(IF(D2645="","",VLOOKUP(D2645,CadProd!$A:$B,2,0)),"")</f>
        <v/>
      </c>
      <c r="F2645" t="str">
        <f>IFERROR(IF(D2645="","",VLOOKUP(D2645,CadProd!$A:$C,3,0)),"")</f>
        <v/>
      </c>
      <c r="I2645" s="1" t="str">
        <f t="shared" si="41"/>
        <v/>
      </c>
    </row>
    <row r="2646" spans="5:9" x14ac:dyDescent="0.3">
      <c r="E2646" t="str">
        <f>IFERROR(IF(D2646="","",VLOOKUP(D2646,CadProd!$A:$B,2,0)),"")</f>
        <v/>
      </c>
      <c r="F2646" t="str">
        <f>IFERROR(IF(D2646="","",VLOOKUP(D2646,CadProd!$A:$C,3,0)),"")</f>
        <v/>
      </c>
      <c r="I2646" s="1" t="str">
        <f t="shared" si="41"/>
        <v/>
      </c>
    </row>
    <row r="2647" spans="5:9" x14ac:dyDescent="0.3">
      <c r="E2647" t="str">
        <f>IFERROR(IF(D2647="","",VLOOKUP(D2647,CadProd!$A:$B,2,0)),"")</f>
        <v/>
      </c>
      <c r="F2647" t="str">
        <f>IFERROR(IF(D2647="","",VLOOKUP(D2647,CadProd!$A:$C,3,0)),"")</f>
        <v/>
      </c>
      <c r="I2647" s="1" t="str">
        <f t="shared" si="41"/>
        <v/>
      </c>
    </row>
    <row r="2648" spans="5:9" x14ac:dyDescent="0.3">
      <c r="E2648" t="str">
        <f>IFERROR(IF(D2648="","",VLOOKUP(D2648,CadProd!$A:$B,2,0)),"")</f>
        <v/>
      </c>
      <c r="F2648" t="str">
        <f>IFERROR(IF(D2648="","",VLOOKUP(D2648,CadProd!$A:$C,3,0)),"")</f>
        <v/>
      </c>
      <c r="I2648" s="1" t="str">
        <f t="shared" si="41"/>
        <v/>
      </c>
    </row>
    <row r="2649" spans="5:9" x14ac:dyDescent="0.3">
      <c r="E2649" t="str">
        <f>IFERROR(IF(D2649="","",VLOOKUP(D2649,CadProd!$A:$B,2,0)),"")</f>
        <v/>
      </c>
      <c r="F2649" t="str">
        <f>IFERROR(IF(D2649="","",VLOOKUP(D2649,CadProd!$A:$C,3,0)),"")</f>
        <v/>
      </c>
      <c r="I2649" s="1" t="str">
        <f t="shared" si="41"/>
        <v/>
      </c>
    </row>
    <row r="2650" spans="5:9" x14ac:dyDescent="0.3">
      <c r="E2650" t="str">
        <f>IFERROR(IF(D2650="","",VLOOKUP(D2650,CadProd!$A:$B,2,0)),"")</f>
        <v/>
      </c>
      <c r="F2650" t="str">
        <f>IFERROR(IF(D2650="","",VLOOKUP(D2650,CadProd!$A:$C,3,0)),"")</f>
        <v/>
      </c>
      <c r="I2650" s="1" t="str">
        <f t="shared" si="41"/>
        <v/>
      </c>
    </row>
    <row r="2651" spans="5:9" x14ac:dyDescent="0.3">
      <c r="E2651" t="str">
        <f>IFERROR(IF(D2651="","",VLOOKUP(D2651,CadProd!$A:$B,2,0)),"")</f>
        <v/>
      </c>
      <c r="F2651" t="str">
        <f>IFERROR(IF(D2651="","",VLOOKUP(D2651,CadProd!$A:$C,3,0)),"")</f>
        <v/>
      </c>
      <c r="I2651" s="1" t="str">
        <f t="shared" si="41"/>
        <v/>
      </c>
    </row>
    <row r="2652" spans="5:9" x14ac:dyDescent="0.3">
      <c r="E2652" t="str">
        <f>IFERROR(IF(D2652="","",VLOOKUP(D2652,CadProd!$A:$B,2,0)),"")</f>
        <v/>
      </c>
      <c r="F2652" t="str">
        <f>IFERROR(IF(D2652="","",VLOOKUP(D2652,CadProd!$A:$C,3,0)),"")</f>
        <v/>
      </c>
      <c r="I2652" s="1" t="str">
        <f t="shared" si="41"/>
        <v/>
      </c>
    </row>
    <row r="2653" spans="5:9" x14ac:dyDescent="0.3">
      <c r="E2653" t="str">
        <f>IFERROR(IF(D2653="","",VLOOKUP(D2653,CadProd!$A:$B,2,0)),"")</f>
        <v/>
      </c>
      <c r="F2653" t="str">
        <f>IFERROR(IF(D2653="","",VLOOKUP(D2653,CadProd!$A:$C,3,0)),"")</f>
        <v/>
      </c>
      <c r="I2653" s="1" t="str">
        <f t="shared" si="41"/>
        <v/>
      </c>
    </row>
    <row r="2654" spans="5:9" x14ac:dyDescent="0.3">
      <c r="E2654" t="str">
        <f>IFERROR(IF(D2654="","",VLOOKUP(D2654,CadProd!$A:$B,2,0)),"")</f>
        <v/>
      </c>
      <c r="F2654" t="str">
        <f>IFERROR(IF(D2654="","",VLOOKUP(D2654,CadProd!$A:$C,3,0)),"")</f>
        <v/>
      </c>
      <c r="I2654" s="1" t="str">
        <f t="shared" si="41"/>
        <v/>
      </c>
    </row>
    <row r="2655" spans="5:9" x14ac:dyDescent="0.3">
      <c r="E2655" t="str">
        <f>IFERROR(IF(D2655="","",VLOOKUP(D2655,CadProd!$A:$B,2,0)),"")</f>
        <v/>
      </c>
      <c r="F2655" t="str">
        <f>IFERROR(IF(D2655="","",VLOOKUP(D2655,CadProd!$A:$C,3,0)),"")</f>
        <v/>
      </c>
      <c r="I2655" s="1" t="str">
        <f t="shared" si="41"/>
        <v/>
      </c>
    </row>
    <row r="2656" spans="5:9" x14ac:dyDescent="0.3">
      <c r="E2656" t="str">
        <f>IFERROR(IF(D2656="","",VLOOKUP(D2656,CadProd!$A:$B,2,0)),"")</f>
        <v/>
      </c>
      <c r="F2656" t="str">
        <f>IFERROR(IF(D2656="","",VLOOKUP(D2656,CadProd!$A:$C,3,0)),"")</f>
        <v/>
      </c>
      <c r="I2656" s="1" t="str">
        <f t="shared" si="41"/>
        <v/>
      </c>
    </row>
    <row r="2657" spans="5:9" x14ac:dyDescent="0.3">
      <c r="E2657" t="str">
        <f>IFERROR(IF(D2657="","",VLOOKUP(D2657,CadProd!$A:$B,2,0)),"")</f>
        <v/>
      </c>
      <c r="F2657" t="str">
        <f>IFERROR(IF(D2657="","",VLOOKUP(D2657,CadProd!$A:$C,3,0)),"")</f>
        <v/>
      </c>
      <c r="I2657" s="1" t="str">
        <f t="shared" si="41"/>
        <v/>
      </c>
    </row>
    <row r="2658" spans="5:9" x14ac:dyDescent="0.3">
      <c r="E2658" t="str">
        <f>IFERROR(IF(D2658="","",VLOOKUP(D2658,CadProd!$A:$B,2,0)),"")</f>
        <v/>
      </c>
      <c r="F2658" t="str">
        <f>IFERROR(IF(D2658="","",VLOOKUP(D2658,CadProd!$A:$C,3,0)),"")</f>
        <v/>
      </c>
      <c r="I2658" s="1" t="str">
        <f t="shared" si="41"/>
        <v/>
      </c>
    </row>
    <row r="2659" spans="5:9" x14ac:dyDescent="0.3">
      <c r="E2659" t="str">
        <f>IFERROR(IF(D2659="","",VLOOKUP(D2659,CadProd!$A:$B,2,0)),"")</f>
        <v/>
      </c>
      <c r="F2659" t="str">
        <f>IFERROR(IF(D2659="","",VLOOKUP(D2659,CadProd!$A:$C,3,0)),"")</f>
        <v/>
      </c>
      <c r="I2659" s="1" t="str">
        <f t="shared" si="41"/>
        <v/>
      </c>
    </row>
    <row r="2660" spans="5:9" x14ac:dyDescent="0.3">
      <c r="E2660" t="str">
        <f>IFERROR(IF(D2660="","",VLOOKUP(D2660,CadProd!$A:$B,2,0)),"")</f>
        <v/>
      </c>
      <c r="F2660" t="str">
        <f>IFERROR(IF(D2660="","",VLOOKUP(D2660,CadProd!$A:$C,3,0)),"")</f>
        <v/>
      </c>
      <c r="I2660" s="1" t="str">
        <f t="shared" si="41"/>
        <v/>
      </c>
    </row>
    <row r="2661" spans="5:9" x14ac:dyDescent="0.3">
      <c r="E2661" t="str">
        <f>IFERROR(IF(D2661="","",VLOOKUP(D2661,CadProd!$A:$B,2,0)),"")</f>
        <v/>
      </c>
      <c r="F2661" t="str">
        <f>IFERROR(IF(D2661="","",VLOOKUP(D2661,CadProd!$A:$C,3,0)),"")</f>
        <v/>
      </c>
      <c r="I2661" s="1" t="str">
        <f t="shared" si="41"/>
        <v/>
      </c>
    </row>
    <row r="2662" spans="5:9" x14ac:dyDescent="0.3">
      <c r="E2662" t="str">
        <f>IFERROR(IF(D2662="","",VLOOKUP(D2662,CadProd!$A:$B,2,0)),"")</f>
        <v/>
      </c>
      <c r="F2662" t="str">
        <f>IFERROR(IF(D2662="","",VLOOKUP(D2662,CadProd!$A:$C,3,0)),"")</f>
        <v/>
      </c>
      <c r="I2662" s="1" t="str">
        <f t="shared" si="41"/>
        <v/>
      </c>
    </row>
    <row r="2663" spans="5:9" x14ac:dyDescent="0.3">
      <c r="E2663" t="str">
        <f>IFERROR(IF(D2663="","",VLOOKUP(D2663,CadProd!$A:$B,2,0)),"")</f>
        <v/>
      </c>
      <c r="F2663" t="str">
        <f>IFERROR(IF(D2663="","",VLOOKUP(D2663,CadProd!$A:$C,3,0)),"")</f>
        <v/>
      </c>
      <c r="I2663" s="1" t="str">
        <f t="shared" si="41"/>
        <v/>
      </c>
    </row>
    <row r="2664" spans="5:9" x14ac:dyDescent="0.3">
      <c r="E2664" t="str">
        <f>IFERROR(IF(D2664="","",VLOOKUP(D2664,CadProd!$A:$B,2,0)),"")</f>
        <v/>
      </c>
      <c r="F2664" t="str">
        <f>IFERROR(IF(D2664="","",VLOOKUP(D2664,CadProd!$A:$C,3,0)),"")</f>
        <v/>
      </c>
      <c r="I2664" s="1" t="str">
        <f t="shared" si="41"/>
        <v/>
      </c>
    </row>
    <row r="2665" spans="5:9" x14ac:dyDescent="0.3">
      <c r="E2665" t="str">
        <f>IFERROR(IF(D2665="","",VLOOKUP(D2665,CadProd!$A:$B,2,0)),"")</f>
        <v/>
      </c>
      <c r="F2665" t="str">
        <f>IFERROR(IF(D2665="","",VLOOKUP(D2665,CadProd!$A:$C,3,0)),"")</f>
        <v/>
      </c>
      <c r="I2665" s="1" t="str">
        <f t="shared" si="41"/>
        <v/>
      </c>
    </row>
    <row r="2666" spans="5:9" x14ac:dyDescent="0.3">
      <c r="E2666" t="str">
        <f>IFERROR(IF(D2666="","",VLOOKUP(D2666,CadProd!$A:$B,2,0)),"")</f>
        <v/>
      </c>
      <c r="F2666" t="str">
        <f>IFERROR(IF(D2666="","",VLOOKUP(D2666,CadProd!$A:$C,3,0)),"")</f>
        <v/>
      </c>
      <c r="I2666" s="1" t="str">
        <f t="shared" si="41"/>
        <v/>
      </c>
    </row>
    <row r="2667" spans="5:9" x14ac:dyDescent="0.3">
      <c r="E2667" t="str">
        <f>IFERROR(IF(D2667="","",VLOOKUP(D2667,CadProd!$A:$B,2,0)),"")</f>
        <v/>
      </c>
      <c r="F2667" t="str">
        <f>IFERROR(IF(D2667="","",VLOOKUP(D2667,CadProd!$A:$C,3,0)),"")</f>
        <v/>
      </c>
      <c r="I2667" s="1" t="str">
        <f t="shared" si="41"/>
        <v/>
      </c>
    </row>
    <row r="2668" spans="5:9" x14ac:dyDescent="0.3">
      <c r="E2668" t="str">
        <f>IFERROR(IF(D2668="","",VLOOKUP(D2668,CadProd!$A:$B,2,0)),"")</f>
        <v/>
      </c>
      <c r="F2668" t="str">
        <f>IFERROR(IF(D2668="","",VLOOKUP(D2668,CadProd!$A:$C,3,0)),"")</f>
        <v/>
      </c>
      <c r="I2668" s="1" t="str">
        <f t="shared" si="41"/>
        <v/>
      </c>
    </row>
    <row r="2669" spans="5:9" x14ac:dyDescent="0.3">
      <c r="E2669" t="str">
        <f>IFERROR(IF(D2669="","",VLOOKUP(D2669,CadProd!$A:$B,2,0)),"")</f>
        <v/>
      </c>
      <c r="F2669" t="str">
        <f>IFERROR(IF(D2669="","",VLOOKUP(D2669,CadProd!$A:$C,3,0)),"")</f>
        <v/>
      </c>
      <c r="I2669" s="1" t="str">
        <f t="shared" si="41"/>
        <v/>
      </c>
    </row>
    <row r="2670" spans="5:9" x14ac:dyDescent="0.3">
      <c r="E2670" t="str">
        <f>IFERROR(IF(D2670="","",VLOOKUP(D2670,CadProd!$A:$B,2,0)),"")</f>
        <v/>
      </c>
      <c r="F2670" t="str">
        <f>IFERROR(IF(D2670="","",VLOOKUP(D2670,CadProd!$A:$C,3,0)),"")</f>
        <v/>
      </c>
      <c r="I2670" s="1" t="str">
        <f t="shared" si="41"/>
        <v/>
      </c>
    </row>
    <row r="2671" spans="5:9" x14ac:dyDescent="0.3">
      <c r="E2671" t="str">
        <f>IFERROR(IF(D2671="","",VLOOKUP(D2671,CadProd!$A:$B,2,0)),"")</f>
        <v/>
      </c>
      <c r="F2671" t="str">
        <f>IFERROR(IF(D2671="","",VLOOKUP(D2671,CadProd!$A:$C,3,0)),"")</f>
        <v/>
      </c>
      <c r="I2671" s="1" t="str">
        <f t="shared" si="41"/>
        <v/>
      </c>
    </row>
    <row r="2672" spans="5:9" x14ac:dyDescent="0.3">
      <c r="E2672" t="str">
        <f>IFERROR(IF(D2672="","",VLOOKUP(D2672,CadProd!$A:$B,2,0)),"")</f>
        <v/>
      </c>
      <c r="F2672" t="str">
        <f>IFERROR(IF(D2672="","",VLOOKUP(D2672,CadProd!$A:$C,3,0)),"")</f>
        <v/>
      </c>
      <c r="I2672" s="1" t="str">
        <f t="shared" si="41"/>
        <v/>
      </c>
    </row>
    <row r="2673" spans="5:9" x14ac:dyDescent="0.3">
      <c r="E2673" t="str">
        <f>IFERROR(IF(D2673="","",VLOOKUP(D2673,CadProd!$A:$B,2,0)),"")</f>
        <v/>
      </c>
      <c r="F2673" t="str">
        <f>IFERROR(IF(D2673="","",VLOOKUP(D2673,CadProd!$A:$C,3,0)),"")</f>
        <v/>
      </c>
      <c r="I2673" s="1" t="str">
        <f t="shared" si="41"/>
        <v/>
      </c>
    </row>
    <row r="2674" spans="5:9" x14ac:dyDescent="0.3">
      <c r="E2674" t="str">
        <f>IFERROR(IF(D2674="","",VLOOKUP(D2674,CadProd!$A:$B,2,0)),"")</f>
        <v/>
      </c>
      <c r="F2674" t="str">
        <f>IFERROR(IF(D2674="","",VLOOKUP(D2674,CadProd!$A:$C,3,0)),"")</f>
        <v/>
      </c>
      <c r="I2674" s="1" t="str">
        <f t="shared" si="41"/>
        <v/>
      </c>
    </row>
    <row r="2675" spans="5:9" x14ac:dyDescent="0.3">
      <c r="E2675" t="str">
        <f>IFERROR(IF(D2675="","",VLOOKUP(D2675,CadProd!$A:$B,2,0)),"")</f>
        <v/>
      </c>
      <c r="F2675" t="str">
        <f>IFERROR(IF(D2675="","",VLOOKUP(D2675,CadProd!$A:$C,3,0)),"")</f>
        <v/>
      </c>
      <c r="I2675" s="1" t="str">
        <f t="shared" si="41"/>
        <v/>
      </c>
    </row>
    <row r="2676" spans="5:9" x14ac:dyDescent="0.3">
      <c r="E2676" t="str">
        <f>IFERROR(IF(D2676="","",VLOOKUP(D2676,CadProd!$A:$B,2,0)),"")</f>
        <v/>
      </c>
      <c r="F2676" t="str">
        <f>IFERROR(IF(D2676="","",VLOOKUP(D2676,CadProd!$A:$C,3,0)),"")</f>
        <v/>
      </c>
      <c r="I2676" s="1" t="str">
        <f t="shared" si="41"/>
        <v/>
      </c>
    </row>
    <row r="2677" spans="5:9" x14ac:dyDescent="0.3">
      <c r="E2677" t="str">
        <f>IFERROR(IF(D2677="","",VLOOKUP(D2677,CadProd!$A:$B,2,0)),"")</f>
        <v/>
      </c>
      <c r="F2677" t="str">
        <f>IFERROR(IF(D2677="","",VLOOKUP(D2677,CadProd!$A:$C,3,0)),"")</f>
        <v/>
      </c>
      <c r="I2677" s="1" t="str">
        <f t="shared" si="41"/>
        <v/>
      </c>
    </row>
    <row r="2678" spans="5:9" x14ac:dyDescent="0.3">
      <c r="E2678" t="str">
        <f>IFERROR(IF(D2678="","",VLOOKUP(D2678,CadProd!$A:$B,2,0)),"")</f>
        <v/>
      </c>
      <c r="F2678" t="str">
        <f>IFERROR(IF(D2678="","",VLOOKUP(D2678,CadProd!$A:$C,3,0)),"")</f>
        <v/>
      </c>
      <c r="I2678" s="1" t="str">
        <f t="shared" si="41"/>
        <v/>
      </c>
    </row>
    <row r="2679" spans="5:9" x14ac:dyDescent="0.3">
      <c r="E2679" t="str">
        <f>IFERROR(IF(D2679="","",VLOOKUP(D2679,CadProd!$A:$B,2,0)),"")</f>
        <v/>
      </c>
      <c r="F2679" t="str">
        <f>IFERROR(IF(D2679="","",VLOOKUP(D2679,CadProd!$A:$C,3,0)),"")</f>
        <v/>
      </c>
      <c r="I2679" s="1" t="str">
        <f t="shared" si="41"/>
        <v/>
      </c>
    </row>
    <row r="2680" spans="5:9" x14ac:dyDescent="0.3">
      <c r="E2680" t="str">
        <f>IFERROR(IF(D2680="","",VLOOKUP(D2680,CadProd!$A:$B,2,0)),"")</f>
        <v/>
      </c>
      <c r="F2680" t="str">
        <f>IFERROR(IF(D2680="","",VLOOKUP(D2680,CadProd!$A:$C,3,0)),"")</f>
        <v/>
      </c>
      <c r="I2680" s="1" t="str">
        <f t="shared" si="41"/>
        <v/>
      </c>
    </row>
    <row r="2681" spans="5:9" x14ac:dyDescent="0.3">
      <c r="E2681" t="str">
        <f>IFERROR(IF(D2681="","",VLOOKUP(D2681,CadProd!$A:$B,2,0)),"")</f>
        <v/>
      </c>
      <c r="F2681" t="str">
        <f>IFERROR(IF(D2681="","",VLOOKUP(D2681,CadProd!$A:$C,3,0)),"")</f>
        <v/>
      </c>
      <c r="I2681" s="1" t="str">
        <f t="shared" si="41"/>
        <v/>
      </c>
    </row>
    <row r="2682" spans="5:9" x14ac:dyDescent="0.3">
      <c r="E2682" t="str">
        <f>IFERROR(IF(D2682="","",VLOOKUP(D2682,CadProd!$A:$B,2,0)),"")</f>
        <v/>
      </c>
      <c r="F2682" t="str">
        <f>IFERROR(IF(D2682="","",VLOOKUP(D2682,CadProd!$A:$C,3,0)),"")</f>
        <v/>
      </c>
      <c r="I2682" s="1" t="str">
        <f t="shared" si="41"/>
        <v/>
      </c>
    </row>
    <row r="2683" spans="5:9" x14ac:dyDescent="0.3">
      <c r="E2683" t="str">
        <f>IFERROR(IF(D2683="","",VLOOKUP(D2683,CadProd!$A:$B,2,0)),"")</f>
        <v/>
      </c>
      <c r="F2683" t="str">
        <f>IFERROR(IF(D2683="","",VLOOKUP(D2683,CadProd!$A:$C,3,0)),"")</f>
        <v/>
      </c>
      <c r="I2683" s="1" t="str">
        <f t="shared" si="41"/>
        <v/>
      </c>
    </row>
    <row r="2684" spans="5:9" x14ac:dyDescent="0.3">
      <c r="E2684" t="str">
        <f>IFERROR(IF(D2684="","",VLOOKUP(D2684,CadProd!$A:$B,2,0)),"")</f>
        <v/>
      </c>
      <c r="F2684" t="str">
        <f>IFERROR(IF(D2684="","",VLOOKUP(D2684,CadProd!$A:$C,3,0)),"")</f>
        <v/>
      </c>
      <c r="I2684" s="1" t="str">
        <f t="shared" si="41"/>
        <v/>
      </c>
    </row>
    <row r="2685" spans="5:9" x14ac:dyDescent="0.3">
      <c r="E2685" t="str">
        <f>IFERROR(IF(D2685="","",VLOOKUP(D2685,CadProd!$A:$B,2,0)),"")</f>
        <v/>
      </c>
      <c r="F2685" t="str">
        <f>IFERROR(IF(D2685="","",VLOOKUP(D2685,CadProd!$A:$C,3,0)),"")</f>
        <v/>
      </c>
      <c r="I2685" s="1" t="str">
        <f t="shared" si="41"/>
        <v/>
      </c>
    </row>
    <row r="2686" spans="5:9" x14ac:dyDescent="0.3">
      <c r="E2686" t="str">
        <f>IFERROR(IF(D2686="","",VLOOKUP(D2686,CadProd!$A:$B,2,0)),"")</f>
        <v/>
      </c>
      <c r="F2686" t="str">
        <f>IFERROR(IF(D2686="","",VLOOKUP(D2686,CadProd!$A:$C,3,0)),"")</f>
        <v/>
      </c>
      <c r="I2686" s="1" t="str">
        <f t="shared" si="41"/>
        <v/>
      </c>
    </row>
    <row r="2687" spans="5:9" x14ac:dyDescent="0.3">
      <c r="E2687" t="str">
        <f>IFERROR(IF(D2687="","",VLOOKUP(D2687,CadProd!$A:$B,2,0)),"")</f>
        <v/>
      </c>
      <c r="F2687" t="str">
        <f>IFERROR(IF(D2687="","",VLOOKUP(D2687,CadProd!$A:$C,3,0)),"")</f>
        <v/>
      </c>
      <c r="I2687" s="1" t="str">
        <f t="shared" si="41"/>
        <v/>
      </c>
    </row>
    <row r="2688" spans="5:9" x14ac:dyDescent="0.3">
      <c r="E2688" t="str">
        <f>IFERROR(IF(D2688="","",VLOOKUP(D2688,CadProd!$A:$B,2,0)),"")</f>
        <v/>
      </c>
      <c r="F2688" t="str">
        <f>IFERROR(IF(D2688="","",VLOOKUP(D2688,CadProd!$A:$C,3,0)),"")</f>
        <v/>
      </c>
      <c r="I2688" s="1" t="str">
        <f t="shared" si="41"/>
        <v/>
      </c>
    </row>
    <row r="2689" spans="5:9" x14ac:dyDescent="0.3">
      <c r="E2689" t="str">
        <f>IFERROR(IF(D2689="","",VLOOKUP(D2689,CadProd!$A:$B,2,0)),"")</f>
        <v/>
      </c>
      <c r="F2689" t="str">
        <f>IFERROR(IF(D2689="","",VLOOKUP(D2689,CadProd!$A:$C,3,0)),"")</f>
        <v/>
      </c>
      <c r="I2689" s="1" t="str">
        <f t="shared" si="41"/>
        <v/>
      </c>
    </row>
    <row r="2690" spans="5:9" x14ac:dyDescent="0.3">
      <c r="E2690" t="str">
        <f>IFERROR(IF(D2690="","",VLOOKUP(D2690,CadProd!$A:$B,2,0)),"")</f>
        <v/>
      </c>
      <c r="F2690" t="str">
        <f>IFERROR(IF(D2690="","",VLOOKUP(D2690,CadProd!$A:$C,3,0)),"")</f>
        <v/>
      </c>
      <c r="I2690" s="1" t="str">
        <f t="shared" ref="I2690:I2753" si="42">IFERROR(IF(D2690="","",H2690*G2690),"")</f>
        <v/>
      </c>
    </row>
    <row r="2691" spans="5:9" x14ac:dyDescent="0.3">
      <c r="E2691" t="str">
        <f>IFERROR(IF(D2691="","",VLOOKUP(D2691,CadProd!$A:$B,2,0)),"")</f>
        <v/>
      </c>
      <c r="F2691" t="str">
        <f>IFERROR(IF(D2691="","",VLOOKUP(D2691,CadProd!$A:$C,3,0)),"")</f>
        <v/>
      </c>
      <c r="I2691" s="1" t="str">
        <f t="shared" si="42"/>
        <v/>
      </c>
    </row>
    <row r="2692" spans="5:9" x14ac:dyDescent="0.3">
      <c r="E2692" t="str">
        <f>IFERROR(IF(D2692="","",VLOOKUP(D2692,CadProd!$A:$B,2,0)),"")</f>
        <v/>
      </c>
      <c r="F2692" t="str">
        <f>IFERROR(IF(D2692="","",VLOOKUP(D2692,CadProd!$A:$C,3,0)),"")</f>
        <v/>
      </c>
      <c r="I2692" s="1" t="str">
        <f t="shared" si="42"/>
        <v/>
      </c>
    </row>
    <row r="2693" spans="5:9" x14ac:dyDescent="0.3">
      <c r="E2693" t="str">
        <f>IFERROR(IF(D2693="","",VLOOKUP(D2693,CadProd!$A:$B,2,0)),"")</f>
        <v/>
      </c>
      <c r="F2693" t="str">
        <f>IFERROR(IF(D2693="","",VLOOKUP(D2693,CadProd!$A:$C,3,0)),"")</f>
        <v/>
      </c>
      <c r="I2693" s="1" t="str">
        <f t="shared" si="42"/>
        <v/>
      </c>
    </row>
    <row r="2694" spans="5:9" x14ac:dyDescent="0.3">
      <c r="E2694" t="str">
        <f>IFERROR(IF(D2694="","",VLOOKUP(D2694,CadProd!$A:$B,2,0)),"")</f>
        <v/>
      </c>
      <c r="F2694" t="str">
        <f>IFERROR(IF(D2694="","",VLOOKUP(D2694,CadProd!$A:$C,3,0)),"")</f>
        <v/>
      </c>
      <c r="I2694" s="1" t="str">
        <f t="shared" si="42"/>
        <v/>
      </c>
    </row>
    <row r="2695" spans="5:9" x14ac:dyDescent="0.3">
      <c r="E2695" t="str">
        <f>IFERROR(IF(D2695="","",VLOOKUP(D2695,CadProd!$A:$B,2,0)),"")</f>
        <v/>
      </c>
      <c r="F2695" t="str">
        <f>IFERROR(IF(D2695="","",VLOOKUP(D2695,CadProd!$A:$C,3,0)),"")</f>
        <v/>
      </c>
      <c r="I2695" s="1" t="str">
        <f t="shared" si="42"/>
        <v/>
      </c>
    </row>
    <row r="2696" spans="5:9" x14ac:dyDescent="0.3">
      <c r="E2696" t="str">
        <f>IFERROR(IF(D2696="","",VLOOKUP(D2696,CadProd!$A:$B,2,0)),"")</f>
        <v/>
      </c>
      <c r="F2696" t="str">
        <f>IFERROR(IF(D2696="","",VLOOKUP(D2696,CadProd!$A:$C,3,0)),"")</f>
        <v/>
      </c>
      <c r="I2696" s="1" t="str">
        <f t="shared" si="42"/>
        <v/>
      </c>
    </row>
    <row r="2697" spans="5:9" x14ac:dyDescent="0.3">
      <c r="E2697" t="str">
        <f>IFERROR(IF(D2697="","",VLOOKUP(D2697,CadProd!$A:$B,2,0)),"")</f>
        <v/>
      </c>
      <c r="F2697" t="str">
        <f>IFERROR(IF(D2697="","",VLOOKUP(D2697,CadProd!$A:$C,3,0)),"")</f>
        <v/>
      </c>
      <c r="I2697" s="1" t="str">
        <f t="shared" si="42"/>
        <v/>
      </c>
    </row>
    <row r="2698" spans="5:9" x14ac:dyDescent="0.3">
      <c r="E2698" t="str">
        <f>IFERROR(IF(D2698="","",VLOOKUP(D2698,CadProd!$A:$B,2,0)),"")</f>
        <v/>
      </c>
      <c r="F2698" t="str">
        <f>IFERROR(IF(D2698="","",VLOOKUP(D2698,CadProd!$A:$C,3,0)),"")</f>
        <v/>
      </c>
      <c r="I2698" s="1" t="str">
        <f t="shared" si="42"/>
        <v/>
      </c>
    </row>
    <row r="2699" spans="5:9" x14ac:dyDescent="0.3">
      <c r="E2699" t="str">
        <f>IFERROR(IF(D2699="","",VLOOKUP(D2699,CadProd!$A:$B,2,0)),"")</f>
        <v/>
      </c>
      <c r="F2699" t="str">
        <f>IFERROR(IF(D2699="","",VLOOKUP(D2699,CadProd!$A:$C,3,0)),"")</f>
        <v/>
      </c>
      <c r="I2699" s="1" t="str">
        <f t="shared" si="42"/>
        <v/>
      </c>
    </row>
    <row r="2700" spans="5:9" x14ac:dyDescent="0.3">
      <c r="E2700" t="str">
        <f>IFERROR(IF(D2700="","",VLOOKUP(D2700,CadProd!$A:$B,2,0)),"")</f>
        <v/>
      </c>
      <c r="F2700" t="str">
        <f>IFERROR(IF(D2700="","",VLOOKUP(D2700,CadProd!$A:$C,3,0)),"")</f>
        <v/>
      </c>
      <c r="I2700" s="1" t="str">
        <f t="shared" si="42"/>
        <v/>
      </c>
    </row>
    <row r="2701" spans="5:9" x14ac:dyDescent="0.3">
      <c r="E2701" t="str">
        <f>IFERROR(IF(D2701="","",VLOOKUP(D2701,CadProd!$A:$B,2,0)),"")</f>
        <v/>
      </c>
      <c r="F2701" t="str">
        <f>IFERROR(IF(D2701="","",VLOOKUP(D2701,CadProd!$A:$C,3,0)),"")</f>
        <v/>
      </c>
      <c r="I2701" s="1" t="str">
        <f t="shared" si="42"/>
        <v/>
      </c>
    </row>
    <row r="2702" spans="5:9" x14ac:dyDescent="0.3">
      <c r="E2702" t="str">
        <f>IFERROR(IF(D2702="","",VLOOKUP(D2702,CadProd!$A:$B,2,0)),"")</f>
        <v/>
      </c>
      <c r="F2702" t="str">
        <f>IFERROR(IF(D2702="","",VLOOKUP(D2702,CadProd!$A:$C,3,0)),"")</f>
        <v/>
      </c>
      <c r="I2702" s="1" t="str">
        <f t="shared" si="42"/>
        <v/>
      </c>
    </row>
    <row r="2703" spans="5:9" x14ac:dyDescent="0.3">
      <c r="E2703" t="str">
        <f>IFERROR(IF(D2703="","",VLOOKUP(D2703,CadProd!$A:$B,2,0)),"")</f>
        <v/>
      </c>
      <c r="F2703" t="str">
        <f>IFERROR(IF(D2703="","",VLOOKUP(D2703,CadProd!$A:$C,3,0)),"")</f>
        <v/>
      </c>
      <c r="I2703" s="1" t="str">
        <f t="shared" si="42"/>
        <v/>
      </c>
    </row>
    <row r="2704" spans="5:9" x14ac:dyDescent="0.3">
      <c r="E2704" t="str">
        <f>IFERROR(IF(D2704="","",VLOOKUP(D2704,CadProd!$A:$B,2,0)),"")</f>
        <v/>
      </c>
      <c r="F2704" t="str">
        <f>IFERROR(IF(D2704="","",VLOOKUP(D2704,CadProd!$A:$C,3,0)),"")</f>
        <v/>
      </c>
      <c r="I2704" s="1" t="str">
        <f t="shared" si="42"/>
        <v/>
      </c>
    </row>
    <row r="2705" spans="5:9" x14ac:dyDescent="0.3">
      <c r="E2705" t="str">
        <f>IFERROR(IF(D2705="","",VLOOKUP(D2705,CadProd!$A:$B,2,0)),"")</f>
        <v/>
      </c>
      <c r="F2705" t="str">
        <f>IFERROR(IF(D2705="","",VLOOKUP(D2705,CadProd!$A:$C,3,0)),"")</f>
        <v/>
      </c>
      <c r="I2705" s="1" t="str">
        <f t="shared" si="42"/>
        <v/>
      </c>
    </row>
    <row r="2706" spans="5:9" x14ac:dyDescent="0.3">
      <c r="E2706" t="str">
        <f>IFERROR(IF(D2706="","",VLOOKUP(D2706,CadProd!$A:$B,2,0)),"")</f>
        <v/>
      </c>
      <c r="F2706" t="str">
        <f>IFERROR(IF(D2706="","",VLOOKUP(D2706,CadProd!$A:$C,3,0)),"")</f>
        <v/>
      </c>
      <c r="I2706" s="1" t="str">
        <f t="shared" si="42"/>
        <v/>
      </c>
    </row>
    <row r="2707" spans="5:9" x14ac:dyDescent="0.3">
      <c r="E2707" t="str">
        <f>IFERROR(IF(D2707="","",VLOOKUP(D2707,CadProd!$A:$B,2,0)),"")</f>
        <v/>
      </c>
      <c r="F2707" t="str">
        <f>IFERROR(IF(D2707="","",VLOOKUP(D2707,CadProd!$A:$C,3,0)),"")</f>
        <v/>
      </c>
      <c r="I2707" s="1" t="str">
        <f t="shared" si="42"/>
        <v/>
      </c>
    </row>
    <row r="2708" spans="5:9" x14ac:dyDescent="0.3">
      <c r="E2708" t="str">
        <f>IFERROR(IF(D2708="","",VLOOKUP(D2708,CadProd!$A:$B,2,0)),"")</f>
        <v/>
      </c>
      <c r="F2708" t="str">
        <f>IFERROR(IF(D2708="","",VLOOKUP(D2708,CadProd!$A:$C,3,0)),"")</f>
        <v/>
      </c>
      <c r="I2708" s="1" t="str">
        <f t="shared" si="42"/>
        <v/>
      </c>
    </row>
    <row r="2709" spans="5:9" x14ac:dyDescent="0.3">
      <c r="E2709" t="str">
        <f>IFERROR(IF(D2709="","",VLOOKUP(D2709,CadProd!$A:$B,2,0)),"")</f>
        <v/>
      </c>
      <c r="F2709" t="str">
        <f>IFERROR(IF(D2709="","",VLOOKUP(D2709,CadProd!$A:$C,3,0)),"")</f>
        <v/>
      </c>
      <c r="I2709" s="1" t="str">
        <f t="shared" si="42"/>
        <v/>
      </c>
    </row>
    <row r="2710" spans="5:9" x14ac:dyDescent="0.3">
      <c r="E2710" t="str">
        <f>IFERROR(IF(D2710="","",VLOOKUP(D2710,CadProd!$A:$B,2,0)),"")</f>
        <v/>
      </c>
      <c r="F2710" t="str">
        <f>IFERROR(IF(D2710="","",VLOOKUP(D2710,CadProd!$A:$C,3,0)),"")</f>
        <v/>
      </c>
      <c r="I2710" s="1" t="str">
        <f t="shared" si="42"/>
        <v/>
      </c>
    </row>
    <row r="2711" spans="5:9" x14ac:dyDescent="0.3">
      <c r="E2711" t="str">
        <f>IFERROR(IF(D2711="","",VLOOKUP(D2711,CadProd!$A:$B,2,0)),"")</f>
        <v/>
      </c>
      <c r="F2711" t="str">
        <f>IFERROR(IF(D2711="","",VLOOKUP(D2711,CadProd!$A:$C,3,0)),"")</f>
        <v/>
      </c>
      <c r="I2711" s="1" t="str">
        <f t="shared" si="42"/>
        <v/>
      </c>
    </row>
    <row r="2712" spans="5:9" x14ac:dyDescent="0.3">
      <c r="E2712" t="str">
        <f>IFERROR(IF(D2712="","",VLOOKUP(D2712,CadProd!$A:$B,2,0)),"")</f>
        <v/>
      </c>
      <c r="F2712" t="str">
        <f>IFERROR(IF(D2712="","",VLOOKUP(D2712,CadProd!$A:$C,3,0)),"")</f>
        <v/>
      </c>
      <c r="I2712" s="1" t="str">
        <f t="shared" si="42"/>
        <v/>
      </c>
    </row>
    <row r="2713" spans="5:9" x14ac:dyDescent="0.3">
      <c r="E2713" t="str">
        <f>IFERROR(IF(D2713="","",VLOOKUP(D2713,CadProd!$A:$B,2,0)),"")</f>
        <v/>
      </c>
      <c r="F2713" t="str">
        <f>IFERROR(IF(D2713="","",VLOOKUP(D2713,CadProd!$A:$C,3,0)),"")</f>
        <v/>
      </c>
      <c r="I2713" s="1" t="str">
        <f t="shared" si="42"/>
        <v/>
      </c>
    </row>
    <row r="2714" spans="5:9" x14ac:dyDescent="0.3">
      <c r="E2714" t="str">
        <f>IFERROR(IF(D2714="","",VLOOKUP(D2714,CadProd!$A:$B,2,0)),"")</f>
        <v/>
      </c>
      <c r="F2714" t="str">
        <f>IFERROR(IF(D2714="","",VLOOKUP(D2714,CadProd!$A:$C,3,0)),"")</f>
        <v/>
      </c>
      <c r="I2714" s="1" t="str">
        <f t="shared" si="42"/>
        <v/>
      </c>
    </row>
    <row r="2715" spans="5:9" x14ac:dyDescent="0.3">
      <c r="E2715" t="str">
        <f>IFERROR(IF(D2715="","",VLOOKUP(D2715,CadProd!$A:$B,2,0)),"")</f>
        <v/>
      </c>
      <c r="F2715" t="str">
        <f>IFERROR(IF(D2715="","",VLOOKUP(D2715,CadProd!$A:$C,3,0)),"")</f>
        <v/>
      </c>
      <c r="I2715" s="1" t="str">
        <f t="shared" si="42"/>
        <v/>
      </c>
    </row>
    <row r="2716" spans="5:9" x14ac:dyDescent="0.3">
      <c r="E2716" t="str">
        <f>IFERROR(IF(D2716="","",VLOOKUP(D2716,CadProd!$A:$B,2,0)),"")</f>
        <v/>
      </c>
      <c r="F2716" t="str">
        <f>IFERROR(IF(D2716="","",VLOOKUP(D2716,CadProd!$A:$C,3,0)),"")</f>
        <v/>
      </c>
      <c r="I2716" s="1" t="str">
        <f t="shared" si="42"/>
        <v/>
      </c>
    </row>
    <row r="2717" spans="5:9" x14ac:dyDescent="0.3">
      <c r="E2717" t="str">
        <f>IFERROR(IF(D2717="","",VLOOKUP(D2717,CadProd!$A:$B,2,0)),"")</f>
        <v/>
      </c>
      <c r="F2717" t="str">
        <f>IFERROR(IF(D2717="","",VLOOKUP(D2717,CadProd!$A:$C,3,0)),"")</f>
        <v/>
      </c>
      <c r="I2717" s="1" t="str">
        <f t="shared" si="42"/>
        <v/>
      </c>
    </row>
    <row r="2718" spans="5:9" x14ac:dyDescent="0.3">
      <c r="E2718" t="str">
        <f>IFERROR(IF(D2718="","",VLOOKUP(D2718,CadProd!$A:$B,2,0)),"")</f>
        <v/>
      </c>
      <c r="F2718" t="str">
        <f>IFERROR(IF(D2718="","",VLOOKUP(D2718,CadProd!$A:$C,3,0)),"")</f>
        <v/>
      </c>
      <c r="I2718" s="1" t="str">
        <f t="shared" si="42"/>
        <v/>
      </c>
    </row>
    <row r="2719" spans="5:9" x14ac:dyDescent="0.3">
      <c r="E2719" t="str">
        <f>IFERROR(IF(D2719="","",VLOOKUP(D2719,CadProd!$A:$B,2,0)),"")</f>
        <v/>
      </c>
      <c r="F2719" t="str">
        <f>IFERROR(IF(D2719="","",VLOOKUP(D2719,CadProd!$A:$C,3,0)),"")</f>
        <v/>
      </c>
      <c r="I2719" s="1" t="str">
        <f t="shared" si="42"/>
        <v/>
      </c>
    </row>
    <row r="2720" spans="5:9" x14ac:dyDescent="0.3">
      <c r="E2720" t="str">
        <f>IFERROR(IF(D2720="","",VLOOKUP(D2720,CadProd!$A:$B,2,0)),"")</f>
        <v/>
      </c>
      <c r="F2720" t="str">
        <f>IFERROR(IF(D2720="","",VLOOKUP(D2720,CadProd!$A:$C,3,0)),"")</f>
        <v/>
      </c>
      <c r="I2720" s="1" t="str">
        <f t="shared" si="42"/>
        <v/>
      </c>
    </row>
    <row r="2721" spans="5:9" x14ac:dyDescent="0.3">
      <c r="E2721" t="str">
        <f>IFERROR(IF(D2721="","",VLOOKUP(D2721,CadProd!$A:$B,2,0)),"")</f>
        <v/>
      </c>
      <c r="F2721" t="str">
        <f>IFERROR(IF(D2721="","",VLOOKUP(D2721,CadProd!$A:$C,3,0)),"")</f>
        <v/>
      </c>
      <c r="I2721" s="1" t="str">
        <f t="shared" si="42"/>
        <v/>
      </c>
    </row>
    <row r="2722" spans="5:9" x14ac:dyDescent="0.3">
      <c r="E2722" t="str">
        <f>IFERROR(IF(D2722="","",VLOOKUP(D2722,CadProd!$A:$B,2,0)),"")</f>
        <v/>
      </c>
      <c r="F2722" t="str">
        <f>IFERROR(IF(D2722="","",VLOOKUP(D2722,CadProd!$A:$C,3,0)),"")</f>
        <v/>
      </c>
      <c r="I2722" s="1" t="str">
        <f t="shared" si="42"/>
        <v/>
      </c>
    </row>
    <row r="2723" spans="5:9" x14ac:dyDescent="0.3">
      <c r="E2723" t="str">
        <f>IFERROR(IF(D2723="","",VLOOKUP(D2723,CadProd!$A:$B,2,0)),"")</f>
        <v/>
      </c>
      <c r="F2723" t="str">
        <f>IFERROR(IF(D2723="","",VLOOKUP(D2723,CadProd!$A:$C,3,0)),"")</f>
        <v/>
      </c>
      <c r="I2723" s="1" t="str">
        <f t="shared" si="42"/>
        <v/>
      </c>
    </row>
    <row r="2724" spans="5:9" x14ac:dyDescent="0.3">
      <c r="E2724" t="str">
        <f>IFERROR(IF(D2724="","",VLOOKUP(D2724,CadProd!$A:$B,2,0)),"")</f>
        <v/>
      </c>
      <c r="F2724" t="str">
        <f>IFERROR(IF(D2724="","",VLOOKUP(D2724,CadProd!$A:$C,3,0)),"")</f>
        <v/>
      </c>
      <c r="I2724" s="1" t="str">
        <f t="shared" si="42"/>
        <v/>
      </c>
    </row>
    <row r="2725" spans="5:9" x14ac:dyDescent="0.3">
      <c r="E2725" t="str">
        <f>IFERROR(IF(D2725="","",VLOOKUP(D2725,CadProd!$A:$B,2,0)),"")</f>
        <v/>
      </c>
      <c r="F2725" t="str">
        <f>IFERROR(IF(D2725="","",VLOOKUP(D2725,CadProd!$A:$C,3,0)),"")</f>
        <v/>
      </c>
      <c r="I2725" s="1" t="str">
        <f t="shared" si="42"/>
        <v/>
      </c>
    </row>
    <row r="2726" spans="5:9" x14ac:dyDescent="0.3">
      <c r="E2726" t="str">
        <f>IFERROR(IF(D2726="","",VLOOKUP(D2726,CadProd!$A:$B,2,0)),"")</f>
        <v/>
      </c>
      <c r="F2726" t="str">
        <f>IFERROR(IF(D2726="","",VLOOKUP(D2726,CadProd!$A:$C,3,0)),"")</f>
        <v/>
      </c>
      <c r="I2726" s="1" t="str">
        <f t="shared" si="42"/>
        <v/>
      </c>
    </row>
    <row r="2727" spans="5:9" x14ac:dyDescent="0.3">
      <c r="E2727" t="str">
        <f>IFERROR(IF(D2727="","",VLOOKUP(D2727,CadProd!$A:$B,2,0)),"")</f>
        <v/>
      </c>
      <c r="F2727" t="str">
        <f>IFERROR(IF(D2727="","",VLOOKUP(D2727,CadProd!$A:$C,3,0)),"")</f>
        <v/>
      </c>
      <c r="I2727" s="1" t="str">
        <f t="shared" si="42"/>
        <v/>
      </c>
    </row>
    <row r="2728" spans="5:9" x14ac:dyDescent="0.3">
      <c r="E2728" t="str">
        <f>IFERROR(IF(D2728="","",VLOOKUP(D2728,CadProd!$A:$B,2,0)),"")</f>
        <v/>
      </c>
      <c r="F2728" t="str">
        <f>IFERROR(IF(D2728="","",VLOOKUP(D2728,CadProd!$A:$C,3,0)),"")</f>
        <v/>
      </c>
      <c r="I2728" s="1" t="str">
        <f t="shared" si="42"/>
        <v/>
      </c>
    </row>
    <row r="2729" spans="5:9" x14ac:dyDescent="0.3">
      <c r="E2729" t="str">
        <f>IFERROR(IF(D2729="","",VLOOKUP(D2729,CadProd!$A:$B,2,0)),"")</f>
        <v/>
      </c>
      <c r="F2729" t="str">
        <f>IFERROR(IF(D2729="","",VLOOKUP(D2729,CadProd!$A:$C,3,0)),"")</f>
        <v/>
      </c>
      <c r="I2729" s="1" t="str">
        <f t="shared" si="42"/>
        <v/>
      </c>
    </row>
    <row r="2730" spans="5:9" x14ac:dyDescent="0.3">
      <c r="E2730" t="str">
        <f>IFERROR(IF(D2730="","",VLOOKUP(D2730,CadProd!$A:$B,2,0)),"")</f>
        <v/>
      </c>
      <c r="F2730" t="str">
        <f>IFERROR(IF(D2730="","",VLOOKUP(D2730,CadProd!$A:$C,3,0)),"")</f>
        <v/>
      </c>
      <c r="I2730" s="1" t="str">
        <f t="shared" si="42"/>
        <v/>
      </c>
    </row>
    <row r="2731" spans="5:9" x14ac:dyDescent="0.3">
      <c r="E2731" t="str">
        <f>IFERROR(IF(D2731="","",VLOOKUP(D2731,CadProd!$A:$B,2,0)),"")</f>
        <v/>
      </c>
      <c r="F2731" t="str">
        <f>IFERROR(IF(D2731="","",VLOOKUP(D2731,CadProd!$A:$C,3,0)),"")</f>
        <v/>
      </c>
      <c r="I2731" s="1" t="str">
        <f t="shared" si="42"/>
        <v/>
      </c>
    </row>
    <row r="2732" spans="5:9" x14ac:dyDescent="0.3">
      <c r="E2732" t="str">
        <f>IFERROR(IF(D2732="","",VLOOKUP(D2732,CadProd!$A:$B,2,0)),"")</f>
        <v/>
      </c>
      <c r="F2732" t="str">
        <f>IFERROR(IF(D2732="","",VLOOKUP(D2732,CadProd!$A:$C,3,0)),"")</f>
        <v/>
      </c>
      <c r="I2732" s="1" t="str">
        <f t="shared" si="42"/>
        <v/>
      </c>
    </row>
    <row r="2733" spans="5:9" x14ac:dyDescent="0.3">
      <c r="E2733" t="str">
        <f>IFERROR(IF(D2733="","",VLOOKUP(D2733,CadProd!$A:$B,2,0)),"")</f>
        <v/>
      </c>
      <c r="F2733" t="str">
        <f>IFERROR(IF(D2733="","",VLOOKUP(D2733,CadProd!$A:$C,3,0)),"")</f>
        <v/>
      </c>
      <c r="I2733" s="1" t="str">
        <f t="shared" si="42"/>
        <v/>
      </c>
    </row>
    <row r="2734" spans="5:9" x14ac:dyDescent="0.3">
      <c r="E2734" t="str">
        <f>IFERROR(IF(D2734="","",VLOOKUP(D2734,CadProd!$A:$B,2,0)),"")</f>
        <v/>
      </c>
      <c r="F2734" t="str">
        <f>IFERROR(IF(D2734="","",VLOOKUP(D2734,CadProd!$A:$C,3,0)),"")</f>
        <v/>
      </c>
      <c r="I2734" s="1" t="str">
        <f t="shared" si="42"/>
        <v/>
      </c>
    </row>
    <row r="2735" spans="5:9" x14ac:dyDescent="0.3">
      <c r="E2735" t="str">
        <f>IFERROR(IF(D2735="","",VLOOKUP(D2735,CadProd!$A:$B,2,0)),"")</f>
        <v/>
      </c>
      <c r="F2735" t="str">
        <f>IFERROR(IF(D2735="","",VLOOKUP(D2735,CadProd!$A:$C,3,0)),"")</f>
        <v/>
      </c>
      <c r="I2735" s="1" t="str">
        <f t="shared" si="42"/>
        <v/>
      </c>
    </row>
    <row r="2736" spans="5:9" x14ac:dyDescent="0.3">
      <c r="E2736" t="str">
        <f>IFERROR(IF(D2736="","",VLOOKUP(D2736,CadProd!$A:$B,2,0)),"")</f>
        <v/>
      </c>
      <c r="F2736" t="str">
        <f>IFERROR(IF(D2736="","",VLOOKUP(D2736,CadProd!$A:$C,3,0)),"")</f>
        <v/>
      </c>
      <c r="I2736" s="1" t="str">
        <f t="shared" si="42"/>
        <v/>
      </c>
    </row>
    <row r="2737" spans="5:9" x14ac:dyDescent="0.3">
      <c r="E2737" t="str">
        <f>IFERROR(IF(D2737="","",VLOOKUP(D2737,CadProd!$A:$B,2,0)),"")</f>
        <v/>
      </c>
      <c r="F2737" t="str">
        <f>IFERROR(IF(D2737="","",VLOOKUP(D2737,CadProd!$A:$C,3,0)),"")</f>
        <v/>
      </c>
      <c r="I2737" s="1" t="str">
        <f t="shared" si="42"/>
        <v/>
      </c>
    </row>
    <row r="2738" spans="5:9" x14ac:dyDescent="0.3">
      <c r="E2738" t="str">
        <f>IFERROR(IF(D2738="","",VLOOKUP(D2738,CadProd!$A:$B,2,0)),"")</f>
        <v/>
      </c>
      <c r="F2738" t="str">
        <f>IFERROR(IF(D2738="","",VLOOKUP(D2738,CadProd!$A:$C,3,0)),"")</f>
        <v/>
      </c>
      <c r="I2738" s="1" t="str">
        <f t="shared" si="42"/>
        <v/>
      </c>
    </row>
    <row r="2739" spans="5:9" x14ac:dyDescent="0.3">
      <c r="E2739" t="str">
        <f>IFERROR(IF(D2739="","",VLOOKUP(D2739,CadProd!$A:$B,2,0)),"")</f>
        <v/>
      </c>
      <c r="F2739" t="str">
        <f>IFERROR(IF(D2739="","",VLOOKUP(D2739,CadProd!$A:$C,3,0)),"")</f>
        <v/>
      </c>
      <c r="I2739" s="1" t="str">
        <f t="shared" si="42"/>
        <v/>
      </c>
    </row>
    <row r="2740" spans="5:9" x14ac:dyDescent="0.3">
      <c r="E2740" t="str">
        <f>IFERROR(IF(D2740="","",VLOOKUP(D2740,CadProd!$A:$B,2,0)),"")</f>
        <v/>
      </c>
      <c r="F2740" t="str">
        <f>IFERROR(IF(D2740="","",VLOOKUP(D2740,CadProd!$A:$C,3,0)),"")</f>
        <v/>
      </c>
      <c r="I2740" s="1" t="str">
        <f t="shared" si="42"/>
        <v/>
      </c>
    </row>
    <row r="2741" spans="5:9" x14ac:dyDescent="0.3">
      <c r="E2741" t="str">
        <f>IFERROR(IF(D2741="","",VLOOKUP(D2741,CadProd!$A:$B,2,0)),"")</f>
        <v/>
      </c>
      <c r="F2741" t="str">
        <f>IFERROR(IF(D2741="","",VLOOKUP(D2741,CadProd!$A:$C,3,0)),"")</f>
        <v/>
      </c>
      <c r="I2741" s="1" t="str">
        <f t="shared" si="42"/>
        <v/>
      </c>
    </row>
    <row r="2742" spans="5:9" x14ac:dyDescent="0.3">
      <c r="E2742" t="str">
        <f>IFERROR(IF(D2742="","",VLOOKUP(D2742,CadProd!$A:$B,2,0)),"")</f>
        <v/>
      </c>
      <c r="F2742" t="str">
        <f>IFERROR(IF(D2742="","",VLOOKUP(D2742,CadProd!$A:$C,3,0)),"")</f>
        <v/>
      </c>
      <c r="I2742" s="1" t="str">
        <f t="shared" si="42"/>
        <v/>
      </c>
    </row>
    <row r="2743" spans="5:9" x14ac:dyDescent="0.3">
      <c r="E2743" t="str">
        <f>IFERROR(IF(D2743="","",VLOOKUP(D2743,CadProd!$A:$B,2,0)),"")</f>
        <v/>
      </c>
      <c r="F2743" t="str">
        <f>IFERROR(IF(D2743="","",VLOOKUP(D2743,CadProd!$A:$C,3,0)),"")</f>
        <v/>
      </c>
      <c r="I2743" s="1" t="str">
        <f t="shared" si="42"/>
        <v/>
      </c>
    </row>
    <row r="2744" spans="5:9" x14ac:dyDescent="0.3">
      <c r="E2744" t="str">
        <f>IFERROR(IF(D2744="","",VLOOKUP(D2744,CadProd!$A:$B,2,0)),"")</f>
        <v/>
      </c>
      <c r="F2744" t="str">
        <f>IFERROR(IF(D2744="","",VLOOKUP(D2744,CadProd!$A:$C,3,0)),"")</f>
        <v/>
      </c>
      <c r="I2744" s="1" t="str">
        <f t="shared" si="42"/>
        <v/>
      </c>
    </row>
    <row r="2745" spans="5:9" x14ac:dyDescent="0.3">
      <c r="E2745" t="str">
        <f>IFERROR(IF(D2745="","",VLOOKUP(D2745,CadProd!$A:$B,2,0)),"")</f>
        <v/>
      </c>
      <c r="F2745" t="str">
        <f>IFERROR(IF(D2745="","",VLOOKUP(D2745,CadProd!$A:$C,3,0)),"")</f>
        <v/>
      </c>
      <c r="I2745" s="1" t="str">
        <f t="shared" si="42"/>
        <v/>
      </c>
    </row>
    <row r="2746" spans="5:9" x14ac:dyDescent="0.3">
      <c r="E2746" t="str">
        <f>IFERROR(IF(D2746="","",VLOOKUP(D2746,CadProd!$A:$B,2,0)),"")</f>
        <v/>
      </c>
      <c r="F2746" t="str">
        <f>IFERROR(IF(D2746="","",VLOOKUP(D2746,CadProd!$A:$C,3,0)),"")</f>
        <v/>
      </c>
      <c r="I2746" s="1" t="str">
        <f t="shared" si="42"/>
        <v/>
      </c>
    </row>
    <row r="2747" spans="5:9" x14ac:dyDescent="0.3">
      <c r="E2747" t="str">
        <f>IFERROR(IF(D2747="","",VLOOKUP(D2747,CadProd!$A:$B,2,0)),"")</f>
        <v/>
      </c>
      <c r="F2747" t="str">
        <f>IFERROR(IF(D2747="","",VLOOKUP(D2747,CadProd!$A:$C,3,0)),"")</f>
        <v/>
      </c>
      <c r="I2747" s="1" t="str">
        <f t="shared" si="42"/>
        <v/>
      </c>
    </row>
    <row r="2748" spans="5:9" x14ac:dyDescent="0.3">
      <c r="E2748" t="str">
        <f>IFERROR(IF(D2748="","",VLOOKUP(D2748,CadProd!$A:$B,2,0)),"")</f>
        <v/>
      </c>
      <c r="F2748" t="str">
        <f>IFERROR(IF(D2748="","",VLOOKUP(D2748,CadProd!$A:$C,3,0)),"")</f>
        <v/>
      </c>
      <c r="I2748" s="1" t="str">
        <f t="shared" si="42"/>
        <v/>
      </c>
    </row>
    <row r="2749" spans="5:9" x14ac:dyDescent="0.3">
      <c r="E2749" t="str">
        <f>IFERROR(IF(D2749="","",VLOOKUP(D2749,CadProd!$A:$B,2,0)),"")</f>
        <v/>
      </c>
      <c r="F2749" t="str">
        <f>IFERROR(IF(D2749="","",VLOOKUP(D2749,CadProd!$A:$C,3,0)),"")</f>
        <v/>
      </c>
      <c r="I2749" s="1" t="str">
        <f t="shared" si="42"/>
        <v/>
      </c>
    </row>
    <row r="2750" spans="5:9" x14ac:dyDescent="0.3">
      <c r="E2750" t="str">
        <f>IFERROR(IF(D2750="","",VLOOKUP(D2750,CadProd!$A:$B,2,0)),"")</f>
        <v/>
      </c>
      <c r="F2750" t="str">
        <f>IFERROR(IF(D2750="","",VLOOKUP(D2750,CadProd!$A:$C,3,0)),"")</f>
        <v/>
      </c>
      <c r="I2750" s="1" t="str">
        <f t="shared" si="42"/>
        <v/>
      </c>
    </row>
    <row r="2751" spans="5:9" x14ac:dyDescent="0.3">
      <c r="E2751" t="str">
        <f>IFERROR(IF(D2751="","",VLOOKUP(D2751,CadProd!$A:$B,2,0)),"")</f>
        <v/>
      </c>
      <c r="F2751" t="str">
        <f>IFERROR(IF(D2751="","",VLOOKUP(D2751,CadProd!$A:$C,3,0)),"")</f>
        <v/>
      </c>
      <c r="I2751" s="1" t="str">
        <f t="shared" si="42"/>
        <v/>
      </c>
    </row>
    <row r="2752" spans="5:9" x14ac:dyDescent="0.3">
      <c r="E2752" t="str">
        <f>IFERROR(IF(D2752="","",VLOOKUP(D2752,CadProd!$A:$B,2,0)),"")</f>
        <v/>
      </c>
      <c r="F2752" t="str">
        <f>IFERROR(IF(D2752="","",VLOOKUP(D2752,CadProd!$A:$C,3,0)),"")</f>
        <v/>
      </c>
      <c r="I2752" s="1" t="str">
        <f t="shared" si="42"/>
        <v/>
      </c>
    </row>
    <row r="2753" spans="5:9" x14ac:dyDescent="0.3">
      <c r="E2753" t="str">
        <f>IFERROR(IF(D2753="","",VLOOKUP(D2753,CadProd!$A:$B,2,0)),"")</f>
        <v/>
      </c>
      <c r="F2753" t="str">
        <f>IFERROR(IF(D2753="","",VLOOKUP(D2753,CadProd!$A:$C,3,0)),"")</f>
        <v/>
      </c>
      <c r="I2753" s="1" t="str">
        <f t="shared" si="42"/>
        <v/>
      </c>
    </row>
    <row r="2754" spans="5:9" x14ac:dyDescent="0.3">
      <c r="E2754" t="str">
        <f>IFERROR(IF(D2754="","",VLOOKUP(D2754,CadProd!$A:$B,2,0)),"")</f>
        <v/>
      </c>
      <c r="F2754" t="str">
        <f>IFERROR(IF(D2754="","",VLOOKUP(D2754,CadProd!$A:$C,3,0)),"")</f>
        <v/>
      </c>
      <c r="I2754" s="1" t="str">
        <f t="shared" ref="I2754:I2817" si="43">IFERROR(IF(D2754="","",H2754*G2754),"")</f>
        <v/>
      </c>
    </row>
    <row r="2755" spans="5:9" x14ac:dyDescent="0.3">
      <c r="E2755" t="str">
        <f>IFERROR(IF(D2755="","",VLOOKUP(D2755,CadProd!$A:$B,2,0)),"")</f>
        <v/>
      </c>
      <c r="F2755" t="str">
        <f>IFERROR(IF(D2755="","",VLOOKUP(D2755,CadProd!$A:$C,3,0)),"")</f>
        <v/>
      </c>
      <c r="I2755" s="1" t="str">
        <f t="shared" si="43"/>
        <v/>
      </c>
    </row>
    <row r="2756" spans="5:9" x14ac:dyDescent="0.3">
      <c r="E2756" t="str">
        <f>IFERROR(IF(D2756="","",VLOOKUP(D2756,CadProd!$A:$B,2,0)),"")</f>
        <v/>
      </c>
      <c r="F2756" t="str">
        <f>IFERROR(IF(D2756="","",VLOOKUP(D2756,CadProd!$A:$C,3,0)),"")</f>
        <v/>
      </c>
      <c r="I2756" s="1" t="str">
        <f t="shared" si="43"/>
        <v/>
      </c>
    </row>
    <row r="2757" spans="5:9" x14ac:dyDescent="0.3">
      <c r="E2757" t="str">
        <f>IFERROR(IF(D2757="","",VLOOKUP(D2757,CadProd!$A:$B,2,0)),"")</f>
        <v/>
      </c>
      <c r="F2757" t="str">
        <f>IFERROR(IF(D2757="","",VLOOKUP(D2757,CadProd!$A:$C,3,0)),"")</f>
        <v/>
      </c>
      <c r="I2757" s="1" t="str">
        <f t="shared" si="43"/>
        <v/>
      </c>
    </row>
    <row r="2758" spans="5:9" x14ac:dyDescent="0.3">
      <c r="E2758" t="str">
        <f>IFERROR(IF(D2758="","",VLOOKUP(D2758,CadProd!$A:$B,2,0)),"")</f>
        <v/>
      </c>
      <c r="F2758" t="str">
        <f>IFERROR(IF(D2758="","",VLOOKUP(D2758,CadProd!$A:$C,3,0)),"")</f>
        <v/>
      </c>
      <c r="I2758" s="1" t="str">
        <f t="shared" si="43"/>
        <v/>
      </c>
    </row>
    <row r="2759" spans="5:9" x14ac:dyDescent="0.3">
      <c r="E2759" t="str">
        <f>IFERROR(IF(D2759="","",VLOOKUP(D2759,CadProd!$A:$B,2,0)),"")</f>
        <v/>
      </c>
      <c r="F2759" t="str">
        <f>IFERROR(IF(D2759="","",VLOOKUP(D2759,CadProd!$A:$C,3,0)),"")</f>
        <v/>
      </c>
      <c r="I2759" s="1" t="str">
        <f t="shared" si="43"/>
        <v/>
      </c>
    </row>
    <row r="2760" spans="5:9" x14ac:dyDescent="0.3">
      <c r="E2760" t="str">
        <f>IFERROR(IF(D2760="","",VLOOKUP(D2760,CadProd!$A:$B,2,0)),"")</f>
        <v/>
      </c>
      <c r="F2760" t="str">
        <f>IFERROR(IF(D2760="","",VLOOKUP(D2760,CadProd!$A:$C,3,0)),"")</f>
        <v/>
      </c>
      <c r="I2760" s="1" t="str">
        <f t="shared" si="43"/>
        <v/>
      </c>
    </row>
    <row r="2761" spans="5:9" x14ac:dyDescent="0.3">
      <c r="E2761" t="str">
        <f>IFERROR(IF(D2761="","",VLOOKUP(D2761,CadProd!$A:$B,2,0)),"")</f>
        <v/>
      </c>
      <c r="F2761" t="str">
        <f>IFERROR(IF(D2761="","",VLOOKUP(D2761,CadProd!$A:$C,3,0)),"")</f>
        <v/>
      </c>
      <c r="I2761" s="1" t="str">
        <f t="shared" si="43"/>
        <v/>
      </c>
    </row>
    <row r="2762" spans="5:9" x14ac:dyDescent="0.3">
      <c r="E2762" t="str">
        <f>IFERROR(IF(D2762="","",VLOOKUP(D2762,CadProd!$A:$B,2,0)),"")</f>
        <v/>
      </c>
      <c r="F2762" t="str">
        <f>IFERROR(IF(D2762="","",VLOOKUP(D2762,CadProd!$A:$C,3,0)),"")</f>
        <v/>
      </c>
      <c r="I2762" s="1" t="str">
        <f t="shared" si="43"/>
        <v/>
      </c>
    </row>
    <row r="2763" spans="5:9" x14ac:dyDescent="0.3">
      <c r="E2763" t="str">
        <f>IFERROR(IF(D2763="","",VLOOKUP(D2763,CadProd!$A:$B,2,0)),"")</f>
        <v/>
      </c>
      <c r="F2763" t="str">
        <f>IFERROR(IF(D2763="","",VLOOKUP(D2763,CadProd!$A:$C,3,0)),"")</f>
        <v/>
      </c>
      <c r="I2763" s="1" t="str">
        <f t="shared" si="43"/>
        <v/>
      </c>
    </row>
    <row r="2764" spans="5:9" x14ac:dyDescent="0.3">
      <c r="E2764" t="str">
        <f>IFERROR(IF(D2764="","",VLOOKUP(D2764,CadProd!$A:$B,2,0)),"")</f>
        <v/>
      </c>
      <c r="F2764" t="str">
        <f>IFERROR(IF(D2764="","",VLOOKUP(D2764,CadProd!$A:$C,3,0)),"")</f>
        <v/>
      </c>
      <c r="I2764" s="1" t="str">
        <f t="shared" si="43"/>
        <v/>
      </c>
    </row>
    <row r="2765" spans="5:9" x14ac:dyDescent="0.3">
      <c r="E2765" t="str">
        <f>IFERROR(IF(D2765="","",VLOOKUP(D2765,CadProd!$A:$B,2,0)),"")</f>
        <v/>
      </c>
      <c r="F2765" t="str">
        <f>IFERROR(IF(D2765="","",VLOOKUP(D2765,CadProd!$A:$C,3,0)),"")</f>
        <v/>
      </c>
      <c r="I2765" s="1" t="str">
        <f t="shared" si="43"/>
        <v/>
      </c>
    </row>
    <row r="2766" spans="5:9" x14ac:dyDescent="0.3">
      <c r="E2766" t="str">
        <f>IFERROR(IF(D2766="","",VLOOKUP(D2766,CadProd!$A:$B,2,0)),"")</f>
        <v/>
      </c>
      <c r="F2766" t="str">
        <f>IFERROR(IF(D2766="","",VLOOKUP(D2766,CadProd!$A:$C,3,0)),"")</f>
        <v/>
      </c>
      <c r="I2766" s="1" t="str">
        <f t="shared" si="43"/>
        <v/>
      </c>
    </row>
    <row r="2767" spans="5:9" x14ac:dyDescent="0.3">
      <c r="E2767" t="str">
        <f>IFERROR(IF(D2767="","",VLOOKUP(D2767,CadProd!$A:$B,2,0)),"")</f>
        <v/>
      </c>
      <c r="F2767" t="str">
        <f>IFERROR(IF(D2767="","",VLOOKUP(D2767,CadProd!$A:$C,3,0)),"")</f>
        <v/>
      </c>
      <c r="I2767" s="1" t="str">
        <f t="shared" si="43"/>
        <v/>
      </c>
    </row>
    <row r="2768" spans="5:9" x14ac:dyDescent="0.3">
      <c r="E2768" t="str">
        <f>IFERROR(IF(D2768="","",VLOOKUP(D2768,CadProd!$A:$B,2,0)),"")</f>
        <v/>
      </c>
      <c r="F2768" t="str">
        <f>IFERROR(IF(D2768="","",VLOOKUP(D2768,CadProd!$A:$C,3,0)),"")</f>
        <v/>
      </c>
      <c r="I2768" s="1" t="str">
        <f t="shared" si="43"/>
        <v/>
      </c>
    </row>
    <row r="2769" spans="5:9" x14ac:dyDescent="0.3">
      <c r="E2769" t="str">
        <f>IFERROR(IF(D2769="","",VLOOKUP(D2769,CadProd!$A:$B,2,0)),"")</f>
        <v/>
      </c>
      <c r="F2769" t="str">
        <f>IFERROR(IF(D2769="","",VLOOKUP(D2769,CadProd!$A:$C,3,0)),"")</f>
        <v/>
      </c>
      <c r="I2769" s="1" t="str">
        <f t="shared" si="43"/>
        <v/>
      </c>
    </row>
    <row r="2770" spans="5:9" x14ac:dyDescent="0.3">
      <c r="E2770" t="str">
        <f>IFERROR(IF(D2770="","",VLOOKUP(D2770,CadProd!$A:$B,2,0)),"")</f>
        <v/>
      </c>
      <c r="F2770" t="str">
        <f>IFERROR(IF(D2770="","",VLOOKUP(D2770,CadProd!$A:$C,3,0)),"")</f>
        <v/>
      </c>
      <c r="I2770" s="1" t="str">
        <f t="shared" si="43"/>
        <v/>
      </c>
    </row>
    <row r="2771" spans="5:9" x14ac:dyDescent="0.3">
      <c r="E2771" t="str">
        <f>IFERROR(IF(D2771="","",VLOOKUP(D2771,CadProd!$A:$B,2,0)),"")</f>
        <v/>
      </c>
      <c r="F2771" t="str">
        <f>IFERROR(IF(D2771="","",VLOOKUP(D2771,CadProd!$A:$C,3,0)),"")</f>
        <v/>
      </c>
      <c r="I2771" s="1" t="str">
        <f t="shared" si="43"/>
        <v/>
      </c>
    </row>
    <row r="2772" spans="5:9" x14ac:dyDescent="0.3">
      <c r="E2772" t="str">
        <f>IFERROR(IF(D2772="","",VLOOKUP(D2772,CadProd!$A:$B,2,0)),"")</f>
        <v/>
      </c>
      <c r="F2772" t="str">
        <f>IFERROR(IF(D2772="","",VLOOKUP(D2772,CadProd!$A:$C,3,0)),"")</f>
        <v/>
      </c>
      <c r="I2772" s="1" t="str">
        <f t="shared" si="43"/>
        <v/>
      </c>
    </row>
    <row r="2773" spans="5:9" x14ac:dyDescent="0.3">
      <c r="E2773" t="str">
        <f>IFERROR(IF(D2773="","",VLOOKUP(D2773,CadProd!$A:$B,2,0)),"")</f>
        <v/>
      </c>
      <c r="F2773" t="str">
        <f>IFERROR(IF(D2773="","",VLOOKUP(D2773,CadProd!$A:$C,3,0)),"")</f>
        <v/>
      </c>
      <c r="I2773" s="1" t="str">
        <f t="shared" si="43"/>
        <v/>
      </c>
    </row>
    <row r="2774" spans="5:9" x14ac:dyDescent="0.3">
      <c r="E2774" t="str">
        <f>IFERROR(IF(D2774="","",VLOOKUP(D2774,CadProd!$A:$B,2,0)),"")</f>
        <v/>
      </c>
      <c r="F2774" t="str">
        <f>IFERROR(IF(D2774="","",VLOOKUP(D2774,CadProd!$A:$C,3,0)),"")</f>
        <v/>
      </c>
      <c r="I2774" s="1" t="str">
        <f t="shared" si="43"/>
        <v/>
      </c>
    </row>
    <row r="2775" spans="5:9" x14ac:dyDescent="0.3">
      <c r="E2775" t="str">
        <f>IFERROR(IF(D2775="","",VLOOKUP(D2775,CadProd!$A:$B,2,0)),"")</f>
        <v/>
      </c>
      <c r="F2775" t="str">
        <f>IFERROR(IF(D2775="","",VLOOKUP(D2775,CadProd!$A:$C,3,0)),"")</f>
        <v/>
      </c>
      <c r="I2775" s="1" t="str">
        <f t="shared" si="43"/>
        <v/>
      </c>
    </row>
    <row r="2776" spans="5:9" x14ac:dyDescent="0.3">
      <c r="E2776" t="str">
        <f>IFERROR(IF(D2776="","",VLOOKUP(D2776,CadProd!$A:$B,2,0)),"")</f>
        <v/>
      </c>
      <c r="F2776" t="str">
        <f>IFERROR(IF(D2776="","",VLOOKUP(D2776,CadProd!$A:$C,3,0)),"")</f>
        <v/>
      </c>
      <c r="I2776" s="1" t="str">
        <f t="shared" si="43"/>
        <v/>
      </c>
    </row>
    <row r="2777" spans="5:9" x14ac:dyDescent="0.3">
      <c r="E2777" t="str">
        <f>IFERROR(IF(D2777="","",VLOOKUP(D2777,CadProd!$A:$B,2,0)),"")</f>
        <v/>
      </c>
      <c r="F2777" t="str">
        <f>IFERROR(IF(D2777="","",VLOOKUP(D2777,CadProd!$A:$C,3,0)),"")</f>
        <v/>
      </c>
      <c r="I2777" s="1" t="str">
        <f t="shared" si="43"/>
        <v/>
      </c>
    </row>
    <row r="2778" spans="5:9" x14ac:dyDescent="0.3">
      <c r="E2778" t="str">
        <f>IFERROR(IF(D2778="","",VLOOKUP(D2778,CadProd!$A:$B,2,0)),"")</f>
        <v/>
      </c>
      <c r="F2778" t="str">
        <f>IFERROR(IF(D2778="","",VLOOKUP(D2778,CadProd!$A:$C,3,0)),"")</f>
        <v/>
      </c>
      <c r="I2778" s="1" t="str">
        <f t="shared" si="43"/>
        <v/>
      </c>
    </row>
    <row r="2779" spans="5:9" x14ac:dyDescent="0.3">
      <c r="E2779" t="str">
        <f>IFERROR(IF(D2779="","",VLOOKUP(D2779,CadProd!$A:$B,2,0)),"")</f>
        <v/>
      </c>
      <c r="F2779" t="str">
        <f>IFERROR(IF(D2779="","",VLOOKUP(D2779,CadProd!$A:$C,3,0)),"")</f>
        <v/>
      </c>
      <c r="I2779" s="1" t="str">
        <f t="shared" si="43"/>
        <v/>
      </c>
    </row>
    <row r="2780" spans="5:9" x14ac:dyDescent="0.3">
      <c r="E2780" t="str">
        <f>IFERROR(IF(D2780="","",VLOOKUP(D2780,CadProd!$A:$B,2,0)),"")</f>
        <v/>
      </c>
      <c r="F2780" t="str">
        <f>IFERROR(IF(D2780="","",VLOOKUP(D2780,CadProd!$A:$C,3,0)),"")</f>
        <v/>
      </c>
      <c r="I2780" s="1" t="str">
        <f t="shared" si="43"/>
        <v/>
      </c>
    </row>
    <row r="2781" spans="5:9" x14ac:dyDescent="0.3">
      <c r="E2781" t="str">
        <f>IFERROR(IF(D2781="","",VLOOKUP(D2781,CadProd!$A:$B,2,0)),"")</f>
        <v/>
      </c>
      <c r="F2781" t="str">
        <f>IFERROR(IF(D2781="","",VLOOKUP(D2781,CadProd!$A:$C,3,0)),"")</f>
        <v/>
      </c>
      <c r="I2781" s="1" t="str">
        <f t="shared" si="43"/>
        <v/>
      </c>
    </row>
    <row r="2782" spans="5:9" x14ac:dyDescent="0.3">
      <c r="E2782" t="str">
        <f>IFERROR(IF(D2782="","",VLOOKUP(D2782,CadProd!$A:$B,2,0)),"")</f>
        <v/>
      </c>
      <c r="F2782" t="str">
        <f>IFERROR(IF(D2782="","",VLOOKUP(D2782,CadProd!$A:$C,3,0)),"")</f>
        <v/>
      </c>
      <c r="I2782" s="1" t="str">
        <f t="shared" si="43"/>
        <v/>
      </c>
    </row>
    <row r="2783" spans="5:9" x14ac:dyDescent="0.3">
      <c r="E2783" t="str">
        <f>IFERROR(IF(D2783="","",VLOOKUP(D2783,CadProd!$A:$B,2,0)),"")</f>
        <v/>
      </c>
      <c r="F2783" t="str">
        <f>IFERROR(IF(D2783="","",VLOOKUP(D2783,CadProd!$A:$C,3,0)),"")</f>
        <v/>
      </c>
      <c r="I2783" s="1" t="str">
        <f t="shared" si="43"/>
        <v/>
      </c>
    </row>
    <row r="2784" spans="5:9" x14ac:dyDescent="0.3">
      <c r="E2784" t="str">
        <f>IFERROR(IF(D2784="","",VLOOKUP(D2784,CadProd!$A:$B,2,0)),"")</f>
        <v/>
      </c>
      <c r="F2784" t="str">
        <f>IFERROR(IF(D2784="","",VLOOKUP(D2784,CadProd!$A:$C,3,0)),"")</f>
        <v/>
      </c>
      <c r="I2784" s="1" t="str">
        <f t="shared" si="43"/>
        <v/>
      </c>
    </row>
    <row r="2785" spans="5:9" x14ac:dyDescent="0.3">
      <c r="E2785" t="str">
        <f>IFERROR(IF(D2785="","",VLOOKUP(D2785,CadProd!$A:$B,2,0)),"")</f>
        <v/>
      </c>
      <c r="F2785" t="str">
        <f>IFERROR(IF(D2785="","",VLOOKUP(D2785,CadProd!$A:$C,3,0)),"")</f>
        <v/>
      </c>
      <c r="I2785" s="1" t="str">
        <f t="shared" si="43"/>
        <v/>
      </c>
    </row>
    <row r="2786" spans="5:9" x14ac:dyDescent="0.3">
      <c r="E2786" t="str">
        <f>IFERROR(IF(D2786="","",VLOOKUP(D2786,CadProd!$A:$B,2,0)),"")</f>
        <v/>
      </c>
      <c r="F2786" t="str">
        <f>IFERROR(IF(D2786="","",VLOOKUP(D2786,CadProd!$A:$C,3,0)),"")</f>
        <v/>
      </c>
      <c r="I2786" s="1" t="str">
        <f t="shared" si="43"/>
        <v/>
      </c>
    </row>
    <row r="2787" spans="5:9" x14ac:dyDescent="0.3">
      <c r="E2787" t="str">
        <f>IFERROR(IF(D2787="","",VLOOKUP(D2787,CadProd!$A:$B,2,0)),"")</f>
        <v/>
      </c>
      <c r="F2787" t="str">
        <f>IFERROR(IF(D2787="","",VLOOKUP(D2787,CadProd!$A:$C,3,0)),"")</f>
        <v/>
      </c>
      <c r="I2787" s="1" t="str">
        <f t="shared" si="43"/>
        <v/>
      </c>
    </row>
    <row r="2788" spans="5:9" x14ac:dyDescent="0.3">
      <c r="E2788" t="str">
        <f>IFERROR(IF(D2788="","",VLOOKUP(D2788,CadProd!$A:$B,2,0)),"")</f>
        <v/>
      </c>
      <c r="F2788" t="str">
        <f>IFERROR(IF(D2788="","",VLOOKUP(D2788,CadProd!$A:$C,3,0)),"")</f>
        <v/>
      </c>
      <c r="I2788" s="1" t="str">
        <f t="shared" si="43"/>
        <v/>
      </c>
    </row>
    <row r="2789" spans="5:9" x14ac:dyDescent="0.3">
      <c r="E2789" t="str">
        <f>IFERROR(IF(D2789="","",VLOOKUP(D2789,CadProd!$A:$B,2,0)),"")</f>
        <v/>
      </c>
      <c r="F2789" t="str">
        <f>IFERROR(IF(D2789="","",VLOOKUP(D2789,CadProd!$A:$C,3,0)),"")</f>
        <v/>
      </c>
      <c r="I2789" s="1" t="str">
        <f t="shared" si="43"/>
        <v/>
      </c>
    </row>
    <row r="2790" spans="5:9" x14ac:dyDescent="0.3">
      <c r="E2790" t="str">
        <f>IFERROR(IF(D2790="","",VLOOKUP(D2790,CadProd!$A:$B,2,0)),"")</f>
        <v/>
      </c>
      <c r="F2790" t="str">
        <f>IFERROR(IF(D2790="","",VLOOKUP(D2790,CadProd!$A:$C,3,0)),"")</f>
        <v/>
      </c>
      <c r="I2790" s="1" t="str">
        <f t="shared" si="43"/>
        <v/>
      </c>
    </row>
    <row r="2791" spans="5:9" x14ac:dyDescent="0.3">
      <c r="E2791" t="str">
        <f>IFERROR(IF(D2791="","",VLOOKUP(D2791,CadProd!$A:$B,2,0)),"")</f>
        <v/>
      </c>
      <c r="F2791" t="str">
        <f>IFERROR(IF(D2791="","",VLOOKUP(D2791,CadProd!$A:$C,3,0)),"")</f>
        <v/>
      </c>
      <c r="I2791" s="1" t="str">
        <f t="shared" si="43"/>
        <v/>
      </c>
    </row>
    <row r="2792" spans="5:9" x14ac:dyDescent="0.3">
      <c r="E2792" t="str">
        <f>IFERROR(IF(D2792="","",VLOOKUP(D2792,CadProd!$A:$B,2,0)),"")</f>
        <v/>
      </c>
      <c r="F2792" t="str">
        <f>IFERROR(IF(D2792="","",VLOOKUP(D2792,CadProd!$A:$C,3,0)),"")</f>
        <v/>
      </c>
      <c r="I2792" s="1" t="str">
        <f t="shared" si="43"/>
        <v/>
      </c>
    </row>
    <row r="2793" spans="5:9" x14ac:dyDescent="0.3">
      <c r="E2793" t="str">
        <f>IFERROR(IF(D2793="","",VLOOKUP(D2793,CadProd!$A:$B,2,0)),"")</f>
        <v/>
      </c>
      <c r="F2793" t="str">
        <f>IFERROR(IF(D2793="","",VLOOKUP(D2793,CadProd!$A:$C,3,0)),"")</f>
        <v/>
      </c>
      <c r="I2793" s="1" t="str">
        <f t="shared" si="43"/>
        <v/>
      </c>
    </row>
    <row r="2794" spans="5:9" x14ac:dyDescent="0.3">
      <c r="E2794" t="str">
        <f>IFERROR(IF(D2794="","",VLOOKUP(D2794,CadProd!$A:$B,2,0)),"")</f>
        <v/>
      </c>
      <c r="F2794" t="str">
        <f>IFERROR(IF(D2794="","",VLOOKUP(D2794,CadProd!$A:$C,3,0)),"")</f>
        <v/>
      </c>
      <c r="I2794" s="1" t="str">
        <f t="shared" si="43"/>
        <v/>
      </c>
    </row>
    <row r="2795" spans="5:9" x14ac:dyDescent="0.3">
      <c r="E2795" t="str">
        <f>IFERROR(IF(D2795="","",VLOOKUP(D2795,CadProd!$A:$B,2,0)),"")</f>
        <v/>
      </c>
      <c r="F2795" t="str">
        <f>IFERROR(IF(D2795="","",VLOOKUP(D2795,CadProd!$A:$C,3,0)),"")</f>
        <v/>
      </c>
      <c r="I2795" s="1" t="str">
        <f t="shared" si="43"/>
        <v/>
      </c>
    </row>
    <row r="2796" spans="5:9" x14ac:dyDescent="0.3">
      <c r="E2796" t="str">
        <f>IFERROR(IF(D2796="","",VLOOKUP(D2796,CadProd!$A:$B,2,0)),"")</f>
        <v/>
      </c>
      <c r="F2796" t="str">
        <f>IFERROR(IF(D2796="","",VLOOKUP(D2796,CadProd!$A:$C,3,0)),"")</f>
        <v/>
      </c>
      <c r="I2796" s="1" t="str">
        <f t="shared" si="43"/>
        <v/>
      </c>
    </row>
    <row r="2797" spans="5:9" x14ac:dyDescent="0.3">
      <c r="E2797" t="str">
        <f>IFERROR(IF(D2797="","",VLOOKUP(D2797,CadProd!$A:$B,2,0)),"")</f>
        <v/>
      </c>
      <c r="F2797" t="str">
        <f>IFERROR(IF(D2797="","",VLOOKUP(D2797,CadProd!$A:$C,3,0)),"")</f>
        <v/>
      </c>
      <c r="I2797" s="1" t="str">
        <f t="shared" si="43"/>
        <v/>
      </c>
    </row>
    <row r="2798" spans="5:9" x14ac:dyDescent="0.3">
      <c r="E2798" t="str">
        <f>IFERROR(IF(D2798="","",VLOOKUP(D2798,CadProd!$A:$B,2,0)),"")</f>
        <v/>
      </c>
      <c r="F2798" t="str">
        <f>IFERROR(IF(D2798="","",VLOOKUP(D2798,CadProd!$A:$C,3,0)),"")</f>
        <v/>
      </c>
      <c r="I2798" s="1" t="str">
        <f t="shared" si="43"/>
        <v/>
      </c>
    </row>
    <row r="2799" spans="5:9" x14ac:dyDescent="0.3">
      <c r="E2799" t="str">
        <f>IFERROR(IF(D2799="","",VLOOKUP(D2799,CadProd!$A:$B,2,0)),"")</f>
        <v/>
      </c>
      <c r="F2799" t="str">
        <f>IFERROR(IF(D2799="","",VLOOKUP(D2799,CadProd!$A:$C,3,0)),"")</f>
        <v/>
      </c>
      <c r="I2799" s="1" t="str">
        <f t="shared" si="43"/>
        <v/>
      </c>
    </row>
    <row r="2800" spans="5:9" x14ac:dyDescent="0.3">
      <c r="E2800" t="str">
        <f>IFERROR(IF(D2800="","",VLOOKUP(D2800,CadProd!$A:$B,2,0)),"")</f>
        <v/>
      </c>
      <c r="F2800" t="str">
        <f>IFERROR(IF(D2800="","",VLOOKUP(D2800,CadProd!$A:$C,3,0)),"")</f>
        <v/>
      </c>
      <c r="I2800" s="1" t="str">
        <f t="shared" si="43"/>
        <v/>
      </c>
    </row>
    <row r="2801" spans="5:9" x14ac:dyDescent="0.3">
      <c r="E2801" t="str">
        <f>IFERROR(IF(D2801="","",VLOOKUP(D2801,CadProd!$A:$B,2,0)),"")</f>
        <v/>
      </c>
      <c r="F2801" t="str">
        <f>IFERROR(IF(D2801="","",VLOOKUP(D2801,CadProd!$A:$C,3,0)),"")</f>
        <v/>
      </c>
      <c r="I2801" s="1" t="str">
        <f t="shared" si="43"/>
        <v/>
      </c>
    </row>
    <row r="2802" spans="5:9" x14ac:dyDescent="0.3">
      <c r="E2802" t="str">
        <f>IFERROR(IF(D2802="","",VLOOKUP(D2802,CadProd!$A:$B,2,0)),"")</f>
        <v/>
      </c>
      <c r="F2802" t="str">
        <f>IFERROR(IF(D2802="","",VLOOKUP(D2802,CadProd!$A:$C,3,0)),"")</f>
        <v/>
      </c>
      <c r="I2802" s="1" t="str">
        <f t="shared" si="43"/>
        <v/>
      </c>
    </row>
    <row r="2803" spans="5:9" x14ac:dyDescent="0.3">
      <c r="E2803" t="str">
        <f>IFERROR(IF(D2803="","",VLOOKUP(D2803,CadProd!$A:$B,2,0)),"")</f>
        <v/>
      </c>
      <c r="F2803" t="str">
        <f>IFERROR(IF(D2803="","",VLOOKUP(D2803,CadProd!$A:$C,3,0)),"")</f>
        <v/>
      </c>
      <c r="I2803" s="1" t="str">
        <f t="shared" si="43"/>
        <v/>
      </c>
    </row>
    <row r="2804" spans="5:9" x14ac:dyDescent="0.3">
      <c r="E2804" t="str">
        <f>IFERROR(IF(D2804="","",VLOOKUP(D2804,CadProd!$A:$B,2,0)),"")</f>
        <v/>
      </c>
      <c r="F2804" t="str">
        <f>IFERROR(IF(D2804="","",VLOOKUP(D2804,CadProd!$A:$C,3,0)),"")</f>
        <v/>
      </c>
      <c r="I2804" s="1" t="str">
        <f t="shared" si="43"/>
        <v/>
      </c>
    </row>
    <row r="2805" spans="5:9" x14ac:dyDescent="0.3">
      <c r="E2805" t="str">
        <f>IFERROR(IF(D2805="","",VLOOKUP(D2805,CadProd!$A:$B,2,0)),"")</f>
        <v/>
      </c>
      <c r="F2805" t="str">
        <f>IFERROR(IF(D2805="","",VLOOKUP(D2805,CadProd!$A:$C,3,0)),"")</f>
        <v/>
      </c>
      <c r="I2805" s="1" t="str">
        <f t="shared" si="43"/>
        <v/>
      </c>
    </row>
    <row r="2806" spans="5:9" x14ac:dyDescent="0.3">
      <c r="E2806" t="str">
        <f>IFERROR(IF(D2806="","",VLOOKUP(D2806,CadProd!$A:$B,2,0)),"")</f>
        <v/>
      </c>
      <c r="F2806" t="str">
        <f>IFERROR(IF(D2806="","",VLOOKUP(D2806,CadProd!$A:$C,3,0)),"")</f>
        <v/>
      </c>
      <c r="I2806" s="1" t="str">
        <f t="shared" si="43"/>
        <v/>
      </c>
    </row>
    <row r="2807" spans="5:9" x14ac:dyDescent="0.3">
      <c r="E2807" t="str">
        <f>IFERROR(IF(D2807="","",VLOOKUP(D2807,CadProd!$A:$B,2,0)),"")</f>
        <v/>
      </c>
      <c r="F2807" t="str">
        <f>IFERROR(IF(D2807="","",VLOOKUP(D2807,CadProd!$A:$C,3,0)),"")</f>
        <v/>
      </c>
      <c r="I2807" s="1" t="str">
        <f t="shared" si="43"/>
        <v/>
      </c>
    </row>
    <row r="2808" spans="5:9" x14ac:dyDescent="0.3">
      <c r="E2808" t="str">
        <f>IFERROR(IF(D2808="","",VLOOKUP(D2808,CadProd!$A:$B,2,0)),"")</f>
        <v/>
      </c>
      <c r="F2808" t="str">
        <f>IFERROR(IF(D2808="","",VLOOKUP(D2808,CadProd!$A:$C,3,0)),"")</f>
        <v/>
      </c>
      <c r="I2808" s="1" t="str">
        <f t="shared" si="43"/>
        <v/>
      </c>
    </row>
    <row r="2809" spans="5:9" x14ac:dyDescent="0.3">
      <c r="E2809" t="str">
        <f>IFERROR(IF(D2809="","",VLOOKUP(D2809,CadProd!$A:$B,2,0)),"")</f>
        <v/>
      </c>
      <c r="F2809" t="str">
        <f>IFERROR(IF(D2809="","",VLOOKUP(D2809,CadProd!$A:$C,3,0)),"")</f>
        <v/>
      </c>
      <c r="I2809" s="1" t="str">
        <f t="shared" si="43"/>
        <v/>
      </c>
    </row>
    <row r="2810" spans="5:9" x14ac:dyDescent="0.3">
      <c r="E2810" t="str">
        <f>IFERROR(IF(D2810="","",VLOOKUP(D2810,CadProd!$A:$B,2,0)),"")</f>
        <v/>
      </c>
      <c r="F2810" t="str">
        <f>IFERROR(IF(D2810="","",VLOOKUP(D2810,CadProd!$A:$C,3,0)),"")</f>
        <v/>
      </c>
      <c r="I2810" s="1" t="str">
        <f t="shared" si="43"/>
        <v/>
      </c>
    </row>
    <row r="2811" spans="5:9" x14ac:dyDescent="0.3">
      <c r="E2811" t="str">
        <f>IFERROR(IF(D2811="","",VLOOKUP(D2811,CadProd!$A:$B,2,0)),"")</f>
        <v/>
      </c>
      <c r="F2811" t="str">
        <f>IFERROR(IF(D2811="","",VLOOKUP(D2811,CadProd!$A:$C,3,0)),"")</f>
        <v/>
      </c>
      <c r="I2811" s="1" t="str">
        <f t="shared" si="43"/>
        <v/>
      </c>
    </row>
    <row r="2812" spans="5:9" x14ac:dyDescent="0.3">
      <c r="E2812" t="str">
        <f>IFERROR(IF(D2812="","",VLOOKUP(D2812,CadProd!$A:$B,2,0)),"")</f>
        <v/>
      </c>
      <c r="F2812" t="str">
        <f>IFERROR(IF(D2812="","",VLOOKUP(D2812,CadProd!$A:$C,3,0)),"")</f>
        <v/>
      </c>
      <c r="I2812" s="1" t="str">
        <f t="shared" si="43"/>
        <v/>
      </c>
    </row>
    <row r="2813" spans="5:9" x14ac:dyDescent="0.3">
      <c r="E2813" t="str">
        <f>IFERROR(IF(D2813="","",VLOOKUP(D2813,CadProd!$A:$B,2,0)),"")</f>
        <v/>
      </c>
      <c r="F2813" t="str">
        <f>IFERROR(IF(D2813="","",VLOOKUP(D2813,CadProd!$A:$C,3,0)),"")</f>
        <v/>
      </c>
      <c r="I2813" s="1" t="str">
        <f t="shared" si="43"/>
        <v/>
      </c>
    </row>
    <row r="2814" spans="5:9" x14ac:dyDescent="0.3">
      <c r="E2814" t="str">
        <f>IFERROR(IF(D2814="","",VLOOKUP(D2814,CadProd!$A:$B,2,0)),"")</f>
        <v/>
      </c>
      <c r="F2814" t="str">
        <f>IFERROR(IF(D2814="","",VLOOKUP(D2814,CadProd!$A:$C,3,0)),"")</f>
        <v/>
      </c>
      <c r="I2814" s="1" t="str">
        <f t="shared" si="43"/>
        <v/>
      </c>
    </row>
    <row r="2815" spans="5:9" x14ac:dyDescent="0.3">
      <c r="E2815" t="str">
        <f>IFERROR(IF(D2815="","",VLOOKUP(D2815,CadProd!$A:$B,2,0)),"")</f>
        <v/>
      </c>
      <c r="F2815" t="str">
        <f>IFERROR(IF(D2815="","",VLOOKUP(D2815,CadProd!$A:$C,3,0)),"")</f>
        <v/>
      </c>
      <c r="I2815" s="1" t="str">
        <f t="shared" si="43"/>
        <v/>
      </c>
    </row>
    <row r="2816" spans="5:9" x14ac:dyDescent="0.3">
      <c r="E2816" t="str">
        <f>IFERROR(IF(D2816="","",VLOOKUP(D2816,CadProd!$A:$B,2,0)),"")</f>
        <v/>
      </c>
      <c r="F2816" t="str">
        <f>IFERROR(IF(D2816="","",VLOOKUP(D2816,CadProd!$A:$C,3,0)),"")</f>
        <v/>
      </c>
      <c r="I2816" s="1" t="str">
        <f t="shared" si="43"/>
        <v/>
      </c>
    </row>
    <row r="2817" spans="5:9" x14ac:dyDescent="0.3">
      <c r="E2817" t="str">
        <f>IFERROR(IF(D2817="","",VLOOKUP(D2817,CadProd!$A:$B,2,0)),"")</f>
        <v/>
      </c>
      <c r="F2817" t="str">
        <f>IFERROR(IF(D2817="","",VLOOKUP(D2817,CadProd!$A:$C,3,0)),"")</f>
        <v/>
      </c>
      <c r="I2817" s="1" t="str">
        <f t="shared" si="43"/>
        <v/>
      </c>
    </row>
    <row r="2818" spans="5:9" x14ac:dyDescent="0.3">
      <c r="E2818" t="str">
        <f>IFERROR(IF(D2818="","",VLOOKUP(D2818,CadProd!$A:$B,2,0)),"")</f>
        <v/>
      </c>
      <c r="F2818" t="str">
        <f>IFERROR(IF(D2818="","",VLOOKUP(D2818,CadProd!$A:$C,3,0)),"")</f>
        <v/>
      </c>
      <c r="I2818" s="1" t="str">
        <f t="shared" ref="I2818:I2881" si="44">IFERROR(IF(D2818="","",H2818*G2818),"")</f>
        <v/>
      </c>
    </row>
    <row r="2819" spans="5:9" x14ac:dyDescent="0.3">
      <c r="E2819" t="str">
        <f>IFERROR(IF(D2819="","",VLOOKUP(D2819,CadProd!$A:$B,2,0)),"")</f>
        <v/>
      </c>
      <c r="F2819" t="str">
        <f>IFERROR(IF(D2819="","",VLOOKUP(D2819,CadProd!$A:$C,3,0)),"")</f>
        <v/>
      </c>
      <c r="I2819" s="1" t="str">
        <f t="shared" si="44"/>
        <v/>
      </c>
    </row>
    <row r="2820" spans="5:9" x14ac:dyDescent="0.3">
      <c r="E2820" t="str">
        <f>IFERROR(IF(D2820="","",VLOOKUP(D2820,CadProd!$A:$B,2,0)),"")</f>
        <v/>
      </c>
      <c r="F2820" t="str">
        <f>IFERROR(IF(D2820="","",VLOOKUP(D2820,CadProd!$A:$C,3,0)),"")</f>
        <v/>
      </c>
      <c r="I2820" s="1" t="str">
        <f t="shared" si="44"/>
        <v/>
      </c>
    </row>
    <row r="2821" spans="5:9" x14ac:dyDescent="0.3">
      <c r="E2821" t="str">
        <f>IFERROR(IF(D2821="","",VLOOKUP(D2821,CadProd!$A:$B,2,0)),"")</f>
        <v/>
      </c>
      <c r="F2821" t="str">
        <f>IFERROR(IF(D2821="","",VLOOKUP(D2821,CadProd!$A:$C,3,0)),"")</f>
        <v/>
      </c>
      <c r="I2821" s="1" t="str">
        <f t="shared" si="44"/>
        <v/>
      </c>
    </row>
    <row r="2822" spans="5:9" x14ac:dyDescent="0.3">
      <c r="E2822" t="str">
        <f>IFERROR(IF(D2822="","",VLOOKUP(D2822,CadProd!$A:$B,2,0)),"")</f>
        <v/>
      </c>
      <c r="F2822" t="str">
        <f>IFERROR(IF(D2822="","",VLOOKUP(D2822,CadProd!$A:$C,3,0)),"")</f>
        <v/>
      </c>
      <c r="I2822" s="1" t="str">
        <f t="shared" si="44"/>
        <v/>
      </c>
    </row>
    <row r="2823" spans="5:9" x14ac:dyDescent="0.3">
      <c r="E2823" t="str">
        <f>IFERROR(IF(D2823="","",VLOOKUP(D2823,CadProd!$A:$B,2,0)),"")</f>
        <v/>
      </c>
      <c r="F2823" t="str">
        <f>IFERROR(IF(D2823="","",VLOOKUP(D2823,CadProd!$A:$C,3,0)),"")</f>
        <v/>
      </c>
      <c r="I2823" s="1" t="str">
        <f t="shared" si="44"/>
        <v/>
      </c>
    </row>
    <row r="2824" spans="5:9" x14ac:dyDescent="0.3">
      <c r="E2824" t="str">
        <f>IFERROR(IF(D2824="","",VLOOKUP(D2824,CadProd!$A:$B,2,0)),"")</f>
        <v/>
      </c>
      <c r="F2824" t="str">
        <f>IFERROR(IF(D2824="","",VLOOKUP(D2824,CadProd!$A:$C,3,0)),"")</f>
        <v/>
      </c>
      <c r="I2824" s="1" t="str">
        <f t="shared" si="44"/>
        <v/>
      </c>
    </row>
    <row r="2825" spans="5:9" x14ac:dyDescent="0.3">
      <c r="E2825" t="str">
        <f>IFERROR(IF(D2825="","",VLOOKUP(D2825,CadProd!$A:$B,2,0)),"")</f>
        <v/>
      </c>
      <c r="F2825" t="str">
        <f>IFERROR(IF(D2825="","",VLOOKUP(D2825,CadProd!$A:$C,3,0)),"")</f>
        <v/>
      </c>
      <c r="I2825" s="1" t="str">
        <f t="shared" si="44"/>
        <v/>
      </c>
    </row>
    <row r="2826" spans="5:9" x14ac:dyDescent="0.3">
      <c r="E2826" t="str">
        <f>IFERROR(IF(D2826="","",VLOOKUP(D2826,CadProd!$A:$B,2,0)),"")</f>
        <v/>
      </c>
      <c r="F2826" t="str">
        <f>IFERROR(IF(D2826="","",VLOOKUP(D2826,CadProd!$A:$C,3,0)),"")</f>
        <v/>
      </c>
      <c r="I2826" s="1" t="str">
        <f t="shared" si="44"/>
        <v/>
      </c>
    </row>
    <row r="2827" spans="5:9" x14ac:dyDescent="0.3">
      <c r="E2827" t="str">
        <f>IFERROR(IF(D2827="","",VLOOKUP(D2827,CadProd!$A:$B,2,0)),"")</f>
        <v/>
      </c>
      <c r="F2827" t="str">
        <f>IFERROR(IF(D2827="","",VLOOKUP(D2827,CadProd!$A:$C,3,0)),"")</f>
        <v/>
      </c>
      <c r="I2827" s="1" t="str">
        <f t="shared" si="44"/>
        <v/>
      </c>
    </row>
    <row r="2828" spans="5:9" x14ac:dyDescent="0.3">
      <c r="E2828" t="str">
        <f>IFERROR(IF(D2828="","",VLOOKUP(D2828,CadProd!$A:$B,2,0)),"")</f>
        <v/>
      </c>
      <c r="F2828" t="str">
        <f>IFERROR(IF(D2828="","",VLOOKUP(D2828,CadProd!$A:$C,3,0)),"")</f>
        <v/>
      </c>
      <c r="I2828" s="1" t="str">
        <f t="shared" si="44"/>
        <v/>
      </c>
    </row>
    <row r="2829" spans="5:9" x14ac:dyDescent="0.3">
      <c r="E2829" t="str">
        <f>IFERROR(IF(D2829="","",VLOOKUP(D2829,CadProd!$A:$B,2,0)),"")</f>
        <v/>
      </c>
      <c r="F2829" t="str">
        <f>IFERROR(IF(D2829="","",VLOOKUP(D2829,CadProd!$A:$C,3,0)),"")</f>
        <v/>
      </c>
      <c r="I2829" s="1" t="str">
        <f t="shared" si="44"/>
        <v/>
      </c>
    </row>
    <row r="2830" spans="5:9" x14ac:dyDescent="0.3">
      <c r="E2830" t="str">
        <f>IFERROR(IF(D2830="","",VLOOKUP(D2830,CadProd!$A:$B,2,0)),"")</f>
        <v/>
      </c>
      <c r="F2830" t="str">
        <f>IFERROR(IF(D2830="","",VLOOKUP(D2830,CadProd!$A:$C,3,0)),"")</f>
        <v/>
      </c>
      <c r="I2830" s="1" t="str">
        <f t="shared" si="44"/>
        <v/>
      </c>
    </row>
    <row r="2831" spans="5:9" x14ac:dyDescent="0.3">
      <c r="E2831" t="str">
        <f>IFERROR(IF(D2831="","",VLOOKUP(D2831,CadProd!$A:$B,2,0)),"")</f>
        <v/>
      </c>
      <c r="F2831" t="str">
        <f>IFERROR(IF(D2831="","",VLOOKUP(D2831,CadProd!$A:$C,3,0)),"")</f>
        <v/>
      </c>
      <c r="I2831" s="1" t="str">
        <f t="shared" si="44"/>
        <v/>
      </c>
    </row>
    <row r="2832" spans="5:9" x14ac:dyDescent="0.3">
      <c r="E2832" t="str">
        <f>IFERROR(IF(D2832="","",VLOOKUP(D2832,CadProd!$A:$B,2,0)),"")</f>
        <v/>
      </c>
      <c r="F2832" t="str">
        <f>IFERROR(IF(D2832="","",VLOOKUP(D2832,CadProd!$A:$C,3,0)),"")</f>
        <v/>
      </c>
      <c r="I2832" s="1" t="str">
        <f t="shared" si="44"/>
        <v/>
      </c>
    </row>
    <row r="2833" spans="5:9" x14ac:dyDescent="0.3">
      <c r="E2833" t="str">
        <f>IFERROR(IF(D2833="","",VLOOKUP(D2833,CadProd!$A:$B,2,0)),"")</f>
        <v/>
      </c>
      <c r="F2833" t="str">
        <f>IFERROR(IF(D2833="","",VLOOKUP(D2833,CadProd!$A:$C,3,0)),"")</f>
        <v/>
      </c>
      <c r="I2833" s="1" t="str">
        <f t="shared" si="44"/>
        <v/>
      </c>
    </row>
    <row r="2834" spans="5:9" x14ac:dyDescent="0.3">
      <c r="E2834" t="str">
        <f>IFERROR(IF(D2834="","",VLOOKUP(D2834,CadProd!$A:$B,2,0)),"")</f>
        <v/>
      </c>
      <c r="F2834" t="str">
        <f>IFERROR(IF(D2834="","",VLOOKUP(D2834,CadProd!$A:$C,3,0)),"")</f>
        <v/>
      </c>
      <c r="I2834" s="1" t="str">
        <f t="shared" si="44"/>
        <v/>
      </c>
    </row>
    <row r="2835" spans="5:9" x14ac:dyDescent="0.3">
      <c r="E2835" t="str">
        <f>IFERROR(IF(D2835="","",VLOOKUP(D2835,CadProd!$A:$B,2,0)),"")</f>
        <v/>
      </c>
      <c r="F2835" t="str">
        <f>IFERROR(IF(D2835="","",VLOOKUP(D2835,CadProd!$A:$C,3,0)),"")</f>
        <v/>
      </c>
      <c r="I2835" s="1" t="str">
        <f t="shared" si="44"/>
        <v/>
      </c>
    </row>
    <row r="2836" spans="5:9" x14ac:dyDescent="0.3">
      <c r="E2836" t="str">
        <f>IFERROR(IF(D2836="","",VLOOKUP(D2836,CadProd!$A:$B,2,0)),"")</f>
        <v/>
      </c>
      <c r="F2836" t="str">
        <f>IFERROR(IF(D2836="","",VLOOKUP(D2836,CadProd!$A:$C,3,0)),"")</f>
        <v/>
      </c>
      <c r="I2836" s="1" t="str">
        <f t="shared" si="44"/>
        <v/>
      </c>
    </row>
    <row r="2837" spans="5:9" x14ac:dyDescent="0.3">
      <c r="E2837" t="str">
        <f>IFERROR(IF(D2837="","",VLOOKUP(D2837,CadProd!$A:$B,2,0)),"")</f>
        <v/>
      </c>
      <c r="F2837" t="str">
        <f>IFERROR(IF(D2837="","",VLOOKUP(D2837,CadProd!$A:$C,3,0)),"")</f>
        <v/>
      </c>
      <c r="I2837" s="1" t="str">
        <f t="shared" si="44"/>
        <v/>
      </c>
    </row>
    <row r="2838" spans="5:9" x14ac:dyDescent="0.3">
      <c r="E2838" t="str">
        <f>IFERROR(IF(D2838="","",VLOOKUP(D2838,CadProd!$A:$B,2,0)),"")</f>
        <v/>
      </c>
      <c r="F2838" t="str">
        <f>IFERROR(IF(D2838="","",VLOOKUP(D2838,CadProd!$A:$C,3,0)),"")</f>
        <v/>
      </c>
      <c r="I2838" s="1" t="str">
        <f t="shared" si="44"/>
        <v/>
      </c>
    </row>
    <row r="2839" spans="5:9" x14ac:dyDescent="0.3">
      <c r="E2839" t="str">
        <f>IFERROR(IF(D2839="","",VLOOKUP(D2839,CadProd!$A:$B,2,0)),"")</f>
        <v/>
      </c>
      <c r="F2839" t="str">
        <f>IFERROR(IF(D2839="","",VLOOKUP(D2839,CadProd!$A:$C,3,0)),"")</f>
        <v/>
      </c>
      <c r="I2839" s="1" t="str">
        <f t="shared" si="44"/>
        <v/>
      </c>
    </row>
    <row r="2840" spans="5:9" x14ac:dyDescent="0.3">
      <c r="E2840" t="str">
        <f>IFERROR(IF(D2840="","",VLOOKUP(D2840,CadProd!$A:$B,2,0)),"")</f>
        <v/>
      </c>
      <c r="F2840" t="str">
        <f>IFERROR(IF(D2840="","",VLOOKUP(D2840,CadProd!$A:$C,3,0)),"")</f>
        <v/>
      </c>
      <c r="I2840" s="1" t="str">
        <f t="shared" si="44"/>
        <v/>
      </c>
    </row>
    <row r="2841" spans="5:9" x14ac:dyDescent="0.3">
      <c r="E2841" t="str">
        <f>IFERROR(IF(D2841="","",VLOOKUP(D2841,CadProd!$A:$B,2,0)),"")</f>
        <v/>
      </c>
      <c r="F2841" t="str">
        <f>IFERROR(IF(D2841="","",VLOOKUP(D2841,CadProd!$A:$C,3,0)),"")</f>
        <v/>
      </c>
      <c r="I2841" s="1" t="str">
        <f t="shared" si="44"/>
        <v/>
      </c>
    </row>
    <row r="2842" spans="5:9" x14ac:dyDescent="0.3">
      <c r="E2842" t="str">
        <f>IFERROR(IF(D2842="","",VLOOKUP(D2842,CadProd!$A:$B,2,0)),"")</f>
        <v/>
      </c>
      <c r="F2842" t="str">
        <f>IFERROR(IF(D2842="","",VLOOKUP(D2842,CadProd!$A:$C,3,0)),"")</f>
        <v/>
      </c>
      <c r="I2842" s="1" t="str">
        <f t="shared" si="44"/>
        <v/>
      </c>
    </row>
    <row r="2843" spans="5:9" x14ac:dyDescent="0.3">
      <c r="E2843" t="str">
        <f>IFERROR(IF(D2843="","",VLOOKUP(D2843,CadProd!$A:$B,2,0)),"")</f>
        <v/>
      </c>
      <c r="F2843" t="str">
        <f>IFERROR(IF(D2843="","",VLOOKUP(D2843,CadProd!$A:$C,3,0)),"")</f>
        <v/>
      </c>
      <c r="I2843" s="1" t="str">
        <f t="shared" si="44"/>
        <v/>
      </c>
    </row>
    <row r="2844" spans="5:9" x14ac:dyDescent="0.3">
      <c r="E2844" t="str">
        <f>IFERROR(IF(D2844="","",VLOOKUP(D2844,CadProd!$A:$B,2,0)),"")</f>
        <v/>
      </c>
      <c r="F2844" t="str">
        <f>IFERROR(IF(D2844="","",VLOOKUP(D2844,CadProd!$A:$C,3,0)),"")</f>
        <v/>
      </c>
      <c r="I2844" s="1" t="str">
        <f t="shared" si="44"/>
        <v/>
      </c>
    </row>
    <row r="2845" spans="5:9" x14ac:dyDescent="0.3">
      <c r="E2845" t="str">
        <f>IFERROR(IF(D2845="","",VLOOKUP(D2845,CadProd!$A:$B,2,0)),"")</f>
        <v/>
      </c>
      <c r="F2845" t="str">
        <f>IFERROR(IF(D2845="","",VLOOKUP(D2845,CadProd!$A:$C,3,0)),"")</f>
        <v/>
      </c>
      <c r="I2845" s="1" t="str">
        <f t="shared" si="44"/>
        <v/>
      </c>
    </row>
    <row r="2846" spans="5:9" x14ac:dyDescent="0.3">
      <c r="E2846" t="str">
        <f>IFERROR(IF(D2846="","",VLOOKUP(D2846,CadProd!$A:$B,2,0)),"")</f>
        <v/>
      </c>
      <c r="F2846" t="str">
        <f>IFERROR(IF(D2846="","",VLOOKUP(D2846,CadProd!$A:$C,3,0)),"")</f>
        <v/>
      </c>
      <c r="I2846" s="1" t="str">
        <f t="shared" si="44"/>
        <v/>
      </c>
    </row>
    <row r="2847" spans="5:9" x14ac:dyDescent="0.3">
      <c r="E2847" t="str">
        <f>IFERROR(IF(D2847="","",VLOOKUP(D2847,CadProd!$A:$B,2,0)),"")</f>
        <v/>
      </c>
      <c r="F2847" t="str">
        <f>IFERROR(IF(D2847="","",VLOOKUP(D2847,CadProd!$A:$C,3,0)),"")</f>
        <v/>
      </c>
      <c r="I2847" s="1" t="str">
        <f t="shared" si="44"/>
        <v/>
      </c>
    </row>
    <row r="2848" spans="5:9" x14ac:dyDescent="0.3">
      <c r="E2848" t="str">
        <f>IFERROR(IF(D2848="","",VLOOKUP(D2848,CadProd!$A:$B,2,0)),"")</f>
        <v/>
      </c>
      <c r="F2848" t="str">
        <f>IFERROR(IF(D2848="","",VLOOKUP(D2848,CadProd!$A:$C,3,0)),"")</f>
        <v/>
      </c>
      <c r="I2848" s="1" t="str">
        <f t="shared" si="44"/>
        <v/>
      </c>
    </row>
    <row r="2849" spans="5:9" x14ac:dyDescent="0.3">
      <c r="E2849" t="str">
        <f>IFERROR(IF(D2849="","",VLOOKUP(D2849,CadProd!$A:$B,2,0)),"")</f>
        <v/>
      </c>
      <c r="F2849" t="str">
        <f>IFERROR(IF(D2849="","",VLOOKUP(D2849,CadProd!$A:$C,3,0)),"")</f>
        <v/>
      </c>
      <c r="I2849" s="1" t="str">
        <f t="shared" si="44"/>
        <v/>
      </c>
    </row>
    <row r="2850" spans="5:9" x14ac:dyDescent="0.3">
      <c r="E2850" t="str">
        <f>IFERROR(IF(D2850="","",VLOOKUP(D2850,CadProd!$A:$B,2,0)),"")</f>
        <v/>
      </c>
      <c r="F2850" t="str">
        <f>IFERROR(IF(D2850="","",VLOOKUP(D2850,CadProd!$A:$C,3,0)),"")</f>
        <v/>
      </c>
      <c r="I2850" s="1" t="str">
        <f t="shared" si="44"/>
        <v/>
      </c>
    </row>
    <row r="2851" spans="5:9" x14ac:dyDescent="0.3">
      <c r="E2851" t="str">
        <f>IFERROR(IF(D2851="","",VLOOKUP(D2851,CadProd!$A:$B,2,0)),"")</f>
        <v/>
      </c>
      <c r="F2851" t="str">
        <f>IFERROR(IF(D2851="","",VLOOKUP(D2851,CadProd!$A:$C,3,0)),"")</f>
        <v/>
      </c>
      <c r="I2851" s="1" t="str">
        <f t="shared" si="44"/>
        <v/>
      </c>
    </row>
    <row r="2852" spans="5:9" x14ac:dyDescent="0.3">
      <c r="E2852" t="str">
        <f>IFERROR(IF(D2852="","",VLOOKUP(D2852,CadProd!$A:$B,2,0)),"")</f>
        <v/>
      </c>
      <c r="F2852" t="str">
        <f>IFERROR(IF(D2852="","",VLOOKUP(D2852,CadProd!$A:$C,3,0)),"")</f>
        <v/>
      </c>
      <c r="I2852" s="1" t="str">
        <f t="shared" si="44"/>
        <v/>
      </c>
    </row>
    <row r="2853" spans="5:9" x14ac:dyDescent="0.3">
      <c r="E2853" t="str">
        <f>IFERROR(IF(D2853="","",VLOOKUP(D2853,CadProd!$A:$B,2,0)),"")</f>
        <v/>
      </c>
      <c r="F2853" t="str">
        <f>IFERROR(IF(D2853="","",VLOOKUP(D2853,CadProd!$A:$C,3,0)),"")</f>
        <v/>
      </c>
      <c r="I2853" s="1" t="str">
        <f t="shared" si="44"/>
        <v/>
      </c>
    </row>
    <row r="2854" spans="5:9" x14ac:dyDescent="0.3">
      <c r="E2854" t="str">
        <f>IFERROR(IF(D2854="","",VLOOKUP(D2854,CadProd!$A:$B,2,0)),"")</f>
        <v/>
      </c>
      <c r="F2854" t="str">
        <f>IFERROR(IF(D2854="","",VLOOKUP(D2854,CadProd!$A:$C,3,0)),"")</f>
        <v/>
      </c>
      <c r="I2854" s="1" t="str">
        <f t="shared" si="44"/>
        <v/>
      </c>
    </row>
    <row r="2855" spans="5:9" x14ac:dyDescent="0.3">
      <c r="E2855" t="str">
        <f>IFERROR(IF(D2855="","",VLOOKUP(D2855,CadProd!$A:$B,2,0)),"")</f>
        <v/>
      </c>
      <c r="F2855" t="str">
        <f>IFERROR(IF(D2855="","",VLOOKUP(D2855,CadProd!$A:$C,3,0)),"")</f>
        <v/>
      </c>
      <c r="I2855" s="1" t="str">
        <f t="shared" si="44"/>
        <v/>
      </c>
    </row>
    <row r="2856" spans="5:9" x14ac:dyDescent="0.3">
      <c r="E2856" t="str">
        <f>IFERROR(IF(D2856="","",VLOOKUP(D2856,CadProd!$A:$B,2,0)),"")</f>
        <v/>
      </c>
      <c r="F2856" t="str">
        <f>IFERROR(IF(D2856="","",VLOOKUP(D2856,CadProd!$A:$C,3,0)),"")</f>
        <v/>
      </c>
      <c r="I2856" s="1" t="str">
        <f t="shared" si="44"/>
        <v/>
      </c>
    </row>
    <row r="2857" spans="5:9" x14ac:dyDescent="0.3">
      <c r="E2857" t="str">
        <f>IFERROR(IF(D2857="","",VLOOKUP(D2857,CadProd!$A:$B,2,0)),"")</f>
        <v/>
      </c>
      <c r="F2857" t="str">
        <f>IFERROR(IF(D2857="","",VLOOKUP(D2857,CadProd!$A:$C,3,0)),"")</f>
        <v/>
      </c>
      <c r="I2857" s="1" t="str">
        <f t="shared" si="44"/>
        <v/>
      </c>
    </row>
    <row r="2858" spans="5:9" x14ac:dyDescent="0.3">
      <c r="E2858" t="str">
        <f>IFERROR(IF(D2858="","",VLOOKUP(D2858,CadProd!$A:$B,2,0)),"")</f>
        <v/>
      </c>
      <c r="F2858" t="str">
        <f>IFERROR(IF(D2858="","",VLOOKUP(D2858,CadProd!$A:$C,3,0)),"")</f>
        <v/>
      </c>
      <c r="I2858" s="1" t="str">
        <f t="shared" si="44"/>
        <v/>
      </c>
    </row>
    <row r="2859" spans="5:9" x14ac:dyDescent="0.3">
      <c r="E2859" t="str">
        <f>IFERROR(IF(D2859="","",VLOOKUP(D2859,CadProd!$A:$B,2,0)),"")</f>
        <v/>
      </c>
      <c r="F2859" t="str">
        <f>IFERROR(IF(D2859="","",VLOOKUP(D2859,CadProd!$A:$C,3,0)),"")</f>
        <v/>
      </c>
      <c r="I2859" s="1" t="str">
        <f t="shared" si="44"/>
        <v/>
      </c>
    </row>
    <row r="2860" spans="5:9" x14ac:dyDescent="0.3">
      <c r="E2860" t="str">
        <f>IFERROR(IF(D2860="","",VLOOKUP(D2860,CadProd!$A:$B,2,0)),"")</f>
        <v/>
      </c>
      <c r="F2860" t="str">
        <f>IFERROR(IF(D2860="","",VLOOKUP(D2860,CadProd!$A:$C,3,0)),"")</f>
        <v/>
      </c>
      <c r="I2860" s="1" t="str">
        <f t="shared" si="44"/>
        <v/>
      </c>
    </row>
    <row r="2861" spans="5:9" x14ac:dyDescent="0.3">
      <c r="E2861" t="str">
        <f>IFERROR(IF(D2861="","",VLOOKUP(D2861,CadProd!$A:$B,2,0)),"")</f>
        <v/>
      </c>
      <c r="F2861" t="str">
        <f>IFERROR(IF(D2861="","",VLOOKUP(D2861,CadProd!$A:$C,3,0)),"")</f>
        <v/>
      </c>
      <c r="I2861" s="1" t="str">
        <f t="shared" si="44"/>
        <v/>
      </c>
    </row>
    <row r="2862" spans="5:9" x14ac:dyDescent="0.3">
      <c r="E2862" t="str">
        <f>IFERROR(IF(D2862="","",VLOOKUP(D2862,CadProd!$A:$B,2,0)),"")</f>
        <v/>
      </c>
      <c r="F2862" t="str">
        <f>IFERROR(IF(D2862="","",VLOOKUP(D2862,CadProd!$A:$C,3,0)),"")</f>
        <v/>
      </c>
      <c r="I2862" s="1" t="str">
        <f t="shared" si="44"/>
        <v/>
      </c>
    </row>
    <row r="2863" spans="5:9" x14ac:dyDescent="0.3">
      <c r="E2863" t="str">
        <f>IFERROR(IF(D2863="","",VLOOKUP(D2863,CadProd!$A:$B,2,0)),"")</f>
        <v/>
      </c>
      <c r="F2863" t="str">
        <f>IFERROR(IF(D2863="","",VLOOKUP(D2863,CadProd!$A:$C,3,0)),"")</f>
        <v/>
      </c>
      <c r="I2863" s="1" t="str">
        <f t="shared" si="44"/>
        <v/>
      </c>
    </row>
    <row r="2864" spans="5:9" x14ac:dyDescent="0.3">
      <c r="E2864" t="str">
        <f>IFERROR(IF(D2864="","",VLOOKUP(D2864,CadProd!$A:$B,2,0)),"")</f>
        <v/>
      </c>
      <c r="F2864" t="str">
        <f>IFERROR(IF(D2864="","",VLOOKUP(D2864,CadProd!$A:$C,3,0)),"")</f>
        <v/>
      </c>
      <c r="I2864" s="1" t="str">
        <f t="shared" si="44"/>
        <v/>
      </c>
    </row>
    <row r="2865" spans="5:9" x14ac:dyDescent="0.3">
      <c r="E2865" t="str">
        <f>IFERROR(IF(D2865="","",VLOOKUP(D2865,CadProd!$A:$B,2,0)),"")</f>
        <v/>
      </c>
      <c r="F2865" t="str">
        <f>IFERROR(IF(D2865="","",VLOOKUP(D2865,CadProd!$A:$C,3,0)),"")</f>
        <v/>
      </c>
      <c r="I2865" s="1" t="str">
        <f t="shared" si="44"/>
        <v/>
      </c>
    </row>
    <row r="2866" spans="5:9" x14ac:dyDescent="0.3">
      <c r="E2866" t="str">
        <f>IFERROR(IF(D2866="","",VLOOKUP(D2866,CadProd!$A:$B,2,0)),"")</f>
        <v/>
      </c>
      <c r="F2866" t="str">
        <f>IFERROR(IF(D2866="","",VLOOKUP(D2866,CadProd!$A:$C,3,0)),"")</f>
        <v/>
      </c>
      <c r="I2866" s="1" t="str">
        <f t="shared" si="44"/>
        <v/>
      </c>
    </row>
    <row r="2867" spans="5:9" x14ac:dyDescent="0.3">
      <c r="E2867" t="str">
        <f>IFERROR(IF(D2867="","",VLOOKUP(D2867,CadProd!$A:$B,2,0)),"")</f>
        <v/>
      </c>
      <c r="F2867" t="str">
        <f>IFERROR(IF(D2867="","",VLOOKUP(D2867,CadProd!$A:$C,3,0)),"")</f>
        <v/>
      </c>
      <c r="I2867" s="1" t="str">
        <f t="shared" si="44"/>
        <v/>
      </c>
    </row>
    <row r="2868" spans="5:9" x14ac:dyDescent="0.3">
      <c r="E2868" t="str">
        <f>IFERROR(IF(D2868="","",VLOOKUP(D2868,CadProd!$A:$B,2,0)),"")</f>
        <v/>
      </c>
      <c r="F2868" t="str">
        <f>IFERROR(IF(D2868="","",VLOOKUP(D2868,CadProd!$A:$C,3,0)),"")</f>
        <v/>
      </c>
      <c r="I2868" s="1" t="str">
        <f t="shared" si="44"/>
        <v/>
      </c>
    </row>
    <row r="2869" spans="5:9" x14ac:dyDescent="0.3">
      <c r="E2869" t="str">
        <f>IFERROR(IF(D2869="","",VLOOKUP(D2869,CadProd!$A:$B,2,0)),"")</f>
        <v/>
      </c>
      <c r="F2869" t="str">
        <f>IFERROR(IF(D2869="","",VLOOKUP(D2869,CadProd!$A:$C,3,0)),"")</f>
        <v/>
      </c>
      <c r="I2869" s="1" t="str">
        <f t="shared" si="44"/>
        <v/>
      </c>
    </row>
    <row r="2870" spans="5:9" x14ac:dyDescent="0.3">
      <c r="E2870" t="str">
        <f>IFERROR(IF(D2870="","",VLOOKUP(D2870,CadProd!$A:$B,2,0)),"")</f>
        <v/>
      </c>
      <c r="F2870" t="str">
        <f>IFERROR(IF(D2870="","",VLOOKUP(D2870,CadProd!$A:$C,3,0)),"")</f>
        <v/>
      </c>
      <c r="I2870" s="1" t="str">
        <f t="shared" si="44"/>
        <v/>
      </c>
    </row>
    <row r="2871" spans="5:9" x14ac:dyDescent="0.3">
      <c r="E2871" t="str">
        <f>IFERROR(IF(D2871="","",VLOOKUP(D2871,CadProd!$A:$B,2,0)),"")</f>
        <v/>
      </c>
      <c r="F2871" t="str">
        <f>IFERROR(IF(D2871="","",VLOOKUP(D2871,CadProd!$A:$C,3,0)),"")</f>
        <v/>
      </c>
      <c r="I2871" s="1" t="str">
        <f t="shared" si="44"/>
        <v/>
      </c>
    </row>
    <row r="2872" spans="5:9" x14ac:dyDescent="0.3">
      <c r="E2872" t="str">
        <f>IFERROR(IF(D2872="","",VLOOKUP(D2872,CadProd!$A:$B,2,0)),"")</f>
        <v/>
      </c>
      <c r="F2872" t="str">
        <f>IFERROR(IF(D2872="","",VLOOKUP(D2872,CadProd!$A:$C,3,0)),"")</f>
        <v/>
      </c>
      <c r="I2872" s="1" t="str">
        <f t="shared" si="44"/>
        <v/>
      </c>
    </row>
    <row r="2873" spans="5:9" x14ac:dyDescent="0.3">
      <c r="E2873" t="str">
        <f>IFERROR(IF(D2873="","",VLOOKUP(D2873,CadProd!$A:$B,2,0)),"")</f>
        <v/>
      </c>
      <c r="F2873" t="str">
        <f>IFERROR(IF(D2873="","",VLOOKUP(D2873,CadProd!$A:$C,3,0)),"")</f>
        <v/>
      </c>
      <c r="I2873" s="1" t="str">
        <f t="shared" si="44"/>
        <v/>
      </c>
    </row>
    <row r="2874" spans="5:9" x14ac:dyDescent="0.3">
      <c r="E2874" t="str">
        <f>IFERROR(IF(D2874="","",VLOOKUP(D2874,CadProd!$A:$B,2,0)),"")</f>
        <v/>
      </c>
      <c r="F2874" t="str">
        <f>IFERROR(IF(D2874="","",VLOOKUP(D2874,CadProd!$A:$C,3,0)),"")</f>
        <v/>
      </c>
      <c r="I2874" s="1" t="str">
        <f t="shared" si="44"/>
        <v/>
      </c>
    </row>
    <row r="2875" spans="5:9" x14ac:dyDescent="0.3">
      <c r="E2875" t="str">
        <f>IFERROR(IF(D2875="","",VLOOKUP(D2875,CadProd!$A:$B,2,0)),"")</f>
        <v/>
      </c>
      <c r="F2875" t="str">
        <f>IFERROR(IF(D2875="","",VLOOKUP(D2875,CadProd!$A:$C,3,0)),"")</f>
        <v/>
      </c>
      <c r="I2875" s="1" t="str">
        <f t="shared" si="44"/>
        <v/>
      </c>
    </row>
    <row r="2876" spans="5:9" x14ac:dyDescent="0.3">
      <c r="E2876" t="str">
        <f>IFERROR(IF(D2876="","",VLOOKUP(D2876,CadProd!$A:$B,2,0)),"")</f>
        <v/>
      </c>
      <c r="F2876" t="str">
        <f>IFERROR(IF(D2876="","",VLOOKUP(D2876,CadProd!$A:$C,3,0)),"")</f>
        <v/>
      </c>
      <c r="I2876" s="1" t="str">
        <f t="shared" si="44"/>
        <v/>
      </c>
    </row>
    <row r="2877" spans="5:9" x14ac:dyDescent="0.3">
      <c r="E2877" t="str">
        <f>IFERROR(IF(D2877="","",VLOOKUP(D2877,CadProd!$A:$B,2,0)),"")</f>
        <v/>
      </c>
      <c r="F2877" t="str">
        <f>IFERROR(IF(D2877="","",VLOOKUP(D2877,CadProd!$A:$C,3,0)),"")</f>
        <v/>
      </c>
      <c r="I2877" s="1" t="str">
        <f t="shared" si="44"/>
        <v/>
      </c>
    </row>
    <row r="2878" spans="5:9" x14ac:dyDescent="0.3">
      <c r="E2878" t="str">
        <f>IFERROR(IF(D2878="","",VLOOKUP(D2878,CadProd!$A:$B,2,0)),"")</f>
        <v/>
      </c>
      <c r="F2878" t="str">
        <f>IFERROR(IF(D2878="","",VLOOKUP(D2878,CadProd!$A:$C,3,0)),"")</f>
        <v/>
      </c>
      <c r="I2878" s="1" t="str">
        <f t="shared" si="44"/>
        <v/>
      </c>
    </row>
    <row r="2879" spans="5:9" x14ac:dyDescent="0.3">
      <c r="E2879" t="str">
        <f>IFERROR(IF(D2879="","",VLOOKUP(D2879,CadProd!$A:$B,2,0)),"")</f>
        <v/>
      </c>
      <c r="F2879" t="str">
        <f>IFERROR(IF(D2879="","",VLOOKUP(D2879,CadProd!$A:$C,3,0)),"")</f>
        <v/>
      </c>
      <c r="I2879" s="1" t="str">
        <f t="shared" si="44"/>
        <v/>
      </c>
    </row>
    <row r="2880" spans="5:9" x14ac:dyDescent="0.3">
      <c r="E2880" t="str">
        <f>IFERROR(IF(D2880="","",VLOOKUP(D2880,CadProd!$A:$B,2,0)),"")</f>
        <v/>
      </c>
      <c r="F2880" t="str">
        <f>IFERROR(IF(D2880="","",VLOOKUP(D2880,CadProd!$A:$C,3,0)),"")</f>
        <v/>
      </c>
      <c r="I2880" s="1" t="str">
        <f t="shared" si="44"/>
        <v/>
      </c>
    </row>
    <row r="2881" spans="5:9" x14ac:dyDescent="0.3">
      <c r="E2881" t="str">
        <f>IFERROR(IF(D2881="","",VLOOKUP(D2881,CadProd!$A:$B,2,0)),"")</f>
        <v/>
      </c>
      <c r="F2881" t="str">
        <f>IFERROR(IF(D2881="","",VLOOKUP(D2881,CadProd!$A:$C,3,0)),"")</f>
        <v/>
      </c>
      <c r="I2881" s="1" t="str">
        <f t="shared" si="44"/>
        <v/>
      </c>
    </row>
    <row r="2882" spans="5:9" x14ac:dyDescent="0.3">
      <c r="E2882" t="str">
        <f>IFERROR(IF(D2882="","",VLOOKUP(D2882,CadProd!$A:$B,2,0)),"")</f>
        <v/>
      </c>
      <c r="F2882" t="str">
        <f>IFERROR(IF(D2882="","",VLOOKUP(D2882,CadProd!$A:$C,3,0)),"")</f>
        <v/>
      </c>
      <c r="I2882" s="1" t="str">
        <f t="shared" ref="I2882:I2945" si="45">IFERROR(IF(D2882="","",H2882*G2882),"")</f>
        <v/>
      </c>
    </row>
    <row r="2883" spans="5:9" x14ac:dyDescent="0.3">
      <c r="E2883" t="str">
        <f>IFERROR(IF(D2883="","",VLOOKUP(D2883,CadProd!$A:$B,2,0)),"")</f>
        <v/>
      </c>
      <c r="F2883" t="str">
        <f>IFERROR(IF(D2883="","",VLOOKUP(D2883,CadProd!$A:$C,3,0)),"")</f>
        <v/>
      </c>
      <c r="I2883" s="1" t="str">
        <f t="shared" si="45"/>
        <v/>
      </c>
    </row>
    <row r="2884" spans="5:9" x14ac:dyDescent="0.3">
      <c r="E2884" t="str">
        <f>IFERROR(IF(D2884="","",VLOOKUP(D2884,CadProd!$A:$B,2,0)),"")</f>
        <v/>
      </c>
      <c r="F2884" t="str">
        <f>IFERROR(IF(D2884="","",VLOOKUP(D2884,CadProd!$A:$C,3,0)),"")</f>
        <v/>
      </c>
      <c r="I2884" s="1" t="str">
        <f t="shared" si="45"/>
        <v/>
      </c>
    </row>
    <row r="2885" spans="5:9" x14ac:dyDescent="0.3">
      <c r="E2885" t="str">
        <f>IFERROR(IF(D2885="","",VLOOKUP(D2885,CadProd!$A:$B,2,0)),"")</f>
        <v/>
      </c>
      <c r="F2885" t="str">
        <f>IFERROR(IF(D2885="","",VLOOKUP(D2885,CadProd!$A:$C,3,0)),"")</f>
        <v/>
      </c>
      <c r="I2885" s="1" t="str">
        <f t="shared" si="45"/>
        <v/>
      </c>
    </row>
    <row r="2886" spans="5:9" x14ac:dyDescent="0.3">
      <c r="E2886" t="str">
        <f>IFERROR(IF(D2886="","",VLOOKUP(D2886,CadProd!$A:$B,2,0)),"")</f>
        <v/>
      </c>
      <c r="F2886" t="str">
        <f>IFERROR(IF(D2886="","",VLOOKUP(D2886,CadProd!$A:$C,3,0)),"")</f>
        <v/>
      </c>
      <c r="I2886" s="1" t="str">
        <f t="shared" si="45"/>
        <v/>
      </c>
    </row>
    <row r="2887" spans="5:9" x14ac:dyDescent="0.3">
      <c r="E2887" t="str">
        <f>IFERROR(IF(D2887="","",VLOOKUP(D2887,CadProd!$A:$B,2,0)),"")</f>
        <v/>
      </c>
      <c r="F2887" t="str">
        <f>IFERROR(IF(D2887="","",VLOOKUP(D2887,CadProd!$A:$C,3,0)),"")</f>
        <v/>
      </c>
      <c r="I2887" s="1" t="str">
        <f t="shared" si="45"/>
        <v/>
      </c>
    </row>
    <row r="2888" spans="5:9" x14ac:dyDescent="0.3">
      <c r="E2888" t="str">
        <f>IFERROR(IF(D2888="","",VLOOKUP(D2888,CadProd!$A:$B,2,0)),"")</f>
        <v/>
      </c>
      <c r="F2888" t="str">
        <f>IFERROR(IF(D2888="","",VLOOKUP(D2888,CadProd!$A:$C,3,0)),"")</f>
        <v/>
      </c>
      <c r="I2888" s="1" t="str">
        <f t="shared" si="45"/>
        <v/>
      </c>
    </row>
    <row r="2889" spans="5:9" x14ac:dyDescent="0.3">
      <c r="E2889" t="str">
        <f>IFERROR(IF(D2889="","",VLOOKUP(D2889,CadProd!$A:$B,2,0)),"")</f>
        <v/>
      </c>
      <c r="F2889" t="str">
        <f>IFERROR(IF(D2889="","",VLOOKUP(D2889,CadProd!$A:$C,3,0)),"")</f>
        <v/>
      </c>
      <c r="I2889" s="1" t="str">
        <f t="shared" si="45"/>
        <v/>
      </c>
    </row>
    <row r="2890" spans="5:9" x14ac:dyDescent="0.3">
      <c r="E2890" t="str">
        <f>IFERROR(IF(D2890="","",VLOOKUP(D2890,CadProd!$A:$B,2,0)),"")</f>
        <v/>
      </c>
      <c r="F2890" t="str">
        <f>IFERROR(IF(D2890="","",VLOOKUP(D2890,CadProd!$A:$C,3,0)),"")</f>
        <v/>
      </c>
      <c r="I2890" s="1" t="str">
        <f t="shared" si="45"/>
        <v/>
      </c>
    </row>
    <row r="2891" spans="5:9" x14ac:dyDescent="0.3">
      <c r="E2891" t="str">
        <f>IFERROR(IF(D2891="","",VLOOKUP(D2891,CadProd!$A:$B,2,0)),"")</f>
        <v/>
      </c>
      <c r="F2891" t="str">
        <f>IFERROR(IF(D2891="","",VLOOKUP(D2891,CadProd!$A:$C,3,0)),"")</f>
        <v/>
      </c>
      <c r="I2891" s="1" t="str">
        <f t="shared" si="45"/>
        <v/>
      </c>
    </row>
    <row r="2892" spans="5:9" x14ac:dyDescent="0.3">
      <c r="E2892" t="str">
        <f>IFERROR(IF(D2892="","",VLOOKUP(D2892,CadProd!$A:$B,2,0)),"")</f>
        <v/>
      </c>
      <c r="F2892" t="str">
        <f>IFERROR(IF(D2892="","",VLOOKUP(D2892,CadProd!$A:$C,3,0)),"")</f>
        <v/>
      </c>
      <c r="I2892" s="1" t="str">
        <f t="shared" si="45"/>
        <v/>
      </c>
    </row>
    <row r="2893" spans="5:9" x14ac:dyDescent="0.3">
      <c r="E2893" t="str">
        <f>IFERROR(IF(D2893="","",VLOOKUP(D2893,CadProd!$A:$B,2,0)),"")</f>
        <v/>
      </c>
      <c r="F2893" t="str">
        <f>IFERROR(IF(D2893="","",VLOOKUP(D2893,CadProd!$A:$C,3,0)),"")</f>
        <v/>
      </c>
      <c r="I2893" s="1" t="str">
        <f t="shared" si="45"/>
        <v/>
      </c>
    </row>
    <row r="2894" spans="5:9" x14ac:dyDescent="0.3">
      <c r="E2894" t="str">
        <f>IFERROR(IF(D2894="","",VLOOKUP(D2894,CadProd!$A:$B,2,0)),"")</f>
        <v/>
      </c>
      <c r="F2894" t="str">
        <f>IFERROR(IF(D2894="","",VLOOKUP(D2894,CadProd!$A:$C,3,0)),"")</f>
        <v/>
      </c>
      <c r="I2894" s="1" t="str">
        <f t="shared" si="45"/>
        <v/>
      </c>
    </row>
    <row r="2895" spans="5:9" x14ac:dyDescent="0.3">
      <c r="E2895" t="str">
        <f>IFERROR(IF(D2895="","",VLOOKUP(D2895,CadProd!$A:$B,2,0)),"")</f>
        <v/>
      </c>
      <c r="F2895" t="str">
        <f>IFERROR(IF(D2895="","",VLOOKUP(D2895,CadProd!$A:$C,3,0)),"")</f>
        <v/>
      </c>
      <c r="I2895" s="1" t="str">
        <f t="shared" si="45"/>
        <v/>
      </c>
    </row>
    <row r="2896" spans="5:9" x14ac:dyDescent="0.3">
      <c r="E2896" t="str">
        <f>IFERROR(IF(D2896="","",VLOOKUP(D2896,CadProd!$A:$B,2,0)),"")</f>
        <v/>
      </c>
      <c r="F2896" t="str">
        <f>IFERROR(IF(D2896="","",VLOOKUP(D2896,CadProd!$A:$C,3,0)),"")</f>
        <v/>
      </c>
      <c r="I2896" s="1" t="str">
        <f t="shared" si="45"/>
        <v/>
      </c>
    </row>
    <row r="2897" spans="5:9" x14ac:dyDescent="0.3">
      <c r="E2897" t="str">
        <f>IFERROR(IF(D2897="","",VLOOKUP(D2897,CadProd!$A:$B,2,0)),"")</f>
        <v/>
      </c>
      <c r="F2897" t="str">
        <f>IFERROR(IF(D2897="","",VLOOKUP(D2897,CadProd!$A:$C,3,0)),"")</f>
        <v/>
      </c>
      <c r="I2897" s="1" t="str">
        <f t="shared" si="45"/>
        <v/>
      </c>
    </row>
    <row r="2898" spans="5:9" x14ac:dyDescent="0.3">
      <c r="E2898" t="str">
        <f>IFERROR(IF(D2898="","",VLOOKUP(D2898,CadProd!$A:$B,2,0)),"")</f>
        <v/>
      </c>
      <c r="F2898" t="str">
        <f>IFERROR(IF(D2898="","",VLOOKUP(D2898,CadProd!$A:$C,3,0)),"")</f>
        <v/>
      </c>
      <c r="I2898" s="1" t="str">
        <f t="shared" si="45"/>
        <v/>
      </c>
    </row>
    <row r="2899" spans="5:9" x14ac:dyDescent="0.3">
      <c r="E2899" t="str">
        <f>IFERROR(IF(D2899="","",VLOOKUP(D2899,CadProd!$A:$B,2,0)),"")</f>
        <v/>
      </c>
      <c r="F2899" t="str">
        <f>IFERROR(IF(D2899="","",VLOOKUP(D2899,CadProd!$A:$C,3,0)),"")</f>
        <v/>
      </c>
      <c r="I2899" s="1" t="str">
        <f t="shared" si="45"/>
        <v/>
      </c>
    </row>
    <row r="2900" spans="5:9" x14ac:dyDescent="0.3">
      <c r="E2900" t="str">
        <f>IFERROR(IF(D2900="","",VLOOKUP(D2900,CadProd!$A:$B,2,0)),"")</f>
        <v/>
      </c>
      <c r="F2900" t="str">
        <f>IFERROR(IF(D2900="","",VLOOKUP(D2900,CadProd!$A:$C,3,0)),"")</f>
        <v/>
      </c>
      <c r="I2900" s="1" t="str">
        <f t="shared" si="45"/>
        <v/>
      </c>
    </row>
    <row r="2901" spans="5:9" x14ac:dyDescent="0.3">
      <c r="E2901" t="str">
        <f>IFERROR(IF(D2901="","",VLOOKUP(D2901,CadProd!$A:$B,2,0)),"")</f>
        <v/>
      </c>
      <c r="F2901" t="str">
        <f>IFERROR(IF(D2901="","",VLOOKUP(D2901,CadProd!$A:$C,3,0)),"")</f>
        <v/>
      </c>
      <c r="I2901" s="1" t="str">
        <f t="shared" si="45"/>
        <v/>
      </c>
    </row>
    <row r="2902" spans="5:9" x14ac:dyDescent="0.3">
      <c r="E2902" t="str">
        <f>IFERROR(IF(D2902="","",VLOOKUP(D2902,CadProd!$A:$B,2,0)),"")</f>
        <v/>
      </c>
      <c r="F2902" t="str">
        <f>IFERROR(IF(D2902="","",VLOOKUP(D2902,CadProd!$A:$C,3,0)),"")</f>
        <v/>
      </c>
      <c r="I2902" s="1" t="str">
        <f t="shared" si="45"/>
        <v/>
      </c>
    </row>
    <row r="2903" spans="5:9" x14ac:dyDescent="0.3">
      <c r="E2903" t="str">
        <f>IFERROR(IF(D2903="","",VLOOKUP(D2903,CadProd!$A:$B,2,0)),"")</f>
        <v/>
      </c>
      <c r="F2903" t="str">
        <f>IFERROR(IF(D2903="","",VLOOKUP(D2903,CadProd!$A:$C,3,0)),"")</f>
        <v/>
      </c>
      <c r="I2903" s="1" t="str">
        <f t="shared" si="45"/>
        <v/>
      </c>
    </row>
    <row r="2904" spans="5:9" x14ac:dyDescent="0.3">
      <c r="E2904" t="str">
        <f>IFERROR(IF(D2904="","",VLOOKUP(D2904,CadProd!$A:$B,2,0)),"")</f>
        <v/>
      </c>
      <c r="F2904" t="str">
        <f>IFERROR(IF(D2904="","",VLOOKUP(D2904,CadProd!$A:$C,3,0)),"")</f>
        <v/>
      </c>
      <c r="I2904" s="1" t="str">
        <f t="shared" si="45"/>
        <v/>
      </c>
    </row>
    <row r="2905" spans="5:9" x14ac:dyDescent="0.3">
      <c r="E2905" t="str">
        <f>IFERROR(IF(D2905="","",VLOOKUP(D2905,CadProd!$A:$B,2,0)),"")</f>
        <v/>
      </c>
      <c r="F2905" t="str">
        <f>IFERROR(IF(D2905="","",VLOOKUP(D2905,CadProd!$A:$C,3,0)),"")</f>
        <v/>
      </c>
      <c r="I2905" s="1" t="str">
        <f t="shared" si="45"/>
        <v/>
      </c>
    </row>
    <row r="2906" spans="5:9" x14ac:dyDescent="0.3">
      <c r="E2906" t="str">
        <f>IFERROR(IF(D2906="","",VLOOKUP(D2906,CadProd!$A:$B,2,0)),"")</f>
        <v/>
      </c>
      <c r="F2906" t="str">
        <f>IFERROR(IF(D2906="","",VLOOKUP(D2906,CadProd!$A:$C,3,0)),"")</f>
        <v/>
      </c>
      <c r="I2906" s="1" t="str">
        <f t="shared" si="45"/>
        <v/>
      </c>
    </row>
    <row r="2907" spans="5:9" x14ac:dyDescent="0.3">
      <c r="E2907" t="str">
        <f>IFERROR(IF(D2907="","",VLOOKUP(D2907,CadProd!$A:$B,2,0)),"")</f>
        <v/>
      </c>
      <c r="F2907" t="str">
        <f>IFERROR(IF(D2907="","",VLOOKUP(D2907,CadProd!$A:$C,3,0)),"")</f>
        <v/>
      </c>
      <c r="I2907" s="1" t="str">
        <f t="shared" si="45"/>
        <v/>
      </c>
    </row>
    <row r="2908" spans="5:9" x14ac:dyDescent="0.3">
      <c r="E2908" t="str">
        <f>IFERROR(IF(D2908="","",VLOOKUP(D2908,CadProd!$A:$B,2,0)),"")</f>
        <v/>
      </c>
      <c r="F2908" t="str">
        <f>IFERROR(IF(D2908="","",VLOOKUP(D2908,CadProd!$A:$C,3,0)),"")</f>
        <v/>
      </c>
      <c r="I2908" s="1" t="str">
        <f t="shared" si="45"/>
        <v/>
      </c>
    </row>
    <row r="2909" spans="5:9" x14ac:dyDescent="0.3">
      <c r="E2909" t="str">
        <f>IFERROR(IF(D2909="","",VLOOKUP(D2909,CadProd!$A:$B,2,0)),"")</f>
        <v/>
      </c>
      <c r="F2909" t="str">
        <f>IFERROR(IF(D2909="","",VLOOKUP(D2909,CadProd!$A:$C,3,0)),"")</f>
        <v/>
      </c>
      <c r="I2909" s="1" t="str">
        <f t="shared" si="45"/>
        <v/>
      </c>
    </row>
    <row r="2910" spans="5:9" x14ac:dyDescent="0.3">
      <c r="E2910" t="str">
        <f>IFERROR(IF(D2910="","",VLOOKUP(D2910,CadProd!$A:$B,2,0)),"")</f>
        <v/>
      </c>
      <c r="F2910" t="str">
        <f>IFERROR(IF(D2910="","",VLOOKUP(D2910,CadProd!$A:$C,3,0)),"")</f>
        <v/>
      </c>
      <c r="I2910" s="1" t="str">
        <f t="shared" si="45"/>
        <v/>
      </c>
    </row>
    <row r="2911" spans="5:9" x14ac:dyDescent="0.3">
      <c r="E2911" t="str">
        <f>IFERROR(IF(D2911="","",VLOOKUP(D2911,CadProd!$A:$B,2,0)),"")</f>
        <v/>
      </c>
      <c r="F2911" t="str">
        <f>IFERROR(IF(D2911="","",VLOOKUP(D2911,CadProd!$A:$C,3,0)),"")</f>
        <v/>
      </c>
      <c r="I2911" s="1" t="str">
        <f t="shared" si="45"/>
        <v/>
      </c>
    </row>
    <row r="2912" spans="5:9" x14ac:dyDescent="0.3">
      <c r="E2912" t="str">
        <f>IFERROR(IF(D2912="","",VLOOKUP(D2912,CadProd!$A:$B,2,0)),"")</f>
        <v/>
      </c>
      <c r="F2912" t="str">
        <f>IFERROR(IF(D2912="","",VLOOKUP(D2912,CadProd!$A:$C,3,0)),"")</f>
        <v/>
      </c>
      <c r="I2912" s="1" t="str">
        <f t="shared" si="45"/>
        <v/>
      </c>
    </row>
    <row r="2913" spans="5:9" x14ac:dyDescent="0.3">
      <c r="E2913" t="str">
        <f>IFERROR(IF(D2913="","",VLOOKUP(D2913,CadProd!$A:$B,2,0)),"")</f>
        <v/>
      </c>
      <c r="F2913" t="str">
        <f>IFERROR(IF(D2913="","",VLOOKUP(D2913,CadProd!$A:$C,3,0)),"")</f>
        <v/>
      </c>
      <c r="I2913" s="1" t="str">
        <f t="shared" si="45"/>
        <v/>
      </c>
    </row>
    <row r="2914" spans="5:9" x14ac:dyDescent="0.3">
      <c r="E2914" t="str">
        <f>IFERROR(IF(D2914="","",VLOOKUP(D2914,CadProd!$A:$B,2,0)),"")</f>
        <v/>
      </c>
      <c r="F2914" t="str">
        <f>IFERROR(IF(D2914="","",VLOOKUP(D2914,CadProd!$A:$C,3,0)),"")</f>
        <v/>
      </c>
      <c r="I2914" s="1" t="str">
        <f t="shared" si="45"/>
        <v/>
      </c>
    </row>
    <row r="2915" spans="5:9" x14ac:dyDescent="0.3">
      <c r="E2915" t="str">
        <f>IFERROR(IF(D2915="","",VLOOKUP(D2915,CadProd!$A:$B,2,0)),"")</f>
        <v/>
      </c>
      <c r="F2915" t="str">
        <f>IFERROR(IF(D2915="","",VLOOKUP(D2915,CadProd!$A:$C,3,0)),"")</f>
        <v/>
      </c>
      <c r="I2915" s="1" t="str">
        <f t="shared" si="45"/>
        <v/>
      </c>
    </row>
    <row r="2916" spans="5:9" x14ac:dyDescent="0.3">
      <c r="E2916" t="str">
        <f>IFERROR(IF(D2916="","",VLOOKUP(D2916,CadProd!$A:$B,2,0)),"")</f>
        <v/>
      </c>
      <c r="F2916" t="str">
        <f>IFERROR(IF(D2916="","",VLOOKUP(D2916,CadProd!$A:$C,3,0)),"")</f>
        <v/>
      </c>
      <c r="I2916" s="1" t="str">
        <f t="shared" si="45"/>
        <v/>
      </c>
    </row>
    <row r="2917" spans="5:9" x14ac:dyDescent="0.3">
      <c r="E2917" t="str">
        <f>IFERROR(IF(D2917="","",VLOOKUP(D2917,CadProd!$A:$B,2,0)),"")</f>
        <v/>
      </c>
      <c r="F2917" t="str">
        <f>IFERROR(IF(D2917="","",VLOOKUP(D2917,CadProd!$A:$C,3,0)),"")</f>
        <v/>
      </c>
      <c r="I2917" s="1" t="str">
        <f t="shared" si="45"/>
        <v/>
      </c>
    </row>
    <row r="2918" spans="5:9" x14ac:dyDescent="0.3">
      <c r="E2918" t="str">
        <f>IFERROR(IF(D2918="","",VLOOKUP(D2918,CadProd!$A:$B,2,0)),"")</f>
        <v/>
      </c>
      <c r="F2918" t="str">
        <f>IFERROR(IF(D2918="","",VLOOKUP(D2918,CadProd!$A:$C,3,0)),"")</f>
        <v/>
      </c>
      <c r="I2918" s="1" t="str">
        <f t="shared" si="45"/>
        <v/>
      </c>
    </row>
    <row r="2919" spans="5:9" x14ac:dyDescent="0.3">
      <c r="E2919" t="str">
        <f>IFERROR(IF(D2919="","",VLOOKUP(D2919,CadProd!$A:$B,2,0)),"")</f>
        <v/>
      </c>
      <c r="F2919" t="str">
        <f>IFERROR(IF(D2919="","",VLOOKUP(D2919,CadProd!$A:$C,3,0)),"")</f>
        <v/>
      </c>
      <c r="I2919" s="1" t="str">
        <f t="shared" si="45"/>
        <v/>
      </c>
    </row>
    <row r="2920" spans="5:9" x14ac:dyDescent="0.3">
      <c r="E2920" t="str">
        <f>IFERROR(IF(D2920="","",VLOOKUP(D2920,CadProd!$A:$B,2,0)),"")</f>
        <v/>
      </c>
      <c r="F2920" t="str">
        <f>IFERROR(IF(D2920="","",VLOOKUP(D2920,CadProd!$A:$C,3,0)),"")</f>
        <v/>
      </c>
      <c r="I2920" s="1" t="str">
        <f t="shared" si="45"/>
        <v/>
      </c>
    </row>
    <row r="2921" spans="5:9" x14ac:dyDescent="0.3">
      <c r="E2921" t="str">
        <f>IFERROR(IF(D2921="","",VLOOKUP(D2921,CadProd!$A:$B,2,0)),"")</f>
        <v/>
      </c>
      <c r="F2921" t="str">
        <f>IFERROR(IF(D2921="","",VLOOKUP(D2921,CadProd!$A:$C,3,0)),"")</f>
        <v/>
      </c>
      <c r="I2921" s="1" t="str">
        <f t="shared" si="45"/>
        <v/>
      </c>
    </row>
    <row r="2922" spans="5:9" x14ac:dyDescent="0.3">
      <c r="E2922" t="str">
        <f>IFERROR(IF(D2922="","",VLOOKUP(D2922,CadProd!$A:$B,2,0)),"")</f>
        <v/>
      </c>
      <c r="F2922" t="str">
        <f>IFERROR(IF(D2922="","",VLOOKUP(D2922,CadProd!$A:$C,3,0)),"")</f>
        <v/>
      </c>
      <c r="I2922" s="1" t="str">
        <f t="shared" si="45"/>
        <v/>
      </c>
    </row>
    <row r="2923" spans="5:9" x14ac:dyDescent="0.3">
      <c r="E2923" t="str">
        <f>IFERROR(IF(D2923="","",VLOOKUP(D2923,CadProd!$A:$B,2,0)),"")</f>
        <v/>
      </c>
      <c r="F2923" t="str">
        <f>IFERROR(IF(D2923="","",VLOOKUP(D2923,CadProd!$A:$C,3,0)),"")</f>
        <v/>
      </c>
      <c r="I2923" s="1" t="str">
        <f t="shared" si="45"/>
        <v/>
      </c>
    </row>
    <row r="2924" spans="5:9" x14ac:dyDescent="0.3">
      <c r="E2924" t="str">
        <f>IFERROR(IF(D2924="","",VLOOKUP(D2924,CadProd!$A:$B,2,0)),"")</f>
        <v/>
      </c>
      <c r="F2924" t="str">
        <f>IFERROR(IF(D2924="","",VLOOKUP(D2924,CadProd!$A:$C,3,0)),"")</f>
        <v/>
      </c>
      <c r="I2924" s="1" t="str">
        <f t="shared" si="45"/>
        <v/>
      </c>
    </row>
    <row r="2925" spans="5:9" x14ac:dyDescent="0.3">
      <c r="E2925" t="str">
        <f>IFERROR(IF(D2925="","",VLOOKUP(D2925,CadProd!$A:$B,2,0)),"")</f>
        <v/>
      </c>
      <c r="F2925" t="str">
        <f>IFERROR(IF(D2925="","",VLOOKUP(D2925,CadProd!$A:$C,3,0)),"")</f>
        <v/>
      </c>
      <c r="I2925" s="1" t="str">
        <f t="shared" si="45"/>
        <v/>
      </c>
    </row>
    <row r="2926" spans="5:9" x14ac:dyDescent="0.3">
      <c r="E2926" t="str">
        <f>IFERROR(IF(D2926="","",VLOOKUP(D2926,CadProd!$A:$B,2,0)),"")</f>
        <v/>
      </c>
      <c r="F2926" t="str">
        <f>IFERROR(IF(D2926="","",VLOOKUP(D2926,CadProd!$A:$C,3,0)),"")</f>
        <v/>
      </c>
      <c r="I2926" s="1" t="str">
        <f t="shared" si="45"/>
        <v/>
      </c>
    </row>
    <row r="2927" spans="5:9" x14ac:dyDescent="0.3">
      <c r="E2927" t="str">
        <f>IFERROR(IF(D2927="","",VLOOKUP(D2927,CadProd!$A:$B,2,0)),"")</f>
        <v/>
      </c>
      <c r="F2927" t="str">
        <f>IFERROR(IF(D2927="","",VLOOKUP(D2927,CadProd!$A:$C,3,0)),"")</f>
        <v/>
      </c>
      <c r="I2927" s="1" t="str">
        <f t="shared" si="45"/>
        <v/>
      </c>
    </row>
    <row r="2928" spans="5:9" x14ac:dyDescent="0.3">
      <c r="E2928" t="str">
        <f>IFERROR(IF(D2928="","",VLOOKUP(D2928,CadProd!$A:$B,2,0)),"")</f>
        <v/>
      </c>
      <c r="F2928" t="str">
        <f>IFERROR(IF(D2928="","",VLOOKUP(D2928,CadProd!$A:$C,3,0)),"")</f>
        <v/>
      </c>
      <c r="I2928" s="1" t="str">
        <f t="shared" si="45"/>
        <v/>
      </c>
    </row>
    <row r="2929" spans="5:9" x14ac:dyDescent="0.3">
      <c r="E2929" t="str">
        <f>IFERROR(IF(D2929="","",VLOOKUP(D2929,CadProd!$A:$B,2,0)),"")</f>
        <v/>
      </c>
      <c r="F2929" t="str">
        <f>IFERROR(IF(D2929="","",VLOOKUP(D2929,CadProd!$A:$C,3,0)),"")</f>
        <v/>
      </c>
      <c r="I2929" s="1" t="str">
        <f t="shared" si="45"/>
        <v/>
      </c>
    </row>
    <row r="2930" spans="5:9" x14ac:dyDescent="0.3">
      <c r="E2930" t="str">
        <f>IFERROR(IF(D2930="","",VLOOKUP(D2930,CadProd!$A:$B,2,0)),"")</f>
        <v/>
      </c>
      <c r="F2930" t="str">
        <f>IFERROR(IF(D2930="","",VLOOKUP(D2930,CadProd!$A:$C,3,0)),"")</f>
        <v/>
      </c>
      <c r="I2930" s="1" t="str">
        <f t="shared" si="45"/>
        <v/>
      </c>
    </row>
    <row r="2931" spans="5:9" x14ac:dyDescent="0.3">
      <c r="E2931" t="str">
        <f>IFERROR(IF(D2931="","",VLOOKUP(D2931,CadProd!$A:$B,2,0)),"")</f>
        <v/>
      </c>
      <c r="F2931" t="str">
        <f>IFERROR(IF(D2931="","",VLOOKUP(D2931,CadProd!$A:$C,3,0)),"")</f>
        <v/>
      </c>
      <c r="I2931" s="1" t="str">
        <f t="shared" si="45"/>
        <v/>
      </c>
    </row>
    <row r="2932" spans="5:9" x14ac:dyDescent="0.3">
      <c r="E2932" t="str">
        <f>IFERROR(IF(D2932="","",VLOOKUP(D2932,CadProd!$A:$B,2,0)),"")</f>
        <v/>
      </c>
      <c r="F2932" t="str">
        <f>IFERROR(IF(D2932="","",VLOOKUP(D2932,CadProd!$A:$C,3,0)),"")</f>
        <v/>
      </c>
      <c r="I2932" s="1" t="str">
        <f t="shared" si="45"/>
        <v/>
      </c>
    </row>
    <row r="2933" spans="5:9" x14ac:dyDescent="0.3">
      <c r="E2933" t="str">
        <f>IFERROR(IF(D2933="","",VLOOKUP(D2933,CadProd!$A:$B,2,0)),"")</f>
        <v/>
      </c>
      <c r="F2933" t="str">
        <f>IFERROR(IF(D2933="","",VLOOKUP(D2933,CadProd!$A:$C,3,0)),"")</f>
        <v/>
      </c>
      <c r="I2933" s="1" t="str">
        <f t="shared" si="45"/>
        <v/>
      </c>
    </row>
    <row r="2934" spans="5:9" x14ac:dyDescent="0.3">
      <c r="E2934" t="str">
        <f>IFERROR(IF(D2934="","",VLOOKUP(D2934,CadProd!$A:$B,2,0)),"")</f>
        <v/>
      </c>
      <c r="F2934" t="str">
        <f>IFERROR(IF(D2934="","",VLOOKUP(D2934,CadProd!$A:$C,3,0)),"")</f>
        <v/>
      </c>
      <c r="I2934" s="1" t="str">
        <f t="shared" si="45"/>
        <v/>
      </c>
    </row>
    <row r="2935" spans="5:9" x14ac:dyDescent="0.3">
      <c r="E2935" t="str">
        <f>IFERROR(IF(D2935="","",VLOOKUP(D2935,CadProd!$A:$B,2,0)),"")</f>
        <v/>
      </c>
      <c r="F2935" t="str">
        <f>IFERROR(IF(D2935="","",VLOOKUP(D2935,CadProd!$A:$C,3,0)),"")</f>
        <v/>
      </c>
      <c r="I2935" s="1" t="str">
        <f t="shared" si="45"/>
        <v/>
      </c>
    </row>
    <row r="2936" spans="5:9" x14ac:dyDescent="0.3">
      <c r="E2936" t="str">
        <f>IFERROR(IF(D2936="","",VLOOKUP(D2936,CadProd!$A:$B,2,0)),"")</f>
        <v/>
      </c>
      <c r="F2936" t="str">
        <f>IFERROR(IF(D2936="","",VLOOKUP(D2936,CadProd!$A:$C,3,0)),"")</f>
        <v/>
      </c>
      <c r="I2936" s="1" t="str">
        <f t="shared" si="45"/>
        <v/>
      </c>
    </row>
    <row r="2937" spans="5:9" x14ac:dyDescent="0.3">
      <c r="E2937" t="str">
        <f>IFERROR(IF(D2937="","",VLOOKUP(D2937,CadProd!$A:$B,2,0)),"")</f>
        <v/>
      </c>
      <c r="F2937" t="str">
        <f>IFERROR(IF(D2937="","",VLOOKUP(D2937,CadProd!$A:$C,3,0)),"")</f>
        <v/>
      </c>
      <c r="I2937" s="1" t="str">
        <f t="shared" si="45"/>
        <v/>
      </c>
    </row>
    <row r="2938" spans="5:9" x14ac:dyDescent="0.3">
      <c r="E2938" t="str">
        <f>IFERROR(IF(D2938="","",VLOOKUP(D2938,CadProd!$A:$B,2,0)),"")</f>
        <v/>
      </c>
      <c r="F2938" t="str">
        <f>IFERROR(IF(D2938="","",VLOOKUP(D2938,CadProd!$A:$C,3,0)),"")</f>
        <v/>
      </c>
      <c r="I2938" s="1" t="str">
        <f t="shared" si="45"/>
        <v/>
      </c>
    </row>
    <row r="2939" spans="5:9" x14ac:dyDescent="0.3">
      <c r="E2939" t="str">
        <f>IFERROR(IF(D2939="","",VLOOKUP(D2939,CadProd!$A:$B,2,0)),"")</f>
        <v/>
      </c>
      <c r="F2939" t="str">
        <f>IFERROR(IF(D2939="","",VLOOKUP(D2939,CadProd!$A:$C,3,0)),"")</f>
        <v/>
      </c>
      <c r="I2939" s="1" t="str">
        <f t="shared" si="45"/>
        <v/>
      </c>
    </row>
    <row r="2940" spans="5:9" x14ac:dyDescent="0.3">
      <c r="E2940" t="str">
        <f>IFERROR(IF(D2940="","",VLOOKUP(D2940,CadProd!$A:$B,2,0)),"")</f>
        <v/>
      </c>
      <c r="F2940" t="str">
        <f>IFERROR(IF(D2940="","",VLOOKUP(D2940,CadProd!$A:$C,3,0)),"")</f>
        <v/>
      </c>
      <c r="I2940" s="1" t="str">
        <f t="shared" si="45"/>
        <v/>
      </c>
    </row>
    <row r="2941" spans="5:9" x14ac:dyDescent="0.3">
      <c r="E2941" t="str">
        <f>IFERROR(IF(D2941="","",VLOOKUP(D2941,CadProd!$A:$B,2,0)),"")</f>
        <v/>
      </c>
      <c r="F2941" t="str">
        <f>IFERROR(IF(D2941="","",VLOOKUP(D2941,CadProd!$A:$C,3,0)),"")</f>
        <v/>
      </c>
      <c r="I2941" s="1" t="str">
        <f t="shared" si="45"/>
        <v/>
      </c>
    </row>
    <row r="2942" spans="5:9" x14ac:dyDescent="0.3">
      <c r="E2942" t="str">
        <f>IFERROR(IF(D2942="","",VLOOKUP(D2942,CadProd!$A:$B,2,0)),"")</f>
        <v/>
      </c>
      <c r="F2942" t="str">
        <f>IFERROR(IF(D2942="","",VLOOKUP(D2942,CadProd!$A:$C,3,0)),"")</f>
        <v/>
      </c>
      <c r="I2942" s="1" t="str">
        <f t="shared" si="45"/>
        <v/>
      </c>
    </row>
    <row r="2943" spans="5:9" x14ac:dyDescent="0.3">
      <c r="E2943" t="str">
        <f>IFERROR(IF(D2943="","",VLOOKUP(D2943,CadProd!$A:$B,2,0)),"")</f>
        <v/>
      </c>
      <c r="F2943" t="str">
        <f>IFERROR(IF(D2943="","",VLOOKUP(D2943,CadProd!$A:$C,3,0)),"")</f>
        <v/>
      </c>
      <c r="I2943" s="1" t="str">
        <f t="shared" si="45"/>
        <v/>
      </c>
    </row>
    <row r="2944" spans="5:9" x14ac:dyDescent="0.3">
      <c r="E2944" t="str">
        <f>IFERROR(IF(D2944="","",VLOOKUP(D2944,CadProd!$A:$B,2,0)),"")</f>
        <v/>
      </c>
      <c r="F2944" t="str">
        <f>IFERROR(IF(D2944="","",VLOOKUP(D2944,CadProd!$A:$C,3,0)),"")</f>
        <v/>
      </c>
      <c r="I2944" s="1" t="str">
        <f t="shared" si="45"/>
        <v/>
      </c>
    </row>
    <row r="2945" spans="5:9" x14ac:dyDescent="0.3">
      <c r="E2945" t="str">
        <f>IFERROR(IF(D2945="","",VLOOKUP(D2945,CadProd!$A:$B,2,0)),"")</f>
        <v/>
      </c>
      <c r="F2945" t="str">
        <f>IFERROR(IF(D2945="","",VLOOKUP(D2945,CadProd!$A:$C,3,0)),"")</f>
        <v/>
      </c>
      <c r="I2945" s="1" t="str">
        <f t="shared" si="45"/>
        <v/>
      </c>
    </row>
    <row r="2946" spans="5:9" x14ac:dyDescent="0.3">
      <c r="E2946" t="str">
        <f>IFERROR(IF(D2946="","",VLOOKUP(D2946,CadProd!$A:$B,2,0)),"")</f>
        <v/>
      </c>
      <c r="F2946" t="str">
        <f>IFERROR(IF(D2946="","",VLOOKUP(D2946,CadProd!$A:$C,3,0)),"")</f>
        <v/>
      </c>
      <c r="I2946" s="1" t="str">
        <f t="shared" ref="I2946:I2976" si="46">IFERROR(IF(D2946="","",H2946*G2946),"")</f>
        <v/>
      </c>
    </row>
    <row r="2947" spans="5:9" x14ac:dyDescent="0.3">
      <c r="E2947" t="str">
        <f>IFERROR(IF(D2947="","",VLOOKUP(D2947,CadProd!$A:$B,2,0)),"")</f>
        <v/>
      </c>
      <c r="F2947" t="str">
        <f>IFERROR(IF(D2947="","",VLOOKUP(D2947,CadProd!$A:$C,3,0)),"")</f>
        <v/>
      </c>
      <c r="I2947" s="1" t="str">
        <f t="shared" si="46"/>
        <v/>
      </c>
    </row>
    <row r="2948" spans="5:9" x14ac:dyDescent="0.3">
      <c r="E2948" t="str">
        <f>IFERROR(IF(D2948="","",VLOOKUP(D2948,CadProd!$A:$B,2,0)),"")</f>
        <v/>
      </c>
      <c r="F2948" t="str">
        <f>IFERROR(IF(D2948="","",VLOOKUP(D2948,CadProd!$A:$C,3,0)),"")</f>
        <v/>
      </c>
      <c r="I2948" s="1" t="str">
        <f t="shared" si="46"/>
        <v/>
      </c>
    </row>
    <row r="2949" spans="5:9" x14ac:dyDescent="0.3">
      <c r="E2949" t="str">
        <f>IFERROR(IF(D2949="","",VLOOKUP(D2949,CadProd!$A:$B,2,0)),"")</f>
        <v/>
      </c>
      <c r="F2949" t="str">
        <f>IFERROR(IF(D2949="","",VLOOKUP(D2949,CadProd!$A:$C,3,0)),"")</f>
        <v/>
      </c>
      <c r="I2949" s="1" t="str">
        <f t="shared" si="46"/>
        <v/>
      </c>
    </row>
    <row r="2950" spans="5:9" x14ac:dyDescent="0.3">
      <c r="E2950" t="str">
        <f>IFERROR(IF(D2950="","",VLOOKUP(D2950,CadProd!$A:$B,2,0)),"")</f>
        <v/>
      </c>
      <c r="F2950" t="str">
        <f>IFERROR(IF(D2950="","",VLOOKUP(D2950,CadProd!$A:$C,3,0)),"")</f>
        <v/>
      </c>
      <c r="I2950" s="1" t="str">
        <f t="shared" si="46"/>
        <v/>
      </c>
    </row>
    <row r="2951" spans="5:9" x14ac:dyDescent="0.3">
      <c r="E2951" t="str">
        <f>IFERROR(IF(D2951="","",VLOOKUP(D2951,CadProd!$A:$B,2,0)),"")</f>
        <v/>
      </c>
      <c r="F2951" t="str">
        <f>IFERROR(IF(D2951="","",VLOOKUP(D2951,CadProd!$A:$C,3,0)),"")</f>
        <v/>
      </c>
      <c r="I2951" s="1" t="str">
        <f t="shared" si="46"/>
        <v/>
      </c>
    </row>
    <row r="2952" spans="5:9" x14ac:dyDescent="0.3">
      <c r="E2952" t="str">
        <f>IFERROR(IF(D2952="","",VLOOKUP(D2952,CadProd!$A:$B,2,0)),"")</f>
        <v/>
      </c>
      <c r="F2952" t="str">
        <f>IFERROR(IF(D2952="","",VLOOKUP(D2952,CadProd!$A:$C,3,0)),"")</f>
        <v/>
      </c>
      <c r="I2952" s="1" t="str">
        <f t="shared" si="46"/>
        <v/>
      </c>
    </row>
    <row r="2953" spans="5:9" x14ac:dyDescent="0.3">
      <c r="E2953" t="str">
        <f>IFERROR(IF(D2953="","",VLOOKUP(D2953,CadProd!$A:$B,2,0)),"")</f>
        <v/>
      </c>
      <c r="F2953" t="str">
        <f>IFERROR(IF(D2953="","",VLOOKUP(D2953,CadProd!$A:$C,3,0)),"")</f>
        <v/>
      </c>
      <c r="I2953" s="1" t="str">
        <f t="shared" si="46"/>
        <v/>
      </c>
    </row>
    <row r="2954" spans="5:9" x14ac:dyDescent="0.3">
      <c r="E2954" t="str">
        <f>IFERROR(IF(D2954="","",VLOOKUP(D2954,CadProd!$A:$B,2,0)),"")</f>
        <v/>
      </c>
      <c r="F2954" t="str">
        <f>IFERROR(IF(D2954="","",VLOOKUP(D2954,CadProd!$A:$C,3,0)),"")</f>
        <v/>
      </c>
      <c r="I2954" s="1" t="str">
        <f t="shared" si="46"/>
        <v/>
      </c>
    </row>
    <row r="2955" spans="5:9" x14ac:dyDescent="0.3">
      <c r="E2955" t="str">
        <f>IFERROR(IF(D2955="","",VLOOKUP(D2955,CadProd!$A:$B,2,0)),"")</f>
        <v/>
      </c>
      <c r="F2955" t="str">
        <f>IFERROR(IF(D2955="","",VLOOKUP(D2955,CadProd!$A:$C,3,0)),"")</f>
        <v/>
      </c>
      <c r="I2955" s="1" t="str">
        <f t="shared" si="46"/>
        <v/>
      </c>
    </row>
    <row r="2956" spans="5:9" x14ac:dyDescent="0.3">
      <c r="E2956" t="str">
        <f>IFERROR(IF(D2956="","",VLOOKUP(D2956,CadProd!$A:$B,2,0)),"")</f>
        <v/>
      </c>
      <c r="F2956" t="str">
        <f>IFERROR(IF(D2956="","",VLOOKUP(D2956,CadProd!$A:$C,3,0)),"")</f>
        <v/>
      </c>
      <c r="I2956" s="1" t="str">
        <f t="shared" si="46"/>
        <v/>
      </c>
    </row>
    <row r="2957" spans="5:9" x14ac:dyDescent="0.3">
      <c r="E2957" t="str">
        <f>IFERROR(IF(D2957="","",VLOOKUP(D2957,CadProd!$A:$B,2,0)),"")</f>
        <v/>
      </c>
      <c r="F2957" t="str">
        <f>IFERROR(IF(D2957="","",VLOOKUP(D2957,CadProd!$A:$C,3,0)),"")</f>
        <v/>
      </c>
      <c r="I2957" s="1" t="str">
        <f t="shared" si="46"/>
        <v/>
      </c>
    </row>
    <row r="2958" spans="5:9" x14ac:dyDescent="0.3">
      <c r="E2958" t="str">
        <f>IFERROR(IF(D2958="","",VLOOKUP(D2958,CadProd!$A:$B,2,0)),"")</f>
        <v/>
      </c>
      <c r="F2958" t="str">
        <f>IFERROR(IF(D2958="","",VLOOKUP(D2958,CadProd!$A:$C,3,0)),"")</f>
        <v/>
      </c>
      <c r="I2958" s="1" t="str">
        <f t="shared" si="46"/>
        <v/>
      </c>
    </row>
    <row r="2959" spans="5:9" x14ac:dyDescent="0.3">
      <c r="E2959" t="str">
        <f>IFERROR(IF(D2959="","",VLOOKUP(D2959,CadProd!$A:$B,2,0)),"")</f>
        <v/>
      </c>
      <c r="F2959" t="str">
        <f>IFERROR(IF(D2959="","",VLOOKUP(D2959,CadProd!$A:$C,3,0)),"")</f>
        <v/>
      </c>
      <c r="I2959" s="1" t="str">
        <f t="shared" si="46"/>
        <v/>
      </c>
    </row>
    <row r="2960" spans="5:9" x14ac:dyDescent="0.3">
      <c r="E2960" t="str">
        <f>IFERROR(IF(D2960="","",VLOOKUP(D2960,CadProd!$A:$B,2,0)),"")</f>
        <v/>
      </c>
      <c r="F2960" t="str">
        <f>IFERROR(IF(D2960="","",VLOOKUP(D2960,CadProd!$A:$C,3,0)),"")</f>
        <v/>
      </c>
      <c r="I2960" s="1" t="str">
        <f t="shared" si="46"/>
        <v/>
      </c>
    </row>
    <row r="2961" spans="5:9" x14ac:dyDescent="0.3">
      <c r="E2961" t="str">
        <f>IFERROR(IF(D2961="","",VLOOKUP(D2961,CadProd!$A:$B,2,0)),"")</f>
        <v/>
      </c>
      <c r="F2961" t="str">
        <f>IFERROR(IF(D2961="","",VLOOKUP(D2961,CadProd!$A:$C,3,0)),"")</f>
        <v/>
      </c>
      <c r="I2961" s="1" t="str">
        <f t="shared" si="46"/>
        <v/>
      </c>
    </row>
    <row r="2962" spans="5:9" x14ac:dyDescent="0.3">
      <c r="E2962" t="str">
        <f>IFERROR(IF(D2962="","",VLOOKUP(D2962,CadProd!$A:$B,2,0)),"")</f>
        <v/>
      </c>
      <c r="F2962" t="str">
        <f>IFERROR(IF(D2962="","",VLOOKUP(D2962,CadProd!$A:$C,3,0)),"")</f>
        <v/>
      </c>
      <c r="I2962" s="1" t="str">
        <f t="shared" si="46"/>
        <v/>
      </c>
    </row>
    <row r="2963" spans="5:9" x14ac:dyDescent="0.3">
      <c r="E2963" t="str">
        <f>IFERROR(IF(D2963="","",VLOOKUP(D2963,CadProd!$A:$B,2,0)),"")</f>
        <v/>
      </c>
      <c r="F2963" t="str">
        <f>IFERROR(IF(D2963="","",VLOOKUP(D2963,CadProd!$A:$C,3,0)),"")</f>
        <v/>
      </c>
      <c r="I2963" s="1" t="str">
        <f t="shared" si="46"/>
        <v/>
      </c>
    </row>
    <row r="2964" spans="5:9" x14ac:dyDescent="0.3">
      <c r="E2964" t="str">
        <f>IFERROR(IF(D2964="","",VLOOKUP(D2964,CadProd!$A:$B,2,0)),"")</f>
        <v/>
      </c>
      <c r="F2964" t="str">
        <f>IFERROR(IF(D2964="","",VLOOKUP(D2964,CadProd!$A:$C,3,0)),"")</f>
        <v/>
      </c>
      <c r="I2964" s="1" t="str">
        <f t="shared" si="46"/>
        <v/>
      </c>
    </row>
    <row r="2965" spans="5:9" x14ac:dyDescent="0.3">
      <c r="E2965" t="str">
        <f>IFERROR(IF(D2965="","",VLOOKUP(D2965,CadProd!$A:$B,2,0)),"")</f>
        <v/>
      </c>
      <c r="F2965" t="str">
        <f>IFERROR(IF(D2965="","",VLOOKUP(D2965,CadProd!$A:$C,3,0)),"")</f>
        <v/>
      </c>
      <c r="I2965" s="1" t="str">
        <f t="shared" si="46"/>
        <v/>
      </c>
    </row>
    <row r="2966" spans="5:9" x14ac:dyDescent="0.3">
      <c r="E2966" t="str">
        <f>IFERROR(IF(D2966="","",VLOOKUP(D2966,CadProd!$A:$B,2,0)),"")</f>
        <v/>
      </c>
      <c r="F2966" t="str">
        <f>IFERROR(IF(D2966="","",VLOOKUP(D2966,CadProd!$A:$C,3,0)),"")</f>
        <v/>
      </c>
      <c r="I2966" s="1" t="str">
        <f t="shared" si="46"/>
        <v/>
      </c>
    </row>
    <row r="2967" spans="5:9" x14ac:dyDescent="0.3">
      <c r="E2967" t="str">
        <f>IFERROR(IF(D2967="","",VLOOKUP(D2967,CadProd!$A:$B,2,0)),"")</f>
        <v/>
      </c>
      <c r="F2967" t="str">
        <f>IFERROR(IF(D2967="","",VLOOKUP(D2967,CadProd!$A:$C,3,0)),"")</f>
        <v/>
      </c>
      <c r="I2967" s="1" t="str">
        <f t="shared" si="46"/>
        <v/>
      </c>
    </row>
    <row r="2968" spans="5:9" x14ac:dyDescent="0.3">
      <c r="E2968" t="str">
        <f>IFERROR(IF(D2968="","",VLOOKUP(D2968,CadProd!$A:$B,2,0)),"")</f>
        <v/>
      </c>
      <c r="F2968" t="str">
        <f>IFERROR(IF(D2968="","",VLOOKUP(D2968,CadProd!$A:$C,3,0)),"")</f>
        <v/>
      </c>
      <c r="I2968" s="1" t="str">
        <f t="shared" si="46"/>
        <v/>
      </c>
    </row>
    <row r="2969" spans="5:9" x14ac:dyDescent="0.3">
      <c r="E2969" t="str">
        <f>IFERROR(IF(D2969="","",VLOOKUP(D2969,CadProd!$A:$B,2,0)),"")</f>
        <v/>
      </c>
      <c r="F2969" t="str">
        <f>IFERROR(IF(D2969="","",VLOOKUP(D2969,CadProd!$A:$C,3,0)),"")</f>
        <v/>
      </c>
      <c r="I2969" s="1" t="str">
        <f t="shared" si="46"/>
        <v/>
      </c>
    </row>
    <row r="2970" spans="5:9" x14ac:dyDescent="0.3">
      <c r="E2970" t="str">
        <f>IFERROR(IF(D2970="","",VLOOKUP(D2970,CadProd!$A:$B,2,0)),"")</f>
        <v/>
      </c>
      <c r="F2970" t="str">
        <f>IFERROR(IF(D2970="","",VLOOKUP(D2970,CadProd!$A:$C,3,0)),"")</f>
        <v/>
      </c>
      <c r="I2970" s="1" t="str">
        <f t="shared" si="46"/>
        <v/>
      </c>
    </row>
    <row r="2971" spans="5:9" x14ac:dyDescent="0.3">
      <c r="E2971" t="str">
        <f>IFERROR(IF(D2971="","",VLOOKUP(D2971,CadProd!$A:$B,2,0)),"")</f>
        <v/>
      </c>
      <c r="F2971" t="str">
        <f>IFERROR(IF(D2971="","",VLOOKUP(D2971,CadProd!$A:$C,3,0)),"")</f>
        <v/>
      </c>
      <c r="I2971" s="1" t="str">
        <f t="shared" si="46"/>
        <v/>
      </c>
    </row>
    <row r="2972" spans="5:9" x14ac:dyDescent="0.3">
      <c r="E2972" t="str">
        <f>IFERROR(IF(D2972="","",VLOOKUP(D2972,CadProd!$A:$B,2,0)),"")</f>
        <v/>
      </c>
      <c r="F2972" t="str">
        <f>IFERROR(IF(D2972="","",VLOOKUP(D2972,CadProd!$A:$C,3,0)),"")</f>
        <v/>
      </c>
      <c r="I2972" s="1" t="str">
        <f t="shared" si="46"/>
        <v/>
      </c>
    </row>
    <row r="2973" spans="5:9" x14ac:dyDescent="0.3">
      <c r="E2973" t="str">
        <f>IFERROR(IF(D2973="","",VLOOKUP(D2973,CadProd!$A:$B,2,0)),"")</f>
        <v/>
      </c>
      <c r="F2973" t="str">
        <f>IFERROR(IF(D2973="","",VLOOKUP(D2973,CadProd!$A:$C,3,0)),"")</f>
        <v/>
      </c>
      <c r="I2973" s="1" t="str">
        <f t="shared" si="46"/>
        <v/>
      </c>
    </row>
    <row r="2974" spans="5:9" x14ac:dyDescent="0.3">
      <c r="E2974" t="str">
        <f>IFERROR(IF(D2974="","",VLOOKUP(D2974,CadProd!$A:$B,2,0)),"")</f>
        <v/>
      </c>
      <c r="F2974" t="str">
        <f>IFERROR(IF(D2974="","",VLOOKUP(D2974,CadProd!$A:$C,3,0)),"")</f>
        <v/>
      </c>
      <c r="I2974" s="1" t="str">
        <f t="shared" si="46"/>
        <v/>
      </c>
    </row>
    <row r="2975" spans="5:9" x14ac:dyDescent="0.3">
      <c r="E2975" t="str">
        <f>IFERROR(IF(D2975="","",VLOOKUP(D2975,CadProd!$A:$B,2,0)),"")</f>
        <v/>
      </c>
      <c r="F2975" t="str">
        <f>IFERROR(IF(D2975="","",VLOOKUP(D2975,CadProd!$A:$C,3,0)),"")</f>
        <v/>
      </c>
      <c r="I2975" s="1" t="str">
        <f t="shared" si="46"/>
        <v/>
      </c>
    </row>
    <row r="2976" spans="5:9" x14ac:dyDescent="0.3">
      <c r="E2976" t="str">
        <f>IFERROR(IF(D2976="","",VLOOKUP(D2976,CadProd!$A:$B,2,0)),"")</f>
        <v/>
      </c>
      <c r="F2976" t="str">
        <f>IFERROR(IF(D2976="","",VLOOKUP(D2976,CadProd!$A:$C,3,0)),"")</f>
        <v/>
      </c>
      <c r="I2976" s="1" t="str">
        <f t="shared" si="46"/>
        <v/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02F40-3514-46B2-8D7C-61884FBB9D39}">
  <sheetPr codeName="Planilha12"/>
  <dimension ref="A1:R5000"/>
  <sheetViews>
    <sheetView workbookViewId="0">
      <selection sqref="A1:R2976"/>
    </sheetView>
  </sheetViews>
  <sheetFormatPr defaultRowHeight="14.4" x14ac:dyDescent="0.3"/>
  <cols>
    <col min="3" max="3" width="32.21875" customWidth="1"/>
    <col min="4" max="4" width="11" bestFit="1" customWidth="1"/>
    <col min="5" max="5" width="12.33203125" bestFit="1" customWidth="1"/>
    <col min="6" max="6" width="26.77734375" customWidth="1"/>
    <col min="8" max="8" width="11.88671875" style="1" bestFit="1" customWidth="1"/>
    <col min="9" max="9" width="12.5546875" style="1" bestFit="1" customWidth="1"/>
    <col min="10" max="10" width="13.21875" style="3" bestFit="1" customWidth="1"/>
    <col min="11" max="11" width="13.21875" style="2" bestFit="1" customWidth="1"/>
    <col min="14" max="14" width="11.5546875" bestFit="1" customWidth="1"/>
    <col min="16" max="16" width="11.5546875" bestFit="1" customWidth="1"/>
    <col min="17" max="17" width="12.33203125" bestFit="1" customWidth="1"/>
    <col min="18" max="18" width="11.88671875" bestFit="1" customWidth="1"/>
    <col min="19" max="19" width="12.33203125" bestFit="1" customWidth="1"/>
    <col min="20" max="20" width="12.77734375" bestFit="1" customWidth="1"/>
    <col min="21" max="21" width="10.33203125" bestFit="1" customWidth="1"/>
  </cols>
  <sheetData>
    <row r="1" spans="1:18" x14ac:dyDescent="0.3">
      <c r="A1" t="s">
        <v>44</v>
      </c>
      <c r="B1" t="s">
        <v>0</v>
      </c>
      <c r="C1" t="s">
        <v>12</v>
      </c>
      <c r="D1" t="s">
        <v>0</v>
      </c>
      <c r="E1" t="s">
        <v>38</v>
      </c>
      <c r="F1" t="s">
        <v>1</v>
      </c>
      <c r="G1" t="s">
        <v>3</v>
      </c>
      <c r="H1" t="s">
        <v>2</v>
      </c>
      <c r="I1" t="s">
        <v>9</v>
      </c>
      <c r="J1" t="s">
        <v>11</v>
      </c>
      <c r="K1" t="s">
        <v>4</v>
      </c>
      <c r="L1" t="s">
        <v>6</v>
      </c>
      <c r="N1" t="s">
        <v>10</v>
      </c>
      <c r="O1">
        <f>SUM(TempMovSaida!G2:G1048576)</f>
        <v>0</v>
      </c>
      <c r="Q1" t="s">
        <v>9</v>
      </c>
      <c r="R1" s="5">
        <f>SUM(TempMovSaida!I2:I1048576)</f>
        <v>0</v>
      </c>
    </row>
    <row r="11" spans="1:18" x14ac:dyDescent="0.3">
      <c r="E11" t="str">
        <f>IFERROR(IF(D11="","",VLOOKUP(D11,CadProd!$A:$B,2,0)),"")</f>
        <v/>
      </c>
      <c r="F11" t="str">
        <f>IFERROR(IF(D11="","",VLOOKUP(D11,CadProd!$A:$C,3,0)),"")</f>
        <v/>
      </c>
      <c r="I11" s="1" t="str">
        <f t="shared" ref="I11:I74" si="0">IFERROR(IF(D11="","",H11*G11),"")</f>
        <v/>
      </c>
    </row>
    <row r="12" spans="1:18" x14ac:dyDescent="0.3">
      <c r="E12" t="str">
        <f>IFERROR(IF(D12="","",VLOOKUP(D12,CadProd!$A:$B,2,0)),"")</f>
        <v/>
      </c>
      <c r="F12" t="str">
        <f>IFERROR(IF(D12="","",VLOOKUP(D12,CadProd!$A:$C,3,0)),"")</f>
        <v/>
      </c>
      <c r="I12" s="1" t="str">
        <f t="shared" si="0"/>
        <v/>
      </c>
    </row>
    <row r="13" spans="1:18" x14ac:dyDescent="0.3">
      <c r="E13" t="str">
        <f>IFERROR(IF(D13="","",VLOOKUP(D13,CadProd!$A:$B,2,0)),"")</f>
        <v/>
      </c>
      <c r="F13" t="str">
        <f>IFERROR(IF(D13="","",VLOOKUP(D13,CadProd!$A:$C,3,0)),"")</f>
        <v/>
      </c>
      <c r="I13" s="1" t="str">
        <f t="shared" si="0"/>
        <v/>
      </c>
    </row>
    <row r="14" spans="1:18" x14ac:dyDescent="0.3">
      <c r="E14" t="str">
        <f>IFERROR(IF(D14="","",VLOOKUP(D14,CadProd!$A:$B,2,0)),"")</f>
        <v/>
      </c>
      <c r="F14" t="str">
        <f>IFERROR(IF(D14="","",VLOOKUP(D14,CadProd!$A:$C,3,0)),"")</f>
        <v/>
      </c>
      <c r="I14" s="1" t="str">
        <f t="shared" si="0"/>
        <v/>
      </c>
    </row>
    <row r="15" spans="1:18" x14ac:dyDescent="0.3">
      <c r="E15" t="str">
        <f>IFERROR(IF(D15="","",VLOOKUP(D15,CadProd!$A:$B,2,0)),"")</f>
        <v/>
      </c>
      <c r="F15" t="str">
        <f>IFERROR(IF(D15="","",VLOOKUP(D15,CadProd!$A:$C,3,0)),"")</f>
        <v/>
      </c>
      <c r="I15" s="1" t="str">
        <f t="shared" si="0"/>
        <v/>
      </c>
    </row>
    <row r="16" spans="1:18" x14ac:dyDescent="0.3">
      <c r="E16" t="str">
        <f>IFERROR(IF(D16="","",VLOOKUP(D16,CadProd!$A:$B,2,0)),"")</f>
        <v/>
      </c>
      <c r="F16" t="str">
        <f>IFERROR(IF(D16="","",VLOOKUP(D16,CadProd!$A:$C,3,0)),"")</f>
        <v/>
      </c>
      <c r="I16" s="1" t="str">
        <f t="shared" si="0"/>
        <v/>
      </c>
    </row>
    <row r="17" spans="5:9" x14ac:dyDescent="0.3">
      <c r="E17" t="str">
        <f>IFERROR(IF(D17="","",VLOOKUP(D17,CadProd!$A:$B,2,0)),"")</f>
        <v/>
      </c>
      <c r="F17" t="str">
        <f>IFERROR(IF(D17="","",VLOOKUP(D17,CadProd!$A:$C,3,0)),"")</f>
        <v/>
      </c>
      <c r="I17" s="1" t="str">
        <f t="shared" si="0"/>
        <v/>
      </c>
    </row>
    <row r="18" spans="5:9" x14ac:dyDescent="0.3">
      <c r="E18" t="str">
        <f>IFERROR(IF(D18="","",VLOOKUP(D18,CadProd!$A:$B,2,0)),"")</f>
        <v/>
      </c>
      <c r="F18" t="str">
        <f>IFERROR(IF(D18="","",VLOOKUP(D18,CadProd!$A:$C,3,0)),"")</f>
        <v/>
      </c>
      <c r="I18" s="1" t="str">
        <f t="shared" si="0"/>
        <v/>
      </c>
    </row>
    <row r="19" spans="5:9" x14ac:dyDescent="0.3">
      <c r="E19" t="str">
        <f>IFERROR(IF(D19="","",VLOOKUP(D19,CadProd!$A:$B,2,0)),"")</f>
        <v/>
      </c>
      <c r="F19" t="str">
        <f>IFERROR(IF(D19="","",VLOOKUP(D19,CadProd!$A:$C,3,0)),"")</f>
        <v/>
      </c>
      <c r="I19" s="1" t="str">
        <f t="shared" si="0"/>
        <v/>
      </c>
    </row>
    <row r="20" spans="5:9" x14ac:dyDescent="0.3">
      <c r="E20" t="str">
        <f>IFERROR(IF(D20="","",VLOOKUP(D20,CadProd!$A:$B,2,0)),"")</f>
        <v/>
      </c>
      <c r="F20" t="str">
        <f>IFERROR(IF(D20="","",VLOOKUP(D20,CadProd!$A:$C,3,0)),"")</f>
        <v/>
      </c>
      <c r="I20" s="1" t="str">
        <f t="shared" si="0"/>
        <v/>
      </c>
    </row>
    <row r="21" spans="5:9" x14ac:dyDescent="0.3">
      <c r="E21" t="str">
        <f>IFERROR(IF(D21="","",VLOOKUP(D21,CadProd!$A:$B,2,0)),"")</f>
        <v/>
      </c>
      <c r="F21" t="str">
        <f>IFERROR(IF(D21="","",VLOOKUP(D21,CadProd!$A:$C,3,0)),"")</f>
        <v/>
      </c>
      <c r="I21" s="1" t="str">
        <f t="shared" si="0"/>
        <v/>
      </c>
    </row>
    <row r="22" spans="5:9" x14ac:dyDescent="0.3">
      <c r="E22" t="str">
        <f>IFERROR(IF(D22="","",VLOOKUP(D22,CadProd!$A:$B,2,0)),"")</f>
        <v/>
      </c>
      <c r="F22" t="str">
        <f>IFERROR(IF(D22="","",VLOOKUP(D22,CadProd!$A:$C,3,0)),"")</f>
        <v/>
      </c>
      <c r="I22" s="1" t="str">
        <f t="shared" si="0"/>
        <v/>
      </c>
    </row>
    <row r="23" spans="5:9" x14ac:dyDescent="0.3">
      <c r="E23" t="str">
        <f>IFERROR(IF(D23="","",VLOOKUP(D23,CadProd!$A:$B,2,0)),"")</f>
        <v/>
      </c>
      <c r="F23" t="str">
        <f>IFERROR(IF(D23="","",VLOOKUP(D23,CadProd!$A:$C,3,0)),"")</f>
        <v/>
      </c>
      <c r="I23" s="1" t="str">
        <f t="shared" si="0"/>
        <v/>
      </c>
    </row>
    <row r="24" spans="5:9" x14ac:dyDescent="0.3">
      <c r="E24" t="str">
        <f>IFERROR(IF(D24="","",VLOOKUP(D24,CadProd!$A:$B,2,0)),"")</f>
        <v/>
      </c>
      <c r="F24" t="str">
        <f>IFERROR(IF(D24="","",VLOOKUP(D24,CadProd!$A:$C,3,0)),"")</f>
        <v/>
      </c>
      <c r="I24" s="1" t="str">
        <f t="shared" si="0"/>
        <v/>
      </c>
    </row>
    <row r="25" spans="5:9" x14ac:dyDescent="0.3">
      <c r="E25" t="str">
        <f>IFERROR(IF(D25="","",VLOOKUP(D25,CadProd!$A:$B,2,0)),"")</f>
        <v/>
      </c>
      <c r="F25" t="str">
        <f>IFERROR(IF(D25="","",VLOOKUP(D25,CadProd!$A:$C,3,0)),"")</f>
        <v/>
      </c>
      <c r="I25" s="1" t="str">
        <f t="shared" si="0"/>
        <v/>
      </c>
    </row>
    <row r="26" spans="5:9" x14ac:dyDescent="0.3">
      <c r="E26" t="str">
        <f>IFERROR(IF(D26="","",VLOOKUP(D26,CadProd!$A:$B,2,0)),"")</f>
        <v/>
      </c>
      <c r="F26" t="str">
        <f>IFERROR(IF(D26="","",VLOOKUP(D26,CadProd!$A:$C,3,0)),"")</f>
        <v/>
      </c>
      <c r="I26" s="1" t="str">
        <f t="shared" si="0"/>
        <v/>
      </c>
    </row>
    <row r="27" spans="5:9" x14ac:dyDescent="0.3">
      <c r="E27" t="str">
        <f>IFERROR(IF(D27="","",VLOOKUP(D27,CadProd!$A:$B,2,0)),"")</f>
        <v/>
      </c>
      <c r="F27" t="str">
        <f>IFERROR(IF(D27="","",VLOOKUP(D27,CadProd!$A:$C,3,0)),"")</f>
        <v/>
      </c>
      <c r="I27" s="1" t="str">
        <f t="shared" si="0"/>
        <v/>
      </c>
    </row>
    <row r="28" spans="5:9" x14ac:dyDescent="0.3">
      <c r="E28" t="str">
        <f>IFERROR(IF(D28="","",VLOOKUP(D28,CadProd!$A:$B,2,0)),"")</f>
        <v/>
      </c>
      <c r="F28" t="str">
        <f>IFERROR(IF(D28="","",VLOOKUP(D28,CadProd!$A:$C,3,0)),"")</f>
        <v/>
      </c>
      <c r="I28" s="1" t="str">
        <f t="shared" si="0"/>
        <v/>
      </c>
    </row>
    <row r="29" spans="5:9" x14ac:dyDescent="0.3">
      <c r="E29" t="str">
        <f>IFERROR(IF(D29="","",VLOOKUP(D29,CadProd!$A:$B,2,0)),"")</f>
        <v/>
      </c>
      <c r="F29" t="str">
        <f>IFERROR(IF(D29="","",VLOOKUP(D29,CadProd!$A:$C,3,0)),"")</f>
        <v/>
      </c>
      <c r="I29" s="1" t="str">
        <f t="shared" si="0"/>
        <v/>
      </c>
    </row>
    <row r="30" spans="5:9" x14ac:dyDescent="0.3">
      <c r="E30" t="str">
        <f>IFERROR(IF(D30="","",VLOOKUP(D30,CadProd!$A:$B,2,0)),"")</f>
        <v/>
      </c>
      <c r="F30" t="str">
        <f>IFERROR(IF(D30="","",VLOOKUP(D30,CadProd!$A:$C,3,0)),"")</f>
        <v/>
      </c>
      <c r="I30" s="1" t="str">
        <f t="shared" si="0"/>
        <v/>
      </c>
    </row>
    <row r="31" spans="5:9" x14ac:dyDescent="0.3">
      <c r="E31" t="str">
        <f>IFERROR(IF(D31="","",VLOOKUP(D31,CadProd!$A:$B,2,0)),"")</f>
        <v/>
      </c>
      <c r="F31" t="str">
        <f>IFERROR(IF(D31="","",VLOOKUP(D31,CadProd!$A:$C,3,0)),"")</f>
        <v/>
      </c>
      <c r="I31" s="1" t="str">
        <f t="shared" si="0"/>
        <v/>
      </c>
    </row>
    <row r="32" spans="5:9" x14ac:dyDescent="0.3">
      <c r="E32" t="str">
        <f>IFERROR(IF(D32="","",VLOOKUP(D32,CadProd!$A:$B,2,0)),"")</f>
        <v/>
      </c>
      <c r="F32" t="str">
        <f>IFERROR(IF(D32="","",VLOOKUP(D32,CadProd!$A:$C,3,0)),"")</f>
        <v/>
      </c>
      <c r="I32" s="1" t="str">
        <f t="shared" si="0"/>
        <v/>
      </c>
    </row>
    <row r="33" spans="5:9" x14ac:dyDescent="0.3">
      <c r="E33" t="str">
        <f>IFERROR(IF(D33="","",VLOOKUP(D33,CadProd!$A:$B,2,0)),"")</f>
        <v/>
      </c>
      <c r="F33" t="str">
        <f>IFERROR(IF(D33="","",VLOOKUP(D33,CadProd!$A:$C,3,0)),"")</f>
        <v/>
      </c>
      <c r="I33" s="1" t="str">
        <f t="shared" si="0"/>
        <v/>
      </c>
    </row>
    <row r="34" spans="5:9" x14ac:dyDescent="0.3">
      <c r="E34" t="str">
        <f>IFERROR(IF(D34="","",VLOOKUP(D34,CadProd!$A:$B,2,0)),"")</f>
        <v/>
      </c>
      <c r="F34" t="str">
        <f>IFERROR(IF(D34="","",VLOOKUP(D34,CadProd!$A:$C,3,0)),"")</f>
        <v/>
      </c>
      <c r="I34" s="1" t="str">
        <f t="shared" si="0"/>
        <v/>
      </c>
    </row>
    <row r="35" spans="5:9" x14ac:dyDescent="0.3">
      <c r="E35" t="str">
        <f>IFERROR(IF(D35="","",VLOOKUP(D35,CadProd!$A:$B,2,0)),"")</f>
        <v/>
      </c>
      <c r="F35" t="str">
        <f>IFERROR(IF(D35="","",VLOOKUP(D35,CadProd!$A:$C,3,0)),"")</f>
        <v/>
      </c>
      <c r="I35" s="1" t="str">
        <f t="shared" si="0"/>
        <v/>
      </c>
    </row>
    <row r="36" spans="5:9" x14ac:dyDescent="0.3">
      <c r="E36" t="str">
        <f>IFERROR(IF(D36="","",VLOOKUP(D36,CadProd!$A:$B,2,0)),"")</f>
        <v/>
      </c>
      <c r="F36" t="str">
        <f>IFERROR(IF(D36="","",VLOOKUP(D36,CadProd!$A:$C,3,0)),"")</f>
        <v/>
      </c>
      <c r="I36" s="1" t="str">
        <f t="shared" si="0"/>
        <v/>
      </c>
    </row>
    <row r="37" spans="5:9" x14ac:dyDescent="0.3">
      <c r="E37" t="str">
        <f>IFERROR(IF(D37="","",VLOOKUP(D37,CadProd!$A:$B,2,0)),"")</f>
        <v/>
      </c>
      <c r="F37" t="str">
        <f>IFERROR(IF(D37="","",VLOOKUP(D37,CadProd!$A:$C,3,0)),"")</f>
        <v/>
      </c>
      <c r="I37" s="1" t="str">
        <f t="shared" si="0"/>
        <v/>
      </c>
    </row>
    <row r="38" spans="5:9" x14ac:dyDescent="0.3">
      <c r="E38" t="str">
        <f>IFERROR(IF(D38="","",VLOOKUP(D38,CadProd!$A:$B,2,0)),"")</f>
        <v/>
      </c>
      <c r="F38" t="str">
        <f>IFERROR(IF(D38="","",VLOOKUP(D38,CadProd!$A:$C,3,0)),"")</f>
        <v/>
      </c>
      <c r="I38" s="1" t="str">
        <f t="shared" si="0"/>
        <v/>
      </c>
    </row>
    <row r="39" spans="5:9" x14ac:dyDescent="0.3">
      <c r="E39" t="str">
        <f>IFERROR(IF(D39="","",VLOOKUP(D39,CadProd!$A:$B,2,0)),"")</f>
        <v/>
      </c>
      <c r="F39" t="str">
        <f>IFERROR(IF(D39="","",VLOOKUP(D39,CadProd!$A:$C,3,0)),"")</f>
        <v/>
      </c>
      <c r="I39" s="1" t="str">
        <f t="shared" si="0"/>
        <v/>
      </c>
    </row>
    <row r="40" spans="5:9" x14ac:dyDescent="0.3">
      <c r="E40" t="str">
        <f>IFERROR(IF(D40="","",VLOOKUP(D40,CadProd!$A:$B,2,0)),"")</f>
        <v/>
      </c>
      <c r="F40" t="str">
        <f>IFERROR(IF(D40="","",VLOOKUP(D40,CadProd!$A:$C,3,0)),"")</f>
        <v/>
      </c>
      <c r="I40" s="1" t="str">
        <f t="shared" si="0"/>
        <v/>
      </c>
    </row>
    <row r="41" spans="5:9" x14ac:dyDescent="0.3">
      <c r="E41" t="str">
        <f>IFERROR(IF(D41="","",VLOOKUP(D41,CadProd!$A:$B,2,0)),"")</f>
        <v/>
      </c>
      <c r="F41" t="str">
        <f>IFERROR(IF(D41="","",VLOOKUP(D41,CadProd!$A:$C,3,0)),"")</f>
        <v/>
      </c>
      <c r="I41" s="1" t="str">
        <f t="shared" si="0"/>
        <v/>
      </c>
    </row>
    <row r="42" spans="5:9" x14ac:dyDescent="0.3">
      <c r="E42" t="str">
        <f>IFERROR(IF(D42="","",VLOOKUP(D42,CadProd!$A:$B,2,0)),"")</f>
        <v/>
      </c>
      <c r="F42" t="str">
        <f>IFERROR(IF(D42="","",VLOOKUP(D42,CadProd!$A:$C,3,0)),"")</f>
        <v/>
      </c>
      <c r="I42" s="1" t="str">
        <f t="shared" si="0"/>
        <v/>
      </c>
    </row>
    <row r="43" spans="5:9" x14ac:dyDescent="0.3">
      <c r="E43" t="str">
        <f>IFERROR(IF(D43="","",VLOOKUP(D43,CadProd!$A:$B,2,0)),"")</f>
        <v/>
      </c>
      <c r="F43" t="str">
        <f>IFERROR(IF(D43="","",VLOOKUP(D43,CadProd!$A:$C,3,0)),"")</f>
        <v/>
      </c>
      <c r="I43" s="1" t="str">
        <f t="shared" si="0"/>
        <v/>
      </c>
    </row>
    <row r="44" spans="5:9" x14ac:dyDescent="0.3">
      <c r="E44" t="str">
        <f>IFERROR(IF(D44="","",VLOOKUP(D44,CadProd!$A:$B,2,0)),"")</f>
        <v/>
      </c>
      <c r="F44" t="str">
        <f>IFERROR(IF(D44="","",VLOOKUP(D44,CadProd!$A:$C,3,0)),"")</f>
        <v/>
      </c>
      <c r="I44" s="1" t="str">
        <f t="shared" si="0"/>
        <v/>
      </c>
    </row>
    <row r="45" spans="5:9" x14ac:dyDescent="0.3">
      <c r="E45" t="str">
        <f>IFERROR(IF(D45="","",VLOOKUP(D45,CadProd!$A:$B,2,0)),"")</f>
        <v/>
      </c>
      <c r="F45" t="str">
        <f>IFERROR(IF(D45="","",VLOOKUP(D45,CadProd!$A:$C,3,0)),"")</f>
        <v/>
      </c>
      <c r="I45" s="1" t="str">
        <f t="shared" si="0"/>
        <v/>
      </c>
    </row>
    <row r="46" spans="5:9" x14ac:dyDescent="0.3">
      <c r="E46" t="str">
        <f>IFERROR(IF(D46="","",VLOOKUP(D46,CadProd!$A:$B,2,0)),"")</f>
        <v/>
      </c>
      <c r="F46" t="str">
        <f>IFERROR(IF(D46="","",VLOOKUP(D46,CadProd!$A:$C,3,0)),"")</f>
        <v/>
      </c>
      <c r="I46" s="1" t="str">
        <f t="shared" si="0"/>
        <v/>
      </c>
    </row>
    <row r="47" spans="5:9" x14ac:dyDescent="0.3">
      <c r="E47" t="str">
        <f>IFERROR(IF(D47="","",VLOOKUP(D47,CadProd!$A:$B,2,0)),"")</f>
        <v/>
      </c>
      <c r="F47" t="str">
        <f>IFERROR(IF(D47="","",VLOOKUP(D47,CadProd!$A:$C,3,0)),"")</f>
        <v/>
      </c>
      <c r="I47" s="1" t="str">
        <f t="shared" si="0"/>
        <v/>
      </c>
    </row>
    <row r="48" spans="5:9" x14ac:dyDescent="0.3">
      <c r="E48" t="str">
        <f>IFERROR(IF(D48="","",VLOOKUP(D48,CadProd!$A:$B,2,0)),"")</f>
        <v/>
      </c>
      <c r="F48" t="str">
        <f>IFERROR(IF(D48="","",VLOOKUP(D48,CadProd!$A:$C,3,0)),"")</f>
        <v/>
      </c>
      <c r="I48" s="1" t="str">
        <f t="shared" si="0"/>
        <v/>
      </c>
    </row>
    <row r="49" spans="5:9" x14ac:dyDescent="0.3">
      <c r="E49" t="str">
        <f>IFERROR(IF(D49="","",VLOOKUP(D49,CadProd!$A:$B,2,0)),"")</f>
        <v/>
      </c>
      <c r="F49" t="str">
        <f>IFERROR(IF(D49="","",VLOOKUP(D49,CadProd!$A:$C,3,0)),"")</f>
        <v/>
      </c>
      <c r="I49" s="1" t="str">
        <f t="shared" si="0"/>
        <v/>
      </c>
    </row>
    <row r="50" spans="5:9" x14ac:dyDescent="0.3">
      <c r="E50" t="str">
        <f>IFERROR(IF(D50="","",VLOOKUP(D50,CadProd!$A:$B,2,0)),"")</f>
        <v/>
      </c>
      <c r="F50" t="str">
        <f>IFERROR(IF(D50="","",VLOOKUP(D50,CadProd!$A:$C,3,0)),"")</f>
        <v/>
      </c>
      <c r="I50" s="1" t="str">
        <f t="shared" si="0"/>
        <v/>
      </c>
    </row>
    <row r="51" spans="5:9" x14ac:dyDescent="0.3">
      <c r="E51" t="str">
        <f>IFERROR(IF(D51="","",VLOOKUP(D51,CadProd!$A:$B,2,0)),"")</f>
        <v/>
      </c>
      <c r="F51" t="str">
        <f>IFERROR(IF(D51="","",VLOOKUP(D51,CadProd!$A:$C,3,0)),"")</f>
        <v/>
      </c>
      <c r="I51" s="1" t="str">
        <f t="shared" si="0"/>
        <v/>
      </c>
    </row>
    <row r="52" spans="5:9" x14ac:dyDescent="0.3">
      <c r="E52" t="str">
        <f>IFERROR(IF(D52="","",VLOOKUP(D52,CadProd!$A:$B,2,0)),"")</f>
        <v/>
      </c>
      <c r="F52" t="str">
        <f>IFERROR(IF(D52="","",VLOOKUP(D52,CadProd!$A:$C,3,0)),"")</f>
        <v/>
      </c>
      <c r="I52" s="1" t="str">
        <f t="shared" si="0"/>
        <v/>
      </c>
    </row>
    <row r="53" spans="5:9" x14ac:dyDescent="0.3">
      <c r="E53" t="str">
        <f>IFERROR(IF(D53="","",VLOOKUP(D53,CadProd!$A:$B,2,0)),"")</f>
        <v/>
      </c>
      <c r="F53" t="str">
        <f>IFERROR(IF(D53="","",VLOOKUP(D53,CadProd!$A:$C,3,0)),"")</f>
        <v/>
      </c>
      <c r="I53" s="1" t="str">
        <f t="shared" si="0"/>
        <v/>
      </c>
    </row>
    <row r="54" spans="5:9" x14ac:dyDescent="0.3">
      <c r="E54" t="str">
        <f>IFERROR(IF(D54="","",VLOOKUP(D54,CadProd!$A:$B,2,0)),"")</f>
        <v/>
      </c>
      <c r="F54" t="str">
        <f>IFERROR(IF(D54="","",VLOOKUP(D54,CadProd!$A:$C,3,0)),"")</f>
        <v/>
      </c>
      <c r="I54" s="1" t="str">
        <f t="shared" si="0"/>
        <v/>
      </c>
    </row>
    <row r="55" spans="5:9" x14ac:dyDescent="0.3">
      <c r="E55" t="str">
        <f>IFERROR(IF(D55="","",VLOOKUP(D55,CadProd!$A:$B,2,0)),"")</f>
        <v/>
      </c>
      <c r="F55" t="str">
        <f>IFERROR(IF(D55="","",VLOOKUP(D55,CadProd!$A:$C,3,0)),"")</f>
        <v/>
      </c>
      <c r="I55" s="1" t="str">
        <f t="shared" si="0"/>
        <v/>
      </c>
    </row>
    <row r="56" spans="5:9" x14ac:dyDescent="0.3">
      <c r="E56" t="str">
        <f>IFERROR(IF(D56="","",VLOOKUP(D56,CadProd!$A:$B,2,0)),"")</f>
        <v/>
      </c>
      <c r="F56" t="str">
        <f>IFERROR(IF(D56="","",VLOOKUP(D56,CadProd!$A:$C,3,0)),"")</f>
        <v/>
      </c>
      <c r="I56" s="1" t="str">
        <f t="shared" si="0"/>
        <v/>
      </c>
    </row>
    <row r="57" spans="5:9" x14ac:dyDescent="0.3">
      <c r="E57" t="str">
        <f>IFERROR(IF(D57="","",VLOOKUP(D57,CadProd!$A:$B,2,0)),"")</f>
        <v/>
      </c>
      <c r="F57" t="str">
        <f>IFERROR(IF(D57="","",VLOOKUP(D57,CadProd!$A:$C,3,0)),"")</f>
        <v/>
      </c>
      <c r="I57" s="1" t="str">
        <f t="shared" si="0"/>
        <v/>
      </c>
    </row>
    <row r="58" spans="5:9" x14ac:dyDescent="0.3">
      <c r="E58" t="str">
        <f>IFERROR(IF(D58="","",VLOOKUP(D58,CadProd!$A:$B,2,0)),"")</f>
        <v/>
      </c>
      <c r="F58" t="str">
        <f>IFERROR(IF(D58="","",VLOOKUP(D58,CadProd!$A:$C,3,0)),"")</f>
        <v/>
      </c>
      <c r="I58" s="1" t="str">
        <f t="shared" si="0"/>
        <v/>
      </c>
    </row>
    <row r="59" spans="5:9" x14ac:dyDescent="0.3">
      <c r="E59" t="str">
        <f>IFERROR(IF(D59="","",VLOOKUP(D59,CadProd!$A:$B,2,0)),"")</f>
        <v/>
      </c>
      <c r="F59" t="str">
        <f>IFERROR(IF(D59="","",VLOOKUP(D59,CadProd!$A:$C,3,0)),"")</f>
        <v/>
      </c>
      <c r="I59" s="1" t="str">
        <f t="shared" si="0"/>
        <v/>
      </c>
    </row>
    <row r="60" spans="5:9" x14ac:dyDescent="0.3">
      <c r="E60" t="str">
        <f>IFERROR(IF(D60="","",VLOOKUP(D60,CadProd!$A:$B,2,0)),"")</f>
        <v/>
      </c>
      <c r="F60" t="str">
        <f>IFERROR(IF(D60="","",VLOOKUP(D60,CadProd!$A:$C,3,0)),"")</f>
        <v/>
      </c>
      <c r="I60" s="1" t="str">
        <f t="shared" si="0"/>
        <v/>
      </c>
    </row>
    <row r="61" spans="5:9" x14ac:dyDescent="0.3">
      <c r="E61" t="str">
        <f>IFERROR(IF(D61="","",VLOOKUP(D61,CadProd!$A:$B,2,0)),"")</f>
        <v/>
      </c>
      <c r="F61" t="str">
        <f>IFERROR(IF(D61="","",VLOOKUP(D61,CadProd!$A:$C,3,0)),"")</f>
        <v/>
      </c>
      <c r="I61" s="1" t="str">
        <f t="shared" si="0"/>
        <v/>
      </c>
    </row>
    <row r="62" spans="5:9" x14ac:dyDescent="0.3">
      <c r="E62" t="str">
        <f>IFERROR(IF(D62="","",VLOOKUP(D62,CadProd!$A:$B,2,0)),"")</f>
        <v/>
      </c>
      <c r="F62" t="str">
        <f>IFERROR(IF(D62="","",VLOOKUP(D62,CadProd!$A:$C,3,0)),"")</f>
        <v/>
      </c>
      <c r="I62" s="1" t="str">
        <f t="shared" si="0"/>
        <v/>
      </c>
    </row>
    <row r="63" spans="5:9" x14ac:dyDescent="0.3">
      <c r="E63" t="str">
        <f>IFERROR(IF(D63="","",VLOOKUP(D63,CadProd!$A:$B,2,0)),"")</f>
        <v/>
      </c>
      <c r="F63" t="str">
        <f>IFERROR(IF(D63="","",VLOOKUP(D63,CadProd!$A:$C,3,0)),"")</f>
        <v/>
      </c>
      <c r="I63" s="1" t="str">
        <f t="shared" si="0"/>
        <v/>
      </c>
    </row>
    <row r="64" spans="5:9" x14ac:dyDescent="0.3">
      <c r="E64" t="str">
        <f>IFERROR(IF(D64="","",VLOOKUP(D64,CadProd!$A:$B,2,0)),"")</f>
        <v/>
      </c>
      <c r="F64" t="str">
        <f>IFERROR(IF(D64="","",VLOOKUP(D64,CadProd!$A:$C,3,0)),"")</f>
        <v/>
      </c>
      <c r="I64" s="1" t="str">
        <f t="shared" si="0"/>
        <v/>
      </c>
    </row>
    <row r="65" spans="5:9" x14ac:dyDescent="0.3">
      <c r="E65" t="str">
        <f>IFERROR(IF(D65="","",VLOOKUP(D65,CadProd!$A:$B,2,0)),"")</f>
        <v/>
      </c>
      <c r="F65" t="str">
        <f>IFERROR(IF(D65="","",VLOOKUP(D65,CadProd!$A:$C,3,0)),"")</f>
        <v/>
      </c>
      <c r="I65" s="1" t="str">
        <f t="shared" si="0"/>
        <v/>
      </c>
    </row>
    <row r="66" spans="5:9" x14ac:dyDescent="0.3">
      <c r="E66" t="str">
        <f>IFERROR(IF(D66="","",VLOOKUP(D66,CadProd!$A:$B,2,0)),"")</f>
        <v/>
      </c>
      <c r="F66" t="str">
        <f>IFERROR(IF(D66="","",VLOOKUP(D66,CadProd!$A:$C,3,0)),"")</f>
        <v/>
      </c>
      <c r="I66" s="1" t="str">
        <f t="shared" si="0"/>
        <v/>
      </c>
    </row>
    <row r="67" spans="5:9" x14ac:dyDescent="0.3">
      <c r="E67" t="str">
        <f>IFERROR(IF(D67="","",VLOOKUP(D67,CadProd!$A:$B,2,0)),"")</f>
        <v/>
      </c>
      <c r="F67" t="str">
        <f>IFERROR(IF(D67="","",VLOOKUP(D67,CadProd!$A:$C,3,0)),"")</f>
        <v/>
      </c>
      <c r="I67" s="1" t="str">
        <f t="shared" si="0"/>
        <v/>
      </c>
    </row>
    <row r="68" spans="5:9" x14ac:dyDescent="0.3">
      <c r="E68" t="str">
        <f>IFERROR(IF(D68="","",VLOOKUP(D68,CadProd!$A:$B,2,0)),"")</f>
        <v/>
      </c>
      <c r="F68" t="str">
        <f>IFERROR(IF(D68="","",VLOOKUP(D68,CadProd!$A:$C,3,0)),"")</f>
        <v/>
      </c>
      <c r="I68" s="1" t="str">
        <f t="shared" si="0"/>
        <v/>
      </c>
    </row>
    <row r="69" spans="5:9" x14ac:dyDescent="0.3">
      <c r="E69" t="str">
        <f>IFERROR(IF(D69="","",VLOOKUP(D69,CadProd!$A:$B,2,0)),"")</f>
        <v/>
      </c>
      <c r="F69" t="str">
        <f>IFERROR(IF(D69="","",VLOOKUP(D69,CadProd!$A:$C,3,0)),"")</f>
        <v/>
      </c>
      <c r="I69" s="1" t="str">
        <f t="shared" si="0"/>
        <v/>
      </c>
    </row>
    <row r="70" spans="5:9" x14ac:dyDescent="0.3">
      <c r="E70" t="str">
        <f>IFERROR(IF(D70="","",VLOOKUP(D70,CadProd!$A:$B,2,0)),"")</f>
        <v/>
      </c>
      <c r="F70" t="str">
        <f>IFERROR(IF(D70="","",VLOOKUP(D70,CadProd!$A:$C,3,0)),"")</f>
        <v/>
      </c>
      <c r="I70" s="1" t="str">
        <f t="shared" si="0"/>
        <v/>
      </c>
    </row>
    <row r="71" spans="5:9" x14ac:dyDescent="0.3">
      <c r="E71" t="str">
        <f>IFERROR(IF(D71="","",VLOOKUP(D71,CadProd!$A:$B,2,0)),"")</f>
        <v/>
      </c>
      <c r="F71" t="str">
        <f>IFERROR(IF(D71="","",VLOOKUP(D71,CadProd!$A:$C,3,0)),"")</f>
        <v/>
      </c>
      <c r="I71" s="1" t="str">
        <f t="shared" si="0"/>
        <v/>
      </c>
    </row>
    <row r="72" spans="5:9" x14ac:dyDescent="0.3">
      <c r="E72" t="str">
        <f>IFERROR(IF(D72="","",VLOOKUP(D72,CadProd!$A:$B,2,0)),"")</f>
        <v/>
      </c>
      <c r="F72" t="str">
        <f>IFERROR(IF(D72="","",VLOOKUP(D72,CadProd!$A:$C,3,0)),"")</f>
        <v/>
      </c>
      <c r="I72" s="1" t="str">
        <f t="shared" si="0"/>
        <v/>
      </c>
    </row>
    <row r="73" spans="5:9" x14ac:dyDescent="0.3">
      <c r="E73" t="str">
        <f>IFERROR(IF(D73="","",VLOOKUP(D73,CadProd!$A:$B,2,0)),"")</f>
        <v/>
      </c>
      <c r="F73" t="str">
        <f>IFERROR(IF(D73="","",VLOOKUP(D73,CadProd!$A:$C,3,0)),"")</f>
        <v/>
      </c>
      <c r="I73" s="1" t="str">
        <f t="shared" si="0"/>
        <v/>
      </c>
    </row>
    <row r="74" spans="5:9" x14ac:dyDescent="0.3">
      <c r="E74" t="str">
        <f>IFERROR(IF(D74="","",VLOOKUP(D74,CadProd!$A:$B,2,0)),"")</f>
        <v/>
      </c>
      <c r="F74" t="str">
        <f>IFERROR(IF(D74="","",VLOOKUP(D74,CadProd!$A:$C,3,0)),"")</f>
        <v/>
      </c>
      <c r="I74" s="1" t="str">
        <f t="shared" si="0"/>
        <v/>
      </c>
    </row>
    <row r="75" spans="5:9" x14ac:dyDescent="0.3">
      <c r="E75" t="str">
        <f>IFERROR(IF(D75="","",VLOOKUP(D75,CadProd!$A:$B,2,0)),"")</f>
        <v/>
      </c>
      <c r="F75" t="str">
        <f>IFERROR(IF(D75="","",VLOOKUP(D75,CadProd!$A:$C,3,0)),"")</f>
        <v/>
      </c>
      <c r="I75" s="1" t="str">
        <f t="shared" ref="I75:I138" si="1">IFERROR(IF(D75="","",H75*G75),"")</f>
        <v/>
      </c>
    </row>
    <row r="76" spans="5:9" x14ac:dyDescent="0.3">
      <c r="E76" t="str">
        <f>IFERROR(IF(D76="","",VLOOKUP(D76,CadProd!$A:$B,2,0)),"")</f>
        <v/>
      </c>
      <c r="F76" t="str">
        <f>IFERROR(IF(D76="","",VLOOKUP(D76,CadProd!$A:$C,3,0)),"")</f>
        <v/>
      </c>
      <c r="I76" s="1" t="str">
        <f t="shared" si="1"/>
        <v/>
      </c>
    </row>
    <row r="77" spans="5:9" x14ac:dyDescent="0.3">
      <c r="E77" t="str">
        <f>IFERROR(IF(D77="","",VLOOKUP(D77,CadProd!$A:$B,2,0)),"")</f>
        <v/>
      </c>
      <c r="F77" t="str">
        <f>IFERROR(IF(D77="","",VLOOKUP(D77,CadProd!$A:$C,3,0)),"")</f>
        <v/>
      </c>
      <c r="I77" s="1" t="str">
        <f t="shared" si="1"/>
        <v/>
      </c>
    </row>
    <row r="78" spans="5:9" x14ac:dyDescent="0.3">
      <c r="E78" t="str">
        <f>IFERROR(IF(D78="","",VLOOKUP(D78,CadProd!$A:$B,2,0)),"")</f>
        <v/>
      </c>
      <c r="F78" t="str">
        <f>IFERROR(IF(D78="","",VLOOKUP(D78,CadProd!$A:$C,3,0)),"")</f>
        <v/>
      </c>
      <c r="I78" s="1" t="str">
        <f t="shared" si="1"/>
        <v/>
      </c>
    </row>
    <row r="79" spans="5:9" x14ac:dyDescent="0.3">
      <c r="E79" t="str">
        <f>IFERROR(IF(D79="","",VLOOKUP(D79,CadProd!$A:$B,2,0)),"")</f>
        <v/>
      </c>
      <c r="F79" t="str">
        <f>IFERROR(IF(D79="","",VLOOKUP(D79,CadProd!$A:$C,3,0)),"")</f>
        <v/>
      </c>
      <c r="I79" s="1" t="str">
        <f t="shared" si="1"/>
        <v/>
      </c>
    </row>
    <row r="80" spans="5:9" x14ac:dyDescent="0.3">
      <c r="E80" t="str">
        <f>IFERROR(IF(D80="","",VLOOKUP(D80,CadProd!$A:$B,2,0)),"")</f>
        <v/>
      </c>
      <c r="F80" t="str">
        <f>IFERROR(IF(D80="","",VLOOKUP(D80,CadProd!$A:$C,3,0)),"")</f>
        <v/>
      </c>
      <c r="I80" s="1" t="str">
        <f t="shared" si="1"/>
        <v/>
      </c>
    </row>
    <row r="81" spans="5:9" x14ac:dyDescent="0.3">
      <c r="E81" t="str">
        <f>IFERROR(IF(D81="","",VLOOKUP(D81,CadProd!$A:$B,2,0)),"")</f>
        <v/>
      </c>
      <c r="F81" t="str">
        <f>IFERROR(IF(D81="","",VLOOKUP(D81,CadProd!$A:$C,3,0)),"")</f>
        <v/>
      </c>
      <c r="I81" s="1" t="str">
        <f t="shared" si="1"/>
        <v/>
      </c>
    </row>
    <row r="82" spans="5:9" x14ac:dyDescent="0.3">
      <c r="E82" t="str">
        <f>IFERROR(IF(D82="","",VLOOKUP(D82,CadProd!$A:$B,2,0)),"")</f>
        <v/>
      </c>
      <c r="F82" t="str">
        <f>IFERROR(IF(D82="","",VLOOKUP(D82,CadProd!$A:$C,3,0)),"")</f>
        <v/>
      </c>
      <c r="I82" s="1" t="str">
        <f t="shared" si="1"/>
        <v/>
      </c>
    </row>
    <row r="83" spans="5:9" x14ac:dyDescent="0.3">
      <c r="E83" t="str">
        <f>IFERROR(IF(D83="","",VLOOKUP(D83,CadProd!$A:$B,2,0)),"")</f>
        <v/>
      </c>
      <c r="F83" t="str">
        <f>IFERROR(IF(D83="","",VLOOKUP(D83,CadProd!$A:$C,3,0)),"")</f>
        <v/>
      </c>
      <c r="I83" s="1" t="str">
        <f t="shared" si="1"/>
        <v/>
      </c>
    </row>
    <row r="84" spans="5:9" x14ac:dyDescent="0.3">
      <c r="E84" t="str">
        <f>IFERROR(IF(D84="","",VLOOKUP(D84,CadProd!$A:$B,2,0)),"")</f>
        <v/>
      </c>
      <c r="F84" t="str">
        <f>IFERROR(IF(D84="","",VLOOKUP(D84,CadProd!$A:$C,3,0)),"")</f>
        <v/>
      </c>
      <c r="I84" s="1" t="str">
        <f t="shared" si="1"/>
        <v/>
      </c>
    </row>
    <row r="85" spans="5:9" x14ac:dyDescent="0.3">
      <c r="E85" t="str">
        <f>IFERROR(IF(D85="","",VLOOKUP(D85,CadProd!$A:$B,2,0)),"")</f>
        <v/>
      </c>
      <c r="F85" t="str">
        <f>IFERROR(IF(D85="","",VLOOKUP(D85,CadProd!$A:$C,3,0)),"")</f>
        <v/>
      </c>
      <c r="I85" s="1" t="str">
        <f t="shared" si="1"/>
        <v/>
      </c>
    </row>
    <row r="86" spans="5:9" x14ac:dyDescent="0.3">
      <c r="E86" t="str">
        <f>IFERROR(IF(D86="","",VLOOKUP(D86,CadProd!$A:$B,2,0)),"")</f>
        <v/>
      </c>
      <c r="F86" t="str">
        <f>IFERROR(IF(D86="","",VLOOKUP(D86,CadProd!$A:$C,3,0)),"")</f>
        <v/>
      </c>
      <c r="I86" s="1" t="str">
        <f t="shared" si="1"/>
        <v/>
      </c>
    </row>
    <row r="87" spans="5:9" x14ac:dyDescent="0.3">
      <c r="E87" t="str">
        <f>IFERROR(IF(D87="","",VLOOKUP(D87,CadProd!$A:$B,2,0)),"")</f>
        <v/>
      </c>
      <c r="F87" t="str">
        <f>IFERROR(IF(D87="","",VLOOKUP(D87,CadProd!$A:$C,3,0)),"")</f>
        <v/>
      </c>
      <c r="I87" s="1" t="str">
        <f t="shared" si="1"/>
        <v/>
      </c>
    </row>
    <row r="88" spans="5:9" x14ac:dyDescent="0.3">
      <c r="E88" t="str">
        <f>IFERROR(IF(D88="","",VLOOKUP(D88,CadProd!$A:$B,2,0)),"")</f>
        <v/>
      </c>
      <c r="F88" t="str">
        <f>IFERROR(IF(D88="","",VLOOKUP(D88,CadProd!$A:$C,3,0)),"")</f>
        <v/>
      </c>
      <c r="I88" s="1" t="str">
        <f t="shared" si="1"/>
        <v/>
      </c>
    </row>
    <row r="89" spans="5:9" x14ac:dyDescent="0.3">
      <c r="E89" t="str">
        <f>IFERROR(IF(D89="","",VLOOKUP(D89,CadProd!$A:$B,2,0)),"")</f>
        <v/>
      </c>
      <c r="F89" t="str">
        <f>IFERROR(IF(D89="","",VLOOKUP(D89,CadProd!$A:$C,3,0)),"")</f>
        <v/>
      </c>
      <c r="I89" s="1" t="str">
        <f t="shared" si="1"/>
        <v/>
      </c>
    </row>
    <row r="90" spans="5:9" x14ac:dyDescent="0.3">
      <c r="E90" t="str">
        <f>IFERROR(IF(D90="","",VLOOKUP(D90,CadProd!$A:$B,2,0)),"")</f>
        <v/>
      </c>
      <c r="F90" t="str">
        <f>IFERROR(IF(D90="","",VLOOKUP(D90,CadProd!$A:$C,3,0)),"")</f>
        <v/>
      </c>
      <c r="I90" s="1" t="str">
        <f t="shared" si="1"/>
        <v/>
      </c>
    </row>
    <row r="91" spans="5:9" x14ac:dyDescent="0.3">
      <c r="E91" t="str">
        <f>IFERROR(IF(D91="","",VLOOKUP(D91,CadProd!$A:$B,2,0)),"")</f>
        <v/>
      </c>
      <c r="F91" t="str">
        <f>IFERROR(IF(D91="","",VLOOKUP(D91,CadProd!$A:$C,3,0)),"")</f>
        <v/>
      </c>
      <c r="I91" s="1" t="str">
        <f t="shared" si="1"/>
        <v/>
      </c>
    </row>
    <row r="92" spans="5:9" x14ac:dyDescent="0.3">
      <c r="E92" t="str">
        <f>IFERROR(IF(D92="","",VLOOKUP(D92,CadProd!$A:$B,2,0)),"")</f>
        <v/>
      </c>
      <c r="F92" t="str">
        <f>IFERROR(IF(D92="","",VLOOKUP(D92,CadProd!$A:$C,3,0)),"")</f>
        <v/>
      </c>
      <c r="I92" s="1" t="str">
        <f t="shared" si="1"/>
        <v/>
      </c>
    </row>
    <row r="93" spans="5:9" x14ac:dyDescent="0.3">
      <c r="E93" t="str">
        <f>IFERROR(IF(D93="","",VLOOKUP(D93,CadProd!$A:$B,2,0)),"")</f>
        <v/>
      </c>
      <c r="F93" t="str">
        <f>IFERROR(IF(D93="","",VLOOKUP(D93,CadProd!$A:$C,3,0)),"")</f>
        <v/>
      </c>
      <c r="I93" s="1" t="str">
        <f t="shared" si="1"/>
        <v/>
      </c>
    </row>
    <row r="94" spans="5:9" x14ac:dyDescent="0.3">
      <c r="E94" t="str">
        <f>IFERROR(IF(D94="","",VLOOKUP(D94,CadProd!$A:$B,2,0)),"")</f>
        <v/>
      </c>
      <c r="F94" t="str">
        <f>IFERROR(IF(D94="","",VLOOKUP(D94,CadProd!$A:$C,3,0)),"")</f>
        <v/>
      </c>
      <c r="I94" s="1" t="str">
        <f t="shared" si="1"/>
        <v/>
      </c>
    </row>
    <row r="95" spans="5:9" x14ac:dyDescent="0.3">
      <c r="E95" t="str">
        <f>IFERROR(IF(D95="","",VLOOKUP(D95,CadProd!$A:$B,2,0)),"")</f>
        <v/>
      </c>
      <c r="F95" t="str">
        <f>IFERROR(IF(D95="","",VLOOKUP(D95,CadProd!$A:$C,3,0)),"")</f>
        <v/>
      </c>
      <c r="I95" s="1" t="str">
        <f t="shared" si="1"/>
        <v/>
      </c>
    </row>
    <row r="96" spans="5:9" x14ac:dyDescent="0.3">
      <c r="E96" t="str">
        <f>IFERROR(IF(D96="","",VLOOKUP(D96,CadProd!$A:$B,2,0)),"")</f>
        <v/>
      </c>
      <c r="F96" t="str">
        <f>IFERROR(IF(D96="","",VLOOKUP(D96,CadProd!$A:$C,3,0)),"")</f>
        <v/>
      </c>
      <c r="I96" s="1" t="str">
        <f t="shared" si="1"/>
        <v/>
      </c>
    </row>
    <row r="97" spans="5:9" x14ac:dyDescent="0.3">
      <c r="E97" t="str">
        <f>IFERROR(IF(D97="","",VLOOKUP(D97,CadProd!$A:$B,2,0)),"")</f>
        <v/>
      </c>
      <c r="F97" t="str">
        <f>IFERROR(IF(D97="","",VLOOKUP(D97,CadProd!$A:$C,3,0)),"")</f>
        <v/>
      </c>
      <c r="I97" s="1" t="str">
        <f t="shared" si="1"/>
        <v/>
      </c>
    </row>
    <row r="98" spans="5:9" x14ac:dyDescent="0.3">
      <c r="E98" t="str">
        <f>IFERROR(IF(D98="","",VLOOKUP(D98,CadProd!$A:$B,2,0)),"")</f>
        <v/>
      </c>
      <c r="F98" t="str">
        <f>IFERROR(IF(D98="","",VLOOKUP(D98,CadProd!$A:$C,3,0)),"")</f>
        <v/>
      </c>
      <c r="I98" s="1" t="str">
        <f t="shared" si="1"/>
        <v/>
      </c>
    </row>
    <row r="99" spans="5:9" x14ac:dyDescent="0.3">
      <c r="E99" t="str">
        <f>IFERROR(IF(D99="","",VLOOKUP(D99,CadProd!$A:$B,2,0)),"")</f>
        <v/>
      </c>
      <c r="F99" t="str">
        <f>IFERROR(IF(D99="","",VLOOKUP(D99,CadProd!$A:$C,3,0)),"")</f>
        <v/>
      </c>
      <c r="I99" s="1" t="str">
        <f t="shared" si="1"/>
        <v/>
      </c>
    </row>
    <row r="100" spans="5:9" x14ac:dyDescent="0.3">
      <c r="E100" t="str">
        <f>IFERROR(IF(D100="","",VLOOKUP(D100,CadProd!$A:$B,2,0)),"")</f>
        <v/>
      </c>
      <c r="F100" t="str">
        <f>IFERROR(IF(D100="","",VLOOKUP(D100,CadProd!$A:$C,3,0)),"")</f>
        <v/>
      </c>
      <c r="I100" s="1" t="str">
        <f t="shared" si="1"/>
        <v/>
      </c>
    </row>
    <row r="101" spans="5:9" x14ac:dyDescent="0.3">
      <c r="E101" t="str">
        <f>IFERROR(IF(D101="","",VLOOKUP(D101,CadProd!$A:$B,2,0)),"")</f>
        <v/>
      </c>
      <c r="F101" t="str">
        <f>IFERROR(IF(D101="","",VLOOKUP(D101,CadProd!$A:$C,3,0)),"")</f>
        <v/>
      </c>
      <c r="I101" s="1" t="str">
        <f t="shared" si="1"/>
        <v/>
      </c>
    </row>
    <row r="102" spans="5:9" x14ac:dyDescent="0.3">
      <c r="E102" t="str">
        <f>IFERROR(IF(D102="","",VLOOKUP(D102,CadProd!$A:$B,2,0)),"")</f>
        <v/>
      </c>
      <c r="F102" t="str">
        <f>IFERROR(IF(D102="","",VLOOKUP(D102,CadProd!$A:$C,3,0)),"")</f>
        <v/>
      </c>
      <c r="I102" s="1" t="str">
        <f t="shared" si="1"/>
        <v/>
      </c>
    </row>
    <row r="103" spans="5:9" x14ac:dyDescent="0.3">
      <c r="E103" t="str">
        <f>IFERROR(IF(D103="","",VLOOKUP(D103,CadProd!$A:$B,2,0)),"")</f>
        <v/>
      </c>
      <c r="F103" t="str">
        <f>IFERROR(IF(D103="","",VLOOKUP(D103,CadProd!$A:$C,3,0)),"")</f>
        <v/>
      </c>
      <c r="I103" s="1" t="str">
        <f t="shared" si="1"/>
        <v/>
      </c>
    </row>
    <row r="104" spans="5:9" x14ac:dyDescent="0.3">
      <c r="E104" t="str">
        <f>IFERROR(IF(D104="","",VLOOKUP(D104,CadProd!$A:$B,2,0)),"")</f>
        <v/>
      </c>
      <c r="F104" t="str">
        <f>IFERROR(IF(D104="","",VLOOKUP(D104,CadProd!$A:$C,3,0)),"")</f>
        <v/>
      </c>
      <c r="I104" s="1" t="str">
        <f t="shared" si="1"/>
        <v/>
      </c>
    </row>
    <row r="105" spans="5:9" x14ac:dyDescent="0.3">
      <c r="E105" t="str">
        <f>IFERROR(IF(D105="","",VLOOKUP(D105,CadProd!$A:$B,2,0)),"")</f>
        <v/>
      </c>
      <c r="F105" t="str">
        <f>IFERROR(IF(D105="","",VLOOKUP(D105,CadProd!$A:$C,3,0)),"")</f>
        <v/>
      </c>
      <c r="I105" s="1" t="str">
        <f t="shared" si="1"/>
        <v/>
      </c>
    </row>
    <row r="106" spans="5:9" x14ac:dyDescent="0.3">
      <c r="E106" t="str">
        <f>IFERROR(IF(D106="","",VLOOKUP(D106,CadProd!$A:$B,2,0)),"")</f>
        <v/>
      </c>
      <c r="F106" t="str">
        <f>IFERROR(IF(D106="","",VLOOKUP(D106,CadProd!$A:$C,3,0)),"")</f>
        <v/>
      </c>
      <c r="I106" s="1" t="str">
        <f t="shared" si="1"/>
        <v/>
      </c>
    </row>
    <row r="107" spans="5:9" x14ac:dyDescent="0.3">
      <c r="E107" t="str">
        <f>IFERROR(IF(D107="","",VLOOKUP(D107,CadProd!$A:$B,2,0)),"")</f>
        <v/>
      </c>
      <c r="F107" t="str">
        <f>IFERROR(IF(D107="","",VLOOKUP(D107,CadProd!$A:$C,3,0)),"")</f>
        <v/>
      </c>
      <c r="I107" s="1" t="str">
        <f t="shared" si="1"/>
        <v/>
      </c>
    </row>
    <row r="108" spans="5:9" x14ac:dyDescent="0.3">
      <c r="E108" t="str">
        <f>IFERROR(IF(D108="","",VLOOKUP(D108,CadProd!$A:$B,2,0)),"")</f>
        <v/>
      </c>
      <c r="F108" t="str">
        <f>IFERROR(IF(D108="","",VLOOKUP(D108,CadProd!$A:$C,3,0)),"")</f>
        <v/>
      </c>
      <c r="I108" s="1" t="str">
        <f t="shared" si="1"/>
        <v/>
      </c>
    </row>
    <row r="109" spans="5:9" x14ac:dyDescent="0.3">
      <c r="E109" t="str">
        <f>IFERROR(IF(D109="","",VLOOKUP(D109,CadProd!$A:$B,2,0)),"")</f>
        <v/>
      </c>
      <c r="F109" t="str">
        <f>IFERROR(IF(D109="","",VLOOKUP(D109,CadProd!$A:$C,3,0)),"")</f>
        <v/>
      </c>
      <c r="I109" s="1" t="str">
        <f t="shared" si="1"/>
        <v/>
      </c>
    </row>
    <row r="110" spans="5:9" x14ac:dyDescent="0.3">
      <c r="E110" t="str">
        <f>IFERROR(IF(D110="","",VLOOKUP(D110,CadProd!$A:$B,2,0)),"")</f>
        <v/>
      </c>
      <c r="F110" t="str">
        <f>IFERROR(IF(D110="","",VLOOKUP(D110,CadProd!$A:$C,3,0)),"")</f>
        <v/>
      </c>
      <c r="I110" s="1" t="str">
        <f t="shared" si="1"/>
        <v/>
      </c>
    </row>
    <row r="111" spans="5:9" x14ac:dyDescent="0.3">
      <c r="E111" t="str">
        <f>IFERROR(IF(D111="","",VLOOKUP(D111,CadProd!$A:$B,2,0)),"")</f>
        <v/>
      </c>
      <c r="F111" t="str">
        <f>IFERROR(IF(D111="","",VLOOKUP(D111,CadProd!$A:$C,3,0)),"")</f>
        <v/>
      </c>
      <c r="I111" s="1" t="str">
        <f t="shared" si="1"/>
        <v/>
      </c>
    </row>
    <row r="112" spans="5:9" x14ac:dyDescent="0.3">
      <c r="E112" t="str">
        <f>IFERROR(IF(D112="","",VLOOKUP(D112,CadProd!$A:$B,2,0)),"")</f>
        <v/>
      </c>
      <c r="F112" t="str">
        <f>IFERROR(IF(D112="","",VLOOKUP(D112,CadProd!$A:$C,3,0)),"")</f>
        <v/>
      </c>
      <c r="I112" s="1" t="str">
        <f t="shared" si="1"/>
        <v/>
      </c>
    </row>
    <row r="113" spans="5:9" x14ac:dyDescent="0.3">
      <c r="E113" t="str">
        <f>IFERROR(IF(D113="","",VLOOKUP(D113,CadProd!$A:$B,2,0)),"")</f>
        <v/>
      </c>
      <c r="F113" t="str">
        <f>IFERROR(IF(D113="","",VLOOKUP(D113,CadProd!$A:$C,3,0)),"")</f>
        <v/>
      </c>
      <c r="I113" s="1" t="str">
        <f t="shared" si="1"/>
        <v/>
      </c>
    </row>
    <row r="114" spans="5:9" x14ac:dyDescent="0.3">
      <c r="E114" t="str">
        <f>IFERROR(IF(D114="","",VLOOKUP(D114,CadProd!$A:$B,2,0)),"")</f>
        <v/>
      </c>
      <c r="F114" t="str">
        <f>IFERROR(IF(D114="","",VLOOKUP(D114,CadProd!$A:$C,3,0)),"")</f>
        <v/>
      </c>
      <c r="I114" s="1" t="str">
        <f t="shared" si="1"/>
        <v/>
      </c>
    </row>
    <row r="115" spans="5:9" x14ac:dyDescent="0.3">
      <c r="E115" t="str">
        <f>IFERROR(IF(D115="","",VLOOKUP(D115,CadProd!$A:$B,2,0)),"")</f>
        <v/>
      </c>
      <c r="F115" t="str">
        <f>IFERROR(IF(D115="","",VLOOKUP(D115,CadProd!$A:$C,3,0)),"")</f>
        <v/>
      </c>
      <c r="I115" s="1" t="str">
        <f t="shared" si="1"/>
        <v/>
      </c>
    </row>
    <row r="116" spans="5:9" x14ac:dyDescent="0.3">
      <c r="E116" t="str">
        <f>IFERROR(IF(D116="","",VLOOKUP(D116,CadProd!$A:$B,2,0)),"")</f>
        <v/>
      </c>
      <c r="F116" t="str">
        <f>IFERROR(IF(D116="","",VLOOKUP(D116,CadProd!$A:$C,3,0)),"")</f>
        <v/>
      </c>
      <c r="I116" s="1" t="str">
        <f t="shared" si="1"/>
        <v/>
      </c>
    </row>
    <row r="117" spans="5:9" x14ac:dyDescent="0.3">
      <c r="E117" t="str">
        <f>IFERROR(IF(D117="","",VLOOKUP(D117,CadProd!$A:$B,2,0)),"")</f>
        <v/>
      </c>
      <c r="F117" t="str">
        <f>IFERROR(IF(D117="","",VLOOKUP(D117,CadProd!$A:$C,3,0)),"")</f>
        <v/>
      </c>
      <c r="I117" s="1" t="str">
        <f t="shared" si="1"/>
        <v/>
      </c>
    </row>
    <row r="118" spans="5:9" x14ac:dyDescent="0.3">
      <c r="E118" t="str">
        <f>IFERROR(IF(D118="","",VLOOKUP(D118,CadProd!$A:$B,2,0)),"")</f>
        <v/>
      </c>
      <c r="F118" t="str">
        <f>IFERROR(IF(D118="","",VLOOKUP(D118,CadProd!$A:$C,3,0)),"")</f>
        <v/>
      </c>
      <c r="I118" s="1" t="str">
        <f t="shared" si="1"/>
        <v/>
      </c>
    </row>
    <row r="119" spans="5:9" x14ac:dyDescent="0.3">
      <c r="E119" t="str">
        <f>IFERROR(IF(D119="","",VLOOKUP(D119,CadProd!$A:$B,2,0)),"")</f>
        <v/>
      </c>
      <c r="F119" t="str">
        <f>IFERROR(IF(D119="","",VLOOKUP(D119,CadProd!$A:$C,3,0)),"")</f>
        <v/>
      </c>
      <c r="I119" s="1" t="str">
        <f t="shared" si="1"/>
        <v/>
      </c>
    </row>
    <row r="120" spans="5:9" x14ac:dyDescent="0.3">
      <c r="E120" t="str">
        <f>IFERROR(IF(D120="","",VLOOKUP(D120,CadProd!$A:$B,2,0)),"")</f>
        <v/>
      </c>
      <c r="F120" t="str">
        <f>IFERROR(IF(D120="","",VLOOKUP(D120,CadProd!$A:$C,3,0)),"")</f>
        <v/>
      </c>
      <c r="I120" s="1" t="str">
        <f t="shared" si="1"/>
        <v/>
      </c>
    </row>
    <row r="121" spans="5:9" x14ac:dyDescent="0.3">
      <c r="E121" t="str">
        <f>IFERROR(IF(D121="","",VLOOKUP(D121,CadProd!$A:$B,2,0)),"")</f>
        <v/>
      </c>
      <c r="F121" t="str">
        <f>IFERROR(IF(D121="","",VLOOKUP(D121,CadProd!$A:$C,3,0)),"")</f>
        <v/>
      </c>
      <c r="I121" s="1" t="str">
        <f t="shared" si="1"/>
        <v/>
      </c>
    </row>
    <row r="122" spans="5:9" x14ac:dyDescent="0.3">
      <c r="E122" t="str">
        <f>IFERROR(IF(D122="","",VLOOKUP(D122,CadProd!$A:$B,2,0)),"")</f>
        <v/>
      </c>
      <c r="F122" t="str">
        <f>IFERROR(IF(D122="","",VLOOKUP(D122,CadProd!$A:$C,3,0)),"")</f>
        <v/>
      </c>
      <c r="I122" s="1" t="str">
        <f t="shared" si="1"/>
        <v/>
      </c>
    </row>
    <row r="123" spans="5:9" x14ac:dyDescent="0.3">
      <c r="E123" t="str">
        <f>IFERROR(IF(D123="","",VLOOKUP(D123,CadProd!$A:$B,2,0)),"")</f>
        <v/>
      </c>
      <c r="F123" t="str">
        <f>IFERROR(IF(D123="","",VLOOKUP(D123,CadProd!$A:$C,3,0)),"")</f>
        <v/>
      </c>
      <c r="I123" s="1" t="str">
        <f t="shared" si="1"/>
        <v/>
      </c>
    </row>
    <row r="124" spans="5:9" x14ac:dyDescent="0.3">
      <c r="E124" t="str">
        <f>IFERROR(IF(D124="","",VLOOKUP(D124,CadProd!$A:$B,2,0)),"")</f>
        <v/>
      </c>
      <c r="F124" t="str">
        <f>IFERROR(IF(D124="","",VLOOKUP(D124,CadProd!$A:$C,3,0)),"")</f>
        <v/>
      </c>
      <c r="I124" s="1" t="str">
        <f t="shared" si="1"/>
        <v/>
      </c>
    </row>
    <row r="125" spans="5:9" x14ac:dyDescent="0.3">
      <c r="E125" t="str">
        <f>IFERROR(IF(D125="","",VLOOKUP(D125,CadProd!$A:$B,2,0)),"")</f>
        <v/>
      </c>
      <c r="F125" t="str">
        <f>IFERROR(IF(D125="","",VLOOKUP(D125,CadProd!$A:$C,3,0)),"")</f>
        <v/>
      </c>
      <c r="I125" s="1" t="str">
        <f t="shared" si="1"/>
        <v/>
      </c>
    </row>
    <row r="126" spans="5:9" x14ac:dyDescent="0.3">
      <c r="E126" t="str">
        <f>IFERROR(IF(D126="","",VLOOKUP(D126,CadProd!$A:$B,2,0)),"")</f>
        <v/>
      </c>
      <c r="F126" t="str">
        <f>IFERROR(IF(D126="","",VLOOKUP(D126,CadProd!$A:$C,3,0)),"")</f>
        <v/>
      </c>
      <c r="I126" s="1" t="str">
        <f t="shared" si="1"/>
        <v/>
      </c>
    </row>
    <row r="127" spans="5:9" x14ac:dyDescent="0.3">
      <c r="E127" t="str">
        <f>IFERROR(IF(D127="","",VLOOKUP(D127,CadProd!$A:$B,2,0)),"")</f>
        <v/>
      </c>
      <c r="F127" t="str">
        <f>IFERROR(IF(D127="","",VLOOKUP(D127,CadProd!$A:$C,3,0)),"")</f>
        <v/>
      </c>
      <c r="I127" s="1" t="str">
        <f t="shared" si="1"/>
        <v/>
      </c>
    </row>
    <row r="128" spans="5:9" x14ac:dyDescent="0.3">
      <c r="E128" t="str">
        <f>IFERROR(IF(D128="","",VLOOKUP(D128,CadProd!$A:$B,2,0)),"")</f>
        <v/>
      </c>
      <c r="F128" t="str">
        <f>IFERROR(IF(D128="","",VLOOKUP(D128,CadProd!$A:$C,3,0)),"")</f>
        <v/>
      </c>
      <c r="I128" s="1" t="str">
        <f t="shared" si="1"/>
        <v/>
      </c>
    </row>
    <row r="129" spans="5:9" x14ac:dyDescent="0.3">
      <c r="E129" t="str">
        <f>IFERROR(IF(D129="","",VLOOKUP(D129,CadProd!$A:$B,2,0)),"")</f>
        <v/>
      </c>
      <c r="F129" t="str">
        <f>IFERROR(IF(D129="","",VLOOKUP(D129,CadProd!$A:$C,3,0)),"")</f>
        <v/>
      </c>
      <c r="I129" s="1" t="str">
        <f t="shared" si="1"/>
        <v/>
      </c>
    </row>
    <row r="130" spans="5:9" x14ac:dyDescent="0.3">
      <c r="E130" t="str">
        <f>IFERROR(IF(D130="","",VLOOKUP(D130,CadProd!$A:$B,2,0)),"")</f>
        <v/>
      </c>
      <c r="F130" t="str">
        <f>IFERROR(IF(D130="","",VLOOKUP(D130,CadProd!$A:$C,3,0)),"")</f>
        <v/>
      </c>
      <c r="I130" s="1" t="str">
        <f t="shared" si="1"/>
        <v/>
      </c>
    </row>
    <row r="131" spans="5:9" x14ac:dyDescent="0.3">
      <c r="E131" t="str">
        <f>IFERROR(IF(D131="","",VLOOKUP(D131,CadProd!$A:$B,2,0)),"")</f>
        <v/>
      </c>
      <c r="F131" t="str">
        <f>IFERROR(IF(D131="","",VLOOKUP(D131,CadProd!$A:$C,3,0)),"")</f>
        <v/>
      </c>
      <c r="I131" s="1" t="str">
        <f t="shared" si="1"/>
        <v/>
      </c>
    </row>
    <row r="132" spans="5:9" x14ac:dyDescent="0.3">
      <c r="E132" t="str">
        <f>IFERROR(IF(D132="","",VLOOKUP(D132,CadProd!$A:$B,2,0)),"")</f>
        <v/>
      </c>
      <c r="F132" t="str">
        <f>IFERROR(IF(D132="","",VLOOKUP(D132,CadProd!$A:$C,3,0)),"")</f>
        <v/>
      </c>
      <c r="I132" s="1" t="str">
        <f t="shared" si="1"/>
        <v/>
      </c>
    </row>
    <row r="133" spans="5:9" x14ac:dyDescent="0.3">
      <c r="E133" t="str">
        <f>IFERROR(IF(D133="","",VLOOKUP(D133,CadProd!$A:$B,2,0)),"")</f>
        <v/>
      </c>
      <c r="F133" t="str">
        <f>IFERROR(IF(D133="","",VLOOKUP(D133,CadProd!$A:$C,3,0)),"")</f>
        <v/>
      </c>
      <c r="I133" s="1" t="str">
        <f t="shared" si="1"/>
        <v/>
      </c>
    </row>
    <row r="134" spans="5:9" x14ac:dyDescent="0.3">
      <c r="E134" t="str">
        <f>IFERROR(IF(D134="","",VLOOKUP(D134,CadProd!$A:$B,2,0)),"")</f>
        <v/>
      </c>
      <c r="F134" t="str">
        <f>IFERROR(IF(D134="","",VLOOKUP(D134,CadProd!$A:$C,3,0)),"")</f>
        <v/>
      </c>
      <c r="I134" s="1" t="str">
        <f t="shared" si="1"/>
        <v/>
      </c>
    </row>
    <row r="135" spans="5:9" x14ac:dyDescent="0.3">
      <c r="E135" t="str">
        <f>IFERROR(IF(D135="","",VLOOKUP(D135,CadProd!$A:$B,2,0)),"")</f>
        <v/>
      </c>
      <c r="F135" t="str">
        <f>IFERROR(IF(D135="","",VLOOKUP(D135,CadProd!$A:$C,3,0)),"")</f>
        <v/>
      </c>
      <c r="I135" s="1" t="str">
        <f t="shared" si="1"/>
        <v/>
      </c>
    </row>
    <row r="136" spans="5:9" x14ac:dyDescent="0.3">
      <c r="E136" t="str">
        <f>IFERROR(IF(D136="","",VLOOKUP(D136,CadProd!$A:$B,2,0)),"")</f>
        <v/>
      </c>
      <c r="F136" t="str">
        <f>IFERROR(IF(D136="","",VLOOKUP(D136,CadProd!$A:$C,3,0)),"")</f>
        <v/>
      </c>
      <c r="I136" s="1" t="str">
        <f t="shared" si="1"/>
        <v/>
      </c>
    </row>
    <row r="137" spans="5:9" x14ac:dyDescent="0.3">
      <c r="E137" t="str">
        <f>IFERROR(IF(D137="","",VLOOKUP(D137,CadProd!$A:$B,2,0)),"")</f>
        <v/>
      </c>
      <c r="F137" t="str">
        <f>IFERROR(IF(D137="","",VLOOKUP(D137,CadProd!$A:$C,3,0)),"")</f>
        <v/>
      </c>
      <c r="I137" s="1" t="str">
        <f t="shared" si="1"/>
        <v/>
      </c>
    </row>
    <row r="138" spans="5:9" x14ac:dyDescent="0.3">
      <c r="E138" t="str">
        <f>IFERROR(IF(D138="","",VLOOKUP(D138,CadProd!$A:$B,2,0)),"")</f>
        <v/>
      </c>
      <c r="F138" t="str">
        <f>IFERROR(IF(D138="","",VLOOKUP(D138,CadProd!$A:$C,3,0)),"")</f>
        <v/>
      </c>
      <c r="I138" s="1" t="str">
        <f t="shared" si="1"/>
        <v/>
      </c>
    </row>
    <row r="139" spans="5:9" x14ac:dyDescent="0.3">
      <c r="E139" t="str">
        <f>IFERROR(IF(D139="","",VLOOKUP(D139,CadProd!$A:$B,2,0)),"")</f>
        <v/>
      </c>
      <c r="F139" t="str">
        <f>IFERROR(IF(D139="","",VLOOKUP(D139,CadProd!$A:$C,3,0)),"")</f>
        <v/>
      </c>
      <c r="I139" s="1" t="str">
        <f t="shared" ref="I139:I202" si="2">IFERROR(IF(D139="","",H139*G139),"")</f>
        <v/>
      </c>
    </row>
    <row r="140" spans="5:9" x14ac:dyDescent="0.3">
      <c r="E140" t="str">
        <f>IFERROR(IF(D140="","",VLOOKUP(D140,CadProd!$A:$B,2,0)),"")</f>
        <v/>
      </c>
      <c r="F140" t="str">
        <f>IFERROR(IF(D140="","",VLOOKUP(D140,CadProd!$A:$C,3,0)),"")</f>
        <v/>
      </c>
      <c r="I140" s="1" t="str">
        <f t="shared" si="2"/>
        <v/>
      </c>
    </row>
    <row r="141" spans="5:9" x14ac:dyDescent="0.3">
      <c r="E141" t="str">
        <f>IFERROR(IF(D141="","",VLOOKUP(D141,CadProd!$A:$B,2,0)),"")</f>
        <v/>
      </c>
      <c r="F141" t="str">
        <f>IFERROR(IF(D141="","",VLOOKUP(D141,CadProd!$A:$C,3,0)),"")</f>
        <v/>
      </c>
      <c r="I141" s="1" t="str">
        <f t="shared" si="2"/>
        <v/>
      </c>
    </row>
    <row r="142" spans="5:9" x14ac:dyDescent="0.3">
      <c r="E142" t="str">
        <f>IFERROR(IF(D142="","",VLOOKUP(D142,CadProd!$A:$B,2,0)),"")</f>
        <v/>
      </c>
      <c r="F142" t="str">
        <f>IFERROR(IF(D142="","",VLOOKUP(D142,CadProd!$A:$C,3,0)),"")</f>
        <v/>
      </c>
      <c r="I142" s="1" t="str">
        <f t="shared" si="2"/>
        <v/>
      </c>
    </row>
    <row r="143" spans="5:9" x14ac:dyDescent="0.3">
      <c r="E143" t="str">
        <f>IFERROR(IF(D143="","",VLOOKUP(D143,CadProd!$A:$B,2,0)),"")</f>
        <v/>
      </c>
      <c r="F143" t="str">
        <f>IFERROR(IF(D143="","",VLOOKUP(D143,CadProd!$A:$C,3,0)),"")</f>
        <v/>
      </c>
      <c r="I143" s="1" t="str">
        <f t="shared" si="2"/>
        <v/>
      </c>
    </row>
    <row r="144" spans="5:9" x14ac:dyDescent="0.3">
      <c r="E144" t="str">
        <f>IFERROR(IF(D144="","",VLOOKUP(D144,CadProd!$A:$B,2,0)),"")</f>
        <v/>
      </c>
      <c r="F144" t="str">
        <f>IFERROR(IF(D144="","",VLOOKUP(D144,CadProd!$A:$C,3,0)),"")</f>
        <v/>
      </c>
      <c r="I144" s="1" t="str">
        <f t="shared" si="2"/>
        <v/>
      </c>
    </row>
    <row r="145" spans="5:9" x14ac:dyDescent="0.3">
      <c r="E145" t="str">
        <f>IFERROR(IF(D145="","",VLOOKUP(D145,CadProd!$A:$B,2,0)),"")</f>
        <v/>
      </c>
      <c r="F145" t="str">
        <f>IFERROR(IF(D145="","",VLOOKUP(D145,CadProd!$A:$C,3,0)),"")</f>
        <v/>
      </c>
      <c r="I145" s="1" t="str">
        <f t="shared" si="2"/>
        <v/>
      </c>
    </row>
    <row r="146" spans="5:9" x14ac:dyDescent="0.3">
      <c r="E146" t="str">
        <f>IFERROR(IF(D146="","",VLOOKUP(D146,CadProd!$A:$B,2,0)),"")</f>
        <v/>
      </c>
      <c r="F146" t="str">
        <f>IFERROR(IF(D146="","",VLOOKUP(D146,CadProd!$A:$C,3,0)),"")</f>
        <v/>
      </c>
      <c r="I146" s="1" t="str">
        <f t="shared" si="2"/>
        <v/>
      </c>
    </row>
    <row r="147" spans="5:9" x14ac:dyDescent="0.3">
      <c r="E147" t="str">
        <f>IFERROR(IF(D147="","",VLOOKUP(D147,CadProd!$A:$B,2,0)),"")</f>
        <v/>
      </c>
      <c r="F147" t="str">
        <f>IFERROR(IF(D147="","",VLOOKUP(D147,CadProd!$A:$C,3,0)),"")</f>
        <v/>
      </c>
      <c r="I147" s="1" t="str">
        <f t="shared" si="2"/>
        <v/>
      </c>
    </row>
    <row r="148" spans="5:9" x14ac:dyDescent="0.3">
      <c r="E148" t="str">
        <f>IFERROR(IF(D148="","",VLOOKUP(D148,CadProd!$A:$B,2,0)),"")</f>
        <v/>
      </c>
      <c r="F148" t="str">
        <f>IFERROR(IF(D148="","",VLOOKUP(D148,CadProd!$A:$C,3,0)),"")</f>
        <v/>
      </c>
      <c r="I148" s="1" t="str">
        <f t="shared" si="2"/>
        <v/>
      </c>
    </row>
    <row r="149" spans="5:9" x14ac:dyDescent="0.3">
      <c r="E149" t="str">
        <f>IFERROR(IF(D149="","",VLOOKUP(D149,CadProd!$A:$B,2,0)),"")</f>
        <v/>
      </c>
      <c r="F149" t="str">
        <f>IFERROR(IF(D149="","",VLOOKUP(D149,CadProd!$A:$C,3,0)),"")</f>
        <v/>
      </c>
      <c r="I149" s="1" t="str">
        <f t="shared" si="2"/>
        <v/>
      </c>
    </row>
    <row r="150" spans="5:9" x14ac:dyDescent="0.3">
      <c r="E150" t="str">
        <f>IFERROR(IF(D150="","",VLOOKUP(D150,CadProd!$A:$B,2,0)),"")</f>
        <v/>
      </c>
      <c r="F150" t="str">
        <f>IFERROR(IF(D150="","",VLOOKUP(D150,CadProd!$A:$C,3,0)),"")</f>
        <v/>
      </c>
      <c r="I150" s="1" t="str">
        <f t="shared" si="2"/>
        <v/>
      </c>
    </row>
    <row r="151" spans="5:9" x14ac:dyDescent="0.3">
      <c r="E151" t="str">
        <f>IFERROR(IF(D151="","",VLOOKUP(D151,CadProd!$A:$B,2,0)),"")</f>
        <v/>
      </c>
      <c r="F151" t="str">
        <f>IFERROR(IF(D151="","",VLOOKUP(D151,CadProd!$A:$C,3,0)),"")</f>
        <v/>
      </c>
      <c r="I151" s="1" t="str">
        <f t="shared" si="2"/>
        <v/>
      </c>
    </row>
    <row r="152" spans="5:9" x14ac:dyDescent="0.3">
      <c r="E152" t="str">
        <f>IFERROR(IF(D152="","",VLOOKUP(D152,CadProd!$A:$B,2,0)),"")</f>
        <v/>
      </c>
      <c r="F152" t="str">
        <f>IFERROR(IF(D152="","",VLOOKUP(D152,CadProd!$A:$C,3,0)),"")</f>
        <v/>
      </c>
      <c r="I152" s="1" t="str">
        <f t="shared" si="2"/>
        <v/>
      </c>
    </row>
    <row r="153" spans="5:9" x14ac:dyDescent="0.3">
      <c r="E153" t="str">
        <f>IFERROR(IF(D153="","",VLOOKUP(D153,CadProd!$A:$B,2,0)),"")</f>
        <v/>
      </c>
      <c r="F153" t="str">
        <f>IFERROR(IF(D153="","",VLOOKUP(D153,CadProd!$A:$C,3,0)),"")</f>
        <v/>
      </c>
      <c r="I153" s="1" t="str">
        <f t="shared" si="2"/>
        <v/>
      </c>
    </row>
    <row r="154" spans="5:9" x14ac:dyDescent="0.3">
      <c r="E154" t="str">
        <f>IFERROR(IF(D154="","",VLOOKUP(D154,CadProd!$A:$B,2,0)),"")</f>
        <v/>
      </c>
      <c r="F154" t="str">
        <f>IFERROR(IF(D154="","",VLOOKUP(D154,CadProd!$A:$C,3,0)),"")</f>
        <v/>
      </c>
      <c r="I154" s="1" t="str">
        <f t="shared" si="2"/>
        <v/>
      </c>
    </row>
    <row r="155" spans="5:9" x14ac:dyDescent="0.3">
      <c r="E155" t="str">
        <f>IFERROR(IF(D155="","",VLOOKUP(D155,CadProd!$A:$B,2,0)),"")</f>
        <v/>
      </c>
      <c r="F155" t="str">
        <f>IFERROR(IF(D155="","",VLOOKUP(D155,CadProd!$A:$C,3,0)),"")</f>
        <v/>
      </c>
      <c r="I155" s="1" t="str">
        <f t="shared" si="2"/>
        <v/>
      </c>
    </row>
    <row r="156" spans="5:9" x14ac:dyDescent="0.3">
      <c r="E156" t="str">
        <f>IFERROR(IF(D156="","",VLOOKUP(D156,CadProd!$A:$B,2,0)),"")</f>
        <v/>
      </c>
      <c r="F156" t="str">
        <f>IFERROR(IF(D156="","",VLOOKUP(D156,CadProd!$A:$C,3,0)),"")</f>
        <v/>
      </c>
      <c r="I156" s="1" t="str">
        <f t="shared" si="2"/>
        <v/>
      </c>
    </row>
    <row r="157" spans="5:9" x14ac:dyDescent="0.3">
      <c r="E157" t="str">
        <f>IFERROR(IF(D157="","",VLOOKUP(D157,CadProd!$A:$B,2,0)),"")</f>
        <v/>
      </c>
      <c r="F157" t="str">
        <f>IFERROR(IF(D157="","",VLOOKUP(D157,CadProd!$A:$C,3,0)),"")</f>
        <v/>
      </c>
      <c r="I157" s="1" t="str">
        <f t="shared" si="2"/>
        <v/>
      </c>
    </row>
    <row r="158" spans="5:9" x14ac:dyDescent="0.3">
      <c r="E158" t="str">
        <f>IFERROR(IF(D158="","",VLOOKUP(D158,CadProd!$A:$B,2,0)),"")</f>
        <v/>
      </c>
      <c r="F158" t="str">
        <f>IFERROR(IF(D158="","",VLOOKUP(D158,CadProd!$A:$C,3,0)),"")</f>
        <v/>
      </c>
      <c r="I158" s="1" t="str">
        <f t="shared" si="2"/>
        <v/>
      </c>
    </row>
    <row r="159" spans="5:9" x14ac:dyDescent="0.3">
      <c r="E159" t="str">
        <f>IFERROR(IF(D159="","",VLOOKUP(D159,CadProd!$A:$B,2,0)),"")</f>
        <v/>
      </c>
      <c r="F159" t="str">
        <f>IFERROR(IF(D159="","",VLOOKUP(D159,CadProd!$A:$C,3,0)),"")</f>
        <v/>
      </c>
      <c r="I159" s="1" t="str">
        <f t="shared" si="2"/>
        <v/>
      </c>
    </row>
    <row r="160" spans="5:9" x14ac:dyDescent="0.3">
      <c r="E160" t="str">
        <f>IFERROR(IF(D160="","",VLOOKUP(D160,CadProd!$A:$B,2,0)),"")</f>
        <v/>
      </c>
      <c r="F160" t="str">
        <f>IFERROR(IF(D160="","",VLOOKUP(D160,CadProd!$A:$C,3,0)),"")</f>
        <v/>
      </c>
      <c r="I160" s="1" t="str">
        <f t="shared" si="2"/>
        <v/>
      </c>
    </row>
    <row r="161" spans="5:9" x14ac:dyDescent="0.3">
      <c r="E161" t="str">
        <f>IFERROR(IF(D161="","",VLOOKUP(D161,CadProd!$A:$B,2,0)),"")</f>
        <v/>
      </c>
      <c r="F161" t="str">
        <f>IFERROR(IF(D161="","",VLOOKUP(D161,CadProd!$A:$C,3,0)),"")</f>
        <v/>
      </c>
      <c r="I161" s="1" t="str">
        <f t="shared" si="2"/>
        <v/>
      </c>
    </row>
    <row r="162" spans="5:9" x14ac:dyDescent="0.3">
      <c r="E162" t="str">
        <f>IFERROR(IF(D162="","",VLOOKUP(D162,CadProd!$A:$B,2,0)),"")</f>
        <v/>
      </c>
      <c r="F162" t="str">
        <f>IFERROR(IF(D162="","",VLOOKUP(D162,CadProd!$A:$C,3,0)),"")</f>
        <v/>
      </c>
      <c r="I162" s="1" t="str">
        <f t="shared" si="2"/>
        <v/>
      </c>
    </row>
    <row r="163" spans="5:9" x14ac:dyDescent="0.3">
      <c r="E163" t="str">
        <f>IFERROR(IF(D163="","",VLOOKUP(D163,CadProd!$A:$B,2,0)),"")</f>
        <v/>
      </c>
      <c r="F163" t="str">
        <f>IFERROR(IF(D163="","",VLOOKUP(D163,CadProd!$A:$C,3,0)),"")</f>
        <v/>
      </c>
      <c r="I163" s="1" t="str">
        <f t="shared" si="2"/>
        <v/>
      </c>
    </row>
    <row r="164" spans="5:9" x14ac:dyDescent="0.3">
      <c r="E164" t="str">
        <f>IFERROR(IF(D164="","",VLOOKUP(D164,CadProd!$A:$B,2,0)),"")</f>
        <v/>
      </c>
      <c r="F164" t="str">
        <f>IFERROR(IF(D164="","",VLOOKUP(D164,CadProd!$A:$C,3,0)),"")</f>
        <v/>
      </c>
      <c r="I164" s="1" t="str">
        <f t="shared" si="2"/>
        <v/>
      </c>
    </row>
    <row r="165" spans="5:9" x14ac:dyDescent="0.3">
      <c r="E165" t="str">
        <f>IFERROR(IF(D165="","",VLOOKUP(D165,CadProd!$A:$B,2,0)),"")</f>
        <v/>
      </c>
      <c r="F165" t="str">
        <f>IFERROR(IF(D165="","",VLOOKUP(D165,CadProd!$A:$C,3,0)),"")</f>
        <v/>
      </c>
      <c r="I165" s="1" t="str">
        <f t="shared" si="2"/>
        <v/>
      </c>
    </row>
    <row r="166" spans="5:9" x14ac:dyDescent="0.3">
      <c r="E166" t="str">
        <f>IFERROR(IF(D166="","",VLOOKUP(D166,CadProd!$A:$B,2,0)),"")</f>
        <v/>
      </c>
      <c r="F166" t="str">
        <f>IFERROR(IF(D166="","",VLOOKUP(D166,CadProd!$A:$C,3,0)),"")</f>
        <v/>
      </c>
      <c r="I166" s="1" t="str">
        <f t="shared" si="2"/>
        <v/>
      </c>
    </row>
    <row r="167" spans="5:9" x14ac:dyDescent="0.3">
      <c r="E167" t="str">
        <f>IFERROR(IF(D167="","",VLOOKUP(D167,CadProd!$A:$B,2,0)),"")</f>
        <v/>
      </c>
      <c r="F167" t="str">
        <f>IFERROR(IF(D167="","",VLOOKUP(D167,CadProd!$A:$C,3,0)),"")</f>
        <v/>
      </c>
      <c r="I167" s="1" t="str">
        <f t="shared" si="2"/>
        <v/>
      </c>
    </row>
    <row r="168" spans="5:9" x14ac:dyDescent="0.3">
      <c r="E168" t="str">
        <f>IFERROR(IF(D168="","",VLOOKUP(D168,CadProd!$A:$B,2,0)),"")</f>
        <v/>
      </c>
      <c r="F168" t="str">
        <f>IFERROR(IF(D168="","",VLOOKUP(D168,CadProd!$A:$C,3,0)),"")</f>
        <v/>
      </c>
      <c r="I168" s="1" t="str">
        <f t="shared" si="2"/>
        <v/>
      </c>
    </row>
    <row r="169" spans="5:9" x14ac:dyDescent="0.3">
      <c r="E169" t="str">
        <f>IFERROR(IF(D169="","",VLOOKUP(D169,CadProd!$A:$B,2,0)),"")</f>
        <v/>
      </c>
      <c r="F169" t="str">
        <f>IFERROR(IF(D169="","",VLOOKUP(D169,CadProd!$A:$C,3,0)),"")</f>
        <v/>
      </c>
      <c r="I169" s="1" t="str">
        <f t="shared" si="2"/>
        <v/>
      </c>
    </row>
    <row r="170" spans="5:9" x14ac:dyDescent="0.3">
      <c r="E170" t="str">
        <f>IFERROR(IF(D170="","",VLOOKUP(D170,CadProd!$A:$B,2,0)),"")</f>
        <v/>
      </c>
      <c r="F170" t="str">
        <f>IFERROR(IF(D170="","",VLOOKUP(D170,CadProd!$A:$C,3,0)),"")</f>
        <v/>
      </c>
      <c r="I170" s="1" t="str">
        <f t="shared" si="2"/>
        <v/>
      </c>
    </row>
    <row r="171" spans="5:9" x14ac:dyDescent="0.3">
      <c r="E171" t="str">
        <f>IFERROR(IF(D171="","",VLOOKUP(D171,CadProd!$A:$B,2,0)),"")</f>
        <v/>
      </c>
      <c r="F171" t="str">
        <f>IFERROR(IF(D171="","",VLOOKUP(D171,CadProd!$A:$C,3,0)),"")</f>
        <v/>
      </c>
      <c r="I171" s="1" t="str">
        <f t="shared" si="2"/>
        <v/>
      </c>
    </row>
    <row r="172" spans="5:9" x14ac:dyDescent="0.3">
      <c r="E172" t="str">
        <f>IFERROR(IF(D172="","",VLOOKUP(D172,CadProd!$A:$B,2,0)),"")</f>
        <v/>
      </c>
      <c r="F172" t="str">
        <f>IFERROR(IF(D172="","",VLOOKUP(D172,CadProd!$A:$C,3,0)),"")</f>
        <v/>
      </c>
      <c r="I172" s="1" t="str">
        <f t="shared" si="2"/>
        <v/>
      </c>
    </row>
    <row r="173" spans="5:9" x14ac:dyDescent="0.3">
      <c r="E173" t="str">
        <f>IFERROR(IF(D173="","",VLOOKUP(D173,CadProd!$A:$B,2,0)),"")</f>
        <v/>
      </c>
      <c r="F173" t="str">
        <f>IFERROR(IF(D173="","",VLOOKUP(D173,CadProd!$A:$C,3,0)),"")</f>
        <v/>
      </c>
      <c r="I173" s="1" t="str">
        <f t="shared" si="2"/>
        <v/>
      </c>
    </row>
    <row r="174" spans="5:9" x14ac:dyDescent="0.3">
      <c r="E174" t="str">
        <f>IFERROR(IF(D174="","",VLOOKUP(D174,CadProd!$A:$B,2,0)),"")</f>
        <v/>
      </c>
      <c r="F174" t="str">
        <f>IFERROR(IF(D174="","",VLOOKUP(D174,CadProd!$A:$C,3,0)),"")</f>
        <v/>
      </c>
      <c r="I174" s="1" t="str">
        <f t="shared" si="2"/>
        <v/>
      </c>
    </row>
    <row r="175" spans="5:9" x14ac:dyDescent="0.3">
      <c r="E175" t="str">
        <f>IFERROR(IF(D175="","",VLOOKUP(D175,CadProd!$A:$B,2,0)),"")</f>
        <v/>
      </c>
      <c r="F175" t="str">
        <f>IFERROR(IF(D175="","",VLOOKUP(D175,CadProd!$A:$C,3,0)),"")</f>
        <v/>
      </c>
      <c r="I175" s="1" t="str">
        <f t="shared" si="2"/>
        <v/>
      </c>
    </row>
    <row r="176" spans="5:9" x14ac:dyDescent="0.3">
      <c r="E176" t="str">
        <f>IFERROR(IF(D176="","",VLOOKUP(D176,CadProd!$A:$B,2,0)),"")</f>
        <v/>
      </c>
      <c r="F176" t="str">
        <f>IFERROR(IF(D176="","",VLOOKUP(D176,CadProd!$A:$C,3,0)),"")</f>
        <v/>
      </c>
      <c r="I176" s="1" t="str">
        <f t="shared" si="2"/>
        <v/>
      </c>
    </row>
    <row r="177" spans="5:9" x14ac:dyDescent="0.3">
      <c r="E177" t="str">
        <f>IFERROR(IF(D177="","",VLOOKUP(D177,CadProd!$A:$B,2,0)),"")</f>
        <v/>
      </c>
      <c r="F177" t="str">
        <f>IFERROR(IF(D177="","",VLOOKUP(D177,CadProd!$A:$C,3,0)),"")</f>
        <v/>
      </c>
      <c r="I177" s="1" t="str">
        <f t="shared" si="2"/>
        <v/>
      </c>
    </row>
    <row r="178" spans="5:9" x14ac:dyDescent="0.3">
      <c r="E178" t="str">
        <f>IFERROR(IF(D178="","",VLOOKUP(D178,CadProd!$A:$B,2,0)),"")</f>
        <v/>
      </c>
      <c r="F178" t="str">
        <f>IFERROR(IF(D178="","",VLOOKUP(D178,CadProd!$A:$C,3,0)),"")</f>
        <v/>
      </c>
      <c r="I178" s="1" t="str">
        <f t="shared" si="2"/>
        <v/>
      </c>
    </row>
    <row r="179" spans="5:9" x14ac:dyDescent="0.3">
      <c r="E179" t="str">
        <f>IFERROR(IF(D179="","",VLOOKUP(D179,CadProd!$A:$B,2,0)),"")</f>
        <v/>
      </c>
      <c r="F179" t="str">
        <f>IFERROR(IF(D179="","",VLOOKUP(D179,CadProd!$A:$C,3,0)),"")</f>
        <v/>
      </c>
      <c r="I179" s="1" t="str">
        <f t="shared" si="2"/>
        <v/>
      </c>
    </row>
    <row r="180" spans="5:9" x14ac:dyDescent="0.3">
      <c r="E180" t="str">
        <f>IFERROR(IF(D180="","",VLOOKUP(D180,CadProd!$A:$B,2,0)),"")</f>
        <v/>
      </c>
      <c r="F180" t="str">
        <f>IFERROR(IF(D180="","",VLOOKUP(D180,CadProd!$A:$C,3,0)),"")</f>
        <v/>
      </c>
      <c r="I180" s="1" t="str">
        <f t="shared" si="2"/>
        <v/>
      </c>
    </row>
    <row r="181" spans="5:9" x14ac:dyDescent="0.3">
      <c r="E181" t="str">
        <f>IFERROR(IF(D181="","",VLOOKUP(D181,CadProd!$A:$B,2,0)),"")</f>
        <v/>
      </c>
      <c r="F181" t="str">
        <f>IFERROR(IF(D181="","",VLOOKUP(D181,CadProd!$A:$C,3,0)),"")</f>
        <v/>
      </c>
      <c r="I181" s="1" t="str">
        <f t="shared" si="2"/>
        <v/>
      </c>
    </row>
    <row r="182" spans="5:9" x14ac:dyDescent="0.3">
      <c r="E182" t="str">
        <f>IFERROR(IF(D182="","",VLOOKUP(D182,CadProd!$A:$B,2,0)),"")</f>
        <v/>
      </c>
      <c r="F182" t="str">
        <f>IFERROR(IF(D182="","",VLOOKUP(D182,CadProd!$A:$C,3,0)),"")</f>
        <v/>
      </c>
      <c r="I182" s="1" t="str">
        <f t="shared" si="2"/>
        <v/>
      </c>
    </row>
    <row r="183" spans="5:9" x14ac:dyDescent="0.3">
      <c r="E183" t="str">
        <f>IFERROR(IF(D183="","",VLOOKUP(D183,CadProd!$A:$B,2,0)),"")</f>
        <v/>
      </c>
      <c r="F183" t="str">
        <f>IFERROR(IF(D183="","",VLOOKUP(D183,CadProd!$A:$C,3,0)),"")</f>
        <v/>
      </c>
      <c r="I183" s="1" t="str">
        <f t="shared" si="2"/>
        <v/>
      </c>
    </row>
    <row r="184" spans="5:9" x14ac:dyDescent="0.3">
      <c r="E184" t="str">
        <f>IFERROR(IF(D184="","",VLOOKUP(D184,CadProd!$A:$B,2,0)),"")</f>
        <v/>
      </c>
      <c r="F184" t="str">
        <f>IFERROR(IF(D184="","",VLOOKUP(D184,CadProd!$A:$C,3,0)),"")</f>
        <v/>
      </c>
      <c r="I184" s="1" t="str">
        <f t="shared" si="2"/>
        <v/>
      </c>
    </row>
    <row r="185" spans="5:9" x14ac:dyDescent="0.3">
      <c r="E185" t="str">
        <f>IFERROR(IF(D185="","",VLOOKUP(D185,CadProd!$A:$B,2,0)),"")</f>
        <v/>
      </c>
      <c r="F185" t="str">
        <f>IFERROR(IF(D185="","",VLOOKUP(D185,CadProd!$A:$C,3,0)),"")</f>
        <v/>
      </c>
      <c r="I185" s="1" t="str">
        <f t="shared" si="2"/>
        <v/>
      </c>
    </row>
    <row r="186" spans="5:9" x14ac:dyDescent="0.3">
      <c r="E186" t="str">
        <f>IFERROR(IF(D186="","",VLOOKUP(D186,CadProd!$A:$B,2,0)),"")</f>
        <v/>
      </c>
      <c r="F186" t="str">
        <f>IFERROR(IF(D186="","",VLOOKUP(D186,CadProd!$A:$C,3,0)),"")</f>
        <v/>
      </c>
      <c r="I186" s="1" t="str">
        <f t="shared" si="2"/>
        <v/>
      </c>
    </row>
    <row r="187" spans="5:9" x14ac:dyDescent="0.3">
      <c r="E187" t="str">
        <f>IFERROR(IF(D187="","",VLOOKUP(D187,CadProd!$A:$B,2,0)),"")</f>
        <v/>
      </c>
      <c r="F187" t="str">
        <f>IFERROR(IF(D187="","",VLOOKUP(D187,CadProd!$A:$C,3,0)),"")</f>
        <v/>
      </c>
      <c r="I187" s="1" t="str">
        <f t="shared" si="2"/>
        <v/>
      </c>
    </row>
    <row r="188" spans="5:9" x14ac:dyDescent="0.3">
      <c r="E188" t="str">
        <f>IFERROR(IF(D188="","",VLOOKUP(D188,CadProd!$A:$B,2,0)),"")</f>
        <v/>
      </c>
      <c r="F188" t="str">
        <f>IFERROR(IF(D188="","",VLOOKUP(D188,CadProd!$A:$C,3,0)),"")</f>
        <v/>
      </c>
      <c r="I188" s="1" t="str">
        <f t="shared" si="2"/>
        <v/>
      </c>
    </row>
    <row r="189" spans="5:9" x14ac:dyDescent="0.3">
      <c r="E189" t="str">
        <f>IFERROR(IF(D189="","",VLOOKUP(D189,CadProd!$A:$B,2,0)),"")</f>
        <v/>
      </c>
      <c r="F189" t="str">
        <f>IFERROR(IF(D189="","",VLOOKUP(D189,CadProd!$A:$C,3,0)),"")</f>
        <v/>
      </c>
      <c r="I189" s="1" t="str">
        <f t="shared" si="2"/>
        <v/>
      </c>
    </row>
    <row r="190" spans="5:9" x14ac:dyDescent="0.3">
      <c r="E190" t="str">
        <f>IFERROR(IF(D190="","",VLOOKUP(D190,CadProd!$A:$B,2,0)),"")</f>
        <v/>
      </c>
      <c r="F190" t="str">
        <f>IFERROR(IF(D190="","",VLOOKUP(D190,CadProd!$A:$C,3,0)),"")</f>
        <v/>
      </c>
      <c r="I190" s="1" t="str">
        <f t="shared" si="2"/>
        <v/>
      </c>
    </row>
    <row r="191" spans="5:9" x14ac:dyDescent="0.3">
      <c r="E191" t="str">
        <f>IFERROR(IF(D191="","",VLOOKUP(D191,CadProd!$A:$B,2,0)),"")</f>
        <v/>
      </c>
      <c r="F191" t="str">
        <f>IFERROR(IF(D191="","",VLOOKUP(D191,CadProd!$A:$C,3,0)),"")</f>
        <v/>
      </c>
      <c r="I191" s="1" t="str">
        <f t="shared" si="2"/>
        <v/>
      </c>
    </row>
    <row r="192" spans="5:9" x14ac:dyDescent="0.3">
      <c r="E192" t="str">
        <f>IFERROR(IF(D192="","",VLOOKUP(D192,CadProd!$A:$B,2,0)),"")</f>
        <v/>
      </c>
      <c r="F192" t="str">
        <f>IFERROR(IF(D192="","",VLOOKUP(D192,CadProd!$A:$C,3,0)),"")</f>
        <v/>
      </c>
      <c r="I192" s="1" t="str">
        <f t="shared" si="2"/>
        <v/>
      </c>
    </row>
    <row r="193" spans="5:9" x14ac:dyDescent="0.3">
      <c r="E193" t="str">
        <f>IFERROR(IF(D193="","",VLOOKUP(D193,CadProd!$A:$B,2,0)),"")</f>
        <v/>
      </c>
      <c r="F193" t="str">
        <f>IFERROR(IF(D193="","",VLOOKUP(D193,CadProd!$A:$C,3,0)),"")</f>
        <v/>
      </c>
      <c r="I193" s="1" t="str">
        <f t="shared" si="2"/>
        <v/>
      </c>
    </row>
    <row r="194" spans="5:9" x14ac:dyDescent="0.3">
      <c r="E194" t="str">
        <f>IFERROR(IF(D194="","",VLOOKUP(D194,CadProd!$A:$B,2,0)),"")</f>
        <v/>
      </c>
      <c r="F194" t="str">
        <f>IFERROR(IF(D194="","",VLOOKUP(D194,CadProd!$A:$C,3,0)),"")</f>
        <v/>
      </c>
      <c r="I194" s="1" t="str">
        <f t="shared" si="2"/>
        <v/>
      </c>
    </row>
    <row r="195" spans="5:9" x14ac:dyDescent="0.3">
      <c r="E195" t="str">
        <f>IFERROR(IF(D195="","",VLOOKUP(D195,CadProd!$A:$B,2,0)),"")</f>
        <v/>
      </c>
      <c r="F195" t="str">
        <f>IFERROR(IF(D195="","",VLOOKUP(D195,CadProd!$A:$C,3,0)),"")</f>
        <v/>
      </c>
      <c r="I195" s="1" t="str">
        <f t="shared" si="2"/>
        <v/>
      </c>
    </row>
    <row r="196" spans="5:9" x14ac:dyDescent="0.3">
      <c r="E196" t="str">
        <f>IFERROR(IF(D196="","",VLOOKUP(D196,CadProd!$A:$B,2,0)),"")</f>
        <v/>
      </c>
      <c r="F196" t="str">
        <f>IFERROR(IF(D196="","",VLOOKUP(D196,CadProd!$A:$C,3,0)),"")</f>
        <v/>
      </c>
      <c r="I196" s="1" t="str">
        <f t="shared" si="2"/>
        <v/>
      </c>
    </row>
    <row r="197" spans="5:9" x14ac:dyDescent="0.3">
      <c r="E197" t="str">
        <f>IFERROR(IF(D197="","",VLOOKUP(D197,CadProd!$A:$B,2,0)),"")</f>
        <v/>
      </c>
      <c r="F197" t="str">
        <f>IFERROR(IF(D197="","",VLOOKUP(D197,CadProd!$A:$C,3,0)),"")</f>
        <v/>
      </c>
      <c r="I197" s="1" t="str">
        <f t="shared" si="2"/>
        <v/>
      </c>
    </row>
    <row r="198" spans="5:9" x14ac:dyDescent="0.3">
      <c r="E198" t="str">
        <f>IFERROR(IF(D198="","",VLOOKUP(D198,CadProd!$A:$B,2,0)),"")</f>
        <v/>
      </c>
      <c r="F198" t="str">
        <f>IFERROR(IF(D198="","",VLOOKUP(D198,CadProd!$A:$C,3,0)),"")</f>
        <v/>
      </c>
      <c r="I198" s="1" t="str">
        <f t="shared" si="2"/>
        <v/>
      </c>
    </row>
    <row r="199" spans="5:9" x14ac:dyDescent="0.3">
      <c r="E199" t="str">
        <f>IFERROR(IF(D199="","",VLOOKUP(D199,CadProd!$A:$B,2,0)),"")</f>
        <v/>
      </c>
      <c r="F199" t="str">
        <f>IFERROR(IF(D199="","",VLOOKUP(D199,CadProd!$A:$C,3,0)),"")</f>
        <v/>
      </c>
      <c r="I199" s="1" t="str">
        <f t="shared" si="2"/>
        <v/>
      </c>
    </row>
    <row r="200" spans="5:9" x14ac:dyDescent="0.3">
      <c r="E200" t="str">
        <f>IFERROR(IF(D200="","",VLOOKUP(D200,CadProd!$A:$B,2,0)),"")</f>
        <v/>
      </c>
      <c r="F200" t="str">
        <f>IFERROR(IF(D200="","",VLOOKUP(D200,CadProd!$A:$C,3,0)),"")</f>
        <v/>
      </c>
      <c r="I200" s="1" t="str">
        <f t="shared" si="2"/>
        <v/>
      </c>
    </row>
    <row r="201" spans="5:9" x14ac:dyDescent="0.3">
      <c r="E201" t="str">
        <f>IFERROR(IF(D201="","",VLOOKUP(D201,CadProd!$A:$B,2,0)),"")</f>
        <v/>
      </c>
      <c r="F201" t="str">
        <f>IFERROR(IF(D201="","",VLOOKUP(D201,CadProd!$A:$C,3,0)),"")</f>
        <v/>
      </c>
      <c r="I201" s="1" t="str">
        <f t="shared" si="2"/>
        <v/>
      </c>
    </row>
    <row r="202" spans="5:9" x14ac:dyDescent="0.3">
      <c r="E202" t="str">
        <f>IFERROR(IF(D202="","",VLOOKUP(D202,CadProd!$A:$B,2,0)),"")</f>
        <v/>
      </c>
      <c r="F202" t="str">
        <f>IFERROR(IF(D202="","",VLOOKUP(D202,CadProd!$A:$C,3,0)),"")</f>
        <v/>
      </c>
      <c r="I202" s="1" t="str">
        <f t="shared" si="2"/>
        <v/>
      </c>
    </row>
    <row r="203" spans="5:9" x14ac:dyDescent="0.3">
      <c r="E203" t="str">
        <f>IFERROR(IF(D203="","",VLOOKUP(D203,CadProd!$A:$B,2,0)),"")</f>
        <v/>
      </c>
      <c r="F203" t="str">
        <f>IFERROR(IF(D203="","",VLOOKUP(D203,CadProd!$A:$C,3,0)),"")</f>
        <v/>
      </c>
      <c r="I203" s="1" t="str">
        <f t="shared" ref="I203:I266" si="3">IFERROR(IF(D203="","",H203*G203),"")</f>
        <v/>
      </c>
    </row>
    <row r="204" spans="5:9" x14ac:dyDescent="0.3">
      <c r="E204" t="str">
        <f>IFERROR(IF(D204="","",VLOOKUP(D204,CadProd!$A:$B,2,0)),"")</f>
        <v/>
      </c>
      <c r="F204" t="str">
        <f>IFERROR(IF(D204="","",VLOOKUP(D204,CadProd!$A:$C,3,0)),"")</f>
        <v/>
      </c>
      <c r="I204" s="1" t="str">
        <f t="shared" si="3"/>
        <v/>
      </c>
    </row>
    <row r="205" spans="5:9" x14ac:dyDescent="0.3">
      <c r="E205" t="str">
        <f>IFERROR(IF(D205="","",VLOOKUP(D205,CadProd!$A:$B,2,0)),"")</f>
        <v/>
      </c>
      <c r="F205" t="str">
        <f>IFERROR(IF(D205="","",VLOOKUP(D205,CadProd!$A:$C,3,0)),"")</f>
        <v/>
      </c>
      <c r="I205" s="1" t="str">
        <f t="shared" si="3"/>
        <v/>
      </c>
    </row>
    <row r="206" spans="5:9" x14ac:dyDescent="0.3">
      <c r="E206" t="str">
        <f>IFERROR(IF(D206="","",VLOOKUP(D206,CadProd!$A:$B,2,0)),"")</f>
        <v/>
      </c>
      <c r="F206" t="str">
        <f>IFERROR(IF(D206="","",VLOOKUP(D206,CadProd!$A:$C,3,0)),"")</f>
        <v/>
      </c>
      <c r="I206" s="1" t="str">
        <f t="shared" si="3"/>
        <v/>
      </c>
    </row>
    <row r="207" spans="5:9" x14ac:dyDescent="0.3">
      <c r="E207" t="str">
        <f>IFERROR(IF(D207="","",VLOOKUP(D207,CadProd!$A:$B,2,0)),"")</f>
        <v/>
      </c>
      <c r="F207" t="str">
        <f>IFERROR(IF(D207="","",VLOOKUP(D207,CadProd!$A:$C,3,0)),"")</f>
        <v/>
      </c>
      <c r="I207" s="1" t="str">
        <f t="shared" si="3"/>
        <v/>
      </c>
    </row>
    <row r="208" spans="5:9" x14ac:dyDescent="0.3">
      <c r="E208" t="str">
        <f>IFERROR(IF(D208="","",VLOOKUP(D208,CadProd!$A:$B,2,0)),"")</f>
        <v/>
      </c>
      <c r="F208" t="str">
        <f>IFERROR(IF(D208="","",VLOOKUP(D208,CadProd!$A:$C,3,0)),"")</f>
        <v/>
      </c>
      <c r="I208" s="1" t="str">
        <f t="shared" si="3"/>
        <v/>
      </c>
    </row>
    <row r="209" spans="5:9" x14ac:dyDescent="0.3">
      <c r="E209" t="str">
        <f>IFERROR(IF(D209="","",VLOOKUP(D209,CadProd!$A:$B,2,0)),"")</f>
        <v/>
      </c>
      <c r="F209" t="str">
        <f>IFERROR(IF(D209="","",VLOOKUP(D209,CadProd!$A:$C,3,0)),"")</f>
        <v/>
      </c>
      <c r="I209" s="1" t="str">
        <f t="shared" si="3"/>
        <v/>
      </c>
    </row>
    <row r="210" spans="5:9" x14ac:dyDescent="0.3">
      <c r="E210" t="str">
        <f>IFERROR(IF(D210="","",VLOOKUP(D210,CadProd!$A:$B,2,0)),"")</f>
        <v/>
      </c>
      <c r="F210" t="str">
        <f>IFERROR(IF(D210="","",VLOOKUP(D210,CadProd!$A:$C,3,0)),"")</f>
        <v/>
      </c>
      <c r="I210" s="1" t="str">
        <f t="shared" si="3"/>
        <v/>
      </c>
    </row>
    <row r="211" spans="5:9" x14ac:dyDescent="0.3">
      <c r="E211" t="str">
        <f>IFERROR(IF(D211="","",VLOOKUP(D211,CadProd!$A:$B,2,0)),"")</f>
        <v/>
      </c>
      <c r="F211" t="str">
        <f>IFERROR(IF(D211="","",VLOOKUP(D211,CadProd!$A:$C,3,0)),"")</f>
        <v/>
      </c>
      <c r="I211" s="1" t="str">
        <f t="shared" si="3"/>
        <v/>
      </c>
    </row>
    <row r="212" spans="5:9" x14ac:dyDescent="0.3">
      <c r="E212" t="str">
        <f>IFERROR(IF(D212="","",VLOOKUP(D212,CadProd!$A:$B,2,0)),"")</f>
        <v/>
      </c>
      <c r="F212" t="str">
        <f>IFERROR(IF(D212="","",VLOOKUP(D212,CadProd!$A:$C,3,0)),"")</f>
        <v/>
      </c>
      <c r="I212" s="1" t="str">
        <f t="shared" si="3"/>
        <v/>
      </c>
    </row>
    <row r="213" spans="5:9" x14ac:dyDescent="0.3">
      <c r="E213" t="str">
        <f>IFERROR(IF(D213="","",VLOOKUP(D213,CadProd!$A:$B,2,0)),"")</f>
        <v/>
      </c>
      <c r="F213" t="str">
        <f>IFERROR(IF(D213="","",VLOOKUP(D213,CadProd!$A:$C,3,0)),"")</f>
        <v/>
      </c>
      <c r="I213" s="1" t="str">
        <f t="shared" si="3"/>
        <v/>
      </c>
    </row>
    <row r="214" spans="5:9" x14ac:dyDescent="0.3">
      <c r="E214" t="str">
        <f>IFERROR(IF(D214="","",VLOOKUP(D214,CadProd!$A:$B,2,0)),"")</f>
        <v/>
      </c>
      <c r="F214" t="str">
        <f>IFERROR(IF(D214="","",VLOOKUP(D214,CadProd!$A:$C,3,0)),"")</f>
        <v/>
      </c>
      <c r="I214" s="1" t="str">
        <f t="shared" si="3"/>
        <v/>
      </c>
    </row>
    <row r="215" spans="5:9" x14ac:dyDescent="0.3">
      <c r="E215" t="str">
        <f>IFERROR(IF(D215="","",VLOOKUP(D215,CadProd!$A:$B,2,0)),"")</f>
        <v/>
      </c>
      <c r="F215" t="str">
        <f>IFERROR(IF(D215="","",VLOOKUP(D215,CadProd!$A:$C,3,0)),"")</f>
        <v/>
      </c>
      <c r="I215" s="1" t="str">
        <f t="shared" si="3"/>
        <v/>
      </c>
    </row>
    <row r="216" spans="5:9" x14ac:dyDescent="0.3">
      <c r="E216" t="str">
        <f>IFERROR(IF(D216="","",VLOOKUP(D216,CadProd!$A:$B,2,0)),"")</f>
        <v/>
      </c>
      <c r="F216" t="str">
        <f>IFERROR(IF(D216="","",VLOOKUP(D216,CadProd!$A:$C,3,0)),"")</f>
        <v/>
      </c>
      <c r="I216" s="1" t="str">
        <f t="shared" si="3"/>
        <v/>
      </c>
    </row>
    <row r="217" spans="5:9" x14ac:dyDescent="0.3">
      <c r="E217" t="str">
        <f>IFERROR(IF(D217="","",VLOOKUP(D217,CadProd!$A:$B,2,0)),"")</f>
        <v/>
      </c>
      <c r="F217" t="str">
        <f>IFERROR(IF(D217="","",VLOOKUP(D217,CadProd!$A:$C,3,0)),"")</f>
        <v/>
      </c>
      <c r="I217" s="1" t="str">
        <f t="shared" si="3"/>
        <v/>
      </c>
    </row>
    <row r="218" spans="5:9" x14ac:dyDescent="0.3">
      <c r="E218" t="str">
        <f>IFERROR(IF(D218="","",VLOOKUP(D218,CadProd!$A:$B,2,0)),"")</f>
        <v/>
      </c>
      <c r="F218" t="str">
        <f>IFERROR(IF(D218="","",VLOOKUP(D218,CadProd!$A:$C,3,0)),"")</f>
        <v/>
      </c>
      <c r="I218" s="1" t="str">
        <f t="shared" si="3"/>
        <v/>
      </c>
    </row>
    <row r="219" spans="5:9" x14ac:dyDescent="0.3">
      <c r="E219" t="str">
        <f>IFERROR(IF(D219="","",VLOOKUP(D219,CadProd!$A:$B,2,0)),"")</f>
        <v/>
      </c>
      <c r="F219" t="str">
        <f>IFERROR(IF(D219="","",VLOOKUP(D219,CadProd!$A:$C,3,0)),"")</f>
        <v/>
      </c>
      <c r="I219" s="1" t="str">
        <f t="shared" si="3"/>
        <v/>
      </c>
    </row>
    <row r="220" spans="5:9" x14ac:dyDescent="0.3">
      <c r="E220" t="str">
        <f>IFERROR(IF(D220="","",VLOOKUP(D220,CadProd!$A:$B,2,0)),"")</f>
        <v/>
      </c>
      <c r="F220" t="str">
        <f>IFERROR(IF(D220="","",VLOOKUP(D220,CadProd!$A:$C,3,0)),"")</f>
        <v/>
      </c>
      <c r="I220" s="1" t="str">
        <f t="shared" si="3"/>
        <v/>
      </c>
    </row>
    <row r="221" spans="5:9" x14ac:dyDescent="0.3">
      <c r="E221" t="str">
        <f>IFERROR(IF(D221="","",VLOOKUP(D221,CadProd!$A:$B,2,0)),"")</f>
        <v/>
      </c>
      <c r="F221" t="str">
        <f>IFERROR(IF(D221="","",VLOOKUP(D221,CadProd!$A:$C,3,0)),"")</f>
        <v/>
      </c>
      <c r="I221" s="1" t="str">
        <f t="shared" si="3"/>
        <v/>
      </c>
    </row>
    <row r="222" spans="5:9" x14ac:dyDescent="0.3">
      <c r="E222" t="str">
        <f>IFERROR(IF(D222="","",VLOOKUP(D222,CadProd!$A:$B,2,0)),"")</f>
        <v/>
      </c>
      <c r="F222" t="str">
        <f>IFERROR(IF(D222="","",VLOOKUP(D222,CadProd!$A:$C,3,0)),"")</f>
        <v/>
      </c>
      <c r="I222" s="1" t="str">
        <f t="shared" si="3"/>
        <v/>
      </c>
    </row>
    <row r="223" spans="5:9" x14ac:dyDescent="0.3">
      <c r="E223" t="str">
        <f>IFERROR(IF(D223="","",VLOOKUP(D223,CadProd!$A:$B,2,0)),"")</f>
        <v/>
      </c>
      <c r="F223" t="str">
        <f>IFERROR(IF(D223="","",VLOOKUP(D223,CadProd!$A:$C,3,0)),"")</f>
        <v/>
      </c>
      <c r="I223" s="1" t="str">
        <f t="shared" si="3"/>
        <v/>
      </c>
    </row>
    <row r="224" spans="5:9" x14ac:dyDescent="0.3">
      <c r="E224" t="str">
        <f>IFERROR(IF(D224="","",VLOOKUP(D224,CadProd!$A:$B,2,0)),"")</f>
        <v/>
      </c>
      <c r="F224" t="str">
        <f>IFERROR(IF(D224="","",VLOOKUP(D224,CadProd!$A:$C,3,0)),"")</f>
        <v/>
      </c>
      <c r="I224" s="1" t="str">
        <f t="shared" si="3"/>
        <v/>
      </c>
    </row>
    <row r="225" spans="5:9" x14ac:dyDescent="0.3">
      <c r="E225" t="str">
        <f>IFERROR(IF(D225="","",VLOOKUP(D225,CadProd!$A:$B,2,0)),"")</f>
        <v/>
      </c>
      <c r="F225" t="str">
        <f>IFERROR(IF(D225="","",VLOOKUP(D225,CadProd!$A:$C,3,0)),"")</f>
        <v/>
      </c>
      <c r="I225" s="1" t="str">
        <f t="shared" si="3"/>
        <v/>
      </c>
    </row>
    <row r="226" spans="5:9" x14ac:dyDescent="0.3">
      <c r="E226" t="str">
        <f>IFERROR(IF(D226="","",VLOOKUP(D226,CadProd!$A:$B,2,0)),"")</f>
        <v/>
      </c>
      <c r="F226" t="str">
        <f>IFERROR(IF(D226="","",VLOOKUP(D226,CadProd!$A:$C,3,0)),"")</f>
        <v/>
      </c>
      <c r="I226" s="1" t="str">
        <f t="shared" si="3"/>
        <v/>
      </c>
    </row>
    <row r="227" spans="5:9" x14ac:dyDescent="0.3">
      <c r="E227" t="str">
        <f>IFERROR(IF(D227="","",VLOOKUP(D227,CadProd!$A:$B,2,0)),"")</f>
        <v/>
      </c>
      <c r="F227" t="str">
        <f>IFERROR(IF(D227="","",VLOOKUP(D227,CadProd!$A:$C,3,0)),"")</f>
        <v/>
      </c>
      <c r="I227" s="1" t="str">
        <f t="shared" si="3"/>
        <v/>
      </c>
    </row>
    <row r="228" spans="5:9" x14ac:dyDescent="0.3">
      <c r="E228" t="str">
        <f>IFERROR(IF(D228="","",VLOOKUP(D228,CadProd!$A:$B,2,0)),"")</f>
        <v/>
      </c>
      <c r="F228" t="str">
        <f>IFERROR(IF(D228="","",VLOOKUP(D228,CadProd!$A:$C,3,0)),"")</f>
        <v/>
      </c>
      <c r="I228" s="1" t="str">
        <f t="shared" si="3"/>
        <v/>
      </c>
    </row>
    <row r="229" spans="5:9" x14ac:dyDescent="0.3">
      <c r="E229" t="str">
        <f>IFERROR(IF(D229="","",VLOOKUP(D229,CadProd!$A:$B,2,0)),"")</f>
        <v/>
      </c>
      <c r="F229" t="str">
        <f>IFERROR(IF(D229="","",VLOOKUP(D229,CadProd!$A:$C,3,0)),"")</f>
        <v/>
      </c>
      <c r="I229" s="1" t="str">
        <f t="shared" si="3"/>
        <v/>
      </c>
    </row>
    <row r="230" spans="5:9" x14ac:dyDescent="0.3">
      <c r="E230" t="str">
        <f>IFERROR(IF(D230="","",VLOOKUP(D230,CadProd!$A:$B,2,0)),"")</f>
        <v/>
      </c>
      <c r="F230" t="str">
        <f>IFERROR(IF(D230="","",VLOOKUP(D230,CadProd!$A:$C,3,0)),"")</f>
        <v/>
      </c>
      <c r="I230" s="1" t="str">
        <f t="shared" si="3"/>
        <v/>
      </c>
    </row>
    <row r="231" spans="5:9" x14ac:dyDescent="0.3">
      <c r="E231" t="str">
        <f>IFERROR(IF(D231="","",VLOOKUP(D231,CadProd!$A:$B,2,0)),"")</f>
        <v/>
      </c>
      <c r="F231" t="str">
        <f>IFERROR(IF(D231="","",VLOOKUP(D231,CadProd!$A:$C,3,0)),"")</f>
        <v/>
      </c>
      <c r="I231" s="1" t="str">
        <f t="shared" si="3"/>
        <v/>
      </c>
    </row>
    <row r="232" spans="5:9" x14ac:dyDescent="0.3">
      <c r="E232" t="str">
        <f>IFERROR(IF(D232="","",VLOOKUP(D232,CadProd!$A:$B,2,0)),"")</f>
        <v/>
      </c>
      <c r="F232" t="str">
        <f>IFERROR(IF(D232="","",VLOOKUP(D232,CadProd!$A:$C,3,0)),"")</f>
        <v/>
      </c>
      <c r="I232" s="1" t="str">
        <f t="shared" si="3"/>
        <v/>
      </c>
    </row>
    <row r="233" spans="5:9" x14ac:dyDescent="0.3">
      <c r="E233" t="str">
        <f>IFERROR(IF(D233="","",VLOOKUP(D233,CadProd!$A:$B,2,0)),"")</f>
        <v/>
      </c>
      <c r="F233" t="str">
        <f>IFERROR(IF(D233="","",VLOOKUP(D233,CadProd!$A:$C,3,0)),"")</f>
        <v/>
      </c>
      <c r="I233" s="1" t="str">
        <f t="shared" si="3"/>
        <v/>
      </c>
    </row>
    <row r="234" spans="5:9" x14ac:dyDescent="0.3">
      <c r="E234" t="str">
        <f>IFERROR(IF(D234="","",VLOOKUP(D234,CadProd!$A:$B,2,0)),"")</f>
        <v/>
      </c>
      <c r="F234" t="str">
        <f>IFERROR(IF(D234="","",VLOOKUP(D234,CadProd!$A:$C,3,0)),"")</f>
        <v/>
      </c>
      <c r="I234" s="1" t="str">
        <f t="shared" si="3"/>
        <v/>
      </c>
    </row>
    <row r="235" spans="5:9" x14ac:dyDescent="0.3">
      <c r="E235" t="str">
        <f>IFERROR(IF(D235="","",VLOOKUP(D235,CadProd!$A:$B,2,0)),"")</f>
        <v/>
      </c>
      <c r="F235" t="str">
        <f>IFERROR(IF(D235="","",VLOOKUP(D235,CadProd!$A:$C,3,0)),"")</f>
        <v/>
      </c>
      <c r="I235" s="1" t="str">
        <f t="shared" si="3"/>
        <v/>
      </c>
    </row>
    <row r="236" spans="5:9" x14ac:dyDescent="0.3">
      <c r="E236" t="str">
        <f>IFERROR(IF(D236="","",VLOOKUP(D236,CadProd!$A:$B,2,0)),"")</f>
        <v/>
      </c>
      <c r="F236" t="str">
        <f>IFERROR(IF(D236="","",VLOOKUP(D236,CadProd!$A:$C,3,0)),"")</f>
        <v/>
      </c>
      <c r="I236" s="1" t="str">
        <f t="shared" si="3"/>
        <v/>
      </c>
    </row>
    <row r="237" spans="5:9" x14ac:dyDescent="0.3">
      <c r="E237" t="str">
        <f>IFERROR(IF(D237="","",VLOOKUP(D237,CadProd!$A:$B,2,0)),"")</f>
        <v/>
      </c>
      <c r="F237" t="str">
        <f>IFERROR(IF(D237="","",VLOOKUP(D237,CadProd!$A:$C,3,0)),"")</f>
        <v/>
      </c>
      <c r="I237" s="1" t="str">
        <f t="shared" si="3"/>
        <v/>
      </c>
    </row>
    <row r="238" spans="5:9" x14ac:dyDescent="0.3">
      <c r="E238" t="str">
        <f>IFERROR(IF(D238="","",VLOOKUP(D238,CadProd!$A:$B,2,0)),"")</f>
        <v/>
      </c>
      <c r="F238" t="str">
        <f>IFERROR(IF(D238="","",VLOOKUP(D238,CadProd!$A:$C,3,0)),"")</f>
        <v/>
      </c>
      <c r="I238" s="1" t="str">
        <f t="shared" si="3"/>
        <v/>
      </c>
    </row>
    <row r="239" spans="5:9" x14ac:dyDescent="0.3">
      <c r="E239" t="str">
        <f>IFERROR(IF(D239="","",VLOOKUP(D239,CadProd!$A:$B,2,0)),"")</f>
        <v/>
      </c>
      <c r="F239" t="str">
        <f>IFERROR(IF(D239="","",VLOOKUP(D239,CadProd!$A:$C,3,0)),"")</f>
        <v/>
      </c>
      <c r="I239" s="1" t="str">
        <f t="shared" si="3"/>
        <v/>
      </c>
    </row>
    <row r="240" spans="5:9" x14ac:dyDescent="0.3">
      <c r="E240" t="str">
        <f>IFERROR(IF(D240="","",VLOOKUP(D240,CadProd!$A:$B,2,0)),"")</f>
        <v/>
      </c>
      <c r="F240" t="str">
        <f>IFERROR(IF(D240="","",VLOOKUP(D240,CadProd!$A:$C,3,0)),"")</f>
        <v/>
      </c>
      <c r="I240" s="1" t="str">
        <f t="shared" si="3"/>
        <v/>
      </c>
    </row>
    <row r="241" spans="5:9" x14ac:dyDescent="0.3">
      <c r="E241" t="str">
        <f>IFERROR(IF(D241="","",VLOOKUP(D241,CadProd!$A:$B,2,0)),"")</f>
        <v/>
      </c>
      <c r="F241" t="str">
        <f>IFERROR(IF(D241="","",VLOOKUP(D241,CadProd!$A:$C,3,0)),"")</f>
        <v/>
      </c>
      <c r="I241" s="1" t="str">
        <f t="shared" si="3"/>
        <v/>
      </c>
    </row>
    <row r="242" spans="5:9" x14ac:dyDescent="0.3">
      <c r="E242" t="str">
        <f>IFERROR(IF(D242="","",VLOOKUP(D242,CadProd!$A:$B,2,0)),"")</f>
        <v/>
      </c>
      <c r="F242" t="str">
        <f>IFERROR(IF(D242="","",VLOOKUP(D242,CadProd!$A:$C,3,0)),"")</f>
        <v/>
      </c>
      <c r="I242" s="1" t="str">
        <f t="shared" si="3"/>
        <v/>
      </c>
    </row>
    <row r="243" spans="5:9" x14ac:dyDescent="0.3">
      <c r="E243" t="str">
        <f>IFERROR(IF(D243="","",VLOOKUP(D243,CadProd!$A:$B,2,0)),"")</f>
        <v/>
      </c>
      <c r="F243" t="str">
        <f>IFERROR(IF(D243="","",VLOOKUP(D243,CadProd!$A:$C,3,0)),"")</f>
        <v/>
      </c>
      <c r="I243" s="1" t="str">
        <f t="shared" si="3"/>
        <v/>
      </c>
    </row>
    <row r="244" spans="5:9" x14ac:dyDescent="0.3">
      <c r="E244" t="str">
        <f>IFERROR(IF(D244="","",VLOOKUP(D244,CadProd!$A:$B,2,0)),"")</f>
        <v/>
      </c>
      <c r="F244" t="str">
        <f>IFERROR(IF(D244="","",VLOOKUP(D244,CadProd!$A:$C,3,0)),"")</f>
        <v/>
      </c>
      <c r="I244" s="1" t="str">
        <f t="shared" si="3"/>
        <v/>
      </c>
    </row>
    <row r="245" spans="5:9" x14ac:dyDescent="0.3">
      <c r="E245" t="str">
        <f>IFERROR(IF(D245="","",VLOOKUP(D245,CadProd!$A:$B,2,0)),"")</f>
        <v/>
      </c>
      <c r="F245" t="str">
        <f>IFERROR(IF(D245="","",VLOOKUP(D245,CadProd!$A:$C,3,0)),"")</f>
        <v/>
      </c>
      <c r="I245" s="1" t="str">
        <f t="shared" si="3"/>
        <v/>
      </c>
    </row>
    <row r="246" spans="5:9" x14ac:dyDescent="0.3">
      <c r="E246" t="str">
        <f>IFERROR(IF(D246="","",VLOOKUP(D246,CadProd!$A:$B,2,0)),"")</f>
        <v/>
      </c>
      <c r="F246" t="str">
        <f>IFERROR(IF(D246="","",VLOOKUP(D246,CadProd!$A:$C,3,0)),"")</f>
        <v/>
      </c>
      <c r="I246" s="1" t="str">
        <f t="shared" si="3"/>
        <v/>
      </c>
    </row>
    <row r="247" spans="5:9" x14ac:dyDescent="0.3">
      <c r="E247" t="str">
        <f>IFERROR(IF(D247="","",VLOOKUP(D247,CadProd!$A:$B,2,0)),"")</f>
        <v/>
      </c>
      <c r="F247" t="str">
        <f>IFERROR(IF(D247="","",VLOOKUP(D247,CadProd!$A:$C,3,0)),"")</f>
        <v/>
      </c>
      <c r="I247" s="1" t="str">
        <f t="shared" si="3"/>
        <v/>
      </c>
    </row>
    <row r="248" spans="5:9" x14ac:dyDescent="0.3">
      <c r="E248" t="str">
        <f>IFERROR(IF(D248="","",VLOOKUP(D248,CadProd!$A:$B,2,0)),"")</f>
        <v/>
      </c>
      <c r="F248" t="str">
        <f>IFERROR(IF(D248="","",VLOOKUP(D248,CadProd!$A:$C,3,0)),"")</f>
        <v/>
      </c>
      <c r="I248" s="1" t="str">
        <f t="shared" si="3"/>
        <v/>
      </c>
    </row>
    <row r="249" spans="5:9" x14ac:dyDescent="0.3">
      <c r="E249" t="str">
        <f>IFERROR(IF(D249="","",VLOOKUP(D249,CadProd!$A:$B,2,0)),"")</f>
        <v/>
      </c>
      <c r="F249" t="str">
        <f>IFERROR(IF(D249="","",VLOOKUP(D249,CadProd!$A:$C,3,0)),"")</f>
        <v/>
      </c>
      <c r="I249" s="1" t="str">
        <f t="shared" si="3"/>
        <v/>
      </c>
    </row>
    <row r="250" spans="5:9" x14ac:dyDescent="0.3">
      <c r="E250" t="str">
        <f>IFERROR(IF(D250="","",VLOOKUP(D250,CadProd!$A:$B,2,0)),"")</f>
        <v/>
      </c>
      <c r="F250" t="str">
        <f>IFERROR(IF(D250="","",VLOOKUP(D250,CadProd!$A:$C,3,0)),"")</f>
        <v/>
      </c>
      <c r="I250" s="1" t="str">
        <f t="shared" si="3"/>
        <v/>
      </c>
    </row>
    <row r="251" spans="5:9" x14ac:dyDescent="0.3">
      <c r="E251" t="str">
        <f>IFERROR(IF(D251="","",VLOOKUP(D251,CadProd!$A:$B,2,0)),"")</f>
        <v/>
      </c>
      <c r="F251" t="str">
        <f>IFERROR(IF(D251="","",VLOOKUP(D251,CadProd!$A:$C,3,0)),"")</f>
        <v/>
      </c>
      <c r="I251" s="1" t="str">
        <f t="shared" si="3"/>
        <v/>
      </c>
    </row>
    <row r="252" spans="5:9" x14ac:dyDescent="0.3">
      <c r="E252" t="str">
        <f>IFERROR(IF(D252="","",VLOOKUP(D252,CadProd!$A:$B,2,0)),"")</f>
        <v/>
      </c>
      <c r="F252" t="str">
        <f>IFERROR(IF(D252="","",VLOOKUP(D252,CadProd!$A:$C,3,0)),"")</f>
        <v/>
      </c>
      <c r="I252" s="1" t="str">
        <f t="shared" si="3"/>
        <v/>
      </c>
    </row>
    <row r="253" spans="5:9" x14ac:dyDescent="0.3">
      <c r="E253" t="str">
        <f>IFERROR(IF(D253="","",VLOOKUP(D253,CadProd!$A:$B,2,0)),"")</f>
        <v/>
      </c>
      <c r="F253" t="str">
        <f>IFERROR(IF(D253="","",VLOOKUP(D253,CadProd!$A:$C,3,0)),"")</f>
        <v/>
      </c>
      <c r="I253" s="1" t="str">
        <f t="shared" si="3"/>
        <v/>
      </c>
    </row>
    <row r="254" spans="5:9" x14ac:dyDescent="0.3">
      <c r="E254" t="str">
        <f>IFERROR(IF(D254="","",VLOOKUP(D254,CadProd!$A:$B,2,0)),"")</f>
        <v/>
      </c>
      <c r="F254" t="str">
        <f>IFERROR(IF(D254="","",VLOOKUP(D254,CadProd!$A:$C,3,0)),"")</f>
        <v/>
      </c>
      <c r="I254" s="1" t="str">
        <f t="shared" si="3"/>
        <v/>
      </c>
    </row>
    <row r="255" spans="5:9" x14ac:dyDescent="0.3">
      <c r="E255" t="str">
        <f>IFERROR(IF(D255="","",VLOOKUP(D255,CadProd!$A:$B,2,0)),"")</f>
        <v/>
      </c>
      <c r="F255" t="str">
        <f>IFERROR(IF(D255="","",VLOOKUP(D255,CadProd!$A:$C,3,0)),"")</f>
        <v/>
      </c>
      <c r="I255" s="1" t="str">
        <f t="shared" si="3"/>
        <v/>
      </c>
    </row>
    <row r="256" spans="5:9" x14ac:dyDescent="0.3">
      <c r="E256" t="str">
        <f>IFERROR(IF(D256="","",VLOOKUP(D256,CadProd!$A:$B,2,0)),"")</f>
        <v/>
      </c>
      <c r="F256" t="str">
        <f>IFERROR(IF(D256="","",VLOOKUP(D256,CadProd!$A:$C,3,0)),"")</f>
        <v/>
      </c>
      <c r="I256" s="1" t="str">
        <f t="shared" si="3"/>
        <v/>
      </c>
    </row>
    <row r="257" spans="5:9" x14ac:dyDescent="0.3">
      <c r="E257" t="str">
        <f>IFERROR(IF(D257="","",VLOOKUP(D257,CadProd!$A:$B,2,0)),"")</f>
        <v/>
      </c>
      <c r="F257" t="str">
        <f>IFERROR(IF(D257="","",VLOOKUP(D257,CadProd!$A:$C,3,0)),"")</f>
        <v/>
      </c>
      <c r="I257" s="1" t="str">
        <f t="shared" si="3"/>
        <v/>
      </c>
    </row>
    <row r="258" spans="5:9" x14ac:dyDescent="0.3">
      <c r="E258" t="str">
        <f>IFERROR(IF(D258="","",VLOOKUP(D258,CadProd!$A:$B,2,0)),"")</f>
        <v/>
      </c>
      <c r="F258" t="str">
        <f>IFERROR(IF(D258="","",VLOOKUP(D258,CadProd!$A:$C,3,0)),"")</f>
        <v/>
      </c>
      <c r="I258" s="1" t="str">
        <f t="shared" si="3"/>
        <v/>
      </c>
    </row>
    <row r="259" spans="5:9" x14ac:dyDescent="0.3">
      <c r="E259" t="str">
        <f>IFERROR(IF(D259="","",VLOOKUP(D259,CadProd!$A:$B,2,0)),"")</f>
        <v/>
      </c>
      <c r="F259" t="str">
        <f>IFERROR(IF(D259="","",VLOOKUP(D259,CadProd!$A:$C,3,0)),"")</f>
        <v/>
      </c>
      <c r="I259" s="1" t="str">
        <f t="shared" si="3"/>
        <v/>
      </c>
    </row>
    <row r="260" spans="5:9" x14ac:dyDescent="0.3">
      <c r="E260" t="str">
        <f>IFERROR(IF(D260="","",VLOOKUP(D260,CadProd!$A:$B,2,0)),"")</f>
        <v/>
      </c>
      <c r="F260" t="str">
        <f>IFERROR(IF(D260="","",VLOOKUP(D260,CadProd!$A:$C,3,0)),"")</f>
        <v/>
      </c>
      <c r="I260" s="1" t="str">
        <f t="shared" si="3"/>
        <v/>
      </c>
    </row>
    <row r="261" spans="5:9" x14ac:dyDescent="0.3">
      <c r="E261" t="str">
        <f>IFERROR(IF(D261="","",VLOOKUP(D261,CadProd!$A:$B,2,0)),"")</f>
        <v/>
      </c>
      <c r="F261" t="str">
        <f>IFERROR(IF(D261="","",VLOOKUP(D261,CadProd!$A:$C,3,0)),"")</f>
        <v/>
      </c>
      <c r="I261" s="1" t="str">
        <f t="shared" si="3"/>
        <v/>
      </c>
    </row>
    <row r="262" spans="5:9" x14ac:dyDescent="0.3">
      <c r="E262" t="str">
        <f>IFERROR(IF(D262="","",VLOOKUP(D262,CadProd!$A:$B,2,0)),"")</f>
        <v/>
      </c>
      <c r="F262" t="str">
        <f>IFERROR(IF(D262="","",VLOOKUP(D262,CadProd!$A:$C,3,0)),"")</f>
        <v/>
      </c>
      <c r="I262" s="1" t="str">
        <f t="shared" si="3"/>
        <v/>
      </c>
    </row>
    <row r="263" spans="5:9" x14ac:dyDescent="0.3">
      <c r="E263" t="str">
        <f>IFERROR(IF(D263="","",VLOOKUP(D263,CadProd!$A:$B,2,0)),"")</f>
        <v/>
      </c>
      <c r="F263" t="str">
        <f>IFERROR(IF(D263="","",VLOOKUP(D263,CadProd!$A:$C,3,0)),"")</f>
        <v/>
      </c>
      <c r="I263" s="1" t="str">
        <f t="shared" si="3"/>
        <v/>
      </c>
    </row>
    <row r="264" spans="5:9" x14ac:dyDescent="0.3">
      <c r="E264" t="str">
        <f>IFERROR(IF(D264="","",VLOOKUP(D264,CadProd!$A:$B,2,0)),"")</f>
        <v/>
      </c>
      <c r="F264" t="str">
        <f>IFERROR(IF(D264="","",VLOOKUP(D264,CadProd!$A:$C,3,0)),"")</f>
        <v/>
      </c>
      <c r="I264" s="1" t="str">
        <f t="shared" si="3"/>
        <v/>
      </c>
    </row>
    <row r="265" spans="5:9" x14ac:dyDescent="0.3">
      <c r="E265" t="str">
        <f>IFERROR(IF(D265="","",VLOOKUP(D265,CadProd!$A:$B,2,0)),"")</f>
        <v/>
      </c>
      <c r="F265" t="str">
        <f>IFERROR(IF(D265="","",VLOOKUP(D265,CadProd!$A:$C,3,0)),"")</f>
        <v/>
      </c>
      <c r="I265" s="1" t="str">
        <f t="shared" si="3"/>
        <v/>
      </c>
    </row>
    <row r="266" spans="5:9" x14ac:dyDescent="0.3">
      <c r="E266" t="str">
        <f>IFERROR(IF(D266="","",VLOOKUP(D266,CadProd!$A:$B,2,0)),"")</f>
        <v/>
      </c>
      <c r="F266" t="str">
        <f>IFERROR(IF(D266="","",VLOOKUP(D266,CadProd!$A:$C,3,0)),"")</f>
        <v/>
      </c>
      <c r="I266" s="1" t="str">
        <f t="shared" si="3"/>
        <v/>
      </c>
    </row>
    <row r="267" spans="5:9" x14ac:dyDescent="0.3">
      <c r="E267" t="str">
        <f>IFERROR(IF(D267="","",VLOOKUP(D267,CadProd!$A:$B,2,0)),"")</f>
        <v/>
      </c>
      <c r="F267" t="str">
        <f>IFERROR(IF(D267="","",VLOOKUP(D267,CadProd!$A:$C,3,0)),"")</f>
        <v/>
      </c>
      <c r="I267" s="1" t="str">
        <f t="shared" ref="I267:I330" si="4">IFERROR(IF(D267="","",H267*G267),"")</f>
        <v/>
      </c>
    </row>
    <row r="268" spans="5:9" x14ac:dyDescent="0.3">
      <c r="E268" t="str">
        <f>IFERROR(IF(D268="","",VLOOKUP(D268,CadProd!$A:$B,2,0)),"")</f>
        <v/>
      </c>
      <c r="F268" t="str">
        <f>IFERROR(IF(D268="","",VLOOKUP(D268,CadProd!$A:$C,3,0)),"")</f>
        <v/>
      </c>
      <c r="I268" s="1" t="str">
        <f t="shared" si="4"/>
        <v/>
      </c>
    </row>
    <row r="269" spans="5:9" x14ac:dyDescent="0.3">
      <c r="E269" t="str">
        <f>IFERROR(IF(D269="","",VLOOKUP(D269,CadProd!$A:$B,2,0)),"")</f>
        <v/>
      </c>
      <c r="F269" t="str">
        <f>IFERROR(IF(D269="","",VLOOKUP(D269,CadProd!$A:$C,3,0)),"")</f>
        <v/>
      </c>
      <c r="I269" s="1" t="str">
        <f t="shared" si="4"/>
        <v/>
      </c>
    </row>
    <row r="270" spans="5:9" x14ac:dyDescent="0.3">
      <c r="E270" t="str">
        <f>IFERROR(IF(D270="","",VLOOKUP(D270,CadProd!$A:$B,2,0)),"")</f>
        <v/>
      </c>
      <c r="F270" t="str">
        <f>IFERROR(IF(D270="","",VLOOKUP(D270,CadProd!$A:$C,3,0)),"")</f>
        <v/>
      </c>
      <c r="I270" s="1" t="str">
        <f t="shared" si="4"/>
        <v/>
      </c>
    </row>
    <row r="271" spans="5:9" x14ac:dyDescent="0.3">
      <c r="E271" t="str">
        <f>IFERROR(IF(D271="","",VLOOKUP(D271,CadProd!$A:$B,2,0)),"")</f>
        <v/>
      </c>
      <c r="F271" t="str">
        <f>IFERROR(IF(D271="","",VLOOKUP(D271,CadProd!$A:$C,3,0)),"")</f>
        <v/>
      </c>
      <c r="I271" s="1" t="str">
        <f t="shared" si="4"/>
        <v/>
      </c>
    </row>
    <row r="272" spans="5:9" x14ac:dyDescent="0.3">
      <c r="E272" t="str">
        <f>IFERROR(IF(D272="","",VLOOKUP(D272,CadProd!$A:$B,2,0)),"")</f>
        <v/>
      </c>
      <c r="F272" t="str">
        <f>IFERROR(IF(D272="","",VLOOKUP(D272,CadProd!$A:$C,3,0)),"")</f>
        <v/>
      </c>
      <c r="I272" s="1" t="str">
        <f t="shared" si="4"/>
        <v/>
      </c>
    </row>
    <row r="273" spans="5:9" x14ac:dyDescent="0.3">
      <c r="E273" t="str">
        <f>IFERROR(IF(D273="","",VLOOKUP(D273,CadProd!$A:$B,2,0)),"")</f>
        <v/>
      </c>
      <c r="F273" t="str">
        <f>IFERROR(IF(D273="","",VLOOKUP(D273,CadProd!$A:$C,3,0)),"")</f>
        <v/>
      </c>
      <c r="I273" s="1" t="str">
        <f t="shared" si="4"/>
        <v/>
      </c>
    </row>
    <row r="274" spans="5:9" x14ac:dyDescent="0.3">
      <c r="E274" t="str">
        <f>IFERROR(IF(D274="","",VLOOKUP(D274,CadProd!$A:$B,2,0)),"")</f>
        <v/>
      </c>
      <c r="F274" t="str">
        <f>IFERROR(IF(D274="","",VLOOKUP(D274,CadProd!$A:$C,3,0)),"")</f>
        <v/>
      </c>
      <c r="I274" s="1" t="str">
        <f t="shared" si="4"/>
        <v/>
      </c>
    </row>
    <row r="275" spans="5:9" x14ac:dyDescent="0.3">
      <c r="E275" t="str">
        <f>IFERROR(IF(D275="","",VLOOKUP(D275,CadProd!$A:$B,2,0)),"")</f>
        <v/>
      </c>
      <c r="F275" t="str">
        <f>IFERROR(IF(D275="","",VLOOKUP(D275,CadProd!$A:$C,3,0)),"")</f>
        <v/>
      </c>
      <c r="I275" s="1" t="str">
        <f t="shared" si="4"/>
        <v/>
      </c>
    </row>
    <row r="276" spans="5:9" x14ac:dyDescent="0.3">
      <c r="E276" t="str">
        <f>IFERROR(IF(D276="","",VLOOKUP(D276,CadProd!$A:$B,2,0)),"")</f>
        <v/>
      </c>
      <c r="F276" t="str">
        <f>IFERROR(IF(D276="","",VLOOKUP(D276,CadProd!$A:$C,3,0)),"")</f>
        <v/>
      </c>
      <c r="I276" s="1" t="str">
        <f t="shared" si="4"/>
        <v/>
      </c>
    </row>
    <row r="277" spans="5:9" x14ac:dyDescent="0.3">
      <c r="E277" t="str">
        <f>IFERROR(IF(D277="","",VLOOKUP(D277,CadProd!$A:$B,2,0)),"")</f>
        <v/>
      </c>
      <c r="F277" t="str">
        <f>IFERROR(IF(D277="","",VLOOKUP(D277,CadProd!$A:$C,3,0)),"")</f>
        <v/>
      </c>
      <c r="I277" s="1" t="str">
        <f t="shared" si="4"/>
        <v/>
      </c>
    </row>
    <row r="278" spans="5:9" x14ac:dyDescent="0.3">
      <c r="E278" t="str">
        <f>IFERROR(IF(D278="","",VLOOKUP(D278,CadProd!$A:$B,2,0)),"")</f>
        <v/>
      </c>
      <c r="F278" t="str">
        <f>IFERROR(IF(D278="","",VLOOKUP(D278,CadProd!$A:$C,3,0)),"")</f>
        <v/>
      </c>
      <c r="I278" s="1" t="str">
        <f t="shared" si="4"/>
        <v/>
      </c>
    </row>
    <row r="279" spans="5:9" x14ac:dyDescent="0.3">
      <c r="E279" t="str">
        <f>IFERROR(IF(D279="","",VLOOKUP(D279,CadProd!$A:$B,2,0)),"")</f>
        <v/>
      </c>
      <c r="F279" t="str">
        <f>IFERROR(IF(D279="","",VLOOKUP(D279,CadProd!$A:$C,3,0)),"")</f>
        <v/>
      </c>
      <c r="I279" s="1" t="str">
        <f t="shared" si="4"/>
        <v/>
      </c>
    </row>
    <row r="280" spans="5:9" x14ac:dyDescent="0.3">
      <c r="E280" t="str">
        <f>IFERROR(IF(D280="","",VLOOKUP(D280,CadProd!$A:$B,2,0)),"")</f>
        <v/>
      </c>
      <c r="F280" t="str">
        <f>IFERROR(IF(D280="","",VLOOKUP(D280,CadProd!$A:$C,3,0)),"")</f>
        <v/>
      </c>
      <c r="I280" s="1" t="str">
        <f t="shared" si="4"/>
        <v/>
      </c>
    </row>
    <row r="281" spans="5:9" x14ac:dyDescent="0.3">
      <c r="E281" t="str">
        <f>IFERROR(IF(D281="","",VLOOKUP(D281,CadProd!$A:$B,2,0)),"")</f>
        <v/>
      </c>
      <c r="F281" t="str">
        <f>IFERROR(IF(D281="","",VLOOKUP(D281,CadProd!$A:$C,3,0)),"")</f>
        <v/>
      </c>
      <c r="I281" s="1" t="str">
        <f t="shared" si="4"/>
        <v/>
      </c>
    </row>
    <row r="282" spans="5:9" x14ac:dyDescent="0.3">
      <c r="E282" t="str">
        <f>IFERROR(IF(D282="","",VLOOKUP(D282,CadProd!$A:$B,2,0)),"")</f>
        <v/>
      </c>
      <c r="F282" t="str">
        <f>IFERROR(IF(D282="","",VLOOKUP(D282,CadProd!$A:$C,3,0)),"")</f>
        <v/>
      </c>
      <c r="I282" s="1" t="str">
        <f t="shared" si="4"/>
        <v/>
      </c>
    </row>
    <row r="283" spans="5:9" x14ac:dyDescent="0.3">
      <c r="E283" t="str">
        <f>IFERROR(IF(D283="","",VLOOKUP(D283,CadProd!$A:$B,2,0)),"")</f>
        <v/>
      </c>
      <c r="F283" t="str">
        <f>IFERROR(IF(D283="","",VLOOKUP(D283,CadProd!$A:$C,3,0)),"")</f>
        <v/>
      </c>
      <c r="I283" s="1" t="str">
        <f t="shared" si="4"/>
        <v/>
      </c>
    </row>
    <row r="284" spans="5:9" x14ac:dyDescent="0.3">
      <c r="E284" t="str">
        <f>IFERROR(IF(D284="","",VLOOKUP(D284,CadProd!$A:$B,2,0)),"")</f>
        <v/>
      </c>
      <c r="F284" t="str">
        <f>IFERROR(IF(D284="","",VLOOKUP(D284,CadProd!$A:$C,3,0)),"")</f>
        <v/>
      </c>
      <c r="I284" s="1" t="str">
        <f t="shared" si="4"/>
        <v/>
      </c>
    </row>
    <row r="285" spans="5:9" x14ac:dyDescent="0.3">
      <c r="E285" t="str">
        <f>IFERROR(IF(D285="","",VLOOKUP(D285,CadProd!$A:$B,2,0)),"")</f>
        <v/>
      </c>
      <c r="F285" t="str">
        <f>IFERROR(IF(D285="","",VLOOKUP(D285,CadProd!$A:$C,3,0)),"")</f>
        <v/>
      </c>
      <c r="I285" s="1" t="str">
        <f t="shared" si="4"/>
        <v/>
      </c>
    </row>
    <row r="286" spans="5:9" x14ac:dyDescent="0.3">
      <c r="E286" t="str">
        <f>IFERROR(IF(D286="","",VLOOKUP(D286,CadProd!$A:$B,2,0)),"")</f>
        <v/>
      </c>
      <c r="F286" t="str">
        <f>IFERROR(IF(D286="","",VLOOKUP(D286,CadProd!$A:$C,3,0)),"")</f>
        <v/>
      </c>
      <c r="I286" s="1" t="str">
        <f t="shared" si="4"/>
        <v/>
      </c>
    </row>
    <row r="287" spans="5:9" x14ac:dyDescent="0.3">
      <c r="E287" t="str">
        <f>IFERROR(IF(D287="","",VLOOKUP(D287,CadProd!$A:$B,2,0)),"")</f>
        <v/>
      </c>
      <c r="F287" t="str">
        <f>IFERROR(IF(D287="","",VLOOKUP(D287,CadProd!$A:$C,3,0)),"")</f>
        <v/>
      </c>
      <c r="I287" s="1" t="str">
        <f t="shared" si="4"/>
        <v/>
      </c>
    </row>
    <row r="288" spans="5:9" x14ac:dyDescent="0.3">
      <c r="E288" t="str">
        <f>IFERROR(IF(D288="","",VLOOKUP(D288,CadProd!$A:$B,2,0)),"")</f>
        <v/>
      </c>
      <c r="F288" t="str">
        <f>IFERROR(IF(D288="","",VLOOKUP(D288,CadProd!$A:$C,3,0)),"")</f>
        <v/>
      </c>
      <c r="I288" s="1" t="str">
        <f t="shared" si="4"/>
        <v/>
      </c>
    </row>
    <row r="289" spans="5:9" x14ac:dyDescent="0.3">
      <c r="E289" t="str">
        <f>IFERROR(IF(D289="","",VLOOKUP(D289,CadProd!$A:$B,2,0)),"")</f>
        <v/>
      </c>
      <c r="F289" t="str">
        <f>IFERROR(IF(D289="","",VLOOKUP(D289,CadProd!$A:$C,3,0)),"")</f>
        <v/>
      </c>
      <c r="I289" s="1" t="str">
        <f t="shared" si="4"/>
        <v/>
      </c>
    </row>
    <row r="290" spans="5:9" x14ac:dyDescent="0.3">
      <c r="E290" t="str">
        <f>IFERROR(IF(D290="","",VLOOKUP(D290,CadProd!$A:$B,2,0)),"")</f>
        <v/>
      </c>
      <c r="F290" t="str">
        <f>IFERROR(IF(D290="","",VLOOKUP(D290,CadProd!$A:$C,3,0)),"")</f>
        <v/>
      </c>
      <c r="I290" s="1" t="str">
        <f t="shared" si="4"/>
        <v/>
      </c>
    </row>
    <row r="291" spans="5:9" x14ac:dyDescent="0.3">
      <c r="E291" t="str">
        <f>IFERROR(IF(D291="","",VLOOKUP(D291,CadProd!$A:$B,2,0)),"")</f>
        <v/>
      </c>
      <c r="F291" t="str">
        <f>IFERROR(IF(D291="","",VLOOKUP(D291,CadProd!$A:$C,3,0)),"")</f>
        <v/>
      </c>
      <c r="I291" s="1" t="str">
        <f t="shared" si="4"/>
        <v/>
      </c>
    </row>
    <row r="292" spans="5:9" x14ac:dyDescent="0.3">
      <c r="E292" t="str">
        <f>IFERROR(IF(D292="","",VLOOKUP(D292,CadProd!$A:$B,2,0)),"")</f>
        <v/>
      </c>
      <c r="F292" t="str">
        <f>IFERROR(IF(D292="","",VLOOKUP(D292,CadProd!$A:$C,3,0)),"")</f>
        <v/>
      </c>
      <c r="I292" s="1" t="str">
        <f t="shared" si="4"/>
        <v/>
      </c>
    </row>
    <row r="293" spans="5:9" x14ac:dyDescent="0.3">
      <c r="E293" t="str">
        <f>IFERROR(IF(D293="","",VLOOKUP(D293,CadProd!$A:$B,2,0)),"")</f>
        <v/>
      </c>
      <c r="F293" t="str">
        <f>IFERROR(IF(D293="","",VLOOKUP(D293,CadProd!$A:$C,3,0)),"")</f>
        <v/>
      </c>
      <c r="I293" s="1" t="str">
        <f t="shared" si="4"/>
        <v/>
      </c>
    </row>
    <row r="294" spans="5:9" x14ac:dyDescent="0.3">
      <c r="E294" t="str">
        <f>IFERROR(IF(D294="","",VLOOKUP(D294,CadProd!$A:$B,2,0)),"")</f>
        <v/>
      </c>
      <c r="F294" t="str">
        <f>IFERROR(IF(D294="","",VLOOKUP(D294,CadProd!$A:$C,3,0)),"")</f>
        <v/>
      </c>
      <c r="I294" s="1" t="str">
        <f t="shared" si="4"/>
        <v/>
      </c>
    </row>
    <row r="295" spans="5:9" x14ac:dyDescent="0.3">
      <c r="E295" t="str">
        <f>IFERROR(IF(D295="","",VLOOKUP(D295,CadProd!$A:$B,2,0)),"")</f>
        <v/>
      </c>
      <c r="F295" t="str">
        <f>IFERROR(IF(D295="","",VLOOKUP(D295,CadProd!$A:$C,3,0)),"")</f>
        <v/>
      </c>
      <c r="I295" s="1" t="str">
        <f t="shared" si="4"/>
        <v/>
      </c>
    </row>
    <row r="296" spans="5:9" x14ac:dyDescent="0.3">
      <c r="E296" t="str">
        <f>IFERROR(IF(D296="","",VLOOKUP(D296,CadProd!$A:$B,2,0)),"")</f>
        <v/>
      </c>
      <c r="F296" t="str">
        <f>IFERROR(IF(D296="","",VLOOKUP(D296,CadProd!$A:$C,3,0)),"")</f>
        <v/>
      </c>
      <c r="I296" s="1" t="str">
        <f t="shared" si="4"/>
        <v/>
      </c>
    </row>
    <row r="297" spans="5:9" x14ac:dyDescent="0.3">
      <c r="E297" t="str">
        <f>IFERROR(IF(D297="","",VLOOKUP(D297,CadProd!$A:$B,2,0)),"")</f>
        <v/>
      </c>
      <c r="F297" t="str">
        <f>IFERROR(IF(D297="","",VLOOKUP(D297,CadProd!$A:$C,3,0)),"")</f>
        <v/>
      </c>
      <c r="I297" s="1" t="str">
        <f t="shared" si="4"/>
        <v/>
      </c>
    </row>
    <row r="298" spans="5:9" x14ac:dyDescent="0.3">
      <c r="E298" t="str">
        <f>IFERROR(IF(D298="","",VLOOKUP(D298,CadProd!$A:$B,2,0)),"")</f>
        <v/>
      </c>
      <c r="F298" t="str">
        <f>IFERROR(IF(D298="","",VLOOKUP(D298,CadProd!$A:$C,3,0)),"")</f>
        <v/>
      </c>
      <c r="I298" s="1" t="str">
        <f t="shared" si="4"/>
        <v/>
      </c>
    </row>
    <row r="299" spans="5:9" x14ac:dyDescent="0.3">
      <c r="E299" t="str">
        <f>IFERROR(IF(D299="","",VLOOKUP(D299,CadProd!$A:$B,2,0)),"")</f>
        <v/>
      </c>
      <c r="F299" t="str">
        <f>IFERROR(IF(D299="","",VLOOKUP(D299,CadProd!$A:$C,3,0)),"")</f>
        <v/>
      </c>
      <c r="I299" s="1" t="str">
        <f t="shared" si="4"/>
        <v/>
      </c>
    </row>
    <row r="300" spans="5:9" x14ac:dyDescent="0.3">
      <c r="E300" t="str">
        <f>IFERROR(IF(D300="","",VLOOKUP(D300,CadProd!$A:$B,2,0)),"")</f>
        <v/>
      </c>
      <c r="F300" t="str">
        <f>IFERROR(IF(D300="","",VLOOKUP(D300,CadProd!$A:$C,3,0)),"")</f>
        <v/>
      </c>
      <c r="I300" s="1" t="str">
        <f t="shared" si="4"/>
        <v/>
      </c>
    </row>
    <row r="301" spans="5:9" x14ac:dyDescent="0.3">
      <c r="E301" t="str">
        <f>IFERROR(IF(D301="","",VLOOKUP(D301,CadProd!$A:$B,2,0)),"")</f>
        <v/>
      </c>
      <c r="F301" t="str">
        <f>IFERROR(IF(D301="","",VLOOKUP(D301,CadProd!$A:$C,3,0)),"")</f>
        <v/>
      </c>
      <c r="I301" s="1" t="str">
        <f t="shared" si="4"/>
        <v/>
      </c>
    </row>
    <row r="302" spans="5:9" x14ac:dyDescent="0.3">
      <c r="E302" t="str">
        <f>IFERROR(IF(D302="","",VLOOKUP(D302,CadProd!$A:$B,2,0)),"")</f>
        <v/>
      </c>
      <c r="F302" t="str">
        <f>IFERROR(IF(D302="","",VLOOKUP(D302,CadProd!$A:$C,3,0)),"")</f>
        <v/>
      </c>
      <c r="I302" s="1" t="str">
        <f t="shared" si="4"/>
        <v/>
      </c>
    </row>
    <row r="303" spans="5:9" x14ac:dyDescent="0.3">
      <c r="E303" t="str">
        <f>IFERROR(IF(D303="","",VLOOKUP(D303,CadProd!$A:$B,2,0)),"")</f>
        <v/>
      </c>
      <c r="F303" t="str">
        <f>IFERROR(IF(D303="","",VLOOKUP(D303,CadProd!$A:$C,3,0)),"")</f>
        <v/>
      </c>
      <c r="I303" s="1" t="str">
        <f t="shared" si="4"/>
        <v/>
      </c>
    </row>
    <row r="304" spans="5:9" x14ac:dyDescent="0.3">
      <c r="E304" t="str">
        <f>IFERROR(IF(D304="","",VLOOKUP(D304,CadProd!$A:$B,2,0)),"")</f>
        <v/>
      </c>
      <c r="F304" t="str">
        <f>IFERROR(IF(D304="","",VLOOKUP(D304,CadProd!$A:$C,3,0)),"")</f>
        <v/>
      </c>
      <c r="I304" s="1" t="str">
        <f t="shared" si="4"/>
        <v/>
      </c>
    </row>
    <row r="305" spans="5:9" x14ac:dyDescent="0.3">
      <c r="E305" t="str">
        <f>IFERROR(IF(D305="","",VLOOKUP(D305,CadProd!$A:$B,2,0)),"")</f>
        <v/>
      </c>
      <c r="F305" t="str">
        <f>IFERROR(IF(D305="","",VLOOKUP(D305,CadProd!$A:$C,3,0)),"")</f>
        <v/>
      </c>
      <c r="I305" s="1" t="str">
        <f t="shared" si="4"/>
        <v/>
      </c>
    </row>
    <row r="306" spans="5:9" x14ac:dyDescent="0.3">
      <c r="E306" t="str">
        <f>IFERROR(IF(D306="","",VLOOKUP(D306,CadProd!$A:$B,2,0)),"")</f>
        <v/>
      </c>
      <c r="F306" t="str">
        <f>IFERROR(IF(D306="","",VLOOKUP(D306,CadProd!$A:$C,3,0)),"")</f>
        <v/>
      </c>
      <c r="I306" s="1" t="str">
        <f t="shared" si="4"/>
        <v/>
      </c>
    </row>
    <row r="307" spans="5:9" x14ac:dyDescent="0.3">
      <c r="E307" t="str">
        <f>IFERROR(IF(D307="","",VLOOKUP(D307,CadProd!$A:$B,2,0)),"")</f>
        <v/>
      </c>
      <c r="F307" t="str">
        <f>IFERROR(IF(D307="","",VLOOKUP(D307,CadProd!$A:$C,3,0)),"")</f>
        <v/>
      </c>
      <c r="I307" s="1" t="str">
        <f t="shared" si="4"/>
        <v/>
      </c>
    </row>
    <row r="308" spans="5:9" x14ac:dyDescent="0.3">
      <c r="E308" t="str">
        <f>IFERROR(IF(D308="","",VLOOKUP(D308,CadProd!$A:$B,2,0)),"")</f>
        <v/>
      </c>
      <c r="F308" t="str">
        <f>IFERROR(IF(D308="","",VLOOKUP(D308,CadProd!$A:$C,3,0)),"")</f>
        <v/>
      </c>
      <c r="I308" s="1" t="str">
        <f t="shared" si="4"/>
        <v/>
      </c>
    </row>
    <row r="309" spans="5:9" x14ac:dyDescent="0.3">
      <c r="E309" t="str">
        <f>IFERROR(IF(D309="","",VLOOKUP(D309,CadProd!$A:$B,2,0)),"")</f>
        <v/>
      </c>
      <c r="F309" t="str">
        <f>IFERROR(IF(D309="","",VLOOKUP(D309,CadProd!$A:$C,3,0)),"")</f>
        <v/>
      </c>
      <c r="I309" s="1" t="str">
        <f t="shared" si="4"/>
        <v/>
      </c>
    </row>
    <row r="310" spans="5:9" x14ac:dyDescent="0.3">
      <c r="E310" t="str">
        <f>IFERROR(IF(D310="","",VLOOKUP(D310,CadProd!$A:$B,2,0)),"")</f>
        <v/>
      </c>
      <c r="F310" t="str">
        <f>IFERROR(IF(D310="","",VLOOKUP(D310,CadProd!$A:$C,3,0)),"")</f>
        <v/>
      </c>
      <c r="I310" s="1" t="str">
        <f t="shared" si="4"/>
        <v/>
      </c>
    </row>
    <row r="311" spans="5:9" x14ac:dyDescent="0.3">
      <c r="E311" t="str">
        <f>IFERROR(IF(D311="","",VLOOKUP(D311,CadProd!$A:$B,2,0)),"")</f>
        <v/>
      </c>
      <c r="F311" t="str">
        <f>IFERROR(IF(D311="","",VLOOKUP(D311,CadProd!$A:$C,3,0)),"")</f>
        <v/>
      </c>
      <c r="I311" s="1" t="str">
        <f t="shared" si="4"/>
        <v/>
      </c>
    </row>
    <row r="312" spans="5:9" x14ac:dyDescent="0.3">
      <c r="E312" t="str">
        <f>IFERROR(IF(D312="","",VLOOKUP(D312,CadProd!$A:$B,2,0)),"")</f>
        <v/>
      </c>
      <c r="F312" t="str">
        <f>IFERROR(IF(D312="","",VLOOKUP(D312,CadProd!$A:$C,3,0)),"")</f>
        <v/>
      </c>
      <c r="I312" s="1" t="str">
        <f t="shared" si="4"/>
        <v/>
      </c>
    </row>
    <row r="313" spans="5:9" x14ac:dyDescent="0.3">
      <c r="E313" t="str">
        <f>IFERROR(IF(D313="","",VLOOKUP(D313,CadProd!$A:$B,2,0)),"")</f>
        <v/>
      </c>
      <c r="F313" t="str">
        <f>IFERROR(IF(D313="","",VLOOKUP(D313,CadProd!$A:$C,3,0)),"")</f>
        <v/>
      </c>
      <c r="I313" s="1" t="str">
        <f t="shared" si="4"/>
        <v/>
      </c>
    </row>
    <row r="314" spans="5:9" x14ac:dyDescent="0.3">
      <c r="E314" t="str">
        <f>IFERROR(IF(D314="","",VLOOKUP(D314,CadProd!$A:$B,2,0)),"")</f>
        <v/>
      </c>
      <c r="F314" t="str">
        <f>IFERROR(IF(D314="","",VLOOKUP(D314,CadProd!$A:$C,3,0)),"")</f>
        <v/>
      </c>
      <c r="I314" s="1" t="str">
        <f t="shared" si="4"/>
        <v/>
      </c>
    </row>
    <row r="315" spans="5:9" x14ac:dyDescent="0.3">
      <c r="E315" t="str">
        <f>IFERROR(IF(D315="","",VLOOKUP(D315,CadProd!$A:$B,2,0)),"")</f>
        <v/>
      </c>
      <c r="F315" t="str">
        <f>IFERROR(IF(D315="","",VLOOKUP(D315,CadProd!$A:$C,3,0)),"")</f>
        <v/>
      </c>
      <c r="I315" s="1" t="str">
        <f t="shared" si="4"/>
        <v/>
      </c>
    </row>
    <row r="316" spans="5:9" x14ac:dyDescent="0.3">
      <c r="E316" t="str">
        <f>IFERROR(IF(D316="","",VLOOKUP(D316,CadProd!$A:$B,2,0)),"")</f>
        <v/>
      </c>
      <c r="F316" t="str">
        <f>IFERROR(IF(D316="","",VLOOKUP(D316,CadProd!$A:$C,3,0)),"")</f>
        <v/>
      </c>
      <c r="I316" s="1" t="str">
        <f t="shared" si="4"/>
        <v/>
      </c>
    </row>
    <row r="317" spans="5:9" x14ac:dyDescent="0.3">
      <c r="E317" t="str">
        <f>IFERROR(IF(D317="","",VLOOKUP(D317,CadProd!$A:$B,2,0)),"")</f>
        <v/>
      </c>
      <c r="F317" t="str">
        <f>IFERROR(IF(D317="","",VLOOKUP(D317,CadProd!$A:$C,3,0)),"")</f>
        <v/>
      </c>
      <c r="I317" s="1" t="str">
        <f t="shared" si="4"/>
        <v/>
      </c>
    </row>
    <row r="318" spans="5:9" x14ac:dyDescent="0.3">
      <c r="E318" t="str">
        <f>IFERROR(IF(D318="","",VLOOKUP(D318,CadProd!$A:$B,2,0)),"")</f>
        <v/>
      </c>
      <c r="F318" t="str">
        <f>IFERROR(IF(D318="","",VLOOKUP(D318,CadProd!$A:$C,3,0)),"")</f>
        <v/>
      </c>
      <c r="I318" s="1" t="str">
        <f t="shared" si="4"/>
        <v/>
      </c>
    </row>
    <row r="319" spans="5:9" x14ac:dyDescent="0.3">
      <c r="E319" t="str">
        <f>IFERROR(IF(D319="","",VLOOKUP(D319,CadProd!$A:$B,2,0)),"")</f>
        <v/>
      </c>
      <c r="F319" t="str">
        <f>IFERROR(IF(D319="","",VLOOKUP(D319,CadProd!$A:$C,3,0)),"")</f>
        <v/>
      </c>
      <c r="I319" s="1" t="str">
        <f t="shared" si="4"/>
        <v/>
      </c>
    </row>
    <row r="320" spans="5:9" x14ac:dyDescent="0.3">
      <c r="E320" t="str">
        <f>IFERROR(IF(D320="","",VLOOKUP(D320,CadProd!$A:$B,2,0)),"")</f>
        <v/>
      </c>
      <c r="F320" t="str">
        <f>IFERROR(IF(D320="","",VLOOKUP(D320,CadProd!$A:$C,3,0)),"")</f>
        <v/>
      </c>
      <c r="I320" s="1" t="str">
        <f t="shared" si="4"/>
        <v/>
      </c>
    </row>
    <row r="321" spans="5:9" x14ac:dyDescent="0.3">
      <c r="E321" t="str">
        <f>IFERROR(IF(D321="","",VLOOKUP(D321,CadProd!$A:$B,2,0)),"")</f>
        <v/>
      </c>
      <c r="F321" t="str">
        <f>IFERROR(IF(D321="","",VLOOKUP(D321,CadProd!$A:$C,3,0)),"")</f>
        <v/>
      </c>
      <c r="I321" s="1" t="str">
        <f t="shared" si="4"/>
        <v/>
      </c>
    </row>
    <row r="322" spans="5:9" x14ac:dyDescent="0.3">
      <c r="E322" t="str">
        <f>IFERROR(IF(D322="","",VLOOKUP(D322,CadProd!$A:$B,2,0)),"")</f>
        <v/>
      </c>
      <c r="F322" t="str">
        <f>IFERROR(IF(D322="","",VLOOKUP(D322,CadProd!$A:$C,3,0)),"")</f>
        <v/>
      </c>
      <c r="I322" s="1" t="str">
        <f t="shared" si="4"/>
        <v/>
      </c>
    </row>
    <row r="323" spans="5:9" x14ac:dyDescent="0.3">
      <c r="E323" t="str">
        <f>IFERROR(IF(D323="","",VLOOKUP(D323,CadProd!$A:$B,2,0)),"")</f>
        <v/>
      </c>
      <c r="F323" t="str">
        <f>IFERROR(IF(D323="","",VLOOKUP(D323,CadProd!$A:$C,3,0)),"")</f>
        <v/>
      </c>
      <c r="I323" s="1" t="str">
        <f t="shared" si="4"/>
        <v/>
      </c>
    </row>
    <row r="324" spans="5:9" x14ac:dyDescent="0.3">
      <c r="E324" t="str">
        <f>IFERROR(IF(D324="","",VLOOKUP(D324,CadProd!$A:$B,2,0)),"")</f>
        <v/>
      </c>
      <c r="F324" t="str">
        <f>IFERROR(IF(D324="","",VLOOKUP(D324,CadProd!$A:$C,3,0)),"")</f>
        <v/>
      </c>
      <c r="I324" s="1" t="str">
        <f t="shared" si="4"/>
        <v/>
      </c>
    </row>
    <row r="325" spans="5:9" x14ac:dyDescent="0.3">
      <c r="E325" t="str">
        <f>IFERROR(IF(D325="","",VLOOKUP(D325,CadProd!$A:$B,2,0)),"")</f>
        <v/>
      </c>
      <c r="F325" t="str">
        <f>IFERROR(IF(D325="","",VLOOKUP(D325,CadProd!$A:$C,3,0)),"")</f>
        <v/>
      </c>
      <c r="I325" s="1" t="str">
        <f t="shared" si="4"/>
        <v/>
      </c>
    </row>
    <row r="326" spans="5:9" x14ac:dyDescent="0.3">
      <c r="E326" t="str">
        <f>IFERROR(IF(D326="","",VLOOKUP(D326,CadProd!$A:$B,2,0)),"")</f>
        <v/>
      </c>
      <c r="F326" t="str">
        <f>IFERROR(IF(D326="","",VLOOKUP(D326,CadProd!$A:$C,3,0)),"")</f>
        <v/>
      </c>
      <c r="I326" s="1" t="str">
        <f t="shared" si="4"/>
        <v/>
      </c>
    </row>
    <row r="327" spans="5:9" x14ac:dyDescent="0.3">
      <c r="E327" t="str">
        <f>IFERROR(IF(D327="","",VLOOKUP(D327,CadProd!$A:$B,2,0)),"")</f>
        <v/>
      </c>
      <c r="F327" t="str">
        <f>IFERROR(IF(D327="","",VLOOKUP(D327,CadProd!$A:$C,3,0)),"")</f>
        <v/>
      </c>
      <c r="I327" s="1" t="str">
        <f t="shared" si="4"/>
        <v/>
      </c>
    </row>
    <row r="328" spans="5:9" x14ac:dyDescent="0.3">
      <c r="E328" t="str">
        <f>IFERROR(IF(D328="","",VLOOKUP(D328,CadProd!$A:$B,2,0)),"")</f>
        <v/>
      </c>
      <c r="F328" t="str">
        <f>IFERROR(IF(D328="","",VLOOKUP(D328,CadProd!$A:$C,3,0)),"")</f>
        <v/>
      </c>
      <c r="I328" s="1" t="str">
        <f t="shared" si="4"/>
        <v/>
      </c>
    </row>
    <row r="329" spans="5:9" x14ac:dyDescent="0.3">
      <c r="E329" t="str">
        <f>IFERROR(IF(D329="","",VLOOKUP(D329,CadProd!$A:$B,2,0)),"")</f>
        <v/>
      </c>
      <c r="F329" t="str">
        <f>IFERROR(IF(D329="","",VLOOKUP(D329,CadProd!$A:$C,3,0)),"")</f>
        <v/>
      </c>
      <c r="I329" s="1" t="str">
        <f t="shared" si="4"/>
        <v/>
      </c>
    </row>
    <row r="330" spans="5:9" x14ac:dyDescent="0.3">
      <c r="E330" t="str">
        <f>IFERROR(IF(D330="","",VLOOKUP(D330,CadProd!$A:$B,2,0)),"")</f>
        <v/>
      </c>
      <c r="F330" t="str">
        <f>IFERROR(IF(D330="","",VLOOKUP(D330,CadProd!$A:$C,3,0)),"")</f>
        <v/>
      </c>
      <c r="I330" s="1" t="str">
        <f t="shared" si="4"/>
        <v/>
      </c>
    </row>
    <row r="331" spans="5:9" x14ac:dyDescent="0.3">
      <c r="E331" t="str">
        <f>IFERROR(IF(D331="","",VLOOKUP(D331,CadProd!$A:$B,2,0)),"")</f>
        <v/>
      </c>
      <c r="F331" t="str">
        <f>IFERROR(IF(D331="","",VLOOKUP(D331,CadProd!$A:$C,3,0)),"")</f>
        <v/>
      </c>
      <c r="I331" s="1" t="str">
        <f t="shared" ref="I331:I394" si="5">IFERROR(IF(D331="","",H331*G331),"")</f>
        <v/>
      </c>
    </row>
    <row r="332" spans="5:9" x14ac:dyDescent="0.3">
      <c r="E332" t="str">
        <f>IFERROR(IF(D332="","",VLOOKUP(D332,CadProd!$A:$B,2,0)),"")</f>
        <v/>
      </c>
      <c r="F332" t="str">
        <f>IFERROR(IF(D332="","",VLOOKUP(D332,CadProd!$A:$C,3,0)),"")</f>
        <v/>
      </c>
      <c r="I332" s="1" t="str">
        <f t="shared" si="5"/>
        <v/>
      </c>
    </row>
    <row r="333" spans="5:9" x14ac:dyDescent="0.3">
      <c r="E333" t="str">
        <f>IFERROR(IF(D333="","",VLOOKUP(D333,CadProd!$A:$B,2,0)),"")</f>
        <v/>
      </c>
      <c r="F333" t="str">
        <f>IFERROR(IF(D333="","",VLOOKUP(D333,CadProd!$A:$C,3,0)),"")</f>
        <v/>
      </c>
      <c r="I333" s="1" t="str">
        <f t="shared" si="5"/>
        <v/>
      </c>
    </row>
    <row r="334" spans="5:9" x14ac:dyDescent="0.3">
      <c r="E334" t="str">
        <f>IFERROR(IF(D334="","",VLOOKUP(D334,CadProd!$A:$B,2,0)),"")</f>
        <v/>
      </c>
      <c r="F334" t="str">
        <f>IFERROR(IF(D334="","",VLOOKUP(D334,CadProd!$A:$C,3,0)),"")</f>
        <v/>
      </c>
      <c r="I334" s="1" t="str">
        <f t="shared" si="5"/>
        <v/>
      </c>
    </row>
    <row r="335" spans="5:9" x14ac:dyDescent="0.3">
      <c r="E335" t="str">
        <f>IFERROR(IF(D335="","",VLOOKUP(D335,CadProd!$A:$B,2,0)),"")</f>
        <v/>
      </c>
      <c r="F335" t="str">
        <f>IFERROR(IF(D335="","",VLOOKUP(D335,CadProd!$A:$C,3,0)),"")</f>
        <v/>
      </c>
      <c r="I335" s="1" t="str">
        <f t="shared" si="5"/>
        <v/>
      </c>
    </row>
    <row r="336" spans="5:9" x14ac:dyDescent="0.3">
      <c r="E336" t="str">
        <f>IFERROR(IF(D336="","",VLOOKUP(D336,CadProd!$A:$B,2,0)),"")</f>
        <v/>
      </c>
      <c r="F336" t="str">
        <f>IFERROR(IF(D336="","",VLOOKUP(D336,CadProd!$A:$C,3,0)),"")</f>
        <v/>
      </c>
      <c r="I336" s="1" t="str">
        <f t="shared" si="5"/>
        <v/>
      </c>
    </row>
    <row r="337" spans="5:9" x14ac:dyDescent="0.3">
      <c r="E337" t="str">
        <f>IFERROR(IF(D337="","",VLOOKUP(D337,CadProd!$A:$B,2,0)),"")</f>
        <v/>
      </c>
      <c r="F337" t="str">
        <f>IFERROR(IF(D337="","",VLOOKUP(D337,CadProd!$A:$C,3,0)),"")</f>
        <v/>
      </c>
      <c r="I337" s="1" t="str">
        <f t="shared" si="5"/>
        <v/>
      </c>
    </row>
    <row r="338" spans="5:9" x14ac:dyDescent="0.3">
      <c r="E338" t="str">
        <f>IFERROR(IF(D338="","",VLOOKUP(D338,CadProd!$A:$B,2,0)),"")</f>
        <v/>
      </c>
      <c r="F338" t="str">
        <f>IFERROR(IF(D338="","",VLOOKUP(D338,CadProd!$A:$C,3,0)),"")</f>
        <v/>
      </c>
      <c r="I338" s="1" t="str">
        <f t="shared" si="5"/>
        <v/>
      </c>
    </row>
    <row r="339" spans="5:9" x14ac:dyDescent="0.3">
      <c r="E339" t="str">
        <f>IFERROR(IF(D339="","",VLOOKUP(D339,CadProd!$A:$B,2,0)),"")</f>
        <v/>
      </c>
      <c r="F339" t="str">
        <f>IFERROR(IF(D339="","",VLOOKUP(D339,CadProd!$A:$C,3,0)),"")</f>
        <v/>
      </c>
      <c r="I339" s="1" t="str">
        <f t="shared" si="5"/>
        <v/>
      </c>
    </row>
    <row r="340" spans="5:9" x14ac:dyDescent="0.3">
      <c r="E340" t="str">
        <f>IFERROR(IF(D340="","",VLOOKUP(D340,CadProd!$A:$B,2,0)),"")</f>
        <v/>
      </c>
      <c r="F340" t="str">
        <f>IFERROR(IF(D340="","",VLOOKUP(D340,CadProd!$A:$C,3,0)),"")</f>
        <v/>
      </c>
      <c r="I340" s="1" t="str">
        <f t="shared" si="5"/>
        <v/>
      </c>
    </row>
    <row r="341" spans="5:9" x14ac:dyDescent="0.3">
      <c r="E341" t="str">
        <f>IFERROR(IF(D341="","",VLOOKUP(D341,CadProd!$A:$B,2,0)),"")</f>
        <v/>
      </c>
      <c r="F341" t="str">
        <f>IFERROR(IF(D341="","",VLOOKUP(D341,CadProd!$A:$C,3,0)),"")</f>
        <v/>
      </c>
      <c r="I341" s="1" t="str">
        <f t="shared" si="5"/>
        <v/>
      </c>
    </row>
    <row r="342" spans="5:9" x14ac:dyDescent="0.3">
      <c r="E342" t="str">
        <f>IFERROR(IF(D342="","",VLOOKUP(D342,CadProd!$A:$B,2,0)),"")</f>
        <v/>
      </c>
      <c r="F342" t="str">
        <f>IFERROR(IF(D342="","",VLOOKUP(D342,CadProd!$A:$C,3,0)),"")</f>
        <v/>
      </c>
      <c r="I342" s="1" t="str">
        <f t="shared" si="5"/>
        <v/>
      </c>
    </row>
    <row r="343" spans="5:9" x14ac:dyDescent="0.3">
      <c r="E343" t="str">
        <f>IFERROR(IF(D343="","",VLOOKUP(D343,CadProd!$A:$B,2,0)),"")</f>
        <v/>
      </c>
      <c r="F343" t="str">
        <f>IFERROR(IF(D343="","",VLOOKUP(D343,CadProd!$A:$C,3,0)),"")</f>
        <v/>
      </c>
      <c r="I343" s="1" t="str">
        <f t="shared" si="5"/>
        <v/>
      </c>
    </row>
    <row r="344" spans="5:9" x14ac:dyDescent="0.3">
      <c r="E344" t="str">
        <f>IFERROR(IF(D344="","",VLOOKUP(D344,CadProd!$A:$B,2,0)),"")</f>
        <v/>
      </c>
      <c r="F344" t="str">
        <f>IFERROR(IF(D344="","",VLOOKUP(D344,CadProd!$A:$C,3,0)),"")</f>
        <v/>
      </c>
      <c r="I344" s="1" t="str">
        <f t="shared" si="5"/>
        <v/>
      </c>
    </row>
    <row r="345" spans="5:9" x14ac:dyDescent="0.3">
      <c r="E345" t="str">
        <f>IFERROR(IF(D345="","",VLOOKUP(D345,CadProd!$A:$B,2,0)),"")</f>
        <v/>
      </c>
      <c r="F345" t="str">
        <f>IFERROR(IF(D345="","",VLOOKUP(D345,CadProd!$A:$C,3,0)),"")</f>
        <v/>
      </c>
      <c r="I345" s="1" t="str">
        <f t="shared" si="5"/>
        <v/>
      </c>
    </row>
    <row r="346" spans="5:9" x14ac:dyDescent="0.3">
      <c r="E346" t="str">
        <f>IFERROR(IF(D346="","",VLOOKUP(D346,CadProd!$A:$B,2,0)),"")</f>
        <v/>
      </c>
      <c r="F346" t="str">
        <f>IFERROR(IF(D346="","",VLOOKUP(D346,CadProd!$A:$C,3,0)),"")</f>
        <v/>
      </c>
      <c r="I346" s="1" t="str">
        <f t="shared" si="5"/>
        <v/>
      </c>
    </row>
    <row r="347" spans="5:9" x14ac:dyDescent="0.3">
      <c r="E347" t="str">
        <f>IFERROR(IF(D347="","",VLOOKUP(D347,CadProd!$A:$B,2,0)),"")</f>
        <v/>
      </c>
      <c r="F347" t="str">
        <f>IFERROR(IF(D347="","",VLOOKUP(D347,CadProd!$A:$C,3,0)),"")</f>
        <v/>
      </c>
      <c r="I347" s="1" t="str">
        <f t="shared" si="5"/>
        <v/>
      </c>
    </row>
    <row r="348" spans="5:9" x14ac:dyDescent="0.3">
      <c r="E348" t="str">
        <f>IFERROR(IF(D348="","",VLOOKUP(D348,CadProd!$A:$B,2,0)),"")</f>
        <v/>
      </c>
      <c r="F348" t="str">
        <f>IFERROR(IF(D348="","",VLOOKUP(D348,CadProd!$A:$C,3,0)),"")</f>
        <v/>
      </c>
      <c r="I348" s="1" t="str">
        <f t="shared" si="5"/>
        <v/>
      </c>
    </row>
    <row r="349" spans="5:9" x14ac:dyDescent="0.3">
      <c r="E349" t="str">
        <f>IFERROR(IF(D349="","",VLOOKUP(D349,CadProd!$A:$B,2,0)),"")</f>
        <v/>
      </c>
      <c r="F349" t="str">
        <f>IFERROR(IF(D349="","",VLOOKUP(D349,CadProd!$A:$C,3,0)),"")</f>
        <v/>
      </c>
      <c r="I349" s="1" t="str">
        <f t="shared" si="5"/>
        <v/>
      </c>
    </row>
    <row r="350" spans="5:9" x14ac:dyDescent="0.3">
      <c r="E350" t="str">
        <f>IFERROR(IF(D350="","",VLOOKUP(D350,CadProd!$A:$B,2,0)),"")</f>
        <v/>
      </c>
      <c r="F350" t="str">
        <f>IFERROR(IF(D350="","",VLOOKUP(D350,CadProd!$A:$C,3,0)),"")</f>
        <v/>
      </c>
      <c r="I350" s="1" t="str">
        <f t="shared" si="5"/>
        <v/>
      </c>
    </row>
    <row r="351" spans="5:9" x14ac:dyDescent="0.3">
      <c r="E351" t="str">
        <f>IFERROR(IF(D351="","",VLOOKUP(D351,CadProd!$A:$B,2,0)),"")</f>
        <v/>
      </c>
      <c r="F351" t="str">
        <f>IFERROR(IF(D351="","",VLOOKUP(D351,CadProd!$A:$C,3,0)),"")</f>
        <v/>
      </c>
      <c r="I351" s="1" t="str">
        <f t="shared" si="5"/>
        <v/>
      </c>
    </row>
    <row r="352" spans="5:9" x14ac:dyDescent="0.3">
      <c r="E352" t="str">
        <f>IFERROR(IF(D352="","",VLOOKUP(D352,CadProd!$A:$B,2,0)),"")</f>
        <v/>
      </c>
      <c r="F352" t="str">
        <f>IFERROR(IF(D352="","",VLOOKUP(D352,CadProd!$A:$C,3,0)),"")</f>
        <v/>
      </c>
      <c r="I352" s="1" t="str">
        <f t="shared" si="5"/>
        <v/>
      </c>
    </row>
    <row r="353" spans="5:9" x14ac:dyDescent="0.3">
      <c r="E353" t="str">
        <f>IFERROR(IF(D353="","",VLOOKUP(D353,CadProd!$A:$B,2,0)),"")</f>
        <v/>
      </c>
      <c r="F353" t="str">
        <f>IFERROR(IF(D353="","",VLOOKUP(D353,CadProd!$A:$C,3,0)),"")</f>
        <v/>
      </c>
      <c r="I353" s="1" t="str">
        <f t="shared" si="5"/>
        <v/>
      </c>
    </row>
    <row r="354" spans="5:9" x14ac:dyDescent="0.3">
      <c r="E354" t="str">
        <f>IFERROR(IF(D354="","",VLOOKUP(D354,CadProd!$A:$B,2,0)),"")</f>
        <v/>
      </c>
      <c r="F354" t="str">
        <f>IFERROR(IF(D354="","",VLOOKUP(D354,CadProd!$A:$C,3,0)),"")</f>
        <v/>
      </c>
      <c r="I354" s="1" t="str">
        <f t="shared" si="5"/>
        <v/>
      </c>
    </row>
    <row r="355" spans="5:9" x14ac:dyDescent="0.3">
      <c r="E355" t="str">
        <f>IFERROR(IF(D355="","",VLOOKUP(D355,CadProd!$A:$B,2,0)),"")</f>
        <v/>
      </c>
      <c r="F355" t="str">
        <f>IFERROR(IF(D355="","",VLOOKUP(D355,CadProd!$A:$C,3,0)),"")</f>
        <v/>
      </c>
      <c r="I355" s="1" t="str">
        <f t="shared" si="5"/>
        <v/>
      </c>
    </row>
    <row r="356" spans="5:9" x14ac:dyDescent="0.3">
      <c r="E356" t="str">
        <f>IFERROR(IF(D356="","",VLOOKUP(D356,CadProd!$A:$B,2,0)),"")</f>
        <v/>
      </c>
      <c r="F356" t="str">
        <f>IFERROR(IF(D356="","",VLOOKUP(D356,CadProd!$A:$C,3,0)),"")</f>
        <v/>
      </c>
      <c r="I356" s="1" t="str">
        <f t="shared" si="5"/>
        <v/>
      </c>
    </row>
    <row r="357" spans="5:9" x14ac:dyDescent="0.3">
      <c r="E357" t="str">
        <f>IFERROR(IF(D357="","",VLOOKUP(D357,CadProd!$A:$B,2,0)),"")</f>
        <v/>
      </c>
      <c r="F357" t="str">
        <f>IFERROR(IF(D357="","",VLOOKUP(D357,CadProd!$A:$C,3,0)),"")</f>
        <v/>
      </c>
      <c r="I357" s="1" t="str">
        <f t="shared" si="5"/>
        <v/>
      </c>
    </row>
    <row r="358" spans="5:9" x14ac:dyDescent="0.3">
      <c r="E358" t="str">
        <f>IFERROR(IF(D358="","",VLOOKUP(D358,CadProd!$A:$B,2,0)),"")</f>
        <v/>
      </c>
      <c r="F358" t="str">
        <f>IFERROR(IF(D358="","",VLOOKUP(D358,CadProd!$A:$C,3,0)),"")</f>
        <v/>
      </c>
      <c r="I358" s="1" t="str">
        <f t="shared" si="5"/>
        <v/>
      </c>
    </row>
    <row r="359" spans="5:9" x14ac:dyDescent="0.3">
      <c r="E359" t="str">
        <f>IFERROR(IF(D359="","",VLOOKUP(D359,CadProd!$A:$B,2,0)),"")</f>
        <v/>
      </c>
      <c r="F359" t="str">
        <f>IFERROR(IF(D359="","",VLOOKUP(D359,CadProd!$A:$C,3,0)),"")</f>
        <v/>
      </c>
      <c r="I359" s="1" t="str">
        <f t="shared" si="5"/>
        <v/>
      </c>
    </row>
    <row r="360" spans="5:9" x14ac:dyDescent="0.3">
      <c r="E360" t="str">
        <f>IFERROR(IF(D360="","",VLOOKUP(D360,CadProd!$A:$B,2,0)),"")</f>
        <v/>
      </c>
      <c r="F360" t="str">
        <f>IFERROR(IF(D360="","",VLOOKUP(D360,CadProd!$A:$C,3,0)),"")</f>
        <v/>
      </c>
      <c r="I360" s="1" t="str">
        <f t="shared" si="5"/>
        <v/>
      </c>
    </row>
    <row r="361" spans="5:9" x14ac:dyDescent="0.3">
      <c r="E361" t="str">
        <f>IFERROR(IF(D361="","",VLOOKUP(D361,CadProd!$A:$B,2,0)),"")</f>
        <v/>
      </c>
      <c r="F361" t="str">
        <f>IFERROR(IF(D361="","",VLOOKUP(D361,CadProd!$A:$C,3,0)),"")</f>
        <v/>
      </c>
      <c r="I361" s="1" t="str">
        <f t="shared" si="5"/>
        <v/>
      </c>
    </row>
    <row r="362" spans="5:9" x14ac:dyDescent="0.3">
      <c r="E362" t="str">
        <f>IFERROR(IF(D362="","",VLOOKUP(D362,CadProd!$A:$B,2,0)),"")</f>
        <v/>
      </c>
      <c r="F362" t="str">
        <f>IFERROR(IF(D362="","",VLOOKUP(D362,CadProd!$A:$C,3,0)),"")</f>
        <v/>
      </c>
      <c r="I362" s="1" t="str">
        <f t="shared" si="5"/>
        <v/>
      </c>
    </row>
    <row r="363" spans="5:9" x14ac:dyDescent="0.3">
      <c r="E363" t="str">
        <f>IFERROR(IF(D363="","",VLOOKUP(D363,CadProd!$A:$B,2,0)),"")</f>
        <v/>
      </c>
      <c r="F363" t="str">
        <f>IFERROR(IF(D363="","",VLOOKUP(D363,CadProd!$A:$C,3,0)),"")</f>
        <v/>
      </c>
      <c r="I363" s="1" t="str">
        <f t="shared" si="5"/>
        <v/>
      </c>
    </row>
    <row r="364" spans="5:9" x14ac:dyDescent="0.3">
      <c r="E364" t="str">
        <f>IFERROR(IF(D364="","",VLOOKUP(D364,CadProd!$A:$B,2,0)),"")</f>
        <v/>
      </c>
      <c r="F364" t="str">
        <f>IFERROR(IF(D364="","",VLOOKUP(D364,CadProd!$A:$C,3,0)),"")</f>
        <v/>
      </c>
      <c r="I364" s="1" t="str">
        <f t="shared" si="5"/>
        <v/>
      </c>
    </row>
    <row r="365" spans="5:9" x14ac:dyDescent="0.3">
      <c r="E365" t="str">
        <f>IFERROR(IF(D365="","",VLOOKUP(D365,CadProd!$A:$B,2,0)),"")</f>
        <v/>
      </c>
      <c r="F365" t="str">
        <f>IFERROR(IF(D365="","",VLOOKUP(D365,CadProd!$A:$C,3,0)),"")</f>
        <v/>
      </c>
      <c r="I365" s="1" t="str">
        <f t="shared" si="5"/>
        <v/>
      </c>
    </row>
    <row r="366" spans="5:9" x14ac:dyDescent="0.3">
      <c r="E366" t="str">
        <f>IFERROR(IF(D366="","",VLOOKUP(D366,CadProd!$A:$B,2,0)),"")</f>
        <v/>
      </c>
      <c r="F366" t="str">
        <f>IFERROR(IF(D366="","",VLOOKUP(D366,CadProd!$A:$C,3,0)),"")</f>
        <v/>
      </c>
      <c r="I366" s="1" t="str">
        <f t="shared" si="5"/>
        <v/>
      </c>
    </row>
    <row r="367" spans="5:9" x14ac:dyDescent="0.3">
      <c r="E367" t="str">
        <f>IFERROR(IF(D367="","",VLOOKUP(D367,CadProd!$A:$B,2,0)),"")</f>
        <v/>
      </c>
      <c r="F367" t="str">
        <f>IFERROR(IF(D367="","",VLOOKUP(D367,CadProd!$A:$C,3,0)),"")</f>
        <v/>
      </c>
      <c r="I367" s="1" t="str">
        <f t="shared" si="5"/>
        <v/>
      </c>
    </row>
    <row r="368" spans="5:9" x14ac:dyDescent="0.3">
      <c r="E368" t="str">
        <f>IFERROR(IF(D368="","",VLOOKUP(D368,CadProd!$A:$B,2,0)),"")</f>
        <v/>
      </c>
      <c r="F368" t="str">
        <f>IFERROR(IF(D368="","",VLOOKUP(D368,CadProd!$A:$C,3,0)),"")</f>
        <v/>
      </c>
      <c r="I368" s="1" t="str">
        <f t="shared" si="5"/>
        <v/>
      </c>
    </row>
    <row r="369" spans="5:9" x14ac:dyDescent="0.3">
      <c r="E369" t="str">
        <f>IFERROR(IF(D369="","",VLOOKUP(D369,CadProd!$A:$B,2,0)),"")</f>
        <v/>
      </c>
      <c r="F369" t="str">
        <f>IFERROR(IF(D369="","",VLOOKUP(D369,CadProd!$A:$C,3,0)),"")</f>
        <v/>
      </c>
      <c r="I369" s="1" t="str">
        <f t="shared" si="5"/>
        <v/>
      </c>
    </row>
    <row r="370" spans="5:9" x14ac:dyDescent="0.3">
      <c r="E370" t="str">
        <f>IFERROR(IF(D370="","",VLOOKUP(D370,CadProd!$A:$B,2,0)),"")</f>
        <v/>
      </c>
      <c r="F370" t="str">
        <f>IFERROR(IF(D370="","",VLOOKUP(D370,CadProd!$A:$C,3,0)),"")</f>
        <v/>
      </c>
      <c r="I370" s="1" t="str">
        <f t="shared" si="5"/>
        <v/>
      </c>
    </row>
    <row r="371" spans="5:9" x14ac:dyDescent="0.3">
      <c r="E371" t="str">
        <f>IFERROR(IF(D371="","",VLOOKUP(D371,CadProd!$A:$B,2,0)),"")</f>
        <v/>
      </c>
      <c r="F371" t="str">
        <f>IFERROR(IF(D371="","",VLOOKUP(D371,CadProd!$A:$C,3,0)),"")</f>
        <v/>
      </c>
      <c r="I371" s="1" t="str">
        <f t="shared" si="5"/>
        <v/>
      </c>
    </row>
    <row r="372" spans="5:9" x14ac:dyDescent="0.3">
      <c r="E372" t="str">
        <f>IFERROR(IF(D372="","",VLOOKUP(D372,CadProd!$A:$B,2,0)),"")</f>
        <v/>
      </c>
      <c r="F372" t="str">
        <f>IFERROR(IF(D372="","",VLOOKUP(D372,CadProd!$A:$C,3,0)),"")</f>
        <v/>
      </c>
      <c r="I372" s="1" t="str">
        <f t="shared" si="5"/>
        <v/>
      </c>
    </row>
    <row r="373" spans="5:9" x14ac:dyDescent="0.3">
      <c r="E373" t="str">
        <f>IFERROR(IF(D373="","",VLOOKUP(D373,CadProd!$A:$B,2,0)),"")</f>
        <v/>
      </c>
      <c r="F373" t="str">
        <f>IFERROR(IF(D373="","",VLOOKUP(D373,CadProd!$A:$C,3,0)),"")</f>
        <v/>
      </c>
      <c r="I373" s="1" t="str">
        <f t="shared" si="5"/>
        <v/>
      </c>
    </row>
    <row r="374" spans="5:9" x14ac:dyDescent="0.3">
      <c r="E374" t="str">
        <f>IFERROR(IF(D374="","",VLOOKUP(D374,CadProd!$A:$B,2,0)),"")</f>
        <v/>
      </c>
      <c r="F374" t="str">
        <f>IFERROR(IF(D374="","",VLOOKUP(D374,CadProd!$A:$C,3,0)),"")</f>
        <v/>
      </c>
      <c r="I374" s="1" t="str">
        <f t="shared" si="5"/>
        <v/>
      </c>
    </row>
    <row r="375" spans="5:9" x14ac:dyDescent="0.3">
      <c r="E375" t="str">
        <f>IFERROR(IF(D375="","",VLOOKUP(D375,CadProd!$A:$B,2,0)),"")</f>
        <v/>
      </c>
      <c r="F375" t="str">
        <f>IFERROR(IF(D375="","",VLOOKUP(D375,CadProd!$A:$C,3,0)),"")</f>
        <v/>
      </c>
      <c r="I375" s="1" t="str">
        <f t="shared" si="5"/>
        <v/>
      </c>
    </row>
    <row r="376" spans="5:9" x14ac:dyDescent="0.3">
      <c r="E376" t="str">
        <f>IFERROR(IF(D376="","",VLOOKUP(D376,CadProd!$A:$B,2,0)),"")</f>
        <v/>
      </c>
      <c r="F376" t="str">
        <f>IFERROR(IF(D376="","",VLOOKUP(D376,CadProd!$A:$C,3,0)),"")</f>
        <v/>
      </c>
      <c r="I376" s="1" t="str">
        <f t="shared" si="5"/>
        <v/>
      </c>
    </row>
    <row r="377" spans="5:9" x14ac:dyDescent="0.3">
      <c r="E377" t="str">
        <f>IFERROR(IF(D377="","",VLOOKUP(D377,CadProd!$A:$B,2,0)),"")</f>
        <v/>
      </c>
      <c r="F377" t="str">
        <f>IFERROR(IF(D377="","",VLOOKUP(D377,CadProd!$A:$C,3,0)),"")</f>
        <v/>
      </c>
      <c r="I377" s="1" t="str">
        <f t="shared" si="5"/>
        <v/>
      </c>
    </row>
    <row r="378" spans="5:9" x14ac:dyDescent="0.3">
      <c r="E378" t="str">
        <f>IFERROR(IF(D378="","",VLOOKUP(D378,CadProd!$A:$B,2,0)),"")</f>
        <v/>
      </c>
      <c r="F378" t="str">
        <f>IFERROR(IF(D378="","",VLOOKUP(D378,CadProd!$A:$C,3,0)),"")</f>
        <v/>
      </c>
      <c r="I378" s="1" t="str">
        <f t="shared" si="5"/>
        <v/>
      </c>
    </row>
    <row r="379" spans="5:9" x14ac:dyDescent="0.3">
      <c r="E379" t="str">
        <f>IFERROR(IF(D379="","",VLOOKUP(D379,CadProd!$A:$B,2,0)),"")</f>
        <v/>
      </c>
      <c r="F379" t="str">
        <f>IFERROR(IF(D379="","",VLOOKUP(D379,CadProd!$A:$C,3,0)),"")</f>
        <v/>
      </c>
      <c r="I379" s="1" t="str">
        <f t="shared" si="5"/>
        <v/>
      </c>
    </row>
    <row r="380" spans="5:9" x14ac:dyDescent="0.3">
      <c r="E380" t="str">
        <f>IFERROR(IF(D380="","",VLOOKUP(D380,CadProd!$A:$B,2,0)),"")</f>
        <v/>
      </c>
      <c r="F380" t="str">
        <f>IFERROR(IF(D380="","",VLOOKUP(D380,CadProd!$A:$C,3,0)),"")</f>
        <v/>
      </c>
      <c r="I380" s="1" t="str">
        <f t="shared" si="5"/>
        <v/>
      </c>
    </row>
    <row r="381" spans="5:9" x14ac:dyDescent="0.3">
      <c r="E381" t="str">
        <f>IFERROR(IF(D381="","",VLOOKUP(D381,CadProd!$A:$B,2,0)),"")</f>
        <v/>
      </c>
      <c r="F381" t="str">
        <f>IFERROR(IF(D381="","",VLOOKUP(D381,CadProd!$A:$C,3,0)),"")</f>
        <v/>
      </c>
      <c r="I381" s="1" t="str">
        <f t="shared" si="5"/>
        <v/>
      </c>
    </row>
    <row r="382" spans="5:9" x14ac:dyDescent="0.3">
      <c r="E382" t="str">
        <f>IFERROR(IF(D382="","",VLOOKUP(D382,CadProd!$A:$B,2,0)),"")</f>
        <v/>
      </c>
      <c r="F382" t="str">
        <f>IFERROR(IF(D382="","",VLOOKUP(D382,CadProd!$A:$C,3,0)),"")</f>
        <v/>
      </c>
      <c r="I382" s="1" t="str">
        <f t="shared" si="5"/>
        <v/>
      </c>
    </row>
    <row r="383" spans="5:9" x14ac:dyDescent="0.3">
      <c r="E383" t="str">
        <f>IFERROR(IF(D383="","",VLOOKUP(D383,CadProd!$A:$B,2,0)),"")</f>
        <v/>
      </c>
      <c r="F383" t="str">
        <f>IFERROR(IF(D383="","",VLOOKUP(D383,CadProd!$A:$C,3,0)),"")</f>
        <v/>
      </c>
      <c r="I383" s="1" t="str">
        <f t="shared" si="5"/>
        <v/>
      </c>
    </row>
    <row r="384" spans="5:9" x14ac:dyDescent="0.3">
      <c r="E384" t="str">
        <f>IFERROR(IF(D384="","",VLOOKUP(D384,CadProd!$A:$B,2,0)),"")</f>
        <v/>
      </c>
      <c r="F384" t="str">
        <f>IFERROR(IF(D384="","",VLOOKUP(D384,CadProd!$A:$C,3,0)),"")</f>
        <v/>
      </c>
      <c r="I384" s="1" t="str">
        <f t="shared" si="5"/>
        <v/>
      </c>
    </row>
    <row r="385" spans="5:9" x14ac:dyDescent="0.3">
      <c r="E385" t="str">
        <f>IFERROR(IF(D385="","",VLOOKUP(D385,CadProd!$A:$B,2,0)),"")</f>
        <v/>
      </c>
      <c r="F385" t="str">
        <f>IFERROR(IF(D385="","",VLOOKUP(D385,CadProd!$A:$C,3,0)),"")</f>
        <v/>
      </c>
      <c r="I385" s="1" t="str">
        <f t="shared" si="5"/>
        <v/>
      </c>
    </row>
    <row r="386" spans="5:9" x14ac:dyDescent="0.3">
      <c r="E386" t="str">
        <f>IFERROR(IF(D386="","",VLOOKUP(D386,CadProd!$A:$B,2,0)),"")</f>
        <v/>
      </c>
      <c r="F386" t="str">
        <f>IFERROR(IF(D386="","",VLOOKUP(D386,CadProd!$A:$C,3,0)),"")</f>
        <v/>
      </c>
      <c r="I386" s="1" t="str">
        <f t="shared" si="5"/>
        <v/>
      </c>
    </row>
    <row r="387" spans="5:9" x14ac:dyDescent="0.3">
      <c r="E387" t="str">
        <f>IFERROR(IF(D387="","",VLOOKUP(D387,CadProd!$A:$B,2,0)),"")</f>
        <v/>
      </c>
      <c r="F387" t="str">
        <f>IFERROR(IF(D387="","",VLOOKUP(D387,CadProd!$A:$C,3,0)),"")</f>
        <v/>
      </c>
      <c r="I387" s="1" t="str">
        <f t="shared" si="5"/>
        <v/>
      </c>
    </row>
    <row r="388" spans="5:9" x14ac:dyDescent="0.3">
      <c r="E388" t="str">
        <f>IFERROR(IF(D388="","",VLOOKUP(D388,CadProd!$A:$B,2,0)),"")</f>
        <v/>
      </c>
      <c r="F388" t="str">
        <f>IFERROR(IF(D388="","",VLOOKUP(D388,CadProd!$A:$C,3,0)),"")</f>
        <v/>
      </c>
      <c r="I388" s="1" t="str">
        <f t="shared" si="5"/>
        <v/>
      </c>
    </row>
    <row r="389" spans="5:9" x14ac:dyDescent="0.3">
      <c r="E389" t="str">
        <f>IFERROR(IF(D389="","",VLOOKUP(D389,CadProd!$A:$B,2,0)),"")</f>
        <v/>
      </c>
      <c r="F389" t="str">
        <f>IFERROR(IF(D389="","",VLOOKUP(D389,CadProd!$A:$C,3,0)),"")</f>
        <v/>
      </c>
      <c r="I389" s="1" t="str">
        <f t="shared" si="5"/>
        <v/>
      </c>
    </row>
    <row r="390" spans="5:9" x14ac:dyDescent="0.3">
      <c r="E390" t="str">
        <f>IFERROR(IF(D390="","",VLOOKUP(D390,CadProd!$A:$B,2,0)),"")</f>
        <v/>
      </c>
      <c r="F390" t="str">
        <f>IFERROR(IF(D390="","",VLOOKUP(D390,CadProd!$A:$C,3,0)),"")</f>
        <v/>
      </c>
      <c r="I390" s="1" t="str">
        <f t="shared" si="5"/>
        <v/>
      </c>
    </row>
    <row r="391" spans="5:9" x14ac:dyDescent="0.3">
      <c r="E391" t="str">
        <f>IFERROR(IF(D391="","",VLOOKUP(D391,CadProd!$A:$B,2,0)),"")</f>
        <v/>
      </c>
      <c r="F391" t="str">
        <f>IFERROR(IF(D391="","",VLOOKUP(D391,CadProd!$A:$C,3,0)),"")</f>
        <v/>
      </c>
      <c r="I391" s="1" t="str">
        <f t="shared" si="5"/>
        <v/>
      </c>
    </row>
    <row r="392" spans="5:9" x14ac:dyDescent="0.3">
      <c r="E392" t="str">
        <f>IFERROR(IF(D392="","",VLOOKUP(D392,CadProd!$A:$B,2,0)),"")</f>
        <v/>
      </c>
      <c r="F392" t="str">
        <f>IFERROR(IF(D392="","",VLOOKUP(D392,CadProd!$A:$C,3,0)),"")</f>
        <v/>
      </c>
      <c r="I392" s="1" t="str">
        <f t="shared" si="5"/>
        <v/>
      </c>
    </row>
    <row r="393" spans="5:9" x14ac:dyDescent="0.3">
      <c r="E393" t="str">
        <f>IFERROR(IF(D393="","",VLOOKUP(D393,CadProd!$A:$B,2,0)),"")</f>
        <v/>
      </c>
      <c r="F393" t="str">
        <f>IFERROR(IF(D393="","",VLOOKUP(D393,CadProd!$A:$C,3,0)),"")</f>
        <v/>
      </c>
      <c r="I393" s="1" t="str">
        <f t="shared" si="5"/>
        <v/>
      </c>
    </row>
    <row r="394" spans="5:9" x14ac:dyDescent="0.3">
      <c r="E394" t="str">
        <f>IFERROR(IF(D394="","",VLOOKUP(D394,CadProd!$A:$B,2,0)),"")</f>
        <v/>
      </c>
      <c r="F394" t="str">
        <f>IFERROR(IF(D394="","",VLOOKUP(D394,CadProd!$A:$C,3,0)),"")</f>
        <v/>
      </c>
      <c r="I394" s="1" t="str">
        <f t="shared" si="5"/>
        <v/>
      </c>
    </row>
    <row r="395" spans="5:9" x14ac:dyDescent="0.3">
      <c r="E395" t="str">
        <f>IFERROR(IF(D395="","",VLOOKUP(D395,CadProd!$A:$B,2,0)),"")</f>
        <v/>
      </c>
      <c r="F395" t="str">
        <f>IFERROR(IF(D395="","",VLOOKUP(D395,CadProd!$A:$C,3,0)),"")</f>
        <v/>
      </c>
      <c r="I395" s="1" t="str">
        <f t="shared" ref="I395:I458" si="6">IFERROR(IF(D395="","",H395*G395),"")</f>
        <v/>
      </c>
    </row>
    <row r="396" spans="5:9" x14ac:dyDescent="0.3">
      <c r="E396" t="str">
        <f>IFERROR(IF(D396="","",VLOOKUP(D396,CadProd!$A:$B,2,0)),"")</f>
        <v/>
      </c>
      <c r="F396" t="str">
        <f>IFERROR(IF(D396="","",VLOOKUP(D396,CadProd!$A:$C,3,0)),"")</f>
        <v/>
      </c>
      <c r="I396" s="1" t="str">
        <f t="shared" si="6"/>
        <v/>
      </c>
    </row>
    <row r="397" spans="5:9" x14ac:dyDescent="0.3">
      <c r="E397" t="str">
        <f>IFERROR(IF(D397="","",VLOOKUP(D397,CadProd!$A:$B,2,0)),"")</f>
        <v/>
      </c>
      <c r="F397" t="str">
        <f>IFERROR(IF(D397="","",VLOOKUP(D397,CadProd!$A:$C,3,0)),"")</f>
        <v/>
      </c>
      <c r="I397" s="1" t="str">
        <f t="shared" si="6"/>
        <v/>
      </c>
    </row>
    <row r="398" spans="5:9" x14ac:dyDescent="0.3">
      <c r="E398" t="str">
        <f>IFERROR(IF(D398="","",VLOOKUP(D398,CadProd!$A:$B,2,0)),"")</f>
        <v/>
      </c>
      <c r="F398" t="str">
        <f>IFERROR(IF(D398="","",VLOOKUP(D398,CadProd!$A:$C,3,0)),"")</f>
        <v/>
      </c>
      <c r="I398" s="1" t="str">
        <f t="shared" si="6"/>
        <v/>
      </c>
    </row>
    <row r="399" spans="5:9" x14ac:dyDescent="0.3">
      <c r="E399" t="str">
        <f>IFERROR(IF(D399="","",VLOOKUP(D399,CadProd!$A:$B,2,0)),"")</f>
        <v/>
      </c>
      <c r="F399" t="str">
        <f>IFERROR(IF(D399="","",VLOOKUP(D399,CadProd!$A:$C,3,0)),"")</f>
        <v/>
      </c>
      <c r="I399" s="1" t="str">
        <f t="shared" si="6"/>
        <v/>
      </c>
    </row>
    <row r="400" spans="5:9" x14ac:dyDescent="0.3">
      <c r="E400" t="str">
        <f>IFERROR(IF(D400="","",VLOOKUP(D400,CadProd!$A:$B,2,0)),"")</f>
        <v/>
      </c>
      <c r="F400" t="str">
        <f>IFERROR(IF(D400="","",VLOOKUP(D400,CadProd!$A:$C,3,0)),"")</f>
        <v/>
      </c>
      <c r="I400" s="1" t="str">
        <f t="shared" si="6"/>
        <v/>
      </c>
    </row>
    <row r="401" spans="5:9" x14ac:dyDescent="0.3">
      <c r="E401" t="str">
        <f>IFERROR(IF(D401="","",VLOOKUP(D401,CadProd!$A:$B,2,0)),"")</f>
        <v/>
      </c>
      <c r="F401" t="str">
        <f>IFERROR(IF(D401="","",VLOOKUP(D401,CadProd!$A:$C,3,0)),"")</f>
        <v/>
      </c>
      <c r="I401" s="1" t="str">
        <f t="shared" si="6"/>
        <v/>
      </c>
    </row>
    <row r="402" spans="5:9" x14ac:dyDescent="0.3">
      <c r="E402" t="str">
        <f>IFERROR(IF(D402="","",VLOOKUP(D402,CadProd!$A:$B,2,0)),"")</f>
        <v/>
      </c>
      <c r="F402" t="str">
        <f>IFERROR(IF(D402="","",VLOOKUP(D402,CadProd!$A:$C,3,0)),"")</f>
        <v/>
      </c>
      <c r="I402" s="1" t="str">
        <f t="shared" si="6"/>
        <v/>
      </c>
    </row>
    <row r="403" spans="5:9" x14ac:dyDescent="0.3">
      <c r="E403" t="str">
        <f>IFERROR(IF(D403="","",VLOOKUP(D403,CadProd!$A:$B,2,0)),"")</f>
        <v/>
      </c>
      <c r="F403" t="str">
        <f>IFERROR(IF(D403="","",VLOOKUP(D403,CadProd!$A:$C,3,0)),"")</f>
        <v/>
      </c>
      <c r="I403" s="1" t="str">
        <f t="shared" si="6"/>
        <v/>
      </c>
    </row>
    <row r="404" spans="5:9" x14ac:dyDescent="0.3">
      <c r="E404" t="str">
        <f>IFERROR(IF(D404="","",VLOOKUP(D404,CadProd!$A:$B,2,0)),"")</f>
        <v/>
      </c>
      <c r="F404" t="str">
        <f>IFERROR(IF(D404="","",VLOOKUP(D404,CadProd!$A:$C,3,0)),"")</f>
        <v/>
      </c>
      <c r="I404" s="1" t="str">
        <f t="shared" si="6"/>
        <v/>
      </c>
    </row>
    <row r="405" spans="5:9" x14ac:dyDescent="0.3">
      <c r="E405" t="str">
        <f>IFERROR(IF(D405="","",VLOOKUP(D405,CadProd!$A:$B,2,0)),"")</f>
        <v/>
      </c>
      <c r="F405" t="str">
        <f>IFERROR(IF(D405="","",VLOOKUP(D405,CadProd!$A:$C,3,0)),"")</f>
        <v/>
      </c>
      <c r="I405" s="1" t="str">
        <f t="shared" si="6"/>
        <v/>
      </c>
    </row>
    <row r="406" spans="5:9" x14ac:dyDescent="0.3">
      <c r="E406" t="str">
        <f>IFERROR(IF(D406="","",VLOOKUP(D406,CadProd!$A:$B,2,0)),"")</f>
        <v/>
      </c>
      <c r="F406" t="str">
        <f>IFERROR(IF(D406="","",VLOOKUP(D406,CadProd!$A:$C,3,0)),"")</f>
        <v/>
      </c>
      <c r="I406" s="1" t="str">
        <f t="shared" si="6"/>
        <v/>
      </c>
    </row>
    <row r="407" spans="5:9" x14ac:dyDescent="0.3">
      <c r="E407" t="str">
        <f>IFERROR(IF(D407="","",VLOOKUP(D407,CadProd!$A:$B,2,0)),"")</f>
        <v/>
      </c>
      <c r="F407" t="str">
        <f>IFERROR(IF(D407="","",VLOOKUP(D407,CadProd!$A:$C,3,0)),"")</f>
        <v/>
      </c>
      <c r="I407" s="1" t="str">
        <f t="shared" si="6"/>
        <v/>
      </c>
    </row>
    <row r="408" spans="5:9" x14ac:dyDescent="0.3">
      <c r="E408" t="str">
        <f>IFERROR(IF(D408="","",VLOOKUP(D408,CadProd!$A:$B,2,0)),"")</f>
        <v/>
      </c>
      <c r="F408" t="str">
        <f>IFERROR(IF(D408="","",VLOOKUP(D408,CadProd!$A:$C,3,0)),"")</f>
        <v/>
      </c>
      <c r="I408" s="1" t="str">
        <f t="shared" si="6"/>
        <v/>
      </c>
    </row>
    <row r="409" spans="5:9" x14ac:dyDescent="0.3">
      <c r="E409" t="str">
        <f>IFERROR(IF(D409="","",VLOOKUP(D409,CadProd!$A:$B,2,0)),"")</f>
        <v/>
      </c>
      <c r="F409" t="str">
        <f>IFERROR(IF(D409="","",VLOOKUP(D409,CadProd!$A:$C,3,0)),"")</f>
        <v/>
      </c>
      <c r="I409" s="1" t="str">
        <f t="shared" si="6"/>
        <v/>
      </c>
    </row>
    <row r="410" spans="5:9" x14ac:dyDescent="0.3">
      <c r="E410" t="str">
        <f>IFERROR(IF(D410="","",VLOOKUP(D410,CadProd!$A:$B,2,0)),"")</f>
        <v/>
      </c>
      <c r="F410" t="str">
        <f>IFERROR(IF(D410="","",VLOOKUP(D410,CadProd!$A:$C,3,0)),"")</f>
        <v/>
      </c>
      <c r="I410" s="1" t="str">
        <f t="shared" si="6"/>
        <v/>
      </c>
    </row>
    <row r="411" spans="5:9" x14ac:dyDescent="0.3">
      <c r="E411" t="str">
        <f>IFERROR(IF(D411="","",VLOOKUP(D411,CadProd!$A:$B,2,0)),"")</f>
        <v/>
      </c>
      <c r="F411" t="str">
        <f>IFERROR(IF(D411="","",VLOOKUP(D411,CadProd!$A:$C,3,0)),"")</f>
        <v/>
      </c>
      <c r="I411" s="1" t="str">
        <f t="shared" si="6"/>
        <v/>
      </c>
    </row>
    <row r="412" spans="5:9" x14ac:dyDescent="0.3">
      <c r="E412" t="str">
        <f>IFERROR(IF(D412="","",VLOOKUP(D412,CadProd!$A:$B,2,0)),"")</f>
        <v/>
      </c>
      <c r="F412" t="str">
        <f>IFERROR(IF(D412="","",VLOOKUP(D412,CadProd!$A:$C,3,0)),"")</f>
        <v/>
      </c>
      <c r="I412" s="1" t="str">
        <f t="shared" si="6"/>
        <v/>
      </c>
    </row>
    <row r="413" spans="5:9" x14ac:dyDescent="0.3">
      <c r="E413" t="str">
        <f>IFERROR(IF(D413="","",VLOOKUP(D413,CadProd!$A:$B,2,0)),"")</f>
        <v/>
      </c>
      <c r="F413" t="str">
        <f>IFERROR(IF(D413="","",VLOOKUP(D413,CadProd!$A:$C,3,0)),"")</f>
        <v/>
      </c>
      <c r="I413" s="1" t="str">
        <f t="shared" si="6"/>
        <v/>
      </c>
    </row>
    <row r="414" spans="5:9" x14ac:dyDescent="0.3">
      <c r="E414" t="str">
        <f>IFERROR(IF(D414="","",VLOOKUP(D414,CadProd!$A:$B,2,0)),"")</f>
        <v/>
      </c>
      <c r="F414" t="str">
        <f>IFERROR(IF(D414="","",VLOOKUP(D414,CadProd!$A:$C,3,0)),"")</f>
        <v/>
      </c>
      <c r="I414" s="1" t="str">
        <f t="shared" si="6"/>
        <v/>
      </c>
    </row>
    <row r="415" spans="5:9" x14ac:dyDescent="0.3">
      <c r="E415" t="str">
        <f>IFERROR(IF(D415="","",VLOOKUP(D415,CadProd!$A:$B,2,0)),"")</f>
        <v/>
      </c>
      <c r="F415" t="str">
        <f>IFERROR(IF(D415="","",VLOOKUP(D415,CadProd!$A:$C,3,0)),"")</f>
        <v/>
      </c>
      <c r="I415" s="1" t="str">
        <f t="shared" si="6"/>
        <v/>
      </c>
    </row>
    <row r="416" spans="5:9" x14ac:dyDescent="0.3">
      <c r="E416" t="str">
        <f>IFERROR(IF(D416="","",VLOOKUP(D416,CadProd!$A:$B,2,0)),"")</f>
        <v/>
      </c>
      <c r="F416" t="str">
        <f>IFERROR(IF(D416="","",VLOOKUP(D416,CadProd!$A:$C,3,0)),"")</f>
        <v/>
      </c>
      <c r="I416" s="1" t="str">
        <f t="shared" si="6"/>
        <v/>
      </c>
    </row>
    <row r="417" spans="5:9" x14ac:dyDescent="0.3">
      <c r="E417" t="str">
        <f>IFERROR(IF(D417="","",VLOOKUP(D417,CadProd!$A:$B,2,0)),"")</f>
        <v/>
      </c>
      <c r="F417" t="str">
        <f>IFERROR(IF(D417="","",VLOOKUP(D417,CadProd!$A:$C,3,0)),"")</f>
        <v/>
      </c>
      <c r="I417" s="1" t="str">
        <f t="shared" si="6"/>
        <v/>
      </c>
    </row>
    <row r="418" spans="5:9" x14ac:dyDescent="0.3">
      <c r="E418" t="str">
        <f>IFERROR(IF(D418="","",VLOOKUP(D418,CadProd!$A:$B,2,0)),"")</f>
        <v/>
      </c>
      <c r="F418" t="str">
        <f>IFERROR(IF(D418="","",VLOOKUP(D418,CadProd!$A:$C,3,0)),"")</f>
        <v/>
      </c>
      <c r="I418" s="1" t="str">
        <f t="shared" si="6"/>
        <v/>
      </c>
    </row>
    <row r="419" spans="5:9" x14ac:dyDescent="0.3">
      <c r="E419" t="str">
        <f>IFERROR(IF(D419="","",VLOOKUP(D419,CadProd!$A:$B,2,0)),"")</f>
        <v/>
      </c>
      <c r="F419" t="str">
        <f>IFERROR(IF(D419="","",VLOOKUP(D419,CadProd!$A:$C,3,0)),"")</f>
        <v/>
      </c>
      <c r="I419" s="1" t="str">
        <f t="shared" si="6"/>
        <v/>
      </c>
    </row>
    <row r="420" spans="5:9" x14ac:dyDescent="0.3">
      <c r="E420" t="str">
        <f>IFERROR(IF(D420="","",VLOOKUP(D420,CadProd!$A:$B,2,0)),"")</f>
        <v/>
      </c>
      <c r="F420" t="str">
        <f>IFERROR(IF(D420="","",VLOOKUP(D420,CadProd!$A:$C,3,0)),"")</f>
        <v/>
      </c>
      <c r="I420" s="1" t="str">
        <f t="shared" si="6"/>
        <v/>
      </c>
    </row>
    <row r="421" spans="5:9" x14ac:dyDescent="0.3">
      <c r="E421" t="str">
        <f>IFERROR(IF(D421="","",VLOOKUP(D421,CadProd!$A:$B,2,0)),"")</f>
        <v/>
      </c>
      <c r="F421" t="str">
        <f>IFERROR(IF(D421="","",VLOOKUP(D421,CadProd!$A:$C,3,0)),"")</f>
        <v/>
      </c>
      <c r="I421" s="1" t="str">
        <f t="shared" si="6"/>
        <v/>
      </c>
    </row>
    <row r="422" spans="5:9" x14ac:dyDescent="0.3">
      <c r="E422" t="str">
        <f>IFERROR(IF(D422="","",VLOOKUP(D422,CadProd!$A:$B,2,0)),"")</f>
        <v/>
      </c>
      <c r="F422" t="str">
        <f>IFERROR(IF(D422="","",VLOOKUP(D422,CadProd!$A:$C,3,0)),"")</f>
        <v/>
      </c>
      <c r="I422" s="1" t="str">
        <f t="shared" si="6"/>
        <v/>
      </c>
    </row>
    <row r="423" spans="5:9" x14ac:dyDescent="0.3">
      <c r="E423" t="str">
        <f>IFERROR(IF(D423="","",VLOOKUP(D423,CadProd!$A:$B,2,0)),"")</f>
        <v/>
      </c>
      <c r="F423" t="str">
        <f>IFERROR(IF(D423="","",VLOOKUP(D423,CadProd!$A:$C,3,0)),"")</f>
        <v/>
      </c>
      <c r="I423" s="1" t="str">
        <f t="shared" si="6"/>
        <v/>
      </c>
    </row>
    <row r="424" spans="5:9" x14ac:dyDescent="0.3">
      <c r="E424" t="str">
        <f>IFERROR(IF(D424="","",VLOOKUP(D424,CadProd!$A:$B,2,0)),"")</f>
        <v/>
      </c>
      <c r="F424" t="str">
        <f>IFERROR(IF(D424="","",VLOOKUP(D424,CadProd!$A:$C,3,0)),"")</f>
        <v/>
      </c>
      <c r="I424" s="1" t="str">
        <f t="shared" si="6"/>
        <v/>
      </c>
    </row>
    <row r="425" spans="5:9" x14ac:dyDescent="0.3">
      <c r="E425" t="str">
        <f>IFERROR(IF(D425="","",VLOOKUP(D425,CadProd!$A:$B,2,0)),"")</f>
        <v/>
      </c>
      <c r="F425" t="str">
        <f>IFERROR(IF(D425="","",VLOOKUP(D425,CadProd!$A:$C,3,0)),"")</f>
        <v/>
      </c>
      <c r="I425" s="1" t="str">
        <f t="shared" si="6"/>
        <v/>
      </c>
    </row>
    <row r="426" spans="5:9" x14ac:dyDescent="0.3">
      <c r="E426" t="str">
        <f>IFERROR(IF(D426="","",VLOOKUP(D426,CadProd!$A:$B,2,0)),"")</f>
        <v/>
      </c>
      <c r="F426" t="str">
        <f>IFERROR(IF(D426="","",VLOOKUP(D426,CadProd!$A:$C,3,0)),"")</f>
        <v/>
      </c>
      <c r="I426" s="1" t="str">
        <f t="shared" si="6"/>
        <v/>
      </c>
    </row>
    <row r="427" spans="5:9" x14ac:dyDescent="0.3">
      <c r="E427" t="str">
        <f>IFERROR(IF(D427="","",VLOOKUP(D427,CadProd!$A:$B,2,0)),"")</f>
        <v/>
      </c>
      <c r="F427" t="str">
        <f>IFERROR(IF(D427="","",VLOOKUP(D427,CadProd!$A:$C,3,0)),"")</f>
        <v/>
      </c>
      <c r="I427" s="1" t="str">
        <f t="shared" si="6"/>
        <v/>
      </c>
    </row>
    <row r="428" spans="5:9" x14ac:dyDescent="0.3">
      <c r="E428" t="str">
        <f>IFERROR(IF(D428="","",VLOOKUP(D428,CadProd!$A:$B,2,0)),"")</f>
        <v/>
      </c>
      <c r="F428" t="str">
        <f>IFERROR(IF(D428="","",VLOOKUP(D428,CadProd!$A:$C,3,0)),"")</f>
        <v/>
      </c>
      <c r="I428" s="1" t="str">
        <f t="shared" si="6"/>
        <v/>
      </c>
    </row>
    <row r="429" spans="5:9" x14ac:dyDescent="0.3">
      <c r="E429" t="str">
        <f>IFERROR(IF(D429="","",VLOOKUP(D429,CadProd!$A:$B,2,0)),"")</f>
        <v/>
      </c>
      <c r="F429" t="str">
        <f>IFERROR(IF(D429="","",VLOOKUP(D429,CadProd!$A:$C,3,0)),"")</f>
        <v/>
      </c>
      <c r="I429" s="1" t="str">
        <f t="shared" si="6"/>
        <v/>
      </c>
    </row>
    <row r="430" spans="5:9" x14ac:dyDescent="0.3">
      <c r="E430" t="str">
        <f>IFERROR(IF(D430="","",VLOOKUP(D430,CadProd!$A:$B,2,0)),"")</f>
        <v/>
      </c>
      <c r="F430" t="str">
        <f>IFERROR(IF(D430="","",VLOOKUP(D430,CadProd!$A:$C,3,0)),"")</f>
        <v/>
      </c>
      <c r="I430" s="1" t="str">
        <f t="shared" si="6"/>
        <v/>
      </c>
    </row>
    <row r="431" spans="5:9" x14ac:dyDescent="0.3">
      <c r="E431" t="str">
        <f>IFERROR(IF(D431="","",VLOOKUP(D431,CadProd!$A:$B,2,0)),"")</f>
        <v/>
      </c>
      <c r="F431" t="str">
        <f>IFERROR(IF(D431="","",VLOOKUP(D431,CadProd!$A:$C,3,0)),"")</f>
        <v/>
      </c>
      <c r="I431" s="1" t="str">
        <f t="shared" si="6"/>
        <v/>
      </c>
    </row>
    <row r="432" spans="5:9" x14ac:dyDescent="0.3">
      <c r="E432" t="str">
        <f>IFERROR(IF(D432="","",VLOOKUP(D432,CadProd!$A:$B,2,0)),"")</f>
        <v/>
      </c>
      <c r="F432" t="str">
        <f>IFERROR(IF(D432="","",VLOOKUP(D432,CadProd!$A:$C,3,0)),"")</f>
        <v/>
      </c>
      <c r="I432" s="1" t="str">
        <f t="shared" si="6"/>
        <v/>
      </c>
    </row>
    <row r="433" spans="5:9" x14ac:dyDescent="0.3">
      <c r="E433" t="str">
        <f>IFERROR(IF(D433="","",VLOOKUP(D433,CadProd!$A:$B,2,0)),"")</f>
        <v/>
      </c>
      <c r="F433" t="str">
        <f>IFERROR(IF(D433="","",VLOOKUP(D433,CadProd!$A:$C,3,0)),"")</f>
        <v/>
      </c>
      <c r="I433" s="1" t="str">
        <f t="shared" si="6"/>
        <v/>
      </c>
    </row>
    <row r="434" spans="5:9" x14ac:dyDescent="0.3">
      <c r="E434" t="str">
        <f>IFERROR(IF(D434="","",VLOOKUP(D434,CadProd!$A:$B,2,0)),"")</f>
        <v/>
      </c>
      <c r="F434" t="str">
        <f>IFERROR(IF(D434="","",VLOOKUP(D434,CadProd!$A:$C,3,0)),"")</f>
        <v/>
      </c>
      <c r="I434" s="1" t="str">
        <f t="shared" si="6"/>
        <v/>
      </c>
    </row>
    <row r="435" spans="5:9" x14ac:dyDescent="0.3">
      <c r="E435" t="str">
        <f>IFERROR(IF(D435="","",VLOOKUP(D435,CadProd!$A:$B,2,0)),"")</f>
        <v/>
      </c>
      <c r="F435" t="str">
        <f>IFERROR(IF(D435="","",VLOOKUP(D435,CadProd!$A:$C,3,0)),"")</f>
        <v/>
      </c>
      <c r="I435" s="1" t="str">
        <f t="shared" si="6"/>
        <v/>
      </c>
    </row>
    <row r="436" spans="5:9" x14ac:dyDescent="0.3">
      <c r="E436" t="str">
        <f>IFERROR(IF(D436="","",VLOOKUP(D436,CadProd!$A:$B,2,0)),"")</f>
        <v/>
      </c>
      <c r="F436" t="str">
        <f>IFERROR(IF(D436="","",VLOOKUP(D436,CadProd!$A:$C,3,0)),"")</f>
        <v/>
      </c>
      <c r="I436" s="1" t="str">
        <f t="shared" si="6"/>
        <v/>
      </c>
    </row>
    <row r="437" spans="5:9" x14ac:dyDescent="0.3">
      <c r="E437" t="str">
        <f>IFERROR(IF(D437="","",VLOOKUP(D437,CadProd!$A:$B,2,0)),"")</f>
        <v/>
      </c>
      <c r="F437" t="str">
        <f>IFERROR(IF(D437="","",VLOOKUP(D437,CadProd!$A:$C,3,0)),"")</f>
        <v/>
      </c>
      <c r="I437" s="1" t="str">
        <f t="shared" si="6"/>
        <v/>
      </c>
    </row>
    <row r="438" spans="5:9" x14ac:dyDescent="0.3">
      <c r="E438" t="str">
        <f>IFERROR(IF(D438="","",VLOOKUP(D438,CadProd!$A:$B,2,0)),"")</f>
        <v/>
      </c>
      <c r="F438" t="str">
        <f>IFERROR(IF(D438="","",VLOOKUP(D438,CadProd!$A:$C,3,0)),"")</f>
        <v/>
      </c>
      <c r="I438" s="1" t="str">
        <f t="shared" si="6"/>
        <v/>
      </c>
    </row>
    <row r="439" spans="5:9" x14ac:dyDescent="0.3">
      <c r="E439" t="str">
        <f>IFERROR(IF(D439="","",VLOOKUP(D439,CadProd!$A:$B,2,0)),"")</f>
        <v/>
      </c>
      <c r="F439" t="str">
        <f>IFERROR(IF(D439="","",VLOOKUP(D439,CadProd!$A:$C,3,0)),"")</f>
        <v/>
      </c>
      <c r="I439" s="1" t="str">
        <f t="shared" si="6"/>
        <v/>
      </c>
    </row>
    <row r="440" spans="5:9" x14ac:dyDescent="0.3">
      <c r="E440" t="str">
        <f>IFERROR(IF(D440="","",VLOOKUP(D440,CadProd!$A:$B,2,0)),"")</f>
        <v/>
      </c>
      <c r="F440" t="str">
        <f>IFERROR(IF(D440="","",VLOOKUP(D440,CadProd!$A:$C,3,0)),"")</f>
        <v/>
      </c>
      <c r="I440" s="1" t="str">
        <f t="shared" si="6"/>
        <v/>
      </c>
    </row>
    <row r="441" spans="5:9" x14ac:dyDescent="0.3">
      <c r="E441" t="str">
        <f>IFERROR(IF(D441="","",VLOOKUP(D441,CadProd!$A:$B,2,0)),"")</f>
        <v/>
      </c>
      <c r="F441" t="str">
        <f>IFERROR(IF(D441="","",VLOOKUP(D441,CadProd!$A:$C,3,0)),"")</f>
        <v/>
      </c>
      <c r="I441" s="1" t="str">
        <f t="shared" si="6"/>
        <v/>
      </c>
    </row>
    <row r="442" spans="5:9" x14ac:dyDescent="0.3">
      <c r="E442" t="str">
        <f>IFERROR(IF(D442="","",VLOOKUP(D442,CadProd!$A:$B,2,0)),"")</f>
        <v/>
      </c>
      <c r="F442" t="str">
        <f>IFERROR(IF(D442="","",VLOOKUP(D442,CadProd!$A:$C,3,0)),"")</f>
        <v/>
      </c>
      <c r="I442" s="1" t="str">
        <f t="shared" si="6"/>
        <v/>
      </c>
    </row>
    <row r="443" spans="5:9" x14ac:dyDescent="0.3">
      <c r="E443" t="str">
        <f>IFERROR(IF(D443="","",VLOOKUP(D443,CadProd!$A:$B,2,0)),"")</f>
        <v/>
      </c>
      <c r="F443" t="str">
        <f>IFERROR(IF(D443="","",VLOOKUP(D443,CadProd!$A:$C,3,0)),"")</f>
        <v/>
      </c>
      <c r="I443" s="1" t="str">
        <f t="shared" si="6"/>
        <v/>
      </c>
    </row>
    <row r="444" spans="5:9" x14ac:dyDescent="0.3">
      <c r="E444" t="str">
        <f>IFERROR(IF(D444="","",VLOOKUP(D444,CadProd!$A:$B,2,0)),"")</f>
        <v/>
      </c>
      <c r="F444" t="str">
        <f>IFERROR(IF(D444="","",VLOOKUP(D444,CadProd!$A:$C,3,0)),"")</f>
        <v/>
      </c>
      <c r="I444" s="1" t="str">
        <f t="shared" si="6"/>
        <v/>
      </c>
    </row>
    <row r="445" spans="5:9" x14ac:dyDescent="0.3">
      <c r="E445" t="str">
        <f>IFERROR(IF(D445="","",VLOOKUP(D445,CadProd!$A:$B,2,0)),"")</f>
        <v/>
      </c>
      <c r="F445" t="str">
        <f>IFERROR(IF(D445="","",VLOOKUP(D445,CadProd!$A:$C,3,0)),"")</f>
        <v/>
      </c>
      <c r="I445" s="1" t="str">
        <f t="shared" si="6"/>
        <v/>
      </c>
    </row>
    <row r="446" spans="5:9" x14ac:dyDescent="0.3">
      <c r="E446" t="str">
        <f>IFERROR(IF(D446="","",VLOOKUP(D446,CadProd!$A:$B,2,0)),"")</f>
        <v/>
      </c>
      <c r="F446" t="str">
        <f>IFERROR(IF(D446="","",VLOOKUP(D446,CadProd!$A:$C,3,0)),"")</f>
        <v/>
      </c>
      <c r="I446" s="1" t="str">
        <f t="shared" si="6"/>
        <v/>
      </c>
    </row>
    <row r="447" spans="5:9" x14ac:dyDescent="0.3">
      <c r="E447" t="str">
        <f>IFERROR(IF(D447="","",VLOOKUP(D447,CadProd!$A:$B,2,0)),"")</f>
        <v/>
      </c>
      <c r="F447" t="str">
        <f>IFERROR(IF(D447="","",VLOOKUP(D447,CadProd!$A:$C,3,0)),"")</f>
        <v/>
      </c>
      <c r="I447" s="1" t="str">
        <f t="shared" si="6"/>
        <v/>
      </c>
    </row>
    <row r="448" spans="5:9" x14ac:dyDescent="0.3">
      <c r="E448" t="str">
        <f>IFERROR(IF(D448="","",VLOOKUP(D448,CadProd!$A:$B,2,0)),"")</f>
        <v/>
      </c>
      <c r="F448" t="str">
        <f>IFERROR(IF(D448="","",VLOOKUP(D448,CadProd!$A:$C,3,0)),"")</f>
        <v/>
      </c>
      <c r="I448" s="1" t="str">
        <f t="shared" si="6"/>
        <v/>
      </c>
    </row>
    <row r="449" spans="5:9" x14ac:dyDescent="0.3">
      <c r="E449" t="str">
        <f>IFERROR(IF(D449="","",VLOOKUP(D449,CadProd!$A:$B,2,0)),"")</f>
        <v/>
      </c>
      <c r="F449" t="str">
        <f>IFERROR(IF(D449="","",VLOOKUP(D449,CadProd!$A:$C,3,0)),"")</f>
        <v/>
      </c>
      <c r="I449" s="1" t="str">
        <f t="shared" si="6"/>
        <v/>
      </c>
    </row>
    <row r="450" spans="5:9" x14ac:dyDescent="0.3">
      <c r="E450" t="str">
        <f>IFERROR(IF(D450="","",VLOOKUP(D450,CadProd!$A:$B,2,0)),"")</f>
        <v/>
      </c>
      <c r="F450" t="str">
        <f>IFERROR(IF(D450="","",VLOOKUP(D450,CadProd!$A:$C,3,0)),"")</f>
        <v/>
      </c>
      <c r="I450" s="1" t="str">
        <f t="shared" si="6"/>
        <v/>
      </c>
    </row>
    <row r="451" spans="5:9" x14ac:dyDescent="0.3">
      <c r="E451" t="str">
        <f>IFERROR(IF(D451="","",VLOOKUP(D451,CadProd!$A:$B,2,0)),"")</f>
        <v/>
      </c>
      <c r="F451" t="str">
        <f>IFERROR(IF(D451="","",VLOOKUP(D451,CadProd!$A:$C,3,0)),"")</f>
        <v/>
      </c>
      <c r="I451" s="1" t="str">
        <f t="shared" si="6"/>
        <v/>
      </c>
    </row>
    <row r="452" spans="5:9" x14ac:dyDescent="0.3">
      <c r="E452" t="str">
        <f>IFERROR(IF(D452="","",VLOOKUP(D452,CadProd!$A:$B,2,0)),"")</f>
        <v/>
      </c>
      <c r="F452" t="str">
        <f>IFERROR(IF(D452="","",VLOOKUP(D452,CadProd!$A:$C,3,0)),"")</f>
        <v/>
      </c>
      <c r="I452" s="1" t="str">
        <f t="shared" si="6"/>
        <v/>
      </c>
    </row>
    <row r="453" spans="5:9" x14ac:dyDescent="0.3">
      <c r="E453" t="str">
        <f>IFERROR(IF(D453="","",VLOOKUP(D453,CadProd!$A:$B,2,0)),"")</f>
        <v/>
      </c>
      <c r="F453" t="str">
        <f>IFERROR(IF(D453="","",VLOOKUP(D453,CadProd!$A:$C,3,0)),"")</f>
        <v/>
      </c>
      <c r="I453" s="1" t="str">
        <f t="shared" si="6"/>
        <v/>
      </c>
    </row>
    <row r="454" spans="5:9" x14ac:dyDescent="0.3">
      <c r="E454" t="str">
        <f>IFERROR(IF(D454="","",VLOOKUP(D454,CadProd!$A:$B,2,0)),"")</f>
        <v/>
      </c>
      <c r="F454" t="str">
        <f>IFERROR(IF(D454="","",VLOOKUP(D454,CadProd!$A:$C,3,0)),"")</f>
        <v/>
      </c>
      <c r="I454" s="1" t="str">
        <f t="shared" si="6"/>
        <v/>
      </c>
    </row>
    <row r="455" spans="5:9" x14ac:dyDescent="0.3">
      <c r="E455" t="str">
        <f>IFERROR(IF(D455="","",VLOOKUP(D455,CadProd!$A:$B,2,0)),"")</f>
        <v/>
      </c>
      <c r="F455" t="str">
        <f>IFERROR(IF(D455="","",VLOOKUP(D455,CadProd!$A:$C,3,0)),"")</f>
        <v/>
      </c>
      <c r="I455" s="1" t="str">
        <f t="shared" si="6"/>
        <v/>
      </c>
    </row>
    <row r="456" spans="5:9" x14ac:dyDescent="0.3">
      <c r="E456" t="str">
        <f>IFERROR(IF(D456="","",VLOOKUP(D456,CadProd!$A:$B,2,0)),"")</f>
        <v/>
      </c>
      <c r="F456" t="str">
        <f>IFERROR(IF(D456="","",VLOOKUP(D456,CadProd!$A:$C,3,0)),"")</f>
        <v/>
      </c>
      <c r="I456" s="1" t="str">
        <f t="shared" si="6"/>
        <v/>
      </c>
    </row>
    <row r="457" spans="5:9" x14ac:dyDescent="0.3">
      <c r="E457" t="str">
        <f>IFERROR(IF(D457="","",VLOOKUP(D457,CadProd!$A:$B,2,0)),"")</f>
        <v/>
      </c>
      <c r="F457" t="str">
        <f>IFERROR(IF(D457="","",VLOOKUP(D457,CadProd!$A:$C,3,0)),"")</f>
        <v/>
      </c>
      <c r="I457" s="1" t="str">
        <f t="shared" si="6"/>
        <v/>
      </c>
    </row>
    <row r="458" spans="5:9" x14ac:dyDescent="0.3">
      <c r="E458" t="str">
        <f>IFERROR(IF(D458="","",VLOOKUP(D458,CadProd!$A:$B,2,0)),"")</f>
        <v/>
      </c>
      <c r="F458" t="str">
        <f>IFERROR(IF(D458="","",VLOOKUP(D458,CadProd!$A:$C,3,0)),"")</f>
        <v/>
      </c>
      <c r="I458" s="1" t="str">
        <f t="shared" si="6"/>
        <v/>
      </c>
    </row>
    <row r="459" spans="5:9" x14ac:dyDescent="0.3">
      <c r="E459" t="str">
        <f>IFERROR(IF(D459="","",VLOOKUP(D459,CadProd!$A:$B,2,0)),"")</f>
        <v/>
      </c>
      <c r="F459" t="str">
        <f>IFERROR(IF(D459="","",VLOOKUP(D459,CadProd!$A:$C,3,0)),"")</f>
        <v/>
      </c>
      <c r="I459" s="1" t="str">
        <f t="shared" ref="I459:I522" si="7">IFERROR(IF(D459="","",H459*G459),"")</f>
        <v/>
      </c>
    </row>
    <row r="460" spans="5:9" x14ac:dyDescent="0.3">
      <c r="E460" t="str">
        <f>IFERROR(IF(D460="","",VLOOKUP(D460,CadProd!$A:$B,2,0)),"")</f>
        <v/>
      </c>
      <c r="F460" t="str">
        <f>IFERROR(IF(D460="","",VLOOKUP(D460,CadProd!$A:$C,3,0)),"")</f>
        <v/>
      </c>
      <c r="I460" s="1" t="str">
        <f t="shared" si="7"/>
        <v/>
      </c>
    </row>
    <row r="461" spans="5:9" x14ac:dyDescent="0.3">
      <c r="E461" t="str">
        <f>IFERROR(IF(D461="","",VLOOKUP(D461,CadProd!$A:$B,2,0)),"")</f>
        <v/>
      </c>
      <c r="F461" t="str">
        <f>IFERROR(IF(D461="","",VLOOKUP(D461,CadProd!$A:$C,3,0)),"")</f>
        <v/>
      </c>
      <c r="I461" s="1" t="str">
        <f t="shared" si="7"/>
        <v/>
      </c>
    </row>
    <row r="462" spans="5:9" x14ac:dyDescent="0.3">
      <c r="E462" t="str">
        <f>IFERROR(IF(D462="","",VLOOKUP(D462,CadProd!$A:$B,2,0)),"")</f>
        <v/>
      </c>
      <c r="F462" t="str">
        <f>IFERROR(IF(D462="","",VLOOKUP(D462,CadProd!$A:$C,3,0)),"")</f>
        <v/>
      </c>
      <c r="I462" s="1" t="str">
        <f t="shared" si="7"/>
        <v/>
      </c>
    </row>
    <row r="463" spans="5:9" x14ac:dyDescent="0.3">
      <c r="E463" t="str">
        <f>IFERROR(IF(D463="","",VLOOKUP(D463,CadProd!$A:$B,2,0)),"")</f>
        <v/>
      </c>
      <c r="F463" t="str">
        <f>IFERROR(IF(D463="","",VLOOKUP(D463,CadProd!$A:$C,3,0)),"")</f>
        <v/>
      </c>
      <c r="I463" s="1" t="str">
        <f t="shared" si="7"/>
        <v/>
      </c>
    </row>
    <row r="464" spans="5:9" x14ac:dyDescent="0.3">
      <c r="E464" t="str">
        <f>IFERROR(IF(D464="","",VLOOKUP(D464,CadProd!$A:$B,2,0)),"")</f>
        <v/>
      </c>
      <c r="F464" t="str">
        <f>IFERROR(IF(D464="","",VLOOKUP(D464,CadProd!$A:$C,3,0)),"")</f>
        <v/>
      </c>
      <c r="I464" s="1" t="str">
        <f t="shared" si="7"/>
        <v/>
      </c>
    </row>
    <row r="465" spans="5:9" x14ac:dyDescent="0.3">
      <c r="E465" t="str">
        <f>IFERROR(IF(D465="","",VLOOKUP(D465,CadProd!$A:$B,2,0)),"")</f>
        <v/>
      </c>
      <c r="F465" t="str">
        <f>IFERROR(IF(D465="","",VLOOKUP(D465,CadProd!$A:$C,3,0)),"")</f>
        <v/>
      </c>
      <c r="I465" s="1" t="str">
        <f t="shared" si="7"/>
        <v/>
      </c>
    </row>
    <row r="466" spans="5:9" x14ac:dyDescent="0.3">
      <c r="E466" t="str">
        <f>IFERROR(IF(D466="","",VLOOKUP(D466,CadProd!$A:$B,2,0)),"")</f>
        <v/>
      </c>
      <c r="F466" t="str">
        <f>IFERROR(IF(D466="","",VLOOKUP(D466,CadProd!$A:$C,3,0)),"")</f>
        <v/>
      </c>
      <c r="I466" s="1" t="str">
        <f t="shared" si="7"/>
        <v/>
      </c>
    </row>
    <row r="467" spans="5:9" x14ac:dyDescent="0.3">
      <c r="E467" t="str">
        <f>IFERROR(IF(D467="","",VLOOKUP(D467,CadProd!$A:$B,2,0)),"")</f>
        <v/>
      </c>
      <c r="F467" t="str">
        <f>IFERROR(IF(D467="","",VLOOKUP(D467,CadProd!$A:$C,3,0)),"")</f>
        <v/>
      </c>
      <c r="I467" s="1" t="str">
        <f t="shared" si="7"/>
        <v/>
      </c>
    </row>
    <row r="468" spans="5:9" x14ac:dyDescent="0.3">
      <c r="E468" t="str">
        <f>IFERROR(IF(D468="","",VLOOKUP(D468,CadProd!$A:$B,2,0)),"")</f>
        <v/>
      </c>
      <c r="F468" t="str">
        <f>IFERROR(IF(D468="","",VLOOKUP(D468,CadProd!$A:$C,3,0)),"")</f>
        <v/>
      </c>
      <c r="I468" s="1" t="str">
        <f t="shared" si="7"/>
        <v/>
      </c>
    </row>
    <row r="469" spans="5:9" x14ac:dyDescent="0.3">
      <c r="E469" t="str">
        <f>IFERROR(IF(D469="","",VLOOKUP(D469,CadProd!$A:$B,2,0)),"")</f>
        <v/>
      </c>
      <c r="F469" t="str">
        <f>IFERROR(IF(D469="","",VLOOKUP(D469,CadProd!$A:$C,3,0)),"")</f>
        <v/>
      </c>
      <c r="I469" s="1" t="str">
        <f t="shared" si="7"/>
        <v/>
      </c>
    </row>
    <row r="470" spans="5:9" x14ac:dyDescent="0.3">
      <c r="E470" t="str">
        <f>IFERROR(IF(D470="","",VLOOKUP(D470,CadProd!$A:$B,2,0)),"")</f>
        <v/>
      </c>
      <c r="F470" t="str">
        <f>IFERROR(IF(D470="","",VLOOKUP(D470,CadProd!$A:$C,3,0)),"")</f>
        <v/>
      </c>
      <c r="I470" s="1" t="str">
        <f t="shared" si="7"/>
        <v/>
      </c>
    </row>
    <row r="471" spans="5:9" x14ac:dyDescent="0.3">
      <c r="E471" t="str">
        <f>IFERROR(IF(D471="","",VLOOKUP(D471,CadProd!$A:$B,2,0)),"")</f>
        <v/>
      </c>
      <c r="F471" t="str">
        <f>IFERROR(IF(D471="","",VLOOKUP(D471,CadProd!$A:$C,3,0)),"")</f>
        <v/>
      </c>
      <c r="I471" s="1" t="str">
        <f t="shared" si="7"/>
        <v/>
      </c>
    </row>
    <row r="472" spans="5:9" x14ac:dyDescent="0.3">
      <c r="E472" t="str">
        <f>IFERROR(IF(D472="","",VLOOKUP(D472,CadProd!$A:$B,2,0)),"")</f>
        <v/>
      </c>
      <c r="F472" t="str">
        <f>IFERROR(IF(D472="","",VLOOKUP(D472,CadProd!$A:$C,3,0)),"")</f>
        <v/>
      </c>
      <c r="I472" s="1" t="str">
        <f t="shared" si="7"/>
        <v/>
      </c>
    </row>
    <row r="473" spans="5:9" x14ac:dyDescent="0.3">
      <c r="E473" t="str">
        <f>IFERROR(IF(D473="","",VLOOKUP(D473,CadProd!$A:$B,2,0)),"")</f>
        <v/>
      </c>
      <c r="F473" t="str">
        <f>IFERROR(IF(D473="","",VLOOKUP(D473,CadProd!$A:$C,3,0)),"")</f>
        <v/>
      </c>
      <c r="I473" s="1" t="str">
        <f t="shared" si="7"/>
        <v/>
      </c>
    </row>
    <row r="474" spans="5:9" x14ac:dyDescent="0.3">
      <c r="E474" t="str">
        <f>IFERROR(IF(D474="","",VLOOKUP(D474,CadProd!$A:$B,2,0)),"")</f>
        <v/>
      </c>
      <c r="F474" t="str">
        <f>IFERROR(IF(D474="","",VLOOKUP(D474,CadProd!$A:$C,3,0)),"")</f>
        <v/>
      </c>
      <c r="I474" s="1" t="str">
        <f t="shared" si="7"/>
        <v/>
      </c>
    </row>
    <row r="475" spans="5:9" x14ac:dyDescent="0.3">
      <c r="E475" t="str">
        <f>IFERROR(IF(D475="","",VLOOKUP(D475,CadProd!$A:$B,2,0)),"")</f>
        <v/>
      </c>
      <c r="F475" t="str">
        <f>IFERROR(IF(D475="","",VLOOKUP(D475,CadProd!$A:$C,3,0)),"")</f>
        <v/>
      </c>
      <c r="I475" s="1" t="str">
        <f t="shared" si="7"/>
        <v/>
      </c>
    </row>
    <row r="476" spans="5:9" x14ac:dyDescent="0.3">
      <c r="E476" t="str">
        <f>IFERROR(IF(D476="","",VLOOKUP(D476,CadProd!$A:$B,2,0)),"")</f>
        <v/>
      </c>
      <c r="F476" t="str">
        <f>IFERROR(IF(D476="","",VLOOKUP(D476,CadProd!$A:$C,3,0)),"")</f>
        <v/>
      </c>
      <c r="I476" s="1" t="str">
        <f t="shared" si="7"/>
        <v/>
      </c>
    </row>
    <row r="477" spans="5:9" x14ac:dyDescent="0.3">
      <c r="E477" t="str">
        <f>IFERROR(IF(D477="","",VLOOKUP(D477,CadProd!$A:$B,2,0)),"")</f>
        <v/>
      </c>
      <c r="F477" t="str">
        <f>IFERROR(IF(D477="","",VLOOKUP(D477,CadProd!$A:$C,3,0)),"")</f>
        <v/>
      </c>
      <c r="I477" s="1" t="str">
        <f t="shared" si="7"/>
        <v/>
      </c>
    </row>
    <row r="478" spans="5:9" x14ac:dyDescent="0.3">
      <c r="E478" t="str">
        <f>IFERROR(IF(D478="","",VLOOKUP(D478,CadProd!$A:$B,2,0)),"")</f>
        <v/>
      </c>
      <c r="F478" t="str">
        <f>IFERROR(IF(D478="","",VLOOKUP(D478,CadProd!$A:$C,3,0)),"")</f>
        <v/>
      </c>
      <c r="I478" s="1" t="str">
        <f t="shared" si="7"/>
        <v/>
      </c>
    </row>
    <row r="479" spans="5:9" x14ac:dyDescent="0.3">
      <c r="E479" t="str">
        <f>IFERROR(IF(D479="","",VLOOKUP(D479,CadProd!$A:$B,2,0)),"")</f>
        <v/>
      </c>
      <c r="F479" t="str">
        <f>IFERROR(IF(D479="","",VLOOKUP(D479,CadProd!$A:$C,3,0)),"")</f>
        <v/>
      </c>
      <c r="I479" s="1" t="str">
        <f t="shared" si="7"/>
        <v/>
      </c>
    </row>
    <row r="480" spans="5:9" x14ac:dyDescent="0.3">
      <c r="E480" t="str">
        <f>IFERROR(IF(D480="","",VLOOKUP(D480,CadProd!$A:$B,2,0)),"")</f>
        <v/>
      </c>
      <c r="F480" t="str">
        <f>IFERROR(IF(D480="","",VLOOKUP(D480,CadProd!$A:$C,3,0)),"")</f>
        <v/>
      </c>
      <c r="I480" s="1" t="str">
        <f t="shared" si="7"/>
        <v/>
      </c>
    </row>
    <row r="481" spans="5:9" x14ac:dyDescent="0.3">
      <c r="E481" t="str">
        <f>IFERROR(IF(D481="","",VLOOKUP(D481,CadProd!$A:$B,2,0)),"")</f>
        <v/>
      </c>
      <c r="F481" t="str">
        <f>IFERROR(IF(D481="","",VLOOKUP(D481,CadProd!$A:$C,3,0)),"")</f>
        <v/>
      </c>
      <c r="I481" s="1" t="str">
        <f t="shared" si="7"/>
        <v/>
      </c>
    </row>
    <row r="482" spans="5:9" x14ac:dyDescent="0.3">
      <c r="E482" t="str">
        <f>IFERROR(IF(D482="","",VLOOKUP(D482,CadProd!$A:$B,2,0)),"")</f>
        <v/>
      </c>
      <c r="F482" t="str">
        <f>IFERROR(IF(D482="","",VLOOKUP(D482,CadProd!$A:$C,3,0)),"")</f>
        <v/>
      </c>
      <c r="I482" s="1" t="str">
        <f t="shared" si="7"/>
        <v/>
      </c>
    </row>
    <row r="483" spans="5:9" x14ac:dyDescent="0.3">
      <c r="E483" t="str">
        <f>IFERROR(IF(D483="","",VLOOKUP(D483,CadProd!$A:$B,2,0)),"")</f>
        <v/>
      </c>
      <c r="F483" t="str">
        <f>IFERROR(IF(D483="","",VLOOKUP(D483,CadProd!$A:$C,3,0)),"")</f>
        <v/>
      </c>
      <c r="I483" s="1" t="str">
        <f t="shared" si="7"/>
        <v/>
      </c>
    </row>
    <row r="484" spans="5:9" x14ac:dyDescent="0.3">
      <c r="E484" t="str">
        <f>IFERROR(IF(D484="","",VLOOKUP(D484,CadProd!$A:$B,2,0)),"")</f>
        <v/>
      </c>
      <c r="F484" t="str">
        <f>IFERROR(IF(D484="","",VLOOKUP(D484,CadProd!$A:$C,3,0)),"")</f>
        <v/>
      </c>
      <c r="I484" s="1" t="str">
        <f t="shared" si="7"/>
        <v/>
      </c>
    </row>
    <row r="485" spans="5:9" x14ac:dyDescent="0.3">
      <c r="E485" t="str">
        <f>IFERROR(IF(D485="","",VLOOKUP(D485,CadProd!$A:$B,2,0)),"")</f>
        <v/>
      </c>
      <c r="F485" t="str">
        <f>IFERROR(IF(D485="","",VLOOKUP(D485,CadProd!$A:$C,3,0)),"")</f>
        <v/>
      </c>
      <c r="I485" s="1" t="str">
        <f t="shared" si="7"/>
        <v/>
      </c>
    </row>
    <row r="486" spans="5:9" x14ac:dyDescent="0.3">
      <c r="E486" t="str">
        <f>IFERROR(IF(D486="","",VLOOKUP(D486,CadProd!$A:$B,2,0)),"")</f>
        <v/>
      </c>
      <c r="F486" t="str">
        <f>IFERROR(IF(D486="","",VLOOKUP(D486,CadProd!$A:$C,3,0)),"")</f>
        <v/>
      </c>
      <c r="I486" s="1" t="str">
        <f t="shared" si="7"/>
        <v/>
      </c>
    </row>
    <row r="487" spans="5:9" x14ac:dyDescent="0.3">
      <c r="E487" t="str">
        <f>IFERROR(IF(D487="","",VLOOKUP(D487,CadProd!$A:$B,2,0)),"")</f>
        <v/>
      </c>
      <c r="F487" t="str">
        <f>IFERROR(IF(D487="","",VLOOKUP(D487,CadProd!$A:$C,3,0)),"")</f>
        <v/>
      </c>
      <c r="I487" s="1" t="str">
        <f t="shared" si="7"/>
        <v/>
      </c>
    </row>
    <row r="488" spans="5:9" x14ac:dyDescent="0.3">
      <c r="E488" t="str">
        <f>IFERROR(IF(D488="","",VLOOKUP(D488,CadProd!$A:$B,2,0)),"")</f>
        <v/>
      </c>
      <c r="F488" t="str">
        <f>IFERROR(IF(D488="","",VLOOKUP(D488,CadProd!$A:$C,3,0)),"")</f>
        <v/>
      </c>
      <c r="I488" s="1" t="str">
        <f t="shared" si="7"/>
        <v/>
      </c>
    </row>
    <row r="489" spans="5:9" x14ac:dyDescent="0.3">
      <c r="E489" t="str">
        <f>IFERROR(IF(D489="","",VLOOKUP(D489,CadProd!$A:$B,2,0)),"")</f>
        <v/>
      </c>
      <c r="F489" t="str">
        <f>IFERROR(IF(D489="","",VLOOKUP(D489,CadProd!$A:$C,3,0)),"")</f>
        <v/>
      </c>
      <c r="I489" s="1" t="str">
        <f t="shared" si="7"/>
        <v/>
      </c>
    </row>
    <row r="490" spans="5:9" x14ac:dyDescent="0.3">
      <c r="E490" t="str">
        <f>IFERROR(IF(D490="","",VLOOKUP(D490,CadProd!$A:$B,2,0)),"")</f>
        <v/>
      </c>
      <c r="F490" t="str">
        <f>IFERROR(IF(D490="","",VLOOKUP(D490,CadProd!$A:$C,3,0)),"")</f>
        <v/>
      </c>
      <c r="I490" s="1" t="str">
        <f t="shared" si="7"/>
        <v/>
      </c>
    </row>
    <row r="491" spans="5:9" x14ac:dyDescent="0.3">
      <c r="E491" t="str">
        <f>IFERROR(IF(D491="","",VLOOKUP(D491,CadProd!$A:$B,2,0)),"")</f>
        <v/>
      </c>
      <c r="F491" t="str">
        <f>IFERROR(IF(D491="","",VLOOKUP(D491,CadProd!$A:$C,3,0)),"")</f>
        <v/>
      </c>
      <c r="I491" s="1" t="str">
        <f t="shared" si="7"/>
        <v/>
      </c>
    </row>
    <row r="492" spans="5:9" x14ac:dyDescent="0.3">
      <c r="E492" t="str">
        <f>IFERROR(IF(D492="","",VLOOKUP(D492,CadProd!$A:$B,2,0)),"")</f>
        <v/>
      </c>
      <c r="F492" t="str">
        <f>IFERROR(IF(D492="","",VLOOKUP(D492,CadProd!$A:$C,3,0)),"")</f>
        <v/>
      </c>
      <c r="I492" s="1" t="str">
        <f t="shared" si="7"/>
        <v/>
      </c>
    </row>
    <row r="493" spans="5:9" x14ac:dyDescent="0.3">
      <c r="E493" t="str">
        <f>IFERROR(IF(D493="","",VLOOKUP(D493,CadProd!$A:$B,2,0)),"")</f>
        <v/>
      </c>
      <c r="F493" t="str">
        <f>IFERROR(IF(D493="","",VLOOKUP(D493,CadProd!$A:$C,3,0)),"")</f>
        <v/>
      </c>
      <c r="I493" s="1" t="str">
        <f t="shared" si="7"/>
        <v/>
      </c>
    </row>
    <row r="494" spans="5:9" x14ac:dyDescent="0.3">
      <c r="E494" t="str">
        <f>IFERROR(IF(D494="","",VLOOKUP(D494,CadProd!$A:$B,2,0)),"")</f>
        <v/>
      </c>
      <c r="F494" t="str">
        <f>IFERROR(IF(D494="","",VLOOKUP(D494,CadProd!$A:$C,3,0)),"")</f>
        <v/>
      </c>
      <c r="I494" s="1" t="str">
        <f t="shared" si="7"/>
        <v/>
      </c>
    </row>
    <row r="495" spans="5:9" x14ac:dyDescent="0.3">
      <c r="E495" t="str">
        <f>IFERROR(IF(D495="","",VLOOKUP(D495,CadProd!$A:$B,2,0)),"")</f>
        <v/>
      </c>
      <c r="F495" t="str">
        <f>IFERROR(IF(D495="","",VLOOKUP(D495,CadProd!$A:$C,3,0)),"")</f>
        <v/>
      </c>
      <c r="I495" s="1" t="str">
        <f t="shared" si="7"/>
        <v/>
      </c>
    </row>
    <row r="496" spans="5:9" x14ac:dyDescent="0.3">
      <c r="E496" t="str">
        <f>IFERROR(IF(D496="","",VLOOKUP(D496,CadProd!$A:$B,2,0)),"")</f>
        <v/>
      </c>
      <c r="F496" t="str">
        <f>IFERROR(IF(D496="","",VLOOKUP(D496,CadProd!$A:$C,3,0)),"")</f>
        <v/>
      </c>
      <c r="I496" s="1" t="str">
        <f t="shared" si="7"/>
        <v/>
      </c>
    </row>
    <row r="497" spans="5:9" x14ac:dyDescent="0.3">
      <c r="E497" t="str">
        <f>IFERROR(IF(D497="","",VLOOKUP(D497,CadProd!$A:$B,2,0)),"")</f>
        <v/>
      </c>
      <c r="F497" t="str">
        <f>IFERROR(IF(D497="","",VLOOKUP(D497,CadProd!$A:$C,3,0)),"")</f>
        <v/>
      </c>
      <c r="I497" s="1" t="str">
        <f t="shared" si="7"/>
        <v/>
      </c>
    </row>
    <row r="498" spans="5:9" x14ac:dyDescent="0.3">
      <c r="E498" t="str">
        <f>IFERROR(IF(D498="","",VLOOKUP(D498,CadProd!$A:$B,2,0)),"")</f>
        <v/>
      </c>
      <c r="F498" t="str">
        <f>IFERROR(IF(D498="","",VLOOKUP(D498,CadProd!$A:$C,3,0)),"")</f>
        <v/>
      </c>
      <c r="I498" s="1" t="str">
        <f t="shared" si="7"/>
        <v/>
      </c>
    </row>
    <row r="499" spans="5:9" x14ac:dyDescent="0.3">
      <c r="E499" t="str">
        <f>IFERROR(IF(D499="","",VLOOKUP(D499,CadProd!$A:$B,2,0)),"")</f>
        <v/>
      </c>
      <c r="F499" t="str">
        <f>IFERROR(IF(D499="","",VLOOKUP(D499,CadProd!$A:$C,3,0)),"")</f>
        <v/>
      </c>
      <c r="I499" s="1" t="str">
        <f t="shared" si="7"/>
        <v/>
      </c>
    </row>
    <row r="500" spans="5:9" x14ac:dyDescent="0.3">
      <c r="E500" t="str">
        <f>IFERROR(IF(D500="","",VLOOKUP(D500,CadProd!$A:$B,2,0)),"")</f>
        <v/>
      </c>
      <c r="F500" t="str">
        <f>IFERROR(IF(D500="","",VLOOKUP(D500,CadProd!$A:$C,3,0)),"")</f>
        <v/>
      </c>
      <c r="I500" s="1" t="str">
        <f t="shared" si="7"/>
        <v/>
      </c>
    </row>
    <row r="501" spans="5:9" x14ac:dyDescent="0.3">
      <c r="E501" t="str">
        <f>IFERROR(IF(D501="","",VLOOKUP(D501,CadProd!$A:$B,2,0)),"")</f>
        <v/>
      </c>
      <c r="F501" t="str">
        <f>IFERROR(IF(D501="","",VLOOKUP(D501,CadProd!$A:$C,3,0)),"")</f>
        <v/>
      </c>
      <c r="I501" s="1" t="str">
        <f t="shared" si="7"/>
        <v/>
      </c>
    </row>
    <row r="502" spans="5:9" x14ac:dyDescent="0.3">
      <c r="E502" t="str">
        <f>IFERROR(IF(D502="","",VLOOKUP(D502,CadProd!$A:$B,2,0)),"")</f>
        <v/>
      </c>
      <c r="F502" t="str">
        <f>IFERROR(IF(D502="","",VLOOKUP(D502,CadProd!$A:$C,3,0)),"")</f>
        <v/>
      </c>
      <c r="I502" s="1" t="str">
        <f t="shared" si="7"/>
        <v/>
      </c>
    </row>
    <row r="503" spans="5:9" x14ac:dyDescent="0.3">
      <c r="E503" t="str">
        <f>IFERROR(IF(D503="","",VLOOKUP(D503,CadProd!$A:$B,2,0)),"")</f>
        <v/>
      </c>
      <c r="F503" t="str">
        <f>IFERROR(IF(D503="","",VLOOKUP(D503,CadProd!$A:$C,3,0)),"")</f>
        <v/>
      </c>
      <c r="I503" s="1" t="str">
        <f t="shared" si="7"/>
        <v/>
      </c>
    </row>
    <row r="504" spans="5:9" x14ac:dyDescent="0.3">
      <c r="E504" t="str">
        <f>IFERROR(IF(D504="","",VLOOKUP(D504,CadProd!$A:$B,2,0)),"")</f>
        <v/>
      </c>
      <c r="F504" t="str">
        <f>IFERROR(IF(D504="","",VLOOKUP(D504,CadProd!$A:$C,3,0)),"")</f>
        <v/>
      </c>
      <c r="I504" s="1" t="str">
        <f t="shared" si="7"/>
        <v/>
      </c>
    </row>
    <row r="505" spans="5:9" x14ac:dyDescent="0.3">
      <c r="E505" t="str">
        <f>IFERROR(IF(D505="","",VLOOKUP(D505,CadProd!$A:$B,2,0)),"")</f>
        <v/>
      </c>
      <c r="F505" t="str">
        <f>IFERROR(IF(D505="","",VLOOKUP(D505,CadProd!$A:$C,3,0)),"")</f>
        <v/>
      </c>
      <c r="I505" s="1" t="str">
        <f t="shared" si="7"/>
        <v/>
      </c>
    </row>
    <row r="506" spans="5:9" x14ac:dyDescent="0.3">
      <c r="E506" t="str">
        <f>IFERROR(IF(D506="","",VLOOKUP(D506,CadProd!$A:$B,2,0)),"")</f>
        <v/>
      </c>
      <c r="F506" t="str">
        <f>IFERROR(IF(D506="","",VLOOKUP(D506,CadProd!$A:$C,3,0)),"")</f>
        <v/>
      </c>
      <c r="I506" s="1" t="str">
        <f t="shared" si="7"/>
        <v/>
      </c>
    </row>
    <row r="507" spans="5:9" x14ac:dyDescent="0.3">
      <c r="E507" t="str">
        <f>IFERROR(IF(D507="","",VLOOKUP(D507,CadProd!$A:$B,2,0)),"")</f>
        <v/>
      </c>
      <c r="F507" t="str">
        <f>IFERROR(IF(D507="","",VLOOKUP(D507,CadProd!$A:$C,3,0)),"")</f>
        <v/>
      </c>
      <c r="I507" s="1" t="str">
        <f t="shared" si="7"/>
        <v/>
      </c>
    </row>
    <row r="508" spans="5:9" x14ac:dyDescent="0.3">
      <c r="E508" t="str">
        <f>IFERROR(IF(D508="","",VLOOKUP(D508,CadProd!$A:$B,2,0)),"")</f>
        <v/>
      </c>
      <c r="F508" t="str">
        <f>IFERROR(IF(D508="","",VLOOKUP(D508,CadProd!$A:$C,3,0)),"")</f>
        <v/>
      </c>
      <c r="I508" s="1" t="str">
        <f t="shared" si="7"/>
        <v/>
      </c>
    </row>
    <row r="509" spans="5:9" x14ac:dyDescent="0.3">
      <c r="E509" t="str">
        <f>IFERROR(IF(D509="","",VLOOKUP(D509,CadProd!$A:$B,2,0)),"")</f>
        <v/>
      </c>
      <c r="F509" t="str">
        <f>IFERROR(IF(D509="","",VLOOKUP(D509,CadProd!$A:$C,3,0)),"")</f>
        <v/>
      </c>
      <c r="I509" s="1" t="str">
        <f t="shared" si="7"/>
        <v/>
      </c>
    </row>
    <row r="510" spans="5:9" x14ac:dyDescent="0.3">
      <c r="E510" t="str">
        <f>IFERROR(IF(D510="","",VLOOKUP(D510,CadProd!$A:$B,2,0)),"")</f>
        <v/>
      </c>
      <c r="F510" t="str">
        <f>IFERROR(IF(D510="","",VLOOKUP(D510,CadProd!$A:$C,3,0)),"")</f>
        <v/>
      </c>
      <c r="I510" s="1" t="str">
        <f t="shared" si="7"/>
        <v/>
      </c>
    </row>
    <row r="511" spans="5:9" x14ac:dyDescent="0.3">
      <c r="E511" t="str">
        <f>IFERROR(IF(D511="","",VLOOKUP(D511,CadProd!$A:$B,2,0)),"")</f>
        <v/>
      </c>
      <c r="F511" t="str">
        <f>IFERROR(IF(D511="","",VLOOKUP(D511,CadProd!$A:$C,3,0)),"")</f>
        <v/>
      </c>
      <c r="I511" s="1" t="str">
        <f t="shared" si="7"/>
        <v/>
      </c>
    </row>
    <row r="512" spans="5:9" x14ac:dyDescent="0.3">
      <c r="E512" t="str">
        <f>IFERROR(IF(D512="","",VLOOKUP(D512,CadProd!$A:$B,2,0)),"")</f>
        <v/>
      </c>
      <c r="F512" t="str">
        <f>IFERROR(IF(D512="","",VLOOKUP(D512,CadProd!$A:$C,3,0)),"")</f>
        <v/>
      </c>
      <c r="I512" s="1" t="str">
        <f t="shared" si="7"/>
        <v/>
      </c>
    </row>
    <row r="513" spans="5:9" x14ac:dyDescent="0.3">
      <c r="E513" t="str">
        <f>IFERROR(IF(D513="","",VLOOKUP(D513,CadProd!$A:$B,2,0)),"")</f>
        <v/>
      </c>
      <c r="F513" t="str">
        <f>IFERROR(IF(D513="","",VLOOKUP(D513,CadProd!$A:$C,3,0)),"")</f>
        <v/>
      </c>
      <c r="I513" s="1" t="str">
        <f t="shared" si="7"/>
        <v/>
      </c>
    </row>
    <row r="514" spans="5:9" x14ac:dyDescent="0.3">
      <c r="E514" t="str">
        <f>IFERROR(IF(D514="","",VLOOKUP(D514,CadProd!$A:$B,2,0)),"")</f>
        <v/>
      </c>
      <c r="F514" t="str">
        <f>IFERROR(IF(D514="","",VLOOKUP(D514,CadProd!$A:$C,3,0)),"")</f>
        <v/>
      </c>
      <c r="I514" s="1" t="str">
        <f t="shared" si="7"/>
        <v/>
      </c>
    </row>
    <row r="515" spans="5:9" x14ac:dyDescent="0.3">
      <c r="E515" t="str">
        <f>IFERROR(IF(D515="","",VLOOKUP(D515,CadProd!$A:$B,2,0)),"")</f>
        <v/>
      </c>
      <c r="F515" t="str">
        <f>IFERROR(IF(D515="","",VLOOKUP(D515,CadProd!$A:$C,3,0)),"")</f>
        <v/>
      </c>
      <c r="I515" s="1" t="str">
        <f t="shared" si="7"/>
        <v/>
      </c>
    </row>
    <row r="516" spans="5:9" x14ac:dyDescent="0.3">
      <c r="E516" t="str">
        <f>IFERROR(IF(D516="","",VLOOKUP(D516,CadProd!$A:$B,2,0)),"")</f>
        <v/>
      </c>
      <c r="F516" t="str">
        <f>IFERROR(IF(D516="","",VLOOKUP(D516,CadProd!$A:$C,3,0)),"")</f>
        <v/>
      </c>
      <c r="I516" s="1" t="str">
        <f t="shared" si="7"/>
        <v/>
      </c>
    </row>
    <row r="517" spans="5:9" x14ac:dyDescent="0.3">
      <c r="E517" t="str">
        <f>IFERROR(IF(D517="","",VLOOKUP(D517,CadProd!$A:$B,2,0)),"")</f>
        <v/>
      </c>
      <c r="F517" t="str">
        <f>IFERROR(IF(D517="","",VLOOKUP(D517,CadProd!$A:$C,3,0)),"")</f>
        <v/>
      </c>
      <c r="I517" s="1" t="str">
        <f t="shared" si="7"/>
        <v/>
      </c>
    </row>
    <row r="518" spans="5:9" x14ac:dyDescent="0.3">
      <c r="E518" t="str">
        <f>IFERROR(IF(D518="","",VLOOKUP(D518,CadProd!$A:$B,2,0)),"")</f>
        <v/>
      </c>
      <c r="F518" t="str">
        <f>IFERROR(IF(D518="","",VLOOKUP(D518,CadProd!$A:$C,3,0)),"")</f>
        <v/>
      </c>
      <c r="I518" s="1" t="str">
        <f t="shared" si="7"/>
        <v/>
      </c>
    </row>
    <row r="519" spans="5:9" x14ac:dyDescent="0.3">
      <c r="E519" t="str">
        <f>IFERROR(IF(D519="","",VLOOKUP(D519,CadProd!$A:$B,2,0)),"")</f>
        <v/>
      </c>
      <c r="F519" t="str">
        <f>IFERROR(IF(D519="","",VLOOKUP(D519,CadProd!$A:$C,3,0)),"")</f>
        <v/>
      </c>
      <c r="I519" s="1" t="str">
        <f t="shared" si="7"/>
        <v/>
      </c>
    </row>
    <row r="520" spans="5:9" x14ac:dyDescent="0.3">
      <c r="E520" t="str">
        <f>IFERROR(IF(D520="","",VLOOKUP(D520,CadProd!$A:$B,2,0)),"")</f>
        <v/>
      </c>
      <c r="F520" t="str">
        <f>IFERROR(IF(D520="","",VLOOKUP(D520,CadProd!$A:$C,3,0)),"")</f>
        <v/>
      </c>
      <c r="I520" s="1" t="str">
        <f t="shared" si="7"/>
        <v/>
      </c>
    </row>
    <row r="521" spans="5:9" x14ac:dyDescent="0.3">
      <c r="E521" t="str">
        <f>IFERROR(IF(D521="","",VLOOKUP(D521,CadProd!$A:$B,2,0)),"")</f>
        <v/>
      </c>
      <c r="F521" t="str">
        <f>IFERROR(IF(D521="","",VLOOKUP(D521,CadProd!$A:$C,3,0)),"")</f>
        <v/>
      </c>
      <c r="I521" s="1" t="str">
        <f t="shared" si="7"/>
        <v/>
      </c>
    </row>
    <row r="522" spans="5:9" x14ac:dyDescent="0.3">
      <c r="E522" t="str">
        <f>IFERROR(IF(D522="","",VLOOKUP(D522,CadProd!$A:$B,2,0)),"")</f>
        <v/>
      </c>
      <c r="F522" t="str">
        <f>IFERROR(IF(D522="","",VLOOKUP(D522,CadProd!$A:$C,3,0)),"")</f>
        <v/>
      </c>
      <c r="I522" s="1" t="str">
        <f t="shared" si="7"/>
        <v/>
      </c>
    </row>
    <row r="523" spans="5:9" x14ac:dyDescent="0.3">
      <c r="E523" t="str">
        <f>IFERROR(IF(D523="","",VLOOKUP(D523,CadProd!$A:$B,2,0)),"")</f>
        <v/>
      </c>
      <c r="F523" t="str">
        <f>IFERROR(IF(D523="","",VLOOKUP(D523,CadProd!$A:$C,3,0)),"")</f>
        <v/>
      </c>
      <c r="I523" s="1" t="str">
        <f t="shared" ref="I523:I586" si="8">IFERROR(IF(D523="","",H523*G523),"")</f>
        <v/>
      </c>
    </row>
    <row r="524" spans="5:9" x14ac:dyDescent="0.3">
      <c r="E524" t="str">
        <f>IFERROR(IF(D524="","",VLOOKUP(D524,CadProd!$A:$B,2,0)),"")</f>
        <v/>
      </c>
      <c r="F524" t="str">
        <f>IFERROR(IF(D524="","",VLOOKUP(D524,CadProd!$A:$C,3,0)),"")</f>
        <v/>
      </c>
      <c r="I524" s="1" t="str">
        <f t="shared" si="8"/>
        <v/>
      </c>
    </row>
    <row r="525" spans="5:9" x14ac:dyDescent="0.3">
      <c r="E525" t="str">
        <f>IFERROR(IF(D525="","",VLOOKUP(D525,CadProd!$A:$B,2,0)),"")</f>
        <v/>
      </c>
      <c r="F525" t="str">
        <f>IFERROR(IF(D525="","",VLOOKUP(D525,CadProd!$A:$C,3,0)),"")</f>
        <v/>
      </c>
      <c r="I525" s="1" t="str">
        <f t="shared" si="8"/>
        <v/>
      </c>
    </row>
    <row r="526" spans="5:9" x14ac:dyDescent="0.3">
      <c r="E526" t="str">
        <f>IFERROR(IF(D526="","",VLOOKUP(D526,CadProd!$A:$B,2,0)),"")</f>
        <v/>
      </c>
      <c r="F526" t="str">
        <f>IFERROR(IF(D526="","",VLOOKUP(D526,CadProd!$A:$C,3,0)),"")</f>
        <v/>
      </c>
      <c r="I526" s="1" t="str">
        <f t="shared" si="8"/>
        <v/>
      </c>
    </row>
    <row r="527" spans="5:9" x14ac:dyDescent="0.3">
      <c r="E527" t="str">
        <f>IFERROR(IF(D527="","",VLOOKUP(D527,CadProd!$A:$B,2,0)),"")</f>
        <v/>
      </c>
      <c r="F527" t="str">
        <f>IFERROR(IF(D527="","",VLOOKUP(D527,CadProd!$A:$C,3,0)),"")</f>
        <v/>
      </c>
      <c r="I527" s="1" t="str">
        <f t="shared" si="8"/>
        <v/>
      </c>
    </row>
    <row r="528" spans="5:9" x14ac:dyDescent="0.3">
      <c r="E528" t="str">
        <f>IFERROR(IF(D528="","",VLOOKUP(D528,CadProd!$A:$B,2,0)),"")</f>
        <v/>
      </c>
      <c r="F528" t="str">
        <f>IFERROR(IF(D528="","",VLOOKUP(D528,CadProd!$A:$C,3,0)),"")</f>
        <v/>
      </c>
      <c r="I528" s="1" t="str">
        <f t="shared" si="8"/>
        <v/>
      </c>
    </row>
    <row r="529" spans="5:9" x14ac:dyDescent="0.3">
      <c r="E529" t="str">
        <f>IFERROR(IF(D529="","",VLOOKUP(D529,CadProd!$A:$B,2,0)),"")</f>
        <v/>
      </c>
      <c r="F529" t="str">
        <f>IFERROR(IF(D529="","",VLOOKUP(D529,CadProd!$A:$C,3,0)),"")</f>
        <v/>
      </c>
      <c r="I529" s="1" t="str">
        <f t="shared" si="8"/>
        <v/>
      </c>
    </row>
    <row r="530" spans="5:9" x14ac:dyDescent="0.3">
      <c r="E530" t="str">
        <f>IFERROR(IF(D530="","",VLOOKUP(D530,CadProd!$A:$B,2,0)),"")</f>
        <v/>
      </c>
      <c r="F530" t="str">
        <f>IFERROR(IF(D530="","",VLOOKUP(D530,CadProd!$A:$C,3,0)),"")</f>
        <v/>
      </c>
      <c r="I530" s="1" t="str">
        <f t="shared" si="8"/>
        <v/>
      </c>
    </row>
    <row r="531" spans="5:9" x14ac:dyDescent="0.3">
      <c r="E531" t="str">
        <f>IFERROR(IF(D531="","",VLOOKUP(D531,CadProd!$A:$B,2,0)),"")</f>
        <v/>
      </c>
      <c r="F531" t="str">
        <f>IFERROR(IF(D531="","",VLOOKUP(D531,CadProd!$A:$C,3,0)),"")</f>
        <v/>
      </c>
      <c r="I531" s="1" t="str">
        <f t="shared" si="8"/>
        <v/>
      </c>
    </row>
    <row r="532" spans="5:9" x14ac:dyDescent="0.3">
      <c r="E532" t="str">
        <f>IFERROR(IF(D532="","",VLOOKUP(D532,CadProd!$A:$B,2,0)),"")</f>
        <v/>
      </c>
      <c r="F532" t="str">
        <f>IFERROR(IF(D532="","",VLOOKUP(D532,CadProd!$A:$C,3,0)),"")</f>
        <v/>
      </c>
      <c r="I532" s="1" t="str">
        <f t="shared" si="8"/>
        <v/>
      </c>
    </row>
    <row r="533" spans="5:9" x14ac:dyDescent="0.3">
      <c r="E533" t="str">
        <f>IFERROR(IF(D533="","",VLOOKUP(D533,CadProd!$A:$B,2,0)),"")</f>
        <v/>
      </c>
      <c r="F533" t="str">
        <f>IFERROR(IF(D533="","",VLOOKUP(D533,CadProd!$A:$C,3,0)),"")</f>
        <v/>
      </c>
      <c r="I533" s="1" t="str">
        <f t="shared" si="8"/>
        <v/>
      </c>
    </row>
    <row r="534" spans="5:9" x14ac:dyDescent="0.3">
      <c r="E534" t="str">
        <f>IFERROR(IF(D534="","",VLOOKUP(D534,CadProd!$A:$B,2,0)),"")</f>
        <v/>
      </c>
      <c r="F534" t="str">
        <f>IFERROR(IF(D534="","",VLOOKUP(D534,CadProd!$A:$C,3,0)),"")</f>
        <v/>
      </c>
      <c r="I534" s="1" t="str">
        <f t="shared" si="8"/>
        <v/>
      </c>
    </row>
    <row r="535" spans="5:9" x14ac:dyDescent="0.3">
      <c r="E535" t="str">
        <f>IFERROR(IF(D535="","",VLOOKUP(D535,CadProd!$A:$B,2,0)),"")</f>
        <v/>
      </c>
      <c r="F535" t="str">
        <f>IFERROR(IF(D535="","",VLOOKUP(D535,CadProd!$A:$C,3,0)),"")</f>
        <v/>
      </c>
      <c r="I535" s="1" t="str">
        <f t="shared" si="8"/>
        <v/>
      </c>
    </row>
    <row r="536" spans="5:9" x14ac:dyDescent="0.3">
      <c r="E536" t="str">
        <f>IFERROR(IF(D536="","",VLOOKUP(D536,CadProd!$A:$B,2,0)),"")</f>
        <v/>
      </c>
      <c r="F536" t="str">
        <f>IFERROR(IF(D536="","",VLOOKUP(D536,CadProd!$A:$C,3,0)),"")</f>
        <v/>
      </c>
      <c r="I536" s="1" t="str">
        <f t="shared" si="8"/>
        <v/>
      </c>
    </row>
    <row r="537" spans="5:9" x14ac:dyDescent="0.3">
      <c r="E537" t="str">
        <f>IFERROR(IF(D537="","",VLOOKUP(D537,CadProd!$A:$B,2,0)),"")</f>
        <v/>
      </c>
      <c r="F537" t="str">
        <f>IFERROR(IF(D537="","",VLOOKUP(D537,CadProd!$A:$C,3,0)),"")</f>
        <v/>
      </c>
      <c r="I537" s="1" t="str">
        <f t="shared" si="8"/>
        <v/>
      </c>
    </row>
    <row r="538" spans="5:9" x14ac:dyDescent="0.3">
      <c r="E538" t="str">
        <f>IFERROR(IF(D538="","",VLOOKUP(D538,CadProd!$A:$B,2,0)),"")</f>
        <v/>
      </c>
      <c r="F538" t="str">
        <f>IFERROR(IF(D538="","",VLOOKUP(D538,CadProd!$A:$C,3,0)),"")</f>
        <v/>
      </c>
      <c r="I538" s="1" t="str">
        <f t="shared" si="8"/>
        <v/>
      </c>
    </row>
    <row r="539" spans="5:9" x14ac:dyDescent="0.3">
      <c r="E539" t="str">
        <f>IFERROR(IF(D539="","",VLOOKUP(D539,CadProd!$A:$B,2,0)),"")</f>
        <v/>
      </c>
      <c r="F539" t="str">
        <f>IFERROR(IF(D539="","",VLOOKUP(D539,CadProd!$A:$C,3,0)),"")</f>
        <v/>
      </c>
      <c r="I539" s="1" t="str">
        <f t="shared" si="8"/>
        <v/>
      </c>
    </row>
    <row r="540" spans="5:9" x14ac:dyDescent="0.3">
      <c r="E540" t="str">
        <f>IFERROR(IF(D540="","",VLOOKUP(D540,CadProd!$A:$B,2,0)),"")</f>
        <v/>
      </c>
      <c r="F540" t="str">
        <f>IFERROR(IF(D540="","",VLOOKUP(D540,CadProd!$A:$C,3,0)),"")</f>
        <v/>
      </c>
      <c r="I540" s="1" t="str">
        <f t="shared" si="8"/>
        <v/>
      </c>
    </row>
    <row r="541" spans="5:9" x14ac:dyDescent="0.3">
      <c r="E541" t="str">
        <f>IFERROR(IF(D541="","",VLOOKUP(D541,CadProd!$A:$B,2,0)),"")</f>
        <v/>
      </c>
      <c r="F541" t="str">
        <f>IFERROR(IF(D541="","",VLOOKUP(D541,CadProd!$A:$C,3,0)),"")</f>
        <v/>
      </c>
      <c r="I541" s="1" t="str">
        <f t="shared" si="8"/>
        <v/>
      </c>
    </row>
    <row r="542" spans="5:9" x14ac:dyDescent="0.3">
      <c r="E542" t="str">
        <f>IFERROR(IF(D542="","",VLOOKUP(D542,CadProd!$A:$B,2,0)),"")</f>
        <v/>
      </c>
      <c r="F542" t="str">
        <f>IFERROR(IF(D542="","",VLOOKUP(D542,CadProd!$A:$C,3,0)),"")</f>
        <v/>
      </c>
      <c r="I542" s="1" t="str">
        <f t="shared" si="8"/>
        <v/>
      </c>
    </row>
    <row r="543" spans="5:9" x14ac:dyDescent="0.3">
      <c r="E543" t="str">
        <f>IFERROR(IF(D543="","",VLOOKUP(D543,CadProd!$A:$B,2,0)),"")</f>
        <v/>
      </c>
      <c r="F543" t="str">
        <f>IFERROR(IF(D543="","",VLOOKUP(D543,CadProd!$A:$C,3,0)),"")</f>
        <v/>
      </c>
      <c r="I543" s="1" t="str">
        <f t="shared" si="8"/>
        <v/>
      </c>
    </row>
    <row r="544" spans="5:9" x14ac:dyDescent="0.3">
      <c r="E544" t="str">
        <f>IFERROR(IF(D544="","",VLOOKUP(D544,CadProd!$A:$B,2,0)),"")</f>
        <v/>
      </c>
      <c r="F544" t="str">
        <f>IFERROR(IF(D544="","",VLOOKUP(D544,CadProd!$A:$C,3,0)),"")</f>
        <v/>
      </c>
      <c r="I544" s="1" t="str">
        <f t="shared" si="8"/>
        <v/>
      </c>
    </row>
    <row r="545" spans="5:9" x14ac:dyDescent="0.3">
      <c r="E545" t="str">
        <f>IFERROR(IF(D545="","",VLOOKUP(D545,CadProd!$A:$B,2,0)),"")</f>
        <v/>
      </c>
      <c r="F545" t="str">
        <f>IFERROR(IF(D545="","",VLOOKUP(D545,CadProd!$A:$C,3,0)),"")</f>
        <v/>
      </c>
      <c r="I545" s="1" t="str">
        <f t="shared" si="8"/>
        <v/>
      </c>
    </row>
    <row r="546" spans="5:9" x14ac:dyDescent="0.3">
      <c r="E546" t="str">
        <f>IFERROR(IF(D546="","",VLOOKUP(D546,CadProd!$A:$B,2,0)),"")</f>
        <v/>
      </c>
      <c r="F546" t="str">
        <f>IFERROR(IF(D546="","",VLOOKUP(D546,CadProd!$A:$C,3,0)),"")</f>
        <v/>
      </c>
      <c r="I546" s="1" t="str">
        <f t="shared" si="8"/>
        <v/>
      </c>
    </row>
    <row r="547" spans="5:9" x14ac:dyDescent="0.3">
      <c r="E547" t="str">
        <f>IFERROR(IF(D547="","",VLOOKUP(D547,CadProd!$A:$B,2,0)),"")</f>
        <v/>
      </c>
      <c r="F547" t="str">
        <f>IFERROR(IF(D547="","",VLOOKUP(D547,CadProd!$A:$C,3,0)),"")</f>
        <v/>
      </c>
      <c r="I547" s="1" t="str">
        <f t="shared" si="8"/>
        <v/>
      </c>
    </row>
    <row r="548" spans="5:9" x14ac:dyDescent="0.3">
      <c r="E548" t="str">
        <f>IFERROR(IF(D548="","",VLOOKUP(D548,CadProd!$A:$B,2,0)),"")</f>
        <v/>
      </c>
      <c r="F548" t="str">
        <f>IFERROR(IF(D548="","",VLOOKUP(D548,CadProd!$A:$C,3,0)),"")</f>
        <v/>
      </c>
      <c r="I548" s="1" t="str">
        <f t="shared" si="8"/>
        <v/>
      </c>
    </row>
    <row r="549" spans="5:9" x14ac:dyDescent="0.3">
      <c r="E549" t="str">
        <f>IFERROR(IF(D549="","",VLOOKUP(D549,CadProd!$A:$B,2,0)),"")</f>
        <v/>
      </c>
      <c r="F549" t="str">
        <f>IFERROR(IF(D549="","",VLOOKUP(D549,CadProd!$A:$C,3,0)),"")</f>
        <v/>
      </c>
      <c r="I549" s="1" t="str">
        <f t="shared" si="8"/>
        <v/>
      </c>
    </row>
    <row r="550" spans="5:9" x14ac:dyDescent="0.3">
      <c r="E550" t="str">
        <f>IFERROR(IF(D550="","",VLOOKUP(D550,CadProd!$A:$B,2,0)),"")</f>
        <v/>
      </c>
      <c r="F550" t="str">
        <f>IFERROR(IF(D550="","",VLOOKUP(D550,CadProd!$A:$C,3,0)),"")</f>
        <v/>
      </c>
      <c r="I550" s="1" t="str">
        <f t="shared" si="8"/>
        <v/>
      </c>
    </row>
    <row r="551" spans="5:9" x14ac:dyDescent="0.3">
      <c r="E551" t="str">
        <f>IFERROR(IF(D551="","",VLOOKUP(D551,CadProd!$A:$B,2,0)),"")</f>
        <v/>
      </c>
      <c r="F551" t="str">
        <f>IFERROR(IF(D551="","",VLOOKUP(D551,CadProd!$A:$C,3,0)),"")</f>
        <v/>
      </c>
      <c r="I551" s="1" t="str">
        <f t="shared" si="8"/>
        <v/>
      </c>
    </row>
    <row r="552" spans="5:9" x14ac:dyDescent="0.3">
      <c r="E552" t="str">
        <f>IFERROR(IF(D552="","",VLOOKUP(D552,CadProd!$A:$B,2,0)),"")</f>
        <v/>
      </c>
      <c r="F552" t="str">
        <f>IFERROR(IF(D552="","",VLOOKUP(D552,CadProd!$A:$C,3,0)),"")</f>
        <v/>
      </c>
      <c r="I552" s="1" t="str">
        <f t="shared" si="8"/>
        <v/>
      </c>
    </row>
    <row r="553" spans="5:9" x14ac:dyDescent="0.3">
      <c r="E553" t="str">
        <f>IFERROR(IF(D553="","",VLOOKUP(D553,CadProd!$A:$B,2,0)),"")</f>
        <v/>
      </c>
      <c r="F553" t="str">
        <f>IFERROR(IF(D553="","",VLOOKUP(D553,CadProd!$A:$C,3,0)),"")</f>
        <v/>
      </c>
      <c r="I553" s="1" t="str">
        <f t="shared" si="8"/>
        <v/>
      </c>
    </row>
    <row r="554" spans="5:9" x14ac:dyDescent="0.3">
      <c r="E554" t="str">
        <f>IFERROR(IF(D554="","",VLOOKUP(D554,CadProd!$A:$B,2,0)),"")</f>
        <v/>
      </c>
      <c r="F554" t="str">
        <f>IFERROR(IF(D554="","",VLOOKUP(D554,CadProd!$A:$C,3,0)),"")</f>
        <v/>
      </c>
      <c r="I554" s="1" t="str">
        <f t="shared" si="8"/>
        <v/>
      </c>
    </row>
    <row r="555" spans="5:9" x14ac:dyDescent="0.3">
      <c r="E555" t="str">
        <f>IFERROR(IF(D555="","",VLOOKUP(D555,CadProd!$A:$B,2,0)),"")</f>
        <v/>
      </c>
      <c r="F555" t="str">
        <f>IFERROR(IF(D555="","",VLOOKUP(D555,CadProd!$A:$C,3,0)),"")</f>
        <v/>
      </c>
      <c r="I555" s="1" t="str">
        <f t="shared" si="8"/>
        <v/>
      </c>
    </row>
    <row r="556" spans="5:9" x14ac:dyDescent="0.3">
      <c r="E556" t="str">
        <f>IFERROR(IF(D556="","",VLOOKUP(D556,CadProd!$A:$B,2,0)),"")</f>
        <v/>
      </c>
      <c r="F556" t="str">
        <f>IFERROR(IF(D556="","",VLOOKUP(D556,CadProd!$A:$C,3,0)),"")</f>
        <v/>
      </c>
      <c r="I556" s="1" t="str">
        <f t="shared" si="8"/>
        <v/>
      </c>
    </row>
    <row r="557" spans="5:9" x14ac:dyDescent="0.3">
      <c r="E557" t="str">
        <f>IFERROR(IF(D557="","",VLOOKUP(D557,CadProd!$A:$B,2,0)),"")</f>
        <v/>
      </c>
      <c r="F557" t="str">
        <f>IFERROR(IF(D557="","",VLOOKUP(D557,CadProd!$A:$C,3,0)),"")</f>
        <v/>
      </c>
      <c r="I557" s="1" t="str">
        <f t="shared" si="8"/>
        <v/>
      </c>
    </row>
    <row r="558" spans="5:9" x14ac:dyDescent="0.3">
      <c r="E558" t="str">
        <f>IFERROR(IF(D558="","",VLOOKUP(D558,CadProd!$A:$B,2,0)),"")</f>
        <v/>
      </c>
      <c r="F558" t="str">
        <f>IFERROR(IF(D558="","",VLOOKUP(D558,CadProd!$A:$C,3,0)),"")</f>
        <v/>
      </c>
      <c r="I558" s="1" t="str">
        <f t="shared" si="8"/>
        <v/>
      </c>
    </row>
    <row r="559" spans="5:9" x14ac:dyDescent="0.3">
      <c r="E559" t="str">
        <f>IFERROR(IF(D559="","",VLOOKUP(D559,CadProd!$A:$B,2,0)),"")</f>
        <v/>
      </c>
      <c r="F559" t="str">
        <f>IFERROR(IF(D559="","",VLOOKUP(D559,CadProd!$A:$C,3,0)),"")</f>
        <v/>
      </c>
      <c r="I559" s="1" t="str">
        <f t="shared" si="8"/>
        <v/>
      </c>
    </row>
    <row r="560" spans="5:9" x14ac:dyDescent="0.3">
      <c r="E560" t="str">
        <f>IFERROR(IF(D560="","",VLOOKUP(D560,CadProd!$A:$B,2,0)),"")</f>
        <v/>
      </c>
      <c r="F560" t="str">
        <f>IFERROR(IF(D560="","",VLOOKUP(D560,CadProd!$A:$C,3,0)),"")</f>
        <v/>
      </c>
      <c r="I560" s="1" t="str">
        <f t="shared" si="8"/>
        <v/>
      </c>
    </row>
    <row r="561" spans="5:9" x14ac:dyDescent="0.3">
      <c r="E561" t="str">
        <f>IFERROR(IF(D561="","",VLOOKUP(D561,CadProd!$A:$B,2,0)),"")</f>
        <v/>
      </c>
      <c r="F561" t="str">
        <f>IFERROR(IF(D561="","",VLOOKUP(D561,CadProd!$A:$C,3,0)),"")</f>
        <v/>
      </c>
      <c r="I561" s="1" t="str">
        <f t="shared" si="8"/>
        <v/>
      </c>
    </row>
    <row r="562" spans="5:9" x14ac:dyDescent="0.3">
      <c r="E562" t="str">
        <f>IFERROR(IF(D562="","",VLOOKUP(D562,CadProd!$A:$B,2,0)),"")</f>
        <v/>
      </c>
      <c r="F562" t="str">
        <f>IFERROR(IF(D562="","",VLOOKUP(D562,CadProd!$A:$C,3,0)),"")</f>
        <v/>
      </c>
      <c r="I562" s="1" t="str">
        <f t="shared" si="8"/>
        <v/>
      </c>
    </row>
    <row r="563" spans="5:9" x14ac:dyDescent="0.3">
      <c r="E563" t="str">
        <f>IFERROR(IF(D563="","",VLOOKUP(D563,CadProd!$A:$B,2,0)),"")</f>
        <v/>
      </c>
      <c r="F563" t="str">
        <f>IFERROR(IF(D563="","",VLOOKUP(D563,CadProd!$A:$C,3,0)),"")</f>
        <v/>
      </c>
      <c r="I563" s="1" t="str">
        <f t="shared" si="8"/>
        <v/>
      </c>
    </row>
    <row r="564" spans="5:9" x14ac:dyDescent="0.3">
      <c r="E564" t="str">
        <f>IFERROR(IF(D564="","",VLOOKUP(D564,CadProd!$A:$B,2,0)),"")</f>
        <v/>
      </c>
      <c r="F564" t="str">
        <f>IFERROR(IF(D564="","",VLOOKUP(D564,CadProd!$A:$C,3,0)),"")</f>
        <v/>
      </c>
      <c r="I564" s="1" t="str">
        <f t="shared" si="8"/>
        <v/>
      </c>
    </row>
    <row r="565" spans="5:9" x14ac:dyDescent="0.3">
      <c r="E565" t="str">
        <f>IFERROR(IF(D565="","",VLOOKUP(D565,CadProd!$A:$B,2,0)),"")</f>
        <v/>
      </c>
      <c r="F565" t="str">
        <f>IFERROR(IF(D565="","",VLOOKUP(D565,CadProd!$A:$C,3,0)),"")</f>
        <v/>
      </c>
      <c r="I565" s="1" t="str">
        <f t="shared" si="8"/>
        <v/>
      </c>
    </row>
    <row r="566" spans="5:9" x14ac:dyDescent="0.3">
      <c r="E566" t="str">
        <f>IFERROR(IF(D566="","",VLOOKUP(D566,CadProd!$A:$B,2,0)),"")</f>
        <v/>
      </c>
      <c r="F566" t="str">
        <f>IFERROR(IF(D566="","",VLOOKUP(D566,CadProd!$A:$C,3,0)),"")</f>
        <v/>
      </c>
      <c r="I566" s="1" t="str">
        <f t="shared" si="8"/>
        <v/>
      </c>
    </row>
    <row r="567" spans="5:9" x14ac:dyDescent="0.3">
      <c r="E567" t="str">
        <f>IFERROR(IF(D567="","",VLOOKUP(D567,CadProd!$A:$B,2,0)),"")</f>
        <v/>
      </c>
      <c r="F567" t="str">
        <f>IFERROR(IF(D567="","",VLOOKUP(D567,CadProd!$A:$C,3,0)),"")</f>
        <v/>
      </c>
      <c r="I567" s="1" t="str">
        <f t="shared" si="8"/>
        <v/>
      </c>
    </row>
    <row r="568" spans="5:9" x14ac:dyDescent="0.3">
      <c r="E568" t="str">
        <f>IFERROR(IF(D568="","",VLOOKUP(D568,CadProd!$A:$B,2,0)),"")</f>
        <v/>
      </c>
      <c r="F568" t="str">
        <f>IFERROR(IF(D568="","",VLOOKUP(D568,CadProd!$A:$C,3,0)),"")</f>
        <v/>
      </c>
      <c r="I568" s="1" t="str">
        <f t="shared" si="8"/>
        <v/>
      </c>
    </row>
    <row r="569" spans="5:9" x14ac:dyDescent="0.3">
      <c r="E569" t="str">
        <f>IFERROR(IF(D569="","",VLOOKUP(D569,CadProd!$A:$B,2,0)),"")</f>
        <v/>
      </c>
      <c r="F569" t="str">
        <f>IFERROR(IF(D569="","",VLOOKUP(D569,CadProd!$A:$C,3,0)),"")</f>
        <v/>
      </c>
      <c r="I569" s="1" t="str">
        <f t="shared" si="8"/>
        <v/>
      </c>
    </row>
    <row r="570" spans="5:9" x14ac:dyDescent="0.3">
      <c r="E570" t="str">
        <f>IFERROR(IF(D570="","",VLOOKUP(D570,CadProd!$A:$B,2,0)),"")</f>
        <v/>
      </c>
      <c r="F570" t="str">
        <f>IFERROR(IF(D570="","",VLOOKUP(D570,CadProd!$A:$C,3,0)),"")</f>
        <v/>
      </c>
      <c r="I570" s="1" t="str">
        <f t="shared" si="8"/>
        <v/>
      </c>
    </row>
    <row r="571" spans="5:9" x14ac:dyDescent="0.3">
      <c r="E571" t="str">
        <f>IFERROR(IF(D571="","",VLOOKUP(D571,CadProd!$A:$B,2,0)),"")</f>
        <v/>
      </c>
      <c r="F571" t="str">
        <f>IFERROR(IF(D571="","",VLOOKUP(D571,CadProd!$A:$C,3,0)),"")</f>
        <v/>
      </c>
      <c r="I571" s="1" t="str">
        <f t="shared" si="8"/>
        <v/>
      </c>
    </row>
    <row r="572" spans="5:9" x14ac:dyDescent="0.3">
      <c r="E572" t="str">
        <f>IFERROR(IF(D572="","",VLOOKUP(D572,CadProd!$A:$B,2,0)),"")</f>
        <v/>
      </c>
      <c r="F572" t="str">
        <f>IFERROR(IF(D572="","",VLOOKUP(D572,CadProd!$A:$C,3,0)),"")</f>
        <v/>
      </c>
      <c r="I572" s="1" t="str">
        <f t="shared" si="8"/>
        <v/>
      </c>
    </row>
    <row r="573" spans="5:9" x14ac:dyDescent="0.3">
      <c r="E573" t="str">
        <f>IFERROR(IF(D573="","",VLOOKUP(D573,CadProd!$A:$B,2,0)),"")</f>
        <v/>
      </c>
      <c r="F573" t="str">
        <f>IFERROR(IF(D573="","",VLOOKUP(D573,CadProd!$A:$C,3,0)),"")</f>
        <v/>
      </c>
      <c r="I573" s="1" t="str">
        <f t="shared" si="8"/>
        <v/>
      </c>
    </row>
    <row r="574" spans="5:9" x14ac:dyDescent="0.3">
      <c r="E574" t="str">
        <f>IFERROR(IF(D574="","",VLOOKUP(D574,CadProd!$A:$B,2,0)),"")</f>
        <v/>
      </c>
      <c r="F574" t="str">
        <f>IFERROR(IF(D574="","",VLOOKUP(D574,CadProd!$A:$C,3,0)),"")</f>
        <v/>
      </c>
      <c r="I574" s="1" t="str">
        <f t="shared" si="8"/>
        <v/>
      </c>
    </row>
    <row r="575" spans="5:9" x14ac:dyDescent="0.3">
      <c r="E575" t="str">
        <f>IFERROR(IF(D575="","",VLOOKUP(D575,CadProd!$A:$B,2,0)),"")</f>
        <v/>
      </c>
      <c r="F575" t="str">
        <f>IFERROR(IF(D575="","",VLOOKUP(D575,CadProd!$A:$C,3,0)),"")</f>
        <v/>
      </c>
      <c r="I575" s="1" t="str">
        <f t="shared" si="8"/>
        <v/>
      </c>
    </row>
    <row r="576" spans="5:9" x14ac:dyDescent="0.3">
      <c r="E576" t="str">
        <f>IFERROR(IF(D576="","",VLOOKUP(D576,CadProd!$A:$B,2,0)),"")</f>
        <v/>
      </c>
      <c r="F576" t="str">
        <f>IFERROR(IF(D576="","",VLOOKUP(D576,CadProd!$A:$C,3,0)),"")</f>
        <v/>
      </c>
      <c r="I576" s="1" t="str">
        <f t="shared" si="8"/>
        <v/>
      </c>
    </row>
    <row r="577" spans="5:9" x14ac:dyDescent="0.3">
      <c r="E577" t="str">
        <f>IFERROR(IF(D577="","",VLOOKUP(D577,CadProd!$A:$B,2,0)),"")</f>
        <v/>
      </c>
      <c r="F577" t="str">
        <f>IFERROR(IF(D577="","",VLOOKUP(D577,CadProd!$A:$C,3,0)),"")</f>
        <v/>
      </c>
      <c r="I577" s="1" t="str">
        <f t="shared" si="8"/>
        <v/>
      </c>
    </row>
    <row r="578" spans="5:9" x14ac:dyDescent="0.3">
      <c r="E578" t="str">
        <f>IFERROR(IF(D578="","",VLOOKUP(D578,CadProd!$A:$B,2,0)),"")</f>
        <v/>
      </c>
      <c r="F578" t="str">
        <f>IFERROR(IF(D578="","",VLOOKUP(D578,CadProd!$A:$C,3,0)),"")</f>
        <v/>
      </c>
      <c r="I578" s="1" t="str">
        <f t="shared" si="8"/>
        <v/>
      </c>
    </row>
    <row r="579" spans="5:9" x14ac:dyDescent="0.3">
      <c r="E579" t="str">
        <f>IFERROR(IF(D579="","",VLOOKUP(D579,CadProd!$A:$B,2,0)),"")</f>
        <v/>
      </c>
      <c r="F579" t="str">
        <f>IFERROR(IF(D579="","",VLOOKUP(D579,CadProd!$A:$C,3,0)),"")</f>
        <v/>
      </c>
      <c r="I579" s="1" t="str">
        <f t="shared" si="8"/>
        <v/>
      </c>
    </row>
    <row r="580" spans="5:9" x14ac:dyDescent="0.3">
      <c r="E580" t="str">
        <f>IFERROR(IF(D580="","",VLOOKUP(D580,CadProd!$A:$B,2,0)),"")</f>
        <v/>
      </c>
      <c r="F580" t="str">
        <f>IFERROR(IF(D580="","",VLOOKUP(D580,CadProd!$A:$C,3,0)),"")</f>
        <v/>
      </c>
      <c r="I580" s="1" t="str">
        <f t="shared" si="8"/>
        <v/>
      </c>
    </row>
    <row r="581" spans="5:9" x14ac:dyDescent="0.3">
      <c r="E581" t="str">
        <f>IFERROR(IF(D581="","",VLOOKUP(D581,CadProd!$A:$B,2,0)),"")</f>
        <v/>
      </c>
      <c r="F581" t="str">
        <f>IFERROR(IF(D581="","",VLOOKUP(D581,CadProd!$A:$C,3,0)),"")</f>
        <v/>
      </c>
      <c r="I581" s="1" t="str">
        <f t="shared" si="8"/>
        <v/>
      </c>
    </row>
    <row r="582" spans="5:9" x14ac:dyDescent="0.3">
      <c r="E582" t="str">
        <f>IFERROR(IF(D582="","",VLOOKUP(D582,CadProd!$A:$B,2,0)),"")</f>
        <v/>
      </c>
      <c r="F582" t="str">
        <f>IFERROR(IF(D582="","",VLOOKUP(D582,CadProd!$A:$C,3,0)),"")</f>
        <v/>
      </c>
      <c r="I582" s="1" t="str">
        <f t="shared" si="8"/>
        <v/>
      </c>
    </row>
    <row r="583" spans="5:9" x14ac:dyDescent="0.3">
      <c r="E583" t="str">
        <f>IFERROR(IF(D583="","",VLOOKUP(D583,CadProd!$A:$B,2,0)),"")</f>
        <v/>
      </c>
      <c r="F583" t="str">
        <f>IFERROR(IF(D583="","",VLOOKUP(D583,CadProd!$A:$C,3,0)),"")</f>
        <v/>
      </c>
      <c r="I583" s="1" t="str">
        <f t="shared" si="8"/>
        <v/>
      </c>
    </row>
    <row r="584" spans="5:9" x14ac:dyDescent="0.3">
      <c r="E584" t="str">
        <f>IFERROR(IF(D584="","",VLOOKUP(D584,CadProd!$A:$B,2,0)),"")</f>
        <v/>
      </c>
      <c r="F584" t="str">
        <f>IFERROR(IF(D584="","",VLOOKUP(D584,CadProd!$A:$C,3,0)),"")</f>
        <v/>
      </c>
      <c r="I584" s="1" t="str">
        <f t="shared" si="8"/>
        <v/>
      </c>
    </row>
    <row r="585" spans="5:9" x14ac:dyDescent="0.3">
      <c r="E585" t="str">
        <f>IFERROR(IF(D585="","",VLOOKUP(D585,CadProd!$A:$B,2,0)),"")</f>
        <v/>
      </c>
      <c r="F585" t="str">
        <f>IFERROR(IF(D585="","",VLOOKUP(D585,CadProd!$A:$C,3,0)),"")</f>
        <v/>
      </c>
      <c r="I585" s="1" t="str">
        <f t="shared" si="8"/>
        <v/>
      </c>
    </row>
    <row r="586" spans="5:9" x14ac:dyDescent="0.3">
      <c r="E586" t="str">
        <f>IFERROR(IF(D586="","",VLOOKUP(D586,CadProd!$A:$B,2,0)),"")</f>
        <v/>
      </c>
      <c r="F586" t="str">
        <f>IFERROR(IF(D586="","",VLOOKUP(D586,CadProd!$A:$C,3,0)),"")</f>
        <v/>
      </c>
      <c r="I586" s="1" t="str">
        <f t="shared" si="8"/>
        <v/>
      </c>
    </row>
    <row r="587" spans="5:9" x14ac:dyDescent="0.3">
      <c r="E587" t="str">
        <f>IFERROR(IF(D587="","",VLOOKUP(D587,CadProd!$A:$B,2,0)),"")</f>
        <v/>
      </c>
      <c r="F587" t="str">
        <f>IFERROR(IF(D587="","",VLOOKUP(D587,CadProd!$A:$C,3,0)),"")</f>
        <v/>
      </c>
      <c r="I587" s="1" t="str">
        <f t="shared" ref="I587:I650" si="9">IFERROR(IF(D587="","",H587*G587),"")</f>
        <v/>
      </c>
    </row>
    <row r="588" spans="5:9" x14ac:dyDescent="0.3">
      <c r="E588" t="str">
        <f>IFERROR(IF(D588="","",VLOOKUP(D588,CadProd!$A:$B,2,0)),"")</f>
        <v/>
      </c>
      <c r="F588" t="str">
        <f>IFERROR(IF(D588="","",VLOOKUP(D588,CadProd!$A:$C,3,0)),"")</f>
        <v/>
      </c>
      <c r="I588" s="1" t="str">
        <f t="shared" si="9"/>
        <v/>
      </c>
    </row>
    <row r="589" spans="5:9" x14ac:dyDescent="0.3">
      <c r="E589" t="str">
        <f>IFERROR(IF(D589="","",VLOOKUP(D589,CadProd!$A:$B,2,0)),"")</f>
        <v/>
      </c>
      <c r="F589" t="str">
        <f>IFERROR(IF(D589="","",VLOOKUP(D589,CadProd!$A:$C,3,0)),"")</f>
        <v/>
      </c>
      <c r="I589" s="1" t="str">
        <f t="shared" si="9"/>
        <v/>
      </c>
    </row>
    <row r="590" spans="5:9" x14ac:dyDescent="0.3">
      <c r="E590" t="str">
        <f>IFERROR(IF(D590="","",VLOOKUP(D590,CadProd!$A:$B,2,0)),"")</f>
        <v/>
      </c>
      <c r="F590" t="str">
        <f>IFERROR(IF(D590="","",VLOOKUP(D590,CadProd!$A:$C,3,0)),"")</f>
        <v/>
      </c>
      <c r="I590" s="1" t="str">
        <f t="shared" si="9"/>
        <v/>
      </c>
    </row>
    <row r="591" spans="5:9" x14ac:dyDescent="0.3">
      <c r="E591" t="str">
        <f>IFERROR(IF(D591="","",VLOOKUP(D591,CadProd!$A:$B,2,0)),"")</f>
        <v/>
      </c>
      <c r="F591" t="str">
        <f>IFERROR(IF(D591="","",VLOOKUP(D591,CadProd!$A:$C,3,0)),"")</f>
        <v/>
      </c>
      <c r="I591" s="1" t="str">
        <f t="shared" si="9"/>
        <v/>
      </c>
    </row>
    <row r="592" spans="5:9" x14ac:dyDescent="0.3">
      <c r="E592" t="str">
        <f>IFERROR(IF(D592="","",VLOOKUP(D592,CadProd!$A:$B,2,0)),"")</f>
        <v/>
      </c>
      <c r="F592" t="str">
        <f>IFERROR(IF(D592="","",VLOOKUP(D592,CadProd!$A:$C,3,0)),"")</f>
        <v/>
      </c>
      <c r="I592" s="1" t="str">
        <f t="shared" si="9"/>
        <v/>
      </c>
    </row>
    <row r="593" spans="5:9" x14ac:dyDescent="0.3">
      <c r="E593" t="str">
        <f>IFERROR(IF(D593="","",VLOOKUP(D593,CadProd!$A:$B,2,0)),"")</f>
        <v/>
      </c>
      <c r="F593" t="str">
        <f>IFERROR(IF(D593="","",VLOOKUP(D593,CadProd!$A:$C,3,0)),"")</f>
        <v/>
      </c>
      <c r="I593" s="1" t="str">
        <f t="shared" si="9"/>
        <v/>
      </c>
    </row>
    <row r="594" spans="5:9" x14ac:dyDescent="0.3">
      <c r="E594" t="str">
        <f>IFERROR(IF(D594="","",VLOOKUP(D594,CadProd!$A:$B,2,0)),"")</f>
        <v/>
      </c>
      <c r="F594" t="str">
        <f>IFERROR(IF(D594="","",VLOOKUP(D594,CadProd!$A:$C,3,0)),"")</f>
        <v/>
      </c>
      <c r="I594" s="1" t="str">
        <f t="shared" si="9"/>
        <v/>
      </c>
    </row>
    <row r="595" spans="5:9" x14ac:dyDescent="0.3">
      <c r="E595" t="str">
        <f>IFERROR(IF(D595="","",VLOOKUP(D595,CadProd!$A:$B,2,0)),"")</f>
        <v/>
      </c>
      <c r="F595" t="str">
        <f>IFERROR(IF(D595="","",VLOOKUP(D595,CadProd!$A:$C,3,0)),"")</f>
        <v/>
      </c>
      <c r="I595" s="1" t="str">
        <f t="shared" si="9"/>
        <v/>
      </c>
    </row>
    <row r="596" spans="5:9" x14ac:dyDescent="0.3">
      <c r="E596" t="str">
        <f>IFERROR(IF(D596="","",VLOOKUP(D596,CadProd!$A:$B,2,0)),"")</f>
        <v/>
      </c>
      <c r="F596" t="str">
        <f>IFERROR(IF(D596="","",VLOOKUP(D596,CadProd!$A:$C,3,0)),"")</f>
        <v/>
      </c>
      <c r="I596" s="1" t="str">
        <f t="shared" si="9"/>
        <v/>
      </c>
    </row>
    <row r="597" spans="5:9" x14ac:dyDescent="0.3">
      <c r="E597" t="str">
        <f>IFERROR(IF(D597="","",VLOOKUP(D597,CadProd!$A:$B,2,0)),"")</f>
        <v/>
      </c>
      <c r="F597" t="str">
        <f>IFERROR(IF(D597="","",VLOOKUP(D597,CadProd!$A:$C,3,0)),"")</f>
        <v/>
      </c>
      <c r="I597" s="1" t="str">
        <f t="shared" si="9"/>
        <v/>
      </c>
    </row>
    <row r="598" spans="5:9" x14ac:dyDescent="0.3">
      <c r="E598" t="str">
        <f>IFERROR(IF(D598="","",VLOOKUP(D598,CadProd!$A:$B,2,0)),"")</f>
        <v/>
      </c>
      <c r="F598" t="str">
        <f>IFERROR(IF(D598="","",VLOOKUP(D598,CadProd!$A:$C,3,0)),"")</f>
        <v/>
      </c>
      <c r="I598" s="1" t="str">
        <f t="shared" si="9"/>
        <v/>
      </c>
    </row>
    <row r="599" spans="5:9" x14ac:dyDescent="0.3">
      <c r="E599" t="str">
        <f>IFERROR(IF(D599="","",VLOOKUP(D599,CadProd!$A:$B,2,0)),"")</f>
        <v/>
      </c>
      <c r="F599" t="str">
        <f>IFERROR(IF(D599="","",VLOOKUP(D599,CadProd!$A:$C,3,0)),"")</f>
        <v/>
      </c>
      <c r="I599" s="1" t="str">
        <f t="shared" si="9"/>
        <v/>
      </c>
    </row>
    <row r="600" spans="5:9" x14ac:dyDescent="0.3">
      <c r="E600" t="str">
        <f>IFERROR(IF(D600="","",VLOOKUP(D600,CadProd!$A:$B,2,0)),"")</f>
        <v/>
      </c>
      <c r="F600" t="str">
        <f>IFERROR(IF(D600="","",VLOOKUP(D600,CadProd!$A:$C,3,0)),"")</f>
        <v/>
      </c>
      <c r="I600" s="1" t="str">
        <f t="shared" si="9"/>
        <v/>
      </c>
    </row>
    <row r="601" spans="5:9" x14ac:dyDescent="0.3">
      <c r="E601" t="str">
        <f>IFERROR(IF(D601="","",VLOOKUP(D601,CadProd!$A:$B,2,0)),"")</f>
        <v/>
      </c>
      <c r="F601" t="str">
        <f>IFERROR(IF(D601="","",VLOOKUP(D601,CadProd!$A:$C,3,0)),"")</f>
        <v/>
      </c>
      <c r="I601" s="1" t="str">
        <f t="shared" si="9"/>
        <v/>
      </c>
    </row>
    <row r="602" spans="5:9" x14ac:dyDescent="0.3">
      <c r="E602" t="str">
        <f>IFERROR(IF(D602="","",VLOOKUP(D602,CadProd!$A:$B,2,0)),"")</f>
        <v/>
      </c>
      <c r="F602" t="str">
        <f>IFERROR(IF(D602="","",VLOOKUP(D602,CadProd!$A:$C,3,0)),"")</f>
        <v/>
      </c>
      <c r="I602" s="1" t="str">
        <f t="shared" si="9"/>
        <v/>
      </c>
    </row>
    <row r="603" spans="5:9" x14ac:dyDescent="0.3">
      <c r="E603" t="str">
        <f>IFERROR(IF(D603="","",VLOOKUP(D603,CadProd!$A:$B,2,0)),"")</f>
        <v/>
      </c>
      <c r="F603" t="str">
        <f>IFERROR(IF(D603="","",VLOOKUP(D603,CadProd!$A:$C,3,0)),"")</f>
        <v/>
      </c>
      <c r="I603" s="1" t="str">
        <f t="shared" si="9"/>
        <v/>
      </c>
    </row>
    <row r="604" spans="5:9" x14ac:dyDescent="0.3">
      <c r="E604" t="str">
        <f>IFERROR(IF(D604="","",VLOOKUP(D604,CadProd!$A:$B,2,0)),"")</f>
        <v/>
      </c>
      <c r="F604" t="str">
        <f>IFERROR(IF(D604="","",VLOOKUP(D604,CadProd!$A:$C,3,0)),"")</f>
        <v/>
      </c>
      <c r="I604" s="1" t="str">
        <f t="shared" si="9"/>
        <v/>
      </c>
    </row>
    <row r="605" spans="5:9" x14ac:dyDescent="0.3">
      <c r="E605" t="str">
        <f>IFERROR(IF(D605="","",VLOOKUP(D605,CadProd!$A:$B,2,0)),"")</f>
        <v/>
      </c>
      <c r="F605" t="str">
        <f>IFERROR(IF(D605="","",VLOOKUP(D605,CadProd!$A:$C,3,0)),"")</f>
        <v/>
      </c>
      <c r="I605" s="1" t="str">
        <f t="shared" si="9"/>
        <v/>
      </c>
    </row>
    <row r="606" spans="5:9" x14ac:dyDescent="0.3">
      <c r="E606" t="str">
        <f>IFERROR(IF(D606="","",VLOOKUP(D606,CadProd!$A:$B,2,0)),"")</f>
        <v/>
      </c>
      <c r="F606" t="str">
        <f>IFERROR(IF(D606="","",VLOOKUP(D606,CadProd!$A:$C,3,0)),"")</f>
        <v/>
      </c>
      <c r="I606" s="1" t="str">
        <f t="shared" si="9"/>
        <v/>
      </c>
    </row>
    <row r="607" spans="5:9" x14ac:dyDescent="0.3">
      <c r="E607" t="str">
        <f>IFERROR(IF(D607="","",VLOOKUP(D607,CadProd!$A:$B,2,0)),"")</f>
        <v/>
      </c>
      <c r="F607" t="str">
        <f>IFERROR(IF(D607="","",VLOOKUP(D607,CadProd!$A:$C,3,0)),"")</f>
        <v/>
      </c>
      <c r="I607" s="1" t="str">
        <f t="shared" si="9"/>
        <v/>
      </c>
    </row>
    <row r="608" spans="5:9" x14ac:dyDescent="0.3">
      <c r="E608" t="str">
        <f>IFERROR(IF(D608="","",VLOOKUP(D608,CadProd!$A:$B,2,0)),"")</f>
        <v/>
      </c>
      <c r="F608" t="str">
        <f>IFERROR(IF(D608="","",VLOOKUP(D608,CadProd!$A:$C,3,0)),"")</f>
        <v/>
      </c>
      <c r="I608" s="1" t="str">
        <f t="shared" si="9"/>
        <v/>
      </c>
    </row>
    <row r="609" spans="5:9" x14ac:dyDescent="0.3">
      <c r="E609" t="str">
        <f>IFERROR(IF(D609="","",VLOOKUP(D609,CadProd!$A:$B,2,0)),"")</f>
        <v/>
      </c>
      <c r="F609" t="str">
        <f>IFERROR(IF(D609="","",VLOOKUP(D609,CadProd!$A:$C,3,0)),"")</f>
        <v/>
      </c>
      <c r="I609" s="1" t="str">
        <f t="shared" si="9"/>
        <v/>
      </c>
    </row>
    <row r="610" spans="5:9" x14ac:dyDescent="0.3">
      <c r="E610" t="str">
        <f>IFERROR(IF(D610="","",VLOOKUP(D610,CadProd!$A:$B,2,0)),"")</f>
        <v/>
      </c>
      <c r="F610" t="str">
        <f>IFERROR(IF(D610="","",VLOOKUP(D610,CadProd!$A:$C,3,0)),"")</f>
        <v/>
      </c>
      <c r="I610" s="1" t="str">
        <f t="shared" si="9"/>
        <v/>
      </c>
    </row>
    <row r="611" spans="5:9" x14ac:dyDescent="0.3">
      <c r="E611" t="str">
        <f>IFERROR(IF(D611="","",VLOOKUP(D611,CadProd!$A:$B,2,0)),"")</f>
        <v/>
      </c>
      <c r="F611" t="str">
        <f>IFERROR(IF(D611="","",VLOOKUP(D611,CadProd!$A:$C,3,0)),"")</f>
        <v/>
      </c>
      <c r="I611" s="1" t="str">
        <f t="shared" si="9"/>
        <v/>
      </c>
    </row>
    <row r="612" spans="5:9" x14ac:dyDescent="0.3">
      <c r="E612" t="str">
        <f>IFERROR(IF(D612="","",VLOOKUP(D612,CadProd!$A:$B,2,0)),"")</f>
        <v/>
      </c>
      <c r="F612" t="str">
        <f>IFERROR(IF(D612="","",VLOOKUP(D612,CadProd!$A:$C,3,0)),"")</f>
        <v/>
      </c>
      <c r="I612" s="1" t="str">
        <f t="shared" si="9"/>
        <v/>
      </c>
    </row>
    <row r="613" spans="5:9" x14ac:dyDescent="0.3">
      <c r="E613" t="str">
        <f>IFERROR(IF(D613="","",VLOOKUP(D613,CadProd!$A:$B,2,0)),"")</f>
        <v/>
      </c>
      <c r="F613" t="str">
        <f>IFERROR(IF(D613="","",VLOOKUP(D613,CadProd!$A:$C,3,0)),"")</f>
        <v/>
      </c>
      <c r="I613" s="1" t="str">
        <f t="shared" si="9"/>
        <v/>
      </c>
    </row>
    <row r="614" spans="5:9" x14ac:dyDescent="0.3">
      <c r="E614" t="str">
        <f>IFERROR(IF(D614="","",VLOOKUP(D614,CadProd!$A:$B,2,0)),"")</f>
        <v/>
      </c>
      <c r="F614" t="str">
        <f>IFERROR(IF(D614="","",VLOOKUP(D614,CadProd!$A:$C,3,0)),"")</f>
        <v/>
      </c>
      <c r="I614" s="1" t="str">
        <f t="shared" si="9"/>
        <v/>
      </c>
    </row>
    <row r="615" spans="5:9" x14ac:dyDescent="0.3">
      <c r="E615" t="str">
        <f>IFERROR(IF(D615="","",VLOOKUP(D615,CadProd!$A:$B,2,0)),"")</f>
        <v/>
      </c>
      <c r="F615" t="str">
        <f>IFERROR(IF(D615="","",VLOOKUP(D615,CadProd!$A:$C,3,0)),"")</f>
        <v/>
      </c>
      <c r="I615" s="1" t="str">
        <f t="shared" si="9"/>
        <v/>
      </c>
    </row>
    <row r="616" spans="5:9" x14ac:dyDescent="0.3">
      <c r="E616" t="str">
        <f>IFERROR(IF(D616="","",VLOOKUP(D616,CadProd!$A:$B,2,0)),"")</f>
        <v/>
      </c>
      <c r="F616" t="str">
        <f>IFERROR(IF(D616="","",VLOOKUP(D616,CadProd!$A:$C,3,0)),"")</f>
        <v/>
      </c>
      <c r="I616" s="1" t="str">
        <f t="shared" si="9"/>
        <v/>
      </c>
    </row>
    <row r="617" spans="5:9" x14ac:dyDescent="0.3">
      <c r="E617" t="str">
        <f>IFERROR(IF(D617="","",VLOOKUP(D617,CadProd!$A:$B,2,0)),"")</f>
        <v/>
      </c>
      <c r="F617" t="str">
        <f>IFERROR(IF(D617="","",VLOOKUP(D617,CadProd!$A:$C,3,0)),"")</f>
        <v/>
      </c>
      <c r="I617" s="1" t="str">
        <f t="shared" si="9"/>
        <v/>
      </c>
    </row>
    <row r="618" spans="5:9" x14ac:dyDescent="0.3">
      <c r="E618" t="str">
        <f>IFERROR(IF(D618="","",VLOOKUP(D618,CadProd!$A:$B,2,0)),"")</f>
        <v/>
      </c>
      <c r="F618" t="str">
        <f>IFERROR(IF(D618="","",VLOOKUP(D618,CadProd!$A:$C,3,0)),"")</f>
        <v/>
      </c>
      <c r="I618" s="1" t="str">
        <f t="shared" si="9"/>
        <v/>
      </c>
    </row>
    <row r="619" spans="5:9" x14ac:dyDescent="0.3">
      <c r="E619" t="str">
        <f>IFERROR(IF(D619="","",VLOOKUP(D619,CadProd!$A:$B,2,0)),"")</f>
        <v/>
      </c>
      <c r="F619" t="str">
        <f>IFERROR(IF(D619="","",VLOOKUP(D619,CadProd!$A:$C,3,0)),"")</f>
        <v/>
      </c>
      <c r="I619" s="1" t="str">
        <f t="shared" si="9"/>
        <v/>
      </c>
    </row>
    <row r="620" spans="5:9" x14ac:dyDescent="0.3">
      <c r="E620" t="str">
        <f>IFERROR(IF(D620="","",VLOOKUP(D620,CadProd!$A:$B,2,0)),"")</f>
        <v/>
      </c>
      <c r="F620" t="str">
        <f>IFERROR(IF(D620="","",VLOOKUP(D620,CadProd!$A:$C,3,0)),"")</f>
        <v/>
      </c>
      <c r="I620" s="1" t="str">
        <f t="shared" si="9"/>
        <v/>
      </c>
    </row>
    <row r="621" spans="5:9" x14ac:dyDescent="0.3">
      <c r="E621" t="str">
        <f>IFERROR(IF(D621="","",VLOOKUP(D621,CadProd!$A:$B,2,0)),"")</f>
        <v/>
      </c>
      <c r="F621" t="str">
        <f>IFERROR(IF(D621="","",VLOOKUP(D621,CadProd!$A:$C,3,0)),"")</f>
        <v/>
      </c>
      <c r="I621" s="1" t="str">
        <f t="shared" si="9"/>
        <v/>
      </c>
    </row>
    <row r="622" spans="5:9" x14ac:dyDescent="0.3">
      <c r="E622" t="str">
        <f>IFERROR(IF(D622="","",VLOOKUP(D622,CadProd!$A:$B,2,0)),"")</f>
        <v/>
      </c>
      <c r="F622" t="str">
        <f>IFERROR(IF(D622="","",VLOOKUP(D622,CadProd!$A:$C,3,0)),"")</f>
        <v/>
      </c>
      <c r="I622" s="1" t="str">
        <f t="shared" si="9"/>
        <v/>
      </c>
    </row>
    <row r="623" spans="5:9" x14ac:dyDescent="0.3">
      <c r="E623" t="str">
        <f>IFERROR(IF(D623="","",VLOOKUP(D623,CadProd!$A:$B,2,0)),"")</f>
        <v/>
      </c>
      <c r="F623" t="str">
        <f>IFERROR(IF(D623="","",VLOOKUP(D623,CadProd!$A:$C,3,0)),"")</f>
        <v/>
      </c>
      <c r="I623" s="1" t="str">
        <f t="shared" si="9"/>
        <v/>
      </c>
    </row>
    <row r="624" spans="5:9" x14ac:dyDescent="0.3">
      <c r="E624" t="str">
        <f>IFERROR(IF(D624="","",VLOOKUP(D624,CadProd!$A:$B,2,0)),"")</f>
        <v/>
      </c>
      <c r="F624" t="str">
        <f>IFERROR(IF(D624="","",VLOOKUP(D624,CadProd!$A:$C,3,0)),"")</f>
        <v/>
      </c>
      <c r="I624" s="1" t="str">
        <f t="shared" si="9"/>
        <v/>
      </c>
    </row>
    <row r="625" spans="5:9" x14ac:dyDescent="0.3">
      <c r="E625" t="str">
        <f>IFERROR(IF(D625="","",VLOOKUP(D625,CadProd!$A:$B,2,0)),"")</f>
        <v/>
      </c>
      <c r="F625" t="str">
        <f>IFERROR(IF(D625="","",VLOOKUP(D625,CadProd!$A:$C,3,0)),"")</f>
        <v/>
      </c>
      <c r="I625" s="1" t="str">
        <f t="shared" si="9"/>
        <v/>
      </c>
    </row>
    <row r="626" spans="5:9" x14ac:dyDescent="0.3">
      <c r="E626" t="str">
        <f>IFERROR(IF(D626="","",VLOOKUP(D626,CadProd!$A:$B,2,0)),"")</f>
        <v/>
      </c>
      <c r="F626" t="str">
        <f>IFERROR(IF(D626="","",VLOOKUP(D626,CadProd!$A:$C,3,0)),"")</f>
        <v/>
      </c>
      <c r="I626" s="1" t="str">
        <f t="shared" si="9"/>
        <v/>
      </c>
    </row>
    <row r="627" spans="5:9" x14ac:dyDescent="0.3">
      <c r="E627" t="str">
        <f>IFERROR(IF(D627="","",VLOOKUP(D627,CadProd!$A:$B,2,0)),"")</f>
        <v/>
      </c>
      <c r="F627" t="str">
        <f>IFERROR(IF(D627="","",VLOOKUP(D627,CadProd!$A:$C,3,0)),"")</f>
        <v/>
      </c>
      <c r="I627" s="1" t="str">
        <f t="shared" si="9"/>
        <v/>
      </c>
    </row>
    <row r="628" spans="5:9" x14ac:dyDescent="0.3">
      <c r="E628" t="str">
        <f>IFERROR(IF(D628="","",VLOOKUP(D628,CadProd!$A:$B,2,0)),"")</f>
        <v/>
      </c>
      <c r="F628" t="str">
        <f>IFERROR(IF(D628="","",VLOOKUP(D628,CadProd!$A:$C,3,0)),"")</f>
        <v/>
      </c>
      <c r="I628" s="1" t="str">
        <f t="shared" si="9"/>
        <v/>
      </c>
    </row>
    <row r="629" spans="5:9" x14ac:dyDescent="0.3">
      <c r="E629" t="str">
        <f>IFERROR(IF(D629="","",VLOOKUP(D629,CadProd!$A:$B,2,0)),"")</f>
        <v/>
      </c>
      <c r="F629" t="str">
        <f>IFERROR(IF(D629="","",VLOOKUP(D629,CadProd!$A:$C,3,0)),"")</f>
        <v/>
      </c>
      <c r="I629" s="1" t="str">
        <f t="shared" si="9"/>
        <v/>
      </c>
    </row>
    <row r="630" spans="5:9" x14ac:dyDescent="0.3">
      <c r="E630" t="str">
        <f>IFERROR(IF(D630="","",VLOOKUP(D630,CadProd!$A:$B,2,0)),"")</f>
        <v/>
      </c>
      <c r="F630" t="str">
        <f>IFERROR(IF(D630="","",VLOOKUP(D630,CadProd!$A:$C,3,0)),"")</f>
        <v/>
      </c>
      <c r="I630" s="1" t="str">
        <f t="shared" si="9"/>
        <v/>
      </c>
    </row>
    <row r="631" spans="5:9" x14ac:dyDescent="0.3">
      <c r="E631" t="str">
        <f>IFERROR(IF(D631="","",VLOOKUP(D631,CadProd!$A:$B,2,0)),"")</f>
        <v/>
      </c>
      <c r="F631" t="str">
        <f>IFERROR(IF(D631="","",VLOOKUP(D631,CadProd!$A:$C,3,0)),"")</f>
        <v/>
      </c>
      <c r="I631" s="1" t="str">
        <f t="shared" si="9"/>
        <v/>
      </c>
    </row>
    <row r="632" spans="5:9" x14ac:dyDescent="0.3">
      <c r="E632" t="str">
        <f>IFERROR(IF(D632="","",VLOOKUP(D632,CadProd!$A:$B,2,0)),"")</f>
        <v/>
      </c>
      <c r="F632" t="str">
        <f>IFERROR(IF(D632="","",VLOOKUP(D632,CadProd!$A:$C,3,0)),"")</f>
        <v/>
      </c>
      <c r="I632" s="1" t="str">
        <f t="shared" si="9"/>
        <v/>
      </c>
    </row>
    <row r="633" spans="5:9" x14ac:dyDescent="0.3">
      <c r="E633" t="str">
        <f>IFERROR(IF(D633="","",VLOOKUP(D633,CadProd!$A:$B,2,0)),"")</f>
        <v/>
      </c>
      <c r="F633" t="str">
        <f>IFERROR(IF(D633="","",VLOOKUP(D633,CadProd!$A:$C,3,0)),"")</f>
        <v/>
      </c>
      <c r="I633" s="1" t="str">
        <f t="shared" si="9"/>
        <v/>
      </c>
    </row>
    <row r="634" spans="5:9" x14ac:dyDescent="0.3">
      <c r="E634" t="str">
        <f>IFERROR(IF(D634="","",VLOOKUP(D634,CadProd!$A:$B,2,0)),"")</f>
        <v/>
      </c>
      <c r="F634" t="str">
        <f>IFERROR(IF(D634="","",VLOOKUP(D634,CadProd!$A:$C,3,0)),"")</f>
        <v/>
      </c>
      <c r="I634" s="1" t="str">
        <f t="shared" si="9"/>
        <v/>
      </c>
    </row>
    <row r="635" spans="5:9" x14ac:dyDescent="0.3">
      <c r="E635" t="str">
        <f>IFERROR(IF(D635="","",VLOOKUP(D635,CadProd!$A:$B,2,0)),"")</f>
        <v/>
      </c>
      <c r="F635" t="str">
        <f>IFERROR(IF(D635="","",VLOOKUP(D635,CadProd!$A:$C,3,0)),"")</f>
        <v/>
      </c>
      <c r="I635" s="1" t="str">
        <f t="shared" si="9"/>
        <v/>
      </c>
    </row>
    <row r="636" spans="5:9" x14ac:dyDescent="0.3">
      <c r="E636" t="str">
        <f>IFERROR(IF(D636="","",VLOOKUP(D636,CadProd!$A:$B,2,0)),"")</f>
        <v/>
      </c>
      <c r="F636" t="str">
        <f>IFERROR(IF(D636="","",VLOOKUP(D636,CadProd!$A:$C,3,0)),"")</f>
        <v/>
      </c>
      <c r="I636" s="1" t="str">
        <f t="shared" si="9"/>
        <v/>
      </c>
    </row>
    <row r="637" spans="5:9" x14ac:dyDescent="0.3">
      <c r="E637" t="str">
        <f>IFERROR(IF(D637="","",VLOOKUP(D637,CadProd!$A:$B,2,0)),"")</f>
        <v/>
      </c>
      <c r="F637" t="str">
        <f>IFERROR(IF(D637="","",VLOOKUP(D637,CadProd!$A:$C,3,0)),"")</f>
        <v/>
      </c>
      <c r="I637" s="1" t="str">
        <f t="shared" si="9"/>
        <v/>
      </c>
    </row>
    <row r="638" spans="5:9" x14ac:dyDescent="0.3">
      <c r="E638" t="str">
        <f>IFERROR(IF(D638="","",VLOOKUP(D638,CadProd!$A:$B,2,0)),"")</f>
        <v/>
      </c>
      <c r="F638" t="str">
        <f>IFERROR(IF(D638="","",VLOOKUP(D638,CadProd!$A:$C,3,0)),"")</f>
        <v/>
      </c>
      <c r="I638" s="1" t="str">
        <f t="shared" si="9"/>
        <v/>
      </c>
    </row>
    <row r="639" spans="5:9" x14ac:dyDescent="0.3">
      <c r="E639" t="str">
        <f>IFERROR(IF(D639="","",VLOOKUP(D639,CadProd!$A:$B,2,0)),"")</f>
        <v/>
      </c>
      <c r="F639" t="str">
        <f>IFERROR(IF(D639="","",VLOOKUP(D639,CadProd!$A:$C,3,0)),"")</f>
        <v/>
      </c>
      <c r="I639" s="1" t="str">
        <f t="shared" si="9"/>
        <v/>
      </c>
    </row>
    <row r="640" spans="5:9" x14ac:dyDescent="0.3">
      <c r="E640" t="str">
        <f>IFERROR(IF(D640="","",VLOOKUP(D640,CadProd!$A:$B,2,0)),"")</f>
        <v/>
      </c>
      <c r="F640" t="str">
        <f>IFERROR(IF(D640="","",VLOOKUP(D640,CadProd!$A:$C,3,0)),"")</f>
        <v/>
      </c>
      <c r="I640" s="1" t="str">
        <f t="shared" si="9"/>
        <v/>
      </c>
    </row>
    <row r="641" spans="5:9" x14ac:dyDescent="0.3">
      <c r="E641" t="str">
        <f>IFERROR(IF(D641="","",VLOOKUP(D641,CadProd!$A:$B,2,0)),"")</f>
        <v/>
      </c>
      <c r="F641" t="str">
        <f>IFERROR(IF(D641="","",VLOOKUP(D641,CadProd!$A:$C,3,0)),"")</f>
        <v/>
      </c>
      <c r="I641" s="1" t="str">
        <f t="shared" si="9"/>
        <v/>
      </c>
    </row>
    <row r="642" spans="5:9" x14ac:dyDescent="0.3">
      <c r="E642" t="str">
        <f>IFERROR(IF(D642="","",VLOOKUP(D642,CadProd!$A:$B,2,0)),"")</f>
        <v/>
      </c>
      <c r="F642" t="str">
        <f>IFERROR(IF(D642="","",VLOOKUP(D642,CadProd!$A:$C,3,0)),"")</f>
        <v/>
      </c>
      <c r="I642" s="1" t="str">
        <f t="shared" si="9"/>
        <v/>
      </c>
    </row>
    <row r="643" spans="5:9" x14ac:dyDescent="0.3">
      <c r="E643" t="str">
        <f>IFERROR(IF(D643="","",VLOOKUP(D643,CadProd!$A:$B,2,0)),"")</f>
        <v/>
      </c>
      <c r="F643" t="str">
        <f>IFERROR(IF(D643="","",VLOOKUP(D643,CadProd!$A:$C,3,0)),"")</f>
        <v/>
      </c>
      <c r="I643" s="1" t="str">
        <f t="shared" si="9"/>
        <v/>
      </c>
    </row>
    <row r="644" spans="5:9" x14ac:dyDescent="0.3">
      <c r="E644" t="str">
        <f>IFERROR(IF(D644="","",VLOOKUP(D644,CadProd!$A:$B,2,0)),"")</f>
        <v/>
      </c>
      <c r="F644" t="str">
        <f>IFERROR(IF(D644="","",VLOOKUP(D644,CadProd!$A:$C,3,0)),"")</f>
        <v/>
      </c>
      <c r="I644" s="1" t="str">
        <f t="shared" si="9"/>
        <v/>
      </c>
    </row>
    <row r="645" spans="5:9" x14ac:dyDescent="0.3">
      <c r="E645" t="str">
        <f>IFERROR(IF(D645="","",VLOOKUP(D645,CadProd!$A:$B,2,0)),"")</f>
        <v/>
      </c>
      <c r="F645" t="str">
        <f>IFERROR(IF(D645="","",VLOOKUP(D645,CadProd!$A:$C,3,0)),"")</f>
        <v/>
      </c>
      <c r="I645" s="1" t="str">
        <f t="shared" si="9"/>
        <v/>
      </c>
    </row>
    <row r="646" spans="5:9" x14ac:dyDescent="0.3">
      <c r="E646" t="str">
        <f>IFERROR(IF(D646="","",VLOOKUP(D646,CadProd!$A:$B,2,0)),"")</f>
        <v/>
      </c>
      <c r="F646" t="str">
        <f>IFERROR(IF(D646="","",VLOOKUP(D646,CadProd!$A:$C,3,0)),"")</f>
        <v/>
      </c>
      <c r="I646" s="1" t="str">
        <f t="shared" si="9"/>
        <v/>
      </c>
    </row>
    <row r="647" spans="5:9" x14ac:dyDescent="0.3">
      <c r="E647" t="str">
        <f>IFERROR(IF(D647="","",VLOOKUP(D647,CadProd!$A:$B,2,0)),"")</f>
        <v/>
      </c>
      <c r="F647" t="str">
        <f>IFERROR(IF(D647="","",VLOOKUP(D647,CadProd!$A:$C,3,0)),"")</f>
        <v/>
      </c>
      <c r="I647" s="1" t="str">
        <f t="shared" si="9"/>
        <v/>
      </c>
    </row>
    <row r="648" spans="5:9" x14ac:dyDescent="0.3">
      <c r="E648" t="str">
        <f>IFERROR(IF(D648="","",VLOOKUP(D648,CadProd!$A:$B,2,0)),"")</f>
        <v/>
      </c>
      <c r="F648" t="str">
        <f>IFERROR(IF(D648="","",VLOOKUP(D648,CadProd!$A:$C,3,0)),"")</f>
        <v/>
      </c>
      <c r="I648" s="1" t="str">
        <f t="shared" si="9"/>
        <v/>
      </c>
    </row>
    <row r="649" spans="5:9" x14ac:dyDescent="0.3">
      <c r="E649" t="str">
        <f>IFERROR(IF(D649="","",VLOOKUP(D649,CadProd!$A:$B,2,0)),"")</f>
        <v/>
      </c>
      <c r="F649" t="str">
        <f>IFERROR(IF(D649="","",VLOOKUP(D649,CadProd!$A:$C,3,0)),"")</f>
        <v/>
      </c>
      <c r="I649" s="1" t="str">
        <f t="shared" si="9"/>
        <v/>
      </c>
    </row>
    <row r="650" spans="5:9" x14ac:dyDescent="0.3">
      <c r="E650" t="str">
        <f>IFERROR(IF(D650="","",VLOOKUP(D650,CadProd!$A:$B,2,0)),"")</f>
        <v/>
      </c>
      <c r="F650" t="str">
        <f>IFERROR(IF(D650="","",VLOOKUP(D650,CadProd!$A:$C,3,0)),"")</f>
        <v/>
      </c>
      <c r="I650" s="1" t="str">
        <f t="shared" si="9"/>
        <v/>
      </c>
    </row>
    <row r="651" spans="5:9" x14ac:dyDescent="0.3">
      <c r="E651" t="str">
        <f>IFERROR(IF(D651="","",VLOOKUP(D651,CadProd!$A:$B,2,0)),"")</f>
        <v/>
      </c>
      <c r="F651" t="str">
        <f>IFERROR(IF(D651="","",VLOOKUP(D651,CadProd!$A:$C,3,0)),"")</f>
        <v/>
      </c>
      <c r="I651" s="1" t="str">
        <f t="shared" ref="I651:I714" si="10">IFERROR(IF(D651="","",H651*G651),"")</f>
        <v/>
      </c>
    </row>
    <row r="652" spans="5:9" x14ac:dyDescent="0.3">
      <c r="E652" t="str">
        <f>IFERROR(IF(D652="","",VLOOKUP(D652,CadProd!$A:$B,2,0)),"")</f>
        <v/>
      </c>
      <c r="F652" t="str">
        <f>IFERROR(IF(D652="","",VLOOKUP(D652,CadProd!$A:$C,3,0)),"")</f>
        <v/>
      </c>
      <c r="I652" s="1" t="str">
        <f t="shared" si="10"/>
        <v/>
      </c>
    </row>
    <row r="653" spans="5:9" x14ac:dyDescent="0.3">
      <c r="E653" t="str">
        <f>IFERROR(IF(D653="","",VLOOKUP(D653,CadProd!$A:$B,2,0)),"")</f>
        <v/>
      </c>
      <c r="F653" t="str">
        <f>IFERROR(IF(D653="","",VLOOKUP(D653,CadProd!$A:$C,3,0)),"")</f>
        <v/>
      </c>
      <c r="I653" s="1" t="str">
        <f t="shared" si="10"/>
        <v/>
      </c>
    </row>
    <row r="654" spans="5:9" x14ac:dyDescent="0.3">
      <c r="E654" t="str">
        <f>IFERROR(IF(D654="","",VLOOKUP(D654,CadProd!$A:$B,2,0)),"")</f>
        <v/>
      </c>
      <c r="F654" t="str">
        <f>IFERROR(IF(D654="","",VLOOKUP(D654,CadProd!$A:$C,3,0)),"")</f>
        <v/>
      </c>
      <c r="I654" s="1" t="str">
        <f t="shared" si="10"/>
        <v/>
      </c>
    </row>
    <row r="655" spans="5:9" x14ac:dyDescent="0.3">
      <c r="E655" t="str">
        <f>IFERROR(IF(D655="","",VLOOKUP(D655,CadProd!$A:$B,2,0)),"")</f>
        <v/>
      </c>
      <c r="F655" t="str">
        <f>IFERROR(IF(D655="","",VLOOKUP(D655,CadProd!$A:$C,3,0)),"")</f>
        <v/>
      </c>
      <c r="I655" s="1" t="str">
        <f t="shared" si="10"/>
        <v/>
      </c>
    </row>
    <row r="656" spans="5:9" x14ac:dyDescent="0.3">
      <c r="E656" t="str">
        <f>IFERROR(IF(D656="","",VLOOKUP(D656,CadProd!$A:$B,2,0)),"")</f>
        <v/>
      </c>
      <c r="F656" t="str">
        <f>IFERROR(IF(D656="","",VLOOKUP(D656,CadProd!$A:$C,3,0)),"")</f>
        <v/>
      </c>
      <c r="I656" s="1" t="str">
        <f t="shared" si="10"/>
        <v/>
      </c>
    </row>
    <row r="657" spans="5:9" x14ac:dyDescent="0.3">
      <c r="E657" t="str">
        <f>IFERROR(IF(D657="","",VLOOKUP(D657,CadProd!$A:$B,2,0)),"")</f>
        <v/>
      </c>
      <c r="F657" t="str">
        <f>IFERROR(IF(D657="","",VLOOKUP(D657,CadProd!$A:$C,3,0)),"")</f>
        <v/>
      </c>
      <c r="I657" s="1" t="str">
        <f t="shared" si="10"/>
        <v/>
      </c>
    </row>
    <row r="658" spans="5:9" x14ac:dyDescent="0.3">
      <c r="E658" t="str">
        <f>IFERROR(IF(D658="","",VLOOKUP(D658,CadProd!$A:$B,2,0)),"")</f>
        <v/>
      </c>
      <c r="F658" t="str">
        <f>IFERROR(IF(D658="","",VLOOKUP(D658,CadProd!$A:$C,3,0)),"")</f>
        <v/>
      </c>
      <c r="I658" s="1" t="str">
        <f t="shared" si="10"/>
        <v/>
      </c>
    </row>
    <row r="659" spans="5:9" x14ac:dyDescent="0.3">
      <c r="E659" t="str">
        <f>IFERROR(IF(D659="","",VLOOKUP(D659,CadProd!$A:$B,2,0)),"")</f>
        <v/>
      </c>
      <c r="F659" t="str">
        <f>IFERROR(IF(D659="","",VLOOKUP(D659,CadProd!$A:$C,3,0)),"")</f>
        <v/>
      </c>
      <c r="I659" s="1" t="str">
        <f t="shared" si="10"/>
        <v/>
      </c>
    </row>
    <row r="660" spans="5:9" x14ac:dyDescent="0.3">
      <c r="E660" t="str">
        <f>IFERROR(IF(D660="","",VLOOKUP(D660,CadProd!$A:$B,2,0)),"")</f>
        <v/>
      </c>
      <c r="F660" t="str">
        <f>IFERROR(IF(D660="","",VLOOKUP(D660,CadProd!$A:$C,3,0)),"")</f>
        <v/>
      </c>
      <c r="I660" s="1" t="str">
        <f t="shared" si="10"/>
        <v/>
      </c>
    </row>
    <row r="661" spans="5:9" x14ac:dyDescent="0.3">
      <c r="E661" t="str">
        <f>IFERROR(IF(D661="","",VLOOKUP(D661,CadProd!$A:$B,2,0)),"")</f>
        <v/>
      </c>
      <c r="F661" t="str">
        <f>IFERROR(IF(D661="","",VLOOKUP(D661,CadProd!$A:$C,3,0)),"")</f>
        <v/>
      </c>
      <c r="I661" s="1" t="str">
        <f t="shared" si="10"/>
        <v/>
      </c>
    </row>
    <row r="662" spans="5:9" x14ac:dyDescent="0.3">
      <c r="E662" t="str">
        <f>IFERROR(IF(D662="","",VLOOKUP(D662,CadProd!$A:$B,2,0)),"")</f>
        <v/>
      </c>
      <c r="F662" t="str">
        <f>IFERROR(IF(D662="","",VLOOKUP(D662,CadProd!$A:$C,3,0)),"")</f>
        <v/>
      </c>
      <c r="I662" s="1" t="str">
        <f t="shared" si="10"/>
        <v/>
      </c>
    </row>
    <row r="663" spans="5:9" x14ac:dyDescent="0.3">
      <c r="E663" t="str">
        <f>IFERROR(IF(D663="","",VLOOKUP(D663,CadProd!$A:$B,2,0)),"")</f>
        <v/>
      </c>
      <c r="F663" t="str">
        <f>IFERROR(IF(D663="","",VLOOKUP(D663,CadProd!$A:$C,3,0)),"")</f>
        <v/>
      </c>
      <c r="I663" s="1" t="str">
        <f t="shared" si="10"/>
        <v/>
      </c>
    </row>
    <row r="664" spans="5:9" x14ac:dyDescent="0.3">
      <c r="E664" t="str">
        <f>IFERROR(IF(D664="","",VLOOKUP(D664,CadProd!$A:$B,2,0)),"")</f>
        <v/>
      </c>
      <c r="F664" t="str">
        <f>IFERROR(IF(D664="","",VLOOKUP(D664,CadProd!$A:$C,3,0)),"")</f>
        <v/>
      </c>
      <c r="I664" s="1" t="str">
        <f t="shared" si="10"/>
        <v/>
      </c>
    </row>
    <row r="665" spans="5:9" x14ac:dyDescent="0.3">
      <c r="E665" t="str">
        <f>IFERROR(IF(D665="","",VLOOKUP(D665,CadProd!$A:$B,2,0)),"")</f>
        <v/>
      </c>
      <c r="F665" t="str">
        <f>IFERROR(IF(D665="","",VLOOKUP(D665,CadProd!$A:$C,3,0)),"")</f>
        <v/>
      </c>
      <c r="I665" s="1" t="str">
        <f t="shared" si="10"/>
        <v/>
      </c>
    </row>
    <row r="666" spans="5:9" x14ac:dyDescent="0.3">
      <c r="E666" t="str">
        <f>IFERROR(IF(D666="","",VLOOKUP(D666,CadProd!$A:$B,2,0)),"")</f>
        <v/>
      </c>
      <c r="F666" t="str">
        <f>IFERROR(IF(D666="","",VLOOKUP(D666,CadProd!$A:$C,3,0)),"")</f>
        <v/>
      </c>
      <c r="I666" s="1" t="str">
        <f t="shared" si="10"/>
        <v/>
      </c>
    </row>
    <row r="667" spans="5:9" x14ac:dyDescent="0.3">
      <c r="E667" t="str">
        <f>IFERROR(IF(D667="","",VLOOKUP(D667,CadProd!$A:$B,2,0)),"")</f>
        <v/>
      </c>
      <c r="F667" t="str">
        <f>IFERROR(IF(D667="","",VLOOKUP(D667,CadProd!$A:$C,3,0)),"")</f>
        <v/>
      </c>
      <c r="I667" s="1" t="str">
        <f t="shared" si="10"/>
        <v/>
      </c>
    </row>
    <row r="668" spans="5:9" x14ac:dyDescent="0.3">
      <c r="E668" t="str">
        <f>IFERROR(IF(D668="","",VLOOKUP(D668,CadProd!$A:$B,2,0)),"")</f>
        <v/>
      </c>
      <c r="F668" t="str">
        <f>IFERROR(IF(D668="","",VLOOKUP(D668,CadProd!$A:$C,3,0)),"")</f>
        <v/>
      </c>
      <c r="I668" s="1" t="str">
        <f t="shared" si="10"/>
        <v/>
      </c>
    </row>
    <row r="669" spans="5:9" x14ac:dyDescent="0.3">
      <c r="E669" t="str">
        <f>IFERROR(IF(D669="","",VLOOKUP(D669,CadProd!$A:$B,2,0)),"")</f>
        <v/>
      </c>
      <c r="F669" t="str">
        <f>IFERROR(IF(D669="","",VLOOKUP(D669,CadProd!$A:$C,3,0)),"")</f>
        <v/>
      </c>
      <c r="I669" s="1" t="str">
        <f t="shared" si="10"/>
        <v/>
      </c>
    </row>
    <row r="670" spans="5:9" x14ac:dyDescent="0.3">
      <c r="E670" t="str">
        <f>IFERROR(IF(D670="","",VLOOKUP(D670,CadProd!$A:$B,2,0)),"")</f>
        <v/>
      </c>
      <c r="F670" t="str">
        <f>IFERROR(IF(D670="","",VLOOKUP(D670,CadProd!$A:$C,3,0)),"")</f>
        <v/>
      </c>
      <c r="I670" s="1" t="str">
        <f t="shared" si="10"/>
        <v/>
      </c>
    </row>
    <row r="671" spans="5:9" x14ac:dyDescent="0.3">
      <c r="E671" t="str">
        <f>IFERROR(IF(D671="","",VLOOKUP(D671,CadProd!$A:$B,2,0)),"")</f>
        <v/>
      </c>
      <c r="F671" t="str">
        <f>IFERROR(IF(D671="","",VLOOKUP(D671,CadProd!$A:$C,3,0)),"")</f>
        <v/>
      </c>
      <c r="I671" s="1" t="str">
        <f t="shared" si="10"/>
        <v/>
      </c>
    </row>
    <row r="672" spans="5:9" x14ac:dyDescent="0.3">
      <c r="E672" t="str">
        <f>IFERROR(IF(D672="","",VLOOKUP(D672,CadProd!$A:$B,2,0)),"")</f>
        <v/>
      </c>
      <c r="F672" t="str">
        <f>IFERROR(IF(D672="","",VLOOKUP(D672,CadProd!$A:$C,3,0)),"")</f>
        <v/>
      </c>
      <c r="I672" s="1" t="str">
        <f t="shared" si="10"/>
        <v/>
      </c>
    </row>
    <row r="673" spans="5:9" x14ac:dyDescent="0.3">
      <c r="E673" t="str">
        <f>IFERROR(IF(D673="","",VLOOKUP(D673,CadProd!$A:$B,2,0)),"")</f>
        <v/>
      </c>
      <c r="F673" t="str">
        <f>IFERROR(IF(D673="","",VLOOKUP(D673,CadProd!$A:$C,3,0)),"")</f>
        <v/>
      </c>
      <c r="I673" s="1" t="str">
        <f t="shared" si="10"/>
        <v/>
      </c>
    </row>
    <row r="674" spans="5:9" x14ac:dyDescent="0.3">
      <c r="E674" t="str">
        <f>IFERROR(IF(D674="","",VLOOKUP(D674,CadProd!$A:$B,2,0)),"")</f>
        <v/>
      </c>
      <c r="F674" t="str">
        <f>IFERROR(IF(D674="","",VLOOKUP(D674,CadProd!$A:$C,3,0)),"")</f>
        <v/>
      </c>
      <c r="I674" s="1" t="str">
        <f t="shared" si="10"/>
        <v/>
      </c>
    </row>
    <row r="675" spans="5:9" x14ac:dyDescent="0.3">
      <c r="E675" t="str">
        <f>IFERROR(IF(D675="","",VLOOKUP(D675,CadProd!$A:$B,2,0)),"")</f>
        <v/>
      </c>
      <c r="F675" t="str">
        <f>IFERROR(IF(D675="","",VLOOKUP(D675,CadProd!$A:$C,3,0)),"")</f>
        <v/>
      </c>
      <c r="I675" s="1" t="str">
        <f t="shared" si="10"/>
        <v/>
      </c>
    </row>
    <row r="676" spans="5:9" x14ac:dyDescent="0.3">
      <c r="E676" t="str">
        <f>IFERROR(IF(D676="","",VLOOKUP(D676,CadProd!$A:$B,2,0)),"")</f>
        <v/>
      </c>
      <c r="F676" t="str">
        <f>IFERROR(IF(D676="","",VLOOKUP(D676,CadProd!$A:$C,3,0)),"")</f>
        <v/>
      </c>
      <c r="I676" s="1" t="str">
        <f t="shared" si="10"/>
        <v/>
      </c>
    </row>
    <row r="677" spans="5:9" x14ac:dyDescent="0.3">
      <c r="E677" t="str">
        <f>IFERROR(IF(D677="","",VLOOKUP(D677,CadProd!$A:$B,2,0)),"")</f>
        <v/>
      </c>
      <c r="F677" t="str">
        <f>IFERROR(IF(D677="","",VLOOKUP(D677,CadProd!$A:$C,3,0)),"")</f>
        <v/>
      </c>
      <c r="I677" s="1" t="str">
        <f t="shared" si="10"/>
        <v/>
      </c>
    </row>
    <row r="678" spans="5:9" x14ac:dyDescent="0.3">
      <c r="E678" t="str">
        <f>IFERROR(IF(D678="","",VLOOKUP(D678,CadProd!$A:$B,2,0)),"")</f>
        <v/>
      </c>
      <c r="F678" t="str">
        <f>IFERROR(IF(D678="","",VLOOKUP(D678,CadProd!$A:$C,3,0)),"")</f>
        <v/>
      </c>
      <c r="I678" s="1" t="str">
        <f t="shared" si="10"/>
        <v/>
      </c>
    </row>
    <row r="679" spans="5:9" x14ac:dyDescent="0.3">
      <c r="E679" t="str">
        <f>IFERROR(IF(D679="","",VLOOKUP(D679,CadProd!$A:$B,2,0)),"")</f>
        <v/>
      </c>
      <c r="F679" t="str">
        <f>IFERROR(IF(D679="","",VLOOKUP(D679,CadProd!$A:$C,3,0)),"")</f>
        <v/>
      </c>
      <c r="I679" s="1" t="str">
        <f t="shared" si="10"/>
        <v/>
      </c>
    </row>
    <row r="680" spans="5:9" x14ac:dyDescent="0.3">
      <c r="E680" t="str">
        <f>IFERROR(IF(D680="","",VLOOKUP(D680,CadProd!$A:$B,2,0)),"")</f>
        <v/>
      </c>
      <c r="F680" t="str">
        <f>IFERROR(IF(D680="","",VLOOKUP(D680,CadProd!$A:$C,3,0)),"")</f>
        <v/>
      </c>
      <c r="I680" s="1" t="str">
        <f t="shared" si="10"/>
        <v/>
      </c>
    </row>
    <row r="681" spans="5:9" x14ac:dyDescent="0.3">
      <c r="E681" t="str">
        <f>IFERROR(IF(D681="","",VLOOKUP(D681,CadProd!$A:$B,2,0)),"")</f>
        <v/>
      </c>
      <c r="F681" t="str">
        <f>IFERROR(IF(D681="","",VLOOKUP(D681,CadProd!$A:$C,3,0)),"")</f>
        <v/>
      </c>
      <c r="I681" s="1" t="str">
        <f t="shared" si="10"/>
        <v/>
      </c>
    </row>
    <row r="682" spans="5:9" x14ac:dyDescent="0.3">
      <c r="E682" t="str">
        <f>IFERROR(IF(D682="","",VLOOKUP(D682,CadProd!$A:$B,2,0)),"")</f>
        <v/>
      </c>
      <c r="F682" t="str">
        <f>IFERROR(IF(D682="","",VLOOKUP(D682,CadProd!$A:$C,3,0)),"")</f>
        <v/>
      </c>
      <c r="I682" s="1" t="str">
        <f t="shared" si="10"/>
        <v/>
      </c>
    </row>
    <row r="683" spans="5:9" x14ac:dyDescent="0.3">
      <c r="E683" t="str">
        <f>IFERROR(IF(D683="","",VLOOKUP(D683,CadProd!$A:$B,2,0)),"")</f>
        <v/>
      </c>
      <c r="F683" t="str">
        <f>IFERROR(IF(D683="","",VLOOKUP(D683,CadProd!$A:$C,3,0)),"")</f>
        <v/>
      </c>
      <c r="I683" s="1" t="str">
        <f t="shared" si="10"/>
        <v/>
      </c>
    </row>
    <row r="684" spans="5:9" x14ac:dyDescent="0.3">
      <c r="E684" t="str">
        <f>IFERROR(IF(D684="","",VLOOKUP(D684,CadProd!$A:$B,2,0)),"")</f>
        <v/>
      </c>
      <c r="F684" t="str">
        <f>IFERROR(IF(D684="","",VLOOKUP(D684,CadProd!$A:$C,3,0)),"")</f>
        <v/>
      </c>
      <c r="I684" s="1" t="str">
        <f t="shared" si="10"/>
        <v/>
      </c>
    </row>
    <row r="685" spans="5:9" x14ac:dyDescent="0.3">
      <c r="E685" t="str">
        <f>IFERROR(IF(D685="","",VLOOKUP(D685,CadProd!$A:$B,2,0)),"")</f>
        <v/>
      </c>
      <c r="F685" t="str">
        <f>IFERROR(IF(D685="","",VLOOKUP(D685,CadProd!$A:$C,3,0)),"")</f>
        <v/>
      </c>
      <c r="I685" s="1" t="str">
        <f t="shared" si="10"/>
        <v/>
      </c>
    </row>
    <row r="686" spans="5:9" x14ac:dyDescent="0.3">
      <c r="E686" t="str">
        <f>IFERROR(IF(D686="","",VLOOKUP(D686,CadProd!$A:$B,2,0)),"")</f>
        <v/>
      </c>
      <c r="F686" t="str">
        <f>IFERROR(IF(D686="","",VLOOKUP(D686,CadProd!$A:$C,3,0)),"")</f>
        <v/>
      </c>
      <c r="I686" s="1" t="str">
        <f t="shared" si="10"/>
        <v/>
      </c>
    </row>
    <row r="687" spans="5:9" x14ac:dyDescent="0.3">
      <c r="E687" t="str">
        <f>IFERROR(IF(D687="","",VLOOKUP(D687,CadProd!$A:$B,2,0)),"")</f>
        <v/>
      </c>
      <c r="F687" t="str">
        <f>IFERROR(IF(D687="","",VLOOKUP(D687,CadProd!$A:$C,3,0)),"")</f>
        <v/>
      </c>
      <c r="I687" s="1" t="str">
        <f t="shared" si="10"/>
        <v/>
      </c>
    </row>
    <row r="688" spans="5:9" x14ac:dyDescent="0.3">
      <c r="E688" t="str">
        <f>IFERROR(IF(D688="","",VLOOKUP(D688,CadProd!$A:$B,2,0)),"")</f>
        <v/>
      </c>
      <c r="F688" t="str">
        <f>IFERROR(IF(D688="","",VLOOKUP(D688,CadProd!$A:$C,3,0)),"")</f>
        <v/>
      </c>
      <c r="I688" s="1" t="str">
        <f t="shared" si="10"/>
        <v/>
      </c>
    </row>
    <row r="689" spans="5:9" x14ac:dyDescent="0.3">
      <c r="E689" t="str">
        <f>IFERROR(IF(D689="","",VLOOKUP(D689,CadProd!$A:$B,2,0)),"")</f>
        <v/>
      </c>
      <c r="F689" t="str">
        <f>IFERROR(IF(D689="","",VLOOKUP(D689,CadProd!$A:$C,3,0)),"")</f>
        <v/>
      </c>
      <c r="I689" s="1" t="str">
        <f t="shared" si="10"/>
        <v/>
      </c>
    </row>
    <row r="690" spans="5:9" x14ac:dyDescent="0.3">
      <c r="E690" t="str">
        <f>IFERROR(IF(D690="","",VLOOKUP(D690,CadProd!$A:$B,2,0)),"")</f>
        <v/>
      </c>
      <c r="F690" t="str">
        <f>IFERROR(IF(D690="","",VLOOKUP(D690,CadProd!$A:$C,3,0)),"")</f>
        <v/>
      </c>
      <c r="I690" s="1" t="str">
        <f t="shared" si="10"/>
        <v/>
      </c>
    </row>
    <row r="691" spans="5:9" x14ac:dyDescent="0.3">
      <c r="E691" t="str">
        <f>IFERROR(IF(D691="","",VLOOKUP(D691,CadProd!$A:$B,2,0)),"")</f>
        <v/>
      </c>
      <c r="F691" t="str">
        <f>IFERROR(IF(D691="","",VLOOKUP(D691,CadProd!$A:$C,3,0)),"")</f>
        <v/>
      </c>
      <c r="I691" s="1" t="str">
        <f t="shared" si="10"/>
        <v/>
      </c>
    </row>
    <row r="692" spans="5:9" x14ac:dyDescent="0.3">
      <c r="E692" t="str">
        <f>IFERROR(IF(D692="","",VLOOKUP(D692,CadProd!$A:$B,2,0)),"")</f>
        <v/>
      </c>
      <c r="F692" t="str">
        <f>IFERROR(IF(D692="","",VLOOKUP(D692,CadProd!$A:$C,3,0)),"")</f>
        <v/>
      </c>
      <c r="I692" s="1" t="str">
        <f t="shared" si="10"/>
        <v/>
      </c>
    </row>
    <row r="693" spans="5:9" x14ac:dyDescent="0.3">
      <c r="E693" t="str">
        <f>IFERROR(IF(D693="","",VLOOKUP(D693,CadProd!$A:$B,2,0)),"")</f>
        <v/>
      </c>
      <c r="F693" t="str">
        <f>IFERROR(IF(D693="","",VLOOKUP(D693,CadProd!$A:$C,3,0)),"")</f>
        <v/>
      </c>
      <c r="I693" s="1" t="str">
        <f t="shared" si="10"/>
        <v/>
      </c>
    </row>
    <row r="694" spans="5:9" x14ac:dyDescent="0.3">
      <c r="E694" t="str">
        <f>IFERROR(IF(D694="","",VLOOKUP(D694,CadProd!$A:$B,2,0)),"")</f>
        <v/>
      </c>
      <c r="F694" t="str">
        <f>IFERROR(IF(D694="","",VLOOKUP(D694,CadProd!$A:$C,3,0)),"")</f>
        <v/>
      </c>
      <c r="I694" s="1" t="str">
        <f t="shared" si="10"/>
        <v/>
      </c>
    </row>
    <row r="695" spans="5:9" x14ac:dyDescent="0.3">
      <c r="E695" t="str">
        <f>IFERROR(IF(D695="","",VLOOKUP(D695,CadProd!$A:$B,2,0)),"")</f>
        <v/>
      </c>
      <c r="F695" t="str">
        <f>IFERROR(IF(D695="","",VLOOKUP(D695,CadProd!$A:$C,3,0)),"")</f>
        <v/>
      </c>
      <c r="I695" s="1" t="str">
        <f t="shared" si="10"/>
        <v/>
      </c>
    </row>
    <row r="696" spans="5:9" x14ac:dyDescent="0.3">
      <c r="E696" t="str">
        <f>IFERROR(IF(D696="","",VLOOKUP(D696,CadProd!$A:$B,2,0)),"")</f>
        <v/>
      </c>
      <c r="F696" t="str">
        <f>IFERROR(IF(D696="","",VLOOKUP(D696,CadProd!$A:$C,3,0)),"")</f>
        <v/>
      </c>
      <c r="I696" s="1" t="str">
        <f t="shared" si="10"/>
        <v/>
      </c>
    </row>
    <row r="697" spans="5:9" x14ac:dyDescent="0.3">
      <c r="E697" t="str">
        <f>IFERROR(IF(D697="","",VLOOKUP(D697,CadProd!$A:$B,2,0)),"")</f>
        <v/>
      </c>
      <c r="F697" t="str">
        <f>IFERROR(IF(D697="","",VLOOKUP(D697,CadProd!$A:$C,3,0)),"")</f>
        <v/>
      </c>
      <c r="I697" s="1" t="str">
        <f t="shared" si="10"/>
        <v/>
      </c>
    </row>
    <row r="698" spans="5:9" x14ac:dyDescent="0.3">
      <c r="E698" t="str">
        <f>IFERROR(IF(D698="","",VLOOKUP(D698,CadProd!$A:$B,2,0)),"")</f>
        <v/>
      </c>
      <c r="F698" t="str">
        <f>IFERROR(IF(D698="","",VLOOKUP(D698,CadProd!$A:$C,3,0)),"")</f>
        <v/>
      </c>
      <c r="I698" s="1" t="str">
        <f t="shared" si="10"/>
        <v/>
      </c>
    </row>
    <row r="699" spans="5:9" x14ac:dyDescent="0.3">
      <c r="E699" t="str">
        <f>IFERROR(IF(D699="","",VLOOKUP(D699,CadProd!$A:$B,2,0)),"")</f>
        <v/>
      </c>
      <c r="F699" t="str">
        <f>IFERROR(IF(D699="","",VLOOKUP(D699,CadProd!$A:$C,3,0)),"")</f>
        <v/>
      </c>
      <c r="I699" s="1" t="str">
        <f t="shared" si="10"/>
        <v/>
      </c>
    </row>
    <row r="700" spans="5:9" x14ac:dyDescent="0.3">
      <c r="E700" t="str">
        <f>IFERROR(IF(D700="","",VLOOKUP(D700,CadProd!$A:$B,2,0)),"")</f>
        <v/>
      </c>
      <c r="F700" t="str">
        <f>IFERROR(IF(D700="","",VLOOKUP(D700,CadProd!$A:$C,3,0)),"")</f>
        <v/>
      </c>
      <c r="I700" s="1" t="str">
        <f t="shared" si="10"/>
        <v/>
      </c>
    </row>
    <row r="701" spans="5:9" x14ac:dyDescent="0.3">
      <c r="E701" t="str">
        <f>IFERROR(IF(D701="","",VLOOKUP(D701,CadProd!$A:$B,2,0)),"")</f>
        <v/>
      </c>
      <c r="F701" t="str">
        <f>IFERROR(IF(D701="","",VLOOKUP(D701,CadProd!$A:$C,3,0)),"")</f>
        <v/>
      </c>
      <c r="I701" s="1" t="str">
        <f t="shared" si="10"/>
        <v/>
      </c>
    </row>
    <row r="702" spans="5:9" x14ac:dyDescent="0.3">
      <c r="E702" t="str">
        <f>IFERROR(IF(D702="","",VLOOKUP(D702,CadProd!$A:$B,2,0)),"")</f>
        <v/>
      </c>
      <c r="F702" t="str">
        <f>IFERROR(IF(D702="","",VLOOKUP(D702,CadProd!$A:$C,3,0)),"")</f>
        <v/>
      </c>
      <c r="I702" s="1" t="str">
        <f t="shared" si="10"/>
        <v/>
      </c>
    </row>
    <row r="703" spans="5:9" x14ac:dyDescent="0.3">
      <c r="E703" t="str">
        <f>IFERROR(IF(D703="","",VLOOKUP(D703,CadProd!$A:$B,2,0)),"")</f>
        <v/>
      </c>
      <c r="F703" t="str">
        <f>IFERROR(IF(D703="","",VLOOKUP(D703,CadProd!$A:$C,3,0)),"")</f>
        <v/>
      </c>
      <c r="I703" s="1" t="str">
        <f t="shared" si="10"/>
        <v/>
      </c>
    </row>
    <row r="704" spans="5:9" x14ac:dyDescent="0.3">
      <c r="E704" t="str">
        <f>IFERROR(IF(D704="","",VLOOKUP(D704,CadProd!$A:$B,2,0)),"")</f>
        <v/>
      </c>
      <c r="F704" t="str">
        <f>IFERROR(IF(D704="","",VLOOKUP(D704,CadProd!$A:$C,3,0)),"")</f>
        <v/>
      </c>
      <c r="I704" s="1" t="str">
        <f t="shared" si="10"/>
        <v/>
      </c>
    </row>
    <row r="705" spans="5:9" x14ac:dyDescent="0.3">
      <c r="E705" t="str">
        <f>IFERROR(IF(D705="","",VLOOKUP(D705,CadProd!$A:$B,2,0)),"")</f>
        <v/>
      </c>
      <c r="F705" t="str">
        <f>IFERROR(IF(D705="","",VLOOKUP(D705,CadProd!$A:$C,3,0)),"")</f>
        <v/>
      </c>
      <c r="I705" s="1" t="str">
        <f t="shared" si="10"/>
        <v/>
      </c>
    </row>
    <row r="706" spans="5:9" x14ac:dyDescent="0.3">
      <c r="E706" t="str">
        <f>IFERROR(IF(D706="","",VLOOKUP(D706,CadProd!$A:$B,2,0)),"")</f>
        <v/>
      </c>
      <c r="F706" t="str">
        <f>IFERROR(IF(D706="","",VLOOKUP(D706,CadProd!$A:$C,3,0)),"")</f>
        <v/>
      </c>
      <c r="I706" s="1" t="str">
        <f t="shared" si="10"/>
        <v/>
      </c>
    </row>
    <row r="707" spans="5:9" x14ac:dyDescent="0.3">
      <c r="E707" t="str">
        <f>IFERROR(IF(D707="","",VLOOKUP(D707,CadProd!$A:$B,2,0)),"")</f>
        <v/>
      </c>
      <c r="F707" t="str">
        <f>IFERROR(IF(D707="","",VLOOKUP(D707,CadProd!$A:$C,3,0)),"")</f>
        <v/>
      </c>
      <c r="I707" s="1" t="str">
        <f t="shared" si="10"/>
        <v/>
      </c>
    </row>
    <row r="708" spans="5:9" x14ac:dyDescent="0.3">
      <c r="E708" t="str">
        <f>IFERROR(IF(D708="","",VLOOKUP(D708,CadProd!$A:$B,2,0)),"")</f>
        <v/>
      </c>
      <c r="F708" t="str">
        <f>IFERROR(IF(D708="","",VLOOKUP(D708,CadProd!$A:$C,3,0)),"")</f>
        <v/>
      </c>
      <c r="I708" s="1" t="str">
        <f t="shared" si="10"/>
        <v/>
      </c>
    </row>
    <row r="709" spans="5:9" x14ac:dyDescent="0.3">
      <c r="E709" t="str">
        <f>IFERROR(IF(D709="","",VLOOKUP(D709,CadProd!$A:$B,2,0)),"")</f>
        <v/>
      </c>
      <c r="F709" t="str">
        <f>IFERROR(IF(D709="","",VLOOKUP(D709,CadProd!$A:$C,3,0)),"")</f>
        <v/>
      </c>
      <c r="I709" s="1" t="str">
        <f t="shared" si="10"/>
        <v/>
      </c>
    </row>
    <row r="710" spans="5:9" x14ac:dyDescent="0.3">
      <c r="E710" t="str">
        <f>IFERROR(IF(D710="","",VLOOKUP(D710,CadProd!$A:$B,2,0)),"")</f>
        <v/>
      </c>
      <c r="F710" t="str">
        <f>IFERROR(IF(D710="","",VLOOKUP(D710,CadProd!$A:$C,3,0)),"")</f>
        <v/>
      </c>
      <c r="I710" s="1" t="str">
        <f t="shared" si="10"/>
        <v/>
      </c>
    </row>
    <row r="711" spans="5:9" x14ac:dyDescent="0.3">
      <c r="E711" t="str">
        <f>IFERROR(IF(D711="","",VLOOKUP(D711,CadProd!$A:$B,2,0)),"")</f>
        <v/>
      </c>
      <c r="F711" t="str">
        <f>IFERROR(IF(D711="","",VLOOKUP(D711,CadProd!$A:$C,3,0)),"")</f>
        <v/>
      </c>
      <c r="I711" s="1" t="str">
        <f t="shared" si="10"/>
        <v/>
      </c>
    </row>
    <row r="712" spans="5:9" x14ac:dyDescent="0.3">
      <c r="E712" t="str">
        <f>IFERROR(IF(D712="","",VLOOKUP(D712,CadProd!$A:$B,2,0)),"")</f>
        <v/>
      </c>
      <c r="F712" t="str">
        <f>IFERROR(IF(D712="","",VLOOKUP(D712,CadProd!$A:$C,3,0)),"")</f>
        <v/>
      </c>
      <c r="I712" s="1" t="str">
        <f t="shared" si="10"/>
        <v/>
      </c>
    </row>
    <row r="713" spans="5:9" x14ac:dyDescent="0.3">
      <c r="E713" t="str">
        <f>IFERROR(IF(D713="","",VLOOKUP(D713,CadProd!$A:$B,2,0)),"")</f>
        <v/>
      </c>
      <c r="F713" t="str">
        <f>IFERROR(IF(D713="","",VLOOKUP(D713,CadProd!$A:$C,3,0)),"")</f>
        <v/>
      </c>
      <c r="I713" s="1" t="str">
        <f t="shared" si="10"/>
        <v/>
      </c>
    </row>
    <row r="714" spans="5:9" x14ac:dyDescent="0.3">
      <c r="E714" t="str">
        <f>IFERROR(IF(D714="","",VLOOKUP(D714,CadProd!$A:$B,2,0)),"")</f>
        <v/>
      </c>
      <c r="F714" t="str">
        <f>IFERROR(IF(D714="","",VLOOKUP(D714,CadProd!$A:$C,3,0)),"")</f>
        <v/>
      </c>
      <c r="I714" s="1" t="str">
        <f t="shared" si="10"/>
        <v/>
      </c>
    </row>
    <row r="715" spans="5:9" x14ac:dyDescent="0.3">
      <c r="E715" t="str">
        <f>IFERROR(IF(D715="","",VLOOKUP(D715,CadProd!$A:$B,2,0)),"")</f>
        <v/>
      </c>
      <c r="F715" t="str">
        <f>IFERROR(IF(D715="","",VLOOKUP(D715,CadProd!$A:$C,3,0)),"")</f>
        <v/>
      </c>
      <c r="I715" s="1" t="str">
        <f t="shared" ref="I715:I778" si="11">IFERROR(IF(D715="","",H715*G715),"")</f>
        <v/>
      </c>
    </row>
    <row r="716" spans="5:9" x14ac:dyDescent="0.3">
      <c r="E716" t="str">
        <f>IFERROR(IF(D716="","",VLOOKUP(D716,CadProd!$A:$B,2,0)),"")</f>
        <v/>
      </c>
      <c r="F716" t="str">
        <f>IFERROR(IF(D716="","",VLOOKUP(D716,CadProd!$A:$C,3,0)),"")</f>
        <v/>
      </c>
      <c r="I716" s="1" t="str">
        <f t="shared" si="11"/>
        <v/>
      </c>
    </row>
    <row r="717" spans="5:9" x14ac:dyDescent="0.3">
      <c r="E717" t="str">
        <f>IFERROR(IF(D717="","",VLOOKUP(D717,CadProd!$A:$B,2,0)),"")</f>
        <v/>
      </c>
      <c r="F717" t="str">
        <f>IFERROR(IF(D717="","",VLOOKUP(D717,CadProd!$A:$C,3,0)),"")</f>
        <v/>
      </c>
      <c r="I717" s="1" t="str">
        <f t="shared" si="11"/>
        <v/>
      </c>
    </row>
    <row r="718" spans="5:9" x14ac:dyDescent="0.3">
      <c r="E718" t="str">
        <f>IFERROR(IF(D718="","",VLOOKUP(D718,CadProd!$A:$B,2,0)),"")</f>
        <v/>
      </c>
      <c r="F718" t="str">
        <f>IFERROR(IF(D718="","",VLOOKUP(D718,CadProd!$A:$C,3,0)),"")</f>
        <v/>
      </c>
      <c r="I718" s="1" t="str">
        <f t="shared" si="11"/>
        <v/>
      </c>
    </row>
    <row r="719" spans="5:9" x14ac:dyDescent="0.3">
      <c r="E719" t="str">
        <f>IFERROR(IF(D719="","",VLOOKUP(D719,CadProd!$A:$B,2,0)),"")</f>
        <v/>
      </c>
      <c r="F719" t="str">
        <f>IFERROR(IF(D719="","",VLOOKUP(D719,CadProd!$A:$C,3,0)),"")</f>
        <v/>
      </c>
      <c r="I719" s="1" t="str">
        <f t="shared" si="11"/>
        <v/>
      </c>
    </row>
    <row r="720" spans="5:9" x14ac:dyDescent="0.3">
      <c r="E720" t="str">
        <f>IFERROR(IF(D720="","",VLOOKUP(D720,CadProd!$A:$B,2,0)),"")</f>
        <v/>
      </c>
      <c r="F720" t="str">
        <f>IFERROR(IF(D720="","",VLOOKUP(D720,CadProd!$A:$C,3,0)),"")</f>
        <v/>
      </c>
      <c r="I720" s="1" t="str">
        <f t="shared" si="11"/>
        <v/>
      </c>
    </row>
    <row r="721" spans="5:9" x14ac:dyDescent="0.3">
      <c r="E721" t="str">
        <f>IFERROR(IF(D721="","",VLOOKUP(D721,CadProd!$A:$B,2,0)),"")</f>
        <v/>
      </c>
      <c r="F721" t="str">
        <f>IFERROR(IF(D721="","",VLOOKUP(D721,CadProd!$A:$C,3,0)),"")</f>
        <v/>
      </c>
      <c r="I721" s="1" t="str">
        <f t="shared" si="11"/>
        <v/>
      </c>
    </row>
    <row r="722" spans="5:9" x14ac:dyDescent="0.3">
      <c r="E722" t="str">
        <f>IFERROR(IF(D722="","",VLOOKUP(D722,CadProd!$A:$B,2,0)),"")</f>
        <v/>
      </c>
      <c r="F722" t="str">
        <f>IFERROR(IF(D722="","",VLOOKUP(D722,CadProd!$A:$C,3,0)),"")</f>
        <v/>
      </c>
      <c r="I722" s="1" t="str">
        <f t="shared" si="11"/>
        <v/>
      </c>
    </row>
    <row r="723" spans="5:9" x14ac:dyDescent="0.3">
      <c r="E723" t="str">
        <f>IFERROR(IF(D723="","",VLOOKUP(D723,CadProd!$A:$B,2,0)),"")</f>
        <v/>
      </c>
      <c r="F723" t="str">
        <f>IFERROR(IF(D723="","",VLOOKUP(D723,CadProd!$A:$C,3,0)),"")</f>
        <v/>
      </c>
      <c r="I723" s="1" t="str">
        <f t="shared" si="11"/>
        <v/>
      </c>
    </row>
    <row r="724" spans="5:9" x14ac:dyDescent="0.3">
      <c r="E724" t="str">
        <f>IFERROR(IF(D724="","",VLOOKUP(D724,CadProd!$A:$B,2,0)),"")</f>
        <v/>
      </c>
      <c r="F724" t="str">
        <f>IFERROR(IF(D724="","",VLOOKUP(D724,CadProd!$A:$C,3,0)),"")</f>
        <v/>
      </c>
      <c r="I724" s="1" t="str">
        <f t="shared" si="11"/>
        <v/>
      </c>
    </row>
    <row r="725" spans="5:9" x14ac:dyDescent="0.3">
      <c r="E725" t="str">
        <f>IFERROR(IF(D725="","",VLOOKUP(D725,CadProd!$A:$B,2,0)),"")</f>
        <v/>
      </c>
      <c r="F725" t="str">
        <f>IFERROR(IF(D725="","",VLOOKUP(D725,CadProd!$A:$C,3,0)),"")</f>
        <v/>
      </c>
      <c r="I725" s="1" t="str">
        <f t="shared" si="11"/>
        <v/>
      </c>
    </row>
    <row r="726" spans="5:9" x14ac:dyDescent="0.3">
      <c r="E726" t="str">
        <f>IFERROR(IF(D726="","",VLOOKUP(D726,CadProd!$A:$B,2,0)),"")</f>
        <v/>
      </c>
      <c r="F726" t="str">
        <f>IFERROR(IF(D726="","",VLOOKUP(D726,CadProd!$A:$C,3,0)),"")</f>
        <v/>
      </c>
      <c r="I726" s="1" t="str">
        <f t="shared" si="11"/>
        <v/>
      </c>
    </row>
    <row r="727" spans="5:9" x14ac:dyDescent="0.3">
      <c r="E727" t="str">
        <f>IFERROR(IF(D727="","",VLOOKUP(D727,CadProd!$A:$B,2,0)),"")</f>
        <v/>
      </c>
      <c r="F727" t="str">
        <f>IFERROR(IF(D727="","",VLOOKUP(D727,CadProd!$A:$C,3,0)),"")</f>
        <v/>
      </c>
      <c r="I727" s="1" t="str">
        <f t="shared" si="11"/>
        <v/>
      </c>
    </row>
    <row r="728" spans="5:9" x14ac:dyDescent="0.3">
      <c r="E728" t="str">
        <f>IFERROR(IF(D728="","",VLOOKUP(D728,CadProd!$A:$B,2,0)),"")</f>
        <v/>
      </c>
      <c r="F728" t="str">
        <f>IFERROR(IF(D728="","",VLOOKUP(D728,CadProd!$A:$C,3,0)),"")</f>
        <v/>
      </c>
      <c r="I728" s="1" t="str">
        <f t="shared" si="11"/>
        <v/>
      </c>
    </row>
    <row r="729" spans="5:9" x14ac:dyDescent="0.3">
      <c r="E729" t="str">
        <f>IFERROR(IF(D729="","",VLOOKUP(D729,CadProd!$A:$B,2,0)),"")</f>
        <v/>
      </c>
      <c r="F729" t="str">
        <f>IFERROR(IF(D729="","",VLOOKUP(D729,CadProd!$A:$C,3,0)),"")</f>
        <v/>
      </c>
      <c r="I729" s="1" t="str">
        <f t="shared" si="11"/>
        <v/>
      </c>
    </row>
    <row r="730" spans="5:9" x14ac:dyDescent="0.3">
      <c r="E730" t="str">
        <f>IFERROR(IF(D730="","",VLOOKUP(D730,CadProd!$A:$B,2,0)),"")</f>
        <v/>
      </c>
      <c r="F730" t="str">
        <f>IFERROR(IF(D730="","",VLOOKUP(D730,CadProd!$A:$C,3,0)),"")</f>
        <v/>
      </c>
      <c r="I730" s="1" t="str">
        <f t="shared" si="11"/>
        <v/>
      </c>
    </row>
    <row r="731" spans="5:9" x14ac:dyDescent="0.3">
      <c r="E731" t="str">
        <f>IFERROR(IF(D731="","",VLOOKUP(D731,CadProd!$A:$B,2,0)),"")</f>
        <v/>
      </c>
      <c r="F731" t="str">
        <f>IFERROR(IF(D731="","",VLOOKUP(D731,CadProd!$A:$C,3,0)),"")</f>
        <v/>
      </c>
      <c r="I731" s="1" t="str">
        <f t="shared" si="11"/>
        <v/>
      </c>
    </row>
    <row r="732" spans="5:9" x14ac:dyDescent="0.3">
      <c r="E732" t="str">
        <f>IFERROR(IF(D732="","",VLOOKUP(D732,CadProd!$A:$B,2,0)),"")</f>
        <v/>
      </c>
      <c r="F732" t="str">
        <f>IFERROR(IF(D732="","",VLOOKUP(D732,CadProd!$A:$C,3,0)),"")</f>
        <v/>
      </c>
      <c r="I732" s="1" t="str">
        <f t="shared" si="11"/>
        <v/>
      </c>
    </row>
    <row r="733" spans="5:9" x14ac:dyDescent="0.3">
      <c r="E733" t="str">
        <f>IFERROR(IF(D733="","",VLOOKUP(D733,CadProd!$A:$B,2,0)),"")</f>
        <v/>
      </c>
      <c r="F733" t="str">
        <f>IFERROR(IF(D733="","",VLOOKUP(D733,CadProd!$A:$C,3,0)),"")</f>
        <v/>
      </c>
      <c r="I733" s="1" t="str">
        <f t="shared" si="11"/>
        <v/>
      </c>
    </row>
    <row r="734" spans="5:9" x14ac:dyDescent="0.3">
      <c r="E734" t="str">
        <f>IFERROR(IF(D734="","",VLOOKUP(D734,CadProd!$A:$B,2,0)),"")</f>
        <v/>
      </c>
      <c r="F734" t="str">
        <f>IFERROR(IF(D734="","",VLOOKUP(D734,CadProd!$A:$C,3,0)),"")</f>
        <v/>
      </c>
      <c r="I734" s="1" t="str">
        <f t="shared" si="11"/>
        <v/>
      </c>
    </row>
    <row r="735" spans="5:9" x14ac:dyDescent="0.3">
      <c r="E735" t="str">
        <f>IFERROR(IF(D735="","",VLOOKUP(D735,CadProd!$A:$B,2,0)),"")</f>
        <v/>
      </c>
      <c r="F735" t="str">
        <f>IFERROR(IF(D735="","",VLOOKUP(D735,CadProd!$A:$C,3,0)),"")</f>
        <v/>
      </c>
      <c r="I735" s="1" t="str">
        <f t="shared" si="11"/>
        <v/>
      </c>
    </row>
    <row r="736" spans="5:9" x14ac:dyDescent="0.3">
      <c r="E736" t="str">
        <f>IFERROR(IF(D736="","",VLOOKUP(D736,CadProd!$A:$B,2,0)),"")</f>
        <v/>
      </c>
      <c r="F736" t="str">
        <f>IFERROR(IF(D736="","",VLOOKUP(D736,CadProd!$A:$C,3,0)),"")</f>
        <v/>
      </c>
      <c r="I736" s="1" t="str">
        <f t="shared" si="11"/>
        <v/>
      </c>
    </row>
    <row r="737" spans="5:9" x14ac:dyDescent="0.3">
      <c r="E737" t="str">
        <f>IFERROR(IF(D737="","",VLOOKUP(D737,CadProd!$A:$B,2,0)),"")</f>
        <v/>
      </c>
      <c r="F737" t="str">
        <f>IFERROR(IF(D737="","",VLOOKUP(D737,CadProd!$A:$C,3,0)),"")</f>
        <v/>
      </c>
      <c r="I737" s="1" t="str">
        <f t="shared" si="11"/>
        <v/>
      </c>
    </row>
    <row r="738" spans="5:9" x14ac:dyDescent="0.3">
      <c r="E738" t="str">
        <f>IFERROR(IF(D738="","",VLOOKUP(D738,CadProd!$A:$B,2,0)),"")</f>
        <v/>
      </c>
      <c r="F738" t="str">
        <f>IFERROR(IF(D738="","",VLOOKUP(D738,CadProd!$A:$C,3,0)),"")</f>
        <v/>
      </c>
      <c r="I738" s="1" t="str">
        <f t="shared" si="11"/>
        <v/>
      </c>
    </row>
    <row r="739" spans="5:9" x14ac:dyDescent="0.3">
      <c r="E739" t="str">
        <f>IFERROR(IF(D739="","",VLOOKUP(D739,CadProd!$A:$B,2,0)),"")</f>
        <v/>
      </c>
      <c r="F739" t="str">
        <f>IFERROR(IF(D739="","",VLOOKUP(D739,CadProd!$A:$C,3,0)),"")</f>
        <v/>
      </c>
      <c r="I739" s="1" t="str">
        <f t="shared" si="11"/>
        <v/>
      </c>
    </row>
    <row r="740" spans="5:9" x14ac:dyDescent="0.3">
      <c r="E740" t="str">
        <f>IFERROR(IF(D740="","",VLOOKUP(D740,CadProd!$A:$B,2,0)),"")</f>
        <v/>
      </c>
      <c r="F740" t="str">
        <f>IFERROR(IF(D740="","",VLOOKUP(D740,CadProd!$A:$C,3,0)),"")</f>
        <v/>
      </c>
      <c r="I740" s="1" t="str">
        <f t="shared" si="11"/>
        <v/>
      </c>
    </row>
    <row r="741" spans="5:9" x14ac:dyDescent="0.3">
      <c r="E741" t="str">
        <f>IFERROR(IF(D741="","",VLOOKUP(D741,CadProd!$A:$B,2,0)),"")</f>
        <v/>
      </c>
      <c r="F741" t="str">
        <f>IFERROR(IF(D741="","",VLOOKUP(D741,CadProd!$A:$C,3,0)),"")</f>
        <v/>
      </c>
      <c r="I741" s="1" t="str">
        <f t="shared" si="11"/>
        <v/>
      </c>
    </row>
    <row r="742" spans="5:9" x14ac:dyDescent="0.3">
      <c r="E742" t="str">
        <f>IFERROR(IF(D742="","",VLOOKUP(D742,CadProd!$A:$B,2,0)),"")</f>
        <v/>
      </c>
      <c r="F742" t="str">
        <f>IFERROR(IF(D742="","",VLOOKUP(D742,CadProd!$A:$C,3,0)),"")</f>
        <v/>
      </c>
      <c r="I742" s="1" t="str">
        <f t="shared" si="11"/>
        <v/>
      </c>
    </row>
    <row r="743" spans="5:9" x14ac:dyDescent="0.3">
      <c r="E743" t="str">
        <f>IFERROR(IF(D743="","",VLOOKUP(D743,CadProd!$A:$B,2,0)),"")</f>
        <v/>
      </c>
      <c r="F743" t="str">
        <f>IFERROR(IF(D743="","",VLOOKUP(D743,CadProd!$A:$C,3,0)),"")</f>
        <v/>
      </c>
      <c r="I743" s="1" t="str">
        <f t="shared" si="11"/>
        <v/>
      </c>
    </row>
    <row r="744" spans="5:9" x14ac:dyDescent="0.3">
      <c r="E744" t="str">
        <f>IFERROR(IF(D744="","",VLOOKUP(D744,CadProd!$A:$B,2,0)),"")</f>
        <v/>
      </c>
      <c r="F744" t="str">
        <f>IFERROR(IF(D744="","",VLOOKUP(D744,CadProd!$A:$C,3,0)),"")</f>
        <v/>
      </c>
      <c r="I744" s="1" t="str">
        <f t="shared" si="11"/>
        <v/>
      </c>
    </row>
    <row r="745" spans="5:9" x14ac:dyDescent="0.3">
      <c r="E745" t="str">
        <f>IFERROR(IF(D745="","",VLOOKUP(D745,CadProd!$A:$B,2,0)),"")</f>
        <v/>
      </c>
      <c r="F745" t="str">
        <f>IFERROR(IF(D745="","",VLOOKUP(D745,CadProd!$A:$C,3,0)),"")</f>
        <v/>
      </c>
      <c r="I745" s="1" t="str">
        <f t="shared" si="11"/>
        <v/>
      </c>
    </row>
    <row r="746" spans="5:9" x14ac:dyDescent="0.3">
      <c r="E746" t="str">
        <f>IFERROR(IF(D746="","",VLOOKUP(D746,CadProd!$A:$B,2,0)),"")</f>
        <v/>
      </c>
      <c r="F746" t="str">
        <f>IFERROR(IF(D746="","",VLOOKUP(D746,CadProd!$A:$C,3,0)),"")</f>
        <v/>
      </c>
      <c r="I746" s="1" t="str">
        <f t="shared" si="11"/>
        <v/>
      </c>
    </row>
    <row r="747" spans="5:9" x14ac:dyDescent="0.3">
      <c r="E747" t="str">
        <f>IFERROR(IF(D747="","",VLOOKUP(D747,CadProd!$A:$B,2,0)),"")</f>
        <v/>
      </c>
      <c r="F747" t="str">
        <f>IFERROR(IF(D747="","",VLOOKUP(D747,CadProd!$A:$C,3,0)),"")</f>
        <v/>
      </c>
      <c r="I747" s="1" t="str">
        <f t="shared" si="11"/>
        <v/>
      </c>
    </row>
    <row r="748" spans="5:9" x14ac:dyDescent="0.3">
      <c r="E748" t="str">
        <f>IFERROR(IF(D748="","",VLOOKUP(D748,CadProd!$A:$B,2,0)),"")</f>
        <v/>
      </c>
      <c r="F748" t="str">
        <f>IFERROR(IF(D748="","",VLOOKUP(D748,CadProd!$A:$C,3,0)),"")</f>
        <v/>
      </c>
      <c r="I748" s="1" t="str">
        <f t="shared" si="11"/>
        <v/>
      </c>
    </row>
    <row r="749" spans="5:9" x14ac:dyDescent="0.3">
      <c r="E749" t="str">
        <f>IFERROR(IF(D749="","",VLOOKUP(D749,CadProd!$A:$B,2,0)),"")</f>
        <v/>
      </c>
      <c r="F749" t="str">
        <f>IFERROR(IF(D749="","",VLOOKUP(D749,CadProd!$A:$C,3,0)),"")</f>
        <v/>
      </c>
      <c r="I749" s="1" t="str">
        <f t="shared" si="11"/>
        <v/>
      </c>
    </row>
    <row r="750" spans="5:9" x14ac:dyDescent="0.3">
      <c r="E750" t="str">
        <f>IFERROR(IF(D750="","",VLOOKUP(D750,CadProd!$A:$B,2,0)),"")</f>
        <v/>
      </c>
      <c r="F750" t="str">
        <f>IFERROR(IF(D750="","",VLOOKUP(D750,CadProd!$A:$C,3,0)),"")</f>
        <v/>
      </c>
      <c r="I750" s="1" t="str">
        <f t="shared" si="11"/>
        <v/>
      </c>
    </row>
    <row r="751" spans="5:9" x14ac:dyDescent="0.3">
      <c r="E751" t="str">
        <f>IFERROR(IF(D751="","",VLOOKUP(D751,CadProd!$A:$B,2,0)),"")</f>
        <v/>
      </c>
      <c r="F751" t="str">
        <f>IFERROR(IF(D751="","",VLOOKUP(D751,CadProd!$A:$C,3,0)),"")</f>
        <v/>
      </c>
      <c r="I751" s="1" t="str">
        <f t="shared" si="11"/>
        <v/>
      </c>
    </row>
    <row r="752" spans="5:9" x14ac:dyDescent="0.3">
      <c r="E752" t="str">
        <f>IFERROR(IF(D752="","",VLOOKUP(D752,CadProd!$A:$B,2,0)),"")</f>
        <v/>
      </c>
      <c r="F752" t="str">
        <f>IFERROR(IF(D752="","",VLOOKUP(D752,CadProd!$A:$C,3,0)),"")</f>
        <v/>
      </c>
      <c r="I752" s="1" t="str">
        <f t="shared" si="11"/>
        <v/>
      </c>
    </row>
    <row r="753" spans="5:9" x14ac:dyDescent="0.3">
      <c r="E753" t="str">
        <f>IFERROR(IF(D753="","",VLOOKUP(D753,CadProd!$A:$B,2,0)),"")</f>
        <v/>
      </c>
      <c r="F753" t="str">
        <f>IFERROR(IF(D753="","",VLOOKUP(D753,CadProd!$A:$C,3,0)),"")</f>
        <v/>
      </c>
      <c r="I753" s="1" t="str">
        <f t="shared" si="11"/>
        <v/>
      </c>
    </row>
    <row r="754" spans="5:9" x14ac:dyDescent="0.3">
      <c r="E754" t="str">
        <f>IFERROR(IF(D754="","",VLOOKUP(D754,CadProd!$A:$B,2,0)),"")</f>
        <v/>
      </c>
      <c r="F754" t="str">
        <f>IFERROR(IF(D754="","",VLOOKUP(D754,CadProd!$A:$C,3,0)),"")</f>
        <v/>
      </c>
      <c r="I754" s="1" t="str">
        <f t="shared" si="11"/>
        <v/>
      </c>
    </row>
    <row r="755" spans="5:9" x14ac:dyDescent="0.3">
      <c r="E755" t="str">
        <f>IFERROR(IF(D755="","",VLOOKUP(D755,CadProd!$A:$B,2,0)),"")</f>
        <v/>
      </c>
      <c r="F755" t="str">
        <f>IFERROR(IF(D755="","",VLOOKUP(D755,CadProd!$A:$C,3,0)),"")</f>
        <v/>
      </c>
      <c r="I755" s="1" t="str">
        <f t="shared" si="11"/>
        <v/>
      </c>
    </row>
    <row r="756" spans="5:9" x14ac:dyDescent="0.3">
      <c r="E756" t="str">
        <f>IFERROR(IF(D756="","",VLOOKUP(D756,CadProd!$A:$B,2,0)),"")</f>
        <v/>
      </c>
      <c r="F756" t="str">
        <f>IFERROR(IF(D756="","",VLOOKUP(D756,CadProd!$A:$C,3,0)),"")</f>
        <v/>
      </c>
      <c r="I756" s="1" t="str">
        <f t="shared" si="11"/>
        <v/>
      </c>
    </row>
    <row r="757" spans="5:9" x14ac:dyDescent="0.3">
      <c r="E757" t="str">
        <f>IFERROR(IF(D757="","",VLOOKUP(D757,CadProd!$A:$B,2,0)),"")</f>
        <v/>
      </c>
      <c r="F757" t="str">
        <f>IFERROR(IF(D757="","",VLOOKUP(D757,CadProd!$A:$C,3,0)),"")</f>
        <v/>
      </c>
      <c r="I757" s="1" t="str">
        <f t="shared" si="11"/>
        <v/>
      </c>
    </row>
    <row r="758" spans="5:9" x14ac:dyDescent="0.3">
      <c r="E758" t="str">
        <f>IFERROR(IF(D758="","",VLOOKUP(D758,CadProd!$A:$B,2,0)),"")</f>
        <v/>
      </c>
      <c r="F758" t="str">
        <f>IFERROR(IF(D758="","",VLOOKUP(D758,CadProd!$A:$C,3,0)),"")</f>
        <v/>
      </c>
      <c r="I758" s="1" t="str">
        <f t="shared" si="11"/>
        <v/>
      </c>
    </row>
    <row r="759" spans="5:9" x14ac:dyDescent="0.3">
      <c r="E759" t="str">
        <f>IFERROR(IF(D759="","",VLOOKUP(D759,CadProd!$A:$B,2,0)),"")</f>
        <v/>
      </c>
      <c r="F759" t="str">
        <f>IFERROR(IF(D759="","",VLOOKUP(D759,CadProd!$A:$C,3,0)),"")</f>
        <v/>
      </c>
      <c r="I759" s="1" t="str">
        <f t="shared" si="11"/>
        <v/>
      </c>
    </row>
    <row r="760" spans="5:9" x14ac:dyDescent="0.3">
      <c r="E760" t="str">
        <f>IFERROR(IF(D760="","",VLOOKUP(D760,CadProd!$A:$B,2,0)),"")</f>
        <v/>
      </c>
      <c r="F760" t="str">
        <f>IFERROR(IF(D760="","",VLOOKUP(D760,CadProd!$A:$C,3,0)),"")</f>
        <v/>
      </c>
      <c r="I760" s="1" t="str">
        <f t="shared" si="11"/>
        <v/>
      </c>
    </row>
    <row r="761" spans="5:9" x14ac:dyDescent="0.3">
      <c r="E761" t="str">
        <f>IFERROR(IF(D761="","",VLOOKUP(D761,CadProd!$A:$B,2,0)),"")</f>
        <v/>
      </c>
      <c r="F761" t="str">
        <f>IFERROR(IF(D761="","",VLOOKUP(D761,CadProd!$A:$C,3,0)),"")</f>
        <v/>
      </c>
      <c r="I761" s="1" t="str">
        <f t="shared" si="11"/>
        <v/>
      </c>
    </row>
    <row r="762" spans="5:9" x14ac:dyDescent="0.3">
      <c r="E762" t="str">
        <f>IFERROR(IF(D762="","",VLOOKUP(D762,CadProd!$A:$B,2,0)),"")</f>
        <v/>
      </c>
      <c r="F762" t="str">
        <f>IFERROR(IF(D762="","",VLOOKUP(D762,CadProd!$A:$C,3,0)),"")</f>
        <v/>
      </c>
      <c r="I762" s="1" t="str">
        <f t="shared" si="11"/>
        <v/>
      </c>
    </row>
    <row r="763" spans="5:9" x14ac:dyDescent="0.3">
      <c r="E763" t="str">
        <f>IFERROR(IF(D763="","",VLOOKUP(D763,CadProd!$A:$B,2,0)),"")</f>
        <v/>
      </c>
      <c r="F763" t="str">
        <f>IFERROR(IF(D763="","",VLOOKUP(D763,CadProd!$A:$C,3,0)),"")</f>
        <v/>
      </c>
      <c r="I763" s="1" t="str">
        <f t="shared" si="11"/>
        <v/>
      </c>
    </row>
    <row r="764" spans="5:9" x14ac:dyDescent="0.3">
      <c r="E764" t="str">
        <f>IFERROR(IF(D764="","",VLOOKUP(D764,CadProd!$A:$B,2,0)),"")</f>
        <v/>
      </c>
      <c r="F764" t="str">
        <f>IFERROR(IF(D764="","",VLOOKUP(D764,CadProd!$A:$C,3,0)),"")</f>
        <v/>
      </c>
      <c r="I764" s="1" t="str">
        <f t="shared" si="11"/>
        <v/>
      </c>
    </row>
    <row r="765" spans="5:9" x14ac:dyDescent="0.3">
      <c r="E765" t="str">
        <f>IFERROR(IF(D765="","",VLOOKUP(D765,CadProd!$A:$B,2,0)),"")</f>
        <v/>
      </c>
      <c r="F765" t="str">
        <f>IFERROR(IF(D765="","",VLOOKUP(D765,CadProd!$A:$C,3,0)),"")</f>
        <v/>
      </c>
      <c r="I765" s="1" t="str">
        <f t="shared" si="11"/>
        <v/>
      </c>
    </row>
    <row r="766" spans="5:9" x14ac:dyDescent="0.3">
      <c r="E766" t="str">
        <f>IFERROR(IF(D766="","",VLOOKUP(D766,CadProd!$A:$B,2,0)),"")</f>
        <v/>
      </c>
      <c r="F766" t="str">
        <f>IFERROR(IF(D766="","",VLOOKUP(D766,CadProd!$A:$C,3,0)),"")</f>
        <v/>
      </c>
      <c r="I766" s="1" t="str">
        <f t="shared" si="11"/>
        <v/>
      </c>
    </row>
    <row r="767" spans="5:9" x14ac:dyDescent="0.3">
      <c r="E767" t="str">
        <f>IFERROR(IF(D767="","",VLOOKUP(D767,CadProd!$A:$B,2,0)),"")</f>
        <v/>
      </c>
      <c r="F767" t="str">
        <f>IFERROR(IF(D767="","",VLOOKUP(D767,CadProd!$A:$C,3,0)),"")</f>
        <v/>
      </c>
      <c r="I767" s="1" t="str">
        <f t="shared" si="11"/>
        <v/>
      </c>
    </row>
    <row r="768" spans="5:9" x14ac:dyDescent="0.3">
      <c r="E768" t="str">
        <f>IFERROR(IF(D768="","",VLOOKUP(D768,CadProd!$A:$B,2,0)),"")</f>
        <v/>
      </c>
      <c r="F768" t="str">
        <f>IFERROR(IF(D768="","",VLOOKUP(D768,CadProd!$A:$C,3,0)),"")</f>
        <v/>
      </c>
      <c r="I768" s="1" t="str">
        <f t="shared" si="11"/>
        <v/>
      </c>
    </row>
    <row r="769" spans="5:9" x14ac:dyDescent="0.3">
      <c r="E769" t="str">
        <f>IFERROR(IF(D769="","",VLOOKUP(D769,CadProd!$A:$B,2,0)),"")</f>
        <v/>
      </c>
      <c r="F769" t="str">
        <f>IFERROR(IF(D769="","",VLOOKUP(D769,CadProd!$A:$C,3,0)),"")</f>
        <v/>
      </c>
      <c r="I769" s="1" t="str">
        <f t="shared" si="11"/>
        <v/>
      </c>
    </row>
    <row r="770" spans="5:9" x14ac:dyDescent="0.3">
      <c r="E770" t="str">
        <f>IFERROR(IF(D770="","",VLOOKUP(D770,CadProd!$A:$B,2,0)),"")</f>
        <v/>
      </c>
      <c r="F770" t="str">
        <f>IFERROR(IF(D770="","",VLOOKUP(D770,CadProd!$A:$C,3,0)),"")</f>
        <v/>
      </c>
      <c r="I770" s="1" t="str">
        <f t="shared" si="11"/>
        <v/>
      </c>
    </row>
    <row r="771" spans="5:9" x14ac:dyDescent="0.3">
      <c r="E771" t="str">
        <f>IFERROR(IF(D771="","",VLOOKUP(D771,CadProd!$A:$B,2,0)),"")</f>
        <v/>
      </c>
      <c r="F771" t="str">
        <f>IFERROR(IF(D771="","",VLOOKUP(D771,CadProd!$A:$C,3,0)),"")</f>
        <v/>
      </c>
      <c r="I771" s="1" t="str">
        <f t="shared" si="11"/>
        <v/>
      </c>
    </row>
    <row r="772" spans="5:9" x14ac:dyDescent="0.3">
      <c r="E772" t="str">
        <f>IFERROR(IF(D772="","",VLOOKUP(D772,CadProd!$A:$B,2,0)),"")</f>
        <v/>
      </c>
      <c r="F772" t="str">
        <f>IFERROR(IF(D772="","",VLOOKUP(D772,CadProd!$A:$C,3,0)),"")</f>
        <v/>
      </c>
      <c r="I772" s="1" t="str">
        <f t="shared" si="11"/>
        <v/>
      </c>
    </row>
    <row r="773" spans="5:9" x14ac:dyDescent="0.3">
      <c r="E773" t="str">
        <f>IFERROR(IF(D773="","",VLOOKUP(D773,CadProd!$A:$B,2,0)),"")</f>
        <v/>
      </c>
      <c r="F773" t="str">
        <f>IFERROR(IF(D773="","",VLOOKUP(D773,CadProd!$A:$C,3,0)),"")</f>
        <v/>
      </c>
      <c r="I773" s="1" t="str">
        <f t="shared" si="11"/>
        <v/>
      </c>
    </row>
    <row r="774" spans="5:9" x14ac:dyDescent="0.3">
      <c r="E774" t="str">
        <f>IFERROR(IF(D774="","",VLOOKUP(D774,CadProd!$A:$B,2,0)),"")</f>
        <v/>
      </c>
      <c r="F774" t="str">
        <f>IFERROR(IF(D774="","",VLOOKUP(D774,CadProd!$A:$C,3,0)),"")</f>
        <v/>
      </c>
      <c r="I774" s="1" t="str">
        <f t="shared" si="11"/>
        <v/>
      </c>
    </row>
    <row r="775" spans="5:9" x14ac:dyDescent="0.3">
      <c r="E775" t="str">
        <f>IFERROR(IF(D775="","",VLOOKUP(D775,CadProd!$A:$B,2,0)),"")</f>
        <v/>
      </c>
      <c r="F775" t="str">
        <f>IFERROR(IF(D775="","",VLOOKUP(D775,CadProd!$A:$C,3,0)),"")</f>
        <v/>
      </c>
      <c r="I775" s="1" t="str">
        <f t="shared" si="11"/>
        <v/>
      </c>
    </row>
    <row r="776" spans="5:9" x14ac:dyDescent="0.3">
      <c r="E776" t="str">
        <f>IFERROR(IF(D776="","",VLOOKUP(D776,CadProd!$A:$B,2,0)),"")</f>
        <v/>
      </c>
      <c r="F776" t="str">
        <f>IFERROR(IF(D776="","",VLOOKUP(D776,CadProd!$A:$C,3,0)),"")</f>
        <v/>
      </c>
      <c r="I776" s="1" t="str">
        <f t="shared" si="11"/>
        <v/>
      </c>
    </row>
    <row r="777" spans="5:9" x14ac:dyDescent="0.3">
      <c r="E777" t="str">
        <f>IFERROR(IF(D777="","",VLOOKUP(D777,CadProd!$A:$B,2,0)),"")</f>
        <v/>
      </c>
      <c r="F777" t="str">
        <f>IFERROR(IF(D777="","",VLOOKUP(D777,CadProd!$A:$C,3,0)),"")</f>
        <v/>
      </c>
      <c r="I777" s="1" t="str">
        <f t="shared" si="11"/>
        <v/>
      </c>
    </row>
    <row r="778" spans="5:9" x14ac:dyDescent="0.3">
      <c r="E778" t="str">
        <f>IFERROR(IF(D778="","",VLOOKUP(D778,CadProd!$A:$B,2,0)),"")</f>
        <v/>
      </c>
      <c r="F778" t="str">
        <f>IFERROR(IF(D778="","",VLOOKUP(D778,CadProd!$A:$C,3,0)),"")</f>
        <v/>
      </c>
      <c r="I778" s="1" t="str">
        <f t="shared" si="11"/>
        <v/>
      </c>
    </row>
    <row r="779" spans="5:9" x14ac:dyDescent="0.3">
      <c r="E779" t="str">
        <f>IFERROR(IF(D779="","",VLOOKUP(D779,CadProd!$A:$B,2,0)),"")</f>
        <v/>
      </c>
      <c r="F779" t="str">
        <f>IFERROR(IF(D779="","",VLOOKUP(D779,CadProd!$A:$C,3,0)),"")</f>
        <v/>
      </c>
      <c r="I779" s="1" t="str">
        <f t="shared" ref="I779:I842" si="12">IFERROR(IF(D779="","",H779*G779),"")</f>
        <v/>
      </c>
    </row>
    <row r="780" spans="5:9" x14ac:dyDescent="0.3">
      <c r="E780" t="str">
        <f>IFERROR(IF(D780="","",VLOOKUP(D780,CadProd!$A:$B,2,0)),"")</f>
        <v/>
      </c>
      <c r="F780" t="str">
        <f>IFERROR(IF(D780="","",VLOOKUP(D780,CadProd!$A:$C,3,0)),"")</f>
        <v/>
      </c>
      <c r="I780" s="1" t="str">
        <f t="shared" si="12"/>
        <v/>
      </c>
    </row>
    <row r="781" spans="5:9" x14ac:dyDescent="0.3">
      <c r="E781" t="str">
        <f>IFERROR(IF(D781="","",VLOOKUP(D781,CadProd!$A:$B,2,0)),"")</f>
        <v/>
      </c>
      <c r="F781" t="str">
        <f>IFERROR(IF(D781="","",VLOOKUP(D781,CadProd!$A:$C,3,0)),"")</f>
        <v/>
      </c>
      <c r="I781" s="1" t="str">
        <f t="shared" si="12"/>
        <v/>
      </c>
    </row>
    <row r="782" spans="5:9" x14ac:dyDescent="0.3">
      <c r="E782" t="str">
        <f>IFERROR(IF(D782="","",VLOOKUP(D782,CadProd!$A:$B,2,0)),"")</f>
        <v/>
      </c>
      <c r="F782" t="str">
        <f>IFERROR(IF(D782="","",VLOOKUP(D782,CadProd!$A:$C,3,0)),"")</f>
        <v/>
      </c>
      <c r="I782" s="1" t="str">
        <f t="shared" si="12"/>
        <v/>
      </c>
    </row>
    <row r="783" spans="5:9" x14ac:dyDescent="0.3">
      <c r="E783" t="str">
        <f>IFERROR(IF(D783="","",VLOOKUP(D783,CadProd!$A:$B,2,0)),"")</f>
        <v/>
      </c>
      <c r="F783" t="str">
        <f>IFERROR(IF(D783="","",VLOOKUP(D783,CadProd!$A:$C,3,0)),"")</f>
        <v/>
      </c>
      <c r="I783" s="1" t="str">
        <f t="shared" si="12"/>
        <v/>
      </c>
    </row>
    <row r="784" spans="5:9" x14ac:dyDescent="0.3">
      <c r="E784" t="str">
        <f>IFERROR(IF(D784="","",VLOOKUP(D784,CadProd!$A:$B,2,0)),"")</f>
        <v/>
      </c>
      <c r="F784" t="str">
        <f>IFERROR(IF(D784="","",VLOOKUP(D784,CadProd!$A:$C,3,0)),"")</f>
        <v/>
      </c>
      <c r="I784" s="1" t="str">
        <f t="shared" si="12"/>
        <v/>
      </c>
    </row>
    <row r="785" spans="5:9" x14ac:dyDescent="0.3">
      <c r="E785" t="str">
        <f>IFERROR(IF(D785="","",VLOOKUP(D785,CadProd!$A:$B,2,0)),"")</f>
        <v/>
      </c>
      <c r="F785" t="str">
        <f>IFERROR(IF(D785="","",VLOOKUP(D785,CadProd!$A:$C,3,0)),"")</f>
        <v/>
      </c>
      <c r="I785" s="1" t="str">
        <f t="shared" si="12"/>
        <v/>
      </c>
    </row>
    <row r="786" spans="5:9" x14ac:dyDescent="0.3">
      <c r="E786" t="str">
        <f>IFERROR(IF(D786="","",VLOOKUP(D786,CadProd!$A:$B,2,0)),"")</f>
        <v/>
      </c>
      <c r="F786" t="str">
        <f>IFERROR(IF(D786="","",VLOOKUP(D786,CadProd!$A:$C,3,0)),"")</f>
        <v/>
      </c>
      <c r="I786" s="1" t="str">
        <f t="shared" si="12"/>
        <v/>
      </c>
    </row>
    <row r="787" spans="5:9" x14ac:dyDescent="0.3">
      <c r="E787" t="str">
        <f>IFERROR(IF(D787="","",VLOOKUP(D787,CadProd!$A:$B,2,0)),"")</f>
        <v/>
      </c>
      <c r="F787" t="str">
        <f>IFERROR(IF(D787="","",VLOOKUP(D787,CadProd!$A:$C,3,0)),"")</f>
        <v/>
      </c>
      <c r="I787" s="1" t="str">
        <f t="shared" si="12"/>
        <v/>
      </c>
    </row>
    <row r="788" spans="5:9" x14ac:dyDescent="0.3">
      <c r="E788" t="str">
        <f>IFERROR(IF(D788="","",VLOOKUP(D788,CadProd!$A:$B,2,0)),"")</f>
        <v/>
      </c>
      <c r="F788" t="str">
        <f>IFERROR(IF(D788="","",VLOOKUP(D788,CadProd!$A:$C,3,0)),"")</f>
        <v/>
      </c>
      <c r="I788" s="1" t="str">
        <f t="shared" si="12"/>
        <v/>
      </c>
    </row>
    <row r="789" spans="5:9" x14ac:dyDescent="0.3">
      <c r="E789" t="str">
        <f>IFERROR(IF(D789="","",VLOOKUP(D789,CadProd!$A:$B,2,0)),"")</f>
        <v/>
      </c>
      <c r="F789" t="str">
        <f>IFERROR(IF(D789="","",VLOOKUP(D789,CadProd!$A:$C,3,0)),"")</f>
        <v/>
      </c>
      <c r="I789" s="1" t="str">
        <f t="shared" si="12"/>
        <v/>
      </c>
    </row>
    <row r="790" spans="5:9" x14ac:dyDescent="0.3">
      <c r="E790" t="str">
        <f>IFERROR(IF(D790="","",VLOOKUP(D790,CadProd!$A:$B,2,0)),"")</f>
        <v/>
      </c>
      <c r="F790" t="str">
        <f>IFERROR(IF(D790="","",VLOOKUP(D790,CadProd!$A:$C,3,0)),"")</f>
        <v/>
      </c>
      <c r="I790" s="1" t="str">
        <f t="shared" si="12"/>
        <v/>
      </c>
    </row>
    <row r="791" spans="5:9" x14ac:dyDescent="0.3">
      <c r="E791" t="str">
        <f>IFERROR(IF(D791="","",VLOOKUP(D791,CadProd!$A:$B,2,0)),"")</f>
        <v/>
      </c>
      <c r="F791" t="str">
        <f>IFERROR(IF(D791="","",VLOOKUP(D791,CadProd!$A:$C,3,0)),"")</f>
        <v/>
      </c>
      <c r="I791" s="1" t="str">
        <f t="shared" si="12"/>
        <v/>
      </c>
    </row>
    <row r="792" spans="5:9" x14ac:dyDescent="0.3">
      <c r="E792" t="str">
        <f>IFERROR(IF(D792="","",VLOOKUP(D792,CadProd!$A:$B,2,0)),"")</f>
        <v/>
      </c>
      <c r="F792" t="str">
        <f>IFERROR(IF(D792="","",VLOOKUP(D792,CadProd!$A:$C,3,0)),"")</f>
        <v/>
      </c>
      <c r="I792" s="1" t="str">
        <f t="shared" si="12"/>
        <v/>
      </c>
    </row>
    <row r="793" spans="5:9" x14ac:dyDescent="0.3">
      <c r="E793" t="str">
        <f>IFERROR(IF(D793="","",VLOOKUP(D793,CadProd!$A:$B,2,0)),"")</f>
        <v/>
      </c>
      <c r="F793" t="str">
        <f>IFERROR(IF(D793="","",VLOOKUP(D793,CadProd!$A:$C,3,0)),"")</f>
        <v/>
      </c>
      <c r="I793" s="1" t="str">
        <f t="shared" si="12"/>
        <v/>
      </c>
    </row>
    <row r="794" spans="5:9" x14ac:dyDescent="0.3">
      <c r="E794" t="str">
        <f>IFERROR(IF(D794="","",VLOOKUP(D794,CadProd!$A:$B,2,0)),"")</f>
        <v/>
      </c>
      <c r="F794" t="str">
        <f>IFERROR(IF(D794="","",VLOOKUP(D794,CadProd!$A:$C,3,0)),"")</f>
        <v/>
      </c>
      <c r="I794" s="1" t="str">
        <f t="shared" si="12"/>
        <v/>
      </c>
    </row>
    <row r="795" spans="5:9" x14ac:dyDescent="0.3">
      <c r="E795" t="str">
        <f>IFERROR(IF(D795="","",VLOOKUP(D795,CadProd!$A:$B,2,0)),"")</f>
        <v/>
      </c>
      <c r="F795" t="str">
        <f>IFERROR(IF(D795="","",VLOOKUP(D795,CadProd!$A:$C,3,0)),"")</f>
        <v/>
      </c>
      <c r="I795" s="1" t="str">
        <f t="shared" si="12"/>
        <v/>
      </c>
    </row>
    <row r="796" spans="5:9" x14ac:dyDescent="0.3">
      <c r="E796" t="str">
        <f>IFERROR(IF(D796="","",VLOOKUP(D796,CadProd!$A:$B,2,0)),"")</f>
        <v/>
      </c>
      <c r="F796" t="str">
        <f>IFERROR(IF(D796="","",VLOOKUP(D796,CadProd!$A:$C,3,0)),"")</f>
        <v/>
      </c>
      <c r="I796" s="1" t="str">
        <f t="shared" si="12"/>
        <v/>
      </c>
    </row>
    <row r="797" spans="5:9" x14ac:dyDescent="0.3">
      <c r="E797" t="str">
        <f>IFERROR(IF(D797="","",VLOOKUP(D797,CadProd!$A:$B,2,0)),"")</f>
        <v/>
      </c>
      <c r="F797" t="str">
        <f>IFERROR(IF(D797="","",VLOOKUP(D797,CadProd!$A:$C,3,0)),"")</f>
        <v/>
      </c>
      <c r="I797" s="1" t="str">
        <f t="shared" si="12"/>
        <v/>
      </c>
    </row>
    <row r="798" spans="5:9" x14ac:dyDescent="0.3">
      <c r="E798" t="str">
        <f>IFERROR(IF(D798="","",VLOOKUP(D798,CadProd!$A:$B,2,0)),"")</f>
        <v/>
      </c>
      <c r="F798" t="str">
        <f>IFERROR(IF(D798="","",VLOOKUP(D798,CadProd!$A:$C,3,0)),"")</f>
        <v/>
      </c>
      <c r="I798" s="1" t="str">
        <f t="shared" si="12"/>
        <v/>
      </c>
    </row>
    <row r="799" spans="5:9" x14ac:dyDescent="0.3">
      <c r="E799" t="str">
        <f>IFERROR(IF(D799="","",VLOOKUP(D799,CadProd!$A:$B,2,0)),"")</f>
        <v/>
      </c>
      <c r="F799" t="str">
        <f>IFERROR(IF(D799="","",VLOOKUP(D799,CadProd!$A:$C,3,0)),"")</f>
        <v/>
      </c>
      <c r="I799" s="1" t="str">
        <f t="shared" si="12"/>
        <v/>
      </c>
    </row>
    <row r="800" spans="5:9" x14ac:dyDescent="0.3">
      <c r="E800" t="str">
        <f>IFERROR(IF(D800="","",VLOOKUP(D800,CadProd!$A:$B,2,0)),"")</f>
        <v/>
      </c>
      <c r="F800" t="str">
        <f>IFERROR(IF(D800="","",VLOOKUP(D800,CadProd!$A:$C,3,0)),"")</f>
        <v/>
      </c>
      <c r="I800" s="1" t="str">
        <f t="shared" si="12"/>
        <v/>
      </c>
    </row>
    <row r="801" spans="5:9" x14ac:dyDescent="0.3">
      <c r="E801" t="str">
        <f>IFERROR(IF(D801="","",VLOOKUP(D801,CadProd!$A:$B,2,0)),"")</f>
        <v/>
      </c>
      <c r="F801" t="str">
        <f>IFERROR(IF(D801="","",VLOOKUP(D801,CadProd!$A:$C,3,0)),"")</f>
        <v/>
      </c>
      <c r="I801" s="1" t="str">
        <f t="shared" si="12"/>
        <v/>
      </c>
    </row>
    <row r="802" spans="5:9" x14ac:dyDescent="0.3">
      <c r="E802" t="str">
        <f>IFERROR(IF(D802="","",VLOOKUP(D802,CadProd!$A:$B,2,0)),"")</f>
        <v/>
      </c>
      <c r="F802" t="str">
        <f>IFERROR(IF(D802="","",VLOOKUP(D802,CadProd!$A:$C,3,0)),"")</f>
        <v/>
      </c>
      <c r="I802" s="1" t="str">
        <f t="shared" si="12"/>
        <v/>
      </c>
    </row>
    <row r="803" spans="5:9" x14ac:dyDescent="0.3">
      <c r="E803" t="str">
        <f>IFERROR(IF(D803="","",VLOOKUP(D803,CadProd!$A:$B,2,0)),"")</f>
        <v/>
      </c>
      <c r="F803" t="str">
        <f>IFERROR(IF(D803="","",VLOOKUP(D803,CadProd!$A:$C,3,0)),"")</f>
        <v/>
      </c>
      <c r="I803" s="1" t="str">
        <f t="shared" si="12"/>
        <v/>
      </c>
    </row>
    <row r="804" spans="5:9" x14ac:dyDescent="0.3">
      <c r="E804" t="str">
        <f>IFERROR(IF(D804="","",VLOOKUP(D804,CadProd!$A:$B,2,0)),"")</f>
        <v/>
      </c>
      <c r="F804" t="str">
        <f>IFERROR(IF(D804="","",VLOOKUP(D804,CadProd!$A:$C,3,0)),"")</f>
        <v/>
      </c>
      <c r="I804" s="1" t="str">
        <f t="shared" si="12"/>
        <v/>
      </c>
    </row>
    <row r="805" spans="5:9" x14ac:dyDescent="0.3">
      <c r="E805" t="str">
        <f>IFERROR(IF(D805="","",VLOOKUP(D805,CadProd!$A:$B,2,0)),"")</f>
        <v/>
      </c>
      <c r="F805" t="str">
        <f>IFERROR(IF(D805="","",VLOOKUP(D805,CadProd!$A:$C,3,0)),"")</f>
        <v/>
      </c>
      <c r="I805" s="1" t="str">
        <f t="shared" si="12"/>
        <v/>
      </c>
    </row>
    <row r="806" spans="5:9" x14ac:dyDescent="0.3">
      <c r="E806" t="str">
        <f>IFERROR(IF(D806="","",VLOOKUP(D806,CadProd!$A:$B,2,0)),"")</f>
        <v/>
      </c>
      <c r="F806" t="str">
        <f>IFERROR(IF(D806="","",VLOOKUP(D806,CadProd!$A:$C,3,0)),"")</f>
        <v/>
      </c>
      <c r="I806" s="1" t="str">
        <f t="shared" si="12"/>
        <v/>
      </c>
    </row>
    <row r="807" spans="5:9" x14ac:dyDescent="0.3">
      <c r="E807" t="str">
        <f>IFERROR(IF(D807="","",VLOOKUP(D807,CadProd!$A:$B,2,0)),"")</f>
        <v/>
      </c>
      <c r="F807" t="str">
        <f>IFERROR(IF(D807="","",VLOOKUP(D807,CadProd!$A:$C,3,0)),"")</f>
        <v/>
      </c>
      <c r="I807" s="1" t="str">
        <f t="shared" si="12"/>
        <v/>
      </c>
    </row>
    <row r="808" spans="5:9" x14ac:dyDescent="0.3">
      <c r="E808" t="str">
        <f>IFERROR(IF(D808="","",VLOOKUP(D808,CadProd!$A:$B,2,0)),"")</f>
        <v/>
      </c>
      <c r="F808" t="str">
        <f>IFERROR(IF(D808="","",VLOOKUP(D808,CadProd!$A:$C,3,0)),"")</f>
        <v/>
      </c>
      <c r="I808" s="1" t="str">
        <f t="shared" si="12"/>
        <v/>
      </c>
    </row>
    <row r="809" spans="5:9" x14ac:dyDescent="0.3">
      <c r="E809" t="str">
        <f>IFERROR(IF(D809="","",VLOOKUP(D809,CadProd!$A:$B,2,0)),"")</f>
        <v/>
      </c>
      <c r="F809" t="str">
        <f>IFERROR(IF(D809="","",VLOOKUP(D809,CadProd!$A:$C,3,0)),"")</f>
        <v/>
      </c>
      <c r="I809" s="1" t="str">
        <f t="shared" si="12"/>
        <v/>
      </c>
    </row>
    <row r="810" spans="5:9" x14ac:dyDescent="0.3">
      <c r="E810" t="str">
        <f>IFERROR(IF(D810="","",VLOOKUP(D810,CadProd!$A:$B,2,0)),"")</f>
        <v/>
      </c>
      <c r="F810" t="str">
        <f>IFERROR(IF(D810="","",VLOOKUP(D810,CadProd!$A:$C,3,0)),"")</f>
        <v/>
      </c>
      <c r="I810" s="1" t="str">
        <f t="shared" si="12"/>
        <v/>
      </c>
    </row>
    <row r="811" spans="5:9" x14ac:dyDescent="0.3">
      <c r="E811" t="str">
        <f>IFERROR(IF(D811="","",VLOOKUP(D811,CadProd!$A:$B,2,0)),"")</f>
        <v/>
      </c>
      <c r="F811" t="str">
        <f>IFERROR(IF(D811="","",VLOOKUP(D811,CadProd!$A:$C,3,0)),"")</f>
        <v/>
      </c>
      <c r="I811" s="1" t="str">
        <f t="shared" si="12"/>
        <v/>
      </c>
    </row>
    <row r="812" spans="5:9" x14ac:dyDescent="0.3">
      <c r="E812" t="str">
        <f>IFERROR(IF(D812="","",VLOOKUP(D812,CadProd!$A:$B,2,0)),"")</f>
        <v/>
      </c>
      <c r="F812" t="str">
        <f>IFERROR(IF(D812="","",VLOOKUP(D812,CadProd!$A:$C,3,0)),"")</f>
        <v/>
      </c>
      <c r="I812" s="1" t="str">
        <f t="shared" si="12"/>
        <v/>
      </c>
    </row>
    <row r="813" spans="5:9" x14ac:dyDescent="0.3">
      <c r="E813" t="str">
        <f>IFERROR(IF(D813="","",VLOOKUP(D813,CadProd!$A:$B,2,0)),"")</f>
        <v/>
      </c>
      <c r="F813" t="str">
        <f>IFERROR(IF(D813="","",VLOOKUP(D813,CadProd!$A:$C,3,0)),"")</f>
        <v/>
      </c>
      <c r="I813" s="1" t="str">
        <f t="shared" si="12"/>
        <v/>
      </c>
    </row>
    <row r="814" spans="5:9" x14ac:dyDescent="0.3">
      <c r="E814" t="str">
        <f>IFERROR(IF(D814="","",VLOOKUP(D814,CadProd!$A:$B,2,0)),"")</f>
        <v/>
      </c>
      <c r="F814" t="str">
        <f>IFERROR(IF(D814="","",VLOOKUP(D814,CadProd!$A:$C,3,0)),"")</f>
        <v/>
      </c>
      <c r="I814" s="1" t="str">
        <f t="shared" si="12"/>
        <v/>
      </c>
    </row>
    <row r="815" spans="5:9" x14ac:dyDescent="0.3">
      <c r="E815" t="str">
        <f>IFERROR(IF(D815="","",VLOOKUP(D815,CadProd!$A:$B,2,0)),"")</f>
        <v/>
      </c>
      <c r="F815" t="str">
        <f>IFERROR(IF(D815="","",VLOOKUP(D815,CadProd!$A:$C,3,0)),"")</f>
        <v/>
      </c>
      <c r="I815" s="1" t="str">
        <f t="shared" si="12"/>
        <v/>
      </c>
    </row>
    <row r="816" spans="5:9" x14ac:dyDescent="0.3">
      <c r="E816" t="str">
        <f>IFERROR(IF(D816="","",VLOOKUP(D816,CadProd!$A:$B,2,0)),"")</f>
        <v/>
      </c>
      <c r="F816" t="str">
        <f>IFERROR(IF(D816="","",VLOOKUP(D816,CadProd!$A:$C,3,0)),"")</f>
        <v/>
      </c>
      <c r="I816" s="1" t="str">
        <f t="shared" si="12"/>
        <v/>
      </c>
    </row>
    <row r="817" spans="5:9" x14ac:dyDescent="0.3">
      <c r="E817" t="str">
        <f>IFERROR(IF(D817="","",VLOOKUP(D817,CadProd!$A:$B,2,0)),"")</f>
        <v/>
      </c>
      <c r="F817" t="str">
        <f>IFERROR(IF(D817="","",VLOOKUP(D817,CadProd!$A:$C,3,0)),"")</f>
        <v/>
      </c>
      <c r="I817" s="1" t="str">
        <f t="shared" si="12"/>
        <v/>
      </c>
    </row>
    <row r="818" spans="5:9" x14ac:dyDescent="0.3">
      <c r="E818" t="str">
        <f>IFERROR(IF(D818="","",VLOOKUP(D818,CadProd!$A:$B,2,0)),"")</f>
        <v/>
      </c>
      <c r="F818" t="str">
        <f>IFERROR(IF(D818="","",VLOOKUP(D818,CadProd!$A:$C,3,0)),"")</f>
        <v/>
      </c>
      <c r="I818" s="1" t="str">
        <f t="shared" si="12"/>
        <v/>
      </c>
    </row>
    <row r="819" spans="5:9" x14ac:dyDescent="0.3">
      <c r="E819" t="str">
        <f>IFERROR(IF(D819="","",VLOOKUP(D819,CadProd!$A:$B,2,0)),"")</f>
        <v/>
      </c>
      <c r="F819" t="str">
        <f>IFERROR(IF(D819="","",VLOOKUP(D819,CadProd!$A:$C,3,0)),"")</f>
        <v/>
      </c>
      <c r="I819" s="1" t="str">
        <f t="shared" si="12"/>
        <v/>
      </c>
    </row>
    <row r="820" spans="5:9" x14ac:dyDescent="0.3">
      <c r="E820" t="str">
        <f>IFERROR(IF(D820="","",VLOOKUP(D820,CadProd!$A:$B,2,0)),"")</f>
        <v/>
      </c>
      <c r="F820" t="str">
        <f>IFERROR(IF(D820="","",VLOOKUP(D820,CadProd!$A:$C,3,0)),"")</f>
        <v/>
      </c>
      <c r="I820" s="1" t="str">
        <f t="shared" si="12"/>
        <v/>
      </c>
    </row>
    <row r="821" spans="5:9" x14ac:dyDescent="0.3">
      <c r="E821" t="str">
        <f>IFERROR(IF(D821="","",VLOOKUP(D821,CadProd!$A:$B,2,0)),"")</f>
        <v/>
      </c>
      <c r="F821" t="str">
        <f>IFERROR(IF(D821="","",VLOOKUP(D821,CadProd!$A:$C,3,0)),"")</f>
        <v/>
      </c>
      <c r="I821" s="1" t="str">
        <f t="shared" si="12"/>
        <v/>
      </c>
    </row>
    <row r="822" spans="5:9" x14ac:dyDescent="0.3">
      <c r="E822" t="str">
        <f>IFERROR(IF(D822="","",VLOOKUP(D822,CadProd!$A:$B,2,0)),"")</f>
        <v/>
      </c>
      <c r="F822" t="str">
        <f>IFERROR(IF(D822="","",VLOOKUP(D822,CadProd!$A:$C,3,0)),"")</f>
        <v/>
      </c>
      <c r="I822" s="1" t="str">
        <f t="shared" si="12"/>
        <v/>
      </c>
    </row>
    <row r="823" spans="5:9" x14ac:dyDescent="0.3">
      <c r="E823" t="str">
        <f>IFERROR(IF(D823="","",VLOOKUP(D823,CadProd!$A:$B,2,0)),"")</f>
        <v/>
      </c>
      <c r="F823" t="str">
        <f>IFERROR(IF(D823="","",VLOOKUP(D823,CadProd!$A:$C,3,0)),"")</f>
        <v/>
      </c>
      <c r="I823" s="1" t="str">
        <f t="shared" si="12"/>
        <v/>
      </c>
    </row>
    <row r="824" spans="5:9" x14ac:dyDescent="0.3">
      <c r="E824" t="str">
        <f>IFERROR(IF(D824="","",VLOOKUP(D824,CadProd!$A:$B,2,0)),"")</f>
        <v/>
      </c>
      <c r="F824" t="str">
        <f>IFERROR(IF(D824="","",VLOOKUP(D824,CadProd!$A:$C,3,0)),"")</f>
        <v/>
      </c>
      <c r="I824" s="1" t="str">
        <f t="shared" si="12"/>
        <v/>
      </c>
    </row>
    <row r="825" spans="5:9" x14ac:dyDescent="0.3">
      <c r="E825" t="str">
        <f>IFERROR(IF(D825="","",VLOOKUP(D825,CadProd!$A:$B,2,0)),"")</f>
        <v/>
      </c>
      <c r="F825" t="str">
        <f>IFERROR(IF(D825="","",VLOOKUP(D825,CadProd!$A:$C,3,0)),"")</f>
        <v/>
      </c>
      <c r="I825" s="1" t="str">
        <f t="shared" si="12"/>
        <v/>
      </c>
    </row>
    <row r="826" spans="5:9" x14ac:dyDescent="0.3">
      <c r="E826" t="str">
        <f>IFERROR(IF(D826="","",VLOOKUP(D826,CadProd!$A:$B,2,0)),"")</f>
        <v/>
      </c>
      <c r="F826" t="str">
        <f>IFERROR(IF(D826="","",VLOOKUP(D826,CadProd!$A:$C,3,0)),"")</f>
        <v/>
      </c>
      <c r="I826" s="1" t="str">
        <f t="shared" si="12"/>
        <v/>
      </c>
    </row>
    <row r="827" spans="5:9" x14ac:dyDescent="0.3">
      <c r="E827" t="str">
        <f>IFERROR(IF(D827="","",VLOOKUP(D827,CadProd!$A:$B,2,0)),"")</f>
        <v/>
      </c>
      <c r="F827" t="str">
        <f>IFERROR(IF(D827="","",VLOOKUP(D827,CadProd!$A:$C,3,0)),"")</f>
        <v/>
      </c>
      <c r="I827" s="1" t="str">
        <f t="shared" si="12"/>
        <v/>
      </c>
    </row>
    <row r="828" spans="5:9" x14ac:dyDescent="0.3">
      <c r="E828" t="str">
        <f>IFERROR(IF(D828="","",VLOOKUP(D828,CadProd!$A:$B,2,0)),"")</f>
        <v/>
      </c>
      <c r="F828" t="str">
        <f>IFERROR(IF(D828="","",VLOOKUP(D828,CadProd!$A:$C,3,0)),"")</f>
        <v/>
      </c>
      <c r="I828" s="1" t="str">
        <f t="shared" si="12"/>
        <v/>
      </c>
    </row>
    <row r="829" spans="5:9" x14ac:dyDescent="0.3">
      <c r="E829" t="str">
        <f>IFERROR(IF(D829="","",VLOOKUP(D829,CadProd!$A:$B,2,0)),"")</f>
        <v/>
      </c>
      <c r="F829" t="str">
        <f>IFERROR(IF(D829="","",VLOOKUP(D829,CadProd!$A:$C,3,0)),"")</f>
        <v/>
      </c>
      <c r="I829" s="1" t="str">
        <f t="shared" si="12"/>
        <v/>
      </c>
    </row>
    <row r="830" spans="5:9" x14ac:dyDescent="0.3">
      <c r="E830" t="str">
        <f>IFERROR(IF(D830="","",VLOOKUP(D830,CadProd!$A:$B,2,0)),"")</f>
        <v/>
      </c>
      <c r="F830" t="str">
        <f>IFERROR(IF(D830="","",VLOOKUP(D830,CadProd!$A:$C,3,0)),"")</f>
        <v/>
      </c>
      <c r="I830" s="1" t="str">
        <f t="shared" si="12"/>
        <v/>
      </c>
    </row>
    <row r="831" spans="5:9" x14ac:dyDescent="0.3">
      <c r="E831" t="str">
        <f>IFERROR(IF(D831="","",VLOOKUP(D831,CadProd!$A:$B,2,0)),"")</f>
        <v/>
      </c>
      <c r="F831" t="str">
        <f>IFERROR(IF(D831="","",VLOOKUP(D831,CadProd!$A:$C,3,0)),"")</f>
        <v/>
      </c>
      <c r="I831" s="1" t="str">
        <f t="shared" si="12"/>
        <v/>
      </c>
    </row>
    <row r="832" spans="5:9" x14ac:dyDescent="0.3">
      <c r="E832" t="str">
        <f>IFERROR(IF(D832="","",VLOOKUP(D832,CadProd!$A:$B,2,0)),"")</f>
        <v/>
      </c>
      <c r="F832" t="str">
        <f>IFERROR(IF(D832="","",VLOOKUP(D832,CadProd!$A:$C,3,0)),"")</f>
        <v/>
      </c>
      <c r="I832" s="1" t="str">
        <f t="shared" si="12"/>
        <v/>
      </c>
    </row>
    <row r="833" spans="5:9" x14ac:dyDescent="0.3">
      <c r="E833" t="str">
        <f>IFERROR(IF(D833="","",VLOOKUP(D833,CadProd!$A:$B,2,0)),"")</f>
        <v/>
      </c>
      <c r="F833" t="str">
        <f>IFERROR(IF(D833="","",VLOOKUP(D833,CadProd!$A:$C,3,0)),"")</f>
        <v/>
      </c>
      <c r="I833" s="1" t="str">
        <f t="shared" si="12"/>
        <v/>
      </c>
    </row>
    <row r="834" spans="5:9" x14ac:dyDescent="0.3">
      <c r="E834" t="str">
        <f>IFERROR(IF(D834="","",VLOOKUP(D834,CadProd!$A:$B,2,0)),"")</f>
        <v/>
      </c>
      <c r="F834" t="str">
        <f>IFERROR(IF(D834="","",VLOOKUP(D834,CadProd!$A:$C,3,0)),"")</f>
        <v/>
      </c>
      <c r="I834" s="1" t="str">
        <f t="shared" si="12"/>
        <v/>
      </c>
    </row>
    <row r="835" spans="5:9" x14ac:dyDescent="0.3">
      <c r="E835" t="str">
        <f>IFERROR(IF(D835="","",VLOOKUP(D835,CadProd!$A:$B,2,0)),"")</f>
        <v/>
      </c>
      <c r="F835" t="str">
        <f>IFERROR(IF(D835="","",VLOOKUP(D835,CadProd!$A:$C,3,0)),"")</f>
        <v/>
      </c>
      <c r="I835" s="1" t="str">
        <f t="shared" si="12"/>
        <v/>
      </c>
    </row>
    <row r="836" spans="5:9" x14ac:dyDescent="0.3">
      <c r="E836" t="str">
        <f>IFERROR(IF(D836="","",VLOOKUP(D836,CadProd!$A:$B,2,0)),"")</f>
        <v/>
      </c>
      <c r="F836" t="str">
        <f>IFERROR(IF(D836="","",VLOOKUP(D836,CadProd!$A:$C,3,0)),"")</f>
        <v/>
      </c>
      <c r="I836" s="1" t="str">
        <f t="shared" si="12"/>
        <v/>
      </c>
    </row>
    <row r="837" spans="5:9" x14ac:dyDescent="0.3">
      <c r="E837" t="str">
        <f>IFERROR(IF(D837="","",VLOOKUP(D837,CadProd!$A:$B,2,0)),"")</f>
        <v/>
      </c>
      <c r="F837" t="str">
        <f>IFERROR(IF(D837="","",VLOOKUP(D837,CadProd!$A:$C,3,0)),"")</f>
        <v/>
      </c>
      <c r="I837" s="1" t="str">
        <f t="shared" si="12"/>
        <v/>
      </c>
    </row>
    <row r="838" spans="5:9" x14ac:dyDescent="0.3">
      <c r="E838" t="str">
        <f>IFERROR(IF(D838="","",VLOOKUP(D838,CadProd!$A:$B,2,0)),"")</f>
        <v/>
      </c>
      <c r="F838" t="str">
        <f>IFERROR(IF(D838="","",VLOOKUP(D838,CadProd!$A:$C,3,0)),"")</f>
        <v/>
      </c>
      <c r="I838" s="1" t="str">
        <f t="shared" si="12"/>
        <v/>
      </c>
    </row>
    <row r="839" spans="5:9" x14ac:dyDescent="0.3">
      <c r="E839" t="str">
        <f>IFERROR(IF(D839="","",VLOOKUP(D839,CadProd!$A:$B,2,0)),"")</f>
        <v/>
      </c>
      <c r="F839" t="str">
        <f>IFERROR(IF(D839="","",VLOOKUP(D839,CadProd!$A:$C,3,0)),"")</f>
        <v/>
      </c>
      <c r="I839" s="1" t="str">
        <f t="shared" si="12"/>
        <v/>
      </c>
    </row>
    <row r="840" spans="5:9" x14ac:dyDescent="0.3">
      <c r="E840" t="str">
        <f>IFERROR(IF(D840="","",VLOOKUP(D840,CadProd!$A:$B,2,0)),"")</f>
        <v/>
      </c>
      <c r="F840" t="str">
        <f>IFERROR(IF(D840="","",VLOOKUP(D840,CadProd!$A:$C,3,0)),"")</f>
        <v/>
      </c>
      <c r="I840" s="1" t="str">
        <f t="shared" si="12"/>
        <v/>
      </c>
    </row>
    <row r="841" spans="5:9" x14ac:dyDescent="0.3">
      <c r="E841" t="str">
        <f>IFERROR(IF(D841="","",VLOOKUP(D841,CadProd!$A:$B,2,0)),"")</f>
        <v/>
      </c>
      <c r="F841" t="str">
        <f>IFERROR(IF(D841="","",VLOOKUP(D841,CadProd!$A:$C,3,0)),"")</f>
        <v/>
      </c>
      <c r="I841" s="1" t="str">
        <f t="shared" si="12"/>
        <v/>
      </c>
    </row>
    <row r="842" spans="5:9" x14ac:dyDescent="0.3">
      <c r="E842" t="str">
        <f>IFERROR(IF(D842="","",VLOOKUP(D842,CadProd!$A:$B,2,0)),"")</f>
        <v/>
      </c>
      <c r="F842" t="str">
        <f>IFERROR(IF(D842="","",VLOOKUP(D842,CadProd!$A:$C,3,0)),"")</f>
        <v/>
      </c>
      <c r="I842" s="1" t="str">
        <f t="shared" si="12"/>
        <v/>
      </c>
    </row>
    <row r="843" spans="5:9" x14ac:dyDescent="0.3">
      <c r="E843" t="str">
        <f>IFERROR(IF(D843="","",VLOOKUP(D843,CadProd!$A:$B,2,0)),"")</f>
        <v/>
      </c>
      <c r="F843" t="str">
        <f>IFERROR(IF(D843="","",VLOOKUP(D843,CadProd!$A:$C,3,0)),"")</f>
        <v/>
      </c>
      <c r="I843" s="1" t="str">
        <f t="shared" ref="I843:I906" si="13">IFERROR(IF(D843="","",H843*G843),"")</f>
        <v/>
      </c>
    </row>
    <row r="844" spans="5:9" x14ac:dyDescent="0.3">
      <c r="E844" t="str">
        <f>IFERROR(IF(D844="","",VLOOKUP(D844,CadProd!$A:$B,2,0)),"")</f>
        <v/>
      </c>
      <c r="F844" t="str">
        <f>IFERROR(IF(D844="","",VLOOKUP(D844,CadProd!$A:$C,3,0)),"")</f>
        <v/>
      </c>
      <c r="I844" s="1" t="str">
        <f t="shared" si="13"/>
        <v/>
      </c>
    </row>
    <row r="845" spans="5:9" x14ac:dyDescent="0.3">
      <c r="E845" t="str">
        <f>IFERROR(IF(D845="","",VLOOKUP(D845,CadProd!$A:$B,2,0)),"")</f>
        <v/>
      </c>
      <c r="F845" t="str">
        <f>IFERROR(IF(D845="","",VLOOKUP(D845,CadProd!$A:$C,3,0)),"")</f>
        <v/>
      </c>
      <c r="I845" s="1" t="str">
        <f t="shared" si="13"/>
        <v/>
      </c>
    </row>
    <row r="846" spans="5:9" x14ac:dyDescent="0.3">
      <c r="E846" t="str">
        <f>IFERROR(IF(D846="","",VLOOKUP(D846,CadProd!$A:$B,2,0)),"")</f>
        <v/>
      </c>
      <c r="F846" t="str">
        <f>IFERROR(IF(D846="","",VLOOKUP(D846,CadProd!$A:$C,3,0)),"")</f>
        <v/>
      </c>
      <c r="I846" s="1" t="str">
        <f t="shared" si="13"/>
        <v/>
      </c>
    </row>
    <row r="847" spans="5:9" x14ac:dyDescent="0.3">
      <c r="E847" t="str">
        <f>IFERROR(IF(D847="","",VLOOKUP(D847,CadProd!$A:$B,2,0)),"")</f>
        <v/>
      </c>
      <c r="F847" t="str">
        <f>IFERROR(IF(D847="","",VLOOKUP(D847,CadProd!$A:$C,3,0)),"")</f>
        <v/>
      </c>
      <c r="I847" s="1" t="str">
        <f t="shared" si="13"/>
        <v/>
      </c>
    </row>
    <row r="848" spans="5:9" x14ac:dyDescent="0.3">
      <c r="E848" t="str">
        <f>IFERROR(IF(D848="","",VLOOKUP(D848,CadProd!$A:$B,2,0)),"")</f>
        <v/>
      </c>
      <c r="F848" t="str">
        <f>IFERROR(IF(D848="","",VLOOKUP(D848,CadProd!$A:$C,3,0)),"")</f>
        <v/>
      </c>
      <c r="I848" s="1" t="str">
        <f t="shared" si="13"/>
        <v/>
      </c>
    </row>
    <row r="849" spans="5:9" x14ac:dyDescent="0.3">
      <c r="E849" t="str">
        <f>IFERROR(IF(D849="","",VLOOKUP(D849,CadProd!$A:$B,2,0)),"")</f>
        <v/>
      </c>
      <c r="F849" t="str">
        <f>IFERROR(IF(D849="","",VLOOKUP(D849,CadProd!$A:$C,3,0)),"")</f>
        <v/>
      </c>
      <c r="I849" s="1" t="str">
        <f t="shared" si="13"/>
        <v/>
      </c>
    </row>
    <row r="850" spans="5:9" x14ac:dyDescent="0.3">
      <c r="E850" t="str">
        <f>IFERROR(IF(D850="","",VLOOKUP(D850,CadProd!$A:$B,2,0)),"")</f>
        <v/>
      </c>
      <c r="F850" t="str">
        <f>IFERROR(IF(D850="","",VLOOKUP(D850,CadProd!$A:$C,3,0)),"")</f>
        <v/>
      </c>
      <c r="I850" s="1" t="str">
        <f t="shared" si="13"/>
        <v/>
      </c>
    </row>
    <row r="851" spans="5:9" x14ac:dyDescent="0.3">
      <c r="E851" t="str">
        <f>IFERROR(IF(D851="","",VLOOKUP(D851,CadProd!$A:$B,2,0)),"")</f>
        <v/>
      </c>
      <c r="F851" t="str">
        <f>IFERROR(IF(D851="","",VLOOKUP(D851,CadProd!$A:$C,3,0)),"")</f>
        <v/>
      </c>
      <c r="I851" s="1" t="str">
        <f t="shared" si="13"/>
        <v/>
      </c>
    </row>
    <row r="852" spans="5:9" x14ac:dyDescent="0.3">
      <c r="E852" t="str">
        <f>IFERROR(IF(D852="","",VLOOKUP(D852,CadProd!$A:$B,2,0)),"")</f>
        <v/>
      </c>
      <c r="F852" t="str">
        <f>IFERROR(IF(D852="","",VLOOKUP(D852,CadProd!$A:$C,3,0)),"")</f>
        <v/>
      </c>
      <c r="I852" s="1" t="str">
        <f t="shared" si="13"/>
        <v/>
      </c>
    </row>
    <row r="853" spans="5:9" x14ac:dyDescent="0.3">
      <c r="E853" t="str">
        <f>IFERROR(IF(D853="","",VLOOKUP(D853,CadProd!$A:$B,2,0)),"")</f>
        <v/>
      </c>
      <c r="F853" t="str">
        <f>IFERROR(IF(D853="","",VLOOKUP(D853,CadProd!$A:$C,3,0)),"")</f>
        <v/>
      </c>
      <c r="I853" s="1" t="str">
        <f t="shared" si="13"/>
        <v/>
      </c>
    </row>
    <row r="854" spans="5:9" x14ac:dyDescent="0.3">
      <c r="E854" t="str">
        <f>IFERROR(IF(D854="","",VLOOKUP(D854,CadProd!$A:$B,2,0)),"")</f>
        <v/>
      </c>
      <c r="F854" t="str">
        <f>IFERROR(IF(D854="","",VLOOKUP(D854,CadProd!$A:$C,3,0)),"")</f>
        <v/>
      </c>
      <c r="I854" s="1" t="str">
        <f t="shared" si="13"/>
        <v/>
      </c>
    </row>
    <row r="855" spans="5:9" x14ac:dyDescent="0.3">
      <c r="E855" t="str">
        <f>IFERROR(IF(D855="","",VLOOKUP(D855,CadProd!$A:$B,2,0)),"")</f>
        <v/>
      </c>
      <c r="F855" t="str">
        <f>IFERROR(IF(D855="","",VLOOKUP(D855,CadProd!$A:$C,3,0)),"")</f>
        <v/>
      </c>
      <c r="I855" s="1" t="str">
        <f t="shared" si="13"/>
        <v/>
      </c>
    </row>
    <row r="856" spans="5:9" x14ac:dyDescent="0.3">
      <c r="E856" t="str">
        <f>IFERROR(IF(D856="","",VLOOKUP(D856,CadProd!$A:$B,2,0)),"")</f>
        <v/>
      </c>
      <c r="F856" t="str">
        <f>IFERROR(IF(D856="","",VLOOKUP(D856,CadProd!$A:$C,3,0)),"")</f>
        <v/>
      </c>
      <c r="I856" s="1" t="str">
        <f t="shared" si="13"/>
        <v/>
      </c>
    </row>
    <row r="857" spans="5:9" x14ac:dyDescent="0.3">
      <c r="E857" t="str">
        <f>IFERROR(IF(D857="","",VLOOKUP(D857,CadProd!$A:$B,2,0)),"")</f>
        <v/>
      </c>
      <c r="F857" t="str">
        <f>IFERROR(IF(D857="","",VLOOKUP(D857,CadProd!$A:$C,3,0)),"")</f>
        <v/>
      </c>
      <c r="I857" s="1" t="str">
        <f t="shared" si="13"/>
        <v/>
      </c>
    </row>
    <row r="858" spans="5:9" x14ac:dyDescent="0.3">
      <c r="E858" t="str">
        <f>IFERROR(IF(D858="","",VLOOKUP(D858,CadProd!$A:$B,2,0)),"")</f>
        <v/>
      </c>
      <c r="F858" t="str">
        <f>IFERROR(IF(D858="","",VLOOKUP(D858,CadProd!$A:$C,3,0)),"")</f>
        <v/>
      </c>
      <c r="I858" s="1" t="str">
        <f t="shared" si="13"/>
        <v/>
      </c>
    </row>
    <row r="859" spans="5:9" x14ac:dyDescent="0.3">
      <c r="E859" t="str">
        <f>IFERROR(IF(D859="","",VLOOKUP(D859,CadProd!$A:$B,2,0)),"")</f>
        <v/>
      </c>
      <c r="F859" t="str">
        <f>IFERROR(IF(D859="","",VLOOKUP(D859,CadProd!$A:$C,3,0)),"")</f>
        <v/>
      </c>
      <c r="I859" s="1" t="str">
        <f t="shared" si="13"/>
        <v/>
      </c>
    </row>
    <row r="860" spans="5:9" x14ac:dyDescent="0.3">
      <c r="E860" t="str">
        <f>IFERROR(IF(D860="","",VLOOKUP(D860,CadProd!$A:$B,2,0)),"")</f>
        <v/>
      </c>
      <c r="F860" t="str">
        <f>IFERROR(IF(D860="","",VLOOKUP(D860,CadProd!$A:$C,3,0)),"")</f>
        <v/>
      </c>
      <c r="I860" s="1" t="str">
        <f t="shared" si="13"/>
        <v/>
      </c>
    </row>
    <row r="861" spans="5:9" x14ac:dyDescent="0.3">
      <c r="E861" t="str">
        <f>IFERROR(IF(D861="","",VLOOKUP(D861,CadProd!$A:$B,2,0)),"")</f>
        <v/>
      </c>
      <c r="F861" t="str">
        <f>IFERROR(IF(D861="","",VLOOKUP(D861,CadProd!$A:$C,3,0)),"")</f>
        <v/>
      </c>
      <c r="I861" s="1" t="str">
        <f t="shared" si="13"/>
        <v/>
      </c>
    </row>
    <row r="862" spans="5:9" x14ac:dyDescent="0.3">
      <c r="E862" t="str">
        <f>IFERROR(IF(D862="","",VLOOKUP(D862,CadProd!$A:$B,2,0)),"")</f>
        <v/>
      </c>
      <c r="F862" t="str">
        <f>IFERROR(IF(D862="","",VLOOKUP(D862,CadProd!$A:$C,3,0)),"")</f>
        <v/>
      </c>
      <c r="I862" s="1" t="str">
        <f t="shared" si="13"/>
        <v/>
      </c>
    </row>
    <row r="863" spans="5:9" x14ac:dyDescent="0.3">
      <c r="E863" t="str">
        <f>IFERROR(IF(D863="","",VLOOKUP(D863,CadProd!$A:$B,2,0)),"")</f>
        <v/>
      </c>
      <c r="F863" t="str">
        <f>IFERROR(IF(D863="","",VLOOKUP(D863,CadProd!$A:$C,3,0)),"")</f>
        <v/>
      </c>
      <c r="I863" s="1" t="str">
        <f t="shared" si="13"/>
        <v/>
      </c>
    </row>
    <row r="864" spans="5:9" x14ac:dyDescent="0.3">
      <c r="E864" t="str">
        <f>IFERROR(IF(D864="","",VLOOKUP(D864,CadProd!$A:$B,2,0)),"")</f>
        <v/>
      </c>
      <c r="F864" t="str">
        <f>IFERROR(IF(D864="","",VLOOKUP(D864,CadProd!$A:$C,3,0)),"")</f>
        <v/>
      </c>
      <c r="I864" s="1" t="str">
        <f t="shared" si="13"/>
        <v/>
      </c>
    </row>
    <row r="865" spans="5:9" x14ac:dyDescent="0.3">
      <c r="E865" t="str">
        <f>IFERROR(IF(D865="","",VLOOKUP(D865,CadProd!$A:$B,2,0)),"")</f>
        <v/>
      </c>
      <c r="F865" t="str">
        <f>IFERROR(IF(D865="","",VLOOKUP(D865,CadProd!$A:$C,3,0)),"")</f>
        <v/>
      </c>
      <c r="I865" s="1" t="str">
        <f t="shared" si="13"/>
        <v/>
      </c>
    </row>
    <row r="866" spans="5:9" x14ac:dyDescent="0.3">
      <c r="E866" t="str">
        <f>IFERROR(IF(D866="","",VLOOKUP(D866,CadProd!$A:$B,2,0)),"")</f>
        <v/>
      </c>
      <c r="F866" t="str">
        <f>IFERROR(IF(D866="","",VLOOKUP(D866,CadProd!$A:$C,3,0)),"")</f>
        <v/>
      </c>
      <c r="I866" s="1" t="str">
        <f t="shared" si="13"/>
        <v/>
      </c>
    </row>
    <row r="867" spans="5:9" x14ac:dyDescent="0.3">
      <c r="E867" t="str">
        <f>IFERROR(IF(D867="","",VLOOKUP(D867,CadProd!$A:$B,2,0)),"")</f>
        <v/>
      </c>
      <c r="F867" t="str">
        <f>IFERROR(IF(D867="","",VLOOKUP(D867,CadProd!$A:$C,3,0)),"")</f>
        <v/>
      </c>
      <c r="I867" s="1" t="str">
        <f t="shared" si="13"/>
        <v/>
      </c>
    </row>
    <row r="868" spans="5:9" x14ac:dyDescent="0.3">
      <c r="E868" t="str">
        <f>IFERROR(IF(D868="","",VLOOKUP(D868,CadProd!$A:$B,2,0)),"")</f>
        <v/>
      </c>
      <c r="F868" t="str">
        <f>IFERROR(IF(D868="","",VLOOKUP(D868,CadProd!$A:$C,3,0)),"")</f>
        <v/>
      </c>
      <c r="I868" s="1" t="str">
        <f t="shared" si="13"/>
        <v/>
      </c>
    </row>
    <row r="869" spans="5:9" x14ac:dyDescent="0.3">
      <c r="E869" t="str">
        <f>IFERROR(IF(D869="","",VLOOKUP(D869,CadProd!$A:$B,2,0)),"")</f>
        <v/>
      </c>
      <c r="F869" t="str">
        <f>IFERROR(IF(D869="","",VLOOKUP(D869,CadProd!$A:$C,3,0)),"")</f>
        <v/>
      </c>
      <c r="I869" s="1" t="str">
        <f t="shared" si="13"/>
        <v/>
      </c>
    </row>
    <row r="870" spans="5:9" x14ac:dyDescent="0.3">
      <c r="E870" t="str">
        <f>IFERROR(IF(D870="","",VLOOKUP(D870,CadProd!$A:$B,2,0)),"")</f>
        <v/>
      </c>
      <c r="F870" t="str">
        <f>IFERROR(IF(D870="","",VLOOKUP(D870,CadProd!$A:$C,3,0)),"")</f>
        <v/>
      </c>
      <c r="I870" s="1" t="str">
        <f t="shared" si="13"/>
        <v/>
      </c>
    </row>
    <row r="871" spans="5:9" x14ac:dyDescent="0.3">
      <c r="E871" t="str">
        <f>IFERROR(IF(D871="","",VLOOKUP(D871,CadProd!$A:$B,2,0)),"")</f>
        <v/>
      </c>
      <c r="F871" t="str">
        <f>IFERROR(IF(D871="","",VLOOKUP(D871,CadProd!$A:$C,3,0)),"")</f>
        <v/>
      </c>
      <c r="I871" s="1" t="str">
        <f t="shared" si="13"/>
        <v/>
      </c>
    </row>
    <row r="872" spans="5:9" x14ac:dyDescent="0.3">
      <c r="E872" t="str">
        <f>IFERROR(IF(D872="","",VLOOKUP(D872,CadProd!$A:$B,2,0)),"")</f>
        <v/>
      </c>
      <c r="F872" t="str">
        <f>IFERROR(IF(D872="","",VLOOKUP(D872,CadProd!$A:$C,3,0)),"")</f>
        <v/>
      </c>
      <c r="I872" s="1" t="str">
        <f t="shared" si="13"/>
        <v/>
      </c>
    </row>
    <row r="873" spans="5:9" x14ac:dyDescent="0.3">
      <c r="E873" t="str">
        <f>IFERROR(IF(D873="","",VLOOKUP(D873,CadProd!$A:$B,2,0)),"")</f>
        <v/>
      </c>
      <c r="F873" t="str">
        <f>IFERROR(IF(D873="","",VLOOKUP(D873,CadProd!$A:$C,3,0)),"")</f>
        <v/>
      </c>
      <c r="I873" s="1" t="str">
        <f t="shared" si="13"/>
        <v/>
      </c>
    </row>
    <row r="874" spans="5:9" x14ac:dyDescent="0.3">
      <c r="E874" t="str">
        <f>IFERROR(IF(D874="","",VLOOKUP(D874,CadProd!$A:$B,2,0)),"")</f>
        <v/>
      </c>
      <c r="F874" t="str">
        <f>IFERROR(IF(D874="","",VLOOKUP(D874,CadProd!$A:$C,3,0)),"")</f>
        <v/>
      </c>
      <c r="I874" s="1" t="str">
        <f t="shared" si="13"/>
        <v/>
      </c>
    </row>
    <row r="875" spans="5:9" x14ac:dyDescent="0.3">
      <c r="E875" t="str">
        <f>IFERROR(IF(D875="","",VLOOKUP(D875,CadProd!$A:$B,2,0)),"")</f>
        <v/>
      </c>
      <c r="F875" t="str">
        <f>IFERROR(IF(D875="","",VLOOKUP(D875,CadProd!$A:$C,3,0)),"")</f>
        <v/>
      </c>
      <c r="I875" s="1" t="str">
        <f t="shared" si="13"/>
        <v/>
      </c>
    </row>
    <row r="876" spans="5:9" x14ac:dyDescent="0.3">
      <c r="E876" t="str">
        <f>IFERROR(IF(D876="","",VLOOKUP(D876,CadProd!$A:$B,2,0)),"")</f>
        <v/>
      </c>
      <c r="F876" t="str">
        <f>IFERROR(IF(D876="","",VLOOKUP(D876,CadProd!$A:$C,3,0)),"")</f>
        <v/>
      </c>
      <c r="I876" s="1" t="str">
        <f t="shared" si="13"/>
        <v/>
      </c>
    </row>
    <row r="877" spans="5:9" x14ac:dyDescent="0.3">
      <c r="E877" t="str">
        <f>IFERROR(IF(D877="","",VLOOKUP(D877,CadProd!$A:$B,2,0)),"")</f>
        <v/>
      </c>
      <c r="F877" t="str">
        <f>IFERROR(IF(D877="","",VLOOKUP(D877,CadProd!$A:$C,3,0)),"")</f>
        <v/>
      </c>
      <c r="I877" s="1" t="str">
        <f t="shared" si="13"/>
        <v/>
      </c>
    </row>
    <row r="878" spans="5:9" x14ac:dyDescent="0.3">
      <c r="E878" t="str">
        <f>IFERROR(IF(D878="","",VLOOKUP(D878,CadProd!$A:$B,2,0)),"")</f>
        <v/>
      </c>
      <c r="F878" t="str">
        <f>IFERROR(IF(D878="","",VLOOKUP(D878,CadProd!$A:$C,3,0)),"")</f>
        <v/>
      </c>
      <c r="I878" s="1" t="str">
        <f t="shared" si="13"/>
        <v/>
      </c>
    </row>
    <row r="879" spans="5:9" x14ac:dyDescent="0.3">
      <c r="E879" t="str">
        <f>IFERROR(IF(D879="","",VLOOKUP(D879,CadProd!$A:$B,2,0)),"")</f>
        <v/>
      </c>
      <c r="F879" t="str">
        <f>IFERROR(IF(D879="","",VLOOKUP(D879,CadProd!$A:$C,3,0)),"")</f>
        <v/>
      </c>
      <c r="I879" s="1" t="str">
        <f t="shared" si="13"/>
        <v/>
      </c>
    </row>
    <row r="880" spans="5:9" x14ac:dyDescent="0.3">
      <c r="E880" t="str">
        <f>IFERROR(IF(D880="","",VLOOKUP(D880,CadProd!$A:$B,2,0)),"")</f>
        <v/>
      </c>
      <c r="F880" t="str">
        <f>IFERROR(IF(D880="","",VLOOKUP(D880,CadProd!$A:$C,3,0)),"")</f>
        <v/>
      </c>
      <c r="I880" s="1" t="str">
        <f t="shared" si="13"/>
        <v/>
      </c>
    </row>
    <row r="881" spans="5:9" x14ac:dyDescent="0.3">
      <c r="E881" t="str">
        <f>IFERROR(IF(D881="","",VLOOKUP(D881,CadProd!$A:$B,2,0)),"")</f>
        <v/>
      </c>
      <c r="F881" t="str">
        <f>IFERROR(IF(D881="","",VLOOKUP(D881,CadProd!$A:$C,3,0)),"")</f>
        <v/>
      </c>
      <c r="I881" s="1" t="str">
        <f t="shared" si="13"/>
        <v/>
      </c>
    </row>
    <row r="882" spans="5:9" x14ac:dyDescent="0.3">
      <c r="E882" t="str">
        <f>IFERROR(IF(D882="","",VLOOKUP(D882,CadProd!$A:$B,2,0)),"")</f>
        <v/>
      </c>
      <c r="F882" t="str">
        <f>IFERROR(IF(D882="","",VLOOKUP(D882,CadProd!$A:$C,3,0)),"")</f>
        <v/>
      </c>
      <c r="I882" s="1" t="str">
        <f t="shared" si="13"/>
        <v/>
      </c>
    </row>
    <row r="883" spans="5:9" x14ac:dyDescent="0.3">
      <c r="E883" t="str">
        <f>IFERROR(IF(D883="","",VLOOKUP(D883,CadProd!$A:$B,2,0)),"")</f>
        <v/>
      </c>
      <c r="F883" t="str">
        <f>IFERROR(IF(D883="","",VLOOKUP(D883,CadProd!$A:$C,3,0)),"")</f>
        <v/>
      </c>
      <c r="I883" s="1" t="str">
        <f t="shared" si="13"/>
        <v/>
      </c>
    </row>
    <row r="884" spans="5:9" x14ac:dyDescent="0.3">
      <c r="E884" t="str">
        <f>IFERROR(IF(D884="","",VLOOKUP(D884,CadProd!$A:$B,2,0)),"")</f>
        <v/>
      </c>
      <c r="F884" t="str">
        <f>IFERROR(IF(D884="","",VLOOKUP(D884,CadProd!$A:$C,3,0)),"")</f>
        <v/>
      </c>
      <c r="I884" s="1" t="str">
        <f t="shared" si="13"/>
        <v/>
      </c>
    </row>
    <row r="885" spans="5:9" x14ac:dyDescent="0.3">
      <c r="E885" t="str">
        <f>IFERROR(IF(D885="","",VLOOKUP(D885,CadProd!$A:$B,2,0)),"")</f>
        <v/>
      </c>
      <c r="F885" t="str">
        <f>IFERROR(IF(D885="","",VLOOKUP(D885,CadProd!$A:$C,3,0)),"")</f>
        <v/>
      </c>
      <c r="I885" s="1" t="str">
        <f t="shared" si="13"/>
        <v/>
      </c>
    </row>
    <row r="886" spans="5:9" x14ac:dyDescent="0.3">
      <c r="E886" t="str">
        <f>IFERROR(IF(D886="","",VLOOKUP(D886,CadProd!$A:$B,2,0)),"")</f>
        <v/>
      </c>
      <c r="F886" t="str">
        <f>IFERROR(IF(D886="","",VLOOKUP(D886,CadProd!$A:$C,3,0)),"")</f>
        <v/>
      </c>
      <c r="I886" s="1" t="str">
        <f t="shared" si="13"/>
        <v/>
      </c>
    </row>
    <row r="887" spans="5:9" x14ac:dyDescent="0.3">
      <c r="E887" t="str">
        <f>IFERROR(IF(D887="","",VLOOKUP(D887,CadProd!$A:$B,2,0)),"")</f>
        <v/>
      </c>
      <c r="F887" t="str">
        <f>IFERROR(IF(D887="","",VLOOKUP(D887,CadProd!$A:$C,3,0)),"")</f>
        <v/>
      </c>
      <c r="I887" s="1" t="str">
        <f t="shared" si="13"/>
        <v/>
      </c>
    </row>
    <row r="888" spans="5:9" x14ac:dyDescent="0.3">
      <c r="E888" t="str">
        <f>IFERROR(IF(D888="","",VLOOKUP(D888,CadProd!$A:$B,2,0)),"")</f>
        <v/>
      </c>
      <c r="F888" t="str">
        <f>IFERROR(IF(D888="","",VLOOKUP(D888,CadProd!$A:$C,3,0)),"")</f>
        <v/>
      </c>
      <c r="I888" s="1" t="str">
        <f t="shared" si="13"/>
        <v/>
      </c>
    </row>
    <row r="889" spans="5:9" x14ac:dyDescent="0.3">
      <c r="E889" t="str">
        <f>IFERROR(IF(D889="","",VLOOKUP(D889,CadProd!$A:$B,2,0)),"")</f>
        <v/>
      </c>
      <c r="F889" t="str">
        <f>IFERROR(IF(D889="","",VLOOKUP(D889,CadProd!$A:$C,3,0)),"")</f>
        <v/>
      </c>
      <c r="I889" s="1" t="str">
        <f t="shared" si="13"/>
        <v/>
      </c>
    </row>
    <row r="890" spans="5:9" x14ac:dyDescent="0.3">
      <c r="E890" t="str">
        <f>IFERROR(IF(D890="","",VLOOKUP(D890,CadProd!$A:$B,2,0)),"")</f>
        <v/>
      </c>
      <c r="F890" t="str">
        <f>IFERROR(IF(D890="","",VLOOKUP(D890,CadProd!$A:$C,3,0)),"")</f>
        <v/>
      </c>
      <c r="I890" s="1" t="str">
        <f t="shared" si="13"/>
        <v/>
      </c>
    </row>
    <row r="891" spans="5:9" x14ac:dyDescent="0.3">
      <c r="E891" t="str">
        <f>IFERROR(IF(D891="","",VLOOKUP(D891,CadProd!$A:$B,2,0)),"")</f>
        <v/>
      </c>
      <c r="F891" t="str">
        <f>IFERROR(IF(D891="","",VLOOKUP(D891,CadProd!$A:$C,3,0)),"")</f>
        <v/>
      </c>
      <c r="I891" s="1" t="str">
        <f t="shared" si="13"/>
        <v/>
      </c>
    </row>
    <row r="892" spans="5:9" x14ac:dyDescent="0.3">
      <c r="E892" t="str">
        <f>IFERROR(IF(D892="","",VLOOKUP(D892,CadProd!$A:$B,2,0)),"")</f>
        <v/>
      </c>
      <c r="F892" t="str">
        <f>IFERROR(IF(D892="","",VLOOKUP(D892,CadProd!$A:$C,3,0)),"")</f>
        <v/>
      </c>
      <c r="I892" s="1" t="str">
        <f t="shared" si="13"/>
        <v/>
      </c>
    </row>
    <row r="893" spans="5:9" x14ac:dyDescent="0.3">
      <c r="E893" t="str">
        <f>IFERROR(IF(D893="","",VLOOKUP(D893,CadProd!$A:$B,2,0)),"")</f>
        <v/>
      </c>
      <c r="F893" t="str">
        <f>IFERROR(IF(D893="","",VLOOKUP(D893,CadProd!$A:$C,3,0)),"")</f>
        <v/>
      </c>
      <c r="I893" s="1" t="str">
        <f t="shared" si="13"/>
        <v/>
      </c>
    </row>
    <row r="894" spans="5:9" x14ac:dyDescent="0.3">
      <c r="E894" t="str">
        <f>IFERROR(IF(D894="","",VLOOKUP(D894,CadProd!$A:$B,2,0)),"")</f>
        <v/>
      </c>
      <c r="F894" t="str">
        <f>IFERROR(IF(D894="","",VLOOKUP(D894,CadProd!$A:$C,3,0)),"")</f>
        <v/>
      </c>
      <c r="I894" s="1" t="str">
        <f t="shared" si="13"/>
        <v/>
      </c>
    </row>
    <row r="895" spans="5:9" x14ac:dyDescent="0.3">
      <c r="E895" t="str">
        <f>IFERROR(IF(D895="","",VLOOKUP(D895,CadProd!$A:$B,2,0)),"")</f>
        <v/>
      </c>
      <c r="F895" t="str">
        <f>IFERROR(IF(D895="","",VLOOKUP(D895,CadProd!$A:$C,3,0)),"")</f>
        <v/>
      </c>
      <c r="I895" s="1" t="str">
        <f t="shared" si="13"/>
        <v/>
      </c>
    </row>
    <row r="896" spans="5:9" x14ac:dyDescent="0.3">
      <c r="E896" t="str">
        <f>IFERROR(IF(D896="","",VLOOKUP(D896,CadProd!$A:$B,2,0)),"")</f>
        <v/>
      </c>
      <c r="F896" t="str">
        <f>IFERROR(IF(D896="","",VLOOKUP(D896,CadProd!$A:$C,3,0)),"")</f>
        <v/>
      </c>
      <c r="I896" s="1" t="str">
        <f t="shared" si="13"/>
        <v/>
      </c>
    </row>
    <row r="897" spans="5:9" x14ac:dyDescent="0.3">
      <c r="E897" t="str">
        <f>IFERROR(IF(D897="","",VLOOKUP(D897,CadProd!$A:$B,2,0)),"")</f>
        <v/>
      </c>
      <c r="F897" t="str">
        <f>IFERROR(IF(D897="","",VLOOKUP(D897,CadProd!$A:$C,3,0)),"")</f>
        <v/>
      </c>
      <c r="I897" s="1" t="str">
        <f t="shared" si="13"/>
        <v/>
      </c>
    </row>
    <row r="898" spans="5:9" x14ac:dyDescent="0.3">
      <c r="E898" t="str">
        <f>IFERROR(IF(D898="","",VLOOKUP(D898,CadProd!$A:$B,2,0)),"")</f>
        <v/>
      </c>
      <c r="F898" t="str">
        <f>IFERROR(IF(D898="","",VLOOKUP(D898,CadProd!$A:$C,3,0)),"")</f>
        <v/>
      </c>
      <c r="I898" s="1" t="str">
        <f t="shared" si="13"/>
        <v/>
      </c>
    </row>
    <row r="899" spans="5:9" x14ac:dyDescent="0.3">
      <c r="E899" t="str">
        <f>IFERROR(IF(D899="","",VLOOKUP(D899,CadProd!$A:$B,2,0)),"")</f>
        <v/>
      </c>
      <c r="F899" t="str">
        <f>IFERROR(IF(D899="","",VLOOKUP(D899,CadProd!$A:$C,3,0)),"")</f>
        <v/>
      </c>
      <c r="I899" s="1" t="str">
        <f t="shared" si="13"/>
        <v/>
      </c>
    </row>
    <row r="900" spans="5:9" x14ac:dyDescent="0.3">
      <c r="E900" t="str">
        <f>IFERROR(IF(D900="","",VLOOKUP(D900,CadProd!$A:$B,2,0)),"")</f>
        <v/>
      </c>
      <c r="F900" t="str">
        <f>IFERROR(IF(D900="","",VLOOKUP(D900,CadProd!$A:$C,3,0)),"")</f>
        <v/>
      </c>
      <c r="I900" s="1" t="str">
        <f t="shared" si="13"/>
        <v/>
      </c>
    </row>
    <row r="901" spans="5:9" x14ac:dyDescent="0.3">
      <c r="E901" t="str">
        <f>IFERROR(IF(D901="","",VLOOKUP(D901,CadProd!$A:$B,2,0)),"")</f>
        <v/>
      </c>
      <c r="F901" t="str">
        <f>IFERROR(IF(D901="","",VLOOKUP(D901,CadProd!$A:$C,3,0)),"")</f>
        <v/>
      </c>
      <c r="I901" s="1" t="str">
        <f t="shared" si="13"/>
        <v/>
      </c>
    </row>
    <row r="902" spans="5:9" x14ac:dyDescent="0.3">
      <c r="E902" t="str">
        <f>IFERROR(IF(D902="","",VLOOKUP(D902,CadProd!$A:$B,2,0)),"")</f>
        <v/>
      </c>
      <c r="F902" t="str">
        <f>IFERROR(IF(D902="","",VLOOKUP(D902,CadProd!$A:$C,3,0)),"")</f>
        <v/>
      </c>
      <c r="I902" s="1" t="str">
        <f t="shared" si="13"/>
        <v/>
      </c>
    </row>
    <row r="903" spans="5:9" x14ac:dyDescent="0.3">
      <c r="E903" t="str">
        <f>IFERROR(IF(D903="","",VLOOKUP(D903,CadProd!$A:$B,2,0)),"")</f>
        <v/>
      </c>
      <c r="F903" t="str">
        <f>IFERROR(IF(D903="","",VLOOKUP(D903,CadProd!$A:$C,3,0)),"")</f>
        <v/>
      </c>
      <c r="I903" s="1" t="str">
        <f t="shared" si="13"/>
        <v/>
      </c>
    </row>
    <row r="904" spans="5:9" x14ac:dyDescent="0.3">
      <c r="E904" t="str">
        <f>IFERROR(IF(D904="","",VLOOKUP(D904,CadProd!$A:$B,2,0)),"")</f>
        <v/>
      </c>
      <c r="F904" t="str">
        <f>IFERROR(IF(D904="","",VLOOKUP(D904,CadProd!$A:$C,3,0)),"")</f>
        <v/>
      </c>
      <c r="I904" s="1" t="str">
        <f t="shared" si="13"/>
        <v/>
      </c>
    </row>
    <row r="905" spans="5:9" x14ac:dyDescent="0.3">
      <c r="E905" t="str">
        <f>IFERROR(IF(D905="","",VLOOKUP(D905,CadProd!$A:$B,2,0)),"")</f>
        <v/>
      </c>
      <c r="F905" t="str">
        <f>IFERROR(IF(D905="","",VLOOKUP(D905,CadProd!$A:$C,3,0)),"")</f>
        <v/>
      </c>
      <c r="I905" s="1" t="str">
        <f t="shared" si="13"/>
        <v/>
      </c>
    </row>
    <row r="906" spans="5:9" x14ac:dyDescent="0.3">
      <c r="E906" t="str">
        <f>IFERROR(IF(D906="","",VLOOKUP(D906,CadProd!$A:$B,2,0)),"")</f>
        <v/>
      </c>
      <c r="F906" t="str">
        <f>IFERROR(IF(D906="","",VLOOKUP(D906,CadProd!$A:$C,3,0)),"")</f>
        <v/>
      </c>
      <c r="I906" s="1" t="str">
        <f t="shared" si="13"/>
        <v/>
      </c>
    </row>
    <row r="907" spans="5:9" x14ac:dyDescent="0.3">
      <c r="E907" t="str">
        <f>IFERROR(IF(D907="","",VLOOKUP(D907,CadProd!$A:$B,2,0)),"")</f>
        <v/>
      </c>
      <c r="F907" t="str">
        <f>IFERROR(IF(D907="","",VLOOKUP(D907,CadProd!$A:$C,3,0)),"")</f>
        <v/>
      </c>
      <c r="I907" s="1" t="str">
        <f t="shared" ref="I907:I970" si="14">IFERROR(IF(D907="","",H907*G907),"")</f>
        <v/>
      </c>
    </row>
    <row r="908" spans="5:9" x14ac:dyDescent="0.3">
      <c r="E908" t="str">
        <f>IFERROR(IF(D908="","",VLOOKUP(D908,CadProd!$A:$B,2,0)),"")</f>
        <v/>
      </c>
      <c r="F908" t="str">
        <f>IFERROR(IF(D908="","",VLOOKUP(D908,CadProd!$A:$C,3,0)),"")</f>
        <v/>
      </c>
      <c r="I908" s="1" t="str">
        <f t="shared" si="14"/>
        <v/>
      </c>
    </row>
    <row r="909" spans="5:9" x14ac:dyDescent="0.3">
      <c r="E909" t="str">
        <f>IFERROR(IF(D909="","",VLOOKUP(D909,CadProd!$A:$B,2,0)),"")</f>
        <v/>
      </c>
      <c r="F909" t="str">
        <f>IFERROR(IF(D909="","",VLOOKUP(D909,CadProd!$A:$C,3,0)),"")</f>
        <v/>
      </c>
      <c r="I909" s="1" t="str">
        <f t="shared" si="14"/>
        <v/>
      </c>
    </row>
    <row r="910" spans="5:9" x14ac:dyDescent="0.3">
      <c r="E910" t="str">
        <f>IFERROR(IF(D910="","",VLOOKUP(D910,CadProd!$A:$B,2,0)),"")</f>
        <v/>
      </c>
      <c r="F910" t="str">
        <f>IFERROR(IF(D910="","",VLOOKUP(D910,CadProd!$A:$C,3,0)),"")</f>
        <v/>
      </c>
      <c r="I910" s="1" t="str">
        <f t="shared" si="14"/>
        <v/>
      </c>
    </row>
    <row r="911" spans="5:9" x14ac:dyDescent="0.3">
      <c r="E911" t="str">
        <f>IFERROR(IF(D911="","",VLOOKUP(D911,CadProd!$A:$B,2,0)),"")</f>
        <v/>
      </c>
      <c r="F911" t="str">
        <f>IFERROR(IF(D911="","",VLOOKUP(D911,CadProd!$A:$C,3,0)),"")</f>
        <v/>
      </c>
      <c r="I911" s="1" t="str">
        <f t="shared" si="14"/>
        <v/>
      </c>
    </row>
    <row r="912" spans="5:9" x14ac:dyDescent="0.3">
      <c r="E912" t="str">
        <f>IFERROR(IF(D912="","",VLOOKUP(D912,CadProd!$A:$B,2,0)),"")</f>
        <v/>
      </c>
      <c r="F912" t="str">
        <f>IFERROR(IF(D912="","",VLOOKUP(D912,CadProd!$A:$C,3,0)),"")</f>
        <v/>
      </c>
      <c r="I912" s="1" t="str">
        <f t="shared" si="14"/>
        <v/>
      </c>
    </row>
    <row r="913" spans="5:9" x14ac:dyDescent="0.3">
      <c r="E913" t="str">
        <f>IFERROR(IF(D913="","",VLOOKUP(D913,CadProd!$A:$B,2,0)),"")</f>
        <v/>
      </c>
      <c r="F913" t="str">
        <f>IFERROR(IF(D913="","",VLOOKUP(D913,CadProd!$A:$C,3,0)),"")</f>
        <v/>
      </c>
      <c r="I913" s="1" t="str">
        <f t="shared" si="14"/>
        <v/>
      </c>
    </row>
    <row r="914" spans="5:9" x14ac:dyDescent="0.3">
      <c r="E914" t="str">
        <f>IFERROR(IF(D914="","",VLOOKUP(D914,CadProd!$A:$B,2,0)),"")</f>
        <v/>
      </c>
      <c r="F914" t="str">
        <f>IFERROR(IF(D914="","",VLOOKUP(D914,CadProd!$A:$C,3,0)),"")</f>
        <v/>
      </c>
      <c r="I914" s="1" t="str">
        <f t="shared" si="14"/>
        <v/>
      </c>
    </row>
    <row r="915" spans="5:9" x14ac:dyDescent="0.3">
      <c r="E915" t="str">
        <f>IFERROR(IF(D915="","",VLOOKUP(D915,CadProd!$A:$B,2,0)),"")</f>
        <v/>
      </c>
      <c r="F915" t="str">
        <f>IFERROR(IF(D915="","",VLOOKUP(D915,CadProd!$A:$C,3,0)),"")</f>
        <v/>
      </c>
      <c r="I915" s="1" t="str">
        <f t="shared" si="14"/>
        <v/>
      </c>
    </row>
    <row r="916" spans="5:9" x14ac:dyDescent="0.3">
      <c r="E916" t="str">
        <f>IFERROR(IF(D916="","",VLOOKUP(D916,CadProd!$A:$B,2,0)),"")</f>
        <v/>
      </c>
      <c r="F916" t="str">
        <f>IFERROR(IF(D916="","",VLOOKUP(D916,CadProd!$A:$C,3,0)),"")</f>
        <v/>
      </c>
      <c r="I916" s="1" t="str">
        <f t="shared" si="14"/>
        <v/>
      </c>
    </row>
    <row r="917" spans="5:9" x14ac:dyDescent="0.3">
      <c r="E917" t="str">
        <f>IFERROR(IF(D917="","",VLOOKUP(D917,CadProd!$A:$B,2,0)),"")</f>
        <v/>
      </c>
      <c r="F917" t="str">
        <f>IFERROR(IF(D917="","",VLOOKUP(D917,CadProd!$A:$C,3,0)),"")</f>
        <v/>
      </c>
      <c r="I917" s="1" t="str">
        <f t="shared" si="14"/>
        <v/>
      </c>
    </row>
    <row r="918" spans="5:9" x14ac:dyDescent="0.3">
      <c r="E918" t="str">
        <f>IFERROR(IF(D918="","",VLOOKUP(D918,CadProd!$A:$B,2,0)),"")</f>
        <v/>
      </c>
      <c r="F918" t="str">
        <f>IFERROR(IF(D918="","",VLOOKUP(D918,CadProd!$A:$C,3,0)),"")</f>
        <v/>
      </c>
      <c r="I918" s="1" t="str">
        <f t="shared" si="14"/>
        <v/>
      </c>
    </row>
    <row r="919" spans="5:9" x14ac:dyDescent="0.3">
      <c r="E919" t="str">
        <f>IFERROR(IF(D919="","",VLOOKUP(D919,CadProd!$A:$B,2,0)),"")</f>
        <v/>
      </c>
      <c r="F919" t="str">
        <f>IFERROR(IF(D919="","",VLOOKUP(D919,CadProd!$A:$C,3,0)),"")</f>
        <v/>
      </c>
      <c r="I919" s="1" t="str">
        <f t="shared" si="14"/>
        <v/>
      </c>
    </row>
    <row r="920" spans="5:9" x14ac:dyDescent="0.3">
      <c r="E920" t="str">
        <f>IFERROR(IF(D920="","",VLOOKUP(D920,CadProd!$A:$B,2,0)),"")</f>
        <v/>
      </c>
      <c r="F920" t="str">
        <f>IFERROR(IF(D920="","",VLOOKUP(D920,CadProd!$A:$C,3,0)),"")</f>
        <v/>
      </c>
      <c r="I920" s="1" t="str">
        <f t="shared" si="14"/>
        <v/>
      </c>
    </row>
    <row r="921" spans="5:9" x14ac:dyDescent="0.3">
      <c r="E921" t="str">
        <f>IFERROR(IF(D921="","",VLOOKUP(D921,CadProd!$A:$B,2,0)),"")</f>
        <v/>
      </c>
      <c r="F921" t="str">
        <f>IFERROR(IF(D921="","",VLOOKUP(D921,CadProd!$A:$C,3,0)),"")</f>
        <v/>
      </c>
      <c r="I921" s="1" t="str">
        <f t="shared" si="14"/>
        <v/>
      </c>
    </row>
    <row r="922" spans="5:9" x14ac:dyDescent="0.3">
      <c r="E922" t="str">
        <f>IFERROR(IF(D922="","",VLOOKUP(D922,CadProd!$A:$B,2,0)),"")</f>
        <v/>
      </c>
      <c r="F922" t="str">
        <f>IFERROR(IF(D922="","",VLOOKUP(D922,CadProd!$A:$C,3,0)),"")</f>
        <v/>
      </c>
      <c r="I922" s="1" t="str">
        <f t="shared" si="14"/>
        <v/>
      </c>
    </row>
    <row r="923" spans="5:9" x14ac:dyDescent="0.3">
      <c r="E923" t="str">
        <f>IFERROR(IF(D923="","",VLOOKUP(D923,CadProd!$A:$B,2,0)),"")</f>
        <v/>
      </c>
      <c r="F923" t="str">
        <f>IFERROR(IF(D923="","",VLOOKUP(D923,CadProd!$A:$C,3,0)),"")</f>
        <v/>
      </c>
      <c r="I923" s="1" t="str">
        <f t="shared" si="14"/>
        <v/>
      </c>
    </row>
    <row r="924" spans="5:9" x14ac:dyDescent="0.3">
      <c r="E924" t="str">
        <f>IFERROR(IF(D924="","",VLOOKUP(D924,CadProd!$A:$B,2,0)),"")</f>
        <v/>
      </c>
      <c r="F924" t="str">
        <f>IFERROR(IF(D924="","",VLOOKUP(D924,CadProd!$A:$C,3,0)),"")</f>
        <v/>
      </c>
      <c r="I924" s="1" t="str">
        <f t="shared" si="14"/>
        <v/>
      </c>
    </row>
    <row r="925" spans="5:9" x14ac:dyDescent="0.3">
      <c r="E925" t="str">
        <f>IFERROR(IF(D925="","",VLOOKUP(D925,CadProd!$A:$B,2,0)),"")</f>
        <v/>
      </c>
      <c r="F925" t="str">
        <f>IFERROR(IF(D925="","",VLOOKUP(D925,CadProd!$A:$C,3,0)),"")</f>
        <v/>
      </c>
      <c r="I925" s="1" t="str">
        <f t="shared" si="14"/>
        <v/>
      </c>
    </row>
    <row r="926" spans="5:9" x14ac:dyDescent="0.3">
      <c r="E926" t="str">
        <f>IFERROR(IF(D926="","",VLOOKUP(D926,CadProd!$A:$B,2,0)),"")</f>
        <v/>
      </c>
      <c r="F926" t="str">
        <f>IFERROR(IF(D926="","",VLOOKUP(D926,CadProd!$A:$C,3,0)),"")</f>
        <v/>
      </c>
      <c r="I926" s="1" t="str">
        <f t="shared" si="14"/>
        <v/>
      </c>
    </row>
    <row r="927" spans="5:9" x14ac:dyDescent="0.3">
      <c r="E927" t="str">
        <f>IFERROR(IF(D927="","",VLOOKUP(D927,CadProd!$A:$B,2,0)),"")</f>
        <v/>
      </c>
      <c r="F927" t="str">
        <f>IFERROR(IF(D927="","",VLOOKUP(D927,CadProd!$A:$C,3,0)),"")</f>
        <v/>
      </c>
      <c r="I927" s="1" t="str">
        <f t="shared" si="14"/>
        <v/>
      </c>
    </row>
    <row r="928" spans="5:9" x14ac:dyDescent="0.3">
      <c r="E928" t="str">
        <f>IFERROR(IF(D928="","",VLOOKUP(D928,CadProd!$A:$B,2,0)),"")</f>
        <v/>
      </c>
      <c r="F928" t="str">
        <f>IFERROR(IF(D928="","",VLOOKUP(D928,CadProd!$A:$C,3,0)),"")</f>
        <v/>
      </c>
      <c r="I928" s="1" t="str">
        <f t="shared" si="14"/>
        <v/>
      </c>
    </row>
    <row r="929" spans="5:9" x14ac:dyDescent="0.3">
      <c r="E929" t="str">
        <f>IFERROR(IF(D929="","",VLOOKUP(D929,CadProd!$A:$B,2,0)),"")</f>
        <v/>
      </c>
      <c r="F929" t="str">
        <f>IFERROR(IF(D929="","",VLOOKUP(D929,CadProd!$A:$C,3,0)),"")</f>
        <v/>
      </c>
      <c r="I929" s="1" t="str">
        <f t="shared" si="14"/>
        <v/>
      </c>
    </row>
    <row r="930" spans="5:9" x14ac:dyDescent="0.3">
      <c r="E930" t="str">
        <f>IFERROR(IF(D930="","",VLOOKUP(D930,CadProd!$A:$B,2,0)),"")</f>
        <v/>
      </c>
      <c r="F930" t="str">
        <f>IFERROR(IF(D930="","",VLOOKUP(D930,CadProd!$A:$C,3,0)),"")</f>
        <v/>
      </c>
      <c r="I930" s="1" t="str">
        <f t="shared" si="14"/>
        <v/>
      </c>
    </row>
    <row r="931" spans="5:9" x14ac:dyDescent="0.3">
      <c r="E931" t="str">
        <f>IFERROR(IF(D931="","",VLOOKUP(D931,CadProd!$A:$B,2,0)),"")</f>
        <v/>
      </c>
      <c r="F931" t="str">
        <f>IFERROR(IF(D931="","",VLOOKUP(D931,CadProd!$A:$C,3,0)),"")</f>
        <v/>
      </c>
      <c r="I931" s="1" t="str">
        <f t="shared" si="14"/>
        <v/>
      </c>
    </row>
    <row r="932" spans="5:9" x14ac:dyDescent="0.3">
      <c r="E932" t="str">
        <f>IFERROR(IF(D932="","",VLOOKUP(D932,CadProd!$A:$B,2,0)),"")</f>
        <v/>
      </c>
      <c r="F932" t="str">
        <f>IFERROR(IF(D932="","",VLOOKUP(D932,CadProd!$A:$C,3,0)),"")</f>
        <v/>
      </c>
      <c r="I932" s="1" t="str">
        <f t="shared" si="14"/>
        <v/>
      </c>
    </row>
    <row r="933" spans="5:9" x14ac:dyDescent="0.3">
      <c r="E933" t="str">
        <f>IFERROR(IF(D933="","",VLOOKUP(D933,CadProd!$A:$B,2,0)),"")</f>
        <v/>
      </c>
      <c r="F933" t="str">
        <f>IFERROR(IF(D933="","",VLOOKUP(D933,CadProd!$A:$C,3,0)),"")</f>
        <v/>
      </c>
      <c r="I933" s="1" t="str">
        <f t="shared" si="14"/>
        <v/>
      </c>
    </row>
    <row r="934" spans="5:9" x14ac:dyDescent="0.3">
      <c r="E934" t="str">
        <f>IFERROR(IF(D934="","",VLOOKUP(D934,CadProd!$A:$B,2,0)),"")</f>
        <v/>
      </c>
      <c r="F934" t="str">
        <f>IFERROR(IF(D934="","",VLOOKUP(D934,CadProd!$A:$C,3,0)),"")</f>
        <v/>
      </c>
      <c r="I934" s="1" t="str">
        <f t="shared" si="14"/>
        <v/>
      </c>
    </row>
    <row r="935" spans="5:9" x14ac:dyDescent="0.3">
      <c r="E935" t="str">
        <f>IFERROR(IF(D935="","",VLOOKUP(D935,CadProd!$A:$B,2,0)),"")</f>
        <v/>
      </c>
      <c r="F935" t="str">
        <f>IFERROR(IF(D935="","",VLOOKUP(D935,CadProd!$A:$C,3,0)),"")</f>
        <v/>
      </c>
      <c r="I935" s="1" t="str">
        <f t="shared" si="14"/>
        <v/>
      </c>
    </row>
    <row r="936" spans="5:9" x14ac:dyDescent="0.3">
      <c r="E936" t="str">
        <f>IFERROR(IF(D936="","",VLOOKUP(D936,CadProd!$A:$B,2,0)),"")</f>
        <v/>
      </c>
      <c r="F936" t="str">
        <f>IFERROR(IF(D936="","",VLOOKUP(D936,CadProd!$A:$C,3,0)),"")</f>
        <v/>
      </c>
      <c r="I936" s="1" t="str">
        <f t="shared" si="14"/>
        <v/>
      </c>
    </row>
    <row r="937" spans="5:9" x14ac:dyDescent="0.3">
      <c r="E937" t="str">
        <f>IFERROR(IF(D937="","",VLOOKUP(D937,CadProd!$A:$B,2,0)),"")</f>
        <v/>
      </c>
      <c r="F937" t="str">
        <f>IFERROR(IF(D937="","",VLOOKUP(D937,CadProd!$A:$C,3,0)),"")</f>
        <v/>
      </c>
      <c r="I937" s="1" t="str">
        <f t="shared" si="14"/>
        <v/>
      </c>
    </row>
    <row r="938" spans="5:9" x14ac:dyDescent="0.3">
      <c r="E938" t="str">
        <f>IFERROR(IF(D938="","",VLOOKUP(D938,CadProd!$A:$B,2,0)),"")</f>
        <v/>
      </c>
      <c r="F938" t="str">
        <f>IFERROR(IF(D938="","",VLOOKUP(D938,CadProd!$A:$C,3,0)),"")</f>
        <v/>
      </c>
      <c r="I938" s="1" t="str">
        <f t="shared" si="14"/>
        <v/>
      </c>
    </row>
    <row r="939" spans="5:9" x14ac:dyDescent="0.3">
      <c r="E939" t="str">
        <f>IFERROR(IF(D939="","",VLOOKUP(D939,CadProd!$A:$B,2,0)),"")</f>
        <v/>
      </c>
      <c r="F939" t="str">
        <f>IFERROR(IF(D939="","",VLOOKUP(D939,CadProd!$A:$C,3,0)),"")</f>
        <v/>
      </c>
      <c r="I939" s="1" t="str">
        <f t="shared" si="14"/>
        <v/>
      </c>
    </row>
    <row r="940" spans="5:9" x14ac:dyDescent="0.3">
      <c r="E940" t="str">
        <f>IFERROR(IF(D940="","",VLOOKUP(D940,CadProd!$A:$B,2,0)),"")</f>
        <v/>
      </c>
      <c r="F940" t="str">
        <f>IFERROR(IF(D940="","",VLOOKUP(D940,CadProd!$A:$C,3,0)),"")</f>
        <v/>
      </c>
      <c r="I940" s="1" t="str">
        <f t="shared" si="14"/>
        <v/>
      </c>
    </row>
    <row r="941" spans="5:9" x14ac:dyDescent="0.3">
      <c r="E941" t="str">
        <f>IFERROR(IF(D941="","",VLOOKUP(D941,CadProd!$A:$B,2,0)),"")</f>
        <v/>
      </c>
      <c r="F941" t="str">
        <f>IFERROR(IF(D941="","",VLOOKUP(D941,CadProd!$A:$C,3,0)),"")</f>
        <v/>
      </c>
      <c r="I941" s="1" t="str">
        <f t="shared" si="14"/>
        <v/>
      </c>
    </row>
    <row r="942" spans="5:9" x14ac:dyDescent="0.3">
      <c r="E942" t="str">
        <f>IFERROR(IF(D942="","",VLOOKUP(D942,CadProd!$A:$B,2,0)),"")</f>
        <v/>
      </c>
      <c r="F942" t="str">
        <f>IFERROR(IF(D942="","",VLOOKUP(D942,CadProd!$A:$C,3,0)),"")</f>
        <v/>
      </c>
      <c r="I942" s="1" t="str">
        <f t="shared" si="14"/>
        <v/>
      </c>
    </row>
    <row r="943" spans="5:9" x14ac:dyDescent="0.3">
      <c r="E943" t="str">
        <f>IFERROR(IF(D943="","",VLOOKUP(D943,CadProd!$A:$B,2,0)),"")</f>
        <v/>
      </c>
      <c r="F943" t="str">
        <f>IFERROR(IF(D943="","",VLOOKUP(D943,CadProd!$A:$C,3,0)),"")</f>
        <v/>
      </c>
      <c r="I943" s="1" t="str">
        <f t="shared" si="14"/>
        <v/>
      </c>
    </row>
    <row r="944" spans="5:9" x14ac:dyDescent="0.3">
      <c r="E944" t="str">
        <f>IFERROR(IF(D944="","",VLOOKUP(D944,CadProd!$A:$B,2,0)),"")</f>
        <v/>
      </c>
      <c r="F944" t="str">
        <f>IFERROR(IF(D944="","",VLOOKUP(D944,CadProd!$A:$C,3,0)),"")</f>
        <v/>
      </c>
      <c r="I944" s="1" t="str">
        <f t="shared" si="14"/>
        <v/>
      </c>
    </row>
    <row r="945" spans="5:9" x14ac:dyDescent="0.3">
      <c r="E945" t="str">
        <f>IFERROR(IF(D945="","",VLOOKUP(D945,CadProd!$A:$B,2,0)),"")</f>
        <v/>
      </c>
      <c r="F945" t="str">
        <f>IFERROR(IF(D945="","",VLOOKUP(D945,CadProd!$A:$C,3,0)),"")</f>
        <v/>
      </c>
      <c r="I945" s="1" t="str">
        <f t="shared" si="14"/>
        <v/>
      </c>
    </row>
    <row r="946" spans="5:9" x14ac:dyDescent="0.3">
      <c r="E946" t="str">
        <f>IFERROR(IF(D946="","",VLOOKUP(D946,CadProd!$A:$B,2,0)),"")</f>
        <v/>
      </c>
      <c r="F946" t="str">
        <f>IFERROR(IF(D946="","",VLOOKUP(D946,CadProd!$A:$C,3,0)),"")</f>
        <v/>
      </c>
      <c r="I946" s="1" t="str">
        <f t="shared" si="14"/>
        <v/>
      </c>
    </row>
    <row r="947" spans="5:9" x14ac:dyDescent="0.3">
      <c r="E947" t="str">
        <f>IFERROR(IF(D947="","",VLOOKUP(D947,CadProd!$A:$B,2,0)),"")</f>
        <v/>
      </c>
      <c r="F947" t="str">
        <f>IFERROR(IF(D947="","",VLOOKUP(D947,CadProd!$A:$C,3,0)),"")</f>
        <v/>
      </c>
      <c r="I947" s="1" t="str">
        <f t="shared" si="14"/>
        <v/>
      </c>
    </row>
    <row r="948" spans="5:9" x14ac:dyDescent="0.3">
      <c r="E948" t="str">
        <f>IFERROR(IF(D948="","",VLOOKUP(D948,CadProd!$A:$B,2,0)),"")</f>
        <v/>
      </c>
      <c r="F948" t="str">
        <f>IFERROR(IF(D948="","",VLOOKUP(D948,CadProd!$A:$C,3,0)),"")</f>
        <v/>
      </c>
      <c r="I948" s="1" t="str">
        <f t="shared" si="14"/>
        <v/>
      </c>
    </row>
    <row r="949" spans="5:9" x14ac:dyDescent="0.3">
      <c r="E949" t="str">
        <f>IFERROR(IF(D949="","",VLOOKUP(D949,CadProd!$A:$B,2,0)),"")</f>
        <v/>
      </c>
      <c r="F949" t="str">
        <f>IFERROR(IF(D949="","",VLOOKUP(D949,CadProd!$A:$C,3,0)),"")</f>
        <v/>
      </c>
      <c r="I949" s="1" t="str">
        <f t="shared" si="14"/>
        <v/>
      </c>
    </row>
    <row r="950" spans="5:9" x14ac:dyDescent="0.3">
      <c r="E950" t="str">
        <f>IFERROR(IF(D950="","",VLOOKUP(D950,CadProd!$A:$B,2,0)),"")</f>
        <v/>
      </c>
      <c r="F950" t="str">
        <f>IFERROR(IF(D950="","",VLOOKUP(D950,CadProd!$A:$C,3,0)),"")</f>
        <v/>
      </c>
      <c r="I950" s="1" t="str">
        <f t="shared" si="14"/>
        <v/>
      </c>
    </row>
    <row r="951" spans="5:9" x14ac:dyDescent="0.3">
      <c r="E951" t="str">
        <f>IFERROR(IF(D951="","",VLOOKUP(D951,CadProd!$A:$B,2,0)),"")</f>
        <v/>
      </c>
      <c r="F951" t="str">
        <f>IFERROR(IF(D951="","",VLOOKUP(D951,CadProd!$A:$C,3,0)),"")</f>
        <v/>
      </c>
      <c r="I951" s="1" t="str">
        <f t="shared" si="14"/>
        <v/>
      </c>
    </row>
    <row r="952" spans="5:9" x14ac:dyDescent="0.3">
      <c r="E952" t="str">
        <f>IFERROR(IF(D952="","",VLOOKUP(D952,CadProd!$A:$B,2,0)),"")</f>
        <v/>
      </c>
      <c r="F952" t="str">
        <f>IFERROR(IF(D952="","",VLOOKUP(D952,CadProd!$A:$C,3,0)),"")</f>
        <v/>
      </c>
      <c r="I952" s="1" t="str">
        <f t="shared" si="14"/>
        <v/>
      </c>
    </row>
    <row r="953" spans="5:9" x14ac:dyDescent="0.3">
      <c r="E953" t="str">
        <f>IFERROR(IF(D953="","",VLOOKUP(D953,CadProd!$A:$B,2,0)),"")</f>
        <v/>
      </c>
      <c r="F953" t="str">
        <f>IFERROR(IF(D953="","",VLOOKUP(D953,CadProd!$A:$C,3,0)),"")</f>
        <v/>
      </c>
      <c r="I953" s="1" t="str">
        <f t="shared" si="14"/>
        <v/>
      </c>
    </row>
    <row r="954" spans="5:9" x14ac:dyDescent="0.3">
      <c r="E954" t="str">
        <f>IFERROR(IF(D954="","",VLOOKUP(D954,CadProd!$A:$B,2,0)),"")</f>
        <v/>
      </c>
      <c r="F954" t="str">
        <f>IFERROR(IF(D954="","",VLOOKUP(D954,CadProd!$A:$C,3,0)),"")</f>
        <v/>
      </c>
      <c r="I954" s="1" t="str">
        <f t="shared" si="14"/>
        <v/>
      </c>
    </row>
    <row r="955" spans="5:9" x14ac:dyDescent="0.3">
      <c r="E955" t="str">
        <f>IFERROR(IF(D955="","",VLOOKUP(D955,CadProd!$A:$B,2,0)),"")</f>
        <v/>
      </c>
      <c r="F955" t="str">
        <f>IFERROR(IF(D955="","",VLOOKUP(D955,CadProd!$A:$C,3,0)),"")</f>
        <v/>
      </c>
      <c r="I955" s="1" t="str">
        <f t="shared" si="14"/>
        <v/>
      </c>
    </row>
    <row r="956" spans="5:9" x14ac:dyDescent="0.3">
      <c r="E956" t="str">
        <f>IFERROR(IF(D956="","",VLOOKUP(D956,CadProd!$A:$B,2,0)),"")</f>
        <v/>
      </c>
      <c r="F956" t="str">
        <f>IFERROR(IF(D956="","",VLOOKUP(D956,CadProd!$A:$C,3,0)),"")</f>
        <v/>
      </c>
      <c r="I956" s="1" t="str">
        <f t="shared" si="14"/>
        <v/>
      </c>
    </row>
    <row r="957" spans="5:9" x14ac:dyDescent="0.3">
      <c r="E957" t="str">
        <f>IFERROR(IF(D957="","",VLOOKUP(D957,CadProd!$A:$B,2,0)),"")</f>
        <v/>
      </c>
      <c r="F957" t="str">
        <f>IFERROR(IF(D957="","",VLOOKUP(D957,CadProd!$A:$C,3,0)),"")</f>
        <v/>
      </c>
      <c r="I957" s="1" t="str">
        <f t="shared" si="14"/>
        <v/>
      </c>
    </row>
    <row r="958" spans="5:9" x14ac:dyDescent="0.3">
      <c r="E958" t="str">
        <f>IFERROR(IF(D958="","",VLOOKUP(D958,CadProd!$A:$B,2,0)),"")</f>
        <v/>
      </c>
      <c r="F958" t="str">
        <f>IFERROR(IF(D958="","",VLOOKUP(D958,CadProd!$A:$C,3,0)),"")</f>
        <v/>
      </c>
      <c r="I958" s="1" t="str">
        <f t="shared" si="14"/>
        <v/>
      </c>
    </row>
    <row r="959" spans="5:9" x14ac:dyDescent="0.3">
      <c r="E959" t="str">
        <f>IFERROR(IF(D959="","",VLOOKUP(D959,CadProd!$A:$B,2,0)),"")</f>
        <v/>
      </c>
      <c r="F959" t="str">
        <f>IFERROR(IF(D959="","",VLOOKUP(D959,CadProd!$A:$C,3,0)),"")</f>
        <v/>
      </c>
      <c r="I959" s="1" t="str">
        <f t="shared" si="14"/>
        <v/>
      </c>
    </row>
    <row r="960" spans="5:9" x14ac:dyDescent="0.3">
      <c r="E960" t="str">
        <f>IFERROR(IF(D960="","",VLOOKUP(D960,CadProd!$A:$B,2,0)),"")</f>
        <v/>
      </c>
      <c r="F960" t="str">
        <f>IFERROR(IF(D960="","",VLOOKUP(D960,CadProd!$A:$C,3,0)),"")</f>
        <v/>
      </c>
      <c r="I960" s="1" t="str">
        <f t="shared" si="14"/>
        <v/>
      </c>
    </row>
    <row r="961" spans="5:9" x14ac:dyDescent="0.3">
      <c r="E961" t="str">
        <f>IFERROR(IF(D961="","",VLOOKUP(D961,CadProd!$A:$B,2,0)),"")</f>
        <v/>
      </c>
      <c r="F961" t="str">
        <f>IFERROR(IF(D961="","",VLOOKUP(D961,CadProd!$A:$C,3,0)),"")</f>
        <v/>
      </c>
      <c r="I961" s="1" t="str">
        <f t="shared" si="14"/>
        <v/>
      </c>
    </row>
    <row r="962" spans="5:9" x14ac:dyDescent="0.3">
      <c r="E962" t="str">
        <f>IFERROR(IF(D962="","",VLOOKUP(D962,CadProd!$A:$B,2,0)),"")</f>
        <v/>
      </c>
      <c r="F962" t="str">
        <f>IFERROR(IF(D962="","",VLOOKUP(D962,CadProd!$A:$C,3,0)),"")</f>
        <v/>
      </c>
      <c r="I962" s="1" t="str">
        <f t="shared" si="14"/>
        <v/>
      </c>
    </row>
    <row r="963" spans="5:9" x14ac:dyDescent="0.3">
      <c r="E963" t="str">
        <f>IFERROR(IF(D963="","",VLOOKUP(D963,CadProd!$A:$B,2,0)),"")</f>
        <v/>
      </c>
      <c r="F963" t="str">
        <f>IFERROR(IF(D963="","",VLOOKUP(D963,CadProd!$A:$C,3,0)),"")</f>
        <v/>
      </c>
      <c r="I963" s="1" t="str">
        <f t="shared" si="14"/>
        <v/>
      </c>
    </row>
    <row r="964" spans="5:9" x14ac:dyDescent="0.3">
      <c r="E964" t="str">
        <f>IFERROR(IF(D964="","",VLOOKUP(D964,CadProd!$A:$B,2,0)),"")</f>
        <v/>
      </c>
      <c r="F964" t="str">
        <f>IFERROR(IF(D964="","",VLOOKUP(D964,CadProd!$A:$C,3,0)),"")</f>
        <v/>
      </c>
      <c r="I964" s="1" t="str">
        <f t="shared" si="14"/>
        <v/>
      </c>
    </row>
    <row r="965" spans="5:9" x14ac:dyDescent="0.3">
      <c r="E965" t="str">
        <f>IFERROR(IF(D965="","",VLOOKUP(D965,CadProd!$A:$B,2,0)),"")</f>
        <v/>
      </c>
      <c r="F965" t="str">
        <f>IFERROR(IF(D965="","",VLOOKUP(D965,CadProd!$A:$C,3,0)),"")</f>
        <v/>
      </c>
      <c r="I965" s="1" t="str">
        <f t="shared" si="14"/>
        <v/>
      </c>
    </row>
    <row r="966" spans="5:9" x14ac:dyDescent="0.3">
      <c r="E966" t="str">
        <f>IFERROR(IF(D966="","",VLOOKUP(D966,CadProd!$A:$B,2,0)),"")</f>
        <v/>
      </c>
      <c r="F966" t="str">
        <f>IFERROR(IF(D966="","",VLOOKUP(D966,CadProd!$A:$C,3,0)),"")</f>
        <v/>
      </c>
      <c r="I966" s="1" t="str">
        <f t="shared" si="14"/>
        <v/>
      </c>
    </row>
    <row r="967" spans="5:9" x14ac:dyDescent="0.3">
      <c r="E967" t="str">
        <f>IFERROR(IF(D967="","",VLOOKUP(D967,CadProd!$A:$B,2,0)),"")</f>
        <v/>
      </c>
      <c r="F967" t="str">
        <f>IFERROR(IF(D967="","",VLOOKUP(D967,CadProd!$A:$C,3,0)),"")</f>
        <v/>
      </c>
      <c r="I967" s="1" t="str">
        <f t="shared" si="14"/>
        <v/>
      </c>
    </row>
    <row r="968" spans="5:9" x14ac:dyDescent="0.3">
      <c r="E968" t="str">
        <f>IFERROR(IF(D968="","",VLOOKUP(D968,CadProd!$A:$B,2,0)),"")</f>
        <v/>
      </c>
      <c r="F968" t="str">
        <f>IFERROR(IF(D968="","",VLOOKUP(D968,CadProd!$A:$C,3,0)),"")</f>
        <v/>
      </c>
      <c r="I968" s="1" t="str">
        <f t="shared" si="14"/>
        <v/>
      </c>
    </row>
    <row r="969" spans="5:9" x14ac:dyDescent="0.3">
      <c r="E969" t="str">
        <f>IFERROR(IF(D969="","",VLOOKUP(D969,CadProd!$A:$B,2,0)),"")</f>
        <v/>
      </c>
      <c r="F969" t="str">
        <f>IFERROR(IF(D969="","",VLOOKUP(D969,CadProd!$A:$C,3,0)),"")</f>
        <v/>
      </c>
      <c r="I969" s="1" t="str">
        <f t="shared" si="14"/>
        <v/>
      </c>
    </row>
    <row r="970" spans="5:9" x14ac:dyDescent="0.3">
      <c r="E970" t="str">
        <f>IFERROR(IF(D970="","",VLOOKUP(D970,CadProd!$A:$B,2,0)),"")</f>
        <v/>
      </c>
      <c r="F970" t="str">
        <f>IFERROR(IF(D970="","",VLOOKUP(D970,CadProd!$A:$C,3,0)),"")</f>
        <v/>
      </c>
      <c r="I970" s="1" t="str">
        <f t="shared" si="14"/>
        <v/>
      </c>
    </row>
    <row r="971" spans="5:9" x14ac:dyDescent="0.3">
      <c r="E971" t="str">
        <f>IFERROR(IF(D971="","",VLOOKUP(D971,CadProd!$A:$B,2,0)),"")</f>
        <v/>
      </c>
      <c r="F971" t="str">
        <f>IFERROR(IF(D971="","",VLOOKUP(D971,CadProd!$A:$C,3,0)),"")</f>
        <v/>
      </c>
      <c r="I971" s="1" t="str">
        <f t="shared" ref="I971:I1034" si="15">IFERROR(IF(D971="","",H971*G971),"")</f>
        <v/>
      </c>
    </row>
    <row r="972" spans="5:9" x14ac:dyDescent="0.3">
      <c r="E972" t="str">
        <f>IFERROR(IF(D972="","",VLOOKUP(D972,CadProd!$A:$B,2,0)),"")</f>
        <v/>
      </c>
      <c r="F972" t="str">
        <f>IFERROR(IF(D972="","",VLOOKUP(D972,CadProd!$A:$C,3,0)),"")</f>
        <v/>
      </c>
      <c r="I972" s="1" t="str">
        <f t="shared" si="15"/>
        <v/>
      </c>
    </row>
    <row r="973" spans="5:9" x14ac:dyDescent="0.3">
      <c r="E973" t="str">
        <f>IFERROR(IF(D973="","",VLOOKUP(D973,CadProd!$A:$B,2,0)),"")</f>
        <v/>
      </c>
      <c r="F973" t="str">
        <f>IFERROR(IF(D973="","",VLOOKUP(D973,CadProd!$A:$C,3,0)),"")</f>
        <v/>
      </c>
      <c r="I973" s="1" t="str">
        <f t="shared" si="15"/>
        <v/>
      </c>
    </row>
    <row r="974" spans="5:9" x14ac:dyDescent="0.3">
      <c r="E974" t="str">
        <f>IFERROR(IF(D974="","",VLOOKUP(D974,CadProd!$A:$B,2,0)),"")</f>
        <v/>
      </c>
      <c r="F974" t="str">
        <f>IFERROR(IF(D974="","",VLOOKUP(D974,CadProd!$A:$C,3,0)),"")</f>
        <v/>
      </c>
      <c r="I974" s="1" t="str">
        <f t="shared" si="15"/>
        <v/>
      </c>
    </row>
    <row r="975" spans="5:9" x14ac:dyDescent="0.3">
      <c r="E975" t="str">
        <f>IFERROR(IF(D975="","",VLOOKUP(D975,CadProd!$A:$B,2,0)),"")</f>
        <v/>
      </c>
      <c r="F975" t="str">
        <f>IFERROR(IF(D975="","",VLOOKUP(D975,CadProd!$A:$C,3,0)),"")</f>
        <v/>
      </c>
      <c r="I975" s="1" t="str">
        <f t="shared" si="15"/>
        <v/>
      </c>
    </row>
    <row r="976" spans="5:9" x14ac:dyDescent="0.3">
      <c r="E976" t="str">
        <f>IFERROR(IF(D976="","",VLOOKUP(D976,CadProd!$A:$B,2,0)),"")</f>
        <v/>
      </c>
      <c r="F976" t="str">
        <f>IFERROR(IF(D976="","",VLOOKUP(D976,CadProd!$A:$C,3,0)),"")</f>
        <v/>
      </c>
      <c r="I976" s="1" t="str">
        <f t="shared" si="15"/>
        <v/>
      </c>
    </row>
    <row r="977" spans="5:9" x14ac:dyDescent="0.3">
      <c r="E977" t="str">
        <f>IFERROR(IF(D977="","",VLOOKUP(D977,CadProd!$A:$B,2,0)),"")</f>
        <v/>
      </c>
      <c r="F977" t="str">
        <f>IFERROR(IF(D977="","",VLOOKUP(D977,CadProd!$A:$C,3,0)),"")</f>
        <v/>
      </c>
      <c r="I977" s="1" t="str">
        <f t="shared" si="15"/>
        <v/>
      </c>
    </row>
    <row r="978" spans="5:9" x14ac:dyDescent="0.3">
      <c r="E978" t="str">
        <f>IFERROR(IF(D978="","",VLOOKUP(D978,CadProd!$A:$B,2,0)),"")</f>
        <v/>
      </c>
      <c r="F978" t="str">
        <f>IFERROR(IF(D978="","",VLOOKUP(D978,CadProd!$A:$C,3,0)),"")</f>
        <v/>
      </c>
      <c r="I978" s="1" t="str">
        <f t="shared" si="15"/>
        <v/>
      </c>
    </row>
    <row r="979" spans="5:9" x14ac:dyDescent="0.3">
      <c r="E979" t="str">
        <f>IFERROR(IF(D979="","",VLOOKUP(D979,CadProd!$A:$B,2,0)),"")</f>
        <v/>
      </c>
      <c r="F979" t="str">
        <f>IFERROR(IF(D979="","",VLOOKUP(D979,CadProd!$A:$C,3,0)),"")</f>
        <v/>
      </c>
      <c r="I979" s="1" t="str">
        <f t="shared" si="15"/>
        <v/>
      </c>
    </row>
    <row r="980" spans="5:9" x14ac:dyDescent="0.3">
      <c r="E980" t="str">
        <f>IFERROR(IF(D980="","",VLOOKUP(D980,CadProd!$A:$B,2,0)),"")</f>
        <v/>
      </c>
      <c r="F980" t="str">
        <f>IFERROR(IF(D980="","",VLOOKUP(D980,CadProd!$A:$C,3,0)),"")</f>
        <v/>
      </c>
      <c r="I980" s="1" t="str">
        <f t="shared" si="15"/>
        <v/>
      </c>
    </row>
    <row r="981" spans="5:9" x14ac:dyDescent="0.3">
      <c r="E981" t="str">
        <f>IFERROR(IF(D981="","",VLOOKUP(D981,CadProd!$A:$B,2,0)),"")</f>
        <v/>
      </c>
      <c r="F981" t="str">
        <f>IFERROR(IF(D981="","",VLOOKUP(D981,CadProd!$A:$C,3,0)),"")</f>
        <v/>
      </c>
      <c r="I981" s="1" t="str">
        <f t="shared" si="15"/>
        <v/>
      </c>
    </row>
    <row r="982" spans="5:9" x14ac:dyDescent="0.3">
      <c r="E982" t="str">
        <f>IFERROR(IF(D982="","",VLOOKUP(D982,CadProd!$A:$B,2,0)),"")</f>
        <v/>
      </c>
      <c r="F982" t="str">
        <f>IFERROR(IF(D982="","",VLOOKUP(D982,CadProd!$A:$C,3,0)),"")</f>
        <v/>
      </c>
      <c r="I982" s="1" t="str">
        <f t="shared" si="15"/>
        <v/>
      </c>
    </row>
    <row r="983" spans="5:9" x14ac:dyDescent="0.3">
      <c r="E983" t="str">
        <f>IFERROR(IF(D983="","",VLOOKUP(D983,CadProd!$A:$B,2,0)),"")</f>
        <v/>
      </c>
      <c r="F983" t="str">
        <f>IFERROR(IF(D983="","",VLOOKUP(D983,CadProd!$A:$C,3,0)),"")</f>
        <v/>
      </c>
      <c r="I983" s="1" t="str">
        <f t="shared" si="15"/>
        <v/>
      </c>
    </row>
    <row r="984" spans="5:9" x14ac:dyDescent="0.3">
      <c r="E984" t="str">
        <f>IFERROR(IF(D984="","",VLOOKUP(D984,CadProd!$A:$B,2,0)),"")</f>
        <v/>
      </c>
      <c r="F984" t="str">
        <f>IFERROR(IF(D984="","",VLOOKUP(D984,CadProd!$A:$C,3,0)),"")</f>
        <v/>
      </c>
      <c r="I984" s="1" t="str">
        <f t="shared" si="15"/>
        <v/>
      </c>
    </row>
    <row r="985" spans="5:9" x14ac:dyDescent="0.3">
      <c r="E985" t="str">
        <f>IFERROR(IF(D985="","",VLOOKUP(D985,CadProd!$A:$B,2,0)),"")</f>
        <v/>
      </c>
      <c r="F985" t="str">
        <f>IFERROR(IF(D985="","",VLOOKUP(D985,CadProd!$A:$C,3,0)),"")</f>
        <v/>
      </c>
      <c r="I985" s="1" t="str">
        <f t="shared" si="15"/>
        <v/>
      </c>
    </row>
    <row r="986" spans="5:9" x14ac:dyDescent="0.3">
      <c r="E986" t="str">
        <f>IFERROR(IF(D986="","",VLOOKUP(D986,CadProd!$A:$B,2,0)),"")</f>
        <v/>
      </c>
      <c r="F986" t="str">
        <f>IFERROR(IF(D986="","",VLOOKUP(D986,CadProd!$A:$C,3,0)),"")</f>
        <v/>
      </c>
      <c r="I986" s="1" t="str">
        <f t="shared" si="15"/>
        <v/>
      </c>
    </row>
    <row r="987" spans="5:9" x14ac:dyDescent="0.3">
      <c r="E987" t="str">
        <f>IFERROR(IF(D987="","",VLOOKUP(D987,CadProd!$A:$B,2,0)),"")</f>
        <v/>
      </c>
      <c r="F987" t="str">
        <f>IFERROR(IF(D987="","",VLOOKUP(D987,CadProd!$A:$C,3,0)),"")</f>
        <v/>
      </c>
      <c r="I987" s="1" t="str">
        <f t="shared" si="15"/>
        <v/>
      </c>
    </row>
    <row r="988" spans="5:9" x14ac:dyDescent="0.3">
      <c r="E988" t="str">
        <f>IFERROR(IF(D988="","",VLOOKUP(D988,CadProd!$A:$B,2,0)),"")</f>
        <v/>
      </c>
      <c r="F988" t="str">
        <f>IFERROR(IF(D988="","",VLOOKUP(D988,CadProd!$A:$C,3,0)),"")</f>
        <v/>
      </c>
      <c r="I988" s="1" t="str">
        <f t="shared" si="15"/>
        <v/>
      </c>
    </row>
    <row r="989" spans="5:9" x14ac:dyDescent="0.3">
      <c r="E989" t="str">
        <f>IFERROR(IF(D989="","",VLOOKUP(D989,CadProd!$A:$B,2,0)),"")</f>
        <v/>
      </c>
      <c r="F989" t="str">
        <f>IFERROR(IF(D989="","",VLOOKUP(D989,CadProd!$A:$C,3,0)),"")</f>
        <v/>
      </c>
      <c r="I989" s="1" t="str">
        <f t="shared" si="15"/>
        <v/>
      </c>
    </row>
    <row r="990" spans="5:9" x14ac:dyDescent="0.3">
      <c r="E990" t="str">
        <f>IFERROR(IF(D990="","",VLOOKUP(D990,CadProd!$A:$B,2,0)),"")</f>
        <v/>
      </c>
      <c r="F990" t="str">
        <f>IFERROR(IF(D990="","",VLOOKUP(D990,CadProd!$A:$C,3,0)),"")</f>
        <v/>
      </c>
      <c r="I990" s="1" t="str">
        <f t="shared" si="15"/>
        <v/>
      </c>
    </row>
    <row r="991" spans="5:9" x14ac:dyDescent="0.3">
      <c r="E991" t="str">
        <f>IFERROR(IF(D991="","",VLOOKUP(D991,CadProd!$A:$B,2,0)),"")</f>
        <v/>
      </c>
      <c r="F991" t="str">
        <f>IFERROR(IF(D991="","",VLOOKUP(D991,CadProd!$A:$C,3,0)),"")</f>
        <v/>
      </c>
      <c r="I991" s="1" t="str">
        <f t="shared" si="15"/>
        <v/>
      </c>
    </row>
    <row r="992" spans="5:9" x14ac:dyDescent="0.3">
      <c r="E992" t="str">
        <f>IFERROR(IF(D992="","",VLOOKUP(D992,CadProd!$A:$B,2,0)),"")</f>
        <v/>
      </c>
      <c r="F992" t="str">
        <f>IFERROR(IF(D992="","",VLOOKUP(D992,CadProd!$A:$C,3,0)),"")</f>
        <v/>
      </c>
      <c r="I992" s="1" t="str">
        <f t="shared" si="15"/>
        <v/>
      </c>
    </row>
    <row r="993" spans="5:9" x14ac:dyDescent="0.3">
      <c r="E993" t="str">
        <f>IFERROR(IF(D993="","",VLOOKUP(D993,CadProd!$A:$B,2,0)),"")</f>
        <v/>
      </c>
      <c r="F993" t="str">
        <f>IFERROR(IF(D993="","",VLOOKUP(D993,CadProd!$A:$C,3,0)),"")</f>
        <v/>
      </c>
      <c r="I993" s="1" t="str">
        <f t="shared" si="15"/>
        <v/>
      </c>
    </row>
    <row r="994" spans="5:9" x14ac:dyDescent="0.3">
      <c r="E994" t="str">
        <f>IFERROR(IF(D994="","",VLOOKUP(D994,CadProd!$A:$B,2,0)),"")</f>
        <v/>
      </c>
      <c r="F994" t="str">
        <f>IFERROR(IF(D994="","",VLOOKUP(D994,CadProd!$A:$C,3,0)),"")</f>
        <v/>
      </c>
      <c r="I994" s="1" t="str">
        <f t="shared" si="15"/>
        <v/>
      </c>
    </row>
    <row r="995" spans="5:9" x14ac:dyDescent="0.3">
      <c r="E995" t="str">
        <f>IFERROR(IF(D995="","",VLOOKUP(D995,CadProd!$A:$B,2,0)),"")</f>
        <v/>
      </c>
      <c r="F995" t="str">
        <f>IFERROR(IF(D995="","",VLOOKUP(D995,CadProd!$A:$C,3,0)),"")</f>
        <v/>
      </c>
      <c r="I995" s="1" t="str">
        <f t="shared" si="15"/>
        <v/>
      </c>
    </row>
    <row r="996" spans="5:9" x14ac:dyDescent="0.3">
      <c r="E996" t="str">
        <f>IFERROR(IF(D996="","",VLOOKUP(D996,CadProd!$A:$B,2,0)),"")</f>
        <v/>
      </c>
      <c r="F996" t="str">
        <f>IFERROR(IF(D996="","",VLOOKUP(D996,CadProd!$A:$C,3,0)),"")</f>
        <v/>
      </c>
      <c r="I996" s="1" t="str">
        <f t="shared" si="15"/>
        <v/>
      </c>
    </row>
    <row r="997" spans="5:9" x14ac:dyDescent="0.3">
      <c r="E997" t="str">
        <f>IFERROR(IF(D997="","",VLOOKUP(D997,CadProd!$A:$B,2,0)),"")</f>
        <v/>
      </c>
      <c r="F997" t="str">
        <f>IFERROR(IF(D997="","",VLOOKUP(D997,CadProd!$A:$C,3,0)),"")</f>
        <v/>
      </c>
      <c r="I997" s="1" t="str">
        <f t="shared" si="15"/>
        <v/>
      </c>
    </row>
    <row r="998" spans="5:9" x14ac:dyDescent="0.3">
      <c r="E998" t="str">
        <f>IFERROR(IF(D998="","",VLOOKUP(D998,CadProd!$A:$B,2,0)),"")</f>
        <v/>
      </c>
      <c r="F998" t="str">
        <f>IFERROR(IF(D998="","",VLOOKUP(D998,CadProd!$A:$C,3,0)),"")</f>
        <v/>
      </c>
      <c r="I998" s="1" t="str">
        <f t="shared" si="15"/>
        <v/>
      </c>
    </row>
    <row r="999" spans="5:9" x14ac:dyDescent="0.3">
      <c r="E999" t="str">
        <f>IFERROR(IF(D999="","",VLOOKUP(D999,CadProd!$A:$B,2,0)),"")</f>
        <v/>
      </c>
      <c r="F999" t="str">
        <f>IFERROR(IF(D999="","",VLOOKUP(D999,CadProd!$A:$C,3,0)),"")</f>
        <v/>
      </c>
      <c r="I999" s="1" t="str">
        <f t="shared" si="15"/>
        <v/>
      </c>
    </row>
    <row r="1000" spans="5:9" x14ac:dyDescent="0.3">
      <c r="E1000" t="str">
        <f>IFERROR(IF(D1000="","",VLOOKUP(D1000,CadProd!$A:$B,2,0)),"")</f>
        <v/>
      </c>
      <c r="F1000" t="str">
        <f>IFERROR(IF(D1000="","",VLOOKUP(D1000,CadProd!$A:$C,3,0)),"")</f>
        <v/>
      </c>
      <c r="I1000" s="1" t="str">
        <f t="shared" si="15"/>
        <v/>
      </c>
    </row>
    <row r="1001" spans="5:9" x14ac:dyDescent="0.3">
      <c r="E1001" t="str">
        <f>IFERROR(IF(D1001="","",VLOOKUP(D1001,CadProd!$A:$B,2,0)),"")</f>
        <v/>
      </c>
      <c r="F1001" t="str">
        <f>IFERROR(IF(D1001="","",VLOOKUP(D1001,CadProd!$A:$C,3,0)),"")</f>
        <v/>
      </c>
      <c r="I1001" s="1" t="str">
        <f t="shared" si="15"/>
        <v/>
      </c>
    </row>
    <row r="1002" spans="5:9" x14ac:dyDescent="0.3">
      <c r="E1002" t="str">
        <f>IFERROR(IF(D1002="","",VLOOKUP(D1002,CadProd!$A:$B,2,0)),"")</f>
        <v/>
      </c>
      <c r="F1002" t="str">
        <f>IFERROR(IF(D1002="","",VLOOKUP(D1002,CadProd!$A:$C,3,0)),"")</f>
        <v/>
      </c>
      <c r="I1002" s="1" t="str">
        <f t="shared" si="15"/>
        <v/>
      </c>
    </row>
    <row r="1003" spans="5:9" x14ac:dyDescent="0.3">
      <c r="E1003" t="str">
        <f>IFERROR(IF(D1003="","",VLOOKUP(D1003,CadProd!$A:$B,2,0)),"")</f>
        <v/>
      </c>
      <c r="F1003" t="str">
        <f>IFERROR(IF(D1003="","",VLOOKUP(D1003,CadProd!$A:$C,3,0)),"")</f>
        <v/>
      </c>
      <c r="I1003" s="1" t="str">
        <f t="shared" si="15"/>
        <v/>
      </c>
    </row>
    <row r="1004" spans="5:9" x14ac:dyDescent="0.3">
      <c r="E1004" t="str">
        <f>IFERROR(IF(D1004="","",VLOOKUP(D1004,CadProd!$A:$B,2,0)),"")</f>
        <v/>
      </c>
      <c r="F1004" t="str">
        <f>IFERROR(IF(D1004="","",VLOOKUP(D1004,CadProd!$A:$C,3,0)),"")</f>
        <v/>
      </c>
      <c r="I1004" s="1" t="str">
        <f t="shared" si="15"/>
        <v/>
      </c>
    </row>
    <row r="1005" spans="5:9" x14ac:dyDescent="0.3">
      <c r="E1005" t="str">
        <f>IFERROR(IF(D1005="","",VLOOKUP(D1005,CadProd!$A:$B,2,0)),"")</f>
        <v/>
      </c>
      <c r="F1005" t="str">
        <f>IFERROR(IF(D1005="","",VLOOKUP(D1005,CadProd!$A:$C,3,0)),"")</f>
        <v/>
      </c>
      <c r="I1005" s="1" t="str">
        <f t="shared" si="15"/>
        <v/>
      </c>
    </row>
    <row r="1006" spans="5:9" x14ac:dyDescent="0.3">
      <c r="E1006" t="str">
        <f>IFERROR(IF(D1006="","",VLOOKUP(D1006,CadProd!$A:$B,2,0)),"")</f>
        <v/>
      </c>
      <c r="F1006" t="str">
        <f>IFERROR(IF(D1006="","",VLOOKUP(D1006,CadProd!$A:$C,3,0)),"")</f>
        <v/>
      </c>
      <c r="I1006" s="1" t="str">
        <f t="shared" si="15"/>
        <v/>
      </c>
    </row>
    <row r="1007" spans="5:9" x14ac:dyDescent="0.3">
      <c r="E1007" t="str">
        <f>IFERROR(IF(D1007="","",VLOOKUP(D1007,CadProd!$A:$B,2,0)),"")</f>
        <v/>
      </c>
      <c r="F1007" t="str">
        <f>IFERROR(IF(D1007="","",VLOOKUP(D1007,CadProd!$A:$C,3,0)),"")</f>
        <v/>
      </c>
      <c r="I1007" s="1" t="str">
        <f t="shared" si="15"/>
        <v/>
      </c>
    </row>
    <row r="1008" spans="5:9" x14ac:dyDescent="0.3">
      <c r="E1008" t="str">
        <f>IFERROR(IF(D1008="","",VLOOKUP(D1008,CadProd!$A:$B,2,0)),"")</f>
        <v/>
      </c>
      <c r="F1008" t="str">
        <f>IFERROR(IF(D1008="","",VLOOKUP(D1008,CadProd!$A:$C,3,0)),"")</f>
        <v/>
      </c>
      <c r="I1008" s="1" t="str">
        <f t="shared" si="15"/>
        <v/>
      </c>
    </row>
    <row r="1009" spans="5:9" x14ac:dyDescent="0.3">
      <c r="E1009" t="str">
        <f>IFERROR(IF(D1009="","",VLOOKUP(D1009,CadProd!$A:$B,2,0)),"")</f>
        <v/>
      </c>
      <c r="F1009" t="str">
        <f>IFERROR(IF(D1009="","",VLOOKUP(D1009,CadProd!$A:$C,3,0)),"")</f>
        <v/>
      </c>
      <c r="I1009" s="1" t="str">
        <f t="shared" si="15"/>
        <v/>
      </c>
    </row>
    <row r="1010" spans="5:9" x14ac:dyDescent="0.3">
      <c r="E1010" t="str">
        <f>IFERROR(IF(D1010="","",VLOOKUP(D1010,CadProd!$A:$B,2,0)),"")</f>
        <v/>
      </c>
      <c r="F1010" t="str">
        <f>IFERROR(IF(D1010="","",VLOOKUP(D1010,CadProd!$A:$C,3,0)),"")</f>
        <v/>
      </c>
      <c r="I1010" s="1" t="str">
        <f t="shared" si="15"/>
        <v/>
      </c>
    </row>
    <row r="1011" spans="5:9" x14ac:dyDescent="0.3">
      <c r="E1011" t="str">
        <f>IFERROR(IF(D1011="","",VLOOKUP(D1011,CadProd!$A:$B,2,0)),"")</f>
        <v/>
      </c>
      <c r="F1011" t="str">
        <f>IFERROR(IF(D1011="","",VLOOKUP(D1011,CadProd!$A:$C,3,0)),"")</f>
        <v/>
      </c>
      <c r="I1011" s="1" t="str">
        <f t="shared" si="15"/>
        <v/>
      </c>
    </row>
    <row r="1012" spans="5:9" x14ac:dyDescent="0.3">
      <c r="E1012" t="str">
        <f>IFERROR(IF(D1012="","",VLOOKUP(D1012,CadProd!$A:$B,2,0)),"")</f>
        <v/>
      </c>
      <c r="F1012" t="str">
        <f>IFERROR(IF(D1012="","",VLOOKUP(D1012,CadProd!$A:$C,3,0)),"")</f>
        <v/>
      </c>
      <c r="I1012" s="1" t="str">
        <f t="shared" si="15"/>
        <v/>
      </c>
    </row>
    <row r="1013" spans="5:9" x14ac:dyDescent="0.3">
      <c r="E1013" t="str">
        <f>IFERROR(IF(D1013="","",VLOOKUP(D1013,CadProd!$A:$B,2,0)),"")</f>
        <v/>
      </c>
      <c r="F1013" t="str">
        <f>IFERROR(IF(D1013="","",VLOOKUP(D1013,CadProd!$A:$C,3,0)),"")</f>
        <v/>
      </c>
      <c r="I1013" s="1" t="str">
        <f t="shared" si="15"/>
        <v/>
      </c>
    </row>
    <row r="1014" spans="5:9" x14ac:dyDescent="0.3">
      <c r="E1014" t="str">
        <f>IFERROR(IF(D1014="","",VLOOKUP(D1014,CadProd!$A:$B,2,0)),"")</f>
        <v/>
      </c>
      <c r="F1014" t="str">
        <f>IFERROR(IF(D1014="","",VLOOKUP(D1014,CadProd!$A:$C,3,0)),"")</f>
        <v/>
      </c>
      <c r="I1014" s="1" t="str">
        <f t="shared" si="15"/>
        <v/>
      </c>
    </row>
    <row r="1015" spans="5:9" x14ac:dyDescent="0.3">
      <c r="E1015" t="str">
        <f>IFERROR(IF(D1015="","",VLOOKUP(D1015,CadProd!$A:$B,2,0)),"")</f>
        <v/>
      </c>
      <c r="F1015" t="str">
        <f>IFERROR(IF(D1015="","",VLOOKUP(D1015,CadProd!$A:$C,3,0)),"")</f>
        <v/>
      </c>
      <c r="I1015" s="1" t="str">
        <f t="shared" si="15"/>
        <v/>
      </c>
    </row>
    <row r="1016" spans="5:9" x14ac:dyDescent="0.3">
      <c r="E1016" t="str">
        <f>IFERROR(IF(D1016="","",VLOOKUP(D1016,CadProd!$A:$B,2,0)),"")</f>
        <v/>
      </c>
      <c r="F1016" t="str">
        <f>IFERROR(IF(D1016="","",VLOOKUP(D1016,CadProd!$A:$C,3,0)),"")</f>
        <v/>
      </c>
      <c r="I1016" s="1" t="str">
        <f t="shared" si="15"/>
        <v/>
      </c>
    </row>
    <row r="1017" spans="5:9" x14ac:dyDescent="0.3">
      <c r="E1017" t="str">
        <f>IFERROR(IF(D1017="","",VLOOKUP(D1017,CadProd!$A:$B,2,0)),"")</f>
        <v/>
      </c>
      <c r="F1017" t="str">
        <f>IFERROR(IF(D1017="","",VLOOKUP(D1017,CadProd!$A:$C,3,0)),"")</f>
        <v/>
      </c>
      <c r="I1017" s="1" t="str">
        <f t="shared" si="15"/>
        <v/>
      </c>
    </row>
    <row r="1018" spans="5:9" x14ac:dyDescent="0.3">
      <c r="E1018" t="str">
        <f>IFERROR(IF(D1018="","",VLOOKUP(D1018,CadProd!$A:$B,2,0)),"")</f>
        <v/>
      </c>
      <c r="F1018" t="str">
        <f>IFERROR(IF(D1018="","",VLOOKUP(D1018,CadProd!$A:$C,3,0)),"")</f>
        <v/>
      </c>
      <c r="I1018" s="1" t="str">
        <f t="shared" si="15"/>
        <v/>
      </c>
    </row>
    <row r="1019" spans="5:9" x14ac:dyDescent="0.3">
      <c r="E1019" t="str">
        <f>IFERROR(IF(D1019="","",VLOOKUP(D1019,CadProd!$A:$B,2,0)),"")</f>
        <v/>
      </c>
      <c r="F1019" t="str">
        <f>IFERROR(IF(D1019="","",VLOOKUP(D1019,CadProd!$A:$C,3,0)),"")</f>
        <v/>
      </c>
      <c r="I1019" s="1" t="str">
        <f t="shared" si="15"/>
        <v/>
      </c>
    </row>
    <row r="1020" spans="5:9" x14ac:dyDescent="0.3">
      <c r="E1020" t="str">
        <f>IFERROR(IF(D1020="","",VLOOKUP(D1020,CadProd!$A:$B,2,0)),"")</f>
        <v/>
      </c>
      <c r="F1020" t="str">
        <f>IFERROR(IF(D1020="","",VLOOKUP(D1020,CadProd!$A:$C,3,0)),"")</f>
        <v/>
      </c>
      <c r="I1020" s="1" t="str">
        <f t="shared" si="15"/>
        <v/>
      </c>
    </row>
    <row r="1021" spans="5:9" x14ac:dyDescent="0.3">
      <c r="E1021" t="str">
        <f>IFERROR(IF(D1021="","",VLOOKUP(D1021,CadProd!$A:$B,2,0)),"")</f>
        <v/>
      </c>
      <c r="F1021" t="str">
        <f>IFERROR(IF(D1021="","",VLOOKUP(D1021,CadProd!$A:$C,3,0)),"")</f>
        <v/>
      </c>
      <c r="I1021" s="1" t="str">
        <f t="shared" si="15"/>
        <v/>
      </c>
    </row>
    <row r="1022" spans="5:9" x14ac:dyDescent="0.3">
      <c r="E1022" t="str">
        <f>IFERROR(IF(D1022="","",VLOOKUP(D1022,CadProd!$A:$B,2,0)),"")</f>
        <v/>
      </c>
      <c r="F1022" t="str">
        <f>IFERROR(IF(D1022="","",VLOOKUP(D1022,CadProd!$A:$C,3,0)),"")</f>
        <v/>
      </c>
      <c r="I1022" s="1" t="str">
        <f t="shared" si="15"/>
        <v/>
      </c>
    </row>
    <row r="1023" spans="5:9" x14ac:dyDescent="0.3">
      <c r="E1023" t="str">
        <f>IFERROR(IF(D1023="","",VLOOKUP(D1023,CadProd!$A:$B,2,0)),"")</f>
        <v/>
      </c>
      <c r="F1023" t="str">
        <f>IFERROR(IF(D1023="","",VLOOKUP(D1023,CadProd!$A:$C,3,0)),"")</f>
        <v/>
      </c>
      <c r="I1023" s="1" t="str">
        <f t="shared" si="15"/>
        <v/>
      </c>
    </row>
    <row r="1024" spans="5:9" x14ac:dyDescent="0.3">
      <c r="E1024" t="str">
        <f>IFERROR(IF(D1024="","",VLOOKUP(D1024,CadProd!$A:$B,2,0)),"")</f>
        <v/>
      </c>
      <c r="F1024" t="str">
        <f>IFERROR(IF(D1024="","",VLOOKUP(D1024,CadProd!$A:$C,3,0)),"")</f>
        <v/>
      </c>
      <c r="I1024" s="1" t="str">
        <f t="shared" si="15"/>
        <v/>
      </c>
    </row>
    <row r="1025" spans="5:9" x14ac:dyDescent="0.3">
      <c r="E1025" t="str">
        <f>IFERROR(IF(D1025="","",VLOOKUP(D1025,CadProd!$A:$B,2,0)),"")</f>
        <v/>
      </c>
      <c r="F1025" t="str">
        <f>IFERROR(IF(D1025="","",VLOOKUP(D1025,CadProd!$A:$C,3,0)),"")</f>
        <v/>
      </c>
      <c r="I1025" s="1" t="str">
        <f t="shared" si="15"/>
        <v/>
      </c>
    </row>
    <row r="1026" spans="5:9" x14ac:dyDescent="0.3">
      <c r="E1026" t="str">
        <f>IFERROR(IF(D1026="","",VLOOKUP(D1026,CadProd!$A:$B,2,0)),"")</f>
        <v/>
      </c>
      <c r="F1026" t="str">
        <f>IFERROR(IF(D1026="","",VLOOKUP(D1026,CadProd!$A:$C,3,0)),"")</f>
        <v/>
      </c>
      <c r="I1026" s="1" t="str">
        <f t="shared" si="15"/>
        <v/>
      </c>
    </row>
    <row r="1027" spans="5:9" x14ac:dyDescent="0.3">
      <c r="E1027" t="str">
        <f>IFERROR(IF(D1027="","",VLOOKUP(D1027,CadProd!$A:$B,2,0)),"")</f>
        <v/>
      </c>
      <c r="F1027" t="str">
        <f>IFERROR(IF(D1027="","",VLOOKUP(D1027,CadProd!$A:$C,3,0)),"")</f>
        <v/>
      </c>
      <c r="I1027" s="1" t="str">
        <f t="shared" si="15"/>
        <v/>
      </c>
    </row>
    <row r="1028" spans="5:9" x14ac:dyDescent="0.3">
      <c r="E1028" t="str">
        <f>IFERROR(IF(D1028="","",VLOOKUP(D1028,CadProd!$A:$B,2,0)),"")</f>
        <v/>
      </c>
      <c r="F1028" t="str">
        <f>IFERROR(IF(D1028="","",VLOOKUP(D1028,CadProd!$A:$C,3,0)),"")</f>
        <v/>
      </c>
      <c r="I1028" s="1" t="str">
        <f t="shared" si="15"/>
        <v/>
      </c>
    </row>
    <row r="1029" spans="5:9" x14ac:dyDescent="0.3">
      <c r="E1029" t="str">
        <f>IFERROR(IF(D1029="","",VLOOKUP(D1029,CadProd!$A:$B,2,0)),"")</f>
        <v/>
      </c>
      <c r="F1029" t="str">
        <f>IFERROR(IF(D1029="","",VLOOKUP(D1029,CadProd!$A:$C,3,0)),"")</f>
        <v/>
      </c>
      <c r="I1029" s="1" t="str">
        <f t="shared" si="15"/>
        <v/>
      </c>
    </row>
    <row r="1030" spans="5:9" x14ac:dyDescent="0.3">
      <c r="E1030" t="str">
        <f>IFERROR(IF(D1030="","",VLOOKUP(D1030,CadProd!$A:$B,2,0)),"")</f>
        <v/>
      </c>
      <c r="F1030" t="str">
        <f>IFERROR(IF(D1030="","",VLOOKUP(D1030,CadProd!$A:$C,3,0)),"")</f>
        <v/>
      </c>
      <c r="I1030" s="1" t="str">
        <f t="shared" si="15"/>
        <v/>
      </c>
    </row>
    <row r="1031" spans="5:9" x14ac:dyDescent="0.3">
      <c r="E1031" t="str">
        <f>IFERROR(IF(D1031="","",VLOOKUP(D1031,CadProd!$A:$B,2,0)),"")</f>
        <v/>
      </c>
      <c r="F1031" t="str">
        <f>IFERROR(IF(D1031="","",VLOOKUP(D1031,CadProd!$A:$C,3,0)),"")</f>
        <v/>
      </c>
      <c r="I1031" s="1" t="str">
        <f t="shared" si="15"/>
        <v/>
      </c>
    </row>
    <row r="1032" spans="5:9" x14ac:dyDescent="0.3">
      <c r="E1032" t="str">
        <f>IFERROR(IF(D1032="","",VLOOKUP(D1032,CadProd!$A:$B,2,0)),"")</f>
        <v/>
      </c>
      <c r="F1032" t="str">
        <f>IFERROR(IF(D1032="","",VLOOKUP(D1032,CadProd!$A:$C,3,0)),"")</f>
        <v/>
      </c>
      <c r="I1032" s="1" t="str">
        <f t="shared" si="15"/>
        <v/>
      </c>
    </row>
    <row r="1033" spans="5:9" x14ac:dyDescent="0.3">
      <c r="E1033" t="str">
        <f>IFERROR(IF(D1033="","",VLOOKUP(D1033,CadProd!$A:$B,2,0)),"")</f>
        <v/>
      </c>
      <c r="F1033" t="str">
        <f>IFERROR(IF(D1033="","",VLOOKUP(D1033,CadProd!$A:$C,3,0)),"")</f>
        <v/>
      </c>
      <c r="I1033" s="1" t="str">
        <f t="shared" si="15"/>
        <v/>
      </c>
    </row>
    <row r="1034" spans="5:9" x14ac:dyDescent="0.3">
      <c r="E1034" t="str">
        <f>IFERROR(IF(D1034="","",VLOOKUP(D1034,CadProd!$A:$B,2,0)),"")</f>
        <v/>
      </c>
      <c r="F1034" t="str">
        <f>IFERROR(IF(D1034="","",VLOOKUP(D1034,CadProd!$A:$C,3,0)),"")</f>
        <v/>
      </c>
      <c r="I1034" s="1" t="str">
        <f t="shared" si="15"/>
        <v/>
      </c>
    </row>
    <row r="1035" spans="5:9" x14ac:dyDescent="0.3">
      <c r="E1035" t="str">
        <f>IFERROR(IF(D1035="","",VLOOKUP(D1035,CadProd!$A:$B,2,0)),"")</f>
        <v/>
      </c>
      <c r="F1035" t="str">
        <f>IFERROR(IF(D1035="","",VLOOKUP(D1035,CadProd!$A:$C,3,0)),"")</f>
        <v/>
      </c>
      <c r="I1035" s="1" t="str">
        <f t="shared" ref="I1035:I1098" si="16">IFERROR(IF(D1035="","",H1035*G1035),"")</f>
        <v/>
      </c>
    </row>
    <row r="1036" spans="5:9" x14ac:dyDescent="0.3">
      <c r="E1036" t="str">
        <f>IFERROR(IF(D1036="","",VLOOKUP(D1036,CadProd!$A:$B,2,0)),"")</f>
        <v/>
      </c>
      <c r="F1036" t="str">
        <f>IFERROR(IF(D1036="","",VLOOKUP(D1036,CadProd!$A:$C,3,0)),"")</f>
        <v/>
      </c>
      <c r="I1036" s="1" t="str">
        <f t="shared" si="16"/>
        <v/>
      </c>
    </row>
    <row r="1037" spans="5:9" x14ac:dyDescent="0.3">
      <c r="E1037" t="str">
        <f>IFERROR(IF(D1037="","",VLOOKUP(D1037,CadProd!$A:$B,2,0)),"")</f>
        <v/>
      </c>
      <c r="F1037" t="str">
        <f>IFERROR(IF(D1037="","",VLOOKUP(D1037,CadProd!$A:$C,3,0)),"")</f>
        <v/>
      </c>
      <c r="I1037" s="1" t="str">
        <f t="shared" si="16"/>
        <v/>
      </c>
    </row>
    <row r="1038" spans="5:9" x14ac:dyDescent="0.3">
      <c r="E1038" t="str">
        <f>IFERROR(IF(D1038="","",VLOOKUP(D1038,CadProd!$A:$B,2,0)),"")</f>
        <v/>
      </c>
      <c r="F1038" t="str">
        <f>IFERROR(IF(D1038="","",VLOOKUP(D1038,CadProd!$A:$C,3,0)),"")</f>
        <v/>
      </c>
      <c r="I1038" s="1" t="str">
        <f t="shared" si="16"/>
        <v/>
      </c>
    </row>
    <row r="1039" spans="5:9" x14ac:dyDescent="0.3">
      <c r="E1039" t="str">
        <f>IFERROR(IF(D1039="","",VLOOKUP(D1039,CadProd!$A:$B,2,0)),"")</f>
        <v/>
      </c>
      <c r="F1039" t="str">
        <f>IFERROR(IF(D1039="","",VLOOKUP(D1039,CadProd!$A:$C,3,0)),"")</f>
        <v/>
      </c>
      <c r="I1039" s="1" t="str">
        <f t="shared" si="16"/>
        <v/>
      </c>
    </row>
    <row r="1040" spans="5:9" x14ac:dyDescent="0.3">
      <c r="E1040" t="str">
        <f>IFERROR(IF(D1040="","",VLOOKUP(D1040,CadProd!$A:$B,2,0)),"")</f>
        <v/>
      </c>
      <c r="F1040" t="str">
        <f>IFERROR(IF(D1040="","",VLOOKUP(D1040,CadProd!$A:$C,3,0)),"")</f>
        <v/>
      </c>
      <c r="I1040" s="1" t="str">
        <f t="shared" si="16"/>
        <v/>
      </c>
    </row>
    <row r="1041" spans="5:9" x14ac:dyDescent="0.3">
      <c r="E1041" t="str">
        <f>IFERROR(IF(D1041="","",VLOOKUP(D1041,CadProd!$A:$B,2,0)),"")</f>
        <v/>
      </c>
      <c r="F1041" t="str">
        <f>IFERROR(IF(D1041="","",VLOOKUP(D1041,CadProd!$A:$C,3,0)),"")</f>
        <v/>
      </c>
      <c r="I1041" s="1" t="str">
        <f t="shared" si="16"/>
        <v/>
      </c>
    </row>
    <row r="1042" spans="5:9" x14ac:dyDescent="0.3">
      <c r="E1042" t="str">
        <f>IFERROR(IF(D1042="","",VLOOKUP(D1042,CadProd!$A:$B,2,0)),"")</f>
        <v/>
      </c>
      <c r="F1042" t="str">
        <f>IFERROR(IF(D1042="","",VLOOKUP(D1042,CadProd!$A:$C,3,0)),"")</f>
        <v/>
      </c>
      <c r="I1042" s="1" t="str">
        <f t="shared" si="16"/>
        <v/>
      </c>
    </row>
    <row r="1043" spans="5:9" x14ac:dyDescent="0.3">
      <c r="E1043" t="str">
        <f>IFERROR(IF(D1043="","",VLOOKUP(D1043,CadProd!$A:$B,2,0)),"")</f>
        <v/>
      </c>
      <c r="F1043" t="str">
        <f>IFERROR(IF(D1043="","",VLOOKUP(D1043,CadProd!$A:$C,3,0)),"")</f>
        <v/>
      </c>
      <c r="I1043" s="1" t="str">
        <f t="shared" si="16"/>
        <v/>
      </c>
    </row>
    <row r="1044" spans="5:9" x14ac:dyDescent="0.3">
      <c r="E1044" t="str">
        <f>IFERROR(IF(D1044="","",VLOOKUP(D1044,CadProd!$A:$B,2,0)),"")</f>
        <v/>
      </c>
      <c r="F1044" t="str">
        <f>IFERROR(IF(D1044="","",VLOOKUP(D1044,CadProd!$A:$C,3,0)),"")</f>
        <v/>
      </c>
      <c r="I1044" s="1" t="str">
        <f t="shared" si="16"/>
        <v/>
      </c>
    </row>
    <row r="1045" spans="5:9" x14ac:dyDescent="0.3">
      <c r="E1045" t="str">
        <f>IFERROR(IF(D1045="","",VLOOKUP(D1045,CadProd!$A:$B,2,0)),"")</f>
        <v/>
      </c>
      <c r="F1045" t="str">
        <f>IFERROR(IF(D1045="","",VLOOKUP(D1045,CadProd!$A:$C,3,0)),"")</f>
        <v/>
      </c>
      <c r="I1045" s="1" t="str">
        <f t="shared" si="16"/>
        <v/>
      </c>
    </row>
    <row r="1046" spans="5:9" x14ac:dyDescent="0.3">
      <c r="E1046" t="str">
        <f>IFERROR(IF(D1046="","",VLOOKUP(D1046,CadProd!$A:$B,2,0)),"")</f>
        <v/>
      </c>
      <c r="F1046" t="str">
        <f>IFERROR(IF(D1046="","",VLOOKUP(D1046,CadProd!$A:$C,3,0)),"")</f>
        <v/>
      </c>
      <c r="I1046" s="1" t="str">
        <f t="shared" si="16"/>
        <v/>
      </c>
    </row>
    <row r="1047" spans="5:9" x14ac:dyDescent="0.3">
      <c r="E1047" t="str">
        <f>IFERROR(IF(D1047="","",VLOOKUP(D1047,CadProd!$A:$B,2,0)),"")</f>
        <v/>
      </c>
      <c r="F1047" t="str">
        <f>IFERROR(IF(D1047="","",VLOOKUP(D1047,CadProd!$A:$C,3,0)),"")</f>
        <v/>
      </c>
      <c r="I1047" s="1" t="str">
        <f t="shared" si="16"/>
        <v/>
      </c>
    </row>
    <row r="1048" spans="5:9" x14ac:dyDescent="0.3">
      <c r="E1048" t="str">
        <f>IFERROR(IF(D1048="","",VLOOKUP(D1048,CadProd!$A:$B,2,0)),"")</f>
        <v/>
      </c>
      <c r="F1048" t="str">
        <f>IFERROR(IF(D1048="","",VLOOKUP(D1048,CadProd!$A:$C,3,0)),"")</f>
        <v/>
      </c>
      <c r="I1048" s="1" t="str">
        <f t="shared" si="16"/>
        <v/>
      </c>
    </row>
    <row r="1049" spans="5:9" x14ac:dyDescent="0.3">
      <c r="E1049" t="str">
        <f>IFERROR(IF(D1049="","",VLOOKUP(D1049,CadProd!$A:$B,2,0)),"")</f>
        <v/>
      </c>
      <c r="F1049" t="str">
        <f>IFERROR(IF(D1049="","",VLOOKUP(D1049,CadProd!$A:$C,3,0)),"")</f>
        <v/>
      </c>
      <c r="I1049" s="1" t="str">
        <f t="shared" si="16"/>
        <v/>
      </c>
    </row>
    <row r="1050" spans="5:9" x14ac:dyDescent="0.3">
      <c r="E1050" t="str">
        <f>IFERROR(IF(D1050="","",VLOOKUP(D1050,CadProd!$A:$B,2,0)),"")</f>
        <v/>
      </c>
      <c r="F1050" t="str">
        <f>IFERROR(IF(D1050="","",VLOOKUP(D1050,CadProd!$A:$C,3,0)),"")</f>
        <v/>
      </c>
      <c r="I1050" s="1" t="str">
        <f t="shared" si="16"/>
        <v/>
      </c>
    </row>
    <row r="1051" spans="5:9" x14ac:dyDescent="0.3">
      <c r="E1051" t="str">
        <f>IFERROR(IF(D1051="","",VLOOKUP(D1051,CadProd!$A:$B,2,0)),"")</f>
        <v/>
      </c>
      <c r="F1051" t="str">
        <f>IFERROR(IF(D1051="","",VLOOKUP(D1051,CadProd!$A:$C,3,0)),"")</f>
        <v/>
      </c>
      <c r="I1051" s="1" t="str">
        <f t="shared" si="16"/>
        <v/>
      </c>
    </row>
    <row r="1052" spans="5:9" x14ac:dyDescent="0.3">
      <c r="E1052" t="str">
        <f>IFERROR(IF(D1052="","",VLOOKUP(D1052,CadProd!$A:$B,2,0)),"")</f>
        <v/>
      </c>
      <c r="F1052" t="str">
        <f>IFERROR(IF(D1052="","",VLOOKUP(D1052,CadProd!$A:$C,3,0)),"")</f>
        <v/>
      </c>
      <c r="I1052" s="1" t="str">
        <f t="shared" si="16"/>
        <v/>
      </c>
    </row>
    <row r="1053" spans="5:9" x14ac:dyDescent="0.3">
      <c r="E1053" t="str">
        <f>IFERROR(IF(D1053="","",VLOOKUP(D1053,CadProd!$A:$B,2,0)),"")</f>
        <v/>
      </c>
      <c r="F1053" t="str">
        <f>IFERROR(IF(D1053="","",VLOOKUP(D1053,CadProd!$A:$C,3,0)),"")</f>
        <v/>
      </c>
      <c r="I1053" s="1" t="str">
        <f t="shared" si="16"/>
        <v/>
      </c>
    </row>
    <row r="1054" spans="5:9" x14ac:dyDescent="0.3">
      <c r="E1054" t="str">
        <f>IFERROR(IF(D1054="","",VLOOKUP(D1054,CadProd!$A:$B,2,0)),"")</f>
        <v/>
      </c>
      <c r="F1054" t="str">
        <f>IFERROR(IF(D1054="","",VLOOKUP(D1054,CadProd!$A:$C,3,0)),"")</f>
        <v/>
      </c>
      <c r="I1054" s="1" t="str">
        <f t="shared" si="16"/>
        <v/>
      </c>
    </row>
    <row r="1055" spans="5:9" x14ac:dyDescent="0.3">
      <c r="E1055" t="str">
        <f>IFERROR(IF(D1055="","",VLOOKUP(D1055,CadProd!$A:$B,2,0)),"")</f>
        <v/>
      </c>
      <c r="F1055" t="str">
        <f>IFERROR(IF(D1055="","",VLOOKUP(D1055,CadProd!$A:$C,3,0)),"")</f>
        <v/>
      </c>
      <c r="I1055" s="1" t="str">
        <f t="shared" si="16"/>
        <v/>
      </c>
    </row>
    <row r="1056" spans="5:9" x14ac:dyDescent="0.3">
      <c r="E1056" t="str">
        <f>IFERROR(IF(D1056="","",VLOOKUP(D1056,CadProd!$A:$B,2,0)),"")</f>
        <v/>
      </c>
      <c r="F1056" t="str">
        <f>IFERROR(IF(D1056="","",VLOOKUP(D1056,CadProd!$A:$C,3,0)),"")</f>
        <v/>
      </c>
      <c r="I1056" s="1" t="str">
        <f t="shared" si="16"/>
        <v/>
      </c>
    </row>
    <row r="1057" spans="5:9" x14ac:dyDescent="0.3">
      <c r="E1057" t="str">
        <f>IFERROR(IF(D1057="","",VLOOKUP(D1057,CadProd!$A:$B,2,0)),"")</f>
        <v/>
      </c>
      <c r="F1057" t="str">
        <f>IFERROR(IF(D1057="","",VLOOKUP(D1057,CadProd!$A:$C,3,0)),"")</f>
        <v/>
      </c>
      <c r="I1057" s="1" t="str">
        <f t="shared" si="16"/>
        <v/>
      </c>
    </row>
    <row r="1058" spans="5:9" x14ac:dyDescent="0.3">
      <c r="E1058" t="str">
        <f>IFERROR(IF(D1058="","",VLOOKUP(D1058,CadProd!$A:$B,2,0)),"")</f>
        <v/>
      </c>
      <c r="F1058" t="str">
        <f>IFERROR(IF(D1058="","",VLOOKUP(D1058,CadProd!$A:$C,3,0)),"")</f>
        <v/>
      </c>
      <c r="I1058" s="1" t="str">
        <f t="shared" si="16"/>
        <v/>
      </c>
    </row>
    <row r="1059" spans="5:9" x14ac:dyDescent="0.3">
      <c r="E1059" t="str">
        <f>IFERROR(IF(D1059="","",VLOOKUP(D1059,CadProd!$A:$B,2,0)),"")</f>
        <v/>
      </c>
      <c r="F1059" t="str">
        <f>IFERROR(IF(D1059="","",VLOOKUP(D1059,CadProd!$A:$C,3,0)),"")</f>
        <v/>
      </c>
      <c r="I1059" s="1" t="str">
        <f t="shared" si="16"/>
        <v/>
      </c>
    </row>
    <row r="1060" spans="5:9" x14ac:dyDescent="0.3">
      <c r="E1060" t="str">
        <f>IFERROR(IF(D1060="","",VLOOKUP(D1060,CadProd!$A:$B,2,0)),"")</f>
        <v/>
      </c>
      <c r="F1060" t="str">
        <f>IFERROR(IF(D1060="","",VLOOKUP(D1060,CadProd!$A:$C,3,0)),"")</f>
        <v/>
      </c>
      <c r="I1060" s="1" t="str">
        <f t="shared" si="16"/>
        <v/>
      </c>
    </row>
    <row r="1061" spans="5:9" x14ac:dyDescent="0.3">
      <c r="E1061" t="str">
        <f>IFERROR(IF(D1061="","",VLOOKUP(D1061,CadProd!$A:$B,2,0)),"")</f>
        <v/>
      </c>
      <c r="F1061" t="str">
        <f>IFERROR(IF(D1061="","",VLOOKUP(D1061,CadProd!$A:$C,3,0)),"")</f>
        <v/>
      </c>
      <c r="I1061" s="1" t="str">
        <f t="shared" si="16"/>
        <v/>
      </c>
    </row>
    <row r="1062" spans="5:9" x14ac:dyDescent="0.3">
      <c r="E1062" t="str">
        <f>IFERROR(IF(D1062="","",VLOOKUP(D1062,CadProd!$A:$B,2,0)),"")</f>
        <v/>
      </c>
      <c r="F1062" t="str">
        <f>IFERROR(IF(D1062="","",VLOOKUP(D1062,CadProd!$A:$C,3,0)),"")</f>
        <v/>
      </c>
      <c r="I1062" s="1" t="str">
        <f t="shared" si="16"/>
        <v/>
      </c>
    </row>
    <row r="1063" spans="5:9" x14ac:dyDescent="0.3">
      <c r="E1063" t="str">
        <f>IFERROR(IF(D1063="","",VLOOKUP(D1063,CadProd!$A:$B,2,0)),"")</f>
        <v/>
      </c>
      <c r="F1063" t="str">
        <f>IFERROR(IF(D1063="","",VLOOKUP(D1063,CadProd!$A:$C,3,0)),"")</f>
        <v/>
      </c>
      <c r="I1063" s="1" t="str">
        <f t="shared" si="16"/>
        <v/>
      </c>
    </row>
    <row r="1064" spans="5:9" x14ac:dyDescent="0.3">
      <c r="E1064" t="str">
        <f>IFERROR(IF(D1064="","",VLOOKUP(D1064,CadProd!$A:$B,2,0)),"")</f>
        <v/>
      </c>
      <c r="F1064" t="str">
        <f>IFERROR(IF(D1064="","",VLOOKUP(D1064,CadProd!$A:$C,3,0)),"")</f>
        <v/>
      </c>
      <c r="I1064" s="1" t="str">
        <f t="shared" si="16"/>
        <v/>
      </c>
    </row>
    <row r="1065" spans="5:9" x14ac:dyDescent="0.3">
      <c r="E1065" t="str">
        <f>IFERROR(IF(D1065="","",VLOOKUP(D1065,CadProd!$A:$B,2,0)),"")</f>
        <v/>
      </c>
      <c r="F1065" t="str">
        <f>IFERROR(IF(D1065="","",VLOOKUP(D1065,CadProd!$A:$C,3,0)),"")</f>
        <v/>
      </c>
      <c r="I1065" s="1" t="str">
        <f t="shared" si="16"/>
        <v/>
      </c>
    </row>
    <row r="1066" spans="5:9" x14ac:dyDescent="0.3">
      <c r="E1066" t="str">
        <f>IFERROR(IF(D1066="","",VLOOKUP(D1066,CadProd!$A:$B,2,0)),"")</f>
        <v/>
      </c>
      <c r="F1066" t="str">
        <f>IFERROR(IF(D1066="","",VLOOKUP(D1066,CadProd!$A:$C,3,0)),"")</f>
        <v/>
      </c>
      <c r="I1066" s="1" t="str">
        <f t="shared" si="16"/>
        <v/>
      </c>
    </row>
    <row r="1067" spans="5:9" x14ac:dyDescent="0.3">
      <c r="E1067" t="str">
        <f>IFERROR(IF(D1067="","",VLOOKUP(D1067,CadProd!$A:$B,2,0)),"")</f>
        <v/>
      </c>
      <c r="F1067" t="str">
        <f>IFERROR(IF(D1067="","",VLOOKUP(D1067,CadProd!$A:$C,3,0)),"")</f>
        <v/>
      </c>
      <c r="I1067" s="1" t="str">
        <f t="shared" si="16"/>
        <v/>
      </c>
    </row>
    <row r="1068" spans="5:9" x14ac:dyDescent="0.3">
      <c r="E1068" t="str">
        <f>IFERROR(IF(D1068="","",VLOOKUP(D1068,CadProd!$A:$B,2,0)),"")</f>
        <v/>
      </c>
      <c r="F1068" t="str">
        <f>IFERROR(IF(D1068="","",VLOOKUP(D1068,CadProd!$A:$C,3,0)),"")</f>
        <v/>
      </c>
      <c r="I1068" s="1" t="str">
        <f t="shared" si="16"/>
        <v/>
      </c>
    </row>
    <row r="1069" spans="5:9" x14ac:dyDescent="0.3">
      <c r="E1069" t="str">
        <f>IFERROR(IF(D1069="","",VLOOKUP(D1069,CadProd!$A:$B,2,0)),"")</f>
        <v/>
      </c>
      <c r="F1069" t="str">
        <f>IFERROR(IF(D1069="","",VLOOKUP(D1069,CadProd!$A:$C,3,0)),"")</f>
        <v/>
      </c>
      <c r="I1069" s="1" t="str">
        <f t="shared" si="16"/>
        <v/>
      </c>
    </row>
    <row r="1070" spans="5:9" x14ac:dyDescent="0.3">
      <c r="E1070" t="str">
        <f>IFERROR(IF(D1070="","",VLOOKUP(D1070,CadProd!$A:$B,2,0)),"")</f>
        <v/>
      </c>
      <c r="F1070" t="str">
        <f>IFERROR(IF(D1070="","",VLOOKUP(D1070,CadProd!$A:$C,3,0)),"")</f>
        <v/>
      </c>
      <c r="I1070" s="1" t="str">
        <f t="shared" si="16"/>
        <v/>
      </c>
    </row>
    <row r="1071" spans="5:9" x14ac:dyDescent="0.3">
      <c r="E1071" t="str">
        <f>IFERROR(IF(D1071="","",VLOOKUP(D1071,CadProd!$A:$B,2,0)),"")</f>
        <v/>
      </c>
      <c r="F1071" t="str">
        <f>IFERROR(IF(D1071="","",VLOOKUP(D1071,CadProd!$A:$C,3,0)),"")</f>
        <v/>
      </c>
      <c r="I1071" s="1" t="str">
        <f t="shared" si="16"/>
        <v/>
      </c>
    </row>
    <row r="1072" spans="5:9" x14ac:dyDescent="0.3">
      <c r="E1072" t="str">
        <f>IFERROR(IF(D1072="","",VLOOKUP(D1072,CadProd!$A:$B,2,0)),"")</f>
        <v/>
      </c>
      <c r="F1072" t="str">
        <f>IFERROR(IF(D1072="","",VLOOKUP(D1072,CadProd!$A:$C,3,0)),"")</f>
        <v/>
      </c>
      <c r="I1072" s="1" t="str">
        <f t="shared" si="16"/>
        <v/>
      </c>
    </row>
    <row r="1073" spans="5:9" x14ac:dyDescent="0.3">
      <c r="E1073" t="str">
        <f>IFERROR(IF(D1073="","",VLOOKUP(D1073,CadProd!$A:$B,2,0)),"")</f>
        <v/>
      </c>
      <c r="F1073" t="str">
        <f>IFERROR(IF(D1073="","",VLOOKUP(D1073,CadProd!$A:$C,3,0)),"")</f>
        <v/>
      </c>
      <c r="I1073" s="1" t="str">
        <f t="shared" si="16"/>
        <v/>
      </c>
    </row>
    <row r="1074" spans="5:9" x14ac:dyDescent="0.3">
      <c r="E1074" t="str">
        <f>IFERROR(IF(D1074="","",VLOOKUP(D1074,CadProd!$A:$B,2,0)),"")</f>
        <v/>
      </c>
      <c r="F1074" t="str">
        <f>IFERROR(IF(D1074="","",VLOOKUP(D1074,CadProd!$A:$C,3,0)),"")</f>
        <v/>
      </c>
      <c r="I1074" s="1" t="str">
        <f t="shared" si="16"/>
        <v/>
      </c>
    </row>
    <row r="1075" spans="5:9" x14ac:dyDescent="0.3">
      <c r="E1075" t="str">
        <f>IFERROR(IF(D1075="","",VLOOKUP(D1075,CadProd!$A:$B,2,0)),"")</f>
        <v/>
      </c>
      <c r="F1075" t="str">
        <f>IFERROR(IF(D1075="","",VLOOKUP(D1075,CadProd!$A:$C,3,0)),"")</f>
        <v/>
      </c>
      <c r="I1075" s="1" t="str">
        <f t="shared" si="16"/>
        <v/>
      </c>
    </row>
    <row r="1076" spans="5:9" x14ac:dyDescent="0.3">
      <c r="E1076" t="str">
        <f>IFERROR(IF(D1076="","",VLOOKUP(D1076,CadProd!$A:$B,2,0)),"")</f>
        <v/>
      </c>
      <c r="F1076" t="str">
        <f>IFERROR(IF(D1076="","",VLOOKUP(D1076,CadProd!$A:$C,3,0)),"")</f>
        <v/>
      </c>
      <c r="I1076" s="1" t="str">
        <f t="shared" si="16"/>
        <v/>
      </c>
    </row>
    <row r="1077" spans="5:9" x14ac:dyDescent="0.3">
      <c r="E1077" t="str">
        <f>IFERROR(IF(D1077="","",VLOOKUP(D1077,CadProd!$A:$B,2,0)),"")</f>
        <v/>
      </c>
      <c r="F1077" t="str">
        <f>IFERROR(IF(D1077="","",VLOOKUP(D1077,CadProd!$A:$C,3,0)),"")</f>
        <v/>
      </c>
      <c r="I1077" s="1" t="str">
        <f t="shared" si="16"/>
        <v/>
      </c>
    </row>
    <row r="1078" spans="5:9" x14ac:dyDescent="0.3">
      <c r="E1078" t="str">
        <f>IFERROR(IF(D1078="","",VLOOKUP(D1078,CadProd!$A:$B,2,0)),"")</f>
        <v/>
      </c>
      <c r="F1078" t="str">
        <f>IFERROR(IF(D1078="","",VLOOKUP(D1078,CadProd!$A:$C,3,0)),"")</f>
        <v/>
      </c>
      <c r="I1078" s="1" t="str">
        <f t="shared" si="16"/>
        <v/>
      </c>
    </row>
    <row r="1079" spans="5:9" x14ac:dyDescent="0.3">
      <c r="E1079" t="str">
        <f>IFERROR(IF(D1079="","",VLOOKUP(D1079,CadProd!$A:$B,2,0)),"")</f>
        <v/>
      </c>
      <c r="F1079" t="str">
        <f>IFERROR(IF(D1079="","",VLOOKUP(D1079,CadProd!$A:$C,3,0)),"")</f>
        <v/>
      </c>
      <c r="I1079" s="1" t="str">
        <f t="shared" si="16"/>
        <v/>
      </c>
    </row>
    <row r="1080" spans="5:9" x14ac:dyDescent="0.3">
      <c r="E1080" t="str">
        <f>IFERROR(IF(D1080="","",VLOOKUP(D1080,CadProd!$A:$B,2,0)),"")</f>
        <v/>
      </c>
      <c r="F1080" t="str">
        <f>IFERROR(IF(D1080="","",VLOOKUP(D1080,CadProd!$A:$C,3,0)),"")</f>
        <v/>
      </c>
      <c r="I1080" s="1" t="str">
        <f t="shared" si="16"/>
        <v/>
      </c>
    </row>
    <row r="1081" spans="5:9" x14ac:dyDescent="0.3">
      <c r="E1081" t="str">
        <f>IFERROR(IF(D1081="","",VLOOKUP(D1081,CadProd!$A:$B,2,0)),"")</f>
        <v/>
      </c>
      <c r="F1081" t="str">
        <f>IFERROR(IF(D1081="","",VLOOKUP(D1081,CadProd!$A:$C,3,0)),"")</f>
        <v/>
      </c>
      <c r="I1081" s="1" t="str">
        <f t="shared" si="16"/>
        <v/>
      </c>
    </row>
    <row r="1082" spans="5:9" x14ac:dyDescent="0.3">
      <c r="E1082" t="str">
        <f>IFERROR(IF(D1082="","",VLOOKUP(D1082,CadProd!$A:$B,2,0)),"")</f>
        <v/>
      </c>
      <c r="F1082" t="str">
        <f>IFERROR(IF(D1082="","",VLOOKUP(D1082,CadProd!$A:$C,3,0)),"")</f>
        <v/>
      </c>
      <c r="I1082" s="1" t="str">
        <f t="shared" si="16"/>
        <v/>
      </c>
    </row>
    <row r="1083" spans="5:9" x14ac:dyDescent="0.3">
      <c r="E1083" t="str">
        <f>IFERROR(IF(D1083="","",VLOOKUP(D1083,CadProd!$A:$B,2,0)),"")</f>
        <v/>
      </c>
      <c r="F1083" t="str">
        <f>IFERROR(IF(D1083="","",VLOOKUP(D1083,CadProd!$A:$C,3,0)),"")</f>
        <v/>
      </c>
      <c r="I1083" s="1" t="str">
        <f t="shared" si="16"/>
        <v/>
      </c>
    </row>
    <row r="1084" spans="5:9" x14ac:dyDescent="0.3">
      <c r="E1084" t="str">
        <f>IFERROR(IF(D1084="","",VLOOKUP(D1084,CadProd!$A:$B,2,0)),"")</f>
        <v/>
      </c>
      <c r="F1084" t="str">
        <f>IFERROR(IF(D1084="","",VLOOKUP(D1084,CadProd!$A:$C,3,0)),"")</f>
        <v/>
      </c>
      <c r="I1084" s="1" t="str">
        <f t="shared" si="16"/>
        <v/>
      </c>
    </row>
    <row r="1085" spans="5:9" x14ac:dyDescent="0.3">
      <c r="E1085" t="str">
        <f>IFERROR(IF(D1085="","",VLOOKUP(D1085,CadProd!$A:$B,2,0)),"")</f>
        <v/>
      </c>
      <c r="F1085" t="str">
        <f>IFERROR(IF(D1085="","",VLOOKUP(D1085,CadProd!$A:$C,3,0)),"")</f>
        <v/>
      </c>
      <c r="I1085" s="1" t="str">
        <f t="shared" si="16"/>
        <v/>
      </c>
    </row>
    <row r="1086" spans="5:9" x14ac:dyDescent="0.3">
      <c r="E1086" t="str">
        <f>IFERROR(IF(D1086="","",VLOOKUP(D1086,CadProd!$A:$B,2,0)),"")</f>
        <v/>
      </c>
      <c r="F1086" t="str">
        <f>IFERROR(IF(D1086="","",VLOOKUP(D1086,CadProd!$A:$C,3,0)),"")</f>
        <v/>
      </c>
      <c r="I1086" s="1" t="str">
        <f t="shared" si="16"/>
        <v/>
      </c>
    </row>
    <row r="1087" spans="5:9" x14ac:dyDescent="0.3">
      <c r="E1087" t="str">
        <f>IFERROR(IF(D1087="","",VLOOKUP(D1087,CadProd!$A:$B,2,0)),"")</f>
        <v/>
      </c>
      <c r="F1087" t="str">
        <f>IFERROR(IF(D1087="","",VLOOKUP(D1087,CadProd!$A:$C,3,0)),"")</f>
        <v/>
      </c>
      <c r="I1087" s="1" t="str">
        <f t="shared" si="16"/>
        <v/>
      </c>
    </row>
    <row r="1088" spans="5:9" x14ac:dyDescent="0.3">
      <c r="E1088" t="str">
        <f>IFERROR(IF(D1088="","",VLOOKUP(D1088,CadProd!$A:$B,2,0)),"")</f>
        <v/>
      </c>
      <c r="F1088" t="str">
        <f>IFERROR(IF(D1088="","",VLOOKUP(D1088,CadProd!$A:$C,3,0)),"")</f>
        <v/>
      </c>
      <c r="I1088" s="1" t="str">
        <f t="shared" si="16"/>
        <v/>
      </c>
    </row>
    <row r="1089" spans="5:9" x14ac:dyDescent="0.3">
      <c r="E1089" t="str">
        <f>IFERROR(IF(D1089="","",VLOOKUP(D1089,CadProd!$A:$B,2,0)),"")</f>
        <v/>
      </c>
      <c r="F1089" t="str">
        <f>IFERROR(IF(D1089="","",VLOOKUP(D1089,CadProd!$A:$C,3,0)),"")</f>
        <v/>
      </c>
      <c r="I1089" s="1" t="str">
        <f t="shared" si="16"/>
        <v/>
      </c>
    </row>
    <row r="1090" spans="5:9" x14ac:dyDescent="0.3">
      <c r="E1090" t="str">
        <f>IFERROR(IF(D1090="","",VLOOKUP(D1090,CadProd!$A:$B,2,0)),"")</f>
        <v/>
      </c>
      <c r="F1090" t="str">
        <f>IFERROR(IF(D1090="","",VLOOKUP(D1090,CadProd!$A:$C,3,0)),"")</f>
        <v/>
      </c>
      <c r="I1090" s="1" t="str">
        <f t="shared" si="16"/>
        <v/>
      </c>
    </row>
    <row r="1091" spans="5:9" x14ac:dyDescent="0.3">
      <c r="E1091" t="str">
        <f>IFERROR(IF(D1091="","",VLOOKUP(D1091,CadProd!$A:$B,2,0)),"")</f>
        <v/>
      </c>
      <c r="F1091" t="str">
        <f>IFERROR(IF(D1091="","",VLOOKUP(D1091,CadProd!$A:$C,3,0)),"")</f>
        <v/>
      </c>
      <c r="I1091" s="1" t="str">
        <f t="shared" si="16"/>
        <v/>
      </c>
    </row>
    <row r="1092" spans="5:9" x14ac:dyDescent="0.3">
      <c r="E1092" t="str">
        <f>IFERROR(IF(D1092="","",VLOOKUP(D1092,CadProd!$A:$B,2,0)),"")</f>
        <v/>
      </c>
      <c r="F1092" t="str">
        <f>IFERROR(IF(D1092="","",VLOOKUP(D1092,CadProd!$A:$C,3,0)),"")</f>
        <v/>
      </c>
      <c r="I1092" s="1" t="str">
        <f t="shared" si="16"/>
        <v/>
      </c>
    </row>
    <row r="1093" spans="5:9" x14ac:dyDescent="0.3">
      <c r="E1093" t="str">
        <f>IFERROR(IF(D1093="","",VLOOKUP(D1093,CadProd!$A:$B,2,0)),"")</f>
        <v/>
      </c>
      <c r="F1093" t="str">
        <f>IFERROR(IF(D1093="","",VLOOKUP(D1093,CadProd!$A:$C,3,0)),"")</f>
        <v/>
      </c>
      <c r="I1093" s="1" t="str">
        <f t="shared" si="16"/>
        <v/>
      </c>
    </row>
    <row r="1094" spans="5:9" x14ac:dyDescent="0.3">
      <c r="E1094" t="str">
        <f>IFERROR(IF(D1094="","",VLOOKUP(D1094,CadProd!$A:$B,2,0)),"")</f>
        <v/>
      </c>
      <c r="F1094" t="str">
        <f>IFERROR(IF(D1094="","",VLOOKUP(D1094,CadProd!$A:$C,3,0)),"")</f>
        <v/>
      </c>
      <c r="I1094" s="1" t="str">
        <f t="shared" si="16"/>
        <v/>
      </c>
    </row>
    <row r="1095" spans="5:9" x14ac:dyDescent="0.3">
      <c r="E1095" t="str">
        <f>IFERROR(IF(D1095="","",VLOOKUP(D1095,CadProd!$A:$B,2,0)),"")</f>
        <v/>
      </c>
      <c r="F1095" t="str">
        <f>IFERROR(IF(D1095="","",VLOOKUP(D1095,CadProd!$A:$C,3,0)),"")</f>
        <v/>
      </c>
      <c r="I1095" s="1" t="str">
        <f t="shared" si="16"/>
        <v/>
      </c>
    </row>
    <row r="1096" spans="5:9" x14ac:dyDescent="0.3">
      <c r="E1096" t="str">
        <f>IFERROR(IF(D1096="","",VLOOKUP(D1096,CadProd!$A:$B,2,0)),"")</f>
        <v/>
      </c>
      <c r="F1096" t="str">
        <f>IFERROR(IF(D1096="","",VLOOKUP(D1096,CadProd!$A:$C,3,0)),"")</f>
        <v/>
      </c>
      <c r="I1096" s="1" t="str">
        <f t="shared" si="16"/>
        <v/>
      </c>
    </row>
    <row r="1097" spans="5:9" x14ac:dyDescent="0.3">
      <c r="E1097" t="str">
        <f>IFERROR(IF(D1097="","",VLOOKUP(D1097,CadProd!$A:$B,2,0)),"")</f>
        <v/>
      </c>
      <c r="F1097" t="str">
        <f>IFERROR(IF(D1097="","",VLOOKUP(D1097,CadProd!$A:$C,3,0)),"")</f>
        <v/>
      </c>
      <c r="I1097" s="1" t="str">
        <f t="shared" si="16"/>
        <v/>
      </c>
    </row>
    <row r="1098" spans="5:9" x14ac:dyDescent="0.3">
      <c r="E1098" t="str">
        <f>IFERROR(IF(D1098="","",VLOOKUP(D1098,CadProd!$A:$B,2,0)),"")</f>
        <v/>
      </c>
      <c r="F1098" t="str">
        <f>IFERROR(IF(D1098="","",VLOOKUP(D1098,CadProd!$A:$C,3,0)),"")</f>
        <v/>
      </c>
      <c r="I1098" s="1" t="str">
        <f t="shared" si="16"/>
        <v/>
      </c>
    </row>
    <row r="1099" spans="5:9" x14ac:dyDescent="0.3">
      <c r="E1099" t="str">
        <f>IFERROR(IF(D1099="","",VLOOKUP(D1099,CadProd!$A:$B,2,0)),"")</f>
        <v/>
      </c>
      <c r="F1099" t="str">
        <f>IFERROR(IF(D1099="","",VLOOKUP(D1099,CadProd!$A:$C,3,0)),"")</f>
        <v/>
      </c>
      <c r="I1099" s="1" t="str">
        <f t="shared" ref="I1099:I1162" si="17">IFERROR(IF(D1099="","",H1099*G1099),"")</f>
        <v/>
      </c>
    </row>
    <row r="1100" spans="5:9" x14ac:dyDescent="0.3">
      <c r="E1100" t="str">
        <f>IFERROR(IF(D1100="","",VLOOKUP(D1100,CadProd!$A:$B,2,0)),"")</f>
        <v/>
      </c>
      <c r="F1100" t="str">
        <f>IFERROR(IF(D1100="","",VLOOKUP(D1100,CadProd!$A:$C,3,0)),"")</f>
        <v/>
      </c>
      <c r="I1100" s="1" t="str">
        <f t="shared" si="17"/>
        <v/>
      </c>
    </row>
    <row r="1101" spans="5:9" x14ac:dyDescent="0.3">
      <c r="E1101" t="str">
        <f>IFERROR(IF(D1101="","",VLOOKUP(D1101,CadProd!$A:$B,2,0)),"")</f>
        <v/>
      </c>
      <c r="F1101" t="str">
        <f>IFERROR(IF(D1101="","",VLOOKUP(D1101,CadProd!$A:$C,3,0)),"")</f>
        <v/>
      </c>
      <c r="I1101" s="1" t="str">
        <f t="shared" si="17"/>
        <v/>
      </c>
    </row>
    <row r="1102" spans="5:9" x14ac:dyDescent="0.3">
      <c r="E1102" t="str">
        <f>IFERROR(IF(D1102="","",VLOOKUP(D1102,CadProd!$A:$B,2,0)),"")</f>
        <v/>
      </c>
      <c r="F1102" t="str">
        <f>IFERROR(IF(D1102="","",VLOOKUP(D1102,CadProd!$A:$C,3,0)),"")</f>
        <v/>
      </c>
      <c r="I1102" s="1" t="str">
        <f t="shared" si="17"/>
        <v/>
      </c>
    </row>
    <row r="1103" spans="5:9" x14ac:dyDescent="0.3">
      <c r="E1103" t="str">
        <f>IFERROR(IF(D1103="","",VLOOKUP(D1103,CadProd!$A:$B,2,0)),"")</f>
        <v/>
      </c>
      <c r="F1103" t="str">
        <f>IFERROR(IF(D1103="","",VLOOKUP(D1103,CadProd!$A:$C,3,0)),"")</f>
        <v/>
      </c>
      <c r="I1103" s="1" t="str">
        <f t="shared" si="17"/>
        <v/>
      </c>
    </row>
    <row r="1104" spans="5:9" x14ac:dyDescent="0.3">
      <c r="E1104" t="str">
        <f>IFERROR(IF(D1104="","",VLOOKUP(D1104,CadProd!$A:$B,2,0)),"")</f>
        <v/>
      </c>
      <c r="F1104" t="str">
        <f>IFERROR(IF(D1104="","",VLOOKUP(D1104,CadProd!$A:$C,3,0)),"")</f>
        <v/>
      </c>
      <c r="I1104" s="1" t="str">
        <f t="shared" si="17"/>
        <v/>
      </c>
    </row>
    <row r="1105" spans="5:9" x14ac:dyDescent="0.3">
      <c r="E1105" t="str">
        <f>IFERROR(IF(D1105="","",VLOOKUP(D1105,CadProd!$A:$B,2,0)),"")</f>
        <v/>
      </c>
      <c r="F1105" t="str">
        <f>IFERROR(IF(D1105="","",VLOOKUP(D1105,CadProd!$A:$C,3,0)),"")</f>
        <v/>
      </c>
      <c r="I1105" s="1" t="str">
        <f t="shared" si="17"/>
        <v/>
      </c>
    </row>
    <row r="1106" spans="5:9" x14ac:dyDescent="0.3">
      <c r="E1106" t="str">
        <f>IFERROR(IF(D1106="","",VLOOKUP(D1106,CadProd!$A:$B,2,0)),"")</f>
        <v/>
      </c>
      <c r="F1106" t="str">
        <f>IFERROR(IF(D1106="","",VLOOKUP(D1106,CadProd!$A:$C,3,0)),"")</f>
        <v/>
      </c>
      <c r="I1106" s="1" t="str">
        <f t="shared" si="17"/>
        <v/>
      </c>
    </row>
    <row r="1107" spans="5:9" x14ac:dyDescent="0.3">
      <c r="E1107" t="str">
        <f>IFERROR(IF(D1107="","",VLOOKUP(D1107,CadProd!$A:$B,2,0)),"")</f>
        <v/>
      </c>
      <c r="F1107" t="str">
        <f>IFERROR(IF(D1107="","",VLOOKUP(D1107,CadProd!$A:$C,3,0)),"")</f>
        <v/>
      </c>
      <c r="I1107" s="1" t="str">
        <f t="shared" si="17"/>
        <v/>
      </c>
    </row>
    <row r="1108" spans="5:9" x14ac:dyDescent="0.3">
      <c r="E1108" t="str">
        <f>IFERROR(IF(D1108="","",VLOOKUP(D1108,CadProd!$A:$B,2,0)),"")</f>
        <v/>
      </c>
      <c r="F1108" t="str">
        <f>IFERROR(IF(D1108="","",VLOOKUP(D1108,CadProd!$A:$C,3,0)),"")</f>
        <v/>
      </c>
      <c r="I1108" s="1" t="str">
        <f t="shared" si="17"/>
        <v/>
      </c>
    </row>
    <row r="1109" spans="5:9" x14ac:dyDescent="0.3">
      <c r="E1109" t="str">
        <f>IFERROR(IF(D1109="","",VLOOKUP(D1109,CadProd!$A:$B,2,0)),"")</f>
        <v/>
      </c>
      <c r="F1109" t="str">
        <f>IFERROR(IF(D1109="","",VLOOKUP(D1109,CadProd!$A:$C,3,0)),"")</f>
        <v/>
      </c>
      <c r="I1109" s="1" t="str">
        <f t="shared" si="17"/>
        <v/>
      </c>
    </row>
    <row r="1110" spans="5:9" x14ac:dyDescent="0.3">
      <c r="E1110" t="str">
        <f>IFERROR(IF(D1110="","",VLOOKUP(D1110,CadProd!$A:$B,2,0)),"")</f>
        <v/>
      </c>
      <c r="F1110" t="str">
        <f>IFERROR(IF(D1110="","",VLOOKUP(D1110,CadProd!$A:$C,3,0)),"")</f>
        <v/>
      </c>
      <c r="I1110" s="1" t="str">
        <f t="shared" si="17"/>
        <v/>
      </c>
    </row>
    <row r="1111" spans="5:9" x14ac:dyDescent="0.3">
      <c r="E1111" t="str">
        <f>IFERROR(IF(D1111="","",VLOOKUP(D1111,CadProd!$A:$B,2,0)),"")</f>
        <v/>
      </c>
      <c r="F1111" t="str">
        <f>IFERROR(IF(D1111="","",VLOOKUP(D1111,CadProd!$A:$C,3,0)),"")</f>
        <v/>
      </c>
      <c r="I1111" s="1" t="str">
        <f t="shared" si="17"/>
        <v/>
      </c>
    </row>
    <row r="1112" spans="5:9" x14ac:dyDescent="0.3">
      <c r="E1112" t="str">
        <f>IFERROR(IF(D1112="","",VLOOKUP(D1112,CadProd!$A:$B,2,0)),"")</f>
        <v/>
      </c>
      <c r="F1112" t="str">
        <f>IFERROR(IF(D1112="","",VLOOKUP(D1112,CadProd!$A:$C,3,0)),"")</f>
        <v/>
      </c>
      <c r="I1112" s="1" t="str">
        <f t="shared" si="17"/>
        <v/>
      </c>
    </row>
    <row r="1113" spans="5:9" x14ac:dyDescent="0.3">
      <c r="E1113" t="str">
        <f>IFERROR(IF(D1113="","",VLOOKUP(D1113,CadProd!$A:$B,2,0)),"")</f>
        <v/>
      </c>
      <c r="F1113" t="str">
        <f>IFERROR(IF(D1113="","",VLOOKUP(D1113,CadProd!$A:$C,3,0)),"")</f>
        <v/>
      </c>
      <c r="I1113" s="1" t="str">
        <f t="shared" si="17"/>
        <v/>
      </c>
    </row>
    <row r="1114" spans="5:9" x14ac:dyDescent="0.3">
      <c r="E1114" t="str">
        <f>IFERROR(IF(D1114="","",VLOOKUP(D1114,CadProd!$A:$B,2,0)),"")</f>
        <v/>
      </c>
      <c r="F1114" t="str">
        <f>IFERROR(IF(D1114="","",VLOOKUP(D1114,CadProd!$A:$C,3,0)),"")</f>
        <v/>
      </c>
      <c r="I1114" s="1" t="str">
        <f t="shared" si="17"/>
        <v/>
      </c>
    </row>
    <row r="1115" spans="5:9" x14ac:dyDescent="0.3">
      <c r="E1115" t="str">
        <f>IFERROR(IF(D1115="","",VLOOKUP(D1115,CadProd!$A:$B,2,0)),"")</f>
        <v/>
      </c>
      <c r="F1115" t="str">
        <f>IFERROR(IF(D1115="","",VLOOKUP(D1115,CadProd!$A:$C,3,0)),"")</f>
        <v/>
      </c>
      <c r="I1115" s="1" t="str">
        <f t="shared" si="17"/>
        <v/>
      </c>
    </row>
    <row r="1116" spans="5:9" x14ac:dyDescent="0.3">
      <c r="E1116" t="str">
        <f>IFERROR(IF(D1116="","",VLOOKUP(D1116,CadProd!$A:$B,2,0)),"")</f>
        <v/>
      </c>
      <c r="F1116" t="str">
        <f>IFERROR(IF(D1116="","",VLOOKUP(D1116,CadProd!$A:$C,3,0)),"")</f>
        <v/>
      </c>
      <c r="I1116" s="1" t="str">
        <f t="shared" si="17"/>
        <v/>
      </c>
    </row>
    <row r="1117" spans="5:9" x14ac:dyDescent="0.3">
      <c r="E1117" t="str">
        <f>IFERROR(IF(D1117="","",VLOOKUP(D1117,CadProd!$A:$B,2,0)),"")</f>
        <v/>
      </c>
      <c r="F1117" t="str">
        <f>IFERROR(IF(D1117="","",VLOOKUP(D1117,CadProd!$A:$C,3,0)),"")</f>
        <v/>
      </c>
      <c r="I1117" s="1" t="str">
        <f t="shared" si="17"/>
        <v/>
      </c>
    </row>
    <row r="1118" spans="5:9" x14ac:dyDescent="0.3">
      <c r="E1118" t="str">
        <f>IFERROR(IF(D1118="","",VLOOKUP(D1118,CadProd!$A:$B,2,0)),"")</f>
        <v/>
      </c>
      <c r="F1118" t="str">
        <f>IFERROR(IF(D1118="","",VLOOKUP(D1118,CadProd!$A:$C,3,0)),"")</f>
        <v/>
      </c>
      <c r="I1118" s="1" t="str">
        <f t="shared" si="17"/>
        <v/>
      </c>
    </row>
    <row r="1119" spans="5:9" x14ac:dyDescent="0.3">
      <c r="E1119" t="str">
        <f>IFERROR(IF(D1119="","",VLOOKUP(D1119,CadProd!$A:$B,2,0)),"")</f>
        <v/>
      </c>
      <c r="F1119" t="str">
        <f>IFERROR(IF(D1119="","",VLOOKUP(D1119,CadProd!$A:$C,3,0)),"")</f>
        <v/>
      </c>
      <c r="I1119" s="1" t="str">
        <f t="shared" si="17"/>
        <v/>
      </c>
    </row>
    <row r="1120" spans="5:9" x14ac:dyDescent="0.3">
      <c r="E1120" t="str">
        <f>IFERROR(IF(D1120="","",VLOOKUP(D1120,CadProd!$A:$B,2,0)),"")</f>
        <v/>
      </c>
      <c r="F1120" t="str">
        <f>IFERROR(IF(D1120="","",VLOOKUP(D1120,CadProd!$A:$C,3,0)),"")</f>
        <v/>
      </c>
      <c r="I1120" s="1" t="str">
        <f t="shared" si="17"/>
        <v/>
      </c>
    </row>
    <row r="1121" spans="5:9" x14ac:dyDescent="0.3">
      <c r="E1121" t="str">
        <f>IFERROR(IF(D1121="","",VLOOKUP(D1121,CadProd!$A:$B,2,0)),"")</f>
        <v/>
      </c>
      <c r="F1121" t="str">
        <f>IFERROR(IF(D1121="","",VLOOKUP(D1121,CadProd!$A:$C,3,0)),"")</f>
        <v/>
      </c>
      <c r="I1121" s="1" t="str">
        <f t="shared" si="17"/>
        <v/>
      </c>
    </row>
    <row r="1122" spans="5:9" x14ac:dyDescent="0.3">
      <c r="E1122" t="str">
        <f>IFERROR(IF(D1122="","",VLOOKUP(D1122,CadProd!$A:$B,2,0)),"")</f>
        <v/>
      </c>
      <c r="F1122" t="str">
        <f>IFERROR(IF(D1122="","",VLOOKUP(D1122,CadProd!$A:$C,3,0)),"")</f>
        <v/>
      </c>
      <c r="I1122" s="1" t="str">
        <f t="shared" si="17"/>
        <v/>
      </c>
    </row>
    <row r="1123" spans="5:9" x14ac:dyDescent="0.3">
      <c r="E1123" t="str">
        <f>IFERROR(IF(D1123="","",VLOOKUP(D1123,CadProd!$A:$B,2,0)),"")</f>
        <v/>
      </c>
      <c r="F1123" t="str">
        <f>IFERROR(IF(D1123="","",VLOOKUP(D1123,CadProd!$A:$C,3,0)),"")</f>
        <v/>
      </c>
      <c r="I1123" s="1" t="str">
        <f t="shared" si="17"/>
        <v/>
      </c>
    </row>
    <row r="1124" spans="5:9" x14ac:dyDescent="0.3">
      <c r="E1124" t="str">
        <f>IFERROR(IF(D1124="","",VLOOKUP(D1124,CadProd!$A:$B,2,0)),"")</f>
        <v/>
      </c>
      <c r="F1124" t="str">
        <f>IFERROR(IF(D1124="","",VLOOKUP(D1124,CadProd!$A:$C,3,0)),"")</f>
        <v/>
      </c>
      <c r="I1124" s="1" t="str">
        <f t="shared" si="17"/>
        <v/>
      </c>
    </row>
    <row r="1125" spans="5:9" x14ac:dyDescent="0.3">
      <c r="E1125" t="str">
        <f>IFERROR(IF(D1125="","",VLOOKUP(D1125,CadProd!$A:$B,2,0)),"")</f>
        <v/>
      </c>
      <c r="F1125" t="str">
        <f>IFERROR(IF(D1125="","",VLOOKUP(D1125,CadProd!$A:$C,3,0)),"")</f>
        <v/>
      </c>
      <c r="I1125" s="1" t="str">
        <f t="shared" si="17"/>
        <v/>
      </c>
    </row>
    <row r="1126" spans="5:9" x14ac:dyDescent="0.3">
      <c r="E1126" t="str">
        <f>IFERROR(IF(D1126="","",VLOOKUP(D1126,CadProd!$A:$B,2,0)),"")</f>
        <v/>
      </c>
      <c r="F1126" t="str">
        <f>IFERROR(IF(D1126="","",VLOOKUP(D1126,CadProd!$A:$C,3,0)),"")</f>
        <v/>
      </c>
      <c r="I1126" s="1" t="str">
        <f t="shared" si="17"/>
        <v/>
      </c>
    </row>
    <row r="1127" spans="5:9" x14ac:dyDescent="0.3">
      <c r="E1127" t="str">
        <f>IFERROR(IF(D1127="","",VLOOKUP(D1127,CadProd!$A:$B,2,0)),"")</f>
        <v/>
      </c>
      <c r="F1127" t="str">
        <f>IFERROR(IF(D1127="","",VLOOKUP(D1127,CadProd!$A:$C,3,0)),"")</f>
        <v/>
      </c>
      <c r="I1127" s="1" t="str">
        <f t="shared" si="17"/>
        <v/>
      </c>
    </row>
    <row r="1128" spans="5:9" x14ac:dyDescent="0.3">
      <c r="E1128" t="str">
        <f>IFERROR(IF(D1128="","",VLOOKUP(D1128,CadProd!$A:$B,2,0)),"")</f>
        <v/>
      </c>
      <c r="F1128" t="str">
        <f>IFERROR(IF(D1128="","",VLOOKUP(D1128,CadProd!$A:$C,3,0)),"")</f>
        <v/>
      </c>
      <c r="I1128" s="1" t="str">
        <f t="shared" si="17"/>
        <v/>
      </c>
    </row>
    <row r="1129" spans="5:9" x14ac:dyDescent="0.3">
      <c r="E1129" t="str">
        <f>IFERROR(IF(D1129="","",VLOOKUP(D1129,CadProd!$A:$B,2,0)),"")</f>
        <v/>
      </c>
      <c r="F1129" t="str">
        <f>IFERROR(IF(D1129="","",VLOOKUP(D1129,CadProd!$A:$C,3,0)),"")</f>
        <v/>
      </c>
      <c r="I1129" s="1" t="str">
        <f t="shared" si="17"/>
        <v/>
      </c>
    </row>
    <row r="1130" spans="5:9" x14ac:dyDescent="0.3">
      <c r="E1130" t="str">
        <f>IFERROR(IF(D1130="","",VLOOKUP(D1130,CadProd!$A:$B,2,0)),"")</f>
        <v/>
      </c>
      <c r="F1130" t="str">
        <f>IFERROR(IF(D1130="","",VLOOKUP(D1130,CadProd!$A:$C,3,0)),"")</f>
        <v/>
      </c>
      <c r="I1130" s="1" t="str">
        <f t="shared" si="17"/>
        <v/>
      </c>
    </row>
    <row r="1131" spans="5:9" x14ac:dyDescent="0.3">
      <c r="E1131" t="str">
        <f>IFERROR(IF(D1131="","",VLOOKUP(D1131,CadProd!$A:$B,2,0)),"")</f>
        <v/>
      </c>
      <c r="F1131" t="str">
        <f>IFERROR(IF(D1131="","",VLOOKUP(D1131,CadProd!$A:$C,3,0)),"")</f>
        <v/>
      </c>
      <c r="I1131" s="1" t="str">
        <f t="shared" si="17"/>
        <v/>
      </c>
    </row>
    <row r="1132" spans="5:9" x14ac:dyDescent="0.3">
      <c r="E1132" t="str">
        <f>IFERROR(IF(D1132="","",VLOOKUP(D1132,CadProd!$A:$B,2,0)),"")</f>
        <v/>
      </c>
      <c r="F1132" t="str">
        <f>IFERROR(IF(D1132="","",VLOOKUP(D1132,CadProd!$A:$C,3,0)),"")</f>
        <v/>
      </c>
      <c r="I1132" s="1" t="str">
        <f t="shared" si="17"/>
        <v/>
      </c>
    </row>
    <row r="1133" spans="5:9" x14ac:dyDescent="0.3">
      <c r="E1133" t="str">
        <f>IFERROR(IF(D1133="","",VLOOKUP(D1133,CadProd!$A:$B,2,0)),"")</f>
        <v/>
      </c>
      <c r="F1133" t="str">
        <f>IFERROR(IF(D1133="","",VLOOKUP(D1133,CadProd!$A:$C,3,0)),"")</f>
        <v/>
      </c>
      <c r="I1133" s="1" t="str">
        <f t="shared" si="17"/>
        <v/>
      </c>
    </row>
    <row r="1134" spans="5:9" x14ac:dyDescent="0.3">
      <c r="E1134" t="str">
        <f>IFERROR(IF(D1134="","",VLOOKUP(D1134,CadProd!$A:$B,2,0)),"")</f>
        <v/>
      </c>
      <c r="F1134" t="str">
        <f>IFERROR(IF(D1134="","",VLOOKUP(D1134,CadProd!$A:$C,3,0)),"")</f>
        <v/>
      </c>
      <c r="I1134" s="1" t="str">
        <f t="shared" si="17"/>
        <v/>
      </c>
    </row>
    <row r="1135" spans="5:9" x14ac:dyDescent="0.3">
      <c r="E1135" t="str">
        <f>IFERROR(IF(D1135="","",VLOOKUP(D1135,CadProd!$A:$B,2,0)),"")</f>
        <v/>
      </c>
      <c r="F1135" t="str">
        <f>IFERROR(IF(D1135="","",VLOOKUP(D1135,CadProd!$A:$C,3,0)),"")</f>
        <v/>
      </c>
      <c r="I1135" s="1" t="str">
        <f t="shared" si="17"/>
        <v/>
      </c>
    </row>
    <row r="1136" spans="5:9" x14ac:dyDescent="0.3">
      <c r="E1136" t="str">
        <f>IFERROR(IF(D1136="","",VLOOKUP(D1136,CadProd!$A:$B,2,0)),"")</f>
        <v/>
      </c>
      <c r="F1136" t="str">
        <f>IFERROR(IF(D1136="","",VLOOKUP(D1136,CadProd!$A:$C,3,0)),"")</f>
        <v/>
      </c>
      <c r="I1136" s="1" t="str">
        <f t="shared" si="17"/>
        <v/>
      </c>
    </row>
    <row r="1137" spans="5:9" x14ac:dyDescent="0.3">
      <c r="E1137" t="str">
        <f>IFERROR(IF(D1137="","",VLOOKUP(D1137,CadProd!$A:$B,2,0)),"")</f>
        <v/>
      </c>
      <c r="F1137" t="str">
        <f>IFERROR(IF(D1137="","",VLOOKUP(D1137,CadProd!$A:$C,3,0)),"")</f>
        <v/>
      </c>
      <c r="I1137" s="1" t="str">
        <f t="shared" si="17"/>
        <v/>
      </c>
    </row>
    <row r="1138" spans="5:9" x14ac:dyDescent="0.3">
      <c r="E1138" t="str">
        <f>IFERROR(IF(D1138="","",VLOOKUP(D1138,CadProd!$A:$B,2,0)),"")</f>
        <v/>
      </c>
      <c r="F1138" t="str">
        <f>IFERROR(IF(D1138="","",VLOOKUP(D1138,CadProd!$A:$C,3,0)),"")</f>
        <v/>
      </c>
      <c r="I1138" s="1" t="str">
        <f t="shared" si="17"/>
        <v/>
      </c>
    </row>
    <row r="1139" spans="5:9" x14ac:dyDescent="0.3">
      <c r="E1139" t="str">
        <f>IFERROR(IF(D1139="","",VLOOKUP(D1139,CadProd!$A:$B,2,0)),"")</f>
        <v/>
      </c>
      <c r="F1139" t="str">
        <f>IFERROR(IF(D1139="","",VLOOKUP(D1139,CadProd!$A:$C,3,0)),"")</f>
        <v/>
      </c>
      <c r="I1139" s="1" t="str">
        <f t="shared" si="17"/>
        <v/>
      </c>
    </row>
    <row r="1140" spans="5:9" x14ac:dyDescent="0.3">
      <c r="E1140" t="str">
        <f>IFERROR(IF(D1140="","",VLOOKUP(D1140,CadProd!$A:$B,2,0)),"")</f>
        <v/>
      </c>
      <c r="F1140" t="str">
        <f>IFERROR(IF(D1140="","",VLOOKUP(D1140,CadProd!$A:$C,3,0)),"")</f>
        <v/>
      </c>
      <c r="I1140" s="1" t="str">
        <f t="shared" si="17"/>
        <v/>
      </c>
    </row>
    <row r="1141" spans="5:9" x14ac:dyDescent="0.3">
      <c r="E1141" t="str">
        <f>IFERROR(IF(D1141="","",VLOOKUP(D1141,CadProd!$A:$B,2,0)),"")</f>
        <v/>
      </c>
      <c r="F1141" t="str">
        <f>IFERROR(IF(D1141="","",VLOOKUP(D1141,CadProd!$A:$C,3,0)),"")</f>
        <v/>
      </c>
      <c r="I1141" s="1" t="str">
        <f t="shared" si="17"/>
        <v/>
      </c>
    </row>
    <row r="1142" spans="5:9" x14ac:dyDescent="0.3">
      <c r="E1142" t="str">
        <f>IFERROR(IF(D1142="","",VLOOKUP(D1142,CadProd!$A:$B,2,0)),"")</f>
        <v/>
      </c>
      <c r="F1142" t="str">
        <f>IFERROR(IF(D1142="","",VLOOKUP(D1142,CadProd!$A:$C,3,0)),"")</f>
        <v/>
      </c>
      <c r="I1142" s="1" t="str">
        <f t="shared" si="17"/>
        <v/>
      </c>
    </row>
    <row r="1143" spans="5:9" x14ac:dyDescent="0.3">
      <c r="E1143" t="str">
        <f>IFERROR(IF(D1143="","",VLOOKUP(D1143,CadProd!$A:$B,2,0)),"")</f>
        <v/>
      </c>
      <c r="F1143" t="str">
        <f>IFERROR(IF(D1143="","",VLOOKUP(D1143,CadProd!$A:$C,3,0)),"")</f>
        <v/>
      </c>
      <c r="I1143" s="1" t="str">
        <f t="shared" si="17"/>
        <v/>
      </c>
    </row>
    <row r="1144" spans="5:9" x14ac:dyDescent="0.3">
      <c r="E1144" t="str">
        <f>IFERROR(IF(D1144="","",VLOOKUP(D1144,CadProd!$A:$B,2,0)),"")</f>
        <v/>
      </c>
      <c r="F1144" t="str">
        <f>IFERROR(IF(D1144="","",VLOOKUP(D1144,CadProd!$A:$C,3,0)),"")</f>
        <v/>
      </c>
      <c r="I1144" s="1" t="str">
        <f t="shared" si="17"/>
        <v/>
      </c>
    </row>
    <row r="1145" spans="5:9" x14ac:dyDescent="0.3">
      <c r="E1145" t="str">
        <f>IFERROR(IF(D1145="","",VLOOKUP(D1145,CadProd!$A:$B,2,0)),"")</f>
        <v/>
      </c>
      <c r="F1145" t="str">
        <f>IFERROR(IF(D1145="","",VLOOKUP(D1145,CadProd!$A:$C,3,0)),"")</f>
        <v/>
      </c>
      <c r="I1145" s="1" t="str">
        <f t="shared" si="17"/>
        <v/>
      </c>
    </row>
    <row r="1146" spans="5:9" x14ac:dyDescent="0.3">
      <c r="E1146" t="str">
        <f>IFERROR(IF(D1146="","",VLOOKUP(D1146,CadProd!$A:$B,2,0)),"")</f>
        <v/>
      </c>
      <c r="F1146" t="str">
        <f>IFERROR(IF(D1146="","",VLOOKUP(D1146,CadProd!$A:$C,3,0)),"")</f>
        <v/>
      </c>
      <c r="I1146" s="1" t="str">
        <f t="shared" si="17"/>
        <v/>
      </c>
    </row>
    <row r="1147" spans="5:9" x14ac:dyDescent="0.3">
      <c r="E1147" t="str">
        <f>IFERROR(IF(D1147="","",VLOOKUP(D1147,CadProd!$A:$B,2,0)),"")</f>
        <v/>
      </c>
      <c r="F1147" t="str">
        <f>IFERROR(IF(D1147="","",VLOOKUP(D1147,CadProd!$A:$C,3,0)),"")</f>
        <v/>
      </c>
      <c r="I1147" s="1" t="str">
        <f t="shared" si="17"/>
        <v/>
      </c>
    </row>
    <row r="1148" spans="5:9" x14ac:dyDescent="0.3">
      <c r="E1148" t="str">
        <f>IFERROR(IF(D1148="","",VLOOKUP(D1148,CadProd!$A:$B,2,0)),"")</f>
        <v/>
      </c>
      <c r="F1148" t="str">
        <f>IFERROR(IF(D1148="","",VLOOKUP(D1148,CadProd!$A:$C,3,0)),"")</f>
        <v/>
      </c>
      <c r="I1148" s="1" t="str">
        <f t="shared" si="17"/>
        <v/>
      </c>
    </row>
    <row r="1149" spans="5:9" x14ac:dyDescent="0.3">
      <c r="E1149" t="str">
        <f>IFERROR(IF(D1149="","",VLOOKUP(D1149,CadProd!$A:$B,2,0)),"")</f>
        <v/>
      </c>
      <c r="F1149" t="str">
        <f>IFERROR(IF(D1149="","",VLOOKUP(D1149,CadProd!$A:$C,3,0)),"")</f>
        <v/>
      </c>
      <c r="I1149" s="1" t="str">
        <f t="shared" si="17"/>
        <v/>
      </c>
    </row>
    <row r="1150" spans="5:9" x14ac:dyDescent="0.3">
      <c r="E1150" t="str">
        <f>IFERROR(IF(D1150="","",VLOOKUP(D1150,CadProd!$A:$B,2,0)),"")</f>
        <v/>
      </c>
      <c r="F1150" t="str">
        <f>IFERROR(IF(D1150="","",VLOOKUP(D1150,CadProd!$A:$C,3,0)),"")</f>
        <v/>
      </c>
      <c r="I1150" s="1" t="str">
        <f t="shared" si="17"/>
        <v/>
      </c>
    </row>
    <row r="1151" spans="5:9" x14ac:dyDescent="0.3">
      <c r="E1151" t="str">
        <f>IFERROR(IF(D1151="","",VLOOKUP(D1151,CadProd!$A:$B,2,0)),"")</f>
        <v/>
      </c>
      <c r="F1151" t="str">
        <f>IFERROR(IF(D1151="","",VLOOKUP(D1151,CadProd!$A:$C,3,0)),"")</f>
        <v/>
      </c>
      <c r="I1151" s="1" t="str">
        <f t="shared" si="17"/>
        <v/>
      </c>
    </row>
    <row r="1152" spans="5:9" x14ac:dyDescent="0.3">
      <c r="E1152" t="str">
        <f>IFERROR(IF(D1152="","",VLOOKUP(D1152,CadProd!$A:$B,2,0)),"")</f>
        <v/>
      </c>
      <c r="F1152" t="str">
        <f>IFERROR(IF(D1152="","",VLOOKUP(D1152,CadProd!$A:$C,3,0)),"")</f>
        <v/>
      </c>
      <c r="I1152" s="1" t="str">
        <f t="shared" si="17"/>
        <v/>
      </c>
    </row>
    <row r="1153" spans="5:9" x14ac:dyDescent="0.3">
      <c r="E1153" t="str">
        <f>IFERROR(IF(D1153="","",VLOOKUP(D1153,CadProd!$A:$B,2,0)),"")</f>
        <v/>
      </c>
      <c r="F1153" t="str">
        <f>IFERROR(IF(D1153="","",VLOOKUP(D1153,CadProd!$A:$C,3,0)),"")</f>
        <v/>
      </c>
      <c r="I1153" s="1" t="str">
        <f t="shared" si="17"/>
        <v/>
      </c>
    </row>
    <row r="1154" spans="5:9" x14ac:dyDescent="0.3">
      <c r="E1154" t="str">
        <f>IFERROR(IF(D1154="","",VLOOKUP(D1154,CadProd!$A:$B,2,0)),"")</f>
        <v/>
      </c>
      <c r="F1154" t="str">
        <f>IFERROR(IF(D1154="","",VLOOKUP(D1154,CadProd!$A:$C,3,0)),"")</f>
        <v/>
      </c>
      <c r="I1154" s="1" t="str">
        <f t="shared" si="17"/>
        <v/>
      </c>
    </row>
    <row r="1155" spans="5:9" x14ac:dyDescent="0.3">
      <c r="E1155" t="str">
        <f>IFERROR(IF(D1155="","",VLOOKUP(D1155,CadProd!$A:$B,2,0)),"")</f>
        <v/>
      </c>
      <c r="F1155" t="str">
        <f>IFERROR(IF(D1155="","",VLOOKUP(D1155,CadProd!$A:$C,3,0)),"")</f>
        <v/>
      </c>
      <c r="I1155" s="1" t="str">
        <f t="shared" si="17"/>
        <v/>
      </c>
    </row>
    <row r="1156" spans="5:9" x14ac:dyDescent="0.3">
      <c r="E1156" t="str">
        <f>IFERROR(IF(D1156="","",VLOOKUP(D1156,CadProd!$A:$B,2,0)),"")</f>
        <v/>
      </c>
      <c r="F1156" t="str">
        <f>IFERROR(IF(D1156="","",VLOOKUP(D1156,CadProd!$A:$C,3,0)),"")</f>
        <v/>
      </c>
      <c r="I1156" s="1" t="str">
        <f t="shared" si="17"/>
        <v/>
      </c>
    </row>
    <row r="1157" spans="5:9" x14ac:dyDescent="0.3">
      <c r="E1157" t="str">
        <f>IFERROR(IF(D1157="","",VLOOKUP(D1157,CadProd!$A:$B,2,0)),"")</f>
        <v/>
      </c>
      <c r="F1157" t="str">
        <f>IFERROR(IF(D1157="","",VLOOKUP(D1157,CadProd!$A:$C,3,0)),"")</f>
        <v/>
      </c>
      <c r="I1157" s="1" t="str">
        <f t="shared" si="17"/>
        <v/>
      </c>
    </row>
    <row r="1158" spans="5:9" x14ac:dyDescent="0.3">
      <c r="E1158" t="str">
        <f>IFERROR(IF(D1158="","",VLOOKUP(D1158,CadProd!$A:$B,2,0)),"")</f>
        <v/>
      </c>
      <c r="F1158" t="str">
        <f>IFERROR(IF(D1158="","",VLOOKUP(D1158,CadProd!$A:$C,3,0)),"")</f>
        <v/>
      </c>
      <c r="I1158" s="1" t="str">
        <f t="shared" si="17"/>
        <v/>
      </c>
    </row>
    <row r="1159" spans="5:9" x14ac:dyDescent="0.3">
      <c r="E1159" t="str">
        <f>IFERROR(IF(D1159="","",VLOOKUP(D1159,CadProd!$A:$B,2,0)),"")</f>
        <v/>
      </c>
      <c r="F1159" t="str">
        <f>IFERROR(IF(D1159="","",VLOOKUP(D1159,CadProd!$A:$C,3,0)),"")</f>
        <v/>
      </c>
      <c r="I1159" s="1" t="str">
        <f t="shared" si="17"/>
        <v/>
      </c>
    </row>
    <row r="1160" spans="5:9" x14ac:dyDescent="0.3">
      <c r="E1160" t="str">
        <f>IFERROR(IF(D1160="","",VLOOKUP(D1160,CadProd!$A:$B,2,0)),"")</f>
        <v/>
      </c>
      <c r="F1160" t="str">
        <f>IFERROR(IF(D1160="","",VLOOKUP(D1160,CadProd!$A:$C,3,0)),"")</f>
        <v/>
      </c>
      <c r="I1160" s="1" t="str">
        <f t="shared" si="17"/>
        <v/>
      </c>
    </row>
    <row r="1161" spans="5:9" x14ac:dyDescent="0.3">
      <c r="E1161" t="str">
        <f>IFERROR(IF(D1161="","",VLOOKUP(D1161,CadProd!$A:$B,2,0)),"")</f>
        <v/>
      </c>
      <c r="F1161" t="str">
        <f>IFERROR(IF(D1161="","",VLOOKUP(D1161,CadProd!$A:$C,3,0)),"")</f>
        <v/>
      </c>
      <c r="I1161" s="1" t="str">
        <f t="shared" si="17"/>
        <v/>
      </c>
    </row>
    <row r="1162" spans="5:9" x14ac:dyDescent="0.3">
      <c r="E1162" t="str">
        <f>IFERROR(IF(D1162="","",VLOOKUP(D1162,CadProd!$A:$B,2,0)),"")</f>
        <v/>
      </c>
      <c r="F1162" t="str">
        <f>IFERROR(IF(D1162="","",VLOOKUP(D1162,CadProd!$A:$C,3,0)),"")</f>
        <v/>
      </c>
      <c r="I1162" s="1" t="str">
        <f t="shared" si="17"/>
        <v/>
      </c>
    </row>
    <row r="1163" spans="5:9" x14ac:dyDescent="0.3">
      <c r="E1163" t="str">
        <f>IFERROR(IF(D1163="","",VLOOKUP(D1163,CadProd!$A:$B,2,0)),"")</f>
        <v/>
      </c>
      <c r="F1163" t="str">
        <f>IFERROR(IF(D1163="","",VLOOKUP(D1163,CadProd!$A:$C,3,0)),"")</f>
        <v/>
      </c>
      <c r="I1163" s="1" t="str">
        <f t="shared" ref="I1163:I1226" si="18">IFERROR(IF(D1163="","",H1163*G1163),"")</f>
        <v/>
      </c>
    </row>
    <row r="1164" spans="5:9" x14ac:dyDescent="0.3">
      <c r="E1164" t="str">
        <f>IFERROR(IF(D1164="","",VLOOKUP(D1164,CadProd!$A:$B,2,0)),"")</f>
        <v/>
      </c>
      <c r="F1164" t="str">
        <f>IFERROR(IF(D1164="","",VLOOKUP(D1164,CadProd!$A:$C,3,0)),"")</f>
        <v/>
      </c>
      <c r="I1164" s="1" t="str">
        <f t="shared" si="18"/>
        <v/>
      </c>
    </row>
    <row r="1165" spans="5:9" x14ac:dyDescent="0.3">
      <c r="E1165" t="str">
        <f>IFERROR(IF(D1165="","",VLOOKUP(D1165,CadProd!$A:$B,2,0)),"")</f>
        <v/>
      </c>
      <c r="F1165" t="str">
        <f>IFERROR(IF(D1165="","",VLOOKUP(D1165,CadProd!$A:$C,3,0)),"")</f>
        <v/>
      </c>
      <c r="I1165" s="1" t="str">
        <f t="shared" si="18"/>
        <v/>
      </c>
    </row>
    <row r="1166" spans="5:9" x14ac:dyDescent="0.3">
      <c r="E1166" t="str">
        <f>IFERROR(IF(D1166="","",VLOOKUP(D1166,CadProd!$A:$B,2,0)),"")</f>
        <v/>
      </c>
      <c r="F1166" t="str">
        <f>IFERROR(IF(D1166="","",VLOOKUP(D1166,CadProd!$A:$C,3,0)),"")</f>
        <v/>
      </c>
      <c r="I1166" s="1" t="str">
        <f t="shared" si="18"/>
        <v/>
      </c>
    </row>
    <row r="1167" spans="5:9" x14ac:dyDescent="0.3">
      <c r="E1167" t="str">
        <f>IFERROR(IF(D1167="","",VLOOKUP(D1167,CadProd!$A:$B,2,0)),"")</f>
        <v/>
      </c>
      <c r="F1167" t="str">
        <f>IFERROR(IF(D1167="","",VLOOKUP(D1167,CadProd!$A:$C,3,0)),"")</f>
        <v/>
      </c>
      <c r="I1167" s="1" t="str">
        <f t="shared" si="18"/>
        <v/>
      </c>
    </row>
    <row r="1168" spans="5:9" x14ac:dyDescent="0.3">
      <c r="E1168" t="str">
        <f>IFERROR(IF(D1168="","",VLOOKUP(D1168,CadProd!$A:$B,2,0)),"")</f>
        <v/>
      </c>
      <c r="F1168" t="str">
        <f>IFERROR(IF(D1168="","",VLOOKUP(D1168,CadProd!$A:$C,3,0)),"")</f>
        <v/>
      </c>
      <c r="I1168" s="1" t="str">
        <f t="shared" si="18"/>
        <v/>
      </c>
    </row>
    <row r="1169" spans="5:9" x14ac:dyDescent="0.3">
      <c r="E1169" t="str">
        <f>IFERROR(IF(D1169="","",VLOOKUP(D1169,CadProd!$A:$B,2,0)),"")</f>
        <v/>
      </c>
      <c r="F1169" t="str">
        <f>IFERROR(IF(D1169="","",VLOOKUP(D1169,CadProd!$A:$C,3,0)),"")</f>
        <v/>
      </c>
      <c r="I1169" s="1" t="str">
        <f t="shared" si="18"/>
        <v/>
      </c>
    </row>
    <row r="1170" spans="5:9" x14ac:dyDescent="0.3">
      <c r="E1170" t="str">
        <f>IFERROR(IF(D1170="","",VLOOKUP(D1170,CadProd!$A:$B,2,0)),"")</f>
        <v/>
      </c>
      <c r="F1170" t="str">
        <f>IFERROR(IF(D1170="","",VLOOKUP(D1170,CadProd!$A:$C,3,0)),"")</f>
        <v/>
      </c>
      <c r="I1170" s="1" t="str">
        <f t="shared" si="18"/>
        <v/>
      </c>
    </row>
    <row r="1171" spans="5:9" x14ac:dyDescent="0.3">
      <c r="E1171" t="str">
        <f>IFERROR(IF(D1171="","",VLOOKUP(D1171,CadProd!$A:$B,2,0)),"")</f>
        <v/>
      </c>
      <c r="F1171" t="str">
        <f>IFERROR(IF(D1171="","",VLOOKUP(D1171,CadProd!$A:$C,3,0)),"")</f>
        <v/>
      </c>
      <c r="I1171" s="1" t="str">
        <f t="shared" si="18"/>
        <v/>
      </c>
    </row>
    <row r="1172" spans="5:9" x14ac:dyDescent="0.3">
      <c r="E1172" t="str">
        <f>IFERROR(IF(D1172="","",VLOOKUP(D1172,CadProd!$A:$B,2,0)),"")</f>
        <v/>
      </c>
      <c r="F1172" t="str">
        <f>IFERROR(IF(D1172="","",VLOOKUP(D1172,CadProd!$A:$C,3,0)),"")</f>
        <v/>
      </c>
      <c r="I1172" s="1" t="str">
        <f t="shared" si="18"/>
        <v/>
      </c>
    </row>
    <row r="1173" spans="5:9" x14ac:dyDescent="0.3">
      <c r="E1173" t="str">
        <f>IFERROR(IF(D1173="","",VLOOKUP(D1173,CadProd!$A:$B,2,0)),"")</f>
        <v/>
      </c>
      <c r="F1173" t="str">
        <f>IFERROR(IF(D1173="","",VLOOKUP(D1173,CadProd!$A:$C,3,0)),"")</f>
        <v/>
      </c>
      <c r="I1173" s="1" t="str">
        <f t="shared" si="18"/>
        <v/>
      </c>
    </row>
    <row r="1174" spans="5:9" x14ac:dyDescent="0.3">
      <c r="E1174" t="str">
        <f>IFERROR(IF(D1174="","",VLOOKUP(D1174,CadProd!$A:$B,2,0)),"")</f>
        <v/>
      </c>
      <c r="F1174" t="str">
        <f>IFERROR(IF(D1174="","",VLOOKUP(D1174,CadProd!$A:$C,3,0)),"")</f>
        <v/>
      </c>
      <c r="I1174" s="1" t="str">
        <f t="shared" si="18"/>
        <v/>
      </c>
    </row>
    <row r="1175" spans="5:9" x14ac:dyDescent="0.3">
      <c r="E1175" t="str">
        <f>IFERROR(IF(D1175="","",VLOOKUP(D1175,CadProd!$A:$B,2,0)),"")</f>
        <v/>
      </c>
      <c r="F1175" t="str">
        <f>IFERROR(IF(D1175="","",VLOOKUP(D1175,CadProd!$A:$C,3,0)),"")</f>
        <v/>
      </c>
      <c r="I1175" s="1" t="str">
        <f t="shared" si="18"/>
        <v/>
      </c>
    </row>
    <row r="1176" spans="5:9" x14ac:dyDescent="0.3">
      <c r="E1176" t="str">
        <f>IFERROR(IF(D1176="","",VLOOKUP(D1176,CadProd!$A:$B,2,0)),"")</f>
        <v/>
      </c>
      <c r="F1176" t="str">
        <f>IFERROR(IF(D1176="","",VLOOKUP(D1176,CadProd!$A:$C,3,0)),"")</f>
        <v/>
      </c>
      <c r="I1176" s="1" t="str">
        <f t="shared" si="18"/>
        <v/>
      </c>
    </row>
    <row r="1177" spans="5:9" x14ac:dyDescent="0.3">
      <c r="E1177" t="str">
        <f>IFERROR(IF(D1177="","",VLOOKUP(D1177,CadProd!$A:$B,2,0)),"")</f>
        <v/>
      </c>
      <c r="F1177" t="str">
        <f>IFERROR(IF(D1177="","",VLOOKUP(D1177,CadProd!$A:$C,3,0)),"")</f>
        <v/>
      </c>
      <c r="I1177" s="1" t="str">
        <f t="shared" si="18"/>
        <v/>
      </c>
    </row>
    <row r="1178" spans="5:9" x14ac:dyDescent="0.3">
      <c r="E1178" t="str">
        <f>IFERROR(IF(D1178="","",VLOOKUP(D1178,CadProd!$A:$B,2,0)),"")</f>
        <v/>
      </c>
      <c r="F1178" t="str">
        <f>IFERROR(IF(D1178="","",VLOOKUP(D1178,CadProd!$A:$C,3,0)),"")</f>
        <v/>
      </c>
      <c r="I1178" s="1" t="str">
        <f t="shared" si="18"/>
        <v/>
      </c>
    </row>
    <row r="1179" spans="5:9" x14ac:dyDescent="0.3">
      <c r="E1179" t="str">
        <f>IFERROR(IF(D1179="","",VLOOKUP(D1179,CadProd!$A:$B,2,0)),"")</f>
        <v/>
      </c>
      <c r="F1179" t="str">
        <f>IFERROR(IF(D1179="","",VLOOKUP(D1179,CadProd!$A:$C,3,0)),"")</f>
        <v/>
      </c>
      <c r="I1179" s="1" t="str">
        <f t="shared" si="18"/>
        <v/>
      </c>
    </row>
    <row r="1180" spans="5:9" x14ac:dyDescent="0.3">
      <c r="E1180" t="str">
        <f>IFERROR(IF(D1180="","",VLOOKUP(D1180,CadProd!$A:$B,2,0)),"")</f>
        <v/>
      </c>
      <c r="F1180" t="str">
        <f>IFERROR(IF(D1180="","",VLOOKUP(D1180,CadProd!$A:$C,3,0)),"")</f>
        <v/>
      </c>
      <c r="I1180" s="1" t="str">
        <f t="shared" si="18"/>
        <v/>
      </c>
    </row>
    <row r="1181" spans="5:9" x14ac:dyDescent="0.3">
      <c r="E1181" t="str">
        <f>IFERROR(IF(D1181="","",VLOOKUP(D1181,CadProd!$A:$B,2,0)),"")</f>
        <v/>
      </c>
      <c r="F1181" t="str">
        <f>IFERROR(IF(D1181="","",VLOOKUP(D1181,CadProd!$A:$C,3,0)),"")</f>
        <v/>
      </c>
      <c r="I1181" s="1" t="str">
        <f t="shared" si="18"/>
        <v/>
      </c>
    </row>
    <row r="1182" spans="5:9" x14ac:dyDescent="0.3">
      <c r="E1182" t="str">
        <f>IFERROR(IF(D1182="","",VLOOKUP(D1182,CadProd!$A:$B,2,0)),"")</f>
        <v/>
      </c>
      <c r="F1182" t="str">
        <f>IFERROR(IF(D1182="","",VLOOKUP(D1182,CadProd!$A:$C,3,0)),"")</f>
        <v/>
      </c>
      <c r="I1182" s="1" t="str">
        <f t="shared" si="18"/>
        <v/>
      </c>
    </row>
    <row r="1183" spans="5:9" x14ac:dyDescent="0.3">
      <c r="E1183" t="str">
        <f>IFERROR(IF(D1183="","",VLOOKUP(D1183,CadProd!$A:$B,2,0)),"")</f>
        <v/>
      </c>
      <c r="F1183" t="str">
        <f>IFERROR(IF(D1183="","",VLOOKUP(D1183,CadProd!$A:$C,3,0)),"")</f>
        <v/>
      </c>
      <c r="I1183" s="1" t="str">
        <f t="shared" si="18"/>
        <v/>
      </c>
    </row>
    <row r="1184" spans="5:9" x14ac:dyDescent="0.3">
      <c r="E1184" t="str">
        <f>IFERROR(IF(D1184="","",VLOOKUP(D1184,CadProd!$A:$B,2,0)),"")</f>
        <v/>
      </c>
      <c r="F1184" t="str">
        <f>IFERROR(IF(D1184="","",VLOOKUP(D1184,CadProd!$A:$C,3,0)),"")</f>
        <v/>
      </c>
      <c r="I1184" s="1" t="str">
        <f t="shared" si="18"/>
        <v/>
      </c>
    </row>
    <row r="1185" spans="5:9" x14ac:dyDescent="0.3">
      <c r="E1185" t="str">
        <f>IFERROR(IF(D1185="","",VLOOKUP(D1185,CadProd!$A:$B,2,0)),"")</f>
        <v/>
      </c>
      <c r="F1185" t="str">
        <f>IFERROR(IF(D1185="","",VLOOKUP(D1185,CadProd!$A:$C,3,0)),"")</f>
        <v/>
      </c>
      <c r="I1185" s="1" t="str">
        <f t="shared" si="18"/>
        <v/>
      </c>
    </row>
    <row r="1186" spans="5:9" x14ac:dyDescent="0.3">
      <c r="E1186" t="str">
        <f>IFERROR(IF(D1186="","",VLOOKUP(D1186,CadProd!$A:$B,2,0)),"")</f>
        <v/>
      </c>
      <c r="F1186" t="str">
        <f>IFERROR(IF(D1186="","",VLOOKUP(D1186,CadProd!$A:$C,3,0)),"")</f>
        <v/>
      </c>
      <c r="I1186" s="1" t="str">
        <f t="shared" si="18"/>
        <v/>
      </c>
    </row>
    <row r="1187" spans="5:9" x14ac:dyDescent="0.3">
      <c r="E1187" t="str">
        <f>IFERROR(IF(D1187="","",VLOOKUP(D1187,CadProd!$A:$B,2,0)),"")</f>
        <v/>
      </c>
      <c r="F1187" t="str">
        <f>IFERROR(IF(D1187="","",VLOOKUP(D1187,CadProd!$A:$C,3,0)),"")</f>
        <v/>
      </c>
      <c r="I1187" s="1" t="str">
        <f t="shared" si="18"/>
        <v/>
      </c>
    </row>
    <row r="1188" spans="5:9" x14ac:dyDescent="0.3">
      <c r="E1188" t="str">
        <f>IFERROR(IF(D1188="","",VLOOKUP(D1188,CadProd!$A:$B,2,0)),"")</f>
        <v/>
      </c>
      <c r="F1188" t="str">
        <f>IFERROR(IF(D1188="","",VLOOKUP(D1188,CadProd!$A:$C,3,0)),"")</f>
        <v/>
      </c>
      <c r="I1188" s="1" t="str">
        <f t="shared" si="18"/>
        <v/>
      </c>
    </row>
    <row r="1189" spans="5:9" x14ac:dyDescent="0.3">
      <c r="E1189" t="str">
        <f>IFERROR(IF(D1189="","",VLOOKUP(D1189,CadProd!$A:$B,2,0)),"")</f>
        <v/>
      </c>
      <c r="F1189" t="str">
        <f>IFERROR(IF(D1189="","",VLOOKUP(D1189,CadProd!$A:$C,3,0)),"")</f>
        <v/>
      </c>
      <c r="I1189" s="1" t="str">
        <f t="shared" si="18"/>
        <v/>
      </c>
    </row>
    <row r="1190" spans="5:9" x14ac:dyDescent="0.3">
      <c r="E1190" t="str">
        <f>IFERROR(IF(D1190="","",VLOOKUP(D1190,CadProd!$A:$B,2,0)),"")</f>
        <v/>
      </c>
      <c r="F1190" t="str">
        <f>IFERROR(IF(D1190="","",VLOOKUP(D1190,CadProd!$A:$C,3,0)),"")</f>
        <v/>
      </c>
      <c r="I1190" s="1" t="str">
        <f t="shared" si="18"/>
        <v/>
      </c>
    </row>
    <row r="1191" spans="5:9" x14ac:dyDescent="0.3">
      <c r="E1191" t="str">
        <f>IFERROR(IF(D1191="","",VLOOKUP(D1191,CadProd!$A:$B,2,0)),"")</f>
        <v/>
      </c>
      <c r="F1191" t="str">
        <f>IFERROR(IF(D1191="","",VLOOKUP(D1191,CadProd!$A:$C,3,0)),"")</f>
        <v/>
      </c>
      <c r="I1191" s="1" t="str">
        <f t="shared" si="18"/>
        <v/>
      </c>
    </row>
    <row r="1192" spans="5:9" x14ac:dyDescent="0.3">
      <c r="E1192" t="str">
        <f>IFERROR(IF(D1192="","",VLOOKUP(D1192,CadProd!$A:$B,2,0)),"")</f>
        <v/>
      </c>
      <c r="F1192" t="str">
        <f>IFERROR(IF(D1192="","",VLOOKUP(D1192,CadProd!$A:$C,3,0)),"")</f>
        <v/>
      </c>
      <c r="I1192" s="1" t="str">
        <f t="shared" si="18"/>
        <v/>
      </c>
    </row>
    <row r="1193" spans="5:9" x14ac:dyDescent="0.3">
      <c r="E1193" t="str">
        <f>IFERROR(IF(D1193="","",VLOOKUP(D1193,CadProd!$A:$B,2,0)),"")</f>
        <v/>
      </c>
      <c r="F1193" t="str">
        <f>IFERROR(IF(D1193="","",VLOOKUP(D1193,CadProd!$A:$C,3,0)),"")</f>
        <v/>
      </c>
      <c r="I1193" s="1" t="str">
        <f t="shared" si="18"/>
        <v/>
      </c>
    </row>
    <row r="1194" spans="5:9" x14ac:dyDescent="0.3">
      <c r="E1194" t="str">
        <f>IFERROR(IF(D1194="","",VLOOKUP(D1194,CadProd!$A:$B,2,0)),"")</f>
        <v/>
      </c>
      <c r="F1194" t="str">
        <f>IFERROR(IF(D1194="","",VLOOKUP(D1194,CadProd!$A:$C,3,0)),"")</f>
        <v/>
      </c>
      <c r="I1194" s="1" t="str">
        <f t="shared" si="18"/>
        <v/>
      </c>
    </row>
    <row r="1195" spans="5:9" x14ac:dyDescent="0.3">
      <c r="E1195" t="str">
        <f>IFERROR(IF(D1195="","",VLOOKUP(D1195,CadProd!$A:$B,2,0)),"")</f>
        <v/>
      </c>
      <c r="F1195" t="str">
        <f>IFERROR(IF(D1195="","",VLOOKUP(D1195,CadProd!$A:$C,3,0)),"")</f>
        <v/>
      </c>
      <c r="I1195" s="1" t="str">
        <f t="shared" si="18"/>
        <v/>
      </c>
    </row>
    <row r="1196" spans="5:9" x14ac:dyDescent="0.3">
      <c r="E1196" t="str">
        <f>IFERROR(IF(D1196="","",VLOOKUP(D1196,CadProd!$A:$B,2,0)),"")</f>
        <v/>
      </c>
      <c r="F1196" t="str">
        <f>IFERROR(IF(D1196="","",VLOOKUP(D1196,CadProd!$A:$C,3,0)),"")</f>
        <v/>
      </c>
      <c r="I1196" s="1" t="str">
        <f t="shared" si="18"/>
        <v/>
      </c>
    </row>
    <row r="1197" spans="5:9" x14ac:dyDescent="0.3">
      <c r="E1197" t="str">
        <f>IFERROR(IF(D1197="","",VLOOKUP(D1197,CadProd!$A:$B,2,0)),"")</f>
        <v/>
      </c>
      <c r="F1197" t="str">
        <f>IFERROR(IF(D1197="","",VLOOKUP(D1197,CadProd!$A:$C,3,0)),"")</f>
        <v/>
      </c>
      <c r="I1197" s="1" t="str">
        <f t="shared" si="18"/>
        <v/>
      </c>
    </row>
    <row r="1198" spans="5:9" x14ac:dyDescent="0.3">
      <c r="E1198" t="str">
        <f>IFERROR(IF(D1198="","",VLOOKUP(D1198,CadProd!$A:$B,2,0)),"")</f>
        <v/>
      </c>
      <c r="F1198" t="str">
        <f>IFERROR(IF(D1198="","",VLOOKUP(D1198,CadProd!$A:$C,3,0)),"")</f>
        <v/>
      </c>
      <c r="I1198" s="1" t="str">
        <f t="shared" si="18"/>
        <v/>
      </c>
    </row>
    <row r="1199" spans="5:9" x14ac:dyDescent="0.3">
      <c r="E1199" t="str">
        <f>IFERROR(IF(D1199="","",VLOOKUP(D1199,CadProd!$A:$B,2,0)),"")</f>
        <v/>
      </c>
      <c r="F1199" t="str">
        <f>IFERROR(IF(D1199="","",VLOOKUP(D1199,CadProd!$A:$C,3,0)),"")</f>
        <v/>
      </c>
      <c r="I1199" s="1" t="str">
        <f t="shared" si="18"/>
        <v/>
      </c>
    </row>
    <row r="1200" spans="5:9" x14ac:dyDescent="0.3">
      <c r="E1200" t="str">
        <f>IFERROR(IF(D1200="","",VLOOKUP(D1200,CadProd!$A:$B,2,0)),"")</f>
        <v/>
      </c>
      <c r="F1200" t="str">
        <f>IFERROR(IF(D1200="","",VLOOKUP(D1200,CadProd!$A:$C,3,0)),"")</f>
        <v/>
      </c>
      <c r="I1200" s="1" t="str">
        <f t="shared" si="18"/>
        <v/>
      </c>
    </row>
    <row r="1201" spans="5:9" x14ac:dyDescent="0.3">
      <c r="E1201" t="str">
        <f>IFERROR(IF(D1201="","",VLOOKUP(D1201,CadProd!$A:$B,2,0)),"")</f>
        <v/>
      </c>
      <c r="F1201" t="str">
        <f>IFERROR(IF(D1201="","",VLOOKUP(D1201,CadProd!$A:$C,3,0)),"")</f>
        <v/>
      </c>
      <c r="I1201" s="1" t="str">
        <f t="shared" si="18"/>
        <v/>
      </c>
    </row>
    <row r="1202" spans="5:9" x14ac:dyDescent="0.3">
      <c r="E1202" t="str">
        <f>IFERROR(IF(D1202="","",VLOOKUP(D1202,CadProd!$A:$B,2,0)),"")</f>
        <v/>
      </c>
      <c r="F1202" t="str">
        <f>IFERROR(IF(D1202="","",VLOOKUP(D1202,CadProd!$A:$C,3,0)),"")</f>
        <v/>
      </c>
      <c r="I1202" s="1" t="str">
        <f t="shared" si="18"/>
        <v/>
      </c>
    </row>
    <row r="1203" spans="5:9" x14ac:dyDescent="0.3">
      <c r="E1203" t="str">
        <f>IFERROR(IF(D1203="","",VLOOKUP(D1203,CadProd!$A:$B,2,0)),"")</f>
        <v/>
      </c>
      <c r="F1203" t="str">
        <f>IFERROR(IF(D1203="","",VLOOKUP(D1203,CadProd!$A:$C,3,0)),"")</f>
        <v/>
      </c>
      <c r="I1203" s="1" t="str">
        <f t="shared" si="18"/>
        <v/>
      </c>
    </row>
    <row r="1204" spans="5:9" x14ac:dyDescent="0.3">
      <c r="E1204" t="str">
        <f>IFERROR(IF(D1204="","",VLOOKUP(D1204,CadProd!$A:$B,2,0)),"")</f>
        <v/>
      </c>
      <c r="F1204" t="str">
        <f>IFERROR(IF(D1204="","",VLOOKUP(D1204,CadProd!$A:$C,3,0)),"")</f>
        <v/>
      </c>
      <c r="I1204" s="1" t="str">
        <f t="shared" si="18"/>
        <v/>
      </c>
    </row>
    <row r="1205" spans="5:9" x14ac:dyDescent="0.3">
      <c r="E1205" t="str">
        <f>IFERROR(IF(D1205="","",VLOOKUP(D1205,CadProd!$A:$B,2,0)),"")</f>
        <v/>
      </c>
      <c r="F1205" t="str">
        <f>IFERROR(IF(D1205="","",VLOOKUP(D1205,CadProd!$A:$C,3,0)),"")</f>
        <v/>
      </c>
      <c r="I1205" s="1" t="str">
        <f t="shared" si="18"/>
        <v/>
      </c>
    </row>
    <row r="1206" spans="5:9" x14ac:dyDescent="0.3">
      <c r="E1206" t="str">
        <f>IFERROR(IF(D1206="","",VLOOKUP(D1206,CadProd!$A:$B,2,0)),"")</f>
        <v/>
      </c>
      <c r="F1206" t="str">
        <f>IFERROR(IF(D1206="","",VLOOKUP(D1206,CadProd!$A:$C,3,0)),"")</f>
        <v/>
      </c>
      <c r="I1206" s="1" t="str">
        <f t="shared" si="18"/>
        <v/>
      </c>
    </row>
    <row r="1207" spans="5:9" x14ac:dyDescent="0.3">
      <c r="E1207" t="str">
        <f>IFERROR(IF(D1207="","",VLOOKUP(D1207,CadProd!$A:$B,2,0)),"")</f>
        <v/>
      </c>
      <c r="F1207" t="str">
        <f>IFERROR(IF(D1207="","",VLOOKUP(D1207,CadProd!$A:$C,3,0)),"")</f>
        <v/>
      </c>
      <c r="I1207" s="1" t="str">
        <f t="shared" si="18"/>
        <v/>
      </c>
    </row>
    <row r="1208" spans="5:9" x14ac:dyDescent="0.3">
      <c r="E1208" t="str">
        <f>IFERROR(IF(D1208="","",VLOOKUP(D1208,CadProd!$A:$B,2,0)),"")</f>
        <v/>
      </c>
      <c r="F1208" t="str">
        <f>IFERROR(IF(D1208="","",VLOOKUP(D1208,CadProd!$A:$C,3,0)),"")</f>
        <v/>
      </c>
      <c r="I1208" s="1" t="str">
        <f t="shared" si="18"/>
        <v/>
      </c>
    </row>
    <row r="1209" spans="5:9" x14ac:dyDescent="0.3">
      <c r="E1209" t="str">
        <f>IFERROR(IF(D1209="","",VLOOKUP(D1209,CadProd!$A:$B,2,0)),"")</f>
        <v/>
      </c>
      <c r="F1209" t="str">
        <f>IFERROR(IF(D1209="","",VLOOKUP(D1209,CadProd!$A:$C,3,0)),"")</f>
        <v/>
      </c>
      <c r="I1209" s="1" t="str">
        <f t="shared" si="18"/>
        <v/>
      </c>
    </row>
    <row r="1210" spans="5:9" x14ac:dyDescent="0.3">
      <c r="E1210" t="str">
        <f>IFERROR(IF(D1210="","",VLOOKUP(D1210,CadProd!$A:$B,2,0)),"")</f>
        <v/>
      </c>
      <c r="F1210" t="str">
        <f>IFERROR(IF(D1210="","",VLOOKUP(D1210,CadProd!$A:$C,3,0)),"")</f>
        <v/>
      </c>
      <c r="I1210" s="1" t="str">
        <f t="shared" si="18"/>
        <v/>
      </c>
    </row>
    <row r="1211" spans="5:9" x14ac:dyDescent="0.3">
      <c r="E1211" t="str">
        <f>IFERROR(IF(D1211="","",VLOOKUP(D1211,CadProd!$A:$B,2,0)),"")</f>
        <v/>
      </c>
      <c r="F1211" t="str">
        <f>IFERROR(IF(D1211="","",VLOOKUP(D1211,CadProd!$A:$C,3,0)),"")</f>
        <v/>
      </c>
      <c r="I1211" s="1" t="str">
        <f t="shared" si="18"/>
        <v/>
      </c>
    </row>
    <row r="1212" spans="5:9" x14ac:dyDescent="0.3">
      <c r="E1212" t="str">
        <f>IFERROR(IF(D1212="","",VLOOKUP(D1212,CadProd!$A:$B,2,0)),"")</f>
        <v/>
      </c>
      <c r="F1212" t="str">
        <f>IFERROR(IF(D1212="","",VLOOKUP(D1212,CadProd!$A:$C,3,0)),"")</f>
        <v/>
      </c>
      <c r="I1212" s="1" t="str">
        <f t="shared" si="18"/>
        <v/>
      </c>
    </row>
    <row r="1213" spans="5:9" x14ac:dyDescent="0.3">
      <c r="E1213" t="str">
        <f>IFERROR(IF(D1213="","",VLOOKUP(D1213,CadProd!$A:$B,2,0)),"")</f>
        <v/>
      </c>
      <c r="F1213" t="str">
        <f>IFERROR(IF(D1213="","",VLOOKUP(D1213,CadProd!$A:$C,3,0)),"")</f>
        <v/>
      </c>
      <c r="I1213" s="1" t="str">
        <f t="shared" si="18"/>
        <v/>
      </c>
    </row>
    <row r="1214" spans="5:9" x14ac:dyDescent="0.3">
      <c r="E1214" t="str">
        <f>IFERROR(IF(D1214="","",VLOOKUP(D1214,CadProd!$A:$B,2,0)),"")</f>
        <v/>
      </c>
      <c r="F1214" t="str">
        <f>IFERROR(IF(D1214="","",VLOOKUP(D1214,CadProd!$A:$C,3,0)),"")</f>
        <v/>
      </c>
      <c r="I1214" s="1" t="str">
        <f t="shared" si="18"/>
        <v/>
      </c>
    </row>
    <row r="1215" spans="5:9" x14ac:dyDescent="0.3">
      <c r="E1215" t="str">
        <f>IFERROR(IF(D1215="","",VLOOKUP(D1215,CadProd!$A:$B,2,0)),"")</f>
        <v/>
      </c>
      <c r="F1215" t="str">
        <f>IFERROR(IF(D1215="","",VLOOKUP(D1215,CadProd!$A:$C,3,0)),"")</f>
        <v/>
      </c>
      <c r="I1215" s="1" t="str">
        <f t="shared" si="18"/>
        <v/>
      </c>
    </row>
    <row r="1216" spans="5:9" x14ac:dyDescent="0.3">
      <c r="E1216" t="str">
        <f>IFERROR(IF(D1216="","",VLOOKUP(D1216,CadProd!$A:$B,2,0)),"")</f>
        <v/>
      </c>
      <c r="F1216" t="str">
        <f>IFERROR(IF(D1216="","",VLOOKUP(D1216,CadProd!$A:$C,3,0)),"")</f>
        <v/>
      </c>
      <c r="I1216" s="1" t="str">
        <f t="shared" si="18"/>
        <v/>
      </c>
    </row>
    <row r="1217" spans="5:9" x14ac:dyDescent="0.3">
      <c r="E1217" t="str">
        <f>IFERROR(IF(D1217="","",VLOOKUP(D1217,CadProd!$A:$B,2,0)),"")</f>
        <v/>
      </c>
      <c r="F1217" t="str">
        <f>IFERROR(IF(D1217="","",VLOOKUP(D1217,CadProd!$A:$C,3,0)),"")</f>
        <v/>
      </c>
      <c r="I1217" s="1" t="str">
        <f t="shared" si="18"/>
        <v/>
      </c>
    </row>
    <row r="1218" spans="5:9" x14ac:dyDescent="0.3">
      <c r="E1218" t="str">
        <f>IFERROR(IF(D1218="","",VLOOKUP(D1218,CadProd!$A:$B,2,0)),"")</f>
        <v/>
      </c>
      <c r="F1218" t="str">
        <f>IFERROR(IF(D1218="","",VLOOKUP(D1218,CadProd!$A:$C,3,0)),"")</f>
        <v/>
      </c>
      <c r="I1218" s="1" t="str">
        <f t="shared" si="18"/>
        <v/>
      </c>
    </row>
    <row r="1219" spans="5:9" x14ac:dyDescent="0.3">
      <c r="E1219" t="str">
        <f>IFERROR(IF(D1219="","",VLOOKUP(D1219,CadProd!$A:$B,2,0)),"")</f>
        <v/>
      </c>
      <c r="F1219" t="str">
        <f>IFERROR(IF(D1219="","",VLOOKUP(D1219,CadProd!$A:$C,3,0)),"")</f>
        <v/>
      </c>
      <c r="I1219" s="1" t="str">
        <f t="shared" si="18"/>
        <v/>
      </c>
    </row>
    <row r="1220" spans="5:9" x14ac:dyDescent="0.3">
      <c r="E1220" t="str">
        <f>IFERROR(IF(D1220="","",VLOOKUP(D1220,CadProd!$A:$B,2,0)),"")</f>
        <v/>
      </c>
      <c r="F1220" t="str">
        <f>IFERROR(IF(D1220="","",VLOOKUP(D1220,CadProd!$A:$C,3,0)),"")</f>
        <v/>
      </c>
      <c r="I1220" s="1" t="str">
        <f t="shared" si="18"/>
        <v/>
      </c>
    </row>
    <row r="1221" spans="5:9" x14ac:dyDescent="0.3">
      <c r="E1221" t="str">
        <f>IFERROR(IF(D1221="","",VLOOKUP(D1221,CadProd!$A:$B,2,0)),"")</f>
        <v/>
      </c>
      <c r="F1221" t="str">
        <f>IFERROR(IF(D1221="","",VLOOKUP(D1221,CadProd!$A:$C,3,0)),"")</f>
        <v/>
      </c>
      <c r="I1221" s="1" t="str">
        <f t="shared" si="18"/>
        <v/>
      </c>
    </row>
    <row r="1222" spans="5:9" x14ac:dyDescent="0.3">
      <c r="E1222" t="str">
        <f>IFERROR(IF(D1222="","",VLOOKUP(D1222,CadProd!$A:$B,2,0)),"")</f>
        <v/>
      </c>
      <c r="F1222" t="str">
        <f>IFERROR(IF(D1222="","",VLOOKUP(D1222,CadProd!$A:$C,3,0)),"")</f>
        <v/>
      </c>
      <c r="I1222" s="1" t="str">
        <f t="shared" si="18"/>
        <v/>
      </c>
    </row>
    <row r="1223" spans="5:9" x14ac:dyDescent="0.3">
      <c r="E1223" t="str">
        <f>IFERROR(IF(D1223="","",VLOOKUP(D1223,CadProd!$A:$B,2,0)),"")</f>
        <v/>
      </c>
      <c r="F1223" t="str">
        <f>IFERROR(IF(D1223="","",VLOOKUP(D1223,CadProd!$A:$C,3,0)),"")</f>
        <v/>
      </c>
      <c r="I1223" s="1" t="str">
        <f t="shared" si="18"/>
        <v/>
      </c>
    </row>
    <row r="1224" spans="5:9" x14ac:dyDescent="0.3">
      <c r="E1224" t="str">
        <f>IFERROR(IF(D1224="","",VLOOKUP(D1224,CadProd!$A:$B,2,0)),"")</f>
        <v/>
      </c>
      <c r="F1224" t="str">
        <f>IFERROR(IF(D1224="","",VLOOKUP(D1224,CadProd!$A:$C,3,0)),"")</f>
        <v/>
      </c>
      <c r="I1224" s="1" t="str">
        <f t="shared" si="18"/>
        <v/>
      </c>
    </row>
    <row r="1225" spans="5:9" x14ac:dyDescent="0.3">
      <c r="E1225" t="str">
        <f>IFERROR(IF(D1225="","",VLOOKUP(D1225,CadProd!$A:$B,2,0)),"")</f>
        <v/>
      </c>
      <c r="F1225" t="str">
        <f>IFERROR(IF(D1225="","",VLOOKUP(D1225,CadProd!$A:$C,3,0)),"")</f>
        <v/>
      </c>
      <c r="I1225" s="1" t="str">
        <f t="shared" si="18"/>
        <v/>
      </c>
    </row>
    <row r="1226" spans="5:9" x14ac:dyDescent="0.3">
      <c r="E1226" t="str">
        <f>IFERROR(IF(D1226="","",VLOOKUP(D1226,CadProd!$A:$B,2,0)),"")</f>
        <v/>
      </c>
      <c r="F1226" t="str">
        <f>IFERROR(IF(D1226="","",VLOOKUP(D1226,CadProd!$A:$C,3,0)),"")</f>
        <v/>
      </c>
      <c r="I1226" s="1" t="str">
        <f t="shared" si="18"/>
        <v/>
      </c>
    </row>
    <row r="1227" spans="5:9" x14ac:dyDescent="0.3">
      <c r="E1227" t="str">
        <f>IFERROR(IF(D1227="","",VLOOKUP(D1227,CadProd!$A:$B,2,0)),"")</f>
        <v/>
      </c>
      <c r="F1227" t="str">
        <f>IFERROR(IF(D1227="","",VLOOKUP(D1227,CadProd!$A:$C,3,0)),"")</f>
        <v/>
      </c>
      <c r="I1227" s="1" t="str">
        <f t="shared" ref="I1227:I1290" si="19">IFERROR(IF(D1227="","",H1227*G1227),"")</f>
        <v/>
      </c>
    </row>
    <row r="1228" spans="5:9" x14ac:dyDescent="0.3">
      <c r="E1228" t="str">
        <f>IFERROR(IF(D1228="","",VLOOKUP(D1228,CadProd!$A:$B,2,0)),"")</f>
        <v/>
      </c>
      <c r="F1228" t="str">
        <f>IFERROR(IF(D1228="","",VLOOKUP(D1228,CadProd!$A:$C,3,0)),"")</f>
        <v/>
      </c>
      <c r="I1228" s="1" t="str">
        <f t="shared" si="19"/>
        <v/>
      </c>
    </row>
    <row r="1229" spans="5:9" x14ac:dyDescent="0.3">
      <c r="E1229" t="str">
        <f>IFERROR(IF(D1229="","",VLOOKUP(D1229,CadProd!$A:$B,2,0)),"")</f>
        <v/>
      </c>
      <c r="F1229" t="str">
        <f>IFERROR(IF(D1229="","",VLOOKUP(D1229,CadProd!$A:$C,3,0)),"")</f>
        <v/>
      </c>
      <c r="I1229" s="1" t="str">
        <f t="shared" si="19"/>
        <v/>
      </c>
    </row>
    <row r="1230" spans="5:9" x14ac:dyDescent="0.3">
      <c r="E1230" t="str">
        <f>IFERROR(IF(D1230="","",VLOOKUP(D1230,CadProd!$A:$B,2,0)),"")</f>
        <v/>
      </c>
      <c r="F1230" t="str">
        <f>IFERROR(IF(D1230="","",VLOOKUP(D1230,CadProd!$A:$C,3,0)),"")</f>
        <v/>
      </c>
      <c r="I1230" s="1" t="str">
        <f t="shared" si="19"/>
        <v/>
      </c>
    </row>
    <row r="1231" spans="5:9" x14ac:dyDescent="0.3">
      <c r="E1231" t="str">
        <f>IFERROR(IF(D1231="","",VLOOKUP(D1231,CadProd!$A:$B,2,0)),"")</f>
        <v/>
      </c>
      <c r="F1231" t="str">
        <f>IFERROR(IF(D1231="","",VLOOKUP(D1231,CadProd!$A:$C,3,0)),"")</f>
        <v/>
      </c>
      <c r="I1231" s="1" t="str">
        <f t="shared" si="19"/>
        <v/>
      </c>
    </row>
    <row r="1232" spans="5:9" x14ac:dyDescent="0.3">
      <c r="E1232" t="str">
        <f>IFERROR(IF(D1232="","",VLOOKUP(D1232,CadProd!$A:$B,2,0)),"")</f>
        <v/>
      </c>
      <c r="F1232" t="str">
        <f>IFERROR(IF(D1232="","",VLOOKUP(D1232,CadProd!$A:$C,3,0)),"")</f>
        <v/>
      </c>
      <c r="I1232" s="1" t="str">
        <f t="shared" si="19"/>
        <v/>
      </c>
    </row>
    <row r="1233" spans="5:9" x14ac:dyDescent="0.3">
      <c r="E1233" t="str">
        <f>IFERROR(IF(D1233="","",VLOOKUP(D1233,CadProd!$A:$B,2,0)),"")</f>
        <v/>
      </c>
      <c r="F1233" t="str">
        <f>IFERROR(IF(D1233="","",VLOOKUP(D1233,CadProd!$A:$C,3,0)),"")</f>
        <v/>
      </c>
      <c r="I1233" s="1" t="str">
        <f t="shared" si="19"/>
        <v/>
      </c>
    </row>
    <row r="1234" spans="5:9" x14ac:dyDescent="0.3">
      <c r="E1234" t="str">
        <f>IFERROR(IF(D1234="","",VLOOKUP(D1234,CadProd!$A:$B,2,0)),"")</f>
        <v/>
      </c>
      <c r="F1234" t="str">
        <f>IFERROR(IF(D1234="","",VLOOKUP(D1234,CadProd!$A:$C,3,0)),"")</f>
        <v/>
      </c>
      <c r="I1234" s="1" t="str">
        <f t="shared" si="19"/>
        <v/>
      </c>
    </row>
    <row r="1235" spans="5:9" x14ac:dyDescent="0.3">
      <c r="E1235" t="str">
        <f>IFERROR(IF(D1235="","",VLOOKUP(D1235,CadProd!$A:$B,2,0)),"")</f>
        <v/>
      </c>
      <c r="F1235" t="str">
        <f>IFERROR(IF(D1235="","",VLOOKUP(D1235,CadProd!$A:$C,3,0)),"")</f>
        <v/>
      </c>
      <c r="I1235" s="1" t="str">
        <f t="shared" si="19"/>
        <v/>
      </c>
    </row>
    <row r="1236" spans="5:9" x14ac:dyDescent="0.3">
      <c r="E1236" t="str">
        <f>IFERROR(IF(D1236="","",VLOOKUP(D1236,CadProd!$A:$B,2,0)),"")</f>
        <v/>
      </c>
      <c r="F1236" t="str">
        <f>IFERROR(IF(D1236="","",VLOOKUP(D1236,CadProd!$A:$C,3,0)),"")</f>
        <v/>
      </c>
      <c r="I1236" s="1" t="str">
        <f t="shared" si="19"/>
        <v/>
      </c>
    </row>
    <row r="1237" spans="5:9" x14ac:dyDescent="0.3">
      <c r="E1237" t="str">
        <f>IFERROR(IF(D1237="","",VLOOKUP(D1237,CadProd!$A:$B,2,0)),"")</f>
        <v/>
      </c>
      <c r="F1237" t="str">
        <f>IFERROR(IF(D1237="","",VLOOKUP(D1237,CadProd!$A:$C,3,0)),"")</f>
        <v/>
      </c>
      <c r="I1237" s="1" t="str">
        <f t="shared" si="19"/>
        <v/>
      </c>
    </row>
    <row r="1238" spans="5:9" x14ac:dyDescent="0.3">
      <c r="E1238" t="str">
        <f>IFERROR(IF(D1238="","",VLOOKUP(D1238,CadProd!$A:$B,2,0)),"")</f>
        <v/>
      </c>
      <c r="F1238" t="str">
        <f>IFERROR(IF(D1238="","",VLOOKUP(D1238,CadProd!$A:$C,3,0)),"")</f>
        <v/>
      </c>
      <c r="I1238" s="1" t="str">
        <f t="shared" si="19"/>
        <v/>
      </c>
    </row>
    <row r="1239" spans="5:9" x14ac:dyDescent="0.3">
      <c r="E1239" t="str">
        <f>IFERROR(IF(D1239="","",VLOOKUP(D1239,CadProd!$A:$B,2,0)),"")</f>
        <v/>
      </c>
      <c r="F1239" t="str">
        <f>IFERROR(IF(D1239="","",VLOOKUP(D1239,CadProd!$A:$C,3,0)),"")</f>
        <v/>
      </c>
      <c r="I1239" s="1" t="str">
        <f t="shared" si="19"/>
        <v/>
      </c>
    </row>
    <row r="1240" spans="5:9" x14ac:dyDescent="0.3">
      <c r="E1240" t="str">
        <f>IFERROR(IF(D1240="","",VLOOKUP(D1240,CadProd!$A:$B,2,0)),"")</f>
        <v/>
      </c>
      <c r="F1240" t="str">
        <f>IFERROR(IF(D1240="","",VLOOKUP(D1240,CadProd!$A:$C,3,0)),"")</f>
        <v/>
      </c>
      <c r="I1240" s="1" t="str">
        <f t="shared" si="19"/>
        <v/>
      </c>
    </row>
    <row r="1241" spans="5:9" x14ac:dyDescent="0.3">
      <c r="E1241" t="str">
        <f>IFERROR(IF(D1241="","",VLOOKUP(D1241,CadProd!$A:$B,2,0)),"")</f>
        <v/>
      </c>
      <c r="F1241" t="str">
        <f>IFERROR(IF(D1241="","",VLOOKUP(D1241,CadProd!$A:$C,3,0)),"")</f>
        <v/>
      </c>
      <c r="I1241" s="1" t="str">
        <f t="shared" si="19"/>
        <v/>
      </c>
    </row>
    <row r="1242" spans="5:9" x14ac:dyDescent="0.3">
      <c r="E1242" t="str">
        <f>IFERROR(IF(D1242="","",VLOOKUP(D1242,CadProd!$A:$B,2,0)),"")</f>
        <v/>
      </c>
      <c r="F1242" t="str">
        <f>IFERROR(IF(D1242="","",VLOOKUP(D1242,CadProd!$A:$C,3,0)),"")</f>
        <v/>
      </c>
      <c r="I1242" s="1" t="str">
        <f t="shared" si="19"/>
        <v/>
      </c>
    </row>
    <row r="1243" spans="5:9" x14ac:dyDescent="0.3">
      <c r="E1243" t="str">
        <f>IFERROR(IF(D1243="","",VLOOKUP(D1243,CadProd!$A:$B,2,0)),"")</f>
        <v/>
      </c>
      <c r="F1243" t="str">
        <f>IFERROR(IF(D1243="","",VLOOKUP(D1243,CadProd!$A:$C,3,0)),"")</f>
        <v/>
      </c>
      <c r="I1243" s="1" t="str">
        <f t="shared" si="19"/>
        <v/>
      </c>
    </row>
    <row r="1244" spans="5:9" x14ac:dyDescent="0.3">
      <c r="E1244" t="str">
        <f>IFERROR(IF(D1244="","",VLOOKUP(D1244,CadProd!$A:$B,2,0)),"")</f>
        <v/>
      </c>
      <c r="F1244" t="str">
        <f>IFERROR(IF(D1244="","",VLOOKUP(D1244,CadProd!$A:$C,3,0)),"")</f>
        <v/>
      </c>
      <c r="I1244" s="1" t="str">
        <f t="shared" si="19"/>
        <v/>
      </c>
    </row>
    <row r="1245" spans="5:9" x14ac:dyDescent="0.3">
      <c r="E1245" t="str">
        <f>IFERROR(IF(D1245="","",VLOOKUP(D1245,CadProd!$A:$B,2,0)),"")</f>
        <v/>
      </c>
      <c r="F1245" t="str">
        <f>IFERROR(IF(D1245="","",VLOOKUP(D1245,CadProd!$A:$C,3,0)),"")</f>
        <v/>
      </c>
      <c r="I1245" s="1" t="str">
        <f t="shared" si="19"/>
        <v/>
      </c>
    </row>
    <row r="1246" spans="5:9" x14ac:dyDescent="0.3">
      <c r="E1246" t="str">
        <f>IFERROR(IF(D1246="","",VLOOKUP(D1246,CadProd!$A:$B,2,0)),"")</f>
        <v/>
      </c>
      <c r="F1246" t="str">
        <f>IFERROR(IF(D1246="","",VLOOKUP(D1246,CadProd!$A:$C,3,0)),"")</f>
        <v/>
      </c>
      <c r="I1246" s="1" t="str">
        <f t="shared" si="19"/>
        <v/>
      </c>
    </row>
    <row r="1247" spans="5:9" x14ac:dyDescent="0.3">
      <c r="E1247" t="str">
        <f>IFERROR(IF(D1247="","",VLOOKUP(D1247,CadProd!$A:$B,2,0)),"")</f>
        <v/>
      </c>
      <c r="F1247" t="str">
        <f>IFERROR(IF(D1247="","",VLOOKUP(D1247,CadProd!$A:$C,3,0)),"")</f>
        <v/>
      </c>
      <c r="I1247" s="1" t="str">
        <f t="shared" si="19"/>
        <v/>
      </c>
    </row>
    <row r="1248" spans="5:9" x14ac:dyDescent="0.3">
      <c r="E1248" t="str">
        <f>IFERROR(IF(D1248="","",VLOOKUP(D1248,CadProd!$A:$B,2,0)),"")</f>
        <v/>
      </c>
      <c r="F1248" t="str">
        <f>IFERROR(IF(D1248="","",VLOOKUP(D1248,CadProd!$A:$C,3,0)),"")</f>
        <v/>
      </c>
      <c r="I1248" s="1" t="str">
        <f t="shared" si="19"/>
        <v/>
      </c>
    </row>
    <row r="1249" spans="5:9" x14ac:dyDescent="0.3">
      <c r="E1249" t="str">
        <f>IFERROR(IF(D1249="","",VLOOKUP(D1249,CadProd!$A:$B,2,0)),"")</f>
        <v/>
      </c>
      <c r="F1249" t="str">
        <f>IFERROR(IF(D1249="","",VLOOKUP(D1249,CadProd!$A:$C,3,0)),"")</f>
        <v/>
      </c>
      <c r="I1249" s="1" t="str">
        <f t="shared" si="19"/>
        <v/>
      </c>
    </row>
    <row r="1250" spans="5:9" x14ac:dyDescent="0.3">
      <c r="E1250" t="str">
        <f>IFERROR(IF(D1250="","",VLOOKUP(D1250,CadProd!$A:$B,2,0)),"")</f>
        <v/>
      </c>
      <c r="F1250" t="str">
        <f>IFERROR(IF(D1250="","",VLOOKUP(D1250,CadProd!$A:$C,3,0)),"")</f>
        <v/>
      </c>
      <c r="I1250" s="1" t="str">
        <f t="shared" si="19"/>
        <v/>
      </c>
    </row>
    <row r="1251" spans="5:9" x14ac:dyDescent="0.3">
      <c r="E1251" t="str">
        <f>IFERROR(IF(D1251="","",VLOOKUP(D1251,CadProd!$A:$B,2,0)),"")</f>
        <v/>
      </c>
      <c r="F1251" t="str">
        <f>IFERROR(IF(D1251="","",VLOOKUP(D1251,CadProd!$A:$C,3,0)),"")</f>
        <v/>
      </c>
      <c r="I1251" s="1" t="str">
        <f t="shared" si="19"/>
        <v/>
      </c>
    </row>
    <row r="1252" spans="5:9" x14ac:dyDescent="0.3">
      <c r="E1252" t="str">
        <f>IFERROR(IF(D1252="","",VLOOKUP(D1252,CadProd!$A:$B,2,0)),"")</f>
        <v/>
      </c>
      <c r="F1252" t="str">
        <f>IFERROR(IF(D1252="","",VLOOKUP(D1252,CadProd!$A:$C,3,0)),"")</f>
        <v/>
      </c>
      <c r="I1252" s="1" t="str">
        <f t="shared" si="19"/>
        <v/>
      </c>
    </row>
    <row r="1253" spans="5:9" x14ac:dyDescent="0.3">
      <c r="E1253" t="str">
        <f>IFERROR(IF(D1253="","",VLOOKUP(D1253,CadProd!$A:$B,2,0)),"")</f>
        <v/>
      </c>
      <c r="F1253" t="str">
        <f>IFERROR(IF(D1253="","",VLOOKUP(D1253,CadProd!$A:$C,3,0)),"")</f>
        <v/>
      </c>
      <c r="I1253" s="1" t="str">
        <f t="shared" si="19"/>
        <v/>
      </c>
    </row>
    <row r="1254" spans="5:9" x14ac:dyDescent="0.3">
      <c r="E1254" t="str">
        <f>IFERROR(IF(D1254="","",VLOOKUP(D1254,CadProd!$A:$B,2,0)),"")</f>
        <v/>
      </c>
      <c r="F1254" t="str">
        <f>IFERROR(IF(D1254="","",VLOOKUP(D1254,CadProd!$A:$C,3,0)),"")</f>
        <v/>
      </c>
      <c r="I1254" s="1" t="str">
        <f t="shared" si="19"/>
        <v/>
      </c>
    </row>
    <row r="1255" spans="5:9" x14ac:dyDescent="0.3">
      <c r="E1255" t="str">
        <f>IFERROR(IF(D1255="","",VLOOKUP(D1255,CadProd!$A:$B,2,0)),"")</f>
        <v/>
      </c>
      <c r="F1255" t="str">
        <f>IFERROR(IF(D1255="","",VLOOKUP(D1255,CadProd!$A:$C,3,0)),"")</f>
        <v/>
      </c>
      <c r="I1255" s="1" t="str">
        <f t="shared" si="19"/>
        <v/>
      </c>
    </row>
    <row r="1256" spans="5:9" x14ac:dyDescent="0.3">
      <c r="E1256" t="str">
        <f>IFERROR(IF(D1256="","",VLOOKUP(D1256,CadProd!$A:$B,2,0)),"")</f>
        <v/>
      </c>
      <c r="F1256" t="str">
        <f>IFERROR(IF(D1256="","",VLOOKUP(D1256,CadProd!$A:$C,3,0)),"")</f>
        <v/>
      </c>
      <c r="I1256" s="1" t="str">
        <f t="shared" si="19"/>
        <v/>
      </c>
    </row>
    <row r="1257" spans="5:9" x14ac:dyDescent="0.3">
      <c r="E1257" t="str">
        <f>IFERROR(IF(D1257="","",VLOOKUP(D1257,CadProd!$A:$B,2,0)),"")</f>
        <v/>
      </c>
      <c r="F1257" t="str">
        <f>IFERROR(IF(D1257="","",VLOOKUP(D1257,CadProd!$A:$C,3,0)),"")</f>
        <v/>
      </c>
      <c r="I1257" s="1" t="str">
        <f t="shared" si="19"/>
        <v/>
      </c>
    </row>
    <row r="1258" spans="5:9" x14ac:dyDescent="0.3">
      <c r="E1258" t="str">
        <f>IFERROR(IF(D1258="","",VLOOKUP(D1258,CadProd!$A:$B,2,0)),"")</f>
        <v/>
      </c>
      <c r="F1258" t="str">
        <f>IFERROR(IF(D1258="","",VLOOKUP(D1258,CadProd!$A:$C,3,0)),"")</f>
        <v/>
      </c>
      <c r="I1258" s="1" t="str">
        <f t="shared" si="19"/>
        <v/>
      </c>
    </row>
    <row r="1259" spans="5:9" x14ac:dyDescent="0.3">
      <c r="E1259" t="str">
        <f>IFERROR(IF(D1259="","",VLOOKUP(D1259,CadProd!$A:$B,2,0)),"")</f>
        <v/>
      </c>
      <c r="F1259" t="str">
        <f>IFERROR(IF(D1259="","",VLOOKUP(D1259,CadProd!$A:$C,3,0)),"")</f>
        <v/>
      </c>
      <c r="I1259" s="1" t="str">
        <f t="shared" si="19"/>
        <v/>
      </c>
    </row>
    <row r="1260" spans="5:9" x14ac:dyDescent="0.3">
      <c r="E1260" t="str">
        <f>IFERROR(IF(D1260="","",VLOOKUP(D1260,CadProd!$A:$B,2,0)),"")</f>
        <v/>
      </c>
      <c r="F1260" t="str">
        <f>IFERROR(IF(D1260="","",VLOOKUP(D1260,CadProd!$A:$C,3,0)),"")</f>
        <v/>
      </c>
      <c r="I1260" s="1" t="str">
        <f t="shared" si="19"/>
        <v/>
      </c>
    </row>
    <row r="1261" spans="5:9" x14ac:dyDescent="0.3">
      <c r="E1261" t="str">
        <f>IFERROR(IF(D1261="","",VLOOKUP(D1261,CadProd!$A:$B,2,0)),"")</f>
        <v/>
      </c>
      <c r="F1261" t="str">
        <f>IFERROR(IF(D1261="","",VLOOKUP(D1261,CadProd!$A:$C,3,0)),"")</f>
        <v/>
      </c>
      <c r="I1261" s="1" t="str">
        <f t="shared" si="19"/>
        <v/>
      </c>
    </row>
    <row r="1262" spans="5:9" x14ac:dyDescent="0.3">
      <c r="E1262" t="str">
        <f>IFERROR(IF(D1262="","",VLOOKUP(D1262,CadProd!$A:$B,2,0)),"")</f>
        <v/>
      </c>
      <c r="F1262" t="str">
        <f>IFERROR(IF(D1262="","",VLOOKUP(D1262,CadProd!$A:$C,3,0)),"")</f>
        <v/>
      </c>
      <c r="I1262" s="1" t="str">
        <f t="shared" si="19"/>
        <v/>
      </c>
    </row>
    <row r="1263" spans="5:9" x14ac:dyDescent="0.3">
      <c r="E1263" t="str">
        <f>IFERROR(IF(D1263="","",VLOOKUP(D1263,CadProd!$A:$B,2,0)),"")</f>
        <v/>
      </c>
      <c r="F1263" t="str">
        <f>IFERROR(IF(D1263="","",VLOOKUP(D1263,CadProd!$A:$C,3,0)),"")</f>
        <v/>
      </c>
      <c r="I1263" s="1" t="str">
        <f t="shared" si="19"/>
        <v/>
      </c>
    </row>
    <row r="1264" spans="5:9" x14ac:dyDescent="0.3">
      <c r="E1264" t="str">
        <f>IFERROR(IF(D1264="","",VLOOKUP(D1264,CadProd!$A:$B,2,0)),"")</f>
        <v/>
      </c>
      <c r="F1264" t="str">
        <f>IFERROR(IF(D1264="","",VLOOKUP(D1264,CadProd!$A:$C,3,0)),"")</f>
        <v/>
      </c>
      <c r="I1264" s="1" t="str">
        <f t="shared" si="19"/>
        <v/>
      </c>
    </row>
    <row r="1265" spans="5:9" x14ac:dyDescent="0.3">
      <c r="E1265" t="str">
        <f>IFERROR(IF(D1265="","",VLOOKUP(D1265,CadProd!$A:$B,2,0)),"")</f>
        <v/>
      </c>
      <c r="F1265" t="str">
        <f>IFERROR(IF(D1265="","",VLOOKUP(D1265,CadProd!$A:$C,3,0)),"")</f>
        <v/>
      </c>
      <c r="I1265" s="1" t="str">
        <f t="shared" si="19"/>
        <v/>
      </c>
    </row>
    <row r="1266" spans="5:9" x14ac:dyDescent="0.3">
      <c r="E1266" t="str">
        <f>IFERROR(IF(D1266="","",VLOOKUP(D1266,CadProd!$A:$B,2,0)),"")</f>
        <v/>
      </c>
      <c r="F1266" t="str">
        <f>IFERROR(IF(D1266="","",VLOOKUP(D1266,CadProd!$A:$C,3,0)),"")</f>
        <v/>
      </c>
      <c r="I1266" s="1" t="str">
        <f t="shared" si="19"/>
        <v/>
      </c>
    </row>
    <row r="1267" spans="5:9" x14ac:dyDescent="0.3">
      <c r="E1267" t="str">
        <f>IFERROR(IF(D1267="","",VLOOKUP(D1267,CadProd!$A:$B,2,0)),"")</f>
        <v/>
      </c>
      <c r="F1267" t="str">
        <f>IFERROR(IF(D1267="","",VLOOKUP(D1267,CadProd!$A:$C,3,0)),"")</f>
        <v/>
      </c>
      <c r="I1267" s="1" t="str">
        <f t="shared" si="19"/>
        <v/>
      </c>
    </row>
    <row r="1268" spans="5:9" x14ac:dyDescent="0.3">
      <c r="E1268" t="str">
        <f>IFERROR(IF(D1268="","",VLOOKUP(D1268,CadProd!$A:$B,2,0)),"")</f>
        <v/>
      </c>
      <c r="F1268" t="str">
        <f>IFERROR(IF(D1268="","",VLOOKUP(D1268,CadProd!$A:$C,3,0)),"")</f>
        <v/>
      </c>
      <c r="I1268" s="1" t="str">
        <f t="shared" si="19"/>
        <v/>
      </c>
    </row>
    <row r="1269" spans="5:9" x14ac:dyDescent="0.3">
      <c r="E1269" t="str">
        <f>IFERROR(IF(D1269="","",VLOOKUP(D1269,CadProd!$A:$B,2,0)),"")</f>
        <v/>
      </c>
      <c r="F1269" t="str">
        <f>IFERROR(IF(D1269="","",VLOOKUP(D1269,CadProd!$A:$C,3,0)),"")</f>
        <v/>
      </c>
      <c r="I1269" s="1" t="str">
        <f t="shared" si="19"/>
        <v/>
      </c>
    </row>
    <row r="1270" spans="5:9" x14ac:dyDescent="0.3">
      <c r="E1270" t="str">
        <f>IFERROR(IF(D1270="","",VLOOKUP(D1270,CadProd!$A:$B,2,0)),"")</f>
        <v/>
      </c>
      <c r="F1270" t="str">
        <f>IFERROR(IF(D1270="","",VLOOKUP(D1270,CadProd!$A:$C,3,0)),"")</f>
        <v/>
      </c>
      <c r="I1270" s="1" t="str">
        <f t="shared" si="19"/>
        <v/>
      </c>
    </row>
    <row r="1271" spans="5:9" x14ac:dyDescent="0.3">
      <c r="E1271" t="str">
        <f>IFERROR(IF(D1271="","",VLOOKUP(D1271,CadProd!$A:$B,2,0)),"")</f>
        <v/>
      </c>
      <c r="F1271" t="str">
        <f>IFERROR(IF(D1271="","",VLOOKUP(D1271,CadProd!$A:$C,3,0)),"")</f>
        <v/>
      </c>
      <c r="I1271" s="1" t="str">
        <f t="shared" si="19"/>
        <v/>
      </c>
    </row>
    <row r="1272" spans="5:9" x14ac:dyDescent="0.3">
      <c r="E1272" t="str">
        <f>IFERROR(IF(D1272="","",VLOOKUP(D1272,CadProd!$A:$B,2,0)),"")</f>
        <v/>
      </c>
      <c r="F1272" t="str">
        <f>IFERROR(IF(D1272="","",VLOOKUP(D1272,CadProd!$A:$C,3,0)),"")</f>
        <v/>
      </c>
      <c r="I1272" s="1" t="str">
        <f t="shared" si="19"/>
        <v/>
      </c>
    </row>
    <row r="1273" spans="5:9" x14ac:dyDescent="0.3">
      <c r="E1273" t="str">
        <f>IFERROR(IF(D1273="","",VLOOKUP(D1273,CadProd!$A:$B,2,0)),"")</f>
        <v/>
      </c>
      <c r="F1273" t="str">
        <f>IFERROR(IF(D1273="","",VLOOKUP(D1273,CadProd!$A:$C,3,0)),"")</f>
        <v/>
      </c>
      <c r="I1273" s="1" t="str">
        <f t="shared" si="19"/>
        <v/>
      </c>
    </row>
    <row r="1274" spans="5:9" x14ac:dyDescent="0.3">
      <c r="E1274" t="str">
        <f>IFERROR(IF(D1274="","",VLOOKUP(D1274,CadProd!$A:$B,2,0)),"")</f>
        <v/>
      </c>
      <c r="F1274" t="str">
        <f>IFERROR(IF(D1274="","",VLOOKUP(D1274,CadProd!$A:$C,3,0)),"")</f>
        <v/>
      </c>
      <c r="I1274" s="1" t="str">
        <f t="shared" si="19"/>
        <v/>
      </c>
    </row>
    <row r="1275" spans="5:9" x14ac:dyDescent="0.3">
      <c r="E1275" t="str">
        <f>IFERROR(IF(D1275="","",VLOOKUP(D1275,CadProd!$A:$B,2,0)),"")</f>
        <v/>
      </c>
      <c r="F1275" t="str">
        <f>IFERROR(IF(D1275="","",VLOOKUP(D1275,CadProd!$A:$C,3,0)),"")</f>
        <v/>
      </c>
      <c r="I1275" s="1" t="str">
        <f t="shared" si="19"/>
        <v/>
      </c>
    </row>
    <row r="1276" spans="5:9" x14ac:dyDescent="0.3">
      <c r="E1276" t="str">
        <f>IFERROR(IF(D1276="","",VLOOKUP(D1276,CadProd!$A:$B,2,0)),"")</f>
        <v/>
      </c>
      <c r="F1276" t="str">
        <f>IFERROR(IF(D1276="","",VLOOKUP(D1276,CadProd!$A:$C,3,0)),"")</f>
        <v/>
      </c>
      <c r="I1276" s="1" t="str">
        <f t="shared" si="19"/>
        <v/>
      </c>
    </row>
    <row r="1277" spans="5:9" x14ac:dyDescent="0.3">
      <c r="E1277" t="str">
        <f>IFERROR(IF(D1277="","",VLOOKUP(D1277,CadProd!$A:$B,2,0)),"")</f>
        <v/>
      </c>
      <c r="F1277" t="str">
        <f>IFERROR(IF(D1277="","",VLOOKUP(D1277,CadProd!$A:$C,3,0)),"")</f>
        <v/>
      </c>
      <c r="I1277" s="1" t="str">
        <f t="shared" si="19"/>
        <v/>
      </c>
    </row>
    <row r="1278" spans="5:9" x14ac:dyDescent="0.3">
      <c r="E1278" t="str">
        <f>IFERROR(IF(D1278="","",VLOOKUP(D1278,CadProd!$A:$B,2,0)),"")</f>
        <v/>
      </c>
      <c r="F1278" t="str">
        <f>IFERROR(IF(D1278="","",VLOOKUP(D1278,CadProd!$A:$C,3,0)),"")</f>
        <v/>
      </c>
      <c r="I1278" s="1" t="str">
        <f t="shared" si="19"/>
        <v/>
      </c>
    </row>
    <row r="1279" spans="5:9" x14ac:dyDescent="0.3">
      <c r="E1279" t="str">
        <f>IFERROR(IF(D1279="","",VLOOKUP(D1279,CadProd!$A:$B,2,0)),"")</f>
        <v/>
      </c>
      <c r="F1279" t="str">
        <f>IFERROR(IF(D1279="","",VLOOKUP(D1279,CadProd!$A:$C,3,0)),"")</f>
        <v/>
      </c>
      <c r="I1279" s="1" t="str">
        <f t="shared" si="19"/>
        <v/>
      </c>
    </row>
    <row r="1280" spans="5:9" x14ac:dyDescent="0.3">
      <c r="E1280" t="str">
        <f>IFERROR(IF(D1280="","",VLOOKUP(D1280,CadProd!$A:$B,2,0)),"")</f>
        <v/>
      </c>
      <c r="F1280" t="str">
        <f>IFERROR(IF(D1280="","",VLOOKUP(D1280,CadProd!$A:$C,3,0)),"")</f>
        <v/>
      </c>
      <c r="I1280" s="1" t="str">
        <f t="shared" si="19"/>
        <v/>
      </c>
    </row>
    <row r="1281" spans="5:9" x14ac:dyDescent="0.3">
      <c r="E1281" t="str">
        <f>IFERROR(IF(D1281="","",VLOOKUP(D1281,CadProd!$A:$B,2,0)),"")</f>
        <v/>
      </c>
      <c r="F1281" t="str">
        <f>IFERROR(IF(D1281="","",VLOOKUP(D1281,CadProd!$A:$C,3,0)),"")</f>
        <v/>
      </c>
      <c r="I1281" s="1" t="str">
        <f t="shared" si="19"/>
        <v/>
      </c>
    </row>
    <row r="1282" spans="5:9" x14ac:dyDescent="0.3">
      <c r="E1282" t="str">
        <f>IFERROR(IF(D1282="","",VLOOKUP(D1282,CadProd!$A:$B,2,0)),"")</f>
        <v/>
      </c>
      <c r="F1282" t="str">
        <f>IFERROR(IF(D1282="","",VLOOKUP(D1282,CadProd!$A:$C,3,0)),"")</f>
        <v/>
      </c>
      <c r="I1282" s="1" t="str">
        <f t="shared" si="19"/>
        <v/>
      </c>
    </row>
    <row r="1283" spans="5:9" x14ac:dyDescent="0.3">
      <c r="E1283" t="str">
        <f>IFERROR(IF(D1283="","",VLOOKUP(D1283,CadProd!$A:$B,2,0)),"")</f>
        <v/>
      </c>
      <c r="F1283" t="str">
        <f>IFERROR(IF(D1283="","",VLOOKUP(D1283,CadProd!$A:$C,3,0)),"")</f>
        <v/>
      </c>
      <c r="I1283" s="1" t="str">
        <f t="shared" si="19"/>
        <v/>
      </c>
    </row>
    <row r="1284" spans="5:9" x14ac:dyDescent="0.3">
      <c r="E1284" t="str">
        <f>IFERROR(IF(D1284="","",VLOOKUP(D1284,CadProd!$A:$B,2,0)),"")</f>
        <v/>
      </c>
      <c r="F1284" t="str">
        <f>IFERROR(IF(D1284="","",VLOOKUP(D1284,CadProd!$A:$C,3,0)),"")</f>
        <v/>
      </c>
      <c r="I1284" s="1" t="str">
        <f t="shared" si="19"/>
        <v/>
      </c>
    </row>
    <row r="1285" spans="5:9" x14ac:dyDescent="0.3">
      <c r="E1285" t="str">
        <f>IFERROR(IF(D1285="","",VLOOKUP(D1285,CadProd!$A:$B,2,0)),"")</f>
        <v/>
      </c>
      <c r="F1285" t="str">
        <f>IFERROR(IF(D1285="","",VLOOKUP(D1285,CadProd!$A:$C,3,0)),"")</f>
        <v/>
      </c>
      <c r="I1285" s="1" t="str">
        <f t="shared" si="19"/>
        <v/>
      </c>
    </row>
    <row r="1286" spans="5:9" x14ac:dyDescent="0.3">
      <c r="E1286" t="str">
        <f>IFERROR(IF(D1286="","",VLOOKUP(D1286,CadProd!$A:$B,2,0)),"")</f>
        <v/>
      </c>
      <c r="F1286" t="str">
        <f>IFERROR(IF(D1286="","",VLOOKUP(D1286,CadProd!$A:$C,3,0)),"")</f>
        <v/>
      </c>
      <c r="I1286" s="1" t="str">
        <f t="shared" si="19"/>
        <v/>
      </c>
    </row>
    <row r="1287" spans="5:9" x14ac:dyDescent="0.3">
      <c r="E1287" t="str">
        <f>IFERROR(IF(D1287="","",VLOOKUP(D1287,CadProd!$A:$B,2,0)),"")</f>
        <v/>
      </c>
      <c r="F1287" t="str">
        <f>IFERROR(IF(D1287="","",VLOOKUP(D1287,CadProd!$A:$C,3,0)),"")</f>
        <v/>
      </c>
      <c r="I1287" s="1" t="str">
        <f t="shared" si="19"/>
        <v/>
      </c>
    </row>
    <row r="1288" spans="5:9" x14ac:dyDescent="0.3">
      <c r="E1288" t="str">
        <f>IFERROR(IF(D1288="","",VLOOKUP(D1288,CadProd!$A:$B,2,0)),"")</f>
        <v/>
      </c>
      <c r="F1288" t="str">
        <f>IFERROR(IF(D1288="","",VLOOKUP(D1288,CadProd!$A:$C,3,0)),"")</f>
        <v/>
      </c>
      <c r="I1288" s="1" t="str">
        <f t="shared" si="19"/>
        <v/>
      </c>
    </row>
    <row r="1289" spans="5:9" x14ac:dyDescent="0.3">
      <c r="E1289" t="str">
        <f>IFERROR(IF(D1289="","",VLOOKUP(D1289,CadProd!$A:$B,2,0)),"")</f>
        <v/>
      </c>
      <c r="F1289" t="str">
        <f>IFERROR(IF(D1289="","",VLOOKUP(D1289,CadProd!$A:$C,3,0)),"")</f>
        <v/>
      </c>
      <c r="I1289" s="1" t="str">
        <f t="shared" si="19"/>
        <v/>
      </c>
    </row>
    <row r="1290" spans="5:9" x14ac:dyDescent="0.3">
      <c r="E1290" t="str">
        <f>IFERROR(IF(D1290="","",VLOOKUP(D1290,CadProd!$A:$B,2,0)),"")</f>
        <v/>
      </c>
      <c r="F1290" t="str">
        <f>IFERROR(IF(D1290="","",VLOOKUP(D1290,CadProd!$A:$C,3,0)),"")</f>
        <v/>
      </c>
      <c r="I1290" s="1" t="str">
        <f t="shared" si="19"/>
        <v/>
      </c>
    </row>
    <row r="1291" spans="5:9" x14ac:dyDescent="0.3">
      <c r="E1291" t="str">
        <f>IFERROR(IF(D1291="","",VLOOKUP(D1291,CadProd!$A:$B,2,0)),"")</f>
        <v/>
      </c>
      <c r="F1291" t="str">
        <f>IFERROR(IF(D1291="","",VLOOKUP(D1291,CadProd!$A:$C,3,0)),"")</f>
        <v/>
      </c>
      <c r="I1291" s="1" t="str">
        <f t="shared" ref="I1291:I1354" si="20">IFERROR(IF(D1291="","",H1291*G1291),"")</f>
        <v/>
      </c>
    </row>
    <row r="1292" spans="5:9" x14ac:dyDescent="0.3">
      <c r="E1292" t="str">
        <f>IFERROR(IF(D1292="","",VLOOKUP(D1292,CadProd!$A:$B,2,0)),"")</f>
        <v/>
      </c>
      <c r="F1292" t="str">
        <f>IFERROR(IF(D1292="","",VLOOKUP(D1292,CadProd!$A:$C,3,0)),"")</f>
        <v/>
      </c>
      <c r="I1292" s="1" t="str">
        <f t="shared" si="20"/>
        <v/>
      </c>
    </row>
    <row r="1293" spans="5:9" x14ac:dyDescent="0.3">
      <c r="E1293" t="str">
        <f>IFERROR(IF(D1293="","",VLOOKUP(D1293,CadProd!$A:$B,2,0)),"")</f>
        <v/>
      </c>
      <c r="F1293" t="str">
        <f>IFERROR(IF(D1293="","",VLOOKUP(D1293,CadProd!$A:$C,3,0)),"")</f>
        <v/>
      </c>
      <c r="I1293" s="1" t="str">
        <f t="shared" si="20"/>
        <v/>
      </c>
    </row>
    <row r="1294" spans="5:9" x14ac:dyDescent="0.3">
      <c r="E1294" t="str">
        <f>IFERROR(IF(D1294="","",VLOOKUP(D1294,CadProd!$A:$B,2,0)),"")</f>
        <v/>
      </c>
      <c r="F1294" t="str">
        <f>IFERROR(IF(D1294="","",VLOOKUP(D1294,CadProd!$A:$C,3,0)),"")</f>
        <v/>
      </c>
      <c r="I1294" s="1" t="str">
        <f t="shared" si="20"/>
        <v/>
      </c>
    </row>
    <row r="1295" spans="5:9" x14ac:dyDescent="0.3">
      <c r="E1295" t="str">
        <f>IFERROR(IF(D1295="","",VLOOKUP(D1295,CadProd!$A:$B,2,0)),"")</f>
        <v/>
      </c>
      <c r="F1295" t="str">
        <f>IFERROR(IF(D1295="","",VLOOKUP(D1295,CadProd!$A:$C,3,0)),"")</f>
        <v/>
      </c>
      <c r="I1295" s="1" t="str">
        <f t="shared" si="20"/>
        <v/>
      </c>
    </row>
    <row r="1296" spans="5:9" x14ac:dyDescent="0.3">
      <c r="E1296" t="str">
        <f>IFERROR(IF(D1296="","",VLOOKUP(D1296,CadProd!$A:$B,2,0)),"")</f>
        <v/>
      </c>
      <c r="F1296" t="str">
        <f>IFERROR(IF(D1296="","",VLOOKUP(D1296,CadProd!$A:$C,3,0)),"")</f>
        <v/>
      </c>
      <c r="I1296" s="1" t="str">
        <f t="shared" si="20"/>
        <v/>
      </c>
    </row>
    <row r="1297" spans="5:9" x14ac:dyDescent="0.3">
      <c r="E1297" t="str">
        <f>IFERROR(IF(D1297="","",VLOOKUP(D1297,CadProd!$A:$B,2,0)),"")</f>
        <v/>
      </c>
      <c r="F1297" t="str">
        <f>IFERROR(IF(D1297="","",VLOOKUP(D1297,CadProd!$A:$C,3,0)),"")</f>
        <v/>
      </c>
      <c r="I1297" s="1" t="str">
        <f t="shared" si="20"/>
        <v/>
      </c>
    </row>
    <row r="1298" spans="5:9" x14ac:dyDescent="0.3">
      <c r="E1298" t="str">
        <f>IFERROR(IF(D1298="","",VLOOKUP(D1298,CadProd!$A:$B,2,0)),"")</f>
        <v/>
      </c>
      <c r="F1298" t="str">
        <f>IFERROR(IF(D1298="","",VLOOKUP(D1298,CadProd!$A:$C,3,0)),"")</f>
        <v/>
      </c>
      <c r="I1298" s="1" t="str">
        <f t="shared" si="20"/>
        <v/>
      </c>
    </row>
    <row r="1299" spans="5:9" x14ac:dyDescent="0.3">
      <c r="E1299" t="str">
        <f>IFERROR(IF(D1299="","",VLOOKUP(D1299,CadProd!$A:$B,2,0)),"")</f>
        <v/>
      </c>
      <c r="F1299" t="str">
        <f>IFERROR(IF(D1299="","",VLOOKUP(D1299,CadProd!$A:$C,3,0)),"")</f>
        <v/>
      </c>
      <c r="I1299" s="1" t="str">
        <f t="shared" si="20"/>
        <v/>
      </c>
    </row>
    <row r="1300" spans="5:9" x14ac:dyDescent="0.3">
      <c r="E1300" t="str">
        <f>IFERROR(IF(D1300="","",VLOOKUP(D1300,CadProd!$A:$B,2,0)),"")</f>
        <v/>
      </c>
      <c r="F1300" t="str">
        <f>IFERROR(IF(D1300="","",VLOOKUP(D1300,CadProd!$A:$C,3,0)),"")</f>
        <v/>
      </c>
      <c r="I1300" s="1" t="str">
        <f t="shared" si="20"/>
        <v/>
      </c>
    </row>
    <row r="1301" spans="5:9" x14ac:dyDescent="0.3">
      <c r="E1301" t="str">
        <f>IFERROR(IF(D1301="","",VLOOKUP(D1301,CadProd!$A:$B,2,0)),"")</f>
        <v/>
      </c>
      <c r="F1301" t="str">
        <f>IFERROR(IF(D1301="","",VLOOKUP(D1301,CadProd!$A:$C,3,0)),"")</f>
        <v/>
      </c>
      <c r="I1301" s="1" t="str">
        <f t="shared" si="20"/>
        <v/>
      </c>
    </row>
    <row r="1302" spans="5:9" x14ac:dyDescent="0.3">
      <c r="E1302" t="str">
        <f>IFERROR(IF(D1302="","",VLOOKUP(D1302,CadProd!$A:$B,2,0)),"")</f>
        <v/>
      </c>
      <c r="F1302" t="str">
        <f>IFERROR(IF(D1302="","",VLOOKUP(D1302,CadProd!$A:$C,3,0)),"")</f>
        <v/>
      </c>
      <c r="I1302" s="1" t="str">
        <f t="shared" si="20"/>
        <v/>
      </c>
    </row>
    <row r="1303" spans="5:9" x14ac:dyDescent="0.3">
      <c r="E1303" t="str">
        <f>IFERROR(IF(D1303="","",VLOOKUP(D1303,CadProd!$A:$B,2,0)),"")</f>
        <v/>
      </c>
      <c r="F1303" t="str">
        <f>IFERROR(IF(D1303="","",VLOOKUP(D1303,CadProd!$A:$C,3,0)),"")</f>
        <v/>
      </c>
      <c r="I1303" s="1" t="str">
        <f t="shared" si="20"/>
        <v/>
      </c>
    </row>
    <row r="1304" spans="5:9" x14ac:dyDescent="0.3">
      <c r="E1304" t="str">
        <f>IFERROR(IF(D1304="","",VLOOKUP(D1304,CadProd!$A:$B,2,0)),"")</f>
        <v/>
      </c>
      <c r="F1304" t="str">
        <f>IFERROR(IF(D1304="","",VLOOKUP(D1304,CadProd!$A:$C,3,0)),"")</f>
        <v/>
      </c>
      <c r="I1304" s="1" t="str">
        <f t="shared" si="20"/>
        <v/>
      </c>
    </row>
    <row r="1305" spans="5:9" x14ac:dyDescent="0.3">
      <c r="E1305" t="str">
        <f>IFERROR(IF(D1305="","",VLOOKUP(D1305,CadProd!$A:$B,2,0)),"")</f>
        <v/>
      </c>
      <c r="F1305" t="str">
        <f>IFERROR(IF(D1305="","",VLOOKUP(D1305,CadProd!$A:$C,3,0)),"")</f>
        <v/>
      </c>
      <c r="I1305" s="1" t="str">
        <f t="shared" si="20"/>
        <v/>
      </c>
    </row>
    <row r="1306" spans="5:9" x14ac:dyDescent="0.3">
      <c r="E1306" t="str">
        <f>IFERROR(IF(D1306="","",VLOOKUP(D1306,CadProd!$A:$B,2,0)),"")</f>
        <v/>
      </c>
      <c r="F1306" t="str">
        <f>IFERROR(IF(D1306="","",VLOOKUP(D1306,CadProd!$A:$C,3,0)),"")</f>
        <v/>
      </c>
      <c r="I1306" s="1" t="str">
        <f t="shared" si="20"/>
        <v/>
      </c>
    </row>
    <row r="1307" spans="5:9" x14ac:dyDescent="0.3">
      <c r="E1307" t="str">
        <f>IFERROR(IF(D1307="","",VLOOKUP(D1307,CadProd!$A:$B,2,0)),"")</f>
        <v/>
      </c>
      <c r="F1307" t="str">
        <f>IFERROR(IF(D1307="","",VLOOKUP(D1307,CadProd!$A:$C,3,0)),"")</f>
        <v/>
      </c>
      <c r="I1307" s="1" t="str">
        <f t="shared" si="20"/>
        <v/>
      </c>
    </row>
    <row r="1308" spans="5:9" x14ac:dyDescent="0.3">
      <c r="E1308" t="str">
        <f>IFERROR(IF(D1308="","",VLOOKUP(D1308,CadProd!$A:$B,2,0)),"")</f>
        <v/>
      </c>
      <c r="F1308" t="str">
        <f>IFERROR(IF(D1308="","",VLOOKUP(D1308,CadProd!$A:$C,3,0)),"")</f>
        <v/>
      </c>
      <c r="I1308" s="1" t="str">
        <f t="shared" si="20"/>
        <v/>
      </c>
    </row>
    <row r="1309" spans="5:9" x14ac:dyDescent="0.3">
      <c r="E1309" t="str">
        <f>IFERROR(IF(D1309="","",VLOOKUP(D1309,CadProd!$A:$B,2,0)),"")</f>
        <v/>
      </c>
      <c r="F1309" t="str">
        <f>IFERROR(IF(D1309="","",VLOOKUP(D1309,CadProd!$A:$C,3,0)),"")</f>
        <v/>
      </c>
      <c r="I1309" s="1" t="str">
        <f t="shared" si="20"/>
        <v/>
      </c>
    </row>
    <row r="1310" spans="5:9" x14ac:dyDescent="0.3">
      <c r="E1310" t="str">
        <f>IFERROR(IF(D1310="","",VLOOKUP(D1310,CadProd!$A:$B,2,0)),"")</f>
        <v/>
      </c>
      <c r="F1310" t="str">
        <f>IFERROR(IF(D1310="","",VLOOKUP(D1310,CadProd!$A:$C,3,0)),"")</f>
        <v/>
      </c>
      <c r="I1310" s="1" t="str">
        <f t="shared" si="20"/>
        <v/>
      </c>
    </row>
    <row r="1311" spans="5:9" x14ac:dyDescent="0.3">
      <c r="E1311" t="str">
        <f>IFERROR(IF(D1311="","",VLOOKUP(D1311,CadProd!$A:$B,2,0)),"")</f>
        <v/>
      </c>
      <c r="F1311" t="str">
        <f>IFERROR(IF(D1311="","",VLOOKUP(D1311,CadProd!$A:$C,3,0)),"")</f>
        <v/>
      </c>
      <c r="I1311" s="1" t="str">
        <f t="shared" si="20"/>
        <v/>
      </c>
    </row>
    <row r="1312" spans="5:9" x14ac:dyDescent="0.3">
      <c r="E1312" t="str">
        <f>IFERROR(IF(D1312="","",VLOOKUP(D1312,CadProd!$A:$B,2,0)),"")</f>
        <v/>
      </c>
      <c r="F1312" t="str">
        <f>IFERROR(IF(D1312="","",VLOOKUP(D1312,CadProd!$A:$C,3,0)),"")</f>
        <v/>
      </c>
      <c r="I1312" s="1" t="str">
        <f t="shared" si="20"/>
        <v/>
      </c>
    </row>
    <row r="1313" spans="5:9" x14ac:dyDescent="0.3">
      <c r="E1313" t="str">
        <f>IFERROR(IF(D1313="","",VLOOKUP(D1313,CadProd!$A:$B,2,0)),"")</f>
        <v/>
      </c>
      <c r="F1313" t="str">
        <f>IFERROR(IF(D1313="","",VLOOKUP(D1313,CadProd!$A:$C,3,0)),"")</f>
        <v/>
      </c>
      <c r="I1313" s="1" t="str">
        <f t="shared" si="20"/>
        <v/>
      </c>
    </row>
    <row r="1314" spans="5:9" x14ac:dyDescent="0.3">
      <c r="E1314" t="str">
        <f>IFERROR(IF(D1314="","",VLOOKUP(D1314,CadProd!$A:$B,2,0)),"")</f>
        <v/>
      </c>
      <c r="F1314" t="str">
        <f>IFERROR(IF(D1314="","",VLOOKUP(D1314,CadProd!$A:$C,3,0)),"")</f>
        <v/>
      </c>
      <c r="I1314" s="1" t="str">
        <f t="shared" si="20"/>
        <v/>
      </c>
    </row>
    <row r="1315" spans="5:9" x14ac:dyDescent="0.3">
      <c r="E1315" t="str">
        <f>IFERROR(IF(D1315="","",VLOOKUP(D1315,CadProd!$A:$B,2,0)),"")</f>
        <v/>
      </c>
      <c r="F1315" t="str">
        <f>IFERROR(IF(D1315="","",VLOOKUP(D1315,CadProd!$A:$C,3,0)),"")</f>
        <v/>
      </c>
      <c r="I1315" s="1" t="str">
        <f t="shared" si="20"/>
        <v/>
      </c>
    </row>
    <row r="1316" spans="5:9" x14ac:dyDescent="0.3">
      <c r="E1316" t="str">
        <f>IFERROR(IF(D1316="","",VLOOKUP(D1316,CadProd!$A:$B,2,0)),"")</f>
        <v/>
      </c>
      <c r="F1316" t="str">
        <f>IFERROR(IF(D1316="","",VLOOKUP(D1316,CadProd!$A:$C,3,0)),"")</f>
        <v/>
      </c>
      <c r="I1316" s="1" t="str">
        <f t="shared" si="20"/>
        <v/>
      </c>
    </row>
    <row r="1317" spans="5:9" x14ac:dyDescent="0.3">
      <c r="E1317" t="str">
        <f>IFERROR(IF(D1317="","",VLOOKUP(D1317,CadProd!$A:$B,2,0)),"")</f>
        <v/>
      </c>
      <c r="F1317" t="str">
        <f>IFERROR(IF(D1317="","",VLOOKUP(D1317,CadProd!$A:$C,3,0)),"")</f>
        <v/>
      </c>
      <c r="I1317" s="1" t="str">
        <f t="shared" si="20"/>
        <v/>
      </c>
    </row>
    <row r="1318" spans="5:9" x14ac:dyDescent="0.3">
      <c r="E1318" t="str">
        <f>IFERROR(IF(D1318="","",VLOOKUP(D1318,CadProd!$A:$B,2,0)),"")</f>
        <v/>
      </c>
      <c r="F1318" t="str">
        <f>IFERROR(IF(D1318="","",VLOOKUP(D1318,CadProd!$A:$C,3,0)),"")</f>
        <v/>
      </c>
      <c r="I1318" s="1" t="str">
        <f t="shared" si="20"/>
        <v/>
      </c>
    </row>
    <row r="1319" spans="5:9" x14ac:dyDescent="0.3">
      <c r="E1319" t="str">
        <f>IFERROR(IF(D1319="","",VLOOKUP(D1319,CadProd!$A:$B,2,0)),"")</f>
        <v/>
      </c>
      <c r="F1319" t="str">
        <f>IFERROR(IF(D1319="","",VLOOKUP(D1319,CadProd!$A:$C,3,0)),"")</f>
        <v/>
      </c>
      <c r="I1319" s="1" t="str">
        <f t="shared" si="20"/>
        <v/>
      </c>
    </row>
    <row r="1320" spans="5:9" x14ac:dyDescent="0.3">
      <c r="E1320" t="str">
        <f>IFERROR(IF(D1320="","",VLOOKUP(D1320,CadProd!$A:$B,2,0)),"")</f>
        <v/>
      </c>
      <c r="F1320" t="str">
        <f>IFERROR(IF(D1320="","",VLOOKUP(D1320,CadProd!$A:$C,3,0)),"")</f>
        <v/>
      </c>
      <c r="I1320" s="1" t="str">
        <f t="shared" si="20"/>
        <v/>
      </c>
    </row>
    <row r="1321" spans="5:9" x14ac:dyDescent="0.3">
      <c r="E1321" t="str">
        <f>IFERROR(IF(D1321="","",VLOOKUP(D1321,CadProd!$A:$B,2,0)),"")</f>
        <v/>
      </c>
      <c r="F1321" t="str">
        <f>IFERROR(IF(D1321="","",VLOOKUP(D1321,CadProd!$A:$C,3,0)),"")</f>
        <v/>
      </c>
      <c r="I1321" s="1" t="str">
        <f t="shared" si="20"/>
        <v/>
      </c>
    </row>
    <row r="1322" spans="5:9" x14ac:dyDescent="0.3">
      <c r="E1322" t="str">
        <f>IFERROR(IF(D1322="","",VLOOKUP(D1322,CadProd!$A:$B,2,0)),"")</f>
        <v/>
      </c>
      <c r="F1322" t="str">
        <f>IFERROR(IF(D1322="","",VLOOKUP(D1322,CadProd!$A:$C,3,0)),"")</f>
        <v/>
      </c>
      <c r="I1322" s="1" t="str">
        <f t="shared" si="20"/>
        <v/>
      </c>
    </row>
    <row r="1323" spans="5:9" x14ac:dyDescent="0.3">
      <c r="E1323" t="str">
        <f>IFERROR(IF(D1323="","",VLOOKUP(D1323,CadProd!$A:$B,2,0)),"")</f>
        <v/>
      </c>
      <c r="F1323" t="str">
        <f>IFERROR(IF(D1323="","",VLOOKUP(D1323,CadProd!$A:$C,3,0)),"")</f>
        <v/>
      </c>
      <c r="I1323" s="1" t="str">
        <f t="shared" si="20"/>
        <v/>
      </c>
    </row>
    <row r="1324" spans="5:9" x14ac:dyDescent="0.3">
      <c r="E1324" t="str">
        <f>IFERROR(IF(D1324="","",VLOOKUP(D1324,CadProd!$A:$B,2,0)),"")</f>
        <v/>
      </c>
      <c r="F1324" t="str">
        <f>IFERROR(IF(D1324="","",VLOOKUP(D1324,CadProd!$A:$C,3,0)),"")</f>
        <v/>
      </c>
      <c r="I1324" s="1" t="str">
        <f t="shared" si="20"/>
        <v/>
      </c>
    </row>
    <row r="1325" spans="5:9" x14ac:dyDescent="0.3">
      <c r="E1325" t="str">
        <f>IFERROR(IF(D1325="","",VLOOKUP(D1325,CadProd!$A:$B,2,0)),"")</f>
        <v/>
      </c>
      <c r="F1325" t="str">
        <f>IFERROR(IF(D1325="","",VLOOKUP(D1325,CadProd!$A:$C,3,0)),"")</f>
        <v/>
      </c>
      <c r="I1325" s="1" t="str">
        <f t="shared" si="20"/>
        <v/>
      </c>
    </row>
    <row r="1326" spans="5:9" x14ac:dyDescent="0.3">
      <c r="E1326" t="str">
        <f>IFERROR(IF(D1326="","",VLOOKUP(D1326,CadProd!$A:$B,2,0)),"")</f>
        <v/>
      </c>
      <c r="F1326" t="str">
        <f>IFERROR(IF(D1326="","",VLOOKUP(D1326,CadProd!$A:$C,3,0)),"")</f>
        <v/>
      </c>
      <c r="I1326" s="1" t="str">
        <f t="shared" si="20"/>
        <v/>
      </c>
    </row>
    <row r="1327" spans="5:9" x14ac:dyDescent="0.3">
      <c r="E1327" t="str">
        <f>IFERROR(IF(D1327="","",VLOOKUP(D1327,CadProd!$A:$B,2,0)),"")</f>
        <v/>
      </c>
      <c r="F1327" t="str">
        <f>IFERROR(IF(D1327="","",VLOOKUP(D1327,CadProd!$A:$C,3,0)),"")</f>
        <v/>
      </c>
      <c r="I1327" s="1" t="str">
        <f t="shared" si="20"/>
        <v/>
      </c>
    </row>
    <row r="1328" spans="5:9" x14ac:dyDescent="0.3">
      <c r="E1328" t="str">
        <f>IFERROR(IF(D1328="","",VLOOKUP(D1328,CadProd!$A:$B,2,0)),"")</f>
        <v/>
      </c>
      <c r="F1328" t="str">
        <f>IFERROR(IF(D1328="","",VLOOKUP(D1328,CadProd!$A:$C,3,0)),"")</f>
        <v/>
      </c>
      <c r="I1328" s="1" t="str">
        <f t="shared" si="20"/>
        <v/>
      </c>
    </row>
    <row r="1329" spans="5:9" x14ac:dyDescent="0.3">
      <c r="E1329" t="str">
        <f>IFERROR(IF(D1329="","",VLOOKUP(D1329,CadProd!$A:$B,2,0)),"")</f>
        <v/>
      </c>
      <c r="F1329" t="str">
        <f>IFERROR(IF(D1329="","",VLOOKUP(D1329,CadProd!$A:$C,3,0)),"")</f>
        <v/>
      </c>
      <c r="I1329" s="1" t="str">
        <f t="shared" si="20"/>
        <v/>
      </c>
    </row>
    <row r="1330" spans="5:9" x14ac:dyDescent="0.3">
      <c r="E1330" t="str">
        <f>IFERROR(IF(D1330="","",VLOOKUP(D1330,CadProd!$A:$B,2,0)),"")</f>
        <v/>
      </c>
      <c r="F1330" t="str">
        <f>IFERROR(IF(D1330="","",VLOOKUP(D1330,CadProd!$A:$C,3,0)),"")</f>
        <v/>
      </c>
      <c r="I1330" s="1" t="str">
        <f t="shared" si="20"/>
        <v/>
      </c>
    </row>
    <row r="1331" spans="5:9" x14ac:dyDescent="0.3">
      <c r="E1331" t="str">
        <f>IFERROR(IF(D1331="","",VLOOKUP(D1331,CadProd!$A:$B,2,0)),"")</f>
        <v/>
      </c>
      <c r="F1331" t="str">
        <f>IFERROR(IF(D1331="","",VLOOKUP(D1331,CadProd!$A:$C,3,0)),"")</f>
        <v/>
      </c>
      <c r="I1331" s="1" t="str">
        <f t="shared" si="20"/>
        <v/>
      </c>
    </row>
    <row r="1332" spans="5:9" x14ac:dyDescent="0.3">
      <c r="E1332" t="str">
        <f>IFERROR(IF(D1332="","",VLOOKUP(D1332,CadProd!$A:$B,2,0)),"")</f>
        <v/>
      </c>
      <c r="F1332" t="str">
        <f>IFERROR(IF(D1332="","",VLOOKUP(D1332,CadProd!$A:$C,3,0)),"")</f>
        <v/>
      </c>
      <c r="I1332" s="1" t="str">
        <f t="shared" si="20"/>
        <v/>
      </c>
    </row>
    <row r="1333" spans="5:9" x14ac:dyDescent="0.3">
      <c r="E1333" t="str">
        <f>IFERROR(IF(D1333="","",VLOOKUP(D1333,CadProd!$A:$B,2,0)),"")</f>
        <v/>
      </c>
      <c r="F1333" t="str">
        <f>IFERROR(IF(D1333="","",VLOOKUP(D1333,CadProd!$A:$C,3,0)),"")</f>
        <v/>
      </c>
      <c r="I1333" s="1" t="str">
        <f t="shared" si="20"/>
        <v/>
      </c>
    </row>
    <row r="1334" spans="5:9" x14ac:dyDescent="0.3">
      <c r="E1334" t="str">
        <f>IFERROR(IF(D1334="","",VLOOKUP(D1334,CadProd!$A:$B,2,0)),"")</f>
        <v/>
      </c>
      <c r="F1334" t="str">
        <f>IFERROR(IF(D1334="","",VLOOKUP(D1334,CadProd!$A:$C,3,0)),"")</f>
        <v/>
      </c>
      <c r="I1334" s="1" t="str">
        <f t="shared" si="20"/>
        <v/>
      </c>
    </row>
    <row r="1335" spans="5:9" x14ac:dyDescent="0.3">
      <c r="E1335" t="str">
        <f>IFERROR(IF(D1335="","",VLOOKUP(D1335,CadProd!$A:$B,2,0)),"")</f>
        <v/>
      </c>
      <c r="F1335" t="str">
        <f>IFERROR(IF(D1335="","",VLOOKUP(D1335,CadProd!$A:$C,3,0)),"")</f>
        <v/>
      </c>
      <c r="I1335" s="1" t="str">
        <f t="shared" si="20"/>
        <v/>
      </c>
    </row>
    <row r="1336" spans="5:9" x14ac:dyDescent="0.3">
      <c r="E1336" t="str">
        <f>IFERROR(IF(D1336="","",VLOOKUP(D1336,CadProd!$A:$B,2,0)),"")</f>
        <v/>
      </c>
      <c r="F1336" t="str">
        <f>IFERROR(IF(D1336="","",VLOOKUP(D1336,CadProd!$A:$C,3,0)),"")</f>
        <v/>
      </c>
      <c r="I1336" s="1" t="str">
        <f t="shared" si="20"/>
        <v/>
      </c>
    </row>
    <row r="1337" spans="5:9" x14ac:dyDescent="0.3">
      <c r="E1337" t="str">
        <f>IFERROR(IF(D1337="","",VLOOKUP(D1337,CadProd!$A:$B,2,0)),"")</f>
        <v/>
      </c>
      <c r="F1337" t="str">
        <f>IFERROR(IF(D1337="","",VLOOKUP(D1337,CadProd!$A:$C,3,0)),"")</f>
        <v/>
      </c>
      <c r="I1337" s="1" t="str">
        <f t="shared" si="20"/>
        <v/>
      </c>
    </row>
    <row r="1338" spans="5:9" x14ac:dyDescent="0.3">
      <c r="E1338" t="str">
        <f>IFERROR(IF(D1338="","",VLOOKUP(D1338,CadProd!$A:$B,2,0)),"")</f>
        <v/>
      </c>
      <c r="F1338" t="str">
        <f>IFERROR(IF(D1338="","",VLOOKUP(D1338,CadProd!$A:$C,3,0)),"")</f>
        <v/>
      </c>
      <c r="I1338" s="1" t="str">
        <f t="shared" si="20"/>
        <v/>
      </c>
    </row>
    <row r="1339" spans="5:9" x14ac:dyDescent="0.3">
      <c r="E1339" t="str">
        <f>IFERROR(IF(D1339="","",VLOOKUP(D1339,CadProd!$A:$B,2,0)),"")</f>
        <v/>
      </c>
      <c r="F1339" t="str">
        <f>IFERROR(IF(D1339="","",VLOOKUP(D1339,CadProd!$A:$C,3,0)),"")</f>
        <v/>
      </c>
      <c r="I1339" s="1" t="str">
        <f t="shared" si="20"/>
        <v/>
      </c>
    </row>
    <row r="1340" spans="5:9" x14ac:dyDescent="0.3">
      <c r="E1340" t="str">
        <f>IFERROR(IF(D1340="","",VLOOKUP(D1340,CadProd!$A:$B,2,0)),"")</f>
        <v/>
      </c>
      <c r="F1340" t="str">
        <f>IFERROR(IF(D1340="","",VLOOKUP(D1340,CadProd!$A:$C,3,0)),"")</f>
        <v/>
      </c>
      <c r="I1340" s="1" t="str">
        <f t="shared" si="20"/>
        <v/>
      </c>
    </row>
    <row r="1341" spans="5:9" x14ac:dyDescent="0.3">
      <c r="E1341" t="str">
        <f>IFERROR(IF(D1341="","",VLOOKUP(D1341,CadProd!$A:$B,2,0)),"")</f>
        <v/>
      </c>
      <c r="F1341" t="str">
        <f>IFERROR(IF(D1341="","",VLOOKUP(D1341,CadProd!$A:$C,3,0)),"")</f>
        <v/>
      </c>
      <c r="I1341" s="1" t="str">
        <f t="shared" si="20"/>
        <v/>
      </c>
    </row>
    <row r="1342" spans="5:9" x14ac:dyDescent="0.3">
      <c r="E1342" t="str">
        <f>IFERROR(IF(D1342="","",VLOOKUP(D1342,CadProd!$A:$B,2,0)),"")</f>
        <v/>
      </c>
      <c r="F1342" t="str">
        <f>IFERROR(IF(D1342="","",VLOOKUP(D1342,CadProd!$A:$C,3,0)),"")</f>
        <v/>
      </c>
      <c r="I1342" s="1" t="str">
        <f t="shared" si="20"/>
        <v/>
      </c>
    </row>
    <row r="1343" spans="5:9" x14ac:dyDescent="0.3">
      <c r="E1343" t="str">
        <f>IFERROR(IF(D1343="","",VLOOKUP(D1343,CadProd!$A:$B,2,0)),"")</f>
        <v/>
      </c>
      <c r="F1343" t="str">
        <f>IFERROR(IF(D1343="","",VLOOKUP(D1343,CadProd!$A:$C,3,0)),"")</f>
        <v/>
      </c>
      <c r="I1343" s="1" t="str">
        <f t="shared" si="20"/>
        <v/>
      </c>
    </row>
    <row r="1344" spans="5:9" x14ac:dyDescent="0.3">
      <c r="E1344" t="str">
        <f>IFERROR(IF(D1344="","",VLOOKUP(D1344,CadProd!$A:$B,2,0)),"")</f>
        <v/>
      </c>
      <c r="F1344" t="str">
        <f>IFERROR(IF(D1344="","",VLOOKUP(D1344,CadProd!$A:$C,3,0)),"")</f>
        <v/>
      </c>
      <c r="I1344" s="1" t="str">
        <f t="shared" si="20"/>
        <v/>
      </c>
    </row>
    <row r="1345" spans="5:9" x14ac:dyDescent="0.3">
      <c r="E1345" t="str">
        <f>IFERROR(IF(D1345="","",VLOOKUP(D1345,CadProd!$A:$B,2,0)),"")</f>
        <v/>
      </c>
      <c r="F1345" t="str">
        <f>IFERROR(IF(D1345="","",VLOOKUP(D1345,CadProd!$A:$C,3,0)),"")</f>
        <v/>
      </c>
      <c r="I1345" s="1" t="str">
        <f t="shared" si="20"/>
        <v/>
      </c>
    </row>
    <row r="1346" spans="5:9" x14ac:dyDescent="0.3">
      <c r="E1346" t="str">
        <f>IFERROR(IF(D1346="","",VLOOKUP(D1346,CadProd!$A:$B,2,0)),"")</f>
        <v/>
      </c>
      <c r="F1346" t="str">
        <f>IFERROR(IF(D1346="","",VLOOKUP(D1346,CadProd!$A:$C,3,0)),"")</f>
        <v/>
      </c>
      <c r="I1346" s="1" t="str">
        <f t="shared" si="20"/>
        <v/>
      </c>
    </row>
    <row r="1347" spans="5:9" x14ac:dyDescent="0.3">
      <c r="E1347" t="str">
        <f>IFERROR(IF(D1347="","",VLOOKUP(D1347,CadProd!$A:$B,2,0)),"")</f>
        <v/>
      </c>
      <c r="F1347" t="str">
        <f>IFERROR(IF(D1347="","",VLOOKUP(D1347,CadProd!$A:$C,3,0)),"")</f>
        <v/>
      </c>
      <c r="I1347" s="1" t="str">
        <f t="shared" si="20"/>
        <v/>
      </c>
    </row>
    <row r="1348" spans="5:9" x14ac:dyDescent="0.3">
      <c r="E1348" t="str">
        <f>IFERROR(IF(D1348="","",VLOOKUP(D1348,CadProd!$A:$B,2,0)),"")</f>
        <v/>
      </c>
      <c r="F1348" t="str">
        <f>IFERROR(IF(D1348="","",VLOOKUP(D1348,CadProd!$A:$C,3,0)),"")</f>
        <v/>
      </c>
      <c r="I1348" s="1" t="str">
        <f t="shared" si="20"/>
        <v/>
      </c>
    </row>
    <row r="1349" spans="5:9" x14ac:dyDescent="0.3">
      <c r="E1349" t="str">
        <f>IFERROR(IF(D1349="","",VLOOKUP(D1349,CadProd!$A:$B,2,0)),"")</f>
        <v/>
      </c>
      <c r="F1349" t="str">
        <f>IFERROR(IF(D1349="","",VLOOKUP(D1349,CadProd!$A:$C,3,0)),"")</f>
        <v/>
      </c>
      <c r="I1349" s="1" t="str">
        <f t="shared" si="20"/>
        <v/>
      </c>
    </row>
    <row r="1350" spans="5:9" x14ac:dyDescent="0.3">
      <c r="E1350" t="str">
        <f>IFERROR(IF(D1350="","",VLOOKUP(D1350,CadProd!$A:$B,2,0)),"")</f>
        <v/>
      </c>
      <c r="F1350" t="str">
        <f>IFERROR(IF(D1350="","",VLOOKUP(D1350,CadProd!$A:$C,3,0)),"")</f>
        <v/>
      </c>
      <c r="I1350" s="1" t="str">
        <f t="shared" si="20"/>
        <v/>
      </c>
    </row>
    <row r="1351" spans="5:9" x14ac:dyDescent="0.3">
      <c r="E1351" t="str">
        <f>IFERROR(IF(D1351="","",VLOOKUP(D1351,CadProd!$A:$B,2,0)),"")</f>
        <v/>
      </c>
      <c r="F1351" t="str">
        <f>IFERROR(IF(D1351="","",VLOOKUP(D1351,CadProd!$A:$C,3,0)),"")</f>
        <v/>
      </c>
      <c r="I1351" s="1" t="str">
        <f t="shared" si="20"/>
        <v/>
      </c>
    </row>
    <row r="1352" spans="5:9" x14ac:dyDescent="0.3">
      <c r="E1352" t="str">
        <f>IFERROR(IF(D1352="","",VLOOKUP(D1352,CadProd!$A:$B,2,0)),"")</f>
        <v/>
      </c>
      <c r="F1352" t="str">
        <f>IFERROR(IF(D1352="","",VLOOKUP(D1352,CadProd!$A:$C,3,0)),"")</f>
        <v/>
      </c>
      <c r="I1352" s="1" t="str">
        <f t="shared" si="20"/>
        <v/>
      </c>
    </row>
    <row r="1353" spans="5:9" x14ac:dyDescent="0.3">
      <c r="E1353" t="str">
        <f>IFERROR(IF(D1353="","",VLOOKUP(D1353,CadProd!$A:$B,2,0)),"")</f>
        <v/>
      </c>
      <c r="F1353" t="str">
        <f>IFERROR(IF(D1353="","",VLOOKUP(D1353,CadProd!$A:$C,3,0)),"")</f>
        <v/>
      </c>
      <c r="I1353" s="1" t="str">
        <f t="shared" si="20"/>
        <v/>
      </c>
    </row>
    <row r="1354" spans="5:9" x14ac:dyDescent="0.3">
      <c r="E1354" t="str">
        <f>IFERROR(IF(D1354="","",VLOOKUP(D1354,CadProd!$A:$B,2,0)),"")</f>
        <v/>
      </c>
      <c r="F1354" t="str">
        <f>IFERROR(IF(D1354="","",VLOOKUP(D1354,CadProd!$A:$C,3,0)),"")</f>
        <v/>
      </c>
      <c r="I1354" s="1" t="str">
        <f t="shared" si="20"/>
        <v/>
      </c>
    </row>
    <row r="1355" spans="5:9" x14ac:dyDescent="0.3">
      <c r="E1355" t="str">
        <f>IFERROR(IF(D1355="","",VLOOKUP(D1355,CadProd!$A:$B,2,0)),"")</f>
        <v/>
      </c>
      <c r="F1355" t="str">
        <f>IFERROR(IF(D1355="","",VLOOKUP(D1355,CadProd!$A:$C,3,0)),"")</f>
        <v/>
      </c>
      <c r="I1355" s="1" t="str">
        <f t="shared" ref="I1355:I1418" si="21">IFERROR(IF(D1355="","",H1355*G1355),"")</f>
        <v/>
      </c>
    </row>
    <row r="1356" spans="5:9" x14ac:dyDescent="0.3">
      <c r="E1356" t="str">
        <f>IFERROR(IF(D1356="","",VLOOKUP(D1356,CadProd!$A:$B,2,0)),"")</f>
        <v/>
      </c>
      <c r="F1356" t="str">
        <f>IFERROR(IF(D1356="","",VLOOKUP(D1356,CadProd!$A:$C,3,0)),"")</f>
        <v/>
      </c>
      <c r="I1356" s="1" t="str">
        <f t="shared" si="21"/>
        <v/>
      </c>
    </row>
    <row r="1357" spans="5:9" x14ac:dyDescent="0.3">
      <c r="E1357" t="str">
        <f>IFERROR(IF(D1357="","",VLOOKUP(D1357,CadProd!$A:$B,2,0)),"")</f>
        <v/>
      </c>
      <c r="F1357" t="str">
        <f>IFERROR(IF(D1357="","",VLOOKUP(D1357,CadProd!$A:$C,3,0)),"")</f>
        <v/>
      </c>
      <c r="I1357" s="1" t="str">
        <f t="shared" si="21"/>
        <v/>
      </c>
    </row>
    <row r="1358" spans="5:9" x14ac:dyDescent="0.3">
      <c r="E1358" t="str">
        <f>IFERROR(IF(D1358="","",VLOOKUP(D1358,CadProd!$A:$B,2,0)),"")</f>
        <v/>
      </c>
      <c r="F1358" t="str">
        <f>IFERROR(IF(D1358="","",VLOOKUP(D1358,CadProd!$A:$C,3,0)),"")</f>
        <v/>
      </c>
      <c r="I1358" s="1" t="str">
        <f t="shared" si="21"/>
        <v/>
      </c>
    </row>
    <row r="1359" spans="5:9" x14ac:dyDescent="0.3">
      <c r="E1359" t="str">
        <f>IFERROR(IF(D1359="","",VLOOKUP(D1359,CadProd!$A:$B,2,0)),"")</f>
        <v/>
      </c>
      <c r="F1359" t="str">
        <f>IFERROR(IF(D1359="","",VLOOKUP(D1359,CadProd!$A:$C,3,0)),"")</f>
        <v/>
      </c>
      <c r="I1359" s="1" t="str">
        <f t="shared" si="21"/>
        <v/>
      </c>
    </row>
    <row r="1360" spans="5:9" x14ac:dyDescent="0.3">
      <c r="E1360" t="str">
        <f>IFERROR(IF(D1360="","",VLOOKUP(D1360,CadProd!$A:$B,2,0)),"")</f>
        <v/>
      </c>
      <c r="F1360" t="str">
        <f>IFERROR(IF(D1360="","",VLOOKUP(D1360,CadProd!$A:$C,3,0)),"")</f>
        <v/>
      </c>
      <c r="I1360" s="1" t="str">
        <f t="shared" si="21"/>
        <v/>
      </c>
    </row>
    <row r="1361" spans="5:9" x14ac:dyDescent="0.3">
      <c r="E1361" t="str">
        <f>IFERROR(IF(D1361="","",VLOOKUP(D1361,CadProd!$A:$B,2,0)),"")</f>
        <v/>
      </c>
      <c r="F1361" t="str">
        <f>IFERROR(IF(D1361="","",VLOOKUP(D1361,CadProd!$A:$C,3,0)),"")</f>
        <v/>
      </c>
      <c r="I1361" s="1" t="str">
        <f t="shared" si="21"/>
        <v/>
      </c>
    </row>
    <row r="1362" spans="5:9" x14ac:dyDescent="0.3">
      <c r="E1362" t="str">
        <f>IFERROR(IF(D1362="","",VLOOKUP(D1362,CadProd!$A:$B,2,0)),"")</f>
        <v/>
      </c>
      <c r="F1362" t="str">
        <f>IFERROR(IF(D1362="","",VLOOKUP(D1362,CadProd!$A:$C,3,0)),"")</f>
        <v/>
      </c>
      <c r="I1362" s="1" t="str">
        <f t="shared" si="21"/>
        <v/>
      </c>
    </row>
    <row r="1363" spans="5:9" x14ac:dyDescent="0.3">
      <c r="E1363" t="str">
        <f>IFERROR(IF(D1363="","",VLOOKUP(D1363,CadProd!$A:$B,2,0)),"")</f>
        <v/>
      </c>
      <c r="F1363" t="str">
        <f>IFERROR(IF(D1363="","",VLOOKUP(D1363,CadProd!$A:$C,3,0)),"")</f>
        <v/>
      </c>
      <c r="I1363" s="1" t="str">
        <f t="shared" si="21"/>
        <v/>
      </c>
    </row>
    <row r="1364" spans="5:9" x14ac:dyDescent="0.3">
      <c r="E1364" t="str">
        <f>IFERROR(IF(D1364="","",VLOOKUP(D1364,CadProd!$A:$B,2,0)),"")</f>
        <v/>
      </c>
      <c r="F1364" t="str">
        <f>IFERROR(IF(D1364="","",VLOOKUP(D1364,CadProd!$A:$C,3,0)),"")</f>
        <v/>
      </c>
      <c r="I1364" s="1" t="str">
        <f t="shared" si="21"/>
        <v/>
      </c>
    </row>
    <row r="1365" spans="5:9" x14ac:dyDescent="0.3">
      <c r="E1365" t="str">
        <f>IFERROR(IF(D1365="","",VLOOKUP(D1365,CadProd!$A:$B,2,0)),"")</f>
        <v/>
      </c>
      <c r="F1365" t="str">
        <f>IFERROR(IF(D1365="","",VLOOKUP(D1365,CadProd!$A:$C,3,0)),"")</f>
        <v/>
      </c>
      <c r="I1365" s="1" t="str">
        <f t="shared" si="21"/>
        <v/>
      </c>
    </row>
    <row r="1366" spans="5:9" x14ac:dyDescent="0.3">
      <c r="E1366" t="str">
        <f>IFERROR(IF(D1366="","",VLOOKUP(D1366,CadProd!$A:$B,2,0)),"")</f>
        <v/>
      </c>
      <c r="F1366" t="str">
        <f>IFERROR(IF(D1366="","",VLOOKUP(D1366,CadProd!$A:$C,3,0)),"")</f>
        <v/>
      </c>
      <c r="I1366" s="1" t="str">
        <f t="shared" si="21"/>
        <v/>
      </c>
    </row>
    <row r="1367" spans="5:9" x14ac:dyDescent="0.3">
      <c r="E1367" t="str">
        <f>IFERROR(IF(D1367="","",VLOOKUP(D1367,CadProd!$A:$B,2,0)),"")</f>
        <v/>
      </c>
      <c r="F1367" t="str">
        <f>IFERROR(IF(D1367="","",VLOOKUP(D1367,CadProd!$A:$C,3,0)),"")</f>
        <v/>
      </c>
      <c r="I1367" s="1" t="str">
        <f t="shared" si="21"/>
        <v/>
      </c>
    </row>
    <row r="1368" spans="5:9" x14ac:dyDescent="0.3">
      <c r="E1368" t="str">
        <f>IFERROR(IF(D1368="","",VLOOKUP(D1368,CadProd!$A:$B,2,0)),"")</f>
        <v/>
      </c>
      <c r="F1368" t="str">
        <f>IFERROR(IF(D1368="","",VLOOKUP(D1368,CadProd!$A:$C,3,0)),"")</f>
        <v/>
      </c>
      <c r="I1368" s="1" t="str">
        <f t="shared" si="21"/>
        <v/>
      </c>
    </row>
    <row r="1369" spans="5:9" x14ac:dyDescent="0.3">
      <c r="E1369" t="str">
        <f>IFERROR(IF(D1369="","",VLOOKUP(D1369,CadProd!$A:$B,2,0)),"")</f>
        <v/>
      </c>
      <c r="F1369" t="str">
        <f>IFERROR(IF(D1369="","",VLOOKUP(D1369,CadProd!$A:$C,3,0)),"")</f>
        <v/>
      </c>
      <c r="I1369" s="1" t="str">
        <f t="shared" si="21"/>
        <v/>
      </c>
    </row>
    <row r="1370" spans="5:9" x14ac:dyDescent="0.3">
      <c r="E1370" t="str">
        <f>IFERROR(IF(D1370="","",VLOOKUP(D1370,CadProd!$A:$B,2,0)),"")</f>
        <v/>
      </c>
      <c r="F1370" t="str">
        <f>IFERROR(IF(D1370="","",VLOOKUP(D1370,CadProd!$A:$C,3,0)),"")</f>
        <v/>
      </c>
      <c r="I1370" s="1" t="str">
        <f t="shared" si="21"/>
        <v/>
      </c>
    </row>
    <row r="1371" spans="5:9" x14ac:dyDescent="0.3">
      <c r="E1371" t="str">
        <f>IFERROR(IF(D1371="","",VLOOKUP(D1371,CadProd!$A:$B,2,0)),"")</f>
        <v/>
      </c>
      <c r="F1371" t="str">
        <f>IFERROR(IF(D1371="","",VLOOKUP(D1371,CadProd!$A:$C,3,0)),"")</f>
        <v/>
      </c>
      <c r="I1371" s="1" t="str">
        <f t="shared" si="21"/>
        <v/>
      </c>
    </row>
    <row r="1372" spans="5:9" x14ac:dyDescent="0.3">
      <c r="E1372" t="str">
        <f>IFERROR(IF(D1372="","",VLOOKUP(D1372,CadProd!$A:$B,2,0)),"")</f>
        <v/>
      </c>
      <c r="F1372" t="str">
        <f>IFERROR(IF(D1372="","",VLOOKUP(D1372,CadProd!$A:$C,3,0)),"")</f>
        <v/>
      </c>
      <c r="I1372" s="1" t="str">
        <f t="shared" si="21"/>
        <v/>
      </c>
    </row>
    <row r="1373" spans="5:9" x14ac:dyDescent="0.3">
      <c r="E1373" t="str">
        <f>IFERROR(IF(D1373="","",VLOOKUP(D1373,CadProd!$A:$B,2,0)),"")</f>
        <v/>
      </c>
      <c r="F1373" t="str">
        <f>IFERROR(IF(D1373="","",VLOOKUP(D1373,CadProd!$A:$C,3,0)),"")</f>
        <v/>
      </c>
      <c r="I1373" s="1" t="str">
        <f t="shared" si="21"/>
        <v/>
      </c>
    </row>
    <row r="1374" spans="5:9" x14ac:dyDescent="0.3">
      <c r="E1374" t="str">
        <f>IFERROR(IF(D1374="","",VLOOKUP(D1374,CadProd!$A:$B,2,0)),"")</f>
        <v/>
      </c>
      <c r="F1374" t="str">
        <f>IFERROR(IF(D1374="","",VLOOKUP(D1374,CadProd!$A:$C,3,0)),"")</f>
        <v/>
      </c>
      <c r="I1374" s="1" t="str">
        <f t="shared" si="21"/>
        <v/>
      </c>
    </row>
    <row r="1375" spans="5:9" x14ac:dyDescent="0.3">
      <c r="E1375" t="str">
        <f>IFERROR(IF(D1375="","",VLOOKUP(D1375,CadProd!$A:$B,2,0)),"")</f>
        <v/>
      </c>
      <c r="F1375" t="str">
        <f>IFERROR(IF(D1375="","",VLOOKUP(D1375,CadProd!$A:$C,3,0)),"")</f>
        <v/>
      </c>
      <c r="I1375" s="1" t="str">
        <f t="shared" si="21"/>
        <v/>
      </c>
    </row>
    <row r="1376" spans="5:9" x14ac:dyDescent="0.3">
      <c r="E1376" t="str">
        <f>IFERROR(IF(D1376="","",VLOOKUP(D1376,CadProd!$A:$B,2,0)),"")</f>
        <v/>
      </c>
      <c r="F1376" t="str">
        <f>IFERROR(IF(D1376="","",VLOOKUP(D1376,CadProd!$A:$C,3,0)),"")</f>
        <v/>
      </c>
      <c r="I1376" s="1" t="str">
        <f t="shared" si="21"/>
        <v/>
      </c>
    </row>
    <row r="1377" spans="5:9" x14ac:dyDescent="0.3">
      <c r="E1377" t="str">
        <f>IFERROR(IF(D1377="","",VLOOKUP(D1377,CadProd!$A:$B,2,0)),"")</f>
        <v/>
      </c>
      <c r="F1377" t="str">
        <f>IFERROR(IF(D1377="","",VLOOKUP(D1377,CadProd!$A:$C,3,0)),"")</f>
        <v/>
      </c>
      <c r="I1377" s="1" t="str">
        <f t="shared" si="21"/>
        <v/>
      </c>
    </row>
    <row r="1378" spans="5:9" x14ac:dyDescent="0.3">
      <c r="E1378" t="str">
        <f>IFERROR(IF(D1378="","",VLOOKUP(D1378,CadProd!$A:$B,2,0)),"")</f>
        <v/>
      </c>
      <c r="F1378" t="str">
        <f>IFERROR(IF(D1378="","",VLOOKUP(D1378,CadProd!$A:$C,3,0)),"")</f>
        <v/>
      </c>
      <c r="I1378" s="1" t="str">
        <f t="shared" si="21"/>
        <v/>
      </c>
    </row>
    <row r="1379" spans="5:9" x14ac:dyDescent="0.3">
      <c r="E1379" t="str">
        <f>IFERROR(IF(D1379="","",VLOOKUP(D1379,CadProd!$A:$B,2,0)),"")</f>
        <v/>
      </c>
      <c r="F1379" t="str">
        <f>IFERROR(IF(D1379="","",VLOOKUP(D1379,CadProd!$A:$C,3,0)),"")</f>
        <v/>
      </c>
      <c r="I1379" s="1" t="str">
        <f t="shared" si="21"/>
        <v/>
      </c>
    </row>
    <row r="1380" spans="5:9" x14ac:dyDescent="0.3">
      <c r="E1380" t="str">
        <f>IFERROR(IF(D1380="","",VLOOKUP(D1380,CadProd!$A:$B,2,0)),"")</f>
        <v/>
      </c>
      <c r="F1380" t="str">
        <f>IFERROR(IF(D1380="","",VLOOKUP(D1380,CadProd!$A:$C,3,0)),"")</f>
        <v/>
      </c>
      <c r="I1380" s="1" t="str">
        <f t="shared" si="21"/>
        <v/>
      </c>
    </row>
    <row r="1381" spans="5:9" x14ac:dyDescent="0.3">
      <c r="E1381" t="str">
        <f>IFERROR(IF(D1381="","",VLOOKUP(D1381,CadProd!$A:$B,2,0)),"")</f>
        <v/>
      </c>
      <c r="F1381" t="str">
        <f>IFERROR(IF(D1381="","",VLOOKUP(D1381,CadProd!$A:$C,3,0)),"")</f>
        <v/>
      </c>
      <c r="I1381" s="1" t="str">
        <f t="shared" si="21"/>
        <v/>
      </c>
    </row>
    <row r="1382" spans="5:9" x14ac:dyDescent="0.3">
      <c r="E1382" t="str">
        <f>IFERROR(IF(D1382="","",VLOOKUP(D1382,CadProd!$A:$B,2,0)),"")</f>
        <v/>
      </c>
      <c r="F1382" t="str">
        <f>IFERROR(IF(D1382="","",VLOOKUP(D1382,CadProd!$A:$C,3,0)),"")</f>
        <v/>
      </c>
      <c r="I1382" s="1" t="str">
        <f t="shared" si="21"/>
        <v/>
      </c>
    </row>
    <row r="1383" spans="5:9" x14ac:dyDescent="0.3">
      <c r="E1383" t="str">
        <f>IFERROR(IF(D1383="","",VLOOKUP(D1383,CadProd!$A:$B,2,0)),"")</f>
        <v/>
      </c>
      <c r="F1383" t="str">
        <f>IFERROR(IF(D1383="","",VLOOKUP(D1383,CadProd!$A:$C,3,0)),"")</f>
        <v/>
      </c>
      <c r="I1383" s="1" t="str">
        <f t="shared" si="21"/>
        <v/>
      </c>
    </row>
    <row r="1384" spans="5:9" x14ac:dyDescent="0.3">
      <c r="E1384" t="str">
        <f>IFERROR(IF(D1384="","",VLOOKUP(D1384,CadProd!$A:$B,2,0)),"")</f>
        <v/>
      </c>
      <c r="F1384" t="str">
        <f>IFERROR(IF(D1384="","",VLOOKUP(D1384,CadProd!$A:$C,3,0)),"")</f>
        <v/>
      </c>
      <c r="I1384" s="1" t="str">
        <f t="shared" si="21"/>
        <v/>
      </c>
    </row>
    <row r="1385" spans="5:9" x14ac:dyDescent="0.3">
      <c r="E1385" t="str">
        <f>IFERROR(IF(D1385="","",VLOOKUP(D1385,CadProd!$A:$B,2,0)),"")</f>
        <v/>
      </c>
      <c r="F1385" t="str">
        <f>IFERROR(IF(D1385="","",VLOOKUP(D1385,CadProd!$A:$C,3,0)),"")</f>
        <v/>
      </c>
      <c r="I1385" s="1" t="str">
        <f t="shared" si="21"/>
        <v/>
      </c>
    </row>
    <row r="1386" spans="5:9" x14ac:dyDescent="0.3">
      <c r="E1386" t="str">
        <f>IFERROR(IF(D1386="","",VLOOKUP(D1386,CadProd!$A:$B,2,0)),"")</f>
        <v/>
      </c>
      <c r="F1386" t="str">
        <f>IFERROR(IF(D1386="","",VLOOKUP(D1386,CadProd!$A:$C,3,0)),"")</f>
        <v/>
      </c>
      <c r="I1386" s="1" t="str">
        <f t="shared" si="21"/>
        <v/>
      </c>
    </row>
    <row r="1387" spans="5:9" x14ac:dyDescent="0.3">
      <c r="E1387" t="str">
        <f>IFERROR(IF(D1387="","",VLOOKUP(D1387,CadProd!$A:$B,2,0)),"")</f>
        <v/>
      </c>
      <c r="F1387" t="str">
        <f>IFERROR(IF(D1387="","",VLOOKUP(D1387,CadProd!$A:$C,3,0)),"")</f>
        <v/>
      </c>
      <c r="I1387" s="1" t="str">
        <f t="shared" si="21"/>
        <v/>
      </c>
    </row>
    <row r="1388" spans="5:9" x14ac:dyDescent="0.3">
      <c r="E1388" t="str">
        <f>IFERROR(IF(D1388="","",VLOOKUP(D1388,CadProd!$A:$B,2,0)),"")</f>
        <v/>
      </c>
      <c r="F1388" t="str">
        <f>IFERROR(IF(D1388="","",VLOOKUP(D1388,CadProd!$A:$C,3,0)),"")</f>
        <v/>
      </c>
      <c r="I1388" s="1" t="str">
        <f t="shared" si="21"/>
        <v/>
      </c>
    </row>
    <row r="1389" spans="5:9" x14ac:dyDescent="0.3">
      <c r="E1389" t="str">
        <f>IFERROR(IF(D1389="","",VLOOKUP(D1389,CadProd!$A:$B,2,0)),"")</f>
        <v/>
      </c>
      <c r="F1389" t="str">
        <f>IFERROR(IF(D1389="","",VLOOKUP(D1389,CadProd!$A:$C,3,0)),"")</f>
        <v/>
      </c>
      <c r="I1389" s="1" t="str">
        <f t="shared" si="21"/>
        <v/>
      </c>
    </row>
    <row r="1390" spans="5:9" x14ac:dyDescent="0.3">
      <c r="E1390" t="str">
        <f>IFERROR(IF(D1390="","",VLOOKUP(D1390,CadProd!$A:$B,2,0)),"")</f>
        <v/>
      </c>
      <c r="F1390" t="str">
        <f>IFERROR(IF(D1390="","",VLOOKUP(D1390,CadProd!$A:$C,3,0)),"")</f>
        <v/>
      </c>
      <c r="I1390" s="1" t="str">
        <f t="shared" si="21"/>
        <v/>
      </c>
    </row>
    <row r="1391" spans="5:9" x14ac:dyDescent="0.3">
      <c r="E1391" t="str">
        <f>IFERROR(IF(D1391="","",VLOOKUP(D1391,CadProd!$A:$B,2,0)),"")</f>
        <v/>
      </c>
      <c r="F1391" t="str">
        <f>IFERROR(IF(D1391="","",VLOOKUP(D1391,CadProd!$A:$C,3,0)),"")</f>
        <v/>
      </c>
      <c r="I1391" s="1" t="str">
        <f t="shared" si="21"/>
        <v/>
      </c>
    </row>
    <row r="1392" spans="5:9" x14ac:dyDescent="0.3">
      <c r="E1392" t="str">
        <f>IFERROR(IF(D1392="","",VLOOKUP(D1392,CadProd!$A:$B,2,0)),"")</f>
        <v/>
      </c>
      <c r="F1392" t="str">
        <f>IFERROR(IF(D1392="","",VLOOKUP(D1392,CadProd!$A:$C,3,0)),"")</f>
        <v/>
      </c>
      <c r="I1392" s="1" t="str">
        <f t="shared" si="21"/>
        <v/>
      </c>
    </row>
    <row r="1393" spans="5:9" x14ac:dyDescent="0.3">
      <c r="E1393" t="str">
        <f>IFERROR(IF(D1393="","",VLOOKUP(D1393,CadProd!$A:$B,2,0)),"")</f>
        <v/>
      </c>
      <c r="F1393" t="str">
        <f>IFERROR(IF(D1393="","",VLOOKUP(D1393,CadProd!$A:$C,3,0)),"")</f>
        <v/>
      </c>
      <c r="I1393" s="1" t="str">
        <f t="shared" si="21"/>
        <v/>
      </c>
    </row>
    <row r="1394" spans="5:9" x14ac:dyDescent="0.3">
      <c r="E1394" t="str">
        <f>IFERROR(IF(D1394="","",VLOOKUP(D1394,CadProd!$A:$B,2,0)),"")</f>
        <v/>
      </c>
      <c r="F1394" t="str">
        <f>IFERROR(IF(D1394="","",VLOOKUP(D1394,CadProd!$A:$C,3,0)),"")</f>
        <v/>
      </c>
      <c r="I1394" s="1" t="str">
        <f t="shared" si="21"/>
        <v/>
      </c>
    </row>
    <row r="1395" spans="5:9" x14ac:dyDescent="0.3">
      <c r="E1395" t="str">
        <f>IFERROR(IF(D1395="","",VLOOKUP(D1395,CadProd!$A:$B,2,0)),"")</f>
        <v/>
      </c>
      <c r="F1395" t="str">
        <f>IFERROR(IF(D1395="","",VLOOKUP(D1395,CadProd!$A:$C,3,0)),"")</f>
        <v/>
      </c>
      <c r="I1395" s="1" t="str">
        <f t="shared" si="21"/>
        <v/>
      </c>
    </row>
    <row r="1396" spans="5:9" x14ac:dyDescent="0.3">
      <c r="E1396" t="str">
        <f>IFERROR(IF(D1396="","",VLOOKUP(D1396,CadProd!$A:$B,2,0)),"")</f>
        <v/>
      </c>
      <c r="F1396" t="str">
        <f>IFERROR(IF(D1396="","",VLOOKUP(D1396,CadProd!$A:$C,3,0)),"")</f>
        <v/>
      </c>
      <c r="I1396" s="1" t="str">
        <f t="shared" si="21"/>
        <v/>
      </c>
    </row>
    <row r="1397" spans="5:9" x14ac:dyDescent="0.3">
      <c r="E1397" t="str">
        <f>IFERROR(IF(D1397="","",VLOOKUP(D1397,CadProd!$A:$B,2,0)),"")</f>
        <v/>
      </c>
      <c r="F1397" t="str">
        <f>IFERROR(IF(D1397="","",VLOOKUP(D1397,CadProd!$A:$C,3,0)),"")</f>
        <v/>
      </c>
      <c r="I1397" s="1" t="str">
        <f t="shared" si="21"/>
        <v/>
      </c>
    </row>
    <row r="1398" spans="5:9" x14ac:dyDescent="0.3">
      <c r="E1398" t="str">
        <f>IFERROR(IF(D1398="","",VLOOKUP(D1398,CadProd!$A:$B,2,0)),"")</f>
        <v/>
      </c>
      <c r="F1398" t="str">
        <f>IFERROR(IF(D1398="","",VLOOKUP(D1398,CadProd!$A:$C,3,0)),"")</f>
        <v/>
      </c>
      <c r="I1398" s="1" t="str">
        <f t="shared" si="21"/>
        <v/>
      </c>
    </row>
    <row r="1399" spans="5:9" x14ac:dyDescent="0.3">
      <c r="E1399" t="str">
        <f>IFERROR(IF(D1399="","",VLOOKUP(D1399,CadProd!$A:$B,2,0)),"")</f>
        <v/>
      </c>
      <c r="F1399" t="str">
        <f>IFERROR(IF(D1399="","",VLOOKUP(D1399,CadProd!$A:$C,3,0)),"")</f>
        <v/>
      </c>
      <c r="I1399" s="1" t="str">
        <f t="shared" si="21"/>
        <v/>
      </c>
    </row>
    <row r="1400" spans="5:9" x14ac:dyDescent="0.3">
      <c r="E1400" t="str">
        <f>IFERROR(IF(D1400="","",VLOOKUP(D1400,CadProd!$A:$B,2,0)),"")</f>
        <v/>
      </c>
      <c r="F1400" t="str">
        <f>IFERROR(IF(D1400="","",VLOOKUP(D1400,CadProd!$A:$C,3,0)),"")</f>
        <v/>
      </c>
      <c r="I1400" s="1" t="str">
        <f t="shared" si="21"/>
        <v/>
      </c>
    </row>
    <row r="1401" spans="5:9" x14ac:dyDescent="0.3">
      <c r="E1401" t="str">
        <f>IFERROR(IF(D1401="","",VLOOKUP(D1401,CadProd!$A:$B,2,0)),"")</f>
        <v/>
      </c>
      <c r="F1401" t="str">
        <f>IFERROR(IF(D1401="","",VLOOKUP(D1401,CadProd!$A:$C,3,0)),"")</f>
        <v/>
      </c>
      <c r="I1401" s="1" t="str">
        <f t="shared" si="21"/>
        <v/>
      </c>
    </row>
    <row r="1402" spans="5:9" x14ac:dyDescent="0.3">
      <c r="E1402" t="str">
        <f>IFERROR(IF(D1402="","",VLOOKUP(D1402,CadProd!$A:$B,2,0)),"")</f>
        <v/>
      </c>
      <c r="F1402" t="str">
        <f>IFERROR(IF(D1402="","",VLOOKUP(D1402,CadProd!$A:$C,3,0)),"")</f>
        <v/>
      </c>
      <c r="I1402" s="1" t="str">
        <f t="shared" si="21"/>
        <v/>
      </c>
    </row>
    <row r="1403" spans="5:9" x14ac:dyDescent="0.3">
      <c r="E1403" t="str">
        <f>IFERROR(IF(D1403="","",VLOOKUP(D1403,CadProd!$A:$B,2,0)),"")</f>
        <v/>
      </c>
      <c r="F1403" t="str">
        <f>IFERROR(IF(D1403="","",VLOOKUP(D1403,CadProd!$A:$C,3,0)),"")</f>
        <v/>
      </c>
      <c r="I1403" s="1" t="str">
        <f t="shared" si="21"/>
        <v/>
      </c>
    </row>
    <row r="1404" spans="5:9" x14ac:dyDescent="0.3">
      <c r="E1404" t="str">
        <f>IFERROR(IF(D1404="","",VLOOKUP(D1404,CadProd!$A:$B,2,0)),"")</f>
        <v/>
      </c>
      <c r="F1404" t="str">
        <f>IFERROR(IF(D1404="","",VLOOKUP(D1404,CadProd!$A:$C,3,0)),"")</f>
        <v/>
      </c>
      <c r="I1404" s="1" t="str">
        <f t="shared" si="21"/>
        <v/>
      </c>
    </row>
    <row r="1405" spans="5:9" x14ac:dyDescent="0.3">
      <c r="E1405" t="str">
        <f>IFERROR(IF(D1405="","",VLOOKUP(D1405,CadProd!$A:$B,2,0)),"")</f>
        <v/>
      </c>
      <c r="F1405" t="str">
        <f>IFERROR(IF(D1405="","",VLOOKUP(D1405,CadProd!$A:$C,3,0)),"")</f>
        <v/>
      </c>
      <c r="I1405" s="1" t="str">
        <f t="shared" si="21"/>
        <v/>
      </c>
    </row>
    <row r="1406" spans="5:9" x14ac:dyDescent="0.3">
      <c r="E1406" t="str">
        <f>IFERROR(IF(D1406="","",VLOOKUP(D1406,CadProd!$A:$B,2,0)),"")</f>
        <v/>
      </c>
      <c r="F1406" t="str">
        <f>IFERROR(IF(D1406="","",VLOOKUP(D1406,CadProd!$A:$C,3,0)),"")</f>
        <v/>
      </c>
      <c r="I1406" s="1" t="str">
        <f t="shared" si="21"/>
        <v/>
      </c>
    </row>
    <row r="1407" spans="5:9" x14ac:dyDescent="0.3">
      <c r="E1407" t="str">
        <f>IFERROR(IF(D1407="","",VLOOKUP(D1407,CadProd!$A:$B,2,0)),"")</f>
        <v/>
      </c>
      <c r="F1407" t="str">
        <f>IFERROR(IF(D1407="","",VLOOKUP(D1407,CadProd!$A:$C,3,0)),"")</f>
        <v/>
      </c>
      <c r="I1407" s="1" t="str">
        <f t="shared" si="21"/>
        <v/>
      </c>
    </row>
    <row r="1408" spans="5:9" x14ac:dyDescent="0.3">
      <c r="E1408" t="str">
        <f>IFERROR(IF(D1408="","",VLOOKUP(D1408,CadProd!$A:$B,2,0)),"")</f>
        <v/>
      </c>
      <c r="F1408" t="str">
        <f>IFERROR(IF(D1408="","",VLOOKUP(D1408,CadProd!$A:$C,3,0)),"")</f>
        <v/>
      </c>
      <c r="I1408" s="1" t="str">
        <f t="shared" si="21"/>
        <v/>
      </c>
    </row>
    <row r="1409" spans="5:9" x14ac:dyDescent="0.3">
      <c r="E1409" t="str">
        <f>IFERROR(IF(D1409="","",VLOOKUP(D1409,CadProd!$A:$B,2,0)),"")</f>
        <v/>
      </c>
      <c r="F1409" t="str">
        <f>IFERROR(IF(D1409="","",VLOOKUP(D1409,CadProd!$A:$C,3,0)),"")</f>
        <v/>
      </c>
      <c r="I1409" s="1" t="str">
        <f t="shared" si="21"/>
        <v/>
      </c>
    </row>
    <row r="1410" spans="5:9" x14ac:dyDescent="0.3">
      <c r="E1410" t="str">
        <f>IFERROR(IF(D1410="","",VLOOKUP(D1410,CadProd!$A:$B,2,0)),"")</f>
        <v/>
      </c>
      <c r="F1410" t="str">
        <f>IFERROR(IF(D1410="","",VLOOKUP(D1410,CadProd!$A:$C,3,0)),"")</f>
        <v/>
      </c>
      <c r="I1410" s="1" t="str">
        <f t="shared" si="21"/>
        <v/>
      </c>
    </row>
    <row r="1411" spans="5:9" x14ac:dyDescent="0.3">
      <c r="E1411" t="str">
        <f>IFERROR(IF(D1411="","",VLOOKUP(D1411,CadProd!$A:$B,2,0)),"")</f>
        <v/>
      </c>
      <c r="F1411" t="str">
        <f>IFERROR(IF(D1411="","",VLOOKUP(D1411,CadProd!$A:$C,3,0)),"")</f>
        <v/>
      </c>
      <c r="I1411" s="1" t="str">
        <f t="shared" si="21"/>
        <v/>
      </c>
    </row>
    <row r="1412" spans="5:9" x14ac:dyDescent="0.3">
      <c r="E1412" t="str">
        <f>IFERROR(IF(D1412="","",VLOOKUP(D1412,CadProd!$A:$B,2,0)),"")</f>
        <v/>
      </c>
      <c r="F1412" t="str">
        <f>IFERROR(IF(D1412="","",VLOOKUP(D1412,CadProd!$A:$C,3,0)),"")</f>
        <v/>
      </c>
      <c r="I1412" s="1" t="str">
        <f t="shared" si="21"/>
        <v/>
      </c>
    </row>
    <row r="1413" spans="5:9" x14ac:dyDescent="0.3">
      <c r="E1413" t="str">
        <f>IFERROR(IF(D1413="","",VLOOKUP(D1413,CadProd!$A:$B,2,0)),"")</f>
        <v/>
      </c>
      <c r="F1413" t="str">
        <f>IFERROR(IF(D1413="","",VLOOKUP(D1413,CadProd!$A:$C,3,0)),"")</f>
        <v/>
      </c>
      <c r="I1413" s="1" t="str">
        <f t="shared" si="21"/>
        <v/>
      </c>
    </row>
    <row r="1414" spans="5:9" x14ac:dyDescent="0.3">
      <c r="E1414" t="str">
        <f>IFERROR(IF(D1414="","",VLOOKUP(D1414,CadProd!$A:$B,2,0)),"")</f>
        <v/>
      </c>
      <c r="F1414" t="str">
        <f>IFERROR(IF(D1414="","",VLOOKUP(D1414,CadProd!$A:$C,3,0)),"")</f>
        <v/>
      </c>
      <c r="I1414" s="1" t="str">
        <f t="shared" si="21"/>
        <v/>
      </c>
    </row>
    <row r="1415" spans="5:9" x14ac:dyDescent="0.3">
      <c r="E1415" t="str">
        <f>IFERROR(IF(D1415="","",VLOOKUP(D1415,CadProd!$A:$B,2,0)),"")</f>
        <v/>
      </c>
      <c r="F1415" t="str">
        <f>IFERROR(IF(D1415="","",VLOOKUP(D1415,CadProd!$A:$C,3,0)),"")</f>
        <v/>
      </c>
      <c r="I1415" s="1" t="str">
        <f t="shared" si="21"/>
        <v/>
      </c>
    </row>
    <row r="1416" spans="5:9" x14ac:dyDescent="0.3">
      <c r="E1416" t="str">
        <f>IFERROR(IF(D1416="","",VLOOKUP(D1416,CadProd!$A:$B,2,0)),"")</f>
        <v/>
      </c>
      <c r="F1416" t="str">
        <f>IFERROR(IF(D1416="","",VLOOKUP(D1416,CadProd!$A:$C,3,0)),"")</f>
        <v/>
      </c>
      <c r="I1416" s="1" t="str">
        <f t="shared" si="21"/>
        <v/>
      </c>
    </row>
    <row r="1417" spans="5:9" x14ac:dyDescent="0.3">
      <c r="E1417" t="str">
        <f>IFERROR(IF(D1417="","",VLOOKUP(D1417,CadProd!$A:$B,2,0)),"")</f>
        <v/>
      </c>
      <c r="F1417" t="str">
        <f>IFERROR(IF(D1417="","",VLOOKUP(D1417,CadProd!$A:$C,3,0)),"")</f>
        <v/>
      </c>
      <c r="I1417" s="1" t="str">
        <f t="shared" si="21"/>
        <v/>
      </c>
    </row>
    <row r="1418" spans="5:9" x14ac:dyDescent="0.3">
      <c r="E1418" t="str">
        <f>IFERROR(IF(D1418="","",VLOOKUP(D1418,CadProd!$A:$B,2,0)),"")</f>
        <v/>
      </c>
      <c r="F1418" t="str">
        <f>IFERROR(IF(D1418="","",VLOOKUP(D1418,CadProd!$A:$C,3,0)),"")</f>
        <v/>
      </c>
      <c r="I1418" s="1" t="str">
        <f t="shared" si="21"/>
        <v/>
      </c>
    </row>
    <row r="1419" spans="5:9" x14ac:dyDescent="0.3">
      <c r="E1419" t="str">
        <f>IFERROR(IF(D1419="","",VLOOKUP(D1419,CadProd!$A:$B,2,0)),"")</f>
        <v/>
      </c>
      <c r="F1419" t="str">
        <f>IFERROR(IF(D1419="","",VLOOKUP(D1419,CadProd!$A:$C,3,0)),"")</f>
        <v/>
      </c>
      <c r="I1419" s="1" t="str">
        <f t="shared" ref="I1419:I1482" si="22">IFERROR(IF(D1419="","",H1419*G1419),"")</f>
        <v/>
      </c>
    </row>
    <row r="1420" spans="5:9" x14ac:dyDescent="0.3">
      <c r="E1420" t="str">
        <f>IFERROR(IF(D1420="","",VLOOKUP(D1420,CadProd!$A:$B,2,0)),"")</f>
        <v/>
      </c>
      <c r="F1420" t="str">
        <f>IFERROR(IF(D1420="","",VLOOKUP(D1420,CadProd!$A:$C,3,0)),"")</f>
        <v/>
      </c>
      <c r="I1420" s="1" t="str">
        <f t="shared" si="22"/>
        <v/>
      </c>
    </row>
    <row r="1421" spans="5:9" x14ac:dyDescent="0.3">
      <c r="E1421" t="str">
        <f>IFERROR(IF(D1421="","",VLOOKUP(D1421,CadProd!$A:$B,2,0)),"")</f>
        <v/>
      </c>
      <c r="F1421" t="str">
        <f>IFERROR(IF(D1421="","",VLOOKUP(D1421,CadProd!$A:$C,3,0)),"")</f>
        <v/>
      </c>
      <c r="I1421" s="1" t="str">
        <f t="shared" si="22"/>
        <v/>
      </c>
    </row>
    <row r="1422" spans="5:9" x14ac:dyDescent="0.3">
      <c r="E1422" t="str">
        <f>IFERROR(IF(D1422="","",VLOOKUP(D1422,CadProd!$A:$B,2,0)),"")</f>
        <v/>
      </c>
      <c r="F1422" t="str">
        <f>IFERROR(IF(D1422="","",VLOOKUP(D1422,CadProd!$A:$C,3,0)),"")</f>
        <v/>
      </c>
      <c r="I1422" s="1" t="str">
        <f t="shared" si="22"/>
        <v/>
      </c>
    </row>
    <row r="1423" spans="5:9" x14ac:dyDescent="0.3">
      <c r="E1423" t="str">
        <f>IFERROR(IF(D1423="","",VLOOKUP(D1423,CadProd!$A:$B,2,0)),"")</f>
        <v/>
      </c>
      <c r="F1423" t="str">
        <f>IFERROR(IF(D1423="","",VLOOKUP(D1423,CadProd!$A:$C,3,0)),"")</f>
        <v/>
      </c>
      <c r="I1423" s="1" t="str">
        <f t="shared" si="22"/>
        <v/>
      </c>
    </row>
    <row r="1424" spans="5:9" x14ac:dyDescent="0.3">
      <c r="E1424" t="str">
        <f>IFERROR(IF(D1424="","",VLOOKUP(D1424,CadProd!$A:$B,2,0)),"")</f>
        <v/>
      </c>
      <c r="F1424" t="str">
        <f>IFERROR(IF(D1424="","",VLOOKUP(D1424,CadProd!$A:$C,3,0)),"")</f>
        <v/>
      </c>
      <c r="I1424" s="1" t="str">
        <f t="shared" si="22"/>
        <v/>
      </c>
    </row>
    <row r="1425" spans="5:9" x14ac:dyDescent="0.3">
      <c r="E1425" t="str">
        <f>IFERROR(IF(D1425="","",VLOOKUP(D1425,CadProd!$A:$B,2,0)),"")</f>
        <v/>
      </c>
      <c r="F1425" t="str">
        <f>IFERROR(IF(D1425="","",VLOOKUP(D1425,CadProd!$A:$C,3,0)),"")</f>
        <v/>
      </c>
      <c r="I1425" s="1" t="str">
        <f t="shared" si="22"/>
        <v/>
      </c>
    </row>
    <row r="1426" spans="5:9" x14ac:dyDescent="0.3">
      <c r="E1426" t="str">
        <f>IFERROR(IF(D1426="","",VLOOKUP(D1426,CadProd!$A:$B,2,0)),"")</f>
        <v/>
      </c>
      <c r="F1426" t="str">
        <f>IFERROR(IF(D1426="","",VLOOKUP(D1426,CadProd!$A:$C,3,0)),"")</f>
        <v/>
      </c>
      <c r="I1426" s="1" t="str">
        <f t="shared" si="22"/>
        <v/>
      </c>
    </row>
    <row r="1427" spans="5:9" x14ac:dyDescent="0.3">
      <c r="E1427" t="str">
        <f>IFERROR(IF(D1427="","",VLOOKUP(D1427,CadProd!$A:$B,2,0)),"")</f>
        <v/>
      </c>
      <c r="F1427" t="str">
        <f>IFERROR(IF(D1427="","",VLOOKUP(D1427,CadProd!$A:$C,3,0)),"")</f>
        <v/>
      </c>
      <c r="I1427" s="1" t="str">
        <f t="shared" si="22"/>
        <v/>
      </c>
    </row>
    <row r="1428" spans="5:9" x14ac:dyDescent="0.3">
      <c r="E1428" t="str">
        <f>IFERROR(IF(D1428="","",VLOOKUP(D1428,CadProd!$A:$B,2,0)),"")</f>
        <v/>
      </c>
      <c r="F1428" t="str">
        <f>IFERROR(IF(D1428="","",VLOOKUP(D1428,CadProd!$A:$C,3,0)),"")</f>
        <v/>
      </c>
      <c r="I1428" s="1" t="str">
        <f t="shared" si="22"/>
        <v/>
      </c>
    </row>
    <row r="1429" spans="5:9" x14ac:dyDescent="0.3">
      <c r="E1429" t="str">
        <f>IFERROR(IF(D1429="","",VLOOKUP(D1429,CadProd!$A:$B,2,0)),"")</f>
        <v/>
      </c>
      <c r="F1429" t="str">
        <f>IFERROR(IF(D1429="","",VLOOKUP(D1429,CadProd!$A:$C,3,0)),"")</f>
        <v/>
      </c>
      <c r="I1429" s="1" t="str">
        <f t="shared" si="22"/>
        <v/>
      </c>
    </row>
    <row r="1430" spans="5:9" x14ac:dyDescent="0.3">
      <c r="E1430" t="str">
        <f>IFERROR(IF(D1430="","",VLOOKUP(D1430,CadProd!$A:$B,2,0)),"")</f>
        <v/>
      </c>
      <c r="F1430" t="str">
        <f>IFERROR(IF(D1430="","",VLOOKUP(D1430,CadProd!$A:$C,3,0)),"")</f>
        <v/>
      </c>
      <c r="I1430" s="1" t="str">
        <f t="shared" si="22"/>
        <v/>
      </c>
    </row>
    <row r="1431" spans="5:9" x14ac:dyDescent="0.3">
      <c r="E1431" t="str">
        <f>IFERROR(IF(D1431="","",VLOOKUP(D1431,CadProd!$A:$B,2,0)),"")</f>
        <v/>
      </c>
      <c r="F1431" t="str">
        <f>IFERROR(IF(D1431="","",VLOOKUP(D1431,CadProd!$A:$C,3,0)),"")</f>
        <v/>
      </c>
      <c r="I1431" s="1" t="str">
        <f t="shared" si="22"/>
        <v/>
      </c>
    </row>
    <row r="1432" spans="5:9" x14ac:dyDescent="0.3">
      <c r="E1432" t="str">
        <f>IFERROR(IF(D1432="","",VLOOKUP(D1432,CadProd!$A:$B,2,0)),"")</f>
        <v/>
      </c>
      <c r="F1432" t="str">
        <f>IFERROR(IF(D1432="","",VLOOKUP(D1432,CadProd!$A:$C,3,0)),"")</f>
        <v/>
      </c>
      <c r="I1432" s="1" t="str">
        <f t="shared" si="22"/>
        <v/>
      </c>
    </row>
    <row r="1433" spans="5:9" x14ac:dyDescent="0.3">
      <c r="E1433" t="str">
        <f>IFERROR(IF(D1433="","",VLOOKUP(D1433,CadProd!$A:$B,2,0)),"")</f>
        <v/>
      </c>
      <c r="F1433" t="str">
        <f>IFERROR(IF(D1433="","",VLOOKUP(D1433,CadProd!$A:$C,3,0)),"")</f>
        <v/>
      </c>
      <c r="I1433" s="1" t="str">
        <f t="shared" si="22"/>
        <v/>
      </c>
    </row>
    <row r="1434" spans="5:9" x14ac:dyDescent="0.3">
      <c r="E1434" t="str">
        <f>IFERROR(IF(D1434="","",VLOOKUP(D1434,CadProd!$A:$B,2,0)),"")</f>
        <v/>
      </c>
      <c r="F1434" t="str">
        <f>IFERROR(IF(D1434="","",VLOOKUP(D1434,CadProd!$A:$C,3,0)),"")</f>
        <v/>
      </c>
      <c r="I1434" s="1" t="str">
        <f t="shared" si="22"/>
        <v/>
      </c>
    </row>
    <row r="1435" spans="5:9" x14ac:dyDescent="0.3">
      <c r="E1435" t="str">
        <f>IFERROR(IF(D1435="","",VLOOKUP(D1435,CadProd!$A:$B,2,0)),"")</f>
        <v/>
      </c>
      <c r="F1435" t="str">
        <f>IFERROR(IF(D1435="","",VLOOKUP(D1435,CadProd!$A:$C,3,0)),"")</f>
        <v/>
      </c>
      <c r="I1435" s="1" t="str">
        <f t="shared" si="22"/>
        <v/>
      </c>
    </row>
    <row r="1436" spans="5:9" x14ac:dyDescent="0.3">
      <c r="E1436" t="str">
        <f>IFERROR(IF(D1436="","",VLOOKUP(D1436,CadProd!$A:$B,2,0)),"")</f>
        <v/>
      </c>
      <c r="F1436" t="str">
        <f>IFERROR(IF(D1436="","",VLOOKUP(D1436,CadProd!$A:$C,3,0)),"")</f>
        <v/>
      </c>
      <c r="I1436" s="1" t="str">
        <f t="shared" si="22"/>
        <v/>
      </c>
    </row>
    <row r="1437" spans="5:9" x14ac:dyDescent="0.3">
      <c r="E1437" t="str">
        <f>IFERROR(IF(D1437="","",VLOOKUP(D1437,CadProd!$A:$B,2,0)),"")</f>
        <v/>
      </c>
      <c r="F1437" t="str">
        <f>IFERROR(IF(D1437="","",VLOOKUP(D1437,CadProd!$A:$C,3,0)),"")</f>
        <v/>
      </c>
      <c r="I1437" s="1" t="str">
        <f t="shared" si="22"/>
        <v/>
      </c>
    </row>
    <row r="1438" spans="5:9" x14ac:dyDescent="0.3">
      <c r="E1438" t="str">
        <f>IFERROR(IF(D1438="","",VLOOKUP(D1438,CadProd!$A:$B,2,0)),"")</f>
        <v/>
      </c>
      <c r="F1438" t="str">
        <f>IFERROR(IF(D1438="","",VLOOKUP(D1438,CadProd!$A:$C,3,0)),"")</f>
        <v/>
      </c>
      <c r="I1438" s="1" t="str">
        <f t="shared" si="22"/>
        <v/>
      </c>
    </row>
    <row r="1439" spans="5:9" x14ac:dyDescent="0.3">
      <c r="E1439" t="str">
        <f>IFERROR(IF(D1439="","",VLOOKUP(D1439,CadProd!$A:$B,2,0)),"")</f>
        <v/>
      </c>
      <c r="F1439" t="str">
        <f>IFERROR(IF(D1439="","",VLOOKUP(D1439,CadProd!$A:$C,3,0)),"")</f>
        <v/>
      </c>
      <c r="I1439" s="1" t="str">
        <f t="shared" si="22"/>
        <v/>
      </c>
    </row>
    <row r="1440" spans="5:9" x14ac:dyDescent="0.3">
      <c r="E1440" t="str">
        <f>IFERROR(IF(D1440="","",VLOOKUP(D1440,CadProd!$A:$B,2,0)),"")</f>
        <v/>
      </c>
      <c r="F1440" t="str">
        <f>IFERROR(IF(D1440="","",VLOOKUP(D1440,CadProd!$A:$C,3,0)),"")</f>
        <v/>
      </c>
      <c r="I1440" s="1" t="str">
        <f t="shared" si="22"/>
        <v/>
      </c>
    </row>
    <row r="1441" spans="5:9" x14ac:dyDescent="0.3">
      <c r="E1441" t="str">
        <f>IFERROR(IF(D1441="","",VLOOKUP(D1441,CadProd!$A:$B,2,0)),"")</f>
        <v/>
      </c>
      <c r="F1441" t="str">
        <f>IFERROR(IF(D1441="","",VLOOKUP(D1441,CadProd!$A:$C,3,0)),"")</f>
        <v/>
      </c>
      <c r="I1441" s="1" t="str">
        <f t="shared" si="22"/>
        <v/>
      </c>
    </row>
    <row r="1442" spans="5:9" x14ac:dyDescent="0.3">
      <c r="E1442" t="str">
        <f>IFERROR(IF(D1442="","",VLOOKUP(D1442,CadProd!$A:$B,2,0)),"")</f>
        <v/>
      </c>
      <c r="F1442" t="str">
        <f>IFERROR(IF(D1442="","",VLOOKUP(D1442,CadProd!$A:$C,3,0)),"")</f>
        <v/>
      </c>
      <c r="I1442" s="1" t="str">
        <f t="shared" si="22"/>
        <v/>
      </c>
    </row>
    <row r="1443" spans="5:9" x14ac:dyDescent="0.3">
      <c r="E1443" t="str">
        <f>IFERROR(IF(D1443="","",VLOOKUP(D1443,CadProd!$A:$B,2,0)),"")</f>
        <v/>
      </c>
      <c r="F1443" t="str">
        <f>IFERROR(IF(D1443="","",VLOOKUP(D1443,CadProd!$A:$C,3,0)),"")</f>
        <v/>
      </c>
      <c r="I1443" s="1" t="str">
        <f t="shared" si="22"/>
        <v/>
      </c>
    </row>
    <row r="1444" spans="5:9" x14ac:dyDescent="0.3">
      <c r="E1444" t="str">
        <f>IFERROR(IF(D1444="","",VLOOKUP(D1444,CadProd!$A:$B,2,0)),"")</f>
        <v/>
      </c>
      <c r="F1444" t="str">
        <f>IFERROR(IF(D1444="","",VLOOKUP(D1444,CadProd!$A:$C,3,0)),"")</f>
        <v/>
      </c>
      <c r="I1444" s="1" t="str">
        <f t="shared" si="22"/>
        <v/>
      </c>
    </row>
    <row r="1445" spans="5:9" x14ac:dyDescent="0.3">
      <c r="E1445" t="str">
        <f>IFERROR(IF(D1445="","",VLOOKUP(D1445,CadProd!$A:$B,2,0)),"")</f>
        <v/>
      </c>
      <c r="F1445" t="str">
        <f>IFERROR(IF(D1445="","",VLOOKUP(D1445,CadProd!$A:$C,3,0)),"")</f>
        <v/>
      </c>
      <c r="I1445" s="1" t="str">
        <f t="shared" si="22"/>
        <v/>
      </c>
    </row>
    <row r="1446" spans="5:9" x14ac:dyDescent="0.3">
      <c r="E1446" t="str">
        <f>IFERROR(IF(D1446="","",VLOOKUP(D1446,CadProd!$A:$B,2,0)),"")</f>
        <v/>
      </c>
      <c r="F1446" t="str">
        <f>IFERROR(IF(D1446="","",VLOOKUP(D1446,CadProd!$A:$C,3,0)),"")</f>
        <v/>
      </c>
      <c r="I1446" s="1" t="str">
        <f t="shared" si="22"/>
        <v/>
      </c>
    </row>
    <row r="1447" spans="5:9" x14ac:dyDescent="0.3">
      <c r="E1447" t="str">
        <f>IFERROR(IF(D1447="","",VLOOKUP(D1447,CadProd!$A:$B,2,0)),"")</f>
        <v/>
      </c>
      <c r="F1447" t="str">
        <f>IFERROR(IF(D1447="","",VLOOKUP(D1447,CadProd!$A:$C,3,0)),"")</f>
        <v/>
      </c>
      <c r="I1447" s="1" t="str">
        <f t="shared" si="22"/>
        <v/>
      </c>
    </row>
    <row r="1448" spans="5:9" x14ac:dyDescent="0.3">
      <c r="E1448" t="str">
        <f>IFERROR(IF(D1448="","",VLOOKUP(D1448,CadProd!$A:$B,2,0)),"")</f>
        <v/>
      </c>
      <c r="F1448" t="str">
        <f>IFERROR(IF(D1448="","",VLOOKUP(D1448,CadProd!$A:$C,3,0)),"")</f>
        <v/>
      </c>
      <c r="I1448" s="1" t="str">
        <f t="shared" si="22"/>
        <v/>
      </c>
    </row>
    <row r="1449" spans="5:9" x14ac:dyDescent="0.3">
      <c r="E1449" t="str">
        <f>IFERROR(IF(D1449="","",VLOOKUP(D1449,CadProd!$A:$B,2,0)),"")</f>
        <v/>
      </c>
      <c r="F1449" t="str">
        <f>IFERROR(IF(D1449="","",VLOOKUP(D1449,CadProd!$A:$C,3,0)),"")</f>
        <v/>
      </c>
      <c r="I1449" s="1" t="str">
        <f t="shared" si="22"/>
        <v/>
      </c>
    </row>
    <row r="1450" spans="5:9" x14ac:dyDescent="0.3">
      <c r="E1450" t="str">
        <f>IFERROR(IF(D1450="","",VLOOKUP(D1450,CadProd!$A:$B,2,0)),"")</f>
        <v/>
      </c>
      <c r="F1450" t="str">
        <f>IFERROR(IF(D1450="","",VLOOKUP(D1450,CadProd!$A:$C,3,0)),"")</f>
        <v/>
      </c>
      <c r="I1450" s="1" t="str">
        <f t="shared" si="22"/>
        <v/>
      </c>
    </row>
    <row r="1451" spans="5:9" x14ac:dyDescent="0.3">
      <c r="E1451" t="str">
        <f>IFERROR(IF(D1451="","",VLOOKUP(D1451,CadProd!$A:$B,2,0)),"")</f>
        <v/>
      </c>
      <c r="F1451" t="str">
        <f>IFERROR(IF(D1451="","",VLOOKUP(D1451,CadProd!$A:$C,3,0)),"")</f>
        <v/>
      </c>
      <c r="I1451" s="1" t="str">
        <f t="shared" si="22"/>
        <v/>
      </c>
    </row>
    <row r="1452" spans="5:9" x14ac:dyDescent="0.3">
      <c r="E1452" t="str">
        <f>IFERROR(IF(D1452="","",VLOOKUP(D1452,CadProd!$A:$B,2,0)),"")</f>
        <v/>
      </c>
      <c r="F1452" t="str">
        <f>IFERROR(IF(D1452="","",VLOOKUP(D1452,CadProd!$A:$C,3,0)),"")</f>
        <v/>
      </c>
      <c r="I1452" s="1" t="str">
        <f t="shared" si="22"/>
        <v/>
      </c>
    </row>
    <row r="1453" spans="5:9" x14ac:dyDescent="0.3">
      <c r="E1453" t="str">
        <f>IFERROR(IF(D1453="","",VLOOKUP(D1453,CadProd!$A:$B,2,0)),"")</f>
        <v/>
      </c>
      <c r="F1453" t="str">
        <f>IFERROR(IF(D1453="","",VLOOKUP(D1453,CadProd!$A:$C,3,0)),"")</f>
        <v/>
      </c>
      <c r="I1453" s="1" t="str">
        <f t="shared" si="22"/>
        <v/>
      </c>
    </row>
    <row r="1454" spans="5:9" x14ac:dyDescent="0.3">
      <c r="E1454" t="str">
        <f>IFERROR(IF(D1454="","",VLOOKUP(D1454,CadProd!$A:$B,2,0)),"")</f>
        <v/>
      </c>
      <c r="F1454" t="str">
        <f>IFERROR(IF(D1454="","",VLOOKUP(D1454,CadProd!$A:$C,3,0)),"")</f>
        <v/>
      </c>
      <c r="I1454" s="1" t="str">
        <f t="shared" si="22"/>
        <v/>
      </c>
    </row>
    <row r="1455" spans="5:9" x14ac:dyDescent="0.3">
      <c r="E1455" t="str">
        <f>IFERROR(IF(D1455="","",VLOOKUP(D1455,CadProd!$A:$B,2,0)),"")</f>
        <v/>
      </c>
      <c r="F1455" t="str">
        <f>IFERROR(IF(D1455="","",VLOOKUP(D1455,CadProd!$A:$C,3,0)),"")</f>
        <v/>
      </c>
      <c r="I1455" s="1" t="str">
        <f t="shared" si="22"/>
        <v/>
      </c>
    </row>
    <row r="1456" spans="5:9" x14ac:dyDescent="0.3">
      <c r="E1456" t="str">
        <f>IFERROR(IF(D1456="","",VLOOKUP(D1456,CadProd!$A:$B,2,0)),"")</f>
        <v/>
      </c>
      <c r="F1456" t="str">
        <f>IFERROR(IF(D1456="","",VLOOKUP(D1456,CadProd!$A:$C,3,0)),"")</f>
        <v/>
      </c>
      <c r="I1456" s="1" t="str">
        <f t="shared" si="22"/>
        <v/>
      </c>
    </row>
    <row r="1457" spans="5:9" x14ac:dyDescent="0.3">
      <c r="E1457" t="str">
        <f>IFERROR(IF(D1457="","",VLOOKUP(D1457,CadProd!$A:$B,2,0)),"")</f>
        <v/>
      </c>
      <c r="F1457" t="str">
        <f>IFERROR(IF(D1457="","",VLOOKUP(D1457,CadProd!$A:$C,3,0)),"")</f>
        <v/>
      </c>
      <c r="I1457" s="1" t="str">
        <f t="shared" si="22"/>
        <v/>
      </c>
    </row>
    <row r="1458" spans="5:9" x14ac:dyDescent="0.3">
      <c r="E1458" t="str">
        <f>IFERROR(IF(D1458="","",VLOOKUP(D1458,CadProd!$A:$B,2,0)),"")</f>
        <v/>
      </c>
      <c r="F1458" t="str">
        <f>IFERROR(IF(D1458="","",VLOOKUP(D1458,CadProd!$A:$C,3,0)),"")</f>
        <v/>
      </c>
      <c r="I1458" s="1" t="str">
        <f t="shared" si="22"/>
        <v/>
      </c>
    </row>
    <row r="1459" spans="5:9" x14ac:dyDescent="0.3">
      <c r="E1459" t="str">
        <f>IFERROR(IF(D1459="","",VLOOKUP(D1459,CadProd!$A:$B,2,0)),"")</f>
        <v/>
      </c>
      <c r="F1459" t="str">
        <f>IFERROR(IF(D1459="","",VLOOKUP(D1459,CadProd!$A:$C,3,0)),"")</f>
        <v/>
      </c>
      <c r="I1459" s="1" t="str">
        <f t="shared" si="22"/>
        <v/>
      </c>
    </row>
    <row r="1460" spans="5:9" x14ac:dyDescent="0.3">
      <c r="E1460" t="str">
        <f>IFERROR(IF(D1460="","",VLOOKUP(D1460,CadProd!$A:$B,2,0)),"")</f>
        <v/>
      </c>
      <c r="F1460" t="str">
        <f>IFERROR(IF(D1460="","",VLOOKUP(D1460,CadProd!$A:$C,3,0)),"")</f>
        <v/>
      </c>
      <c r="I1460" s="1" t="str">
        <f t="shared" si="22"/>
        <v/>
      </c>
    </row>
    <row r="1461" spans="5:9" x14ac:dyDescent="0.3">
      <c r="E1461" t="str">
        <f>IFERROR(IF(D1461="","",VLOOKUP(D1461,CadProd!$A:$B,2,0)),"")</f>
        <v/>
      </c>
      <c r="F1461" t="str">
        <f>IFERROR(IF(D1461="","",VLOOKUP(D1461,CadProd!$A:$C,3,0)),"")</f>
        <v/>
      </c>
      <c r="I1461" s="1" t="str">
        <f t="shared" si="22"/>
        <v/>
      </c>
    </row>
    <row r="1462" spans="5:9" x14ac:dyDescent="0.3">
      <c r="E1462" t="str">
        <f>IFERROR(IF(D1462="","",VLOOKUP(D1462,CadProd!$A:$B,2,0)),"")</f>
        <v/>
      </c>
      <c r="F1462" t="str">
        <f>IFERROR(IF(D1462="","",VLOOKUP(D1462,CadProd!$A:$C,3,0)),"")</f>
        <v/>
      </c>
      <c r="I1462" s="1" t="str">
        <f t="shared" si="22"/>
        <v/>
      </c>
    </row>
    <row r="1463" spans="5:9" x14ac:dyDescent="0.3">
      <c r="E1463" t="str">
        <f>IFERROR(IF(D1463="","",VLOOKUP(D1463,CadProd!$A:$B,2,0)),"")</f>
        <v/>
      </c>
      <c r="F1463" t="str">
        <f>IFERROR(IF(D1463="","",VLOOKUP(D1463,CadProd!$A:$C,3,0)),"")</f>
        <v/>
      </c>
      <c r="I1463" s="1" t="str">
        <f t="shared" si="22"/>
        <v/>
      </c>
    </row>
    <row r="1464" spans="5:9" x14ac:dyDescent="0.3">
      <c r="E1464" t="str">
        <f>IFERROR(IF(D1464="","",VLOOKUP(D1464,CadProd!$A:$B,2,0)),"")</f>
        <v/>
      </c>
      <c r="F1464" t="str">
        <f>IFERROR(IF(D1464="","",VLOOKUP(D1464,CadProd!$A:$C,3,0)),"")</f>
        <v/>
      </c>
      <c r="I1464" s="1" t="str">
        <f t="shared" si="22"/>
        <v/>
      </c>
    </row>
    <row r="1465" spans="5:9" x14ac:dyDescent="0.3">
      <c r="E1465" t="str">
        <f>IFERROR(IF(D1465="","",VLOOKUP(D1465,CadProd!$A:$B,2,0)),"")</f>
        <v/>
      </c>
      <c r="F1465" t="str">
        <f>IFERROR(IF(D1465="","",VLOOKUP(D1465,CadProd!$A:$C,3,0)),"")</f>
        <v/>
      </c>
      <c r="I1465" s="1" t="str">
        <f t="shared" si="22"/>
        <v/>
      </c>
    </row>
    <row r="1466" spans="5:9" x14ac:dyDescent="0.3">
      <c r="E1466" t="str">
        <f>IFERROR(IF(D1466="","",VLOOKUP(D1466,CadProd!$A:$B,2,0)),"")</f>
        <v/>
      </c>
      <c r="F1466" t="str">
        <f>IFERROR(IF(D1466="","",VLOOKUP(D1466,CadProd!$A:$C,3,0)),"")</f>
        <v/>
      </c>
      <c r="I1466" s="1" t="str">
        <f t="shared" si="22"/>
        <v/>
      </c>
    </row>
    <row r="1467" spans="5:9" x14ac:dyDescent="0.3">
      <c r="E1467" t="str">
        <f>IFERROR(IF(D1467="","",VLOOKUP(D1467,CadProd!$A:$B,2,0)),"")</f>
        <v/>
      </c>
      <c r="F1467" t="str">
        <f>IFERROR(IF(D1467="","",VLOOKUP(D1467,CadProd!$A:$C,3,0)),"")</f>
        <v/>
      </c>
      <c r="I1467" s="1" t="str">
        <f t="shared" si="22"/>
        <v/>
      </c>
    </row>
    <row r="1468" spans="5:9" x14ac:dyDescent="0.3">
      <c r="E1468" t="str">
        <f>IFERROR(IF(D1468="","",VLOOKUP(D1468,CadProd!$A:$B,2,0)),"")</f>
        <v/>
      </c>
      <c r="F1468" t="str">
        <f>IFERROR(IF(D1468="","",VLOOKUP(D1468,CadProd!$A:$C,3,0)),"")</f>
        <v/>
      </c>
      <c r="I1468" s="1" t="str">
        <f t="shared" si="22"/>
        <v/>
      </c>
    </row>
    <row r="1469" spans="5:9" x14ac:dyDescent="0.3">
      <c r="E1469" t="str">
        <f>IFERROR(IF(D1469="","",VLOOKUP(D1469,CadProd!$A:$B,2,0)),"")</f>
        <v/>
      </c>
      <c r="F1469" t="str">
        <f>IFERROR(IF(D1469="","",VLOOKUP(D1469,CadProd!$A:$C,3,0)),"")</f>
        <v/>
      </c>
      <c r="I1469" s="1" t="str">
        <f t="shared" si="22"/>
        <v/>
      </c>
    </row>
    <row r="1470" spans="5:9" x14ac:dyDescent="0.3">
      <c r="E1470" t="str">
        <f>IFERROR(IF(D1470="","",VLOOKUP(D1470,CadProd!$A:$B,2,0)),"")</f>
        <v/>
      </c>
      <c r="F1470" t="str">
        <f>IFERROR(IF(D1470="","",VLOOKUP(D1470,CadProd!$A:$C,3,0)),"")</f>
        <v/>
      </c>
      <c r="I1470" s="1" t="str">
        <f t="shared" si="22"/>
        <v/>
      </c>
    </row>
    <row r="1471" spans="5:9" x14ac:dyDescent="0.3">
      <c r="E1471" t="str">
        <f>IFERROR(IF(D1471="","",VLOOKUP(D1471,CadProd!$A:$B,2,0)),"")</f>
        <v/>
      </c>
      <c r="F1471" t="str">
        <f>IFERROR(IF(D1471="","",VLOOKUP(D1471,CadProd!$A:$C,3,0)),"")</f>
        <v/>
      </c>
      <c r="I1471" s="1" t="str">
        <f t="shared" si="22"/>
        <v/>
      </c>
    </row>
    <row r="1472" spans="5:9" x14ac:dyDescent="0.3">
      <c r="E1472" t="str">
        <f>IFERROR(IF(D1472="","",VLOOKUP(D1472,CadProd!$A:$B,2,0)),"")</f>
        <v/>
      </c>
      <c r="F1472" t="str">
        <f>IFERROR(IF(D1472="","",VLOOKUP(D1472,CadProd!$A:$C,3,0)),"")</f>
        <v/>
      </c>
      <c r="I1472" s="1" t="str">
        <f t="shared" si="22"/>
        <v/>
      </c>
    </row>
    <row r="1473" spans="5:9" x14ac:dyDescent="0.3">
      <c r="E1473" t="str">
        <f>IFERROR(IF(D1473="","",VLOOKUP(D1473,CadProd!$A:$B,2,0)),"")</f>
        <v/>
      </c>
      <c r="F1473" t="str">
        <f>IFERROR(IF(D1473="","",VLOOKUP(D1473,CadProd!$A:$C,3,0)),"")</f>
        <v/>
      </c>
      <c r="I1473" s="1" t="str">
        <f t="shared" si="22"/>
        <v/>
      </c>
    </row>
    <row r="1474" spans="5:9" x14ac:dyDescent="0.3">
      <c r="E1474" t="str">
        <f>IFERROR(IF(D1474="","",VLOOKUP(D1474,CadProd!$A:$B,2,0)),"")</f>
        <v/>
      </c>
      <c r="F1474" t="str">
        <f>IFERROR(IF(D1474="","",VLOOKUP(D1474,CadProd!$A:$C,3,0)),"")</f>
        <v/>
      </c>
      <c r="I1474" s="1" t="str">
        <f t="shared" si="22"/>
        <v/>
      </c>
    </row>
    <row r="1475" spans="5:9" x14ac:dyDescent="0.3">
      <c r="E1475" t="str">
        <f>IFERROR(IF(D1475="","",VLOOKUP(D1475,CadProd!$A:$B,2,0)),"")</f>
        <v/>
      </c>
      <c r="F1475" t="str">
        <f>IFERROR(IF(D1475="","",VLOOKUP(D1475,CadProd!$A:$C,3,0)),"")</f>
        <v/>
      </c>
      <c r="I1475" s="1" t="str">
        <f t="shared" si="22"/>
        <v/>
      </c>
    </row>
    <row r="1476" spans="5:9" x14ac:dyDescent="0.3">
      <c r="E1476" t="str">
        <f>IFERROR(IF(D1476="","",VLOOKUP(D1476,CadProd!$A:$B,2,0)),"")</f>
        <v/>
      </c>
      <c r="F1476" t="str">
        <f>IFERROR(IF(D1476="","",VLOOKUP(D1476,CadProd!$A:$C,3,0)),"")</f>
        <v/>
      </c>
      <c r="I1476" s="1" t="str">
        <f t="shared" si="22"/>
        <v/>
      </c>
    </row>
    <row r="1477" spans="5:9" x14ac:dyDescent="0.3">
      <c r="E1477" t="str">
        <f>IFERROR(IF(D1477="","",VLOOKUP(D1477,CadProd!$A:$B,2,0)),"")</f>
        <v/>
      </c>
      <c r="F1477" t="str">
        <f>IFERROR(IF(D1477="","",VLOOKUP(D1477,CadProd!$A:$C,3,0)),"")</f>
        <v/>
      </c>
      <c r="I1477" s="1" t="str">
        <f t="shared" si="22"/>
        <v/>
      </c>
    </row>
    <row r="1478" spans="5:9" x14ac:dyDescent="0.3">
      <c r="E1478" t="str">
        <f>IFERROR(IF(D1478="","",VLOOKUP(D1478,CadProd!$A:$B,2,0)),"")</f>
        <v/>
      </c>
      <c r="F1478" t="str">
        <f>IFERROR(IF(D1478="","",VLOOKUP(D1478,CadProd!$A:$C,3,0)),"")</f>
        <v/>
      </c>
      <c r="I1478" s="1" t="str">
        <f t="shared" si="22"/>
        <v/>
      </c>
    </row>
    <row r="1479" spans="5:9" x14ac:dyDescent="0.3">
      <c r="E1479" t="str">
        <f>IFERROR(IF(D1479="","",VLOOKUP(D1479,CadProd!$A:$B,2,0)),"")</f>
        <v/>
      </c>
      <c r="F1479" t="str">
        <f>IFERROR(IF(D1479="","",VLOOKUP(D1479,CadProd!$A:$C,3,0)),"")</f>
        <v/>
      </c>
      <c r="I1479" s="1" t="str">
        <f t="shared" si="22"/>
        <v/>
      </c>
    </row>
    <row r="1480" spans="5:9" x14ac:dyDescent="0.3">
      <c r="E1480" t="str">
        <f>IFERROR(IF(D1480="","",VLOOKUP(D1480,CadProd!$A:$B,2,0)),"")</f>
        <v/>
      </c>
      <c r="F1480" t="str">
        <f>IFERROR(IF(D1480="","",VLOOKUP(D1480,CadProd!$A:$C,3,0)),"")</f>
        <v/>
      </c>
      <c r="I1480" s="1" t="str">
        <f t="shared" si="22"/>
        <v/>
      </c>
    </row>
    <row r="1481" spans="5:9" x14ac:dyDescent="0.3">
      <c r="E1481" t="str">
        <f>IFERROR(IF(D1481="","",VLOOKUP(D1481,CadProd!$A:$B,2,0)),"")</f>
        <v/>
      </c>
      <c r="F1481" t="str">
        <f>IFERROR(IF(D1481="","",VLOOKUP(D1481,CadProd!$A:$C,3,0)),"")</f>
        <v/>
      </c>
      <c r="I1481" s="1" t="str">
        <f t="shared" si="22"/>
        <v/>
      </c>
    </row>
    <row r="1482" spans="5:9" x14ac:dyDescent="0.3">
      <c r="E1482" t="str">
        <f>IFERROR(IF(D1482="","",VLOOKUP(D1482,CadProd!$A:$B,2,0)),"")</f>
        <v/>
      </c>
      <c r="F1482" t="str">
        <f>IFERROR(IF(D1482="","",VLOOKUP(D1482,CadProd!$A:$C,3,0)),"")</f>
        <v/>
      </c>
      <c r="I1482" s="1" t="str">
        <f t="shared" si="22"/>
        <v/>
      </c>
    </row>
    <row r="1483" spans="5:9" x14ac:dyDescent="0.3">
      <c r="E1483" t="str">
        <f>IFERROR(IF(D1483="","",VLOOKUP(D1483,CadProd!$A:$B,2,0)),"")</f>
        <v/>
      </c>
      <c r="F1483" t="str">
        <f>IFERROR(IF(D1483="","",VLOOKUP(D1483,CadProd!$A:$C,3,0)),"")</f>
        <v/>
      </c>
      <c r="I1483" s="1" t="str">
        <f t="shared" ref="I1483:I1546" si="23">IFERROR(IF(D1483="","",H1483*G1483),"")</f>
        <v/>
      </c>
    </row>
    <row r="1484" spans="5:9" x14ac:dyDescent="0.3">
      <c r="E1484" t="str">
        <f>IFERROR(IF(D1484="","",VLOOKUP(D1484,CadProd!$A:$B,2,0)),"")</f>
        <v/>
      </c>
      <c r="F1484" t="str">
        <f>IFERROR(IF(D1484="","",VLOOKUP(D1484,CadProd!$A:$C,3,0)),"")</f>
        <v/>
      </c>
      <c r="I1484" s="1" t="str">
        <f t="shared" si="23"/>
        <v/>
      </c>
    </row>
    <row r="1485" spans="5:9" x14ac:dyDescent="0.3">
      <c r="E1485" t="str">
        <f>IFERROR(IF(D1485="","",VLOOKUP(D1485,CadProd!$A:$B,2,0)),"")</f>
        <v/>
      </c>
      <c r="F1485" t="str">
        <f>IFERROR(IF(D1485="","",VLOOKUP(D1485,CadProd!$A:$C,3,0)),"")</f>
        <v/>
      </c>
      <c r="I1485" s="1" t="str">
        <f t="shared" si="23"/>
        <v/>
      </c>
    </row>
    <row r="1486" spans="5:9" x14ac:dyDescent="0.3">
      <c r="E1486" t="str">
        <f>IFERROR(IF(D1486="","",VLOOKUP(D1486,CadProd!$A:$B,2,0)),"")</f>
        <v/>
      </c>
      <c r="F1486" t="str">
        <f>IFERROR(IF(D1486="","",VLOOKUP(D1486,CadProd!$A:$C,3,0)),"")</f>
        <v/>
      </c>
      <c r="I1486" s="1" t="str">
        <f t="shared" si="23"/>
        <v/>
      </c>
    </row>
    <row r="1487" spans="5:9" x14ac:dyDescent="0.3">
      <c r="E1487" t="str">
        <f>IFERROR(IF(D1487="","",VLOOKUP(D1487,CadProd!$A:$B,2,0)),"")</f>
        <v/>
      </c>
      <c r="F1487" t="str">
        <f>IFERROR(IF(D1487="","",VLOOKUP(D1487,CadProd!$A:$C,3,0)),"")</f>
        <v/>
      </c>
      <c r="I1487" s="1" t="str">
        <f t="shared" si="23"/>
        <v/>
      </c>
    </row>
    <row r="1488" spans="5:9" x14ac:dyDescent="0.3">
      <c r="E1488" t="str">
        <f>IFERROR(IF(D1488="","",VLOOKUP(D1488,CadProd!$A:$B,2,0)),"")</f>
        <v/>
      </c>
      <c r="F1488" t="str">
        <f>IFERROR(IF(D1488="","",VLOOKUP(D1488,CadProd!$A:$C,3,0)),"")</f>
        <v/>
      </c>
      <c r="I1488" s="1" t="str">
        <f t="shared" si="23"/>
        <v/>
      </c>
    </row>
    <row r="1489" spans="5:9" x14ac:dyDescent="0.3">
      <c r="E1489" t="str">
        <f>IFERROR(IF(D1489="","",VLOOKUP(D1489,CadProd!$A:$B,2,0)),"")</f>
        <v/>
      </c>
      <c r="F1489" t="str">
        <f>IFERROR(IF(D1489="","",VLOOKUP(D1489,CadProd!$A:$C,3,0)),"")</f>
        <v/>
      </c>
      <c r="I1489" s="1" t="str">
        <f t="shared" si="23"/>
        <v/>
      </c>
    </row>
    <row r="1490" spans="5:9" x14ac:dyDescent="0.3">
      <c r="E1490" t="str">
        <f>IFERROR(IF(D1490="","",VLOOKUP(D1490,CadProd!$A:$B,2,0)),"")</f>
        <v/>
      </c>
      <c r="F1490" t="str">
        <f>IFERROR(IF(D1490="","",VLOOKUP(D1490,CadProd!$A:$C,3,0)),"")</f>
        <v/>
      </c>
      <c r="I1490" s="1" t="str">
        <f t="shared" si="23"/>
        <v/>
      </c>
    </row>
    <row r="1491" spans="5:9" x14ac:dyDescent="0.3">
      <c r="E1491" t="str">
        <f>IFERROR(IF(D1491="","",VLOOKUP(D1491,CadProd!$A:$B,2,0)),"")</f>
        <v/>
      </c>
      <c r="F1491" t="str">
        <f>IFERROR(IF(D1491="","",VLOOKUP(D1491,CadProd!$A:$C,3,0)),"")</f>
        <v/>
      </c>
      <c r="I1491" s="1" t="str">
        <f t="shared" si="23"/>
        <v/>
      </c>
    </row>
    <row r="1492" spans="5:9" x14ac:dyDescent="0.3">
      <c r="E1492" t="str">
        <f>IFERROR(IF(D1492="","",VLOOKUP(D1492,CadProd!$A:$B,2,0)),"")</f>
        <v/>
      </c>
      <c r="F1492" t="str">
        <f>IFERROR(IF(D1492="","",VLOOKUP(D1492,CadProd!$A:$C,3,0)),"")</f>
        <v/>
      </c>
      <c r="I1492" s="1" t="str">
        <f t="shared" si="23"/>
        <v/>
      </c>
    </row>
    <row r="1493" spans="5:9" x14ac:dyDescent="0.3">
      <c r="E1493" t="str">
        <f>IFERROR(IF(D1493="","",VLOOKUP(D1493,CadProd!$A:$B,2,0)),"")</f>
        <v/>
      </c>
      <c r="F1493" t="str">
        <f>IFERROR(IF(D1493="","",VLOOKUP(D1493,CadProd!$A:$C,3,0)),"")</f>
        <v/>
      </c>
      <c r="I1493" s="1" t="str">
        <f t="shared" si="23"/>
        <v/>
      </c>
    </row>
    <row r="1494" spans="5:9" x14ac:dyDescent="0.3">
      <c r="E1494" t="str">
        <f>IFERROR(IF(D1494="","",VLOOKUP(D1494,CadProd!$A:$B,2,0)),"")</f>
        <v/>
      </c>
      <c r="F1494" t="str">
        <f>IFERROR(IF(D1494="","",VLOOKUP(D1494,CadProd!$A:$C,3,0)),"")</f>
        <v/>
      </c>
      <c r="I1494" s="1" t="str">
        <f t="shared" si="23"/>
        <v/>
      </c>
    </row>
    <row r="1495" spans="5:9" x14ac:dyDescent="0.3">
      <c r="E1495" t="str">
        <f>IFERROR(IF(D1495="","",VLOOKUP(D1495,CadProd!$A:$B,2,0)),"")</f>
        <v/>
      </c>
      <c r="F1495" t="str">
        <f>IFERROR(IF(D1495="","",VLOOKUP(D1495,CadProd!$A:$C,3,0)),"")</f>
        <v/>
      </c>
      <c r="I1495" s="1" t="str">
        <f t="shared" si="23"/>
        <v/>
      </c>
    </row>
    <row r="1496" spans="5:9" x14ac:dyDescent="0.3">
      <c r="E1496" t="str">
        <f>IFERROR(IF(D1496="","",VLOOKUP(D1496,CadProd!$A:$B,2,0)),"")</f>
        <v/>
      </c>
      <c r="F1496" t="str">
        <f>IFERROR(IF(D1496="","",VLOOKUP(D1496,CadProd!$A:$C,3,0)),"")</f>
        <v/>
      </c>
      <c r="I1496" s="1" t="str">
        <f t="shared" si="23"/>
        <v/>
      </c>
    </row>
    <row r="1497" spans="5:9" x14ac:dyDescent="0.3">
      <c r="E1497" t="str">
        <f>IFERROR(IF(D1497="","",VLOOKUP(D1497,CadProd!$A:$B,2,0)),"")</f>
        <v/>
      </c>
      <c r="F1497" t="str">
        <f>IFERROR(IF(D1497="","",VLOOKUP(D1497,CadProd!$A:$C,3,0)),"")</f>
        <v/>
      </c>
      <c r="I1497" s="1" t="str">
        <f t="shared" si="23"/>
        <v/>
      </c>
    </row>
    <row r="1498" spans="5:9" x14ac:dyDescent="0.3">
      <c r="E1498" t="str">
        <f>IFERROR(IF(D1498="","",VLOOKUP(D1498,CadProd!$A:$B,2,0)),"")</f>
        <v/>
      </c>
      <c r="F1498" t="str">
        <f>IFERROR(IF(D1498="","",VLOOKUP(D1498,CadProd!$A:$C,3,0)),"")</f>
        <v/>
      </c>
      <c r="I1498" s="1" t="str">
        <f t="shared" si="23"/>
        <v/>
      </c>
    </row>
    <row r="1499" spans="5:9" x14ac:dyDescent="0.3">
      <c r="E1499" t="str">
        <f>IFERROR(IF(D1499="","",VLOOKUP(D1499,CadProd!$A:$B,2,0)),"")</f>
        <v/>
      </c>
      <c r="F1499" t="str">
        <f>IFERROR(IF(D1499="","",VLOOKUP(D1499,CadProd!$A:$C,3,0)),"")</f>
        <v/>
      </c>
      <c r="I1499" s="1" t="str">
        <f t="shared" si="23"/>
        <v/>
      </c>
    </row>
    <row r="1500" spans="5:9" x14ac:dyDescent="0.3">
      <c r="E1500" t="str">
        <f>IFERROR(IF(D1500="","",VLOOKUP(D1500,CadProd!$A:$B,2,0)),"")</f>
        <v/>
      </c>
      <c r="F1500" t="str">
        <f>IFERROR(IF(D1500="","",VLOOKUP(D1500,CadProd!$A:$C,3,0)),"")</f>
        <v/>
      </c>
      <c r="I1500" s="1" t="str">
        <f t="shared" si="23"/>
        <v/>
      </c>
    </row>
    <row r="1501" spans="5:9" x14ac:dyDescent="0.3">
      <c r="E1501" t="str">
        <f>IFERROR(IF(D1501="","",VLOOKUP(D1501,CadProd!$A:$B,2,0)),"")</f>
        <v/>
      </c>
      <c r="F1501" t="str">
        <f>IFERROR(IF(D1501="","",VLOOKUP(D1501,CadProd!$A:$C,3,0)),"")</f>
        <v/>
      </c>
      <c r="I1501" s="1" t="str">
        <f t="shared" si="23"/>
        <v/>
      </c>
    </row>
    <row r="1502" spans="5:9" x14ac:dyDescent="0.3">
      <c r="E1502" t="str">
        <f>IFERROR(IF(D1502="","",VLOOKUP(D1502,CadProd!$A:$B,2,0)),"")</f>
        <v/>
      </c>
      <c r="F1502" t="str">
        <f>IFERROR(IF(D1502="","",VLOOKUP(D1502,CadProd!$A:$C,3,0)),"")</f>
        <v/>
      </c>
      <c r="I1502" s="1" t="str">
        <f t="shared" si="23"/>
        <v/>
      </c>
    </row>
    <row r="1503" spans="5:9" x14ac:dyDescent="0.3">
      <c r="E1503" t="str">
        <f>IFERROR(IF(D1503="","",VLOOKUP(D1503,CadProd!$A:$B,2,0)),"")</f>
        <v/>
      </c>
      <c r="F1503" t="str">
        <f>IFERROR(IF(D1503="","",VLOOKUP(D1503,CadProd!$A:$C,3,0)),"")</f>
        <v/>
      </c>
      <c r="I1503" s="1" t="str">
        <f t="shared" si="23"/>
        <v/>
      </c>
    </row>
    <row r="1504" spans="5:9" x14ac:dyDescent="0.3">
      <c r="E1504" t="str">
        <f>IFERROR(IF(D1504="","",VLOOKUP(D1504,CadProd!$A:$B,2,0)),"")</f>
        <v/>
      </c>
      <c r="F1504" t="str">
        <f>IFERROR(IF(D1504="","",VLOOKUP(D1504,CadProd!$A:$C,3,0)),"")</f>
        <v/>
      </c>
      <c r="I1504" s="1" t="str">
        <f t="shared" si="23"/>
        <v/>
      </c>
    </row>
    <row r="1505" spans="5:9" x14ac:dyDescent="0.3">
      <c r="E1505" t="str">
        <f>IFERROR(IF(D1505="","",VLOOKUP(D1505,CadProd!$A:$B,2,0)),"")</f>
        <v/>
      </c>
      <c r="F1505" t="str">
        <f>IFERROR(IF(D1505="","",VLOOKUP(D1505,CadProd!$A:$C,3,0)),"")</f>
        <v/>
      </c>
      <c r="I1505" s="1" t="str">
        <f t="shared" si="23"/>
        <v/>
      </c>
    </row>
    <row r="1506" spans="5:9" x14ac:dyDescent="0.3">
      <c r="E1506" t="str">
        <f>IFERROR(IF(D1506="","",VLOOKUP(D1506,CadProd!$A:$B,2,0)),"")</f>
        <v/>
      </c>
      <c r="F1506" t="str">
        <f>IFERROR(IF(D1506="","",VLOOKUP(D1506,CadProd!$A:$C,3,0)),"")</f>
        <v/>
      </c>
      <c r="I1506" s="1" t="str">
        <f t="shared" si="23"/>
        <v/>
      </c>
    </row>
    <row r="1507" spans="5:9" x14ac:dyDescent="0.3">
      <c r="E1507" t="str">
        <f>IFERROR(IF(D1507="","",VLOOKUP(D1507,CadProd!$A:$B,2,0)),"")</f>
        <v/>
      </c>
      <c r="F1507" t="str">
        <f>IFERROR(IF(D1507="","",VLOOKUP(D1507,CadProd!$A:$C,3,0)),"")</f>
        <v/>
      </c>
      <c r="I1507" s="1" t="str">
        <f t="shared" si="23"/>
        <v/>
      </c>
    </row>
    <row r="1508" spans="5:9" x14ac:dyDescent="0.3">
      <c r="E1508" t="str">
        <f>IFERROR(IF(D1508="","",VLOOKUP(D1508,CadProd!$A:$B,2,0)),"")</f>
        <v/>
      </c>
      <c r="F1508" t="str">
        <f>IFERROR(IF(D1508="","",VLOOKUP(D1508,CadProd!$A:$C,3,0)),"")</f>
        <v/>
      </c>
      <c r="I1508" s="1" t="str">
        <f t="shared" si="23"/>
        <v/>
      </c>
    </row>
    <row r="1509" spans="5:9" x14ac:dyDescent="0.3">
      <c r="E1509" t="str">
        <f>IFERROR(IF(D1509="","",VLOOKUP(D1509,CadProd!$A:$B,2,0)),"")</f>
        <v/>
      </c>
      <c r="F1509" t="str">
        <f>IFERROR(IF(D1509="","",VLOOKUP(D1509,CadProd!$A:$C,3,0)),"")</f>
        <v/>
      </c>
      <c r="I1509" s="1" t="str">
        <f t="shared" si="23"/>
        <v/>
      </c>
    </row>
    <row r="1510" spans="5:9" x14ac:dyDescent="0.3">
      <c r="E1510" t="str">
        <f>IFERROR(IF(D1510="","",VLOOKUP(D1510,CadProd!$A:$B,2,0)),"")</f>
        <v/>
      </c>
      <c r="F1510" t="str">
        <f>IFERROR(IF(D1510="","",VLOOKUP(D1510,CadProd!$A:$C,3,0)),"")</f>
        <v/>
      </c>
      <c r="I1510" s="1" t="str">
        <f t="shared" si="23"/>
        <v/>
      </c>
    </row>
    <row r="1511" spans="5:9" x14ac:dyDescent="0.3">
      <c r="E1511" t="str">
        <f>IFERROR(IF(D1511="","",VLOOKUP(D1511,CadProd!$A:$B,2,0)),"")</f>
        <v/>
      </c>
      <c r="F1511" t="str">
        <f>IFERROR(IF(D1511="","",VLOOKUP(D1511,CadProd!$A:$C,3,0)),"")</f>
        <v/>
      </c>
      <c r="I1511" s="1" t="str">
        <f t="shared" si="23"/>
        <v/>
      </c>
    </row>
    <row r="1512" spans="5:9" x14ac:dyDescent="0.3">
      <c r="E1512" t="str">
        <f>IFERROR(IF(D1512="","",VLOOKUP(D1512,CadProd!$A:$B,2,0)),"")</f>
        <v/>
      </c>
      <c r="F1512" t="str">
        <f>IFERROR(IF(D1512="","",VLOOKUP(D1512,CadProd!$A:$C,3,0)),"")</f>
        <v/>
      </c>
      <c r="I1512" s="1" t="str">
        <f t="shared" si="23"/>
        <v/>
      </c>
    </row>
    <row r="1513" spans="5:9" x14ac:dyDescent="0.3">
      <c r="E1513" t="str">
        <f>IFERROR(IF(D1513="","",VLOOKUP(D1513,CadProd!$A:$B,2,0)),"")</f>
        <v/>
      </c>
      <c r="F1513" t="str">
        <f>IFERROR(IF(D1513="","",VLOOKUP(D1513,CadProd!$A:$C,3,0)),"")</f>
        <v/>
      </c>
      <c r="I1513" s="1" t="str">
        <f t="shared" si="23"/>
        <v/>
      </c>
    </row>
    <row r="1514" spans="5:9" x14ac:dyDescent="0.3">
      <c r="E1514" t="str">
        <f>IFERROR(IF(D1514="","",VLOOKUP(D1514,CadProd!$A:$B,2,0)),"")</f>
        <v/>
      </c>
      <c r="F1514" t="str">
        <f>IFERROR(IF(D1514="","",VLOOKUP(D1514,CadProd!$A:$C,3,0)),"")</f>
        <v/>
      </c>
      <c r="I1514" s="1" t="str">
        <f t="shared" si="23"/>
        <v/>
      </c>
    </row>
    <row r="1515" spans="5:9" x14ac:dyDescent="0.3">
      <c r="E1515" t="str">
        <f>IFERROR(IF(D1515="","",VLOOKUP(D1515,CadProd!$A:$B,2,0)),"")</f>
        <v/>
      </c>
      <c r="F1515" t="str">
        <f>IFERROR(IF(D1515="","",VLOOKUP(D1515,CadProd!$A:$C,3,0)),"")</f>
        <v/>
      </c>
      <c r="I1515" s="1" t="str">
        <f t="shared" si="23"/>
        <v/>
      </c>
    </row>
    <row r="1516" spans="5:9" x14ac:dyDescent="0.3">
      <c r="E1516" t="str">
        <f>IFERROR(IF(D1516="","",VLOOKUP(D1516,CadProd!$A:$B,2,0)),"")</f>
        <v/>
      </c>
      <c r="F1516" t="str">
        <f>IFERROR(IF(D1516="","",VLOOKUP(D1516,CadProd!$A:$C,3,0)),"")</f>
        <v/>
      </c>
      <c r="I1516" s="1" t="str">
        <f t="shared" si="23"/>
        <v/>
      </c>
    </row>
    <row r="1517" spans="5:9" x14ac:dyDescent="0.3">
      <c r="E1517" t="str">
        <f>IFERROR(IF(D1517="","",VLOOKUP(D1517,CadProd!$A:$B,2,0)),"")</f>
        <v/>
      </c>
      <c r="F1517" t="str">
        <f>IFERROR(IF(D1517="","",VLOOKUP(D1517,CadProd!$A:$C,3,0)),"")</f>
        <v/>
      </c>
      <c r="I1517" s="1" t="str">
        <f t="shared" si="23"/>
        <v/>
      </c>
    </row>
    <row r="1518" spans="5:9" x14ac:dyDescent="0.3">
      <c r="E1518" t="str">
        <f>IFERROR(IF(D1518="","",VLOOKUP(D1518,CadProd!$A:$B,2,0)),"")</f>
        <v/>
      </c>
      <c r="F1518" t="str">
        <f>IFERROR(IF(D1518="","",VLOOKUP(D1518,CadProd!$A:$C,3,0)),"")</f>
        <v/>
      </c>
      <c r="I1518" s="1" t="str">
        <f t="shared" si="23"/>
        <v/>
      </c>
    </row>
    <row r="1519" spans="5:9" x14ac:dyDescent="0.3">
      <c r="E1519" t="str">
        <f>IFERROR(IF(D1519="","",VLOOKUP(D1519,CadProd!$A:$B,2,0)),"")</f>
        <v/>
      </c>
      <c r="F1519" t="str">
        <f>IFERROR(IF(D1519="","",VLOOKUP(D1519,CadProd!$A:$C,3,0)),"")</f>
        <v/>
      </c>
      <c r="I1519" s="1" t="str">
        <f t="shared" si="23"/>
        <v/>
      </c>
    </row>
    <row r="1520" spans="5:9" x14ac:dyDescent="0.3">
      <c r="E1520" t="str">
        <f>IFERROR(IF(D1520="","",VLOOKUP(D1520,CadProd!$A:$B,2,0)),"")</f>
        <v/>
      </c>
      <c r="F1520" t="str">
        <f>IFERROR(IF(D1520="","",VLOOKUP(D1520,CadProd!$A:$C,3,0)),"")</f>
        <v/>
      </c>
      <c r="I1520" s="1" t="str">
        <f t="shared" si="23"/>
        <v/>
      </c>
    </row>
    <row r="1521" spans="5:9" x14ac:dyDescent="0.3">
      <c r="E1521" t="str">
        <f>IFERROR(IF(D1521="","",VLOOKUP(D1521,CadProd!$A:$B,2,0)),"")</f>
        <v/>
      </c>
      <c r="F1521" t="str">
        <f>IFERROR(IF(D1521="","",VLOOKUP(D1521,CadProd!$A:$C,3,0)),"")</f>
        <v/>
      </c>
      <c r="I1521" s="1" t="str">
        <f t="shared" si="23"/>
        <v/>
      </c>
    </row>
    <row r="1522" spans="5:9" x14ac:dyDescent="0.3">
      <c r="E1522" t="str">
        <f>IFERROR(IF(D1522="","",VLOOKUP(D1522,CadProd!$A:$B,2,0)),"")</f>
        <v/>
      </c>
      <c r="F1522" t="str">
        <f>IFERROR(IF(D1522="","",VLOOKUP(D1522,CadProd!$A:$C,3,0)),"")</f>
        <v/>
      </c>
      <c r="I1522" s="1" t="str">
        <f t="shared" si="23"/>
        <v/>
      </c>
    </row>
    <row r="1523" spans="5:9" x14ac:dyDescent="0.3">
      <c r="E1523" t="str">
        <f>IFERROR(IF(D1523="","",VLOOKUP(D1523,CadProd!$A:$B,2,0)),"")</f>
        <v/>
      </c>
      <c r="F1523" t="str">
        <f>IFERROR(IF(D1523="","",VLOOKUP(D1523,CadProd!$A:$C,3,0)),"")</f>
        <v/>
      </c>
      <c r="I1523" s="1" t="str">
        <f t="shared" si="23"/>
        <v/>
      </c>
    </row>
    <row r="1524" spans="5:9" x14ac:dyDescent="0.3">
      <c r="E1524" t="str">
        <f>IFERROR(IF(D1524="","",VLOOKUP(D1524,CadProd!$A:$B,2,0)),"")</f>
        <v/>
      </c>
      <c r="F1524" t="str">
        <f>IFERROR(IF(D1524="","",VLOOKUP(D1524,CadProd!$A:$C,3,0)),"")</f>
        <v/>
      </c>
      <c r="I1524" s="1" t="str">
        <f t="shared" si="23"/>
        <v/>
      </c>
    </row>
    <row r="1525" spans="5:9" x14ac:dyDescent="0.3">
      <c r="E1525" t="str">
        <f>IFERROR(IF(D1525="","",VLOOKUP(D1525,CadProd!$A:$B,2,0)),"")</f>
        <v/>
      </c>
      <c r="F1525" t="str">
        <f>IFERROR(IF(D1525="","",VLOOKUP(D1525,CadProd!$A:$C,3,0)),"")</f>
        <v/>
      </c>
      <c r="I1525" s="1" t="str">
        <f t="shared" si="23"/>
        <v/>
      </c>
    </row>
    <row r="1526" spans="5:9" x14ac:dyDescent="0.3">
      <c r="E1526" t="str">
        <f>IFERROR(IF(D1526="","",VLOOKUP(D1526,CadProd!$A:$B,2,0)),"")</f>
        <v/>
      </c>
      <c r="F1526" t="str">
        <f>IFERROR(IF(D1526="","",VLOOKUP(D1526,CadProd!$A:$C,3,0)),"")</f>
        <v/>
      </c>
      <c r="I1526" s="1" t="str">
        <f t="shared" si="23"/>
        <v/>
      </c>
    </row>
    <row r="1527" spans="5:9" x14ac:dyDescent="0.3">
      <c r="E1527" t="str">
        <f>IFERROR(IF(D1527="","",VLOOKUP(D1527,CadProd!$A:$B,2,0)),"")</f>
        <v/>
      </c>
      <c r="F1527" t="str">
        <f>IFERROR(IF(D1527="","",VLOOKUP(D1527,CadProd!$A:$C,3,0)),"")</f>
        <v/>
      </c>
      <c r="I1527" s="1" t="str">
        <f t="shared" si="23"/>
        <v/>
      </c>
    </row>
    <row r="1528" spans="5:9" x14ac:dyDescent="0.3">
      <c r="E1528" t="str">
        <f>IFERROR(IF(D1528="","",VLOOKUP(D1528,CadProd!$A:$B,2,0)),"")</f>
        <v/>
      </c>
      <c r="F1528" t="str">
        <f>IFERROR(IF(D1528="","",VLOOKUP(D1528,CadProd!$A:$C,3,0)),"")</f>
        <v/>
      </c>
      <c r="I1528" s="1" t="str">
        <f t="shared" si="23"/>
        <v/>
      </c>
    </row>
    <row r="1529" spans="5:9" x14ac:dyDescent="0.3">
      <c r="E1529" t="str">
        <f>IFERROR(IF(D1529="","",VLOOKUP(D1529,CadProd!$A:$B,2,0)),"")</f>
        <v/>
      </c>
      <c r="F1529" t="str">
        <f>IFERROR(IF(D1529="","",VLOOKUP(D1529,CadProd!$A:$C,3,0)),"")</f>
        <v/>
      </c>
      <c r="I1529" s="1" t="str">
        <f t="shared" si="23"/>
        <v/>
      </c>
    </row>
    <row r="1530" spans="5:9" x14ac:dyDescent="0.3">
      <c r="E1530" t="str">
        <f>IFERROR(IF(D1530="","",VLOOKUP(D1530,CadProd!$A:$B,2,0)),"")</f>
        <v/>
      </c>
      <c r="F1530" t="str">
        <f>IFERROR(IF(D1530="","",VLOOKUP(D1530,CadProd!$A:$C,3,0)),"")</f>
        <v/>
      </c>
      <c r="I1530" s="1" t="str">
        <f t="shared" si="23"/>
        <v/>
      </c>
    </row>
    <row r="1531" spans="5:9" x14ac:dyDescent="0.3">
      <c r="E1531" t="str">
        <f>IFERROR(IF(D1531="","",VLOOKUP(D1531,CadProd!$A:$B,2,0)),"")</f>
        <v/>
      </c>
      <c r="F1531" t="str">
        <f>IFERROR(IF(D1531="","",VLOOKUP(D1531,CadProd!$A:$C,3,0)),"")</f>
        <v/>
      </c>
      <c r="I1531" s="1" t="str">
        <f t="shared" si="23"/>
        <v/>
      </c>
    </row>
    <row r="1532" spans="5:9" x14ac:dyDescent="0.3">
      <c r="E1532" t="str">
        <f>IFERROR(IF(D1532="","",VLOOKUP(D1532,CadProd!$A:$B,2,0)),"")</f>
        <v/>
      </c>
      <c r="F1532" t="str">
        <f>IFERROR(IF(D1532="","",VLOOKUP(D1532,CadProd!$A:$C,3,0)),"")</f>
        <v/>
      </c>
      <c r="I1532" s="1" t="str">
        <f t="shared" si="23"/>
        <v/>
      </c>
    </row>
    <row r="1533" spans="5:9" x14ac:dyDescent="0.3">
      <c r="E1533" t="str">
        <f>IFERROR(IF(D1533="","",VLOOKUP(D1533,CadProd!$A:$B,2,0)),"")</f>
        <v/>
      </c>
      <c r="F1533" t="str">
        <f>IFERROR(IF(D1533="","",VLOOKUP(D1533,CadProd!$A:$C,3,0)),"")</f>
        <v/>
      </c>
      <c r="I1533" s="1" t="str">
        <f t="shared" si="23"/>
        <v/>
      </c>
    </row>
    <row r="1534" spans="5:9" x14ac:dyDescent="0.3">
      <c r="E1534" t="str">
        <f>IFERROR(IF(D1534="","",VLOOKUP(D1534,CadProd!$A:$B,2,0)),"")</f>
        <v/>
      </c>
      <c r="F1534" t="str">
        <f>IFERROR(IF(D1534="","",VLOOKUP(D1534,CadProd!$A:$C,3,0)),"")</f>
        <v/>
      </c>
      <c r="I1534" s="1" t="str">
        <f t="shared" si="23"/>
        <v/>
      </c>
    </row>
    <row r="1535" spans="5:9" x14ac:dyDescent="0.3">
      <c r="E1535" t="str">
        <f>IFERROR(IF(D1535="","",VLOOKUP(D1535,CadProd!$A:$B,2,0)),"")</f>
        <v/>
      </c>
      <c r="F1535" t="str">
        <f>IFERROR(IF(D1535="","",VLOOKUP(D1535,CadProd!$A:$C,3,0)),"")</f>
        <v/>
      </c>
      <c r="I1535" s="1" t="str">
        <f t="shared" si="23"/>
        <v/>
      </c>
    </row>
    <row r="1536" spans="5:9" x14ac:dyDescent="0.3">
      <c r="E1536" t="str">
        <f>IFERROR(IF(D1536="","",VLOOKUP(D1536,CadProd!$A:$B,2,0)),"")</f>
        <v/>
      </c>
      <c r="F1536" t="str">
        <f>IFERROR(IF(D1536="","",VLOOKUP(D1536,CadProd!$A:$C,3,0)),"")</f>
        <v/>
      </c>
      <c r="I1536" s="1" t="str">
        <f t="shared" si="23"/>
        <v/>
      </c>
    </row>
    <row r="1537" spans="5:9" x14ac:dyDescent="0.3">
      <c r="E1537" t="str">
        <f>IFERROR(IF(D1537="","",VLOOKUP(D1537,CadProd!$A:$B,2,0)),"")</f>
        <v/>
      </c>
      <c r="F1537" t="str">
        <f>IFERROR(IF(D1537="","",VLOOKUP(D1537,CadProd!$A:$C,3,0)),"")</f>
        <v/>
      </c>
      <c r="I1537" s="1" t="str">
        <f t="shared" si="23"/>
        <v/>
      </c>
    </row>
    <row r="1538" spans="5:9" x14ac:dyDescent="0.3">
      <c r="E1538" t="str">
        <f>IFERROR(IF(D1538="","",VLOOKUP(D1538,CadProd!$A:$B,2,0)),"")</f>
        <v/>
      </c>
      <c r="F1538" t="str">
        <f>IFERROR(IF(D1538="","",VLOOKUP(D1538,CadProd!$A:$C,3,0)),"")</f>
        <v/>
      </c>
      <c r="I1538" s="1" t="str">
        <f t="shared" si="23"/>
        <v/>
      </c>
    </row>
    <row r="1539" spans="5:9" x14ac:dyDescent="0.3">
      <c r="E1539" t="str">
        <f>IFERROR(IF(D1539="","",VLOOKUP(D1539,CadProd!$A:$B,2,0)),"")</f>
        <v/>
      </c>
      <c r="F1539" t="str">
        <f>IFERROR(IF(D1539="","",VLOOKUP(D1539,CadProd!$A:$C,3,0)),"")</f>
        <v/>
      </c>
      <c r="I1539" s="1" t="str">
        <f t="shared" si="23"/>
        <v/>
      </c>
    </row>
    <row r="1540" spans="5:9" x14ac:dyDescent="0.3">
      <c r="E1540" t="str">
        <f>IFERROR(IF(D1540="","",VLOOKUP(D1540,CadProd!$A:$B,2,0)),"")</f>
        <v/>
      </c>
      <c r="F1540" t="str">
        <f>IFERROR(IF(D1540="","",VLOOKUP(D1540,CadProd!$A:$C,3,0)),"")</f>
        <v/>
      </c>
      <c r="I1540" s="1" t="str">
        <f t="shared" si="23"/>
        <v/>
      </c>
    </row>
    <row r="1541" spans="5:9" x14ac:dyDescent="0.3">
      <c r="E1541" t="str">
        <f>IFERROR(IF(D1541="","",VLOOKUP(D1541,CadProd!$A:$B,2,0)),"")</f>
        <v/>
      </c>
      <c r="F1541" t="str">
        <f>IFERROR(IF(D1541="","",VLOOKUP(D1541,CadProd!$A:$C,3,0)),"")</f>
        <v/>
      </c>
      <c r="I1541" s="1" t="str">
        <f t="shared" si="23"/>
        <v/>
      </c>
    </row>
    <row r="1542" spans="5:9" x14ac:dyDescent="0.3">
      <c r="E1542" t="str">
        <f>IFERROR(IF(D1542="","",VLOOKUP(D1542,CadProd!$A:$B,2,0)),"")</f>
        <v/>
      </c>
      <c r="F1542" t="str">
        <f>IFERROR(IF(D1542="","",VLOOKUP(D1542,CadProd!$A:$C,3,0)),"")</f>
        <v/>
      </c>
      <c r="I1542" s="1" t="str">
        <f t="shared" si="23"/>
        <v/>
      </c>
    </row>
    <row r="1543" spans="5:9" x14ac:dyDescent="0.3">
      <c r="E1543" t="str">
        <f>IFERROR(IF(D1543="","",VLOOKUP(D1543,CadProd!$A:$B,2,0)),"")</f>
        <v/>
      </c>
      <c r="F1543" t="str">
        <f>IFERROR(IF(D1543="","",VLOOKUP(D1543,CadProd!$A:$C,3,0)),"")</f>
        <v/>
      </c>
      <c r="I1543" s="1" t="str">
        <f t="shared" si="23"/>
        <v/>
      </c>
    </row>
    <row r="1544" spans="5:9" x14ac:dyDescent="0.3">
      <c r="E1544" t="str">
        <f>IFERROR(IF(D1544="","",VLOOKUP(D1544,CadProd!$A:$B,2,0)),"")</f>
        <v/>
      </c>
      <c r="F1544" t="str">
        <f>IFERROR(IF(D1544="","",VLOOKUP(D1544,CadProd!$A:$C,3,0)),"")</f>
        <v/>
      </c>
      <c r="I1544" s="1" t="str">
        <f t="shared" si="23"/>
        <v/>
      </c>
    </row>
    <row r="1545" spans="5:9" x14ac:dyDescent="0.3">
      <c r="E1545" t="str">
        <f>IFERROR(IF(D1545="","",VLOOKUP(D1545,CadProd!$A:$B,2,0)),"")</f>
        <v/>
      </c>
      <c r="F1545" t="str">
        <f>IFERROR(IF(D1545="","",VLOOKUP(D1545,CadProd!$A:$C,3,0)),"")</f>
        <v/>
      </c>
      <c r="I1545" s="1" t="str">
        <f t="shared" si="23"/>
        <v/>
      </c>
    </row>
    <row r="1546" spans="5:9" x14ac:dyDescent="0.3">
      <c r="E1546" t="str">
        <f>IFERROR(IF(D1546="","",VLOOKUP(D1546,CadProd!$A:$B,2,0)),"")</f>
        <v/>
      </c>
      <c r="F1546" t="str">
        <f>IFERROR(IF(D1546="","",VLOOKUP(D1546,CadProd!$A:$C,3,0)),"")</f>
        <v/>
      </c>
      <c r="I1546" s="1" t="str">
        <f t="shared" si="23"/>
        <v/>
      </c>
    </row>
    <row r="1547" spans="5:9" x14ac:dyDescent="0.3">
      <c r="E1547" t="str">
        <f>IFERROR(IF(D1547="","",VLOOKUP(D1547,CadProd!$A:$B,2,0)),"")</f>
        <v/>
      </c>
      <c r="F1547" t="str">
        <f>IFERROR(IF(D1547="","",VLOOKUP(D1547,CadProd!$A:$C,3,0)),"")</f>
        <v/>
      </c>
      <c r="I1547" s="1" t="str">
        <f t="shared" ref="I1547:I1610" si="24">IFERROR(IF(D1547="","",H1547*G1547),"")</f>
        <v/>
      </c>
    </row>
    <row r="1548" spans="5:9" x14ac:dyDescent="0.3">
      <c r="E1548" t="str">
        <f>IFERROR(IF(D1548="","",VLOOKUP(D1548,CadProd!$A:$B,2,0)),"")</f>
        <v/>
      </c>
      <c r="F1548" t="str">
        <f>IFERROR(IF(D1548="","",VLOOKUP(D1548,CadProd!$A:$C,3,0)),"")</f>
        <v/>
      </c>
      <c r="I1548" s="1" t="str">
        <f t="shared" si="24"/>
        <v/>
      </c>
    </row>
    <row r="1549" spans="5:9" x14ac:dyDescent="0.3">
      <c r="E1549" t="str">
        <f>IFERROR(IF(D1549="","",VLOOKUP(D1549,CadProd!$A:$B,2,0)),"")</f>
        <v/>
      </c>
      <c r="F1549" t="str">
        <f>IFERROR(IF(D1549="","",VLOOKUP(D1549,CadProd!$A:$C,3,0)),"")</f>
        <v/>
      </c>
      <c r="I1549" s="1" t="str">
        <f t="shared" si="24"/>
        <v/>
      </c>
    </row>
    <row r="1550" spans="5:9" x14ac:dyDescent="0.3">
      <c r="E1550" t="str">
        <f>IFERROR(IF(D1550="","",VLOOKUP(D1550,CadProd!$A:$B,2,0)),"")</f>
        <v/>
      </c>
      <c r="F1550" t="str">
        <f>IFERROR(IF(D1550="","",VLOOKUP(D1550,CadProd!$A:$C,3,0)),"")</f>
        <v/>
      </c>
      <c r="I1550" s="1" t="str">
        <f t="shared" si="24"/>
        <v/>
      </c>
    </row>
    <row r="1551" spans="5:9" x14ac:dyDescent="0.3">
      <c r="E1551" t="str">
        <f>IFERROR(IF(D1551="","",VLOOKUP(D1551,CadProd!$A:$B,2,0)),"")</f>
        <v/>
      </c>
      <c r="F1551" t="str">
        <f>IFERROR(IF(D1551="","",VLOOKUP(D1551,CadProd!$A:$C,3,0)),"")</f>
        <v/>
      </c>
      <c r="I1551" s="1" t="str">
        <f t="shared" si="24"/>
        <v/>
      </c>
    </row>
    <row r="1552" spans="5:9" x14ac:dyDescent="0.3">
      <c r="E1552" t="str">
        <f>IFERROR(IF(D1552="","",VLOOKUP(D1552,CadProd!$A:$B,2,0)),"")</f>
        <v/>
      </c>
      <c r="F1552" t="str">
        <f>IFERROR(IF(D1552="","",VLOOKUP(D1552,CadProd!$A:$C,3,0)),"")</f>
        <v/>
      </c>
      <c r="I1552" s="1" t="str">
        <f t="shared" si="24"/>
        <v/>
      </c>
    </row>
    <row r="1553" spans="5:9" x14ac:dyDescent="0.3">
      <c r="E1553" t="str">
        <f>IFERROR(IF(D1553="","",VLOOKUP(D1553,CadProd!$A:$B,2,0)),"")</f>
        <v/>
      </c>
      <c r="F1553" t="str">
        <f>IFERROR(IF(D1553="","",VLOOKUP(D1553,CadProd!$A:$C,3,0)),"")</f>
        <v/>
      </c>
      <c r="I1553" s="1" t="str">
        <f t="shared" si="24"/>
        <v/>
      </c>
    </row>
    <row r="1554" spans="5:9" x14ac:dyDescent="0.3">
      <c r="E1554" t="str">
        <f>IFERROR(IF(D1554="","",VLOOKUP(D1554,CadProd!$A:$B,2,0)),"")</f>
        <v/>
      </c>
      <c r="F1554" t="str">
        <f>IFERROR(IF(D1554="","",VLOOKUP(D1554,CadProd!$A:$C,3,0)),"")</f>
        <v/>
      </c>
      <c r="I1554" s="1" t="str">
        <f t="shared" si="24"/>
        <v/>
      </c>
    </row>
    <row r="1555" spans="5:9" x14ac:dyDescent="0.3">
      <c r="E1555" t="str">
        <f>IFERROR(IF(D1555="","",VLOOKUP(D1555,CadProd!$A:$B,2,0)),"")</f>
        <v/>
      </c>
      <c r="F1555" t="str">
        <f>IFERROR(IF(D1555="","",VLOOKUP(D1555,CadProd!$A:$C,3,0)),"")</f>
        <v/>
      </c>
      <c r="I1555" s="1" t="str">
        <f t="shared" si="24"/>
        <v/>
      </c>
    </row>
    <row r="1556" spans="5:9" x14ac:dyDescent="0.3">
      <c r="E1556" t="str">
        <f>IFERROR(IF(D1556="","",VLOOKUP(D1556,CadProd!$A:$B,2,0)),"")</f>
        <v/>
      </c>
      <c r="F1556" t="str">
        <f>IFERROR(IF(D1556="","",VLOOKUP(D1556,CadProd!$A:$C,3,0)),"")</f>
        <v/>
      </c>
      <c r="I1556" s="1" t="str">
        <f t="shared" si="24"/>
        <v/>
      </c>
    </row>
    <row r="1557" spans="5:9" x14ac:dyDescent="0.3">
      <c r="E1557" t="str">
        <f>IFERROR(IF(D1557="","",VLOOKUP(D1557,CadProd!$A:$B,2,0)),"")</f>
        <v/>
      </c>
      <c r="F1557" t="str">
        <f>IFERROR(IF(D1557="","",VLOOKUP(D1557,CadProd!$A:$C,3,0)),"")</f>
        <v/>
      </c>
      <c r="I1557" s="1" t="str">
        <f t="shared" si="24"/>
        <v/>
      </c>
    </row>
    <row r="1558" spans="5:9" x14ac:dyDescent="0.3">
      <c r="E1558" t="str">
        <f>IFERROR(IF(D1558="","",VLOOKUP(D1558,CadProd!$A:$B,2,0)),"")</f>
        <v/>
      </c>
      <c r="F1558" t="str">
        <f>IFERROR(IF(D1558="","",VLOOKUP(D1558,CadProd!$A:$C,3,0)),"")</f>
        <v/>
      </c>
      <c r="I1558" s="1" t="str">
        <f t="shared" si="24"/>
        <v/>
      </c>
    </row>
    <row r="1559" spans="5:9" x14ac:dyDescent="0.3">
      <c r="E1559" t="str">
        <f>IFERROR(IF(D1559="","",VLOOKUP(D1559,CadProd!$A:$B,2,0)),"")</f>
        <v/>
      </c>
      <c r="F1559" t="str">
        <f>IFERROR(IF(D1559="","",VLOOKUP(D1559,CadProd!$A:$C,3,0)),"")</f>
        <v/>
      </c>
      <c r="I1559" s="1" t="str">
        <f t="shared" si="24"/>
        <v/>
      </c>
    </row>
    <row r="1560" spans="5:9" x14ac:dyDescent="0.3">
      <c r="E1560" t="str">
        <f>IFERROR(IF(D1560="","",VLOOKUP(D1560,CadProd!$A:$B,2,0)),"")</f>
        <v/>
      </c>
      <c r="F1560" t="str">
        <f>IFERROR(IF(D1560="","",VLOOKUP(D1560,CadProd!$A:$C,3,0)),"")</f>
        <v/>
      </c>
      <c r="I1560" s="1" t="str">
        <f t="shared" si="24"/>
        <v/>
      </c>
    </row>
    <row r="1561" spans="5:9" x14ac:dyDescent="0.3">
      <c r="E1561" t="str">
        <f>IFERROR(IF(D1561="","",VLOOKUP(D1561,CadProd!$A:$B,2,0)),"")</f>
        <v/>
      </c>
      <c r="F1561" t="str">
        <f>IFERROR(IF(D1561="","",VLOOKUP(D1561,CadProd!$A:$C,3,0)),"")</f>
        <v/>
      </c>
      <c r="I1561" s="1" t="str">
        <f t="shared" si="24"/>
        <v/>
      </c>
    </row>
    <row r="1562" spans="5:9" x14ac:dyDescent="0.3">
      <c r="E1562" t="str">
        <f>IFERROR(IF(D1562="","",VLOOKUP(D1562,CadProd!$A:$B,2,0)),"")</f>
        <v/>
      </c>
      <c r="F1562" t="str">
        <f>IFERROR(IF(D1562="","",VLOOKUP(D1562,CadProd!$A:$C,3,0)),"")</f>
        <v/>
      </c>
      <c r="I1562" s="1" t="str">
        <f t="shared" si="24"/>
        <v/>
      </c>
    </row>
    <row r="1563" spans="5:9" x14ac:dyDescent="0.3">
      <c r="E1563" t="str">
        <f>IFERROR(IF(D1563="","",VLOOKUP(D1563,CadProd!$A:$B,2,0)),"")</f>
        <v/>
      </c>
      <c r="F1563" t="str">
        <f>IFERROR(IF(D1563="","",VLOOKUP(D1563,CadProd!$A:$C,3,0)),"")</f>
        <v/>
      </c>
      <c r="I1563" s="1" t="str">
        <f t="shared" si="24"/>
        <v/>
      </c>
    </row>
    <row r="1564" spans="5:9" x14ac:dyDescent="0.3">
      <c r="E1564" t="str">
        <f>IFERROR(IF(D1564="","",VLOOKUP(D1564,CadProd!$A:$B,2,0)),"")</f>
        <v/>
      </c>
      <c r="F1564" t="str">
        <f>IFERROR(IF(D1564="","",VLOOKUP(D1564,CadProd!$A:$C,3,0)),"")</f>
        <v/>
      </c>
      <c r="I1564" s="1" t="str">
        <f t="shared" si="24"/>
        <v/>
      </c>
    </row>
    <row r="1565" spans="5:9" x14ac:dyDescent="0.3">
      <c r="E1565" t="str">
        <f>IFERROR(IF(D1565="","",VLOOKUP(D1565,CadProd!$A:$B,2,0)),"")</f>
        <v/>
      </c>
      <c r="F1565" t="str">
        <f>IFERROR(IF(D1565="","",VLOOKUP(D1565,CadProd!$A:$C,3,0)),"")</f>
        <v/>
      </c>
      <c r="I1565" s="1" t="str">
        <f t="shared" si="24"/>
        <v/>
      </c>
    </row>
    <row r="1566" spans="5:9" x14ac:dyDescent="0.3">
      <c r="E1566" t="str">
        <f>IFERROR(IF(D1566="","",VLOOKUP(D1566,CadProd!$A:$B,2,0)),"")</f>
        <v/>
      </c>
      <c r="F1566" t="str">
        <f>IFERROR(IF(D1566="","",VLOOKUP(D1566,CadProd!$A:$C,3,0)),"")</f>
        <v/>
      </c>
      <c r="I1566" s="1" t="str">
        <f t="shared" si="24"/>
        <v/>
      </c>
    </row>
    <row r="1567" spans="5:9" x14ac:dyDescent="0.3">
      <c r="E1567" t="str">
        <f>IFERROR(IF(D1567="","",VLOOKUP(D1567,CadProd!$A:$B,2,0)),"")</f>
        <v/>
      </c>
      <c r="F1567" t="str">
        <f>IFERROR(IF(D1567="","",VLOOKUP(D1567,CadProd!$A:$C,3,0)),"")</f>
        <v/>
      </c>
      <c r="I1567" s="1" t="str">
        <f t="shared" si="24"/>
        <v/>
      </c>
    </row>
    <row r="1568" spans="5:9" x14ac:dyDescent="0.3">
      <c r="E1568" t="str">
        <f>IFERROR(IF(D1568="","",VLOOKUP(D1568,CadProd!$A:$B,2,0)),"")</f>
        <v/>
      </c>
      <c r="F1568" t="str">
        <f>IFERROR(IF(D1568="","",VLOOKUP(D1568,CadProd!$A:$C,3,0)),"")</f>
        <v/>
      </c>
      <c r="I1568" s="1" t="str">
        <f t="shared" si="24"/>
        <v/>
      </c>
    </row>
    <row r="1569" spans="5:9" x14ac:dyDescent="0.3">
      <c r="E1569" t="str">
        <f>IFERROR(IF(D1569="","",VLOOKUP(D1569,CadProd!$A:$B,2,0)),"")</f>
        <v/>
      </c>
      <c r="F1569" t="str">
        <f>IFERROR(IF(D1569="","",VLOOKUP(D1569,CadProd!$A:$C,3,0)),"")</f>
        <v/>
      </c>
      <c r="I1569" s="1" t="str">
        <f t="shared" si="24"/>
        <v/>
      </c>
    </row>
    <row r="1570" spans="5:9" x14ac:dyDescent="0.3">
      <c r="E1570" t="str">
        <f>IFERROR(IF(D1570="","",VLOOKUP(D1570,CadProd!$A:$B,2,0)),"")</f>
        <v/>
      </c>
      <c r="F1570" t="str">
        <f>IFERROR(IF(D1570="","",VLOOKUP(D1570,CadProd!$A:$C,3,0)),"")</f>
        <v/>
      </c>
      <c r="I1570" s="1" t="str">
        <f t="shared" si="24"/>
        <v/>
      </c>
    </row>
    <row r="1571" spans="5:9" x14ac:dyDescent="0.3">
      <c r="E1571" t="str">
        <f>IFERROR(IF(D1571="","",VLOOKUP(D1571,CadProd!$A:$B,2,0)),"")</f>
        <v/>
      </c>
      <c r="F1571" t="str">
        <f>IFERROR(IF(D1571="","",VLOOKUP(D1571,CadProd!$A:$C,3,0)),"")</f>
        <v/>
      </c>
      <c r="I1571" s="1" t="str">
        <f t="shared" si="24"/>
        <v/>
      </c>
    </row>
    <row r="1572" spans="5:9" x14ac:dyDescent="0.3">
      <c r="E1572" t="str">
        <f>IFERROR(IF(D1572="","",VLOOKUP(D1572,CadProd!$A:$B,2,0)),"")</f>
        <v/>
      </c>
      <c r="F1572" t="str">
        <f>IFERROR(IF(D1572="","",VLOOKUP(D1572,CadProd!$A:$C,3,0)),"")</f>
        <v/>
      </c>
      <c r="I1572" s="1" t="str">
        <f t="shared" si="24"/>
        <v/>
      </c>
    </row>
    <row r="1573" spans="5:9" x14ac:dyDescent="0.3">
      <c r="E1573" t="str">
        <f>IFERROR(IF(D1573="","",VLOOKUP(D1573,CadProd!$A:$B,2,0)),"")</f>
        <v/>
      </c>
      <c r="F1573" t="str">
        <f>IFERROR(IF(D1573="","",VLOOKUP(D1573,CadProd!$A:$C,3,0)),"")</f>
        <v/>
      </c>
      <c r="I1573" s="1" t="str">
        <f t="shared" si="24"/>
        <v/>
      </c>
    </row>
    <row r="1574" spans="5:9" x14ac:dyDescent="0.3">
      <c r="E1574" t="str">
        <f>IFERROR(IF(D1574="","",VLOOKUP(D1574,CadProd!$A:$B,2,0)),"")</f>
        <v/>
      </c>
      <c r="F1574" t="str">
        <f>IFERROR(IF(D1574="","",VLOOKUP(D1574,CadProd!$A:$C,3,0)),"")</f>
        <v/>
      </c>
      <c r="I1574" s="1" t="str">
        <f t="shared" si="24"/>
        <v/>
      </c>
    </row>
    <row r="1575" spans="5:9" x14ac:dyDescent="0.3">
      <c r="E1575" t="str">
        <f>IFERROR(IF(D1575="","",VLOOKUP(D1575,CadProd!$A:$B,2,0)),"")</f>
        <v/>
      </c>
      <c r="F1575" t="str">
        <f>IFERROR(IF(D1575="","",VLOOKUP(D1575,CadProd!$A:$C,3,0)),"")</f>
        <v/>
      </c>
      <c r="I1575" s="1" t="str">
        <f t="shared" si="24"/>
        <v/>
      </c>
    </row>
    <row r="1576" spans="5:9" x14ac:dyDescent="0.3">
      <c r="E1576" t="str">
        <f>IFERROR(IF(D1576="","",VLOOKUP(D1576,CadProd!$A:$B,2,0)),"")</f>
        <v/>
      </c>
      <c r="F1576" t="str">
        <f>IFERROR(IF(D1576="","",VLOOKUP(D1576,CadProd!$A:$C,3,0)),"")</f>
        <v/>
      </c>
      <c r="I1576" s="1" t="str">
        <f t="shared" si="24"/>
        <v/>
      </c>
    </row>
    <row r="1577" spans="5:9" x14ac:dyDescent="0.3">
      <c r="E1577" t="str">
        <f>IFERROR(IF(D1577="","",VLOOKUP(D1577,CadProd!$A:$B,2,0)),"")</f>
        <v/>
      </c>
      <c r="F1577" t="str">
        <f>IFERROR(IF(D1577="","",VLOOKUP(D1577,CadProd!$A:$C,3,0)),"")</f>
        <v/>
      </c>
      <c r="I1577" s="1" t="str">
        <f t="shared" si="24"/>
        <v/>
      </c>
    </row>
    <row r="1578" spans="5:9" x14ac:dyDescent="0.3">
      <c r="E1578" t="str">
        <f>IFERROR(IF(D1578="","",VLOOKUP(D1578,CadProd!$A:$B,2,0)),"")</f>
        <v/>
      </c>
      <c r="F1578" t="str">
        <f>IFERROR(IF(D1578="","",VLOOKUP(D1578,CadProd!$A:$C,3,0)),"")</f>
        <v/>
      </c>
      <c r="I1578" s="1" t="str">
        <f t="shared" si="24"/>
        <v/>
      </c>
    </row>
    <row r="1579" spans="5:9" x14ac:dyDescent="0.3">
      <c r="E1579" t="str">
        <f>IFERROR(IF(D1579="","",VLOOKUP(D1579,CadProd!$A:$B,2,0)),"")</f>
        <v/>
      </c>
      <c r="F1579" t="str">
        <f>IFERROR(IF(D1579="","",VLOOKUP(D1579,CadProd!$A:$C,3,0)),"")</f>
        <v/>
      </c>
      <c r="I1579" s="1" t="str">
        <f t="shared" si="24"/>
        <v/>
      </c>
    </row>
    <row r="1580" spans="5:9" x14ac:dyDescent="0.3">
      <c r="E1580" t="str">
        <f>IFERROR(IF(D1580="","",VLOOKUP(D1580,CadProd!$A:$B,2,0)),"")</f>
        <v/>
      </c>
      <c r="F1580" t="str">
        <f>IFERROR(IF(D1580="","",VLOOKUP(D1580,CadProd!$A:$C,3,0)),"")</f>
        <v/>
      </c>
      <c r="I1580" s="1" t="str">
        <f t="shared" si="24"/>
        <v/>
      </c>
    </row>
    <row r="1581" spans="5:9" x14ac:dyDescent="0.3">
      <c r="E1581" t="str">
        <f>IFERROR(IF(D1581="","",VLOOKUP(D1581,CadProd!$A:$B,2,0)),"")</f>
        <v/>
      </c>
      <c r="F1581" t="str">
        <f>IFERROR(IF(D1581="","",VLOOKUP(D1581,CadProd!$A:$C,3,0)),"")</f>
        <v/>
      </c>
      <c r="I1581" s="1" t="str">
        <f t="shared" si="24"/>
        <v/>
      </c>
    </row>
    <row r="1582" spans="5:9" x14ac:dyDescent="0.3">
      <c r="E1582" t="str">
        <f>IFERROR(IF(D1582="","",VLOOKUP(D1582,CadProd!$A:$B,2,0)),"")</f>
        <v/>
      </c>
      <c r="F1582" t="str">
        <f>IFERROR(IF(D1582="","",VLOOKUP(D1582,CadProd!$A:$C,3,0)),"")</f>
        <v/>
      </c>
      <c r="I1582" s="1" t="str">
        <f t="shared" si="24"/>
        <v/>
      </c>
    </row>
    <row r="1583" spans="5:9" x14ac:dyDescent="0.3">
      <c r="E1583" t="str">
        <f>IFERROR(IF(D1583="","",VLOOKUP(D1583,CadProd!$A:$B,2,0)),"")</f>
        <v/>
      </c>
      <c r="F1583" t="str">
        <f>IFERROR(IF(D1583="","",VLOOKUP(D1583,CadProd!$A:$C,3,0)),"")</f>
        <v/>
      </c>
      <c r="I1583" s="1" t="str">
        <f t="shared" si="24"/>
        <v/>
      </c>
    </row>
    <row r="1584" spans="5:9" x14ac:dyDescent="0.3">
      <c r="E1584" t="str">
        <f>IFERROR(IF(D1584="","",VLOOKUP(D1584,CadProd!$A:$B,2,0)),"")</f>
        <v/>
      </c>
      <c r="F1584" t="str">
        <f>IFERROR(IF(D1584="","",VLOOKUP(D1584,CadProd!$A:$C,3,0)),"")</f>
        <v/>
      </c>
      <c r="I1584" s="1" t="str">
        <f t="shared" si="24"/>
        <v/>
      </c>
    </row>
    <row r="1585" spans="5:9" x14ac:dyDescent="0.3">
      <c r="E1585" t="str">
        <f>IFERROR(IF(D1585="","",VLOOKUP(D1585,CadProd!$A:$B,2,0)),"")</f>
        <v/>
      </c>
      <c r="F1585" t="str">
        <f>IFERROR(IF(D1585="","",VLOOKUP(D1585,CadProd!$A:$C,3,0)),"")</f>
        <v/>
      </c>
      <c r="I1585" s="1" t="str">
        <f t="shared" si="24"/>
        <v/>
      </c>
    </row>
    <row r="1586" spans="5:9" x14ac:dyDescent="0.3">
      <c r="E1586" t="str">
        <f>IFERROR(IF(D1586="","",VLOOKUP(D1586,CadProd!$A:$B,2,0)),"")</f>
        <v/>
      </c>
      <c r="F1586" t="str">
        <f>IFERROR(IF(D1586="","",VLOOKUP(D1586,CadProd!$A:$C,3,0)),"")</f>
        <v/>
      </c>
      <c r="I1586" s="1" t="str">
        <f t="shared" si="24"/>
        <v/>
      </c>
    </row>
    <row r="1587" spans="5:9" x14ac:dyDescent="0.3">
      <c r="E1587" t="str">
        <f>IFERROR(IF(D1587="","",VLOOKUP(D1587,CadProd!$A:$B,2,0)),"")</f>
        <v/>
      </c>
      <c r="F1587" t="str">
        <f>IFERROR(IF(D1587="","",VLOOKUP(D1587,CadProd!$A:$C,3,0)),"")</f>
        <v/>
      </c>
      <c r="I1587" s="1" t="str">
        <f t="shared" si="24"/>
        <v/>
      </c>
    </row>
    <row r="1588" spans="5:9" x14ac:dyDescent="0.3">
      <c r="E1588" t="str">
        <f>IFERROR(IF(D1588="","",VLOOKUP(D1588,CadProd!$A:$B,2,0)),"")</f>
        <v/>
      </c>
      <c r="F1588" t="str">
        <f>IFERROR(IF(D1588="","",VLOOKUP(D1588,CadProd!$A:$C,3,0)),"")</f>
        <v/>
      </c>
      <c r="I1588" s="1" t="str">
        <f t="shared" si="24"/>
        <v/>
      </c>
    </row>
    <row r="1589" spans="5:9" x14ac:dyDescent="0.3">
      <c r="E1589" t="str">
        <f>IFERROR(IF(D1589="","",VLOOKUP(D1589,CadProd!$A:$B,2,0)),"")</f>
        <v/>
      </c>
      <c r="F1589" t="str">
        <f>IFERROR(IF(D1589="","",VLOOKUP(D1589,CadProd!$A:$C,3,0)),"")</f>
        <v/>
      </c>
      <c r="I1589" s="1" t="str">
        <f t="shared" si="24"/>
        <v/>
      </c>
    </row>
    <row r="1590" spans="5:9" x14ac:dyDescent="0.3">
      <c r="E1590" t="str">
        <f>IFERROR(IF(D1590="","",VLOOKUP(D1590,CadProd!$A:$B,2,0)),"")</f>
        <v/>
      </c>
      <c r="F1590" t="str">
        <f>IFERROR(IF(D1590="","",VLOOKUP(D1590,CadProd!$A:$C,3,0)),"")</f>
        <v/>
      </c>
      <c r="I1590" s="1" t="str">
        <f t="shared" si="24"/>
        <v/>
      </c>
    </row>
    <row r="1591" spans="5:9" x14ac:dyDescent="0.3">
      <c r="E1591" t="str">
        <f>IFERROR(IF(D1591="","",VLOOKUP(D1591,CadProd!$A:$B,2,0)),"")</f>
        <v/>
      </c>
      <c r="F1591" t="str">
        <f>IFERROR(IF(D1591="","",VLOOKUP(D1591,CadProd!$A:$C,3,0)),"")</f>
        <v/>
      </c>
      <c r="I1591" s="1" t="str">
        <f t="shared" si="24"/>
        <v/>
      </c>
    </row>
    <row r="1592" spans="5:9" x14ac:dyDescent="0.3">
      <c r="E1592" t="str">
        <f>IFERROR(IF(D1592="","",VLOOKUP(D1592,CadProd!$A:$B,2,0)),"")</f>
        <v/>
      </c>
      <c r="F1592" t="str">
        <f>IFERROR(IF(D1592="","",VLOOKUP(D1592,CadProd!$A:$C,3,0)),"")</f>
        <v/>
      </c>
      <c r="I1592" s="1" t="str">
        <f t="shared" si="24"/>
        <v/>
      </c>
    </row>
    <row r="1593" spans="5:9" x14ac:dyDescent="0.3">
      <c r="E1593" t="str">
        <f>IFERROR(IF(D1593="","",VLOOKUP(D1593,CadProd!$A:$B,2,0)),"")</f>
        <v/>
      </c>
      <c r="F1593" t="str">
        <f>IFERROR(IF(D1593="","",VLOOKUP(D1593,CadProd!$A:$C,3,0)),"")</f>
        <v/>
      </c>
      <c r="I1593" s="1" t="str">
        <f t="shared" si="24"/>
        <v/>
      </c>
    </row>
    <row r="1594" spans="5:9" x14ac:dyDescent="0.3">
      <c r="E1594" t="str">
        <f>IFERROR(IF(D1594="","",VLOOKUP(D1594,CadProd!$A:$B,2,0)),"")</f>
        <v/>
      </c>
      <c r="F1594" t="str">
        <f>IFERROR(IF(D1594="","",VLOOKUP(D1594,CadProd!$A:$C,3,0)),"")</f>
        <v/>
      </c>
      <c r="I1594" s="1" t="str">
        <f t="shared" si="24"/>
        <v/>
      </c>
    </row>
    <row r="1595" spans="5:9" x14ac:dyDescent="0.3">
      <c r="E1595" t="str">
        <f>IFERROR(IF(D1595="","",VLOOKUP(D1595,CadProd!$A:$B,2,0)),"")</f>
        <v/>
      </c>
      <c r="F1595" t="str">
        <f>IFERROR(IF(D1595="","",VLOOKUP(D1595,CadProd!$A:$C,3,0)),"")</f>
        <v/>
      </c>
      <c r="I1595" s="1" t="str">
        <f t="shared" si="24"/>
        <v/>
      </c>
    </row>
    <row r="1596" spans="5:9" x14ac:dyDescent="0.3">
      <c r="E1596" t="str">
        <f>IFERROR(IF(D1596="","",VLOOKUP(D1596,CadProd!$A:$B,2,0)),"")</f>
        <v/>
      </c>
      <c r="F1596" t="str">
        <f>IFERROR(IF(D1596="","",VLOOKUP(D1596,CadProd!$A:$C,3,0)),"")</f>
        <v/>
      </c>
      <c r="I1596" s="1" t="str">
        <f t="shared" si="24"/>
        <v/>
      </c>
    </row>
    <row r="1597" spans="5:9" x14ac:dyDescent="0.3">
      <c r="E1597" t="str">
        <f>IFERROR(IF(D1597="","",VLOOKUP(D1597,CadProd!$A:$B,2,0)),"")</f>
        <v/>
      </c>
      <c r="F1597" t="str">
        <f>IFERROR(IF(D1597="","",VLOOKUP(D1597,CadProd!$A:$C,3,0)),"")</f>
        <v/>
      </c>
      <c r="I1597" s="1" t="str">
        <f t="shared" si="24"/>
        <v/>
      </c>
    </row>
    <row r="1598" spans="5:9" x14ac:dyDescent="0.3">
      <c r="E1598" t="str">
        <f>IFERROR(IF(D1598="","",VLOOKUP(D1598,CadProd!$A:$B,2,0)),"")</f>
        <v/>
      </c>
      <c r="F1598" t="str">
        <f>IFERROR(IF(D1598="","",VLOOKUP(D1598,CadProd!$A:$C,3,0)),"")</f>
        <v/>
      </c>
      <c r="I1598" s="1" t="str">
        <f t="shared" si="24"/>
        <v/>
      </c>
    </row>
    <row r="1599" spans="5:9" x14ac:dyDescent="0.3">
      <c r="E1599" t="str">
        <f>IFERROR(IF(D1599="","",VLOOKUP(D1599,CadProd!$A:$B,2,0)),"")</f>
        <v/>
      </c>
      <c r="F1599" t="str">
        <f>IFERROR(IF(D1599="","",VLOOKUP(D1599,CadProd!$A:$C,3,0)),"")</f>
        <v/>
      </c>
      <c r="I1599" s="1" t="str">
        <f t="shared" si="24"/>
        <v/>
      </c>
    </row>
    <row r="1600" spans="5:9" x14ac:dyDescent="0.3">
      <c r="E1600" t="str">
        <f>IFERROR(IF(D1600="","",VLOOKUP(D1600,CadProd!$A:$B,2,0)),"")</f>
        <v/>
      </c>
      <c r="F1600" t="str">
        <f>IFERROR(IF(D1600="","",VLOOKUP(D1600,CadProd!$A:$C,3,0)),"")</f>
        <v/>
      </c>
      <c r="I1600" s="1" t="str">
        <f t="shared" si="24"/>
        <v/>
      </c>
    </row>
    <row r="1601" spans="5:9" x14ac:dyDescent="0.3">
      <c r="E1601" t="str">
        <f>IFERROR(IF(D1601="","",VLOOKUP(D1601,CadProd!$A:$B,2,0)),"")</f>
        <v/>
      </c>
      <c r="F1601" t="str">
        <f>IFERROR(IF(D1601="","",VLOOKUP(D1601,CadProd!$A:$C,3,0)),"")</f>
        <v/>
      </c>
      <c r="I1601" s="1" t="str">
        <f t="shared" si="24"/>
        <v/>
      </c>
    </row>
    <row r="1602" spans="5:9" x14ac:dyDescent="0.3">
      <c r="E1602" t="str">
        <f>IFERROR(IF(D1602="","",VLOOKUP(D1602,CadProd!$A:$B,2,0)),"")</f>
        <v/>
      </c>
      <c r="F1602" t="str">
        <f>IFERROR(IF(D1602="","",VLOOKUP(D1602,CadProd!$A:$C,3,0)),"")</f>
        <v/>
      </c>
      <c r="I1602" s="1" t="str">
        <f t="shared" si="24"/>
        <v/>
      </c>
    </row>
    <row r="1603" spans="5:9" x14ac:dyDescent="0.3">
      <c r="E1603" t="str">
        <f>IFERROR(IF(D1603="","",VLOOKUP(D1603,CadProd!$A:$B,2,0)),"")</f>
        <v/>
      </c>
      <c r="F1603" t="str">
        <f>IFERROR(IF(D1603="","",VLOOKUP(D1603,CadProd!$A:$C,3,0)),"")</f>
        <v/>
      </c>
      <c r="I1603" s="1" t="str">
        <f t="shared" si="24"/>
        <v/>
      </c>
    </row>
    <row r="1604" spans="5:9" x14ac:dyDescent="0.3">
      <c r="E1604" t="str">
        <f>IFERROR(IF(D1604="","",VLOOKUP(D1604,CadProd!$A:$B,2,0)),"")</f>
        <v/>
      </c>
      <c r="F1604" t="str">
        <f>IFERROR(IF(D1604="","",VLOOKUP(D1604,CadProd!$A:$C,3,0)),"")</f>
        <v/>
      </c>
      <c r="I1604" s="1" t="str">
        <f t="shared" si="24"/>
        <v/>
      </c>
    </row>
    <row r="1605" spans="5:9" x14ac:dyDescent="0.3">
      <c r="E1605" t="str">
        <f>IFERROR(IF(D1605="","",VLOOKUP(D1605,CadProd!$A:$B,2,0)),"")</f>
        <v/>
      </c>
      <c r="F1605" t="str">
        <f>IFERROR(IF(D1605="","",VLOOKUP(D1605,CadProd!$A:$C,3,0)),"")</f>
        <v/>
      </c>
      <c r="I1605" s="1" t="str">
        <f t="shared" si="24"/>
        <v/>
      </c>
    </row>
    <row r="1606" spans="5:9" x14ac:dyDescent="0.3">
      <c r="E1606" t="str">
        <f>IFERROR(IF(D1606="","",VLOOKUP(D1606,CadProd!$A:$B,2,0)),"")</f>
        <v/>
      </c>
      <c r="F1606" t="str">
        <f>IFERROR(IF(D1606="","",VLOOKUP(D1606,CadProd!$A:$C,3,0)),"")</f>
        <v/>
      </c>
      <c r="I1606" s="1" t="str">
        <f t="shared" si="24"/>
        <v/>
      </c>
    </row>
    <row r="1607" spans="5:9" x14ac:dyDescent="0.3">
      <c r="E1607" t="str">
        <f>IFERROR(IF(D1607="","",VLOOKUP(D1607,CadProd!$A:$B,2,0)),"")</f>
        <v/>
      </c>
      <c r="F1607" t="str">
        <f>IFERROR(IF(D1607="","",VLOOKUP(D1607,CadProd!$A:$C,3,0)),"")</f>
        <v/>
      </c>
      <c r="I1607" s="1" t="str">
        <f t="shared" si="24"/>
        <v/>
      </c>
    </row>
    <row r="1608" spans="5:9" x14ac:dyDescent="0.3">
      <c r="E1608" t="str">
        <f>IFERROR(IF(D1608="","",VLOOKUP(D1608,CadProd!$A:$B,2,0)),"")</f>
        <v/>
      </c>
      <c r="F1608" t="str">
        <f>IFERROR(IF(D1608="","",VLOOKUP(D1608,CadProd!$A:$C,3,0)),"")</f>
        <v/>
      </c>
      <c r="I1608" s="1" t="str">
        <f t="shared" si="24"/>
        <v/>
      </c>
    </row>
    <row r="1609" spans="5:9" x14ac:dyDescent="0.3">
      <c r="E1609" t="str">
        <f>IFERROR(IF(D1609="","",VLOOKUP(D1609,CadProd!$A:$B,2,0)),"")</f>
        <v/>
      </c>
      <c r="F1609" t="str">
        <f>IFERROR(IF(D1609="","",VLOOKUP(D1609,CadProd!$A:$C,3,0)),"")</f>
        <v/>
      </c>
      <c r="I1609" s="1" t="str">
        <f t="shared" si="24"/>
        <v/>
      </c>
    </row>
    <row r="1610" spans="5:9" x14ac:dyDescent="0.3">
      <c r="E1610" t="str">
        <f>IFERROR(IF(D1610="","",VLOOKUP(D1610,CadProd!$A:$B,2,0)),"")</f>
        <v/>
      </c>
      <c r="F1610" t="str">
        <f>IFERROR(IF(D1610="","",VLOOKUP(D1610,CadProd!$A:$C,3,0)),"")</f>
        <v/>
      </c>
      <c r="I1610" s="1" t="str">
        <f t="shared" si="24"/>
        <v/>
      </c>
    </row>
    <row r="1611" spans="5:9" x14ac:dyDescent="0.3">
      <c r="E1611" t="str">
        <f>IFERROR(IF(D1611="","",VLOOKUP(D1611,CadProd!$A:$B,2,0)),"")</f>
        <v/>
      </c>
      <c r="F1611" t="str">
        <f>IFERROR(IF(D1611="","",VLOOKUP(D1611,CadProd!$A:$C,3,0)),"")</f>
        <v/>
      </c>
      <c r="I1611" s="1" t="str">
        <f t="shared" ref="I1611:I1674" si="25">IFERROR(IF(D1611="","",H1611*G1611),"")</f>
        <v/>
      </c>
    </row>
    <row r="1612" spans="5:9" x14ac:dyDescent="0.3">
      <c r="E1612" t="str">
        <f>IFERROR(IF(D1612="","",VLOOKUP(D1612,CadProd!$A:$B,2,0)),"")</f>
        <v/>
      </c>
      <c r="F1612" t="str">
        <f>IFERROR(IF(D1612="","",VLOOKUP(D1612,CadProd!$A:$C,3,0)),"")</f>
        <v/>
      </c>
      <c r="I1612" s="1" t="str">
        <f t="shared" si="25"/>
        <v/>
      </c>
    </row>
    <row r="1613" spans="5:9" x14ac:dyDescent="0.3">
      <c r="E1613" t="str">
        <f>IFERROR(IF(D1613="","",VLOOKUP(D1613,CadProd!$A:$B,2,0)),"")</f>
        <v/>
      </c>
      <c r="F1613" t="str">
        <f>IFERROR(IF(D1613="","",VLOOKUP(D1613,CadProd!$A:$C,3,0)),"")</f>
        <v/>
      </c>
      <c r="I1613" s="1" t="str">
        <f t="shared" si="25"/>
        <v/>
      </c>
    </row>
    <row r="1614" spans="5:9" x14ac:dyDescent="0.3">
      <c r="E1614" t="str">
        <f>IFERROR(IF(D1614="","",VLOOKUP(D1614,CadProd!$A:$B,2,0)),"")</f>
        <v/>
      </c>
      <c r="F1614" t="str">
        <f>IFERROR(IF(D1614="","",VLOOKUP(D1614,CadProd!$A:$C,3,0)),"")</f>
        <v/>
      </c>
      <c r="I1614" s="1" t="str">
        <f t="shared" si="25"/>
        <v/>
      </c>
    </row>
    <row r="1615" spans="5:9" x14ac:dyDescent="0.3">
      <c r="E1615" t="str">
        <f>IFERROR(IF(D1615="","",VLOOKUP(D1615,CadProd!$A:$B,2,0)),"")</f>
        <v/>
      </c>
      <c r="F1615" t="str">
        <f>IFERROR(IF(D1615="","",VLOOKUP(D1615,CadProd!$A:$C,3,0)),"")</f>
        <v/>
      </c>
      <c r="I1615" s="1" t="str">
        <f t="shared" si="25"/>
        <v/>
      </c>
    </row>
    <row r="1616" spans="5:9" x14ac:dyDescent="0.3">
      <c r="E1616" t="str">
        <f>IFERROR(IF(D1616="","",VLOOKUP(D1616,CadProd!$A:$B,2,0)),"")</f>
        <v/>
      </c>
      <c r="F1616" t="str">
        <f>IFERROR(IF(D1616="","",VLOOKUP(D1616,CadProd!$A:$C,3,0)),"")</f>
        <v/>
      </c>
      <c r="I1616" s="1" t="str">
        <f t="shared" si="25"/>
        <v/>
      </c>
    </row>
    <row r="1617" spans="5:9" x14ac:dyDescent="0.3">
      <c r="E1617" t="str">
        <f>IFERROR(IF(D1617="","",VLOOKUP(D1617,CadProd!$A:$B,2,0)),"")</f>
        <v/>
      </c>
      <c r="F1617" t="str">
        <f>IFERROR(IF(D1617="","",VLOOKUP(D1617,CadProd!$A:$C,3,0)),"")</f>
        <v/>
      </c>
      <c r="I1617" s="1" t="str">
        <f t="shared" si="25"/>
        <v/>
      </c>
    </row>
    <row r="1618" spans="5:9" x14ac:dyDescent="0.3">
      <c r="E1618" t="str">
        <f>IFERROR(IF(D1618="","",VLOOKUP(D1618,CadProd!$A:$B,2,0)),"")</f>
        <v/>
      </c>
      <c r="F1618" t="str">
        <f>IFERROR(IF(D1618="","",VLOOKUP(D1618,CadProd!$A:$C,3,0)),"")</f>
        <v/>
      </c>
      <c r="I1618" s="1" t="str">
        <f t="shared" si="25"/>
        <v/>
      </c>
    </row>
    <row r="1619" spans="5:9" x14ac:dyDescent="0.3">
      <c r="E1619" t="str">
        <f>IFERROR(IF(D1619="","",VLOOKUP(D1619,CadProd!$A:$B,2,0)),"")</f>
        <v/>
      </c>
      <c r="F1619" t="str">
        <f>IFERROR(IF(D1619="","",VLOOKUP(D1619,CadProd!$A:$C,3,0)),"")</f>
        <v/>
      </c>
      <c r="I1619" s="1" t="str">
        <f t="shared" si="25"/>
        <v/>
      </c>
    </row>
    <row r="1620" spans="5:9" x14ac:dyDescent="0.3">
      <c r="E1620" t="str">
        <f>IFERROR(IF(D1620="","",VLOOKUP(D1620,CadProd!$A:$B,2,0)),"")</f>
        <v/>
      </c>
      <c r="F1620" t="str">
        <f>IFERROR(IF(D1620="","",VLOOKUP(D1620,CadProd!$A:$C,3,0)),"")</f>
        <v/>
      </c>
      <c r="I1620" s="1" t="str">
        <f t="shared" si="25"/>
        <v/>
      </c>
    </row>
    <row r="1621" spans="5:9" x14ac:dyDescent="0.3">
      <c r="E1621" t="str">
        <f>IFERROR(IF(D1621="","",VLOOKUP(D1621,CadProd!$A:$B,2,0)),"")</f>
        <v/>
      </c>
      <c r="F1621" t="str">
        <f>IFERROR(IF(D1621="","",VLOOKUP(D1621,CadProd!$A:$C,3,0)),"")</f>
        <v/>
      </c>
      <c r="I1621" s="1" t="str">
        <f t="shared" si="25"/>
        <v/>
      </c>
    </row>
    <row r="1622" spans="5:9" x14ac:dyDescent="0.3">
      <c r="E1622" t="str">
        <f>IFERROR(IF(D1622="","",VLOOKUP(D1622,CadProd!$A:$B,2,0)),"")</f>
        <v/>
      </c>
      <c r="F1622" t="str">
        <f>IFERROR(IF(D1622="","",VLOOKUP(D1622,CadProd!$A:$C,3,0)),"")</f>
        <v/>
      </c>
      <c r="I1622" s="1" t="str">
        <f t="shared" si="25"/>
        <v/>
      </c>
    </row>
    <row r="1623" spans="5:9" x14ac:dyDescent="0.3">
      <c r="E1623" t="str">
        <f>IFERROR(IF(D1623="","",VLOOKUP(D1623,CadProd!$A:$B,2,0)),"")</f>
        <v/>
      </c>
      <c r="F1623" t="str">
        <f>IFERROR(IF(D1623="","",VLOOKUP(D1623,CadProd!$A:$C,3,0)),"")</f>
        <v/>
      </c>
      <c r="I1623" s="1" t="str">
        <f t="shared" si="25"/>
        <v/>
      </c>
    </row>
    <row r="1624" spans="5:9" x14ac:dyDescent="0.3">
      <c r="E1624" t="str">
        <f>IFERROR(IF(D1624="","",VLOOKUP(D1624,CadProd!$A:$B,2,0)),"")</f>
        <v/>
      </c>
      <c r="F1624" t="str">
        <f>IFERROR(IF(D1624="","",VLOOKUP(D1624,CadProd!$A:$C,3,0)),"")</f>
        <v/>
      </c>
      <c r="I1624" s="1" t="str">
        <f t="shared" si="25"/>
        <v/>
      </c>
    </row>
    <row r="1625" spans="5:9" x14ac:dyDescent="0.3">
      <c r="E1625" t="str">
        <f>IFERROR(IF(D1625="","",VLOOKUP(D1625,CadProd!$A:$B,2,0)),"")</f>
        <v/>
      </c>
      <c r="F1625" t="str">
        <f>IFERROR(IF(D1625="","",VLOOKUP(D1625,CadProd!$A:$C,3,0)),"")</f>
        <v/>
      </c>
      <c r="I1625" s="1" t="str">
        <f t="shared" si="25"/>
        <v/>
      </c>
    </row>
    <row r="1626" spans="5:9" x14ac:dyDescent="0.3">
      <c r="E1626" t="str">
        <f>IFERROR(IF(D1626="","",VLOOKUP(D1626,CadProd!$A:$B,2,0)),"")</f>
        <v/>
      </c>
      <c r="F1626" t="str">
        <f>IFERROR(IF(D1626="","",VLOOKUP(D1626,CadProd!$A:$C,3,0)),"")</f>
        <v/>
      </c>
      <c r="I1626" s="1" t="str">
        <f t="shared" si="25"/>
        <v/>
      </c>
    </row>
    <row r="1627" spans="5:9" x14ac:dyDescent="0.3">
      <c r="E1627" t="str">
        <f>IFERROR(IF(D1627="","",VLOOKUP(D1627,CadProd!$A:$B,2,0)),"")</f>
        <v/>
      </c>
      <c r="F1627" t="str">
        <f>IFERROR(IF(D1627="","",VLOOKUP(D1627,CadProd!$A:$C,3,0)),"")</f>
        <v/>
      </c>
      <c r="I1627" s="1" t="str">
        <f t="shared" si="25"/>
        <v/>
      </c>
    </row>
    <row r="1628" spans="5:9" x14ac:dyDescent="0.3">
      <c r="E1628" t="str">
        <f>IFERROR(IF(D1628="","",VLOOKUP(D1628,CadProd!$A:$B,2,0)),"")</f>
        <v/>
      </c>
      <c r="F1628" t="str">
        <f>IFERROR(IF(D1628="","",VLOOKUP(D1628,CadProd!$A:$C,3,0)),"")</f>
        <v/>
      </c>
      <c r="I1628" s="1" t="str">
        <f t="shared" si="25"/>
        <v/>
      </c>
    </row>
    <row r="1629" spans="5:9" x14ac:dyDescent="0.3">
      <c r="E1629" t="str">
        <f>IFERROR(IF(D1629="","",VLOOKUP(D1629,CadProd!$A:$B,2,0)),"")</f>
        <v/>
      </c>
      <c r="F1629" t="str">
        <f>IFERROR(IF(D1629="","",VLOOKUP(D1629,CadProd!$A:$C,3,0)),"")</f>
        <v/>
      </c>
      <c r="I1629" s="1" t="str">
        <f t="shared" si="25"/>
        <v/>
      </c>
    </row>
    <row r="1630" spans="5:9" x14ac:dyDescent="0.3">
      <c r="E1630" t="str">
        <f>IFERROR(IF(D1630="","",VLOOKUP(D1630,CadProd!$A:$B,2,0)),"")</f>
        <v/>
      </c>
      <c r="F1630" t="str">
        <f>IFERROR(IF(D1630="","",VLOOKUP(D1630,CadProd!$A:$C,3,0)),"")</f>
        <v/>
      </c>
      <c r="I1630" s="1" t="str">
        <f t="shared" si="25"/>
        <v/>
      </c>
    </row>
    <row r="1631" spans="5:9" x14ac:dyDescent="0.3">
      <c r="E1631" t="str">
        <f>IFERROR(IF(D1631="","",VLOOKUP(D1631,CadProd!$A:$B,2,0)),"")</f>
        <v/>
      </c>
      <c r="F1631" t="str">
        <f>IFERROR(IF(D1631="","",VLOOKUP(D1631,CadProd!$A:$C,3,0)),"")</f>
        <v/>
      </c>
      <c r="I1631" s="1" t="str">
        <f t="shared" si="25"/>
        <v/>
      </c>
    </row>
    <row r="1632" spans="5:9" x14ac:dyDescent="0.3">
      <c r="E1632" t="str">
        <f>IFERROR(IF(D1632="","",VLOOKUP(D1632,CadProd!$A:$B,2,0)),"")</f>
        <v/>
      </c>
      <c r="F1632" t="str">
        <f>IFERROR(IF(D1632="","",VLOOKUP(D1632,CadProd!$A:$C,3,0)),"")</f>
        <v/>
      </c>
      <c r="I1632" s="1" t="str">
        <f t="shared" si="25"/>
        <v/>
      </c>
    </row>
    <row r="1633" spans="5:9" x14ac:dyDescent="0.3">
      <c r="E1633" t="str">
        <f>IFERROR(IF(D1633="","",VLOOKUP(D1633,CadProd!$A:$B,2,0)),"")</f>
        <v/>
      </c>
      <c r="F1633" t="str">
        <f>IFERROR(IF(D1633="","",VLOOKUP(D1633,CadProd!$A:$C,3,0)),"")</f>
        <v/>
      </c>
      <c r="I1633" s="1" t="str">
        <f t="shared" si="25"/>
        <v/>
      </c>
    </row>
    <row r="1634" spans="5:9" x14ac:dyDescent="0.3">
      <c r="E1634" t="str">
        <f>IFERROR(IF(D1634="","",VLOOKUP(D1634,CadProd!$A:$B,2,0)),"")</f>
        <v/>
      </c>
      <c r="F1634" t="str">
        <f>IFERROR(IF(D1634="","",VLOOKUP(D1634,CadProd!$A:$C,3,0)),"")</f>
        <v/>
      </c>
      <c r="I1634" s="1" t="str">
        <f t="shared" si="25"/>
        <v/>
      </c>
    </row>
    <row r="1635" spans="5:9" x14ac:dyDescent="0.3">
      <c r="E1635" t="str">
        <f>IFERROR(IF(D1635="","",VLOOKUP(D1635,CadProd!$A:$B,2,0)),"")</f>
        <v/>
      </c>
      <c r="F1635" t="str">
        <f>IFERROR(IF(D1635="","",VLOOKUP(D1635,CadProd!$A:$C,3,0)),"")</f>
        <v/>
      </c>
      <c r="I1635" s="1" t="str">
        <f t="shared" si="25"/>
        <v/>
      </c>
    </row>
    <row r="1636" spans="5:9" x14ac:dyDescent="0.3">
      <c r="E1636" t="str">
        <f>IFERROR(IF(D1636="","",VLOOKUP(D1636,CadProd!$A:$B,2,0)),"")</f>
        <v/>
      </c>
      <c r="F1636" t="str">
        <f>IFERROR(IF(D1636="","",VLOOKUP(D1636,CadProd!$A:$C,3,0)),"")</f>
        <v/>
      </c>
      <c r="I1636" s="1" t="str">
        <f t="shared" si="25"/>
        <v/>
      </c>
    </row>
    <row r="1637" spans="5:9" x14ac:dyDescent="0.3">
      <c r="E1637" t="str">
        <f>IFERROR(IF(D1637="","",VLOOKUP(D1637,CadProd!$A:$B,2,0)),"")</f>
        <v/>
      </c>
      <c r="F1637" t="str">
        <f>IFERROR(IF(D1637="","",VLOOKUP(D1637,CadProd!$A:$C,3,0)),"")</f>
        <v/>
      </c>
      <c r="I1637" s="1" t="str">
        <f t="shared" si="25"/>
        <v/>
      </c>
    </row>
    <row r="1638" spans="5:9" x14ac:dyDescent="0.3">
      <c r="E1638" t="str">
        <f>IFERROR(IF(D1638="","",VLOOKUP(D1638,CadProd!$A:$B,2,0)),"")</f>
        <v/>
      </c>
      <c r="F1638" t="str">
        <f>IFERROR(IF(D1638="","",VLOOKUP(D1638,CadProd!$A:$C,3,0)),"")</f>
        <v/>
      </c>
      <c r="I1638" s="1" t="str">
        <f t="shared" si="25"/>
        <v/>
      </c>
    </row>
    <row r="1639" spans="5:9" x14ac:dyDescent="0.3">
      <c r="E1639" t="str">
        <f>IFERROR(IF(D1639="","",VLOOKUP(D1639,CadProd!$A:$B,2,0)),"")</f>
        <v/>
      </c>
      <c r="F1639" t="str">
        <f>IFERROR(IF(D1639="","",VLOOKUP(D1639,CadProd!$A:$C,3,0)),"")</f>
        <v/>
      </c>
      <c r="I1639" s="1" t="str">
        <f t="shared" si="25"/>
        <v/>
      </c>
    </row>
    <row r="1640" spans="5:9" x14ac:dyDescent="0.3">
      <c r="E1640" t="str">
        <f>IFERROR(IF(D1640="","",VLOOKUP(D1640,CadProd!$A:$B,2,0)),"")</f>
        <v/>
      </c>
      <c r="F1640" t="str">
        <f>IFERROR(IF(D1640="","",VLOOKUP(D1640,CadProd!$A:$C,3,0)),"")</f>
        <v/>
      </c>
      <c r="I1640" s="1" t="str">
        <f t="shared" si="25"/>
        <v/>
      </c>
    </row>
    <row r="1641" spans="5:9" x14ac:dyDescent="0.3">
      <c r="E1641" t="str">
        <f>IFERROR(IF(D1641="","",VLOOKUP(D1641,CadProd!$A:$B,2,0)),"")</f>
        <v/>
      </c>
      <c r="F1641" t="str">
        <f>IFERROR(IF(D1641="","",VLOOKUP(D1641,CadProd!$A:$C,3,0)),"")</f>
        <v/>
      </c>
      <c r="I1641" s="1" t="str">
        <f t="shared" si="25"/>
        <v/>
      </c>
    </row>
    <row r="1642" spans="5:9" x14ac:dyDescent="0.3">
      <c r="E1642" t="str">
        <f>IFERROR(IF(D1642="","",VLOOKUP(D1642,CadProd!$A:$B,2,0)),"")</f>
        <v/>
      </c>
      <c r="F1642" t="str">
        <f>IFERROR(IF(D1642="","",VLOOKUP(D1642,CadProd!$A:$C,3,0)),"")</f>
        <v/>
      </c>
      <c r="I1642" s="1" t="str">
        <f t="shared" si="25"/>
        <v/>
      </c>
    </row>
    <row r="1643" spans="5:9" x14ac:dyDescent="0.3">
      <c r="E1643" t="str">
        <f>IFERROR(IF(D1643="","",VLOOKUP(D1643,CadProd!$A:$B,2,0)),"")</f>
        <v/>
      </c>
      <c r="F1643" t="str">
        <f>IFERROR(IF(D1643="","",VLOOKUP(D1643,CadProd!$A:$C,3,0)),"")</f>
        <v/>
      </c>
      <c r="I1643" s="1" t="str">
        <f t="shared" si="25"/>
        <v/>
      </c>
    </row>
    <row r="1644" spans="5:9" x14ac:dyDescent="0.3">
      <c r="E1644" t="str">
        <f>IFERROR(IF(D1644="","",VLOOKUP(D1644,CadProd!$A:$B,2,0)),"")</f>
        <v/>
      </c>
      <c r="F1644" t="str">
        <f>IFERROR(IF(D1644="","",VLOOKUP(D1644,CadProd!$A:$C,3,0)),"")</f>
        <v/>
      </c>
      <c r="I1644" s="1" t="str">
        <f t="shared" si="25"/>
        <v/>
      </c>
    </row>
    <row r="1645" spans="5:9" x14ac:dyDescent="0.3">
      <c r="E1645" t="str">
        <f>IFERROR(IF(D1645="","",VLOOKUP(D1645,CadProd!$A:$B,2,0)),"")</f>
        <v/>
      </c>
      <c r="F1645" t="str">
        <f>IFERROR(IF(D1645="","",VLOOKUP(D1645,CadProd!$A:$C,3,0)),"")</f>
        <v/>
      </c>
      <c r="I1645" s="1" t="str">
        <f t="shared" si="25"/>
        <v/>
      </c>
    </row>
    <row r="1646" spans="5:9" x14ac:dyDescent="0.3">
      <c r="E1646" t="str">
        <f>IFERROR(IF(D1646="","",VLOOKUP(D1646,CadProd!$A:$B,2,0)),"")</f>
        <v/>
      </c>
      <c r="F1646" t="str">
        <f>IFERROR(IF(D1646="","",VLOOKUP(D1646,CadProd!$A:$C,3,0)),"")</f>
        <v/>
      </c>
      <c r="I1646" s="1" t="str">
        <f t="shared" si="25"/>
        <v/>
      </c>
    </row>
    <row r="1647" spans="5:9" x14ac:dyDescent="0.3">
      <c r="E1647" t="str">
        <f>IFERROR(IF(D1647="","",VLOOKUP(D1647,CadProd!$A:$B,2,0)),"")</f>
        <v/>
      </c>
      <c r="F1647" t="str">
        <f>IFERROR(IF(D1647="","",VLOOKUP(D1647,CadProd!$A:$C,3,0)),"")</f>
        <v/>
      </c>
      <c r="I1647" s="1" t="str">
        <f t="shared" si="25"/>
        <v/>
      </c>
    </row>
    <row r="1648" spans="5:9" x14ac:dyDescent="0.3">
      <c r="E1648" t="str">
        <f>IFERROR(IF(D1648="","",VLOOKUP(D1648,CadProd!$A:$B,2,0)),"")</f>
        <v/>
      </c>
      <c r="F1648" t="str">
        <f>IFERROR(IF(D1648="","",VLOOKUP(D1648,CadProd!$A:$C,3,0)),"")</f>
        <v/>
      </c>
      <c r="I1648" s="1" t="str">
        <f t="shared" si="25"/>
        <v/>
      </c>
    </row>
    <row r="1649" spans="5:9" x14ac:dyDescent="0.3">
      <c r="E1649" t="str">
        <f>IFERROR(IF(D1649="","",VLOOKUP(D1649,CadProd!$A:$B,2,0)),"")</f>
        <v/>
      </c>
      <c r="F1649" t="str">
        <f>IFERROR(IF(D1649="","",VLOOKUP(D1649,CadProd!$A:$C,3,0)),"")</f>
        <v/>
      </c>
      <c r="I1649" s="1" t="str">
        <f t="shared" si="25"/>
        <v/>
      </c>
    </row>
    <row r="1650" spans="5:9" x14ac:dyDescent="0.3">
      <c r="E1650" t="str">
        <f>IFERROR(IF(D1650="","",VLOOKUP(D1650,CadProd!$A:$B,2,0)),"")</f>
        <v/>
      </c>
      <c r="F1650" t="str">
        <f>IFERROR(IF(D1650="","",VLOOKUP(D1650,CadProd!$A:$C,3,0)),"")</f>
        <v/>
      </c>
      <c r="I1650" s="1" t="str">
        <f t="shared" si="25"/>
        <v/>
      </c>
    </row>
    <row r="1651" spans="5:9" x14ac:dyDescent="0.3">
      <c r="E1651" t="str">
        <f>IFERROR(IF(D1651="","",VLOOKUP(D1651,CadProd!$A:$B,2,0)),"")</f>
        <v/>
      </c>
      <c r="F1651" t="str">
        <f>IFERROR(IF(D1651="","",VLOOKUP(D1651,CadProd!$A:$C,3,0)),"")</f>
        <v/>
      </c>
      <c r="I1651" s="1" t="str">
        <f t="shared" si="25"/>
        <v/>
      </c>
    </row>
    <row r="1652" spans="5:9" x14ac:dyDescent="0.3">
      <c r="E1652" t="str">
        <f>IFERROR(IF(D1652="","",VLOOKUP(D1652,CadProd!$A:$B,2,0)),"")</f>
        <v/>
      </c>
      <c r="F1652" t="str">
        <f>IFERROR(IF(D1652="","",VLOOKUP(D1652,CadProd!$A:$C,3,0)),"")</f>
        <v/>
      </c>
      <c r="I1652" s="1" t="str">
        <f t="shared" si="25"/>
        <v/>
      </c>
    </row>
    <row r="1653" spans="5:9" x14ac:dyDescent="0.3">
      <c r="E1653" t="str">
        <f>IFERROR(IF(D1653="","",VLOOKUP(D1653,CadProd!$A:$B,2,0)),"")</f>
        <v/>
      </c>
      <c r="F1653" t="str">
        <f>IFERROR(IF(D1653="","",VLOOKUP(D1653,CadProd!$A:$C,3,0)),"")</f>
        <v/>
      </c>
      <c r="I1653" s="1" t="str">
        <f t="shared" si="25"/>
        <v/>
      </c>
    </row>
    <row r="1654" spans="5:9" x14ac:dyDescent="0.3">
      <c r="E1654" t="str">
        <f>IFERROR(IF(D1654="","",VLOOKUP(D1654,CadProd!$A:$B,2,0)),"")</f>
        <v/>
      </c>
      <c r="F1654" t="str">
        <f>IFERROR(IF(D1654="","",VLOOKUP(D1654,CadProd!$A:$C,3,0)),"")</f>
        <v/>
      </c>
      <c r="I1654" s="1" t="str">
        <f t="shared" si="25"/>
        <v/>
      </c>
    </row>
    <row r="1655" spans="5:9" x14ac:dyDescent="0.3">
      <c r="E1655" t="str">
        <f>IFERROR(IF(D1655="","",VLOOKUP(D1655,CadProd!$A:$B,2,0)),"")</f>
        <v/>
      </c>
      <c r="F1655" t="str">
        <f>IFERROR(IF(D1655="","",VLOOKUP(D1655,CadProd!$A:$C,3,0)),"")</f>
        <v/>
      </c>
      <c r="I1655" s="1" t="str">
        <f t="shared" si="25"/>
        <v/>
      </c>
    </row>
    <row r="1656" spans="5:9" x14ac:dyDescent="0.3">
      <c r="E1656" t="str">
        <f>IFERROR(IF(D1656="","",VLOOKUP(D1656,CadProd!$A:$B,2,0)),"")</f>
        <v/>
      </c>
      <c r="F1656" t="str">
        <f>IFERROR(IF(D1656="","",VLOOKUP(D1656,CadProd!$A:$C,3,0)),"")</f>
        <v/>
      </c>
      <c r="I1656" s="1" t="str">
        <f t="shared" si="25"/>
        <v/>
      </c>
    </row>
    <row r="1657" spans="5:9" x14ac:dyDescent="0.3">
      <c r="E1657" t="str">
        <f>IFERROR(IF(D1657="","",VLOOKUP(D1657,CadProd!$A:$B,2,0)),"")</f>
        <v/>
      </c>
      <c r="F1657" t="str">
        <f>IFERROR(IF(D1657="","",VLOOKUP(D1657,CadProd!$A:$C,3,0)),"")</f>
        <v/>
      </c>
      <c r="I1657" s="1" t="str">
        <f t="shared" si="25"/>
        <v/>
      </c>
    </row>
    <row r="1658" spans="5:9" x14ac:dyDescent="0.3">
      <c r="E1658" t="str">
        <f>IFERROR(IF(D1658="","",VLOOKUP(D1658,CadProd!$A:$B,2,0)),"")</f>
        <v/>
      </c>
      <c r="F1658" t="str">
        <f>IFERROR(IF(D1658="","",VLOOKUP(D1658,CadProd!$A:$C,3,0)),"")</f>
        <v/>
      </c>
      <c r="I1658" s="1" t="str">
        <f t="shared" si="25"/>
        <v/>
      </c>
    </row>
    <row r="1659" spans="5:9" x14ac:dyDescent="0.3">
      <c r="E1659" t="str">
        <f>IFERROR(IF(D1659="","",VLOOKUP(D1659,CadProd!$A:$B,2,0)),"")</f>
        <v/>
      </c>
      <c r="F1659" t="str">
        <f>IFERROR(IF(D1659="","",VLOOKUP(D1659,CadProd!$A:$C,3,0)),"")</f>
        <v/>
      </c>
      <c r="I1659" s="1" t="str">
        <f t="shared" si="25"/>
        <v/>
      </c>
    </row>
    <row r="1660" spans="5:9" x14ac:dyDescent="0.3">
      <c r="E1660" t="str">
        <f>IFERROR(IF(D1660="","",VLOOKUP(D1660,CadProd!$A:$B,2,0)),"")</f>
        <v/>
      </c>
      <c r="F1660" t="str">
        <f>IFERROR(IF(D1660="","",VLOOKUP(D1660,CadProd!$A:$C,3,0)),"")</f>
        <v/>
      </c>
      <c r="I1660" s="1" t="str">
        <f t="shared" si="25"/>
        <v/>
      </c>
    </row>
    <row r="1661" spans="5:9" x14ac:dyDescent="0.3">
      <c r="E1661" t="str">
        <f>IFERROR(IF(D1661="","",VLOOKUP(D1661,CadProd!$A:$B,2,0)),"")</f>
        <v/>
      </c>
      <c r="F1661" t="str">
        <f>IFERROR(IF(D1661="","",VLOOKUP(D1661,CadProd!$A:$C,3,0)),"")</f>
        <v/>
      </c>
      <c r="I1661" s="1" t="str">
        <f t="shared" si="25"/>
        <v/>
      </c>
    </row>
    <row r="1662" spans="5:9" x14ac:dyDescent="0.3">
      <c r="E1662" t="str">
        <f>IFERROR(IF(D1662="","",VLOOKUP(D1662,CadProd!$A:$B,2,0)),"")</f>
        <v/>
      </c>
      <c r="F1662" t="str">
        <f>IFERROR(IF(D1662="","",VLOOKUP(D1662,CadProd!$A:$C,3,0)),"")</f>
        <v/>
      </c>
      <c r="I1662" s="1" t="str">
        <f t="shared" si="25"/>
        <v/>
      </c>
    </row>
    <row r="1663" spans="5:9" x14ac:dyDescent="0.3">
      <c r="E1663" t="str">
        <f>IFERROR(IF(D1663="","",VLOOKUP(D1663,CadProd!$A:$B,2,0)),"")</f>
        <v/>
      </c>
      <c r="F1663" t="str">
        <f>IFERROR(IF(D1663="","",VLOOKUP(D1663,CadProd!$A:$C,3,0)),"")</f>
        <v/>
      </c>
      <c r="I1663" s="1" t="str">
        <f t="shared" si="25"/>
        <v/>
      </c>
    </row>
    <row r="1664" spans="5:9" x14ac:dyDescent="0.3">
      <c r="E1664" t="str">
        <f>IFERROR(IF(D1664="","",VLOOKUP(D1664,CadProd!$A:$B,2,0)),"")</f>
        <v/>
      </c>
      <c r="F1664" t="str">
        <f>IFERROR(IF(D1664="","",VLOOKUP(D1664,CadProd!$A:$C,3,0)),"")</f>
        <v/>
      </c>
      <c r="I1664" s="1" t="str">
        <f t="shared" si="25"/>
        <v/>
      </c>
    </row>
    <row r="1665" spans="5:9" x14ac:dyDescent="0.3">
      <c r="E1665" t="str">
        <f>IFERROR(IF(D1665="","",VLOOKUP(D1665,CadProd!$A:$B,2,0)),"")</f>
        <v/>
      </c>
      <c r="F1665" t="str">
        <f>IFERROR(IF(D1665="","",VLOOKUP(D1665,CadProd!$A:$C,3,0)),"")</f>
        <v/>
      </c>
      <c r="I1665" s="1" t="str">
        <f t="shared" si="25"/>
        <v/>
      </c>
    </row>
    <row r="1666" spans="5:9" x14ac:dyDescent="0.3">
      <c r="E1666" t="str">
        <f>IFERROR(IF(D1666="","",VLOOKUP(D1666,CadProd!$A:$B,2,0)),"")</f>
        <v/>
      </c>
      <c r="F1666" t="str">
        <f>IFERROR(IF(D1666="","",VLOOKUP(D1666,CadProd!$A:$C,3,0)),"")</f>
        <v/>
      </c>
      <c r="I1666" s="1" t="str">
        <f t="shared" si="25"/>
        <v/>
      </c>
    </row>
    <row r="1667" spans="5:9" x14ac:dyDescent="0.3">
      <c r="E1667" t="str">
        <f>IFERROR(IF(D1667="","",VLOOKUP(D1667,CadProd!$A:$B,2,0)),"")</f>
        <v/>
      </c>
      <c r="F1667" t="str">
        <f>IFERROR(IF(D1667="","",VLOOKUP(D1667,CadProd!$A:$C,3,0)),"")</f>
        <v/>
      </c>
      <c r="I1667" s="1" t="str">
        <f t="shared" si="25"/>
        <v/>
      </c>
    </row>
    <row r="1668" spans="5:9" x14ac:dyDescent="0.3">
      <c r="E1668" t="str">
        <f>IFERROR(IF(D1668="","",VLOOKUP(D1668,CadProd!$A:$B,2,0)),"")</f>
        <v/>
      </c>
      <c r="F1668" t="str">
        <f>IFERROR(IF(D1668="","",VLOOKUP(D1668,CadProd!$A:$C,3,0)),"")</f>
        <v/>
      </c>
      <c r="I1668" s="1" t="str">
        <f t="shared" si="25"/>
        <v/>
      </c>
    </row>
    <row r="1669" spans="5:9" x14ac:dyDescent="0.3">
      <c r="E1669" t="str">
        <f>IFERROR(IF(D1669="","",VLOOKUP(D1669,CadProd!$A:$B,2,0)),"")</f>
        <v/>
      </c>
      <c r="F1669" t="str">
        <f>IFERROR(IF(D1669="","",VLOOKUP(D1669,CadProd!$A:$C,3,0)),"")</f>
        <v/>
      </c>
      <c r="I1669" s="1" t="str">
        <f t="shared" si="25"/>
        <v/>
      </c>
    </row>
    <row r="1670" spans="5:9" x14ac:dyDescent="0.3">
      <c r="E1670" t="str">
        <f>IFERROR(IF(D1670="","",VLOOKUP(D1670,CadProd!$A:$B,2,0)),"")</f>
        <v/>
      </c>
      <c r="F1670" t="str">
        <f>IFERROR(IF(D1670="","",VLOOKUP(D1670,CadProd!$A:$C,3,0)),"")</f>
        <v/>
      </c>
      <c r="I1670" s="1" t="str">
        <f t="shared" si="25"/>
        <v/>
      </c>
    </row>
    <row r="1671" spans="5:9" x14ac:dyDescent="0.3">
      <c r="E1671" t="str">
        <f>IFERROR(IF(D1671="","",VLOOKUP(D1671,CadProd!$A:$B,2,0)),"")</f>
        <v/>
      </c>
      <c r="F1671" t="str">
        <f>IFERROR(IF(D1671="","",VLOOKUP(D1671,CadProd!$A:$C,3,0)),"")</f>
        <v/>
      </c>
      <c r="I1671" s="1" t="str">
        <f t="shared" si="25"/>
        <v/>
      </c>
    </row>
    <row r="1672" spans="5:9" x14ac:dyDescent="0.3">
      <c r="E1672" t="str">
        <f>IFERROR(IF(D1672="","",VLOOKUP(D1672,CadProd!$A:$B,2,0)),"")</f>
        <v/>
      </c>
      <c r="F1672" t="str">
        <f>IFERROR(IF(D1672="","",VLOOKUP(D1672,CadProd!$A:$C,3,0)),"")</f>
        <v/>
      </c>
      <c r="I1672" s="1" t="str">
        <f t="shared" si="25"/>
        <v/>
      </c>
    </row>
    <row r="1673" spans="5:9" x14ac:dyDescent="0.3">
      <c r="E1673" t="str">
        <f>IFERROR(IF(D1673="","",VLOOKUP(D1673,CadProd!$A:$B,2,0)),"")</f>
        <v/>
      </c>
      <c r="F1673" t="str">
        <f>IFERROR(IF(D1673="","",VLOOKUP(D1673,CadProd!$A:$C,3,0)),"")</f>
        <v/>
      </c>
      <c r="I1673" s="1" t="str">
        <f t="shared" si="25"/>
        <v/>
      </c>
    </row>
    <row r="1674" spans="5:9" x14ac:dyDescent="0.3">
      <c r="E1674" t="str">
        <f>IFERROR(IF(D1674="","",VLOOKUP(D1674,CadProd!$A:$B,2,0)),"")</f>
        <v/>
      </c>
      <c r="F1674" t="str">
        <f>IFERROR(IF(D1674="","",VLOOKUP(D1674,CadProd!$A:$C,3,0)),"")</f>
        <v/>
      </c>
      <c r="I1674" s="1" t="str">
        <f t="shared" si="25"/>
        <v/>
      </c>
    </row>
    <row r="1675" spans="5:9" x14ac:dyDescent="0.3">
      <c r="E1675" t="str">
        <f>IFERROR(IF(D1675="","",VLOOKUP(D1675,CadProd!$A:$B,2,0)),"")</f>
        <v/>
      </c>
      <c r="F1675" t="str">
        <f>IFERROR(IF(D1675="","",VLOOKUP(D1675,CadProd!$A:$C,3,0)),"")</f>
        <v/>
      </c>
      <c r="I1675" s="1" t="str">
        <f t="shared" ref="I1675:I1738" si="26">IFERROR(IF(D1675="","",H1675*G1675),"")</f>
        <v/>
      </c>
    </row>
    <row r="1676" spans="5:9" x14ac:dyDescent="0.3">
      <c r="E1676" t="str">
        <f>IFERROR(IF(D1676="","",VLOOKUP(D1676,CadProd!$A:$B,2,0)),"")</f>
        <v/>
      </c>
      <c r="F1676" t="str">
        <f>IFERROR(IF(D1676="","",VLOOKUP(D1676,CadProd!$A:$C,3,0)),"")</f>
        <v/>
      </c>
      <c r="I1676" s="1" t="str">
        <f t="shared" si="26"/>
        <v/>
      </c>
    </row>
    <row r="1677" spans="5:9" x14ac:dyDescent="0.3">
      <c r="E1677" t="str">
        <f>IFERROR(IF(D1677="","",VLOOKUP(D1677,CadProd!$A:$B,2,0)),"")</f>
        <v/>
      </c>
      <c r="F1677" t="str">
        <f>IFERROR(IF(D1677="","",VLOOKUP(D1677,CadProd!$A:$C,3,0)),"")</f>
        <v/>
      </c>
      <c r="I1677" s="1" t="str">
        <f t="shared" si="26"/>
        <v/>
      </c>
    </row>
    <row r="1678" spans="5:9" x14ac:dyDescent="0.3">
      <c r="E1678" t="str">
        <f>IFERROR(IF(D1678="","",VLOOKUP(D1678,CadProd!$A:$B,2,0)),"")</f>
        <v/>
      </c>
      <c r="F1678" t="str">
        <f>IFERROR(IF(D1678="","",VLOOKUP(D1678,CadProd!$A:$C,3,0)),"")</f>
        <v/>
      </c>
      <c r="I1678" s="1" t="str">
        <f t="shared" si="26"/>
        <v/>
      </c>
    </row>
    <row r="1679" spans="5:9" x14ac:dyDescent="0.3">
      <c r="E1679" t="str">
        <f>IFERROR(IF(D1679="","",VLOOKUP(D1679,CadProd!$A:$B,2,0)),"")</f>
        <v/>
      </c>
      <c r="F1679" t="str">
        <f>IFERROR(IF(D1679="","",VLOOKUP(D1679,CadProd!$A:$C,3,0)),"")</f>
        <v/>
      </c>
      <c r="I1679" s="1" t="str">
        <f t="shared" si="26"/>
        <v/>
      </c>
    </row>
    <row r="1680" spans="5:9" x14ac:dyDescent="0.3">
      <c r="E1680" t="str">
        <f>IFERROR(IF(D1680="","",VLOOKUP(D1680,CadProd!$A:$B,2,0)),"")</f>
        <v/>
      </c>
      <c r="F1680" t="str">
        <f>IFERROR(IF(D1680="","",VLOOKUP(D1680,CadProd!$A:$C,3,0)),"")</f>
        <v/>
      </c>
      <c r="I1680" s="1" t="str">
        <f t="shared" si="26"/>
        <v/>
      </c>
    </row>
    <row r="1681" spans="5:9" x14ac:dyDescent="0.3">
      <c r="E1681" t="str">
        <f>IFERROR(IF(D1681="","",VLOOKUP(D1681,CadProd!$A:$B,2,0)),"")</f>
        <v/>
      </c>
      <c r="F1681" t="str">
        <f>IFERROR(IF(D1681="","",VLOOKUP(D1681,CadProd!$A:$C,3,0)),"")</f>
        <v/>
      </c>
      <c r="I1681" s="1" t="str">
        <f t="shared" si="26"/>
        <v/>
      </c>
    </row>
    <row r="1682" spans="5:9" x14ac:dyDescent="0.3">
      <c r="E1682" t="str">
        <f>IFERROR(IF(D1682="","",VLOOKUP(D1682,CadProd!$A:$B,2,0)),"")</f>
        <v/>
      </c>
      <c r="F1682" t="str">
        <f>IFERROR(IF(D1682="","",VLOOKUP(D1682,CadProd!$A:$C,3,0)),"")</f>
        <v/>
      </c>
      <c r="I1682" s="1" t="str">
        <f t="shared" si="26"/>
        <v/>
      </c>
    </row>
    <row r="1683" spans="5:9" x14ac:dyDescent="0.3">
      <c r="E1683" t="str">
        <f>IFERROR(IF(D1683="","",VLOOKUP(D1683,CadProd!$A:$B,2,0)),"")</f>
        <v/>
      </c>
      <c r="F1683" t="str">
        <f>IFERROR(IF(D1683="","",VLOOKUP(D1683,CadProd!$A:$C,3,0)),"")</f>
        <v/>
      </c>
      <c r="I1683" s="1" t="str">
        <f t="shared" si="26"/>
        <v/>
      </c>
    </row>
    <row r="1684" spans="5:9" x14ac:dyDescent="0.3">
      <c r="E1684" t="str">
        <f>IFERROR(IF(D1684="","",VLOOKUP(D1684,CadProd!$A:$B,2,0)),"")</f>
        <v/>
      </c>
      <c r="F1684" t="str">
        <f>IFERROR(IF(D1684="","",VLOOKUP(D1684,CadProd!$A:$C,3,0)),"")</f>
        <v/>
      </c>
      <c r="I1684" s="1" t="str">
        <f t="shared" si="26"/>
        <v/>
      </c>
    </row>
    <row r="1685" spans="5:9" x14ac:dyDescent="0.3">
      <c r="E1685" t="str">
        <f>IFERROR(IF(D1685="","",VLOOKUP(D1685,CadProd!$A:$B,2,0)),"")</f>
        <v/>
      </c>
      <c r="F1685" t="str">
        <f>IFERROR(IF(D1685="","",VLOOKUP(D1685,CadProd!$A:$C,3,0)),"")</f>
        <v/>
      </c>
      <c r="I1685" s="1" t="str">
        <f t="shared" si="26"/>
        <v/>
      </c>
    </row>
    <row r="1686" spans="5:9" x14ac:dyDescent="0.3">
      <c r="E1686" t="str">
        <f>IFERROR(IF(D1686="","",VLOOKUP(D1686,CadProd!$A:$B,2,0)),"")</f>
        <v/>
      </c>
      <c r="F1686" t="str">
        <f>IFERROR(IF(D1686="","",VLOOKUP(D1686,CadProd!$A:$C,3,0)),"")</f>
        <v/>
      </c>
      <c r="I1686" s="1" t="str">
        <f t="shared" si="26"/>
        <v/>
      </c>
    </row>
    <row r="1687" spans="5:9" x14ac:dyDescent="0.3">
      <c r="E1687" t="str">
        <f>IFERROR(IF(D1687="","",VLOOKUP(D1687,CadProd!$A:$B,2,0)),"")</f>
        <v/>
      </c>
      <c r="F1687" t="str">
        <f>IFERROR(IF(D1687="","",VLOOKUP(D1687,CadProd!$A:$C,3,0)),"")</f>
        <v/>
      </c>
      <c r="I1687" s="1" t="str">
        <f t="shared" si="26"/>
        <v/>
      </c>
    </row>
    <row r="1688" spans="5:9" x14ac:dyDescent="0.3">
      <c r="E1688" t="str">
        <f>IFERROR(IF(D1688="","",VLOOKUP(D1688,CadProd!$A:$B,2,0)),"")</f>
        <v/>
      </c>
      <c r="F1688" t="str">
        <f>IFERROR(IF(D1688="","",VLOOKUP(D1688,CadProd!$A:$C,3,0)),"")</f>
        <v/>
      </c>
      <c r="I1688" s="1" t="str">
        <f t="shared" si="26"/>
        <v/>
      </c>
    </row>
    <row r="1689" spans="5:9" x14ac:dyDescent="0.3">
      <c r="E1689" t="str">
        <f>IFERROR(IF(D1689="","",VLOOKUP(D1689,CadProd!$A:$B,2,0)),"")</f>
        <v/>
      </c>
      <c r="F1689" t="str">
        <f>IFERROR(IF(D1689="","",VLOOKUP(D1689,CadProd!$A:$C,3,0)),"")</f>
        <v/>
      </c>
      <c r="I1689" s="1" t="str">
        <f t="shared" si="26"/>
        <v/>
      </c>
    </row>
    <row r="1690" spans="5:9" x14ac:dyDescent="0.3">
      <c r="E1690" t="str">
        <f>IFERROR(IF(D1690="","",VLOOKUP(D1690,CadProd!$A:$B,2,0)),"")</f>
        <v/>
      </c>
      <c r="F1690" t="str">
        <f>IFERROR(IF(D1690="","",VLOOKUP(D1690,CadProd!$A:$C,3,0)),"")</f>
        <v/>
      </c>
      <c r="I1690" s="1" t="str">
        <f t="shared" si="26"/>
        <v/>
      </c>
    </row>
    <row r="1691" spans="5:9" x14ac:dyDescent="0.3">
      <c r="E1691" t="str">
        <f>IFERROR(IF(D1691="","",VLOOKUP(D1691,CadProd!$A:$B,2,0)),"")</f>
        <v/>
      </c>
      <c r="F1691" t="str">
        <f>IFERROR(IF(D1691="","",VLOOKUP(D1691,CadProd!$A:$C,3,0)),"")</f>
        <v/>
      </c>
      <c r="I1691" s="1" t="str">
        <f t="shared" si="26"/>
        <v/>
      </c>
    </row>
    <row r="1692" spans="5:9" x14ac:dyDescent="0.3">
      <c r="E1692" t="str">
        <f>IFERROR(IF(D1692="","",VLOOKUP(D1692,CadProd!$A:$B,2,0)),"")</f>
        <v/>
      </c>
      <c r="F1692" t="str">
        <f>IFERROR(IF(D1692="","",VLOOKUP(D1692,CadProd!$A:$C,3,0)),"")</f>
        <v/>
      </c>
      <c r="I1692" s="1" t="str">
        <f t="shared" si="26"/>
        <v/>
      </c>
    </row>
    <row r="1693" spans="5:9" x14ac:dyDescent="0.3">
      <c r="E1693" t="str">
        <f>IFERROR(IF(D1693="","",VLOOKUP(D1693,CadProd!$A:$B,2,0)),"")</f>
        <v/>
      </c>
      <c r="F1693" t="str">
        <f>IFERROR(IF(D1693="","",VLOOKUP(D1693,CadProd!$A:$C,3,0)),"")</f>
        <v/>
      </c>
      <c r="I1693" s="1" t="str">
        <f t="shared" si="26"/>
        <v/>
      </c>
    </row>
    <row r="1694" spans="5:9" x14ac:dyDescent="0.3">
      <c r="E1694" t="str">
        <f>IFERROR(IF(D1694="","",VLOOKUP(D1694,CadProd!$A:$B,2,0)),"")</f>
        <v/>
      </c>
      <c r="F1694" t="str">
        <f>IFERROR(IF(D1694="","",VLOOKUP(D1694,CadProd!$A:$C,3,0)),"")</f>
        <v/>
      </c>
      <c r="I1694" s="1" t="str">
        <f t="shared" si="26"/>
        <v/>
      </c>
    </row>
    <row r="1695" spans="5:9" x14ac:dyDescent="0.3">
      <c r="E1695" t="str">
        <f>IFERROR(IF(D1695="","",VLOOKUP(D1695,CadProd!$A:$B,2,0)),"")</f>
        <v/>
      </c>
      <c r="F1695" t="str">
        <f>IFERROR(IF(D1695="","",VLOOKUP(D1695,CadProd!$A:$C,3,0)),"")</f>
        <v/>
      </c>
      <c r="I1695" s="1" t="str">
        <f t="shared" si="26"/>
        <v/>
      </c>
    </row>
    <row r="1696" spans="5:9" x14ac:dyDescent="0.3">
      <c r="E1696" t="str">
        <f>IFERROR(IF(D1696="","",VLOOKUP(D1696,CadProd!$A:$B,2,0)),"")</f>
        <v/>
      </c>
      <c r="F1696" t="str">
        <f>IFERROR(IF(D1696="","",VLOOKUP(D1696,CadProd!$A:$C,3,0)),"")</f>
        <v/>
      </c>
      <c r="I1696" s="1" t="str">
        <f t="shared" si="26"/>
        <v/>
      </c>
    </row>
    <row r="1697" spans="5:9" x14ac:dyDescent="0.3">
      <c r="E1697" t="str">
        <f>IFERROR(IF(D1697="","",VLOOKUP(D1697,CadProd!$A:$B,2,0)),"")</f>
        <v/>
      </c>
      <c r="F1697" t="str">
        <f>IFERROR(IF(D1697="","",VLOOKUP(D1697,CadProd!$A:$C,3,0)),"")</f>
        <v/>
      </c>
      <c r="I1697" s="1" t="str">
        <f t="shared" si="26"/>
        <v/>
      </c>
    </row>
    <row r="1698" spans="5:9" x14ac:dyDescent="0.3">
      <c r="E1698" t="str">
        <f>IFERROR(IF(D1698="","",VLOOKUP(D1698,CadProd!$A:$B,2,0)),"")</f>
        <v/>
      </c>
      <c r="F1698" t="str">
        <f>IFERROR(IF(D1698="","",VLOOKUP(D1698,CadProd!$A:$C,3,0)),"")</f>
        <v/>
      </c>
      <c r="I1698" s="1" t="str">
        <f t="shared" si="26"/>
        <v/>
      </c>
    </row>
    <row r="1699" spans="5:9" x14ac:dyDescent="0.3">
      <c r="E1699" t="str">
        <f>IFERROR(IF(D1699="","",VLOOKUP(D1699,CadProd!$A:$B,2,0)),"")</f>
        <v/>
      </c>
      <c r="F1699" t="str">
        <f>IFERROR(IF(D1699="","",VLOOKUP(D1699,CadProd!$A:$C,3,0)),"")</f>
        <v/>
      </c>
      <c r="I1699" s="1" t="str">
        <f t="shared" si="26"/>
        <v/>
      </c>
    </row>
    <row r="1700" spans="5:9" x14ac:dyDescent="0.3">
      <c r="E1700" t="str">
        <f>IFERROR(IF(D1700="","",VLOOKUP(D1700,CadProd!$A:$B,2,0)),"")</f>
        <v/>
      </c>
      <c r="F1700" t="str">
        <f>IFERROR(IF(D1700="","",VLOOKUP(D1700,CadProd!$A:$C,3,0)),"")</f>
        <v/>
      </c>
      <c r="I1700" s="1" t="str">
        <f t="shared" si="26"/>
        <v/>
      </c>
    </row>
    <row r="1701" spans="5:9" x14ac:dyDescent="0.3">
      <c r="E1701" t="str">
        <f>IFERROR(IF(D1701="","",VLOOKUP(D1701,CadProd!$A:$B,2,0)),"")</f>
        <v/>
      </c>
      <c r="F1701" t="str">
        <f>IFERROR(IF(D1701="","",VLOOKUP(D1701,CadProd!$A:$C,3,0)),"")</f>
        <v/>
      </c>
      <c r="I1701" s="1" t="str">
        <f t="shared" si="26"/>
        <v/>
      </c>
    </row>
    <row r="1702" spans="5:9" x14ac:dyDescent="0.3">
      <c r="E1702" t="str">
        <f>IFERROR(IF(D1702="","",VLOOKUP(D1702,CadProd!$A:$B,2,0)),"")</f>
        <v/>
      </c>
      <c r="F1702" t="str">
        <f>IFERROR(IF(D1702="","",VLOOKUP(D1702,CadProd!$A:$C,3,0)),"")</f>
        <v/>
      </c>
      <c r="I1702" s="1" t="str">
        <f t="shared" si="26"/>
        <v/>
      </c>
    </row>
    <row r="1703" spans="5:9" x14ac:dyDescent="0.3">
      <c r="E1703" t="str">
        <f>IFERROR(IF(D1703="","",VLOOKUP(D1703,CadProd!$A:$B,2,0)),"")</f>
        <v/>
      </c>
      <c r="F1703" t="str">
        <f>IFERROR(IF(D1703="","",VLOOKUP(D1703,CadProd!$A:$C,3,0)),"")</f>
        <v/>
      </c>
      <c r="I1703" s="1" t="str">
        <f t="shared" si="26"/>
        <v/>
      </c>
    </row>
    <row r="1704" spans="5:9" x14ac:dyDescent="0.3">
      <c r="E1704" t="str">
        <f>IFERROR(IF(D1704="","",VLOOKUP(D1704,CadProd!$A:$B,2,0)),"")</f>
        <v/>
      </c>
      <c r="F1704" t="str">
        <f>IFERROR(IF(D1704="","",VLOOKUP(D1704,CadProd!$A:$C,3,0)),"")</f>
        <v/>
      </c>
      <c r="I1704" s="1" t="str">
        <f t="shared" si="26"/>
        <v/>
      </c>
    </row>
    <row r="1705" spans="5:9" x14ac:dyDescent="0.3">
      <c r="E1705" t="str">
        <f>IFERROR(IF(D1705="","",VLOOKUP(D1705,CadProd!$A:$B,2,0)),"")</f>
        <v/>
      </c>
      <c r="F1705" t="str">
        <f>IFERROR(IF(D1705="","",VLOOKUP(D1705,CadProd!$A:$C,3,0)),"")</f>
        <v/>
      </c>
      <c r="I1705" s="1" t="str">
        <f t="shared" si="26"/>
        <v/>
      </c>
    </row>
    <row r="1706" spans="5:9" x14ac:dyDescent="0.3">
      <c r="E1706" t="str">
        <f>IFERROR(IF(D1706="","",VLOOKUP(D1706,CadProd!$A:$B,2,0)),"")</f>
        <v/>
      </c>
      <c r="F1706" t="str">
        <f>IFERROR(IF(D1706="","",VLOOKUP(D1706,CadProd!$A:$C,3,0)),"")</f>
        <v/>
      </c>
      <c r="I1706" s="1" t="str">
        <f t="shared" si="26"/>
        <v/>
      </c>
    </row>
    <row r="1707" spans="5:9" x14ac:dyDescent="0.3">
      <c r="E1707" t="str">
        <f>IFERROR(IF(D1707="","",VLOOKUP(D1707,CadProd!$A:$B,2,0)),"")</f>
        <v/>
      </c>
      <c r="F1707" t="str">
        <f>IFERROR(IF(D1707="","",VLOOKUP(D1707,CadProd!$A:$C,3,0)),"")</f>
        <v/>
      </c>
      <c r="I1707" s="1" t="str">
        <f t="shared" si="26"/>
        <v/>
      </c>
    </row>
    <row r="1708" spans="5:9" x14ac:dyDescent="0.3">
      <c r="E1708" t="str">
        <f>IFERROR(IF(D1708="","",VLOOKUP(D1708,CadProd!$A:$B,2,0)),"")</f>
        <v/>
      </c>
      <c r="F1708" t="str">
        <f>IFERROR(IF(D1708="","",VLOOKUP(D1708,CadProd!$A:$C,3,0)),"")</f>
        <v/>
      </c>
      <c r="I1708" s="1" t="str">
        <f t="shared" si="26"/>
        <v/>
      </c>
    </row>
    <row r="1709" spans="5:9" x14ac:dyDescent="0.3">
      <c r="E1709" t="str">
        <f>IFERROR(IF(D1709="","",VLOOKUP(D1709,CadProd!$A:$B,2,0)),"")</f>
        <v/>
      </c>
      <c r="F1709" t="str">
        <f>IFERROR(IF(D1709="","",VLOOKUP(D1709,CadProd!$A:$C,3,0)),"")</f>
        <v/>
      </c>
      <c r="I1709" s="1" t="str">
        <f t="shared" si="26"/>
        <v/>
      </c>
    </row>
    <row r="1710" spans="5:9" x14ac:dyDescent="0.3">
      <c r="E1710" t="str">
        <f>IFERROR(IF(D1710="","",VLOOKUP(D1710,CadProd!$A:$B,2,0)),"")</f>
        <v/>
      </c>
      <c r="F1710" t="str">
        <f>IFERROR(IF(D1710="","",VLOOKUP(D1710,CadProd!$A:$C,3,0)),"")</f>
        <v/>
      </c>
      <c r="I1710" s="1" t="str">
        <f t="shared" si="26"/>
        <v/>
      </c>
    </row>
    <row r="1711" spans="5:9" x14ac:dyDescent="0.3">
      <c r="E1711" t="str">
        <f>IFERROR(IF(D1711="","",VLOOKUP(D1711,CadProd!$A:$B,2,0)),"")</f>
        <v/>
      </c>
      <c r="F1711" t="str">
        <f>IFERROR(IF(D1711="","",VLOOKUP(D1711,CadProd!$A:$C,3,0)),"")</f>
        <v/>
      </c>
      <c r="I1711" s="1" t="str">
        <f t="shared" si="26"/>
        <v/>
      </c>
    </row>
    <row r="1712" spans="5:9" x14ac:dyDescent="0.3">
      <c r="E1712" t="str">
        <f>IFERROR(IF(D1712="","",VLOOKUP(D1712,CadProd!$A:$B,2,0)),"")</f>
        <v/>
      </c>
      <c r="F1712" t="str">
        <f>IFERROR(IF(D1712="","",VLOOKUP(D1712,CadProd!$A:$C,3,0)),"")</f>
        <v/>
      </c>
      <c r="I1712" s="1" t="str">
        <f t="shared" si="26"/>
        <v/>
      </c>
    </row>
    <row r="1713" spans="5:9" x14ac:dyDescent="0.3">
      <c r="E1713" t="str">
        <f>IFERROR(IF(D1713="","",VLOOKUP(D1713,CadProd!$A:$B,2,0)),"")</f>
        <v/>
      </c>
      <c r="F1713" t="str">
        <f>IFERROR(IF(D1713="","",VLOOKUP(D1713,CadProd!$A:$C,3,0)),"")</f>
        <v/>
      </c>
      <c r="I1713" s="1" t="str">
        <f t="shared" si="26"/>
        <v/>
      </c>
    </row>
    <row r="1714" spans="5:9" x14ac:dyDescent="0.3">
      <c r="E1714" t="str">
        <f>IFERROR(IF(D1714="","",VLOOKUP(D1714,CadProd!$A:$B,2,0)),"")</f>
        <v/>
      </c>
      <c r="F1714" t="str">
        <f>IFERROR(IF(D1714="","",VLOOKUP(D1714,CadProd!$A:$C,3,0)),"")</f>
        <v/>
      </c>
      <c r="I1714" s="1" t="str">
        <f t="shared" si="26"/>
        <v/>
      </c>
    </row>
    <row r="1715" spans="5:9" x14ac:dyDescent="0.3">
      <c r="E1715" t="str">
        <f>IFERROR(IF(D1715="","",VLOOKUP(D1715,CadProd!$A:$B,2,0)),"")</f>
        <v/>
      </c>
      <c r="F1715" t="str">
        <f>IFERROR(IF(D1715="","",VLOOKUP(D1715,CadProd!$A:$C,3,0)),"")</f>
        <v/>
      </c>
      <c r="I1715" s="1" t="str">
        <f t="shared" si="26"/>
        <v/>
      </c>
    </row>
    <row r="1716" spans="5:9" x14ac:dyDescent="0.3">
      <c r="E1716" t="str">
        <f>IFERROR(IF(D1716="","",VLOOKUP(D1716,CadProd!$A:$B,2,0)),"")</f>
        <v/>
      </c>
      <c r="F1716" t="str">
        <f>IFERROR(IF(D1716="","",VLOOKUP(D1716,CadProd!$A:$C,3,0)),"")</f>
        <v/>
      </c>
      <c r="I1716" s="1" t="str">
        <f t="shared" si="26"/>
        <v/>
      </c>
    </row>
    <row r="1717" spans="5:9" x14ac:dyDescent="0.3">
      <c r="E1717" t="str">
        <f>IFERROR(IF(D1717="","",VLOOKUP(D1717,CadProd!$A:$B,2,0)),"")</f>
        <v/>
      </c>
      <c r="F1717" t="str">
        <f>IFERROR(IF(D1717="","",VLOOKUP(D1717,CadProd!$A:$C,3,0)),"")</f>
        <v/>
      </c>
      <c r="I1717" s="1" t="str">
        <f t="shared" si="26"/>
        <v/>
      </c>
    </row>
    <row r="1718" spans="5:9" x14ac:dyDescent="0.3">
      <c r="E1718" t="str">
        <f>IFERROR(IF(D1718="","",VLOOKUP(D1718,CadProd!$A:$B,2,0)),"")</f>
        <v/>
      </c>
      <c r="F1718" t="str">
        <f>IFERROR(IF(D1718="","",VLOOKUP(D1718,CadProd!$A:$C,3,0)),"")</f>
        <v/>
      </c>
      <c r="I1718" s="1" t="str">
        <f t="shared" si="26"/>
        <v/>
      </c>
    </row>
    <row r="1719" spans="5:9" x14ac:dyDescent="0.3">
      <c r="E1719" t="str">
        <f>IFERROR(IF(D1719="","",VLOOKUP(D1719,CadProd!$A:$B,2,0)),"")</f>
        <v/>
      </c>
      <c r="F1719" t="str">
        <f>IFERROR(IF(D1719="","",VLOOKUP(D1719,CadProd!$A:$C,3,0)),"")</f>
        <v/>
      </c>
      <c r="I1719" s="1" t="str">
        <f t="shared" si="26"/>
        <v/>
      </c>
    </row>
    <row r="1720" spans="5:9" x14ac:dyDescent="0.3">
      <c r="E1720" t="str">
        <f>IFERROR(IF(D1720="","",VLOOKUP(D1720,CadProd!$A:$B,2,0)),"")</f>
        <v/>
      </c>
      <c r="F1720" t="str">
        <f>IFERROR(IF(D1720="","",VLOOKUP(D1720,CadProd!$A:$C,3,0)),"")</f>
        <v/>
      </c>
      <c r="I1720" s="1" t="str">
        <f t="shared" si="26"/>
        <v/>
      </c>
    </row>
    <row r="1721" spans="5:9" x14ac:dyDescent="0.3">
      <c r="E1721" t="str">
        <f>IFERROR(IF(D1721="","",VLOOKUP(D1721,CadProd!$A:$B,2,0)),"")</f>
        <v/>
      </c>
      <c r="F1721" t="str">
        <f>IFERROR(IF(D1721="","",VLOOKUP(D1721,CadProd!$A:$C,3,0)),"")</f>
        <v/>
      </c>
      <c r="I1721" s="1" t="str">
        <f t="shared" si="26"/>
        <v/>
      </c>
    </row>
    <row r="1722" spans="5:9" x14ac:dyDescent="0.3">
      <c r="E1722" t="str">
        <f>IFERROR(IF(D1722="","",VLOOKUP(D1722,CadProd!$A:$B,2,0)),"")</f>
        <v/>
      </c>
      <c r="F1722" t="str">
        <f>IFERROR(IF(D1722="","",VLOOKUP(D1722,CadProd!$A:$C,3,0)),"")</f>
        <v/>
      </c>
      <c r="I1722" s="1" t="str">
        <f t="shared" si="26"/>
        <v/>
      </c>
    </row>
    <row r="1723" spans="5:9" x14ac:dyDescent="0.3">
      <c r="E1723" t="str">
        <f>IFERROR(IF(D1723="","",VLOOKUP(D1723,CadProd!$A:$B,2,0)),"")</f>
        <v/>
      </c>
      <c r="F1723" t="str">
        <f>IFERROR(IF(D1723="","",VLOOKUP(D1723,CadProd!$A:$C,3,0)),"")</f>
        <v/>
      </c>
      <c r="I1723" s="1" t="str">
        <f t="shared" si="26"/>
        <v/>
      </c>
    </row>
    <row r="1724" spans="5:9" x14ac:dyDescent="0.3">
      <c r="E1724" t="str">
        <f>IFERROR(IF(D1724="","",VLOOKUP(D1724,CadProd!$A:$B,2,0)),"")</f>
        <v/>
      </c>
      <c r="F1724" t="str">
        <f>IFERROR(IF(D1724="","",VLOOKUP(D1724,CadProd!$A:$C,3,0)),"")</f>
        <v/>
      </c>
      <c r="I1724" s="1" t="str">
        <f t="shared" si="26"/>
        <v/>
      </c>
    </row>
    <row r="1725" spans="5:9" x14ac:dyDescent="0.3">
      <c r="E1725" t="str">
        <f>IFERROR(IF(D1725="","",VLOOKUP(D1725,CadProd!$A:$B,2,0)),"")</f>
        <v/>
      </c>
      <c r="F1725" t="str">
        <f>IFERROR(IF(D1725="","",VLOOKUP(D1725,CadProd!$A:$C,3,0)),"")</f>
        <v/>
      </c>
      <c r="I1725" s="1" t="str">
        <f t="shared" si="26"/>
        <v/>
      </c>
    </row>
    <row r="1726" spans="5:9" x14ac:dyDescent="0.3">
      <c r="E1726" t="str">
        <f>IFERROR(IF(D1726="","",VLOOKUP(D1726,CadProd!$A:$B,2,0)),"")</f>
        <v/>
      </c>
      <c r="F1726" t="str">
        <f>IFERROR(IF(D1726="","",VLOOKUP(D1726,CadProd!$A:$C,3,0)),"")</f>
        <v/>
      </c>
      <c r="I1726" s="1" t="str">
        <f t="shared" si="26"/>
        <v/>
      </c>
    </row>
    <row r="1727" spans="5:9" x14ac:dyDescent="0.3">
      <c r="E1727" t="str">
        <f>IFERROR(IF(D1727="","",VLOOKUP(D1727,CadProd!$A:$B,2,0)),"")</f>
        <v/>
      </c>
      <c r="F1727" t="str">
        <f>IFERROR(IF(D1727="","",VLOOKUP(D1727,CadProd!$A:$C,3,0)),"")</f>
        <v/>
      </c>
      <c r="I1727" s="1" t="str">
        <f t="shared" si="26"/>
        <v/>
      </c>
    </row>
    <row r="1728" spans="5:9" x14ac:dyDescent="0.3">
      <c r="E1728" t="str">
        <f>IFERROR(IF(D1728="","",VLOOKUP(D1728,CadProd!$A:$B,2,0)),"")</f>
        <v/>
      </c>
      <c r="F1728" t="str">
        <f>IFERROR(IF(D1728="","",VLOOKUP(D1728,CadProd!$A:$C,3,0)),"")</f>
        <v/>
      </c>
      <c r="I1728" s="1" t="str">
        <f t="shared" si="26"/>
        <v/>
      </c>
    </row>
    <row r="1729" spans="5:9" x14ac:dyDescent="0.3">
      <c r="E1729" t="str">
        <f>IFERROR(IF(D1729="","",VLOOKUP(D1729,CadProd!$A:$B,2,0)),"")</f>
        <v/>
      </c>
      <c r="F1729" t="str">
        <f>IFERROR(IF(D1729="","",VLOOKUP(D1729,CadProd!$A:$C,3,0)),"")</f>
        <v/>
      </c>
      <c r="I1729" s="1" t="str">
        <f t="shared" si="26"/>
        <v/>
      </c>
    </row>
    <row r="1730" spans="5:9" x14ac:dyDescent="0.3">
      <c r="E1730" t="str">
        <f>IFERROR(IF(D1730="","",VLOOKUP(D1730,CadProd!$A:$B,2,0)),"")</f>
        <v/>
      </c>
      <c r="F1730" t="str">
        <f>IFERROR(IF(D1730="","",VLOOKUP(D1730,CadProd!$A:$C,3,0)),"")</f>
        <v/>
      </c>
      <c r="I1730" s="1" t="str">
        <f t="shared" si="26"/>
        <v/>
      </c>
    </row>
    <row r="1731" spans="5:9" x14ac:dyDescent="0.3">
      <c r="E1731" t="str">
        <f>IFERROR(IF(D1731="","",VLOOKUP(D1731,CadProd!$A:$B,2,0)),"")</f>
        <v/>
      </c>
      <c r="F1731" t="str">
        <f>IFERROR(IF(D1731="","",VLOOKUP(D1731,CadProd!$A:$C,3,0)),"")</f>
        <v/>
      </c>
      <c r="I1731" s="1" t="str">
        <f t="shared" si="26"/>
        <v/>
      </c>
    </row>
    <row r="1732" spans="5:9" x14ac:dyDescent="0.3">
      <c r="E1732" t="str">
        <f>IFERROR(IF(D1732="","",VLOOKUP(D1732,CadProd!$A:$B,2,0)),"")</f>
        <v/>
      </c>
      <c r="F1732" t="str">
        <f>IFERROR(IF(D1732="","",VLOOKUP(D1732,CadProd!$A:$C,3,0)),"")</f>
        <v/>
      </c>
      <c r="I1732" s="1" t="str">
        <f t="shared" si="26"/>
        <v/>
      </c>
    </row>
    <row r="1733" spans="5:9" x14ac:dyDescent="0.3">
      <c r="E1733" t="str">
        <f>IFERROR(IF(D1733="","",VLOOKUP(D1733,CadProd!$A:$B,2,0)),"")</f>
        <v/>
      </c>
      <c r="F1733" t="str">
        <f>IFERROR(IF(D1733="","",VLOOKUP(D1733,CadProd!$A:$C,3,0)),"")</f>
        <v/>
      </c>
      <c r="I1733" s="1" t="str">
        <f t="shared" si="26"/>
        <v/>
      </c>
    </row>
    <row r="1734" spans="5:9" x14ac:dyDescent="0.3">
      <c r="E1734" t="str">
        <f>IFERROR(IF(D1734="","",VLOOKUP(D1734,CadProd!$A:$B,2,0)),"")</f>
        <v/>
      </c>
      <c r="F1734" t="str">
        <f>IFERROR(IF(D1734="","",VLOOKUP(D1734,CadProd!$A:$C,3,0)),"")</f>
        <v/>
      </c>
      <c r="I1734" s="1" t="str">
        <f t="shared" si="26"/>
        <v/>
      </c>
    </row>
    <row r="1735" spans="5:9" x14ac:dyDescent="0.3">
      <c r="E1735" t="str">
        <f>IFERROR(IF(D1735="","",VLOOKUP(D1735,CadProd!$A:$B,2,0)),"")</f>
        <v/>
      </c>
      <c r="F1735" t="str">
        <f>IFERROR(IF(D1735="","",VLOOKUP(D1735,CadProd!$A:$C,3,0)),"")</f>
        <v/>
      </c>
      <c r="I1735" s="1" t="str">
        <f t="shared" si="26"/>
        <v/>
      </c>
    </row>
    <row r="1736" spans="5:9" x14ac:dyDescent="0.3">
      <c r="E1736" t="str">
        <f>IFERROR(IF(D1736="","",VLOOKUP(D1736,CadProd!$A:$B,2,0)),"")</f>
        <v/>
      </c>
      <c r="F1736" t="str">
        <f>IFERROR(IF(D1736="","",VLOOKUP(D1736,CadProd!$A:$C,3,0)),"")</f>
        <v/>
      </c>
      <c r="I1736" s="1" t="str">
        <f t="shared" si="26"/>
        <v/>
      </c>
    </row>
    <row r="1737" spans="5:9" x14ac:dyDescent="0.3">
      <c r="E1737" t="str">
        <f>IFERROR(IF(D1737="","",VLOOKUP(D1737,CadProd!$A:$B,2,0)),"")</f>
        <v/>
      </c>
      <c r="F1737" t="str">
        <f>IFERROR(IF(D1737="","",VLOOKUP(D1737,CadProd!$A:$C,3,0)),"")</f>
        <v/>
      </c>
      <c r="I1737" s="1" t="str">
        <f t="shared" si="26"/>
        <v/>
      </c>
    </row>
    <row r="1738" spans="5:9" x14ac:dyDescent="0.3">
      <c r="E1738" t="str">
        <f>IFERROR(IF(D1738="","",VLOOKUP(D1738,CadProd!$A:$B,2,0)),"")</f>
        <v/>
      </c>
      <c r="F1738" t="str">
        <f>IFERROR(IF(D1738="","",VLOOKUP(D1738,CadProd!$A:$C,3,0)),"")</f>
        <v/>
      </c>
      <c r="I1738" s="1" t="str">
        <f t="shared" si="26"/>
        <v/>
      </c>
    </row>
    <row r="1739" spans="5:9" x14ac:dyDescent="0.3">
      <c r="E1739" t="str">
        <f>IFERROR(IF(D1739="","",VLOOKUP(D1739,CadProd!$A:$B,2,0)),"")</f>
        <v/>
      </c>
      <c r="F1739" t="str">
        <f>IFERROR(IF(D1739="","",VLOOKUP(D1739,CadProd!$A:$C,3,0)),"")</f>
        <v/>
      </c>
      <c r="I1739" s="1" t="str">
        <f t="shared" ref="I1739:I1802" si="27">IFERROR(IF(D1739="","",H1739*G1739),"")</f>
        <v/>
      </c>
    </row>
    <row r="1740" spans="5:9" x14ac:dyDescent="0.3">
      <c r="E1740" t="str">
        <f>IFERROR(IF(D1740="","",VLOOKUP(D1740,CadProd!$A:$B,2,0)),"")</f>
        <v/>
      </c>
      <c r="F1740" t="str">
        <f>IFERROR(IF(D1740="","",VLOOKUP(D1740,CadProd!$A:$C,3,0)),"")</f>
        <v/>
      </c>
      <c r="I1740" s="1" t="str">
        <f t="shared" si="27"/>
        <v/>
      </c>
    </row>
    <row r="1741" spans="5:9" x14ac:dyDescent="0.3">
      <c r="E1741" t="str">
        <f>IFERROR(IF(D1741="","",VLOOKUP(D1741,CadProd!$A:$B,2,0)),"")</f>
        <v/>
      </c>
      <c r="F1741" t="str">
        <f>IFERROR(IF(D1741="","",VLOOKUP(D1741,CadProd!$A:$C,3,0)),"")</f>
        <v/>
      </c>
      <c r="I1741" s="1" t="str">
        <f t="shared" si="27"/>
        <v/>
      </c>
    </row>
    <row r="1742" spans="5:9" x14ac:dyDescent="0.3">
      <c r="E1742" t="str">
        <f>IFERROR(IF(D1742="","",VLOOKUP(D1742,CadProd!$A:$B,2,0)),"")</f>
        <v/>
      </c>
      <c r="F1742" t="str">
        <f>IFERROR(IF(D1742="","",VLOOKUP(D1742,CadProd!$A:$C,3,0)),"")</f>
        <v/>
      </c>
      <c r="I1742" s="1" t="str">
        <f t="shared" si="27"/>
        <v/>
      </c>
    </row>
    <row r="1743" spans="5:9" x14ac:dyDescent="0.3">
      <c r="E1743" t="str">
        <f>IFERROR(IF(D1743="","",VLOOKUP(D1743,CadProd!$A:$B,2,0)),"")</f>
        <v/>
      </c>
      <c r="F1743" t="str">
        <f>IFERROR(IF(D1743="","",VLOOKUP(D1743,CadProd!$A:$C,3,0)),"")</f>
        <v/>
      </c>
      <c r="I1743" s="1" t="str">
        <f t="shared" si="27"/>
        <v/>
      </c>
    </row>
    <row r="1744" spans="5:9" x14ac:dyDescent="0.3">
      <c r="E1744" t="str">
        <f>IFERROR(IF(D1744="","",VLOOKUP(D1744,CadProd!$A:$B,2,0)),"")</f>
        <v/>
      </c>
      <c r="F1744" t="str">
        <f>IFERROR(IF(D1744="","",VLOOKUP(D1744,CadProd!$A:$C,3,0)),"")</f>
        <v/>
      </c>
      <c r="I1744" s="1" t="str">
        <f t="shared" si="27"/>
        <v/>
      </c>
    </row>
    <row r="1745" spans="5:9" x14ac:dyDescent="0.3">
      <c r="E1745" t="str">
        <f>IFERROR(IF(D1745="","",VLOOKUP(D1745,CadProd!$A:$B,2,0)),"")</f>
        <v/>
      </c>
      <c r="F1745" t="str">
        <f>IFERROR(IF(D1745="","",VLOOKUP(D1745,CadProd!$A:$C,3,0)),"")</f>
        <v/>
      </c>
      <c r="I1745" s="1" t="str">
        <f t="shared" si="27"/>
        <v/>
      </c>
    </row>
    <row r="1746" spans="5:9" x14ac:dyDescent="0.3">
      <c r="E1746" t="str">
        <f>IFERROR(IF(D1746="","",VLOOKUP(D1746,CadProd!$A:$B,2,0)),"")</f>
        <v/>
      </c>
      <c r="F1746" t="str">
        <f>IFERROR(IF(D1746="","",VLOOKUP(D1746,CadProd!$A:$C,3,0)),"")</f>
        <v/>
      </c>
      <c r="I1746" s="1" t="str">
        <f t="shared" si="27"/>
        <v/>
      </c>
    </row>
    <row r="1747" spans="5:9" x14ac:dyDescent="0.3">
      <c r="E1747" t="str">
        <f>IFERROR(IF(D1747="","",VLOOKUP(D1747,CadProd!$A:$B,2,0)),"")</f>
        <v/>
      </c>
      <c r="F1747" t="str">
        <f>IFERROR(IF(D1747="","",VLOOKUP(D1747,CadProd!$A:$C,3,0)),"")</f>
        <v/>
      </c>
      <c r="I1747" s="1" t="str">
        <f t="shared" si="27"/>
        <v/>
      </c>
    </row>
    <row r="1748" spans="5:9" x14ac:dyDescent="0.3">
      <c r="E1748" t="str">
        <f>IFERROR(IF(D1748="","",VLOOKUP(D1748,CadProd!$A:$B,2,0)),"")</f>
        <v/>
      </c>
      <c r="F1748" t="str">
        <f>IFERROR(IF(D1748="","",VLOOKUP(D1748,CadProd!$A:$C,3,0)),"")</f>
        <v/>
      </c>
      <c r="I1748" s="1" t="str">
        <f t="shared" si="27"/>
        <v/>
      </c>
    </row>
    <row r="1749" spans="5:9" x14ac:dyDescent="0.3">
      <c r="E1749" t="str">
        <f>IFERROR(IF(D1749="","",VLOOKUP(D1749,CadProd!$A:$B,2,0)),"")</f>
        <v/>
      </c>
      <c r="F1749" t="str">
        <f>IFERROR(IF(D1749="","",VLOOKUP(D1749,CadProd!$A:$C,3,0)),"")</f>
        <v/>
      </c>
      <c r="I1749" s="1" t="str">
        <f t="shared" si="27"/>
        <v/>
      </c>
    </row>
    <row r="1750" spans="5:9" x14ac:dyDescent="0.3">
      <c r="E1750" t="str">
        <f>IFERROR(IF(D1750="","",VLOOKUP(D1750,CadProd!$A:$B,2,0)),"")</f>
        <v/>
      </c>
      <c r="F1750" t="str">
        <f>IFERROR(IF(D1750="","",VLOOKUP(D1750,CadProd!$A:$C,3,0)),"")</f>
        <v/>
      </c>
      <c r="I1750" s="1" t="str">
        <f t="shared" si="27"/>
        <v/>
      </c>
    </row>
    <row r="1751" spans="5:9" x14ac:dyDescent="0.3">
      <c r="E1751" t="str">
        <f>IFERROR(IF(D1751="","",VLOOKUP(D1751,CadProd!$A:$B,2,0)),"")</f>
        <v/>
      </c>
      <c r="F1751" t="str">
        <f>IFERROR(IF(D1751="","",VLOOKUP(D1751,CadProd!$A:$C,3,0)),"")</f>
        <v/>
      </c>
      <c r="I1751" s="1" t="str">
        <f t="shared" si="27"/>
        <v/>
      </c>
    </row>
    <row r="1752" spans="5:9" x14ac:dyDescent="0.3">
      <c r="E1752" t="str">
        <f>IFERROR(IF(D1752="","",VLOOKUP(D1752,CadProd!$A:$B,2,0)),"")</f>
        <v/>
      </c>
      <c r="F1752" t="str">
        <f>IFERROR(IF(D1752="","",VLOOKUP(D1752,CadProd!$A:$C,3,0)),"")</f>
        <v/>
      </c>
      <c r="I1752" s="1" t="str">
        <f t="shared" si="27"/>
        <v/>
      </c>
    </row>
    <row r="1753" spans="5:9" x14ac:dyDescent="0.3">
      <c r="E1753" t="str">
        <f>IFERROR(IF(D1753="","",VLOOKUP(D1753,CadProd!$A:$B,2,0)),"")</f>
        <v/>
      </c>
      <c r="F1753" t="str">
        <f>IFERROR(IF(D1753="","",VLOOKUP(D1753,CadProd!$A:$C,3,0)),"")</f>
        <v/>
      </c>
      <c r="I1753" s="1" t="str">
        <f t="shared" si="27"/>
        <v/>
      </c>
    </row>
    <row r="1754" spans="5:9" x14ac:dyDescent="0.3">
      <c r="E1754" t="str">
        <f>IFERROR(IF(D1754="","",VLOOKUP(D1754,CadProd!$A:$B,2,0)),"")</f>
        <v/>
      </c>
      <c r="F1754" t="str">
        <f>IFERROR(IF(D1754="","",VLOOKUP(D1754,CadProd!$A:$C,3,0)),"")</f>
        <v/>
      </c>
      <c r="I1754" s="1" t="str">
        <f t="shared" si="27"/>
        <v/>
      </c>
    </row>
    <row r="1755" spans="5:9" x14ac:dyDescent="0.3">
      <c r="E1755" t="str">
        <f>IFERROR(IF(D1755="","",VLOOKUP(D1755,CadProd!$A:$B,2,0)),"")</f>
        <v/>
      </c>
      <c r="F1755" t="str">
        <f>IFERROR(IF(D1755="","",VLOOKUP(D1755,CadProd!$A:$C,3,0)),"")</f>
        <v/>
      </c>
      <c r="I1755" s="1" t="str">
        <f t="shared" si="27"/>
        <v/>
      </c>
    </row>
    <row r="1756" spans="5:9" x14ac:dyDescent="0.3">
      <c r="E1756" t="str">
        <f>IFERROR(IF(D1756="","",VLOOKUP(D1756,CadProd!$A:$B,2,0)),"")</f>
        <v/>
      </c>
      <c r="F1756" t="str">
        <f>IFERROR(IF(D1756="","",VLOOKUP(D1756,CadProd!$A:$C,3,0)),"")</f>
        <v/>
      </c>
      <c r="I1756" s="1" t="str">
        <f t="shared" si="27"/>
        <v/>
      </c>
    </row>
    <row r="1757" spans="5:9" x14ac:dyDescent="0.3">
      <c r="E1757" t="str">
        <f>IFERROR(IF(D1757="","",VLOOKUP(D1757,CadProd!$A:$B,2,0)),"")</f>
        <v/>
      </c>
      <c r="F1757" t="str">
        <f>IFERROR(IF(D1757="","",VLOOKUP(D1757,CadProd!$A:$C,3,0)),"")</f>
        <v/>
      </c>
      <c r="I1757" s="1" t="str">
        <f t="shared" si="27"/>
        <v/>
      </c>
    </row>
    <row r="1758" spans="5:9" x14ac:dyDescent="0.3">
      <c r="E1758" t="str">
        <f>IFERROR(IF(D1758="","",VLOOKUP(D1758,CadProd!$A:$B,2,0)),"")</f>
        <v/>
      </c>
      <c r="F1758" t="str">
        <f>IFERROR(IF(D1758="","",VLOOKUP(D1758,CadProd!$A:$C,3,0)),"")</f>
        <v/>
      </c>
      <c r="I1758" s="1" t="str">
        <f t="shared" si="27"/>
        <v/>
      </c>
    </row>
    <row r="1759" spans="5:9" x14ac:dyDescent="0.3">
      <c r="E1759" t="str">
        <f>IFERROR(IF(D1759="","",VLOOKUP(D1759,CadProd!$A:$B,2,0)),"")</f>
        <v/>
      </c>
      <c r="F1759" t="str">
        <f>IFERROR(IF(D1759="","",VLOOKUP(D1759,CadProd!$A:$C,3,0)),"")</f>
        <v/>
      </c>
      <c r="I1759" s="1" t="str">
        <f t="shared" si="27"/>
        <v/>
      </c>
    </row>
    <row r="1760" spans="5:9" x14ac:dyDescent="0.3">
      <c r="E1760" t="str">
        <f>IFERROR(IF(D1760="","",VLOOKUP(D1760,CadProd!$A:$B,2,0)),"")</f>
        <v/>
      </c>
      <c r="F1760" t="str">
        <f>IFERROR(IF(D1760="","",VLOOKUP(D1760,CadProd!$A:$C,3,0)),"")</f>
        <v/>
      </c>
      <c r="I1760" s="1" t="str">
        <f t="shared" si="27"/>
        <v/>
      </c>
    </row>
    <row r="1761" spans="5:9" x14ac:dyDescent="0.3">
      <c r="E1761" t="str">
        <f>IFERROR(IF(D1761="","",VLOOKUP(D1761,CadProd!$A:$B,2,0)),"")</f>
        <v/>
      </c>
      <c r="F1761" t="str">
        <f>IFERROR(IF(D1761="","",VLOOKUP(D1761,CadProd!$A:$C,3,0)),"")</f>
        <v/>
      </c>
      <c r="I1761" s="1" t="str">
        <f t="shared" si="27"/>
        <v/>
      </c>
    </row>
    <row r="1762" spans="5:9" x14ac:dyDescent="0.3">
      <c r="E1762" t="str">
        <f>IFERROR(IF(D1762="","",VLOOKUP(D1762,CadProd!$A:$B,2,0)),"")</f>
        <v/>
      </c>
      <c r="F1762" t="str">
        <f>IFERROR(IF(D1762="","",VLOOKUP(D1762,CadProd!$A:$C,3,0)),"")</f>
        <v/>
      </c>
      <c r="I1762" s="1" t="str">
        <f t="shared" si="27"/>
        <v/>
      </c>
    </row>
    <row r="1763" spans="5:9" x14ac:dyDescent="0.3">
      <c r="E1763" t="str">
        <f>IFERROR(IF(D1763="","",VLOOKUP(D1763,CadProd!$A:$B,2,0)),"")</f>
        <v/>
      </c>
      <c r="F1763" t="str">
        <f>IFERROR(IF(D1763="","",VLOOKUP(D1763,CadProd!$A:$C,3,0)),"")</f>
        <v/>
      </c>
      <c r="I1763" s="1" t="str">
        <f t="shared" si="27"/>
        <v/>
      </c>
    </row>
    <row r="1764" spans="5:9" x14ac:dyDescent="0.3">
      <c r="E1764" t="str">
        <f>IFERROR(IF(D1764="","",VLOOKUP(D1764,CadProd!$A:$B,2,0)),"")</f>
        <v/>
      </c>
      <c r="F1764" t="str">
        <f>IFERROR(IF(D1764="","",VLOOKUP(D1764,CadProd!$A:$C,3,0)),"")</f>
        <v/>
      </c>
      <c r="I1764" s="1" t="str">
        <f t="shared" si="27"/>
        <v/>
      </c>
    </row>
    <row r="1765" spans="5:9" x14ac:dyDescent="0.3">
      <c r="E1765" t="str">
        <f>IFERROR(IF(D1765="","",VLOOKUP(D1765,CadProd!$A:$B,2,0)),"")</f>
        <v/>
      </c>
      <c r="F1765" t="str">
        <f>IFERROR(IF(D1765="","",VLOOKUP(D1765,CadProd!$A:$C,3,0)),"")</f>
        <v/>
      </c>
      <c r="I1765" s="1" t="str">
        <f t="shared" si="27"/>
        <v/>
      </c>
    </row>
    <row r="1766" spans="5:9" x14ac:dyDescent="0.3">
      <c r="E1766" t="str">
        <f>IFERROR(IF(D1766="","",VLOOKUP(D1766,CadProd!$A:$B,2,0)),"")</f>
        <v/>
      </c>
      <c r="F1766" t="str">
        <f>IFERROR(IF(D1766="","",VLOOKUP(D1766,CadProd!$A:$C,3,0)),"")</f>
        <v/>
      </c>
      <c r="I1766" s="1" t="str">
        <f t="shared" si="27"/>
        <v/>
      </c>
    </row>
    <row r="1767" spans="5:9" x14ac:dyDescent="0.3">
      <c r="E1767" t="str">
        <f>IFERROR(IF(D1767="","",VLOOKUP(D1767,CadProd!$A:$B,2,0)),"")</f>
        <v/>
      </c>
      <c r="F1767" t="str">
        <f>IFERROR(IF(D1767="","",VLOOKUP(D1767,CadProd!$A:$C,3,0)),"")</f>
        <v/>
      </c>
      <c r="I1767" s="1" t="str">
        <f t="shared" si="27"/>
        <v/>
      </c>
    </row>
    <row r="1768" spans="5:9" x14ac:dyDescent="0.3">
      <c r="E1768" t="str">
        <f>IFERROR(IF(D1768="","",VLOOKUP(D1768,CadProd!$A:$B,2,0)),"")</f>
        <v/>
      </c>
      <c r="F1768" t="str">
        <f>IFERROR(IF(D1768="","",VLOOKUP(D1768,CadProd!$A:$C,3,0)),"")</f>
        <v/>
      </c>
      <c r="I1768" s="1" t="str">
        <f t="shared" si="27"/>
        <v/>
      </c>
    </row>
    <row r="1769" spans="5:9" x14ac:dyDescent="0.3">
      <c r="E1769" t="str">
        <f>IFERROR(IF(D1769="","",VLOOKUP(D1769,CadProd!$A:$B,2,0)),"")</f>
        <v/>
      </c>
      <c r="F1769" t="str">
        <f>IFERROR(IF(D1769="","",VLOOKUP(D1769,CadProd!$A:$C,3,0)),"")</f>
        <v/>
      </c>
      <c r="I1769" s="1" t="str">
        <f t="shared" si="27"/>
        <v/>
      </c>
    </row>
    <row r="1770" spans="5:9" x14ac:dyDescent="0.3">
      <c r="E1770" t="str">
        <f>IFERROR(IF(D1770="","",VLOOKUP(D1770,CadProd!$A:$B,2,0)),"")</f>
        <v/>
      </c>
      <c r="F1770" t="str">
        <f>IFERROR(IF(D1770="","",VLOOKUP(D1770,CadProd!$A:$C,3,0)),"")</f>
        <v/>
      </c>
      <c r="I1770" s="1" t="str">
        <f t="shared" si="27"/>
        <v/>
      </c>
    </row>
    <row r="1771" spans="5:9" x14ac:dyDescent="0.3">
      <c r="E1771" t="str">
        <f>IFERROR(IF(D1771="","",VLOOKUP(D1771,CadProd!$A:$B,2,0)),"")</f>
        <v/>
      </c>
      <c r="F1771" t="str">
        <f>IFERROR(IF(D1771="","",VLOOKUP(D1771,CadProd!$A:$C,3,0)),"")</f>
        <v/>
      </c>
      <c r="I1771" s="1" t="str">
        <f t="shared" si="27"/>
        <v/>
      </c>
    </row>
    <row r="1772" spans="5:9" x14ac:dyDescent="0.3">
      <c r="E1772" t="str">
        <f>IFERROR(IF(D1772="","",VLOOKUP(D1772,CadProd!$A:$B,2,0)),"")</f>
        <v/>
      </c>
      <c r="F1772" t="str">
        <f>IFERROR(IF(D1772="","",VLOOKUP(D1772,CadProd!$A:$C,3,0)),"")</f>
        <v/>
      </c>
      <c r="I1772" s="1" t="str">
        <f t="shared" si="27"/>
        <v/>
      </c>
    </row>
    <row r="1773" spans="5:9" x14ac:dyDescent="0.3">
      <c r="E1773" t="str">
        <f>IFERROR(IF(D1773="","",VLOOKUP(D1773,CadProd!$A:$B,2,0)),"")</f>
        <v/>
      </c>
      <c r="F1773" t="str">
        <f>IFERROR(IF(D1773="","",VLOOKUP(D1773,CadProd!$A:$C,3,0)),"")</f>
        <v/>
      </c>
      <c r="I1773" s="1" t="str">
        <f t="shared" si="27"/>
        <v/>
      </c>
    </row>
    <row r="1774" spans="5:9" x14ac:dyDescent="0.3">
      <c r="E1774" t="str">
        <f>IFERROR(IF(D1774="","",VLOOKUP(D1774,CadProd!$A:$B,2,0)),"")</f>
        <v/>
      </c>
      <c r="F1774" t="str">
        <f>IFERROR(IF(D1774="","",VLOOKUP(D1774,CadProd!$A:$C,3,0)),"")</f>
        <v/>
      </c>
      <c r="I1774" s="1" t="str">
        <f t="shared" si="27"/>
        <v/>
      </c>
    </row>
    <row r="1775" spans="5:9" x14ac:dyDescent="0.3">
      <c r="E1775" t="str">
        <f>IFERROR(IF(D1775="","",VLOOKUP(D1775,CadProd!$A:$B,2,0)),"")</f>
        <v/>
      </c>
      <c r="F1775" t="str">
        <f>IFERROR(IF(D1775="","",VLOOKUP(D1775,CadProd!$A:$C,3,0)),"")</f>
        <v/>
      </c>
      <c r="I1775" s="1" t="str">
        <f t="shared" si="27"/>
        <v/>
      </c>
    </row>
    <row r="1776" spans="5:9" x14ac:dyDescent="0.3">
      <c r="E1776" t="str">
        <f>IFERROR(IF(D1776="","",VLOOKUP(D1776,CadProd!$A:$B,2,0)),"")</f>
        <v/>
      </c>
      <c r="F1776" t="str">
        <f>IFERROR(IF(D1776="","",VLOOKUP(D1776,CadProd!$A:$C,3,0)),"")</f>
        <v/>
      </c>
      <c r="I1776" s="1" t="str">
        <f t="shared" si="27"/>
        <v/>
      </c>
    </row>
    <row r="1777" spans="5:9" x14ac:dyDescent="0.3">
      <c r="E1777" t="str">
        <f>IFERROR(IF(D1777="","",VLOOKUP(D1777,CadProd!$A:$B,2,0)),"")</f>
        <v/>
      </c>
      <c r="F1777" t="str">
        <f>IFERROR(IF(D1777="","",VLOOKUP(D1777,CadProd!$A:$C,3,0)),"")</f>
        <v/>
      </c>
      <c r="I1777" s="1" t="str">
        <f t="shared" si="27"/>
        <v/>
      </c>
    </row>
    <row r="1778" spans="5:9" x14ac:dyDescent="0.3">
      <c r="E1778" t="str">
        <f>IFERROR(IF(D1778="","",VLOOKUP(D1778,CadProd!$A:$B,2,0)),"")</f>
        <v/>
      </c>
      <c r="F1778" t="str">
        <f>IFERROR(IF(D1778="","",VLOOKUP(D1778,CadProd!$A:$C,3,0)),"")</f>
        <v/>
      </c>
      <c r="I1778" s="1" t="str">
        <f t="shared" si="27"/>
        <v/>
      </c>
    </row>
    <row r="1779" spans="5:9" x14ac:dyDescent="0.3">
      <c r="E1779" t="str">
        <f>IFERROR(IF(D1779="","",VLOOKUP(D1779,CadProd!$A:$B,2,0)),"")</f>
        <v/>
      </c>
      <c r="F1779" t="str">
        <f>IFERROR(IF(D1779="","",VLOOKUP(D1779,CadProd!$A:$C,3,0)),"")</f>
        <v/>
      </c>
      <c r="I1779" s="1" t="str">
        <f t="shared" si="27"/>
        <v/>
      </c>
    </row>
    <row r="1780" spans="5:9" x14ac:dyDescent="0.3">
      <c r="E1780" t="str">
        <f>IFERROR(IF(D1780="","",VLOOKUP(D1780,CadProd!$A:$B,2,0)),"")</f>
        <v/>
      </c>
      <c r="F1780" t="str">
        <f>IFERROR(IF(D1780="","",VLOOKUP(D1780,CadProd!$A:$C,3,0)),"")</f>
        <v/>
      </c>
      <c r="I1780" s="1" t="str">
        <f t="shared" si="27"/>
        <v/>
      </c>
    </row>
    <row r="1781" spans="5:9" x14ac:dyDescent="0.3">
      <c r="E1781" t="str">
        <f>IFERROR(IF(D1781="","",VLOOKUP(D1781,CadProd!$A:$B,2,0)),"")</f>
        <v/>
      </c>
      <c r="F1781" t="str">
        <f>IFERROR(IF(D1781="","",VLOOKUP(D1781,CadProd!$A:$C,3,0)),"")</f>
        <v/>
      </c>
      <c r="I1781" s="1" t="str">
        <f t="shared" si="27"/>
        <v/>
      </c>
    </row>
    <row r="1782" spans="5:9" x14ac:dyDescent="0.3">
      <c r="E1782" t="str">
        <f>IFERROR(IF(D1782="","",VLOOKUP(D1782,CadProd!$A:$B,2,0)),"")</f>
        <v/>
      </c>
      <c r="F1782" t="str">
        <f>IFERROR(IF(D1782="","",VLOOKUP(D1782,CadProd!$A:$C,3,0)),"")</f>
        <v/>
      </c>
      <c r="I1782" s="1" t="str">
        <f t="shared" si="27"/>
        <v/>
      </c>
    </row>
    <row r="1783" spans="5:9" x14ac:dyDescent="0.3">
      <c r="E1783" t="str">
        <f>IFERROR(IF(D1783="","",VLOOKUP(D1783,CadProd!$A:$B,2,0)),"")</f>
        <v/>
      </c>
      <c r="F1783" t="str">
        <f>IFERROR(IF(D1783="","",VLOOKUP(D1783,CadProd!$A:$C,3,0)),"")</f>
        <v/>
      </c>
      <c r="I1783" s="1" t="str">
        <f t="shared" si="27"/>
        <v/>
      </c>
    </row>
    <row r="1784" spans="5:9" x14ac:dyDescent="0.3">
      <c r="E1784" t="str">
        <f>IFERROR(IF(D1784="","",VLOOKUP(D1784,CadProd!$A:$B,2,0)),"")</f>
        <v/>
      </c>
      <c r="F1784" t="str">
        <f>IFERROR(IF(D1784="","",VLOOKUP(D1784,CadProd!$A:$C,3,0)),"")</f>
        <v/>
      </c>
      <c r="I1784" s="1" t="str">
        <f t="shared" si="27"/>
        <v/>
      </c>
    </row>
    <row r="1785" spans="5:9" x14ac:dyDescent="0.3">
      <c r="E1785" t="str">
        <f>IFERROR(IF(D1785="","",VLOOKUP(D1785,CadProd!$A:$B,2,0)),"")</f>
        <v/>
      </c>
      <c r="F1785" t="str">
        <f>IFERROR(IF(D1785="","",VLOOKUP(D1785,CadProd!$A:$C,3,0)),"")</f>
        <v/>
      </c>
      <c r="I1785" s="1" t="str">
        <f t="shared" si="27"/>
        <v/>
      </c>
    </row>
    <row r="1786" spans="5:9" x14ac:dyDescent="0.3">
      <c r="E1786" t="str">
        <f>IFERROR(IF(D1786="","",VLOOKUP(D1786,CadProd!$A:$B,2,0)),"")</f>
        <v/>
      </c>
      <c r="F1786" t="str">
        <f>IFERROR(IF(D1786="","",VLOOKUP(D1786,CadProd!$A:$C,3,0)),"")</f>
        <v/>
      </c>
      <c r="I1786" s="1" t="str">
        <f t="shared" si="27"/>
        <v/>
      </c>
    </row>
    <row r="1787" spans="5:9" x14ac:dyDescent="0.3">
      <c r="E1787" t="str">
        <f>IFERROR(IF(D1787="","",VLOOKUP(D1787,CadProd!$A:$B,2,0)),"")</f>
        <v/>
      </c>
      <c r="F1787" t="str">
        <f>IFERROR(IF(D1787="","",VLOOKUP(D1787,CadProd!$A:$C,3,0)),"")</f>
        <v/>
      </c>
      <c r="I1787" s="1" t="str">
        <f t="shared" si="27"/>
        <v/>
      </c>
    </row>
    <row r="1788" spans="5:9" x14ac:dyDescent="0.3">
      <c r="E1788" t="str">
        <f>IFERROR(IF(D1788="","",VLOOKUP(D1788,CadProd!$A:$B,2,0)),"")</f>
        <v/>
      </c>
      <c r="F1788" t="str">
        <f>IFERROR(IF(D1788="","",VLOOKUP(D1788,CadProd!$A:$C,3,0)),"")</f>
        <v/>
      </c>
      <c r="I1788" s="1" t="str">
        <f t="shared" si="27"/>
        <v/>
      </c>
    </row>
    <row r="1789" spans="5:9" x14ac:dyDescent="0.3">
      <c r="E1789" t="str">
        <f>IFERROR(IF(D1789="","",VLOOKUP(D1789,CadProd!$A:$B,2,0)),"")</f>
        <v/>
      </c>
      <c r="F1789" t="str">
        <f>IFERROR(IF(D1789="","",VLOOKUP(D1789,CadProd!$A:$C,3,0)),"")</f>
        <v/>
      </c>
      <c r="I1789" s="1" t="str">
        <f t="shared" si="27"/>
        <v/>
      </c>
    </row>
    <row r="1790" spans="5:9" x14ac:dyDescent="0.3">
      <c r="E1790" t="str">
        <f>IFERROR(IF(D1790="","",VLOOKUP(D1790,CadProd!$A:$B,2,0)),"")</f>
        <v/>
      </c>
      <c r="F1790" t="str">
        <f>IFERROR(IF(D1790="","",VLOOKUP(D1790,CadProd!$A:$C,3,0)),"")</f>
        <v/>
      </c>
      <c r="I1790" s="1" t="str">
        <f t="shared" si="27"/>
        <v/>
      </c>
    </row>
    <row r="1791" spans="5:9" x14ac:dyDescent="0.3">
      <c r="E1791" t="str">
        <f>IFERROR(IF(D1791="","",VLOOKUP(D1791,CadProd!$A:$B,2,0)),"")</f>
        <v/>
      </c>
      <c r="F1791" t="str">
        <f>IFERROR(IF(D1791="","",VLOOKUP(D1791,CadProd!$A:$C,3,0)),"")</f>
        <v/>
      </c>
      <c r="I1791" s="1" t="str">
        <f t="shared" si="27"/>
        <v/>
      </c>
    </row>
    <row r="1792" spans="5:9" x14ac:dyDescent="0.3">
      <c r="E1792" t="str">
        <f>IFERROR(IF(D1792="","",VLOOKUP(D1792,CadProd!$A:$B,2,0)),"")</f>
        <v/>
      </c>
      <c r="F1792" t="str">
        <f>IFERROR(IF(D1792="","",VLOOKUP(D1792,CadProd!$A:$C,3,0)),"")</f>
        <v/>
      </c>
      <c r="I1792" s="1" t="str">
        <f t="shared" si="27"/>
        <v/>
      </c>
    </row>
    <row r="1793" spans="5:9" x14ac:dyDescent="0.3">
      <c r="E1793" t="str">
        <f>IFERROR(IF(D1793="","",VLOOKUP(D1793,CadProd!$A:$B,2,0)),"")</f>
        <v/>
      </c>
      <c r="F1793" t="str">
        <f>IFERROR(IF(D1793="","",VLOOKUP(D1793,CadProd!$A:$C,3,0)),"")</f>
        <v/>
      </c>
      <c r="I1793" s="1" t="str">
        <f t="shared" si="27"/>
        <v/>
      </c>
    </row>
    <row r="1794" spans="5:9" x14ac:dyDescent="0.3">
      <c r="E1794" t="str">
        <f>IFERROR(IF(D1794="","",VLOOKUP(D1794,CadProd!$A:$B,2,0)),"")</f>
        <v/>
      </c>
      <c r="F1794" t="str">
        <f>IFERROR(IF(D1794="","",VLOOKUP(D1794,CadProd!$A:$C,3,0)),"")</f>
        <v/>
      </c>
      <c r="I1794" s="1" t="str">
        <f t="shared" si="27"/>
        <v/>
      </c>
    </row>
    <row r="1795" spans="5:9" x14ac:dyDescent="0.3">
      <c r="E1795" t="str">
        <f>IFERROR(IF(D1795="","",VLOOKUP(D1795,CadProd!$A:$B,2,0)),"")</f>
        <v/>
      </c>
      <c r="F1795" t="str">
        <f>IFERROR(IF(D1795="","",VLOOKUP(D1795,CadProd!$A:$C,3,0)),"")</f>
        <v/>
      </c>
      <c r="I1795" s="1" t="str">
        <f t="shared" si="27"/>
        <v/>
      </c>
    </row>
    <row r="1796" spans="5:9" x14ac:dyDescent="0.3">
      <c r="E1796" t="str">
        <f>IFERROR(IF(D1796="","",VLOOKUP(D1796,CadProd!$A:$B,2,0)),"")</f>
        <v/>
      </c>
      <c r="F1796" t="str">
        <f>IFERROR(IF(D1796="","",VLOOKUP(D1796,CadProd!$A:$C,3,0)),"")</f>
        <v/>
      </c>
      <c r="I1796" s="1" t="str">
        <f t="shared" si="27"/>
        <v/>
      </c>
    </row>
    <row r="1797" spans="5:9" x14ac:dyDescent="0.3">
      <c r="E1797" t="str">
        <f>IFERROR(IF(D1797="","",VLOOKUP(D1797,CadProd!$A:$B,2,0)),"")</f>
        <v/>
      </c>
      <c r="F1797" t="str">
        <f>IFERROR(IF(D1797="","",VLOOKUP(D1797,CadProd!$A:$C,3,0)),"")</f>
        <v/>
      </c>
      <c r="I1797" s="1" t="str">
        <f t="shared" si="27"/>
        <v/>
      </c>
    </row>
    <row r="1798" spans="5:9" x14ac:dyDescent="0.3">
      <c r="E1798" t="str">
        <f>IFERROR(IF(D1798="","",VLOOKUP(D1798,CadProd!$A:$B,2,0)),"")</f>
        <v/>
      </c>
      <c r="F1798" t="str">
        <f>IFERROR(IF(D1798="","",VLOOKUP(D1798,CadProd!$A:$C,3,0)),"")</f>
        <v/>
      </c>
      <c r="I1798" s="1" t="str">
        <f t="shared" si="27"/>
        <v/>
      </c>
    </row>
    <row r="1799" spans="5:9" x14ac:dyDescent="0.3">
      <c r="E1799" t="str">
        <f>IFERROR(IF(D1799="","",VLOOKUP(D1799,CadProd!$A:$B,2,0)),"")</f>
        <v/>
      </c>
      <c r="F1799" t="str">
        <f>IFERROR(IF(D1799="","",VLOOKUP(D1799,CadProd!$A:$C,3,0)),"")</f>
        <v/>
      </c>
      <c r="I1799" s="1" t="str">
        <f t="shared" si="27"/>
        <v/>
      </c>
    </row>
    <row r="1800" spans="5:9" x14ac:dyDescent="0.3">
      <c r="E1800" t="str">
        <f>IFERROR(IF(D1800="","",VLOOKUP(D1800,CadProd!$A:$B,2,0)),"")</f>
        <v/>
      </c>
      <c r="F1800" t="str">
        <f>IFERROR(IF(D1800="","",VLOOKUP(D1800,CadProd!$A:$C,3,0)),"")</f>
        <v/>
      </c>
      <c r="I1800" s="1" t="str">
        <f t="shared" si="27"/>
        <v/>
      </c>
    </row>
    <row r="1801" spans="5:9" x14ac:dyDescent="0.3">
      <c r="E1801" t="str">
        <f>IFERROR(IF(D1801="","",VLOOKUP(D1801,CadProd!$A:$B,2,0)),"")</f>
        <v/>
      </c>
      <c r="F1801" t="str">
        <f>IFERROR(IF(D1801="","",VLOOKUP(D1801,CadProd!$A:$C,3,0)),"")</f>
        <v/>
      </c>
      <c r="I1801" s="1" t="str">
        <f t="shared" si="27"/>
        <v/>
      </c>
    </row>
    <row r="1802" spans="5:9" x14ac:dyDescent="0.3">
      <c r="E1802" t="str">
        <f>IFERROR(IF(D1802="","",VLOOKUP(D1802,CadProd!$A:$B,2,0)),"")</f>
        <v/>
      </c>
      <c r="F1802" t="str">
        <f>IFERROR(IF(D1802="","",VLOOKUP(D1802,CadProd!$A:$C,3,0)),"")</f>
        <v/>
      </c>
      <c r="I1802" s="1" t="str">
        <f t="shared" si="27"/>
        <v/>
      </c>
    </row>
    <row r="1803" spans="5:9" x14ac:dyDescent="0.3">
      <c r="E1803" t="str">
        <f>IFERROR(IF(D1803="","",VLOOKUP(D1803,CadProd!$A:$B,2,0)),"")</f>
        <v/>
      </c>
      <c r="F1803" t="str">
        <f>IFERROR(IF(D1803="","",VLOOKUP(D1803,CadProd!$A:$C,3,0)),"")</f>
        <v/>
      </c>
      <c r="I1803" s="1" t="str">
        <f t="shared" ref="I1803:I1866" si="28">IFERROR(IF(D1803="","",H1803*G1803),"")</f>
        <v/>
      </c>
    </row>
    <row r="1804" spans="5:9" x14ac:dyDescent="0.3">
      <c r="E1804" t="str">
        <f>IFERROR(IF(D1804="","",VLOOKUP(D1804,CadProd!$A:$B,2,0)),"")</f>
        <v/>
      </c>
      <c r="F1804" t="str">
        <f>IFERROR(IF(D1804="","",VLOOKUP(D1804,CadProd!$A:$C,3,0)),"")</f>
        <v/>
      </c>
      <c r="I1804" s="1" t="str">
        <f t="shared" si="28"/>
        <v/>
      </c>
    </row>
    <row r="1805" spans="5:9" x14ac:dyDescent="0.3">
      <c r="E1805" t="str">
        <f>IFERROR(IF(D1805="","",VLOOKUP(D1805,CadProd!$A:$B,2,0)),"")</f>
        <v/>
      </c>
      <c r="F1805" t="str">
        <f>IFERROR(IF(D1805="","",VLOOKUP(D1805,CadProd!$A:$C,3,0)),"")</f>
        <v/>
      </c>
      <c r="I1805" s="1" t="str">
        <f t="shared" si="28"/>
        <v/>
      </c>
    </row>
    <row r="1806" spans="5:9" x14ac:dyDescent="0.3">
      <c r="E1806" t="str">
        <f>IFERROR(IF(D1806="","",VLOOKUP(D1806,CadProd!$A:$B,2,0)),"")</f>
        <v/>
      </c>
      <c r="F1806" t="str">
        <f>IFERROR(IF(D1806="","",VLOOKUP(D1806,CadProd!$A:$C,3,0)),"")</f>
        <v/>
      </c>
      <c r="I1806" s="1" t="str">
        <f t="shared" si="28"/>
        <v/>
      </c>
    </row>
    <row r="1807" spans="5:9" x14ac:dyDescent="0.3">
      <c r="E1807" t="str">
        <f>IFERROR(IF(D1807="","",VLOOKUP(D1807,CadProd!$A:$B,2,0)),"")</f>
        <v/>
      </c>
      <c r="F1807" t="str">
        <f>IFERROR(IF(D1807="","",VLOOKUP(D1807,CadProd!$A:$C,3,0)),"")</f>
        <v/>
      </c>
      <c r="I1807" s="1" t="str">
        <f t="shared" si="28"/>
        <v/>
      </c>
    </row>
    <row r="1808" spans="5:9" x14ac:dyDescent="0.3">
      <c r="E1808" t="str">
        <f>IFERROR(IF(D1808="","",VLOOKUP(D1808,CadProd!$A:$B,2,0)),"")</f>
        <v/>
      </c>
      <c r="F1808" t="str">
        <f>IFERROR(IF(D1808="","",VLOOKUP(D1808,CadProd!$A:$C,3,0)),"")</f>
        <v/>
      </c>
      <c r="I1808" s="1" t="str">
        <f t="shared" si="28"/>
        <v/>
      </c>
    </row>
    <row r="1809" spans="5:9" x14ac:dyDescent="0.3">
      <c r="E1809" t="str">
        <f>IFERROR(IF(D1809="","",VLOOKUP(D1809,CadProd!$A:$B,2,0)),"")</f>
        <v/>
      </c>
      <c r="F1809" t="str">
        <f>IFERROR(IF(D1809="","",VLOOKUP(D1809,CadProd!$A:$C,3,0)),"")</f>
        <v/>
      </c>
      <c r="I1809" s="1" t="str">
        <f t="shared" si="28"/>
        <v/>
      </c>
    </row>
    <row r="1810" spans="5:9" x14ac:dyDescent="0.3">
      <c r="E1810" t="str">
        <f>IFERROR(IF(D1810="","",VLOOKUP(D1810,CadProd!$A:$B,2,0)),"")</f>
        <v/>
      </c>
      <c r="F1810" t="str">
        <f>IFERROR(IF(D1810="","",VLOOKUP(D1810,CadProd!$A:$C,3,0)),"")</f>
        <v/>
      </c>
      <c r="I1810" s="1" t="str">
        <f t="shared" si="28"/>
        <v/>
      </c>
    </row>
    <row r="1811" spans="5:9" x14ac:dyDescent="0.3">
      <c r="E1811" t="str">
        <f>IFERROR(IF(D1811="","",VLOOKUP(D1811,CadProd!$A:$B,2,0)),"")</f>
        <v/>
      </c>
      <c r="F1811" t="str">
        <f>IFERROR(IF(D1811="","",VLOOKUP(D1811,CadProd!$A:$C,3,0)),"")</f>
        <v/>
      </c>
      <c r="I1811" s="1" t="str">
        <f t="shared" si="28"/>
        <v/>
      </c>
    </row>
    <row r="1812" spans="5:9" x14ac:dyDescent="0.3">
      <c r="E1812" t="str">
        <f>IFERROR(IF(D1812="","",VLOOKUP(D1812,CadProd!$A:$B,2,0)),"")</f>
        <v/>
      </c>
      <c r="F1812" t="str">
        <f>IFERROR(IF(D1812="","",VLOOKUP(D1812,CadProd!$A:$C,3,0)),"")</f>
        <v/>
      </c>
      <c r="I1812" s="1" t="str">
        <f t="shared" si="28"/>
        <v/>
      </c>
    </row>
    <row r="1813" spans="5:9" x14ac:dyDescent="0.3">
      <c r="E1813" t="str">
        <f>IFERROR(IF(D1813="","",VLOOKUP(D1813,CadProd!$A:$B,2,0)),"")</f>
        <v/>
      </c>
      <c r="F1813" t="str">
        <f>IFERROR(IF(D1813="","",VLOOKUP(D1813,CadProd!$A:$C,3,0)),"")</f>
        <v/>
      </c>
      <c r="I1813" s="1" t="str">
        <f t="shared" si="28"/>
        <v/>
      </c>
    </row>
    <row r="1814" spans="5:9" x14ac:dyDescent="0.3">
      <c r="E1814" t="str">
        <f>IFERROR(IF(D1814="","",VLOOKUP(D1814,CadProd!$A:$B,2,0)),"")</f>
        <v/>
      </c>
      <c r="F1814" t="str">
        <f>IFERROR(IF(D1814="","",VLOOKUP(D1814,CadProd!$A:$C,3,0)),"")</f>
        <v/>
      </c>
      <c r="I1814" s="1" t="str">
        <f t="shared" si="28"/>
        <v/>
      </c>
    </row>
    <row r="1815" spans="5:9" x14ac:dyDescent="0.3">
      <c r="E1815" t="str">
        <f>IFERROR(IF(D1815="","",VLOOKUP(D1815,CadProd!$A:$B,2,0)),"")</f>
        <v/>
      </c>
      <c r="F1815" t="str">
        <f>IFERROR(IF(D1815="","",VLOOKUP(D1815,CadProd!$A:$C,3,0)),"")</f>
        <v/>
      </c>
      <c r="I1815" s="1" t="str">
        <f t="shared" si="28"/>
        <v/>
      </c>
    </row>
    <row r="1816" spans="5:9" x14ac:dyDescent="0.3">
      <c r="E1816" t="str">
        <f>IFERROR(IF(D1816="","",VLOOKUP(D1816,CadProd!$A:$B,2,0)),"")</f>
        <v/>
      </c>
      <c r="F1816" t="str">
        <f>IFERROR(IF(D1816="","",VLOOKUP(D1816,CadProd!$A:$C,3,0)),"")</f>
        <v/>
      </c>
      <c r="I1816" s="1" t="str">
        <f t="shared" si="28"/>
        <v/>
      </c>
    </row>
    <row r="1817" spans="5:9" x14ac:dyDescent="0.3">
      <c r="E1817" t="str">
        <f>IFERROR(IF(D1817="","",VLOOKUP(D1817,CadProd!$A:$B,2,0)),"")</f>
        <v/>
      </c>
      <c r="F1817" t="str">
        <f>IFERROR(IF(D1817="","",VLOOKUP(D1817,CadProd!$A:$C,3,0)),"")</f>
        <v/>
      </c>
      <c r="I1817" s="1" t="str">
        <f t="shared" si="28"/>
        <v/>
      </c>
    </row>
    <row r="1818" spans="5:9" x14ac:dyDescent="0.3">
      <c r="E1818" t="str">
        <f>IFERROR(IF(D1818="","",VLOOKUP(D1818,CadProd!$A:$B,2,0)),"")</f>
        <v/>
      </c>
      <c r="F1818" t="str">
        <f>IFERROR(IF(D1818="","",VLOOKUP(D1818,CadProd!$A:$C,3,0)),"")</f>
        <v/>
      </c>
      <c r="I1818" s="1" t="str">
        <f t="shared" si="28"/>
        <v/>
      </c>
    </row>
    <row r="1819" spans="5:9" x14ac:dyDescent="0.3">
      <c r="E1819" t="str">
        <f>IFERROR(IF(D1819="","",VLOOKUP(D1819,CadProd!$A:$B,2,0)),"")</f>
        <v/>
      </c>
      <c r="F1819" t="str">
        <f>IFERROR(IF(D1819="","",VLOOKUP(D1819,CadProd!$A:$C,3,0)),"")</f>
        <v/>
      </c>
      <c r="I1819" s="1" t="str">
        <f t="shared" si="28"/>
        <v/>
      </c>
    </row>
    <row r="1820" spans="5:9" x14ac:dyDescent="0.3">
      <c r="E1820" t="str">
        <f>IFERROR(IF(D1820="","",VLOOKUP(D1820,CadProd!$A:$B,2,0)),"")</f>
        <v/>
      </c>
      <c r="F1820" t="str">
        <f>IFERROR(IF(D1820="","",VLOOKUP(D1820,CadProd!$A:$C,3,0)),"")</f>
        <v/>
      </c>
      <c r="I1820" s="1" t="str">
        <f t="shared" si="28"/>
        <v/>
      </c>
    </row>
    <row r="1821" spans="5:9" x14ac:dyDescent="0.3">
      <c r="E1821" t="str">
        <f>IFERROR(IF(D1821="","",VLOOKUP(D1821,CadProd!$A:$B,2,0)),"")</f>
        <v/>
      </c>
      <c r="F1821" t="str">
        <f>IFERROR(IF(D1821="","",VLOOKUP(D1821,CadProd!$A:$C,3,0)),"")</f>
        <v/>
      </c>
      <c r="I1821" s="1" t="str">
        <f t="shared" si="28"/>
        <v/>
      </c>
    </row>
    <row r="1822" spans="5:9" x14ac:dyDescent="0.3">
      <c r="E1822" t="str">
        <f>IFERROR(IF(D1822="","",VLOOKUP(D1822,CadProd!$A:$B,2,0)),"")</f>
        <v/>
      </c>
      <c r="F1822" t="str">
        <f>IFERROR(IF(D1822="","",VLOOKUP(D1822,CadProd!$A:$C,3,0)),"")</f>
        <v/>
      </c>
      <c r="I1822" s="1" t="str">
        <f t="shared" si="28"/>
        <v/>
      </c>
    </row>
    <row r="1823" spans="5:9" x14ac:dyDescent="0.3">
      <c r="E1823" t="str">
        <f>IFERROR(IF(D1823="","",VLOOKUP(D1823,CadProd!$A:$B,2,0)),"")</f>
        <v/>
      </c>
      <c r="F1823" t="str">
        <f>IFERROR(IF(D1823="","",VLOOKUP(D1823,CadProd!$A:$C,3,0)),"")</f>
        <v/>
      </c>
      <c r="I1823" s="1" t="str">
        <f t="shared" si="28"/>
        <v/>
      </c>
    </row>
    <row r="1824" spans="5:9" x14ac:dyDescent="0.3">
      <c r="E1824" t="str">
        <f>IFERROR(IF(D1824="","",VLOOKUP(D1824,CadProd!$A:$B,2,0)),"")</f>
        <v/>
      </c>
      <c r="F1824" t="str">
        <f>IFERROR(IF(D1824="","",VLOOKUP(D1824,CadProd!$A:$C,3,0)),"")</f>
        <v/>
      </c>
      <c r="I1824" s="1" t="str">
        <f t="shared" si="28"/>
        <v/>
      </c>
    </row>
    <row r="1825" spans="5:9" x14ac:dyDescent="0.3">
      <c r="E1825" t="str">
        <f>IFERROR(IF(D1825="","",VLOOKUP(D1825,CadProd!$A:$B,2,0)),"")</f>
        <v/>
      </c>
      <c r="F1825" t="str">
        <f>IFERROR(IF(D1825="","",VLOOKUP(D1825,CadProd!$A:$C,3,0)),"")</f>
        <v/>
      </c>
      <c r="I1825" s="1" t="str">
        <f t="shared" si="28"/>
        <v/>
      </c>
    </row>
    <row r="1826" spans="5:9" x14ac:dyDescent="0.3">
      <c r="E1826" t="str">
        <f>IFERROR(IF(D1826="","",VLOOKUP(D1826,CadProd!$A:$B,2,0)),"")</f>
        <v/>
      </c>
      <c r="F1826" t="str">
        <f>IFERROR(IF(D1826="","",VLOOKUP(D1826,CadProd!$A:$C,3,0)),"")</f>
        <v/>
      </c>
      <c r="I1826" s="1" t="str">
        <f t="shared" si="28"/>
        <v/>
      </c>
    </row>
    <row r="1827" spans="5:9" x14ac:dyDescent="0.3">
      <c r="E1827" t="str">
        <f>IFERROR(IF(D1827="","",VLOOKUP(D1827,CadProd!$A:$B,2,0)),"")</f>
        <v/>
      </c>
      <c r="F1827" t="str">
        <f>IFERROR(IF(D1827="","",VLOOKUP(D1827,CadProd!$A:$C,3,0)),"")</f>
        <v/>
      </c>
      <c r="I1827" s="1" t="str">
        <f t="shared" si="28"/>
        <v/>
      </c>
    </row>
    <row r="1828" spans="5:9" x14ac:dyDescent="0.3">
      <c r="E1828" t="str">
        <f>IFERROR(IF(D1828="","",VLOOKUP(D1828,CadProd!$A:$B,2,0)),"")</f>
        <v/>
      </c>
      <c r="F1828" t="str">
        <f>IFERROR(IF(D1828="","",VLOOKUP(D1828,CadProd!$A:$C,3,0)),"")</f>
        <v/>
      </c>
      <c r="I1828" s="1" t="str">
        <f t="shared" si="28"/>
        <v/>
      </c>
    </row>
    <row r="1829" spans="5:9" x14ac:dyDescent="0.3">
      <c r="E1829" t="str">
        <f>IFERROR(IF(D1829="","",VLOOKUP(D1829,CadProd!$A:$B,2,0)),"")</f>
        <v/>
      </c>
      <c r="F1829" t="str">
        <f>IFERROR(IF(D1829="","",VLOOKUP(D1829,CadProd!$A:$C,3,0)),"")</f>
        <v/>
      </c>
      <c r="I1829" s="1" t="str">
        <f t="shared" si="28"/>
        <v/>
      </c>
    </row>
    <row r="1830" spans="5:9" x14ac:dyDescent="0.3">
      <c r="E1830" t="str">
        <f>IFERROR(IF(D1830="","",VLOOKUP(D1830,CadProd!$A:$B,2,0)),"")</f>
        <v/>
      </c>
      <c r="F1830" t="str">
        <f>IFERROR(IF(D1830="","",VLOOKUP(D1830,CadProd!$A:$C,3,0)),"")</f>
        <v/>
      </c>
      <c r="I1830" s="1" t="str">
        <f t="shared" si="28"/>
        <v/>
      </c>
    </row>
    <row r="1831" spans="5:9" x14ac:dyDescent="0.3">
      <c r="E1831" t="str">
        <f>IFERROR(IF(D1831="","",VLOOKUP(D1831,CadProd!$A:$B,2,0)),"")</f>
        <v/>
      </c>
      <c r="F1831" t="str">
        <f>IFERROR(IF(D1831="","",VLOOKUP(D1831,CadProd!$A:$C,3,0)),"")</f>
        <v/>
      </c>
      <c r="I1831" s="1" t="str">
        <f t="shared" si="28"/>
        <v/>
      </c>
    </row>
    <row r="1832" spans="5:9" x14ac:dyDescent="0.3">
      <c r="E1832" t="str">
        <f>IFERROR(IF(D1832="","",VLOOKUP(D1832,CadProd!$A:$B,2,0)),"")</f>
        <v/>
      </c>
      <c r="F1832" t="str">
        <f>IFERROR(IF(D1832="","",VLOOKUP(D1832,CadProd!$A:$C,3,0)),"")</f>
        <v/>
      </c>
      <c r="I1832" s="1" t="str">
        <f t="shared" si="28"/>
        <v/>
      </c>
    </row>
    <row r="1833" spans="5:9" x14ac:dyDescent="0.3">
      <c r="E1833" t="str">
        <f>IFERROR(IF(D1833="","",VLOOKUP(D1833,CadProd!$A:$B,2,0)),"")</f>
        <v/>
      </c>
      <c r="F1833" t="str">
        <f>IFERROR(IF(D1833="","",VLOOKUP(D1833,CadProd!$A:$C,3,0)),"")</f>
        <v/>
      </c>
      <c r="I1833" s="1" t="str">
        <f t="shared" si="28"/>
        <v/>
      </c>
    </row>
    <row r="1834" spans="5:9" x14ac:dyDescent="0.3">
      <c r="E1834" t="str">
        <f>IFERROR(IF(D1834="","",VLOOKUP(D1834,CadProd!$A:$B,2,0)),"")</f>
        <v/>
      </c>
      <c r="F1834" t="str">
        <f>IFERROR(IF(D1834="","",VLOOKUP(D1834,CadProd!$A:$C,3,0)),"")</f>
        <v/>
      </c>
      <c r="I1834" s="1" t="str">
        <f t="shared" si="28"/>
        <v/>
      </c>
    </row>
    <row r="1835" spans="5:9" x14ac:dyDescent="0.3">
      <c r="E1835" t="str">
        <f>IFERROR(IF(D1835="","",VLOOKUP(D1835,CadProd!$A:$B,2,0)),"")</f>
        <v/>
      </c>
      <c r="F1835" t="str">
        <f>IFERROR(IF(D1835="","",VLOOKUP(D1835,CadProd!$A:$C,3,0)),"")</f>
        <v/>
      </c>
      <c r="I1835" s="1" t="str">
        <f t="shared" si="28"/>
        <v/>
      </c>
    </row>
    <row r="1836" spans="5:9" x14ac:dyDescent="0.3">
      <c r="E1836" t="str">
        <f>IFERROR(IF(D1836="","",VLOOKUP(D1836,CadProd!$A:$B,2,0)),"")</f>
        <v/>
      </c>
      <c r="F1836" t="str">
        <f>IFERROR(IF(D1836="","",VLOOKUP(D1836,CadProd!$A:$C,3,0)),"")</f>
        <v/>
      </c>
      <c r="I1836" s="1" t="str">
        <f t="shared" si="28"/>
        <v/>
      </c>
    </row>
    <row r="1837" spans="5:9" x14ac:dyDescent="0.3">
      <c r="E1837" t="str">
        <f>IFERROR(IF(D1837="","",VLOOKUP(D1837,CadProd!$A:$B,2,0)),"")</f>
        <v/>
      </c>
      <c r="F1837" t="str">
        <f>IFERROR(IF(D1837="","",VLOOKUP(D1837,CadProd!$A:$C,3,0)),"")</f>
        <v/>
      </c>
      <c r="I1837" s="1" t="str">
        <f t="shared" si="28"/>
        <v/>
      </c>
    </row>
    <row r="1838" spans="5:9" x14ac:dyDescent="0.3">
      <c r="E1838" t="str">
        <f>IFERROR(IF(D1838="","",VLOOKUP(D1838,CadProd!$A:$B,2,0)),"")</f>
        <v/>
      </c>
      <c r="F1838" t="str">
        <f>IFERROR(IF(D1838="","",VLOOKUP(D1838,CadProd!$A:$C,3,0)),"")</f>
        <v/>
      </c>
      <c r="I1838" s="1" t="str">
        <f t="shared" si="28"/>
        <v/>
      </c>
    </row>
    <row r="1839" spans="5:9" x14ac:dyDescent="0.3">
      <c r="E1839" t="str">
        <f>IFERROR(IF(D1839="","",VLOOKUP(D1839,CadProd!$A:$B,2,0)),"")</f>
        <v/>
      </c>
      <c r="F1839" t="str">
        <f>IFERROR(IF(D1839="","",VLOOKUP(D1839,CadProd!$A:$C,3,0)),"")</f>
        <v/>
      </c>
      <c r="I1839" s="1" t="str">
        <f t="shared" si="28"/>
        <v/>
      </c>
    </row>
    <row r="1840" spans="5:9" x14ac:dyDescent="0.3">
      <c r="E1840" t="str">
        <f>IFERROR(IF(D1840="","",VLOOKUP(D1840,CadProd!$A:$B,2,0)),"")</f>
        <v/>
      </c>
      <c r="F1840" t="str">
        <f>IFERROR(IF(D1840="","",VLOOKUP(D1840,CadProd!$A:$C,3,0)),"")</f>
        <v/>
      </c>
      <c r="I1840" s="1" t="str">
        <f t="shared" si="28"/>
        <v/>
      </c>
    </row>
    <row r="1841" spans="5:9" x14ac:dyDescent="0.3">
      <c r="E1841" t="str">
        <f>IFERROR(IF(D1841="","",VLOOKUP(D1841,CadProd!$A:$B,2,0)),"")</f>
        <v/>
      </c>
      <c r="F1841" t="str">
        <f>IFERROR(IF(D1841="","",VLOOKUP(D1841,CadProd!$A:$C,3,0)),"")</f>
        <v/>
      </c>
      <c r="I1841" s="1" t="str">
        <f t="shared" si="28"/>
        <v/>
      </c>
    </row>
    <row r="1842" spans="5:9" x14ac:dyDescent="0.3">
      <c r="E1842" t="str">
        <f>IFERROR(IF(D1842="","",VLOOKUP(D1842,CadProd!$A:$B,2,0)),"")</f>
        <v/>
      </c>
      <c r="F1842" t="str">
        <f>IFERROR(IF(D1842="","",VLOOKUP(D1842,CadProd!$A:$C,3,0)),"")</f>
        <v/>
      </c>
      <c r="I1842" s="1" t="str">
        <f t="shared" si="28"/>
        <v/>
      </c>
    </row>
    <row r="1843" spans="5:9" x14ac:dyDescent="0.3">
      <c r="E1843" t="str">
        <f>IFERROR(IF(D1843="","",VLOOKUP(D1843,CadProd!$A:$B,2,0)),"")</f>
        <v/>
      </c>
      <c r="F1843" t="str">
        <f>IFERROR(IF(D1843="","",VLOOKUP(D1843,CadProd!$A:$C,3,0)),"")</f>
        <v/>
      </c>
      <c r="I1843" s="1" t="str">
        <f t="shared" si="28"/>
        <v/>
      </c>
    </row>
    <row r="1844" spans="5:9" x14ac:dyDescent="0.3">
      <c r="E1844" t="str">
        <f>IFERROR(IF(D1844="","",VLOOKUP(D1844,CadProd!$A:$B,2,0)),"")</f>
        <v/>
      </c>
      <c r="F1844" t="str">
        <f>IFERROR(IF(D1844="","",VLOOKUP(D1844,CadProd!$A:$C,3,0)),"")</f>
        <v/>
      </c>
      <c r="I1844" s="1" t="str">
        <f t="shared" si="28"/>
        <v/>
      </c>
    </row>
    <row r="1845" spans="5:9" x14ac:dyDescent="0.3">
      <c r="E1845" t="str">
        <f>IFERROR(IF(D1845="","",VLOOKUP(D1845,CadProd!$A:$B,2,0)),"")</f>
        <v/>
      </c>
      <c r="F1845" t="str">
        <f>IFERROR(IF(D1845="","",VLOOKUP(D1845,CadProd!$A:$C,3,0)),"")</f>
        <v/>
      </c>
      <c r="I1845" s="1" t="str">
        <f t="shared" si="28"/>
        <v/>
      </c>
    </row>
    <row r="1846" spans="5:9" x14ac:dyDescent="0.3">
      <c r="E1846" t="str">
        <f>IFERROR(IF(D1846="","",VLOOKUP(D1846,CadProd!$A:$B,2,0)),"")</f>
        <v/>
      </c>
      <c r="F1846" t="str">
        <f>IFERROR(IF(D1846="","",VLOOKUP(D1846,CadProd!$A:$C,3,0)),"")</f>
        <v/>
      </c>
      <c r="I1846" s="1" t="str">
        <f t="shared" si="28"/>
        <v/>
      </c>
    </row>
    <row r="1847" spans="5:9" x14ac:dyDescent="0.3">
      <c r="E1847" t="str">
        <f>IFERROR(IF(D1847="","",VLOOKUP(D1847,CadProd!$A:$B,2,0)),"")</f>
        <v/>
      </c>
      <c r="F1847" t="str">
        <f>IFERROR(IF(D1847="","",VLOOKUP(D1847,CadProd!$A:$C,3,0)),"")</f>
        <v/>
      </c>
      <c r="I1847" s="1" t="str">
        <f t="shared" si="28"/>
        <v/>
      </c>
    </row>
    <row r="1848" spans="5:9" x14ac:dyDescent="0.3">
      <c r="E1848" t="str">
        <f>IFERROR(IF(D1848="","",VLOOKUP(D1848,CadProd!$A:$B,2,0)),"")</f>
        <v/>
      </c>
      <c r="F1848" t="str">
        <f>IFERROR(IF(D1848="","",VLOOKUP(D1848,CadProd!$A:$C,3,0)),"")</f>
        <v/>
      </c>
      <c r="I1848" s="1" t="str">
        <f t="shared" si="28"/>
        <v/>
      </c>
    </row>
    <row r="1849" spans="5:9" x14ac:dyDescent="0.3">
      <c r="E1849" t="str">
        <f>IFERROR(IF(D1849="","",VLOOKUP(D1849,CadProd!$A:$B,2,0)),"")</f>
        <v/>
      </c>
      <c r="F1849" t="str">
        <f>IFERROR(IF(D1849="","",VLOOKUP(D1849,CadProd!$A:$C,3,0)),"")</f>
        <v/>
      </c>
      <c r="I1849" s="1" t="str">
        <f t="shared" si="28"/>
        <v/>
      </c>
    </row>
    <row r="1850" spans="5:9" x14ac:dyDescent="0.3">
      <c r="E1850" t="str">
        <f>IFERROR(IF(D1850="","",VLOOKUP(D1850,CadProd!$A:$B,2,0)),"")</f>
        <v/>
      </c>
      <c r="F1850" t="str">
        <f>IFERROR(IF(D1850="","",VLOOKUP(D1850,CadProd!$A:$C,3,0)),"")</f>
        <v/>
      </c>
      <c r="I1850" s="1" t="str">
        <f t="shared" si="28"/>
        <v/>
      </c>
    </row>
    <row r="1851" spans="5:9" x14ac:dyDescent="0.3">
      <c r="E1851" t="str">
        <f>IFERROR(IF(D1851="","",VLOOKUP(D1851,CadProd!$A:$B,2,0)),"")</f>
        <v/>
      </c>
      <c r="F1851" t="str">
        <f>IFERROR(IF(D1851="","",VLOOKUP(D1851,CadProd!$A:$C,3,0)),"")</f>
        <v/>
      </c>
      <c r="I1851" s="1" t="str">
        <f t="shared" si="28"/>
        <v/>
      </c>
    </row>
    <row r="1852" spans="5:9" x14ac:dyDescent="0.3">
      <c r="E1852" t="str">
        <f>IFERROR(IF(D1852="","",VLOOKUP(D1852,CadProd!$A:$B,2,0)),"")</f>
        <v/>
      </c>
      <c r="F1852" t="str">
        <f>IFERROR(IF(D1852="","",VLOOKUP(D1852,CadProd!$A:$C,3,0)),"")</f>
        <v/>
      </c>
      <c r="I1852" s="1" t="str">
        <f t="shared" si="28"/>
        <v/>
      </c>
    </row>
    <row r="1853" spans="5:9" x14ac:dyDescent="0.3">
      <c r="E1853" t="str">
        <f>IFERROR(IF(D1853="","",VLOOKUP(D1853,CadProd!$A:$B,2,0)),"")</f>
        <v/>
      </c>
      <c r="F1853" t="str">
        <f>IFERROR(IF(D1853="","",VLOOKUP(D1853,CadProd!$A:$C,3,0)),"")</f>
        <v/>
      </c>
      <c r="I1853" s="1" t="str">
        <f t="shared" si="28"/>
        <v/>
      </c>
    </row>
    <row r="1854" spans="5:9" x14ac:dyDescent="0.3">
      <c r="E1854" t="str">
        <f>IFERROR(IF(D1854="","",VLOOKUP(D1854,CadProd!$A:$B,2,0)),"")</f>
        <v/>
      </c>
      <c r="F1854" t="str">
        <f>IFERROR(IF(D1854="","",VLOOKUP(D1854,CadProd!$A:$C,3,0)),"")</f>
        <v/>
      </c>
      <c r="I1854" s="1" t="str">
        <f t="shared" si="28"/>
        <v/>
      </c>
    </row>
    <row r="1855" spans="5:9" x14ac:dyDescent="0.3">
      <c r="E1855" t="str">
        <f>IFERROR(IF(D1855="","",VLOOKUP(D1855,CadProd!$A:$B,2,0)),"")</f>
        <v/>
      </c>
      <c r="F1855" t="str">
        <f>IFERROR(IF(D1855="","",VLOOKUP(D1855,CadProd!$A:$C,3,0)),"")</f>
        <v/>
      </c>
      <c r="I1855" s="1" t="str">
        <f t="shared" si="28"/>
        <v/>
      </c>
    </row>
    <row r="1856" spans="5:9" x14ac:dyDescent="0.3">
      <c r="E1856" t="str">
        <f>IFERROR(IF(D1856="","",VLOOKUP(D1856,CadProd!$A:$B,2,0)),"")</f>
        <v/>
      </c>
      <c r="F1856" t="str">
        <f>IFERROR(IF(D1856="","",VLOOKUP(D1856,CadProd!$A:$C,3,0)),"")</f>
        <v/>
      </c>
      <c r="I1856" s="1" t="str">
        <f t="shared" si="28"/>
        <v/>
      </c>
    </row>
    <row r="1857" spans="5:9" x14ac:dyDescent="0.3">
      <c r="E1857" t="str">
        <f>IFERROR(IF(D1857="","",VLOOKUP(D1857,CadProd!$A:$B,2,0)),"")</f>
        <v/>
      </c>
      <c r="F1857" t="str">
        <f>IFERROR(IF(D1857="","",VLOOKUP(D1857,CadProd!$A:$C,3,0)),"")</f>
        <v/>
      </c>
      <c r="I1857" s="1" t="str">
        <f t="shared" si="28"/>
        <v/>
      </c>
    </row>
    <row r="1858" spans="5:9" x14ac:dyDescent="0.3">
      <c r="E1858" t="str">
        <f>IFERROR(IF(D1858="","",VLOOKUP(D1858,CadProd!$A:$B,2,0)),"")</f>
        <v/>
      </c>
      <c r="F1858" t="str">
        <f>IFERROR(IF(D1858="","",VLOOKUP(D1858,CadProd!$A:$C,3,0)),"")</f>
        <v/>
      </c>
      <c r="I1858" s="1" t="str">
        <f t="shared" si="28"/>
        <v/>
      </c>
    </row>
    <row r="1859" spans="5:9" x14ac:dyDescent="0.3">
      <c r="E1859" t="str">
        <f>IFERROR(IF(D1859="","",VLOOKUP(D1859,CadProd!$A:$B,2,0)),"")</f>
        <v/>
      </c>
      <c r="F1859" t="str">
        <f>IFERROR(IF(D1859="","",VLOOKUP(D1859,CadProd!$A:$C,3,0)),"")</f>
        <v/>
      </c>
      <c r="I1859" s="1" t="str">
        <f t="shared" si="28"/>
        <v/>
      </c>
    </row>
    <row r="1860" spans="5:9" x14ac:dyDescent="0.3">
      <c r="E1860" t="str">
        <f>IFERROR(IF(D1860="","",VLOOKUP(D1860,CadProd!$A:$B,2,0)),"")</f>
        <v/>
      </c>
      <c r="F1860" t="str">
        <f>IFERROR(IF(D1860="","",VLOOKUP(D1860,CadProd!$A:$C,3,0)),"")</f>
        <v/>
      </c>
      <c r="I1860" s="1" t="str">
        <f t="shared" si="28"/>
        <v/>
      </c>
    </row>
    <row r="1861" spans="5:9" x14ac:dyDescent="0.3">
      <c r="E1861" t="str">
        <f>IFERROR(IF(D1861="","",VLOOKUP(D1861,CadProd!$A:$B,2,0)),"")</f>
        <v/>
      </c>
      <c r="F1861" t="str">
        <f>IFERROR(IF(D1861="","",VLOOKUP(D1861,CadProd!$A:$C,3,0)),"")</f>
        <v/>
      </c>
      <c r="I1861" s="1" t="str">
        <f t="shared" si="28"/>
        <v/>
      </c>
    </row>
    <row r="1862" spans="5:9" x14ac:dyDescent="0.3">
      <c r="E1862" t="str">
        <f>IFERROR(IF(D1862="","",VLOOKUP(D1862,CadProd!$A:$B,2,0)),"")</f>
        <v/>
      </c>
      <c r="F1862" t="str">
        <f>IFERROR(IF(D1862="","",VLOOKUP(D1862,CadProd!$A:$C,3,0)),"")</f>
        <v/>
      </c>
      <c r="I1862" s="1" t="str">
        <f t="shared" si="28"/>
        <v/>
      </c>
    </row>
    <row r="1863" spans="5:9" x14ac:dyDescent="0.3">
      <c r="E1863" t="str">
        <f>IFERROR(IF(D1863="","",VLOOKUP(D1863,CadProd!$A:$B,2,0)),"")</f>
        <v/>
      </c>
      <c r="F1863" t="str">
        <f>IFERROR(IF(D1863="","",VLOOKUP(D1863,CadProd!$A:$C,3,0)),"")</f>
        <v/>
      </c>
      <c r="I1863" s="1" t="str">
        <f t="shared" si="28"/>
        <v/>
      </c>
    </row>
    <row r="1864" spans="5:9" x14ac:dyDescent="0.3">
      <c r="E1864" t="str">
        <f>IFERROR(IF(D1864="","",VLOOKUP(D1864,CadProd!$A:$B,2,0)),"")</f>
        <v/>
      </c>
      <c r="F1864" t="str">
        <f>IFERROR(IF(D1864="","",VLOOKUP(D1864,CadProd!$A:$C,3,0)),"")</f>
        <v/>
      </c>
      <c r="I1864" s="1" t="str">
        <f t="shared" si="28"/>
        <v/>
      </c>
    </row>
    <row r="1865" spans="5:9" x14ac:dyDescent="0.3">
      <c r="E1865" t="str">
        <f>IFERROR(IF(D1865="","",VLOOKUP(D1865,CadProd!$A:$B,2,0)),"")</f>
        <v/>
      </c>
      <c r="F1865" t="str">
        <f>IFERROR(IF(D1865="","",VLOOKUP(D1865,CadProd!$A:$C,3,0)),"")</f>
        <v/>
      </c>
      <c r="I1865" s="1" t="str">
        <f t="shared" si="28"/>
        <v/>
      </c>
    </row>
    <row r="1866" spans="5:9" x14ac:dyDescent="0.3">
      <c r="E1866" t="str">
        <f>IFERROR(IF(D1866="","",VLOOKUP(D1866,CadProd!$A:$B,2,0)),"")</f>
        <v/>
      </c>
      <c r="F1866" t="str">
        <f>IFERROR(IF(D1866="","",VLOOKUP(D1866,CadProd!$A:$C,3,0)),"")</f>
        <v/>
      </c>
      <c r="I1866" s="1" t="str">
        <f t="shared" si="28"/>
        <v/>
      </c>
    </row>
    <row r="1867" spans="5:9" x14ac:dyDescent="0.3">
      <c r="E1867" t="str">
        <f>IFERROR(IF(D1867="","",VLOOKUP(D1867,CadProd!$A:$B,2,0)),"")</f>
        <v/>
      </c>
      <c r="F1867" t="str">
        <f>IFERROR(IF(D1867="","",VLOOKUP(D1867,CadProd!$A:$C,3,0)),"")</f>
        <v/>
      </c>
      <c r="I1867" s="1" t="str">
        <f t="shared" ref="I1867:I1930" si="29">IFERROR(IF(D1867="","",H1867*G1867),"")</f>
        <v/>
      </c>
    </row>
    <row r="1868" spans="5:9" x14ac:dyDescent="0.3">
      <c r="E1868" t="str">
        <f>IFERROR(IF(D1868="","",VLOOKUP(D1868,CadProd!$A:$B,2,0)),"")</f>
        <v/>
      </c>
      <c r="F1868" t="str">
        <f>IFERROR(IF(D1868="","",VLOOKUP(D1868,CadProd!$A:$C,3,0)),"")</f>
        <v/>
      </c>
      <c r="I1868" s="1" t="str">
        <f t="shared" si="29"/>
        <v/>
      </c>
    </row>
    <row r="1869" spans="5:9" x14ac:dyDescent="0.3">
      <c r="E1869" t="str">
        <f>IFERROR(IF(D1869="","",VLOOKUP(D1869,CadProd!$A:$B,2,0)),"")</f>
        <v/>
      </c>
      <c r="F1869" t="str">
        <f>IFERROR(IF(D1869="","",VLOOKUP(D1869,CadProd!$A:$C,3,0)),"")</f>
        <v/>
      </c>
      <c r="I1869" s="1" t="str">
        <f t="shared" si="29"/>
        <v/>
      </c>
    </row>
    <row r="1870" spans="5:9" x14ac:dyDescent="0.3">
      <c r="E1870" t="str">
        <f>IFERROR(IF(D1870="","",VLOOKUP(D1870,CadProd!$A:$B,2,0)),"")</f>
        <v/>
      </c>
      <c r="F1870" t="str">
        <f>IFERROR(IF(D1870="","",VLOOKUP(D1870,CadProd!$A:$C,3,0)),"")</f>
        <v/>
      </c>
      <c r="I1870" s="1" t="str">
        <f t="shared" si="29"/>
        <v/>
      </c>
    </row>
    <row r="1871" spans="5:9" x14ac:dyDescent="0.3">
      <c r="E1871" t="str">
        <f>IFERROR(IF(D1871="","",VLOOKUP(D1871,CadProd!$A:$B,2,0)),"")</f>
        <v/>
      </c>
      <c r="F1871" t="str">
        <f>IFERROR(IF(D1871="","",VLOOKUP(D1871,CadProd!$A:$C,3,0)),"")</f>
        <v/>
      </c>
      <c r="I1871" s="1" t="str">
        <f t="shared" si="29"/>
        <v/>
      </c>
    </row>
    <row r="1872" spans="5:9" x14ac:dyDescent="0.3">
      <c r="E1872" t="str">
        <f>IFERROR(IF(D1872="","",VLOOKUP(D1872,CadProd!$A:$B,2,0)),"")</f>
        <v/>
      </c>
      <c r="F1872" t="str">
        <f>IFERROR(IF(D1872="","",VLOOKUP(D1872,CadProd!$A:$C,3,0)),"")</f>
        <v/>
      </c>
      <c r="I1872" s="1" t="str">
        <f t="shared" si="29"/>
        <v/>
      </c>
    </row>
    <row r="1873" spans="5:9" x14ac:dyDescent="0.3">
      <c r="E1873" t="str">
        <f>IFERROR(IF(D1873="","",VLOOKUP(D1873,CadProd!$A:$B,2,0)),"")</f>
        <v/>
      </c>
      <c r="F1873" t="str">
        <f>IFERROR(IF(D1873="","",VLOOKUP(D1873,CadProd!$A:$C,3,0)),"")</f>
        <v/>
      </c>
      <c r="I1873" s="1" t="str">
        <f t="shared" si="29"/>
        <v/>
      </c>
    </row>
    <row r="1874" spans="5:9" x14ac:dyDescent="0.3">
      <c r="E1874" t="str">
        <f>IFERROR(IF(D1874="","",VLOOKUP(D1874,CadProd!$A:$B,2,0)),"")</f>
        <v/>
      </c>
      <c r="F1874" t="str">
        <f>IFERROR(IF(D1874="","",VLOOKUP(D1874,CadProd!$A:$C,3,0)),"")</f>
        <v/>
      </c>
      <c r="I1874" s="1" t="str">
        <f t="shared" si="29"/>
        <v/>
      </c>
    </row>
    <row r="1875" spans="5:9" x14ac:dyDescent="0.3">
      <c r="E1875" t="str">
        <f>IFERROR(IF(D1875="","",VLOOKUP(D1875,CadProd!$A:$B,2,0)),"")</f>
        <v/>
      </c>
      <c r="F1875" t="str">
        <f>IFERROR(IF(D1875="","",VLOOKUP(D1875,CadProd!$A:$C,3,0)),"")</f>
        <v/>
      </c>
      <c r="I1875" s="1" t="str">
        <f t="shared" si="29"/>
        <v/>
      </c>
    </row>
    <row r="1876" spans="5:9" x14ac:dyDescent="0.3">
      <c r="E1876" t="str">
        <f>IFERROR(IF(D1876="","",VLOOKUP(D1876,CadProd!$A:$B,2,0)),"")</f>
        <v/>
      </c>
      <c r="F1876" t="str">
        <f>IFERROR(IF(D1876="","",VLOOKUP(D1876,CadProd!$A:$C,3,0)),"")</f>
        <v/>
      </c>
      <c r="I1876" s="1" t="str">
        <f t="shared" si="29"/>
        <v/>
      </c>
    </row>
    <row r="1877" spans="5:9" x14ac:dyDescent="0.3">
      <c r="E1877" t="str">
        <f>IFERROR(IF(D1877="","",VLOOKUP(D1877,CadProd!$A:$B,2,0)),"")</f>
        <v/>
      </c>
      <c r="F1877" t="str">
        <f>IFERROR(IF(D1877="","",VLOOKUP(D1877,CadProd!$A:$C,3,0)),"")</f>
        <v/>
      </c>
      <c r="I1877" s="1" t="str">
        <f t="shared" si="29"/>
        <v/>
      </c>
    </row>
    <row r="1878" spans="5:9" x14ac:dyDescent="0.3">
      <c r="E1878" t="str">
        <f>IFERROR(IF(D1878="","",VLOOKUP(D1878,CadProd!$A:$B,2,0)),"")</f>
        <v/>
      </c>
      <c r="F1878" t="str">
        <f>IFERROR(IF(D1878="","",VLOOKUP(D1878,CadProd!$A:$C,3,0)),"")</f>
        <v/>
      </c>
      <c r="I1878" s="1" t="str">
        <f t="shared" si="29"/>
        <v/>
      </c>
    </row>
    <row r="1879" spans="5:9" x14ac:dyDescent="0.3">
      <c r="E1879" t="str">
        <f>IFERROR(IF(D1879="","",VLOOKUP(D1879,CadProd!$A:$B,2,0)),"")</f>
        <v/>
      </c>
      <c r="F1879" t="str">
        <f>IFERROR(IF(D1879="","",VLOOKUP(D1879,CadProd!$A:$C,3,0)),"")</f>
        <v/>
      </c>
      <c r="I1879" s="1" t="str">
        <f t="shared" si="29"/>
        <v/>
      </c>
    </row>
    <row r="1880" spans="5:9" x14ac:dyDescent="0.3">
      <c r="E1880" t="str">
        <f>IFERROR(IF(D1880="","",VLOOKUP(D1880,CadProd!$A:$B,2,0)),"")</f>
        <v/>
      </c>
      <c r="F1880" t="str">
        <f>IFERROR(IF(D1880="","",VLOOKUP(D1880,CadProd!$A:$C,3,0)),"")</f>
        <v/>
      </c>
      <c r="I1880" s="1" t="str">
        <f t="shared" si="29"/>
        <v/>
      </c>
    </row>
    <row r="1881" spans="5:9" x14ac:dyDescent="0.3">
      <c r="E1881" t="str">
        <f>IFERROR(IF(D1881="","",VLOOKUP(D1881,CadProd!$A:$B,2,0)),"")</f>
        <v/>
      </c>
      <c r="F1881" t="str">
        <f>IFERROR(IF(D1881="","",VLOOKUP(D1881,CadProd!$A:$C,3,0)),"")</f>
        <v/>
      </c>
      <c r="I1881" s="1" t="str">
        <f t="shared" si="29"/>
        <v/>
      </c>
    </row>
    <row r="1882" spans="5:9" x14ac:dyDescent="0.3">
      <c r="E1882" t="str">
        <f>IFERROR(IF(D1882="","",VLOOKUP(D1882,CadProd!$A:$B,2,0)),"")</f>
        <v/>
      </c>
      <c r="F1882" t="str">
        <f>IFERROR(IF(D1882="","",VLOOKUP(D1882,CadProd!$A:$C,3,0)),"")</f>
        <v/>
      </c>
      <c r="I1882" s="1" t="str">
        <f t="shared" si="29"/>
        <v/>
      </c>
    </row>
    <row r="1883" spans="5:9" x14ac:dyDescent="0.3">
      <c r="E1883" t="str">
        <f>IFERROR(IF(D1883="","",VLOOKUP(D1883,CadProd!$A:$B,2,0)),"")</f>
        <v/>
      </c>
      <c r="F1883" t="str">
        <f>IFERROR(IF(D1883="","",VLOOKUP(D1883,CadProd!$A:$C,3,0)),"")</f>
        <v/>
      </c>
      <c r="I1883" s="1" t="str">
        <f t="shared" si="29"/>
        <v/>
      </c>
    </row>
    <row r="1884" spans="5:9" x14ac:dyDescent="0.3">
      <c r="E1884" t="str">
        <f>IFERROR(IF(D1884="","",VLOOKUP(D1884,CadProd!$A:$B,2,0)),"")</f>
        <v/>
      </c>
      <c r="F1884" t="str">
        <f>IFERROR(IF(D1884="","",VLOOKUP(D1884,CadProd!$A:$C,3,0)),"")</f>
        <v/>
      </c>
      <c r="I1884" s="1" t="str">
        <f t="shared" si="29"/>
        <v/>
      </c>
    </row>
    <row r="1885" spans="5:9" x14ac:dyDescent="0.3">
      <c r="E1885" t="str">
        <f>IFERROR(IF(D1885="","",VLOOKUP(D1885,CadProd!$A:$B,2,0)),"")</f>
        <v/>
      </c>
      <c r="F1885" t="str">
        <f>IFERROR(IF(D1885="","",VLOOKUP(D1885,CadProd!$A:$C,3,0)),"")</f>
        <v/>
      </c>
      <c r="I1885" s="1" t="str">
        <f t="shared" si="29"/>
        <v/>
      </c>
    </row>
    <row r="1886" spans="5:9" x14ac:dyDescent="0.3">
      <c r="E1886" t="str">
        <f>IFERROR(IF(D1886="","",VLOOKUP(D1886,CadProd!$A:$B,2,0)),"")</f>
        <v/>
      </c>
      <c r="F1886" t="str">
        <f>IFERROR(IF(D1886="","",VLOOKUP(D1886,CadProd!$A:$C,3,0)),"")</f>
        <v/>
      </c>
      <c r="I1886" s="1" t="str">
        <f t="shared" si="29"/>
        <v/>
      </c>
    </row>
    <row r="1887" spans="5:9" x14ac:dyDescent="0.3">
      <c r="E1887" t="str">
        <f>IFERROR(IF(D1887="","",VLOOKUP(D1887,CadProd!$A:$B,2,0)),"")</f>
        <v/>
      </c>
      <c r="F1887" t="str">
        <f>IFERROR(IF(D1887="","",VLOOKUP(D1887,CadProd!$A:$C,3,0)),"")</f>
        <v/>
      </c>
      <c r="I1887" s="1" t="str">
        <f t="shared" si="29"/>
        <v/>
      </c>
    </row>
    <row r="1888" spans="5:9" x14ac:dyDescent="0.3">
      <c r="E1888" t="str">
        <f>IFERROR(IF(D1888="","",VLOOKUP(D1888,CadProd!$A:$B,2,0)),"")</f>
        <v/>
      </c>
      <c r="F1888" t="str">
        <f>IFERROR(IF(D1888="","",VLOOKUP(D1888,CadProd!$A:$C,3,0)),"")</f>
        <v/>
      </c>
      <c r="I1888" s="1" t="str">
        <f t="shared" si="29"/>
        <v/>
      </c>
    </row>
    <row r="1889" spans="5:9" x14ac:dyDescent="0.3">
      <c r="E1889" t="str">
        <f>IFERROR(IF(D1889="","",VLOOKUP(D1889,CadProd!$A:$B,2,0)),"")</f>
        <v/>
      </c>
      <c r="F1889" t="str">
        <f>IFERROR(IF(D1889="","",VLOOKUP(D1889,CadProd!$A:$C,3,0)),"")</f>
        <v/>
      </c>
      <c r="I1889" s="1" t="str">
        <f t="shared" si="29"/>
        <v/>
      </c>
    </row>
    <row r="1890" spans="5:9" x14ac:dyDescent="0.3">
      <c r="E1890" t="str">
        <f>IFERROR(IF(D1890="","",VLOOKUP(D1890,CadProd!$A:$B,2,0)),"")</f>
        <v/>
      </c>
      <c r="F1890" t="str">
        <f>IFERROR(IF(D1890="","",VLOOKUP(D1890,CadProd!$A:$C,3,0)),"")</f>
        <v/>
      </c>
      <c r="I1890" s="1" t="str">
        <f t="shared" si="29"/>
        <v/>
      </c>
    </row>
    <row r="1891" spans="5:9" x14ac:dyDescent="0.3">
      <c r="E1891" t="str">
        <f>IFERROR(IF(D1891="","",VLOOKUP(D1891,CadProd!$A:$B,2,0)),"")</f>
        <v/>
      </c>
      <c r="F1891" t="str">
        <f>IFERROR(IF(D1891="","",VLOOKUP(D1891,CadProd!$A:$C,3,0)),"")</f>
        <v/>
      </c>
      <c r="I1891" s="1" t="str">
        <f t="shared" si="29"/>
        <v/>
      </c>
    </row>
    <row r="1892" spans="5:9" x14ac:dyDescent="0.3">
      <c r="E1892" t="str">
        <f>IFERROR(IF(D1892="","",VLOOKUP(D1892,CadProd!$A:$B,2,0)),"")</f>
        <v/>
      </c>
      <c r="F1892" t="str">
        <f>IFERROR(IF(D1892="","",VLOOKUP(D1892,CadProd!$A:$C,3,0)),"")</f>
        <v/>
      </c>
      <c r="I1892" s="1" t="str">
        <f t="shared" si="29"/>
        <v/>
      </c>
    </row>
    <row r="1893" spans="5:9" x14ac:dyDescent="0.3">
      <c r="E1893" t="str">
        <f>IFERROR(IF(D1893="","",VLOOKUP(D1893,CadProd!$A:$B,2,0)),"")</f>
        <v/>
      </c>
      <c r="F1893" t="str">
        <f>IFERROR(IF(D1893="","",VLOOKUP(D1893,CadProd!$A:$C,3,0)),"")</f>
        <v/>
      </c>
      <c r="I1893" s="1" t="str">
        <f t="shared" si="29"/>
        <v/>
      </c>
    </row>
    <row r="1894" spans="5:9" x14ac:dyDescent="0.3">
      <c r="E1894" t="str">
        <f>IFERROR(IF(D1894="","",VLOOKUP(D1894,CadProd!$A:$B,2,0)),"")</f>
        <v/>
      </c>
      <c r="F1894" t="str">
        <f>IFERROR(IF(D1894="","",VLOOKUP(D1894,CadProd!$A:$C,3,0)),"")</f>
        <v/>
      </c>
      <c r="I1894" s="1" t="str">
        <f t="shared" si="29"/>
        <v/>
      </c>
    </row>
    <row r="1895" spans="5:9" x14ac:dyDescent="0.3">
      <c r="E1895" t="str">
        <f>IFERROR(IF(D1895="","",VLOOKUP(D1895,CadProd!$A:$B,2,0)),"")</f>
        <v/>
      </c>
      <c r="F1895" t="str">
        <f>IFERROR(IF(D1895="","",VLOOKUP(D1895,CadProd!$A:$C,3,0)),"")</f>
        <v/>
      </c>
      <c r="I1895" s="1" t="str">
        <f t="shared" si="29"/>
        <v/>
      </c>
    </row>
    <row r="1896" spans="5:9" x14ac:dyDescent="0.3">
      <c r="E1896" t="str">
        <f>IFERROR(IF(D1896="","",VLOOKUP(D1896,CadProd!$A:$B,2,0)),"")</f>
        <v/>
      </c>
      <c r="F1896" t="str">
        <f>IFERROR(IF(D1896="","",VLOOKUP(D1896,CadProd!$A:$C,3,0)),"")</f>
        <v/>
      </c>
      <c r="I1896" s="1" t="str">
        <f t="shared" si="29"/>
        <v/>
      </c>
    </row>
    <row r="1897" spans="5:9" x14ac:dyDescent="0.3">
      <c r="E1897" t="str">
        <f>IFERROR(IF(D1897="","",VLOOKUP(D1897,CadProd!$A:$B,2,0)),"")</f>
        <v/>
      </c>
      <c r="F1897" t="str">
        <f>IFERROR(IF(D1897="","",VLOOKUP(D1897,CadProd!$A:$C,3,0)),"")</f>
        <v/>
      </c>
      <c r="I1897" s="1" t="str">
        <f t="shared" si="29"/>
        <v/>
      </c>
    </row>
    <row r="1898" spans="5:9" x14ac:dyDescent="0.3">
      <c r="E1898" t="str">
        <f>IFERROR(IF(D1898="","",VLOOKUP(D1898,CadProd!$A:$B,2,0)),"")</f>
        <v/>
      </c>
      <c r="F1898" t="str">
        <f>IFERROR(IF(D1898="","",VLOOKUP(D1898,CadProd!$A:$C,3,0)),"")</f>
        <v/>
      </c>
      <c r="I1898" s="1" t="str">
        <f t="shared" si="29"/>
        <v/>
      </c>
    </row>
    <row r="1899" spans="5:9" x14ac:dyDescent="0.3">
      <c r="E1899" t="str">
        <f>IFERROR(IF(D1899="","",VLOOKUP(D1899,CadProd!$A:$B,2,0)),"")</f>
        <v/>
      </c>
      <c r="F1899" t="str">
        <f>IFERROR(IF(D1899="","",VLOOKUP(D1899,CadProd!$A:$C,3,0)),"")</f>
        <v/>
      </c>
      <c r="I1899" s="1" t="str">
        <f t="shared" si="29"/>
        <v/>
      </c>
    </row>
    <row r="1900" spans="5:9" x14ac:dyDescent="0.3">
      <c r="E1900" t="str">
        <f>IFERROR(IF(D1900="","",VLOOKUP(D1900,CadProd!$A:$B,2,0)),"")</f>
        <v/>
      </c>
      <c r="F1900" t="str">
        <f>IFERROR(IF(D1900="","",VLOOKUP(D1900,CadProd!$A:$C,3,0)),"")</f>
        <v/>
      </c>
      <c r="I1900" s="1" t="str">
        <f t="shared" si="29"/>
        <v/>
      </c>
    </row>
    <row r="1901" spans="5:9" x14ac:dyDescent="0.3">
      <c r="E1901" t="str">
        <f>IFERROR(IF(D1901="","",VLOOKUP(D1901,CadProd!$A:$B,2,0)),"")</f>
        <v/>
      </c>
      <c r="F1901" t="str">
        <f>IFERROR(IF(D1901="","",VLOOKUP(D1901,CadProd!$A:$C,3,0)),"")</f>
        <v/>
      </c>
      <c r="I1901" s="1" t="str">
        <f t="shared" si="29"/>
        <v/>
      </c>
    </row>
    <row r="1902" spans="5:9" x14ac:dyDescent="0.3">
      <c r="E1902" t="str">
        <f>IFERROR(IF(D1902="","",VLOOKUP(D1902,CadProd!$A:$B,2,0)),"")</f>
        <v/>
      </c>
      <c r="F1902" t="str">
        <f>IFERROR(IF(D1902="","",VLOOKUP(D1902,CadProd!$A:$C,3,0)),"")</f>
        <v/>
      </c>
      <c r="I1902" s="1" t="str">
        <f t="shared" si="29"/>
        <v/>
      </c>
    </row>
    <row r="1903" spans="5:9" x14ac:dyDescent="0.3">
      <c r="E1903" t="str">
        <f>IFERROR(IF(D1903="","",VLOOKUP(D1903,CadProd!$A:$B,2,0)),"")</f>
        <v/>
      </c>
      <c r="F1903" t="str">
        <f>IFERROR(IF(D1903="","",VLOOKUP(D1903,CadProd!$A:$C,3,0)),"")</f>
        <v/>
      </c>
      <c r="I1903" s="1" t="str">
        <f t="shared" si="29"/>
        <v/>
      </c>
    </row>
    <row r="1904" spans="5:9" x14ac:dyDescent="0.3">
      <c r="E1904" t="str">
        <f>IFERROR(IF(D1904="","",VLOOKUP(D1904,CadProd!$A:$B,2,0)),"")</f>
        <v/>
      </c>
      <c r="F1904" t="str">
        <f>IFERROR(IF(D1904="","",VLOOKUP(D1904,CadProd!$A:$C,3,0)),"")</f>
        <v/>
      </c>
      <c r="I1904" s="1" t="str">
        <f t="shared" si="29"/>
        <v/>
      </c>
    </row>
    <row r="1905" spans="5:9" x14ac:dyDescent="0.3">
      <c r="E1905" t="str">
        <f>IFERROR(IF(D1905="","",VLOOKUP(D1905,CadProd!$A:$B,2,0)),"")</f>
        <v/>
      </c>
      <c r="F1905" t="str">
        <f>IFERROR(IF(D1905="","",VLOOKUP(D1905,CadProd!$A:$C,3,0)),"")</f>
        <v/>
      </c>
      <c r="I1905" s="1" t="str">
        <f t="shared" si="29"/>
        <v/>
      </c>
    </row>
    <row r="1906" spans="5:9" x14ac:dyDescent="0.3">
      <c r="E1906" t="str">
        <f>IFERROR(IF(D1906="","",VLOOKUP(D1906,CadProd!$A:$B,2,0)),"")</f>
        <v/>
      </c>
      <c r="F1906" t="str">
        <f>IFERROR(IF(D1906="","",VLOOKUP(D1906,CadProd!$A:$C,3,0)),"")</f>
        <v/>
      </c>
      <c r="I1906" s="1" t="str">
        <f t="shared" si="29"/>
        <v/>
      </c>
    </row>
    <row r="1907" spans="5:9" x14ac:dyDescent="0.3">
      <c r="E1907" t="str">
        <f>IFERROR(IF(D1907="","",VLOOKUP(D1907,CadProd!$A:$B,2,0)),"")</f>
        <v/>
      </c>
      <c r="F1907" t="str">
        <f>IFERROR(IF(D1907="","",VLOOKUP(D1907,CadProd!$A:$C,3,0)),"")</f>
        <v/>
      </c>
      <c r="I1907" s="1" t="str">
        <f t="shared" si="29"/>
        <v/>
      </c>
    </row>
    <row r="1908" spans="5:9" x14ac:dyDescent="0.3">
      <c r="E1908" t="str">
        <f>IFERROR(IF(D1908="","",VLOOKUP(D1908,CadProd!$A:$B,2,0)),"")</f>
        <v/>
      </c>
      <c r="F1908" t="str">
        <f>IFERROR(IF(D1908="","",VLOOKUP(D1908,CadProd!$A:$C,3,0)),"")</f>
        <v/>
      </c>
      <c r="I1908" s="1" t="str">
        <f t="shared" si="29"/>
        <v/>
      </c>
    </row>
    <row r="1909" spans="5:9" x14ac:dyDescent="0.3">
      <c r="E1909" t="str">
        <f>IFERROR(IF(D1909="","",VLOOKUP(D1909,CadProd!$A:$B,2,0)),"")</f>
        <v/>
      </c>
      <c r="F1909" t="str">
        <f>IFERROR(IF(D1909="","",VLOOKUP(D1909,CadProd!$A:$C,3,0)),"")</f>
        <v/>
      </c>
      <c r="I1909" s="1" t="str">
        <f t="shared" si="29"/>
        <v/>
      </c>
    </row>
    <row r="1910" spans="5:9" x14ac:dyDescent="0.3">
      <c r="E1910" t="str">
        <f>IFERROR(IF(D1910="","",VLOOKUP(D1910,CadProd!$A:$B,2,0)),"")</f>
        <v/>
      </c>
      <c r="F1910" t="str">
        <f>IFERROR(IF(D1910="","",VLOOKUP(D1910,CadProd!$A:$C,3,0)),"")</f>
        <v/>
      </c>
      <c r="I1910" s="1" t="str">
        <f t="shared" si="29"/>
        <v/>
      </c>
    </row>
    <row r="1911" spans="5:9" x14ac:dyDescent="0.3">
      <c r="E1911" t="str">
        <f>IFERROR(IF(D1911="","",VLOOKUP(D1911,CadProd!$A:$B,2,0)),"")</f>
        <v/>
      </c>
      <c r="F1911" t="str">
        <f>IFERROR(IF(D1911="","",VLOOKUP(D1911,CadProd!$A:$C,3,0)),"")</f>
        <v/>
      </c>
      <c r="I1911" s="1" t="str">
        <f t="shared" si="29"/>
        <v/>
      </c>
    </row>
    <row r="1912" spans="5:9" x14ac:dyDescent="0.3">
      <c r="E1912" t="str">
        <f>IFERROR(IF(D1912="","",VLOOKUP(D1912,CadProd!$A:$B,2,0)),"")</f>
        <v/>
      </c>
      <c r="F1912" t="str">
        <f>IFERROR(IF(D1912="","",VLOOKUP(D1912,CadProd!$A:$C,3,0)),"")</f>
        <v/>
      </c>
      <c r="I1912" s="1" t="str">
        <f t="shared" si="29"/>
        <v/>
      </c>
    </row>
    <row r="1913" spans="5:9" x14ac:dyDescent="0.3">
      <c r="E1913" t="str">
        <f>IFERROR(IF(D1913="","",VLOOKUP(D1913,CadProd!$A:$B,2,0)),"")</f>
        <v/>
      </c>
      <c r="F1913" t="str">
        <f>IFERROR(IF(D1913="","",VLOOKUP(D1913,CadProd!$A:$C,3,0)),"")</f>
        <v/>
      </c>
      <c r="I1913" s="1" t="str">
        <f t="shared" si="29"/>
        <v/>
      </c>
    </row>
    <row r="1914" spans="5:9" x14ac:dyDescent="0.3">
      <c r="E1914" t="str">
        <f>IFERROR(IF(D1914="","",VLOOKUP(D1914,CadProd!$A:$B,2,0)),"")</f>
        <v/>
      </c>
      <c r="F1914" t="str">
        <f>IFERROR(IF(D1914="","",VLOOKUP(D1914,CadProd!$A:$C,3,0)),"")</f>
        <v/>
      </c>
      <c r="I1914" s="1" t="str">
        <f t="shared" si="29"/>
        <v/>
      </c>
    </row>
    <row r="1915" spans="5:9" x14ac:dyDescent="0.3">
      <c r="E1915" t="str">
        <f>IFERROR(IF(D1915="","",VLOOKUP(D1915,CadProd!$A:$B,2,0)),"")</f>
        <v/>
      </c>
      <c r="F1915" t="str">
        <f>IFERROR(IF(D1915="","",VLOOKUP(D1915,CadProd!$A:$C,3,0)),"")</f>
        <v/>
      </c>
      <c r="I1915" s="1" t="str">
        <f t="shared" si="29"/>
        <v/>
      </c>
    </row>
    <row r="1916" spans="5:9" x14ac:dyDescent="0.3">
      <c r="E1916" t="str">
        <f>IFERROR(IF(D1916="","",VLOOKUP(D1916,CadProd!$A:$B,2,0)),"")</f>
        <v/>
      </c>
      <c r="F1916" t="str">
        <f>IFERROR(IF(D1916="","",VLOOKUP(D1916,CadProd!$A:$C,3,0)),"")</f>
        <v/>
      </c>
      <c r="I1916" s="1" t="str">
        <f t="shared" si="29"/>
        <v/>
      </c>
    </row>
    <row r="1917" spans="5:9" x14ac:dyDescent="0.3">
      <c r="E1917" t="str">
        <f>IFERROR(IF(D1917="","",VLOOKUP(D1917,CadProd!$A:$B,2,0)),"")</f>
        <v/>
      </c>
      <c r="F1917" t="str">
        <f>IFERROR(IF(D1917="","",VLOOKUP(D1917,CadProd!$A:$C,3,0)),"")</f>
        <v/>
      </c>
      <c r="I1917" s="1" t="str">
        <f t="shared" si="29"/>
        <v/>
      </c>
    </row>
    <row r="1918" spans="5:9" x14ac:dyDescent="0.3">
      <c r="E1918" t="str">
        <f>IFERROR(IF(D1918="","",VLOOKUP(D1918,CadProd!$A:$B,2,0)),"")</f>
        <v/>
      </c>
      <c r="F1918" t="str">
        <f>IFERROR(IF(D1918="","",VLOOKUP(D1918,CadProd!$A:$C,3,0)),"")</f>
        <v/>
      </c>
      <c r="I1918" s="1" t="str">
        <f t="shared" si="29"/>
        <v/>
      </c>
    </row>
    <row r="1919" spans="5:9" x14ac:dyDescent="0.3">
      <c r="E1919" t="str">
        <f>IFERROR(IF(D1919="","",VLOOKUP(D1919,CadProd!$A:$B,2,0)),"")</f>
        <v/>
      </c>
      <c r="F1919" t="str">
        <f>IFERROR(IF(D1919="","",VLOOKUP(D1919,CadProd!$A:$C,3,0)),"")</f>
        <v/>
      </c>
      <c r="I1919" s="1" t="str">
        <f t="shared" si="29"/>
        <v/>
      </c>
    </row>
    <row r="1920" spans="5:9" x14ac:dyDescent="0.3">
      <c r="E1920" t="str">
        <f>IFERROR(IF(D1920="","",VLOOKUP(D1920,CadProd!$A:$B,2,0)),"")</f>
        <v/>
      </c>
      <c r="F1920" t="str">
        <f>IFERROR(IF(D1920="","",VLOOKUP(D1920,CadProd!$A:$C,3,0)),"")</f>
        <v/>
      </c>
      <c r="I1920" s="1" t="str">
        <f t="shared" si="29"/>
        <v/>
      </c>
    </row>
    <row r="1921" spans="5:9" x14ac:dyDescent="0.3">
      <c r="E1921" t="str">
        <f>IFERROR(IF(D1921="","",VLOOKUP(D1921,CadProd!$A:$B,2,0)),"")</f>
        <v/>
      </c>
      <c r="F1921" t="str">
        <f>IFERROR(IF(D1921="","",VLOOKUP(D1921,CadProd!$A:$C,3,0)),"")</f>
        <v/>
      </c>
      <c r="I1921" s="1" t="str">
        <f t="shared" si="29"/>
        <v/>
      </c>
    </row>
    <row r="1922" spans="5:9" x14ac:dyDescent="0.3">
      <c r="E1922" t="str">
        <f>IFERROR(IF(D1922="","",VLOOKUP(D1922,CadProd!$A:$B,2,0)),"")</f>
        <v/>
      </c>
      <c r="F1922" t="str">
        <f>IFERROR(IF(D1922="","",VLOOKUP(D1922,CadProd!$A:$C,3,0)),"")</f>
        <v/>
      </c>
      <c r="I1922" s="1" t="str">
        <f t="shared" si="29"/>
        <v/>
      </c>
    </row>
    <row r="1923" spans="5:9" x14ac:dyDescent="0.3">
      <c r="E1923" t="str">
        <f>IFERROR(IF(D1923="","",VLOOKUP(D1923,CadProd!$A:$B,2,0)),"")</f>
        <v/>
      </c>
      <c r="F1923" t="str">
        <f>IFERROR(IF(D1923="","",VLOOKUP(D1923,CadProd!$A:$C,3,0)),"")</f>
        <v/>
      </c>
      <c r="I1923" s="1" t="str">
        <f t="shared" si="29"/>
        <v/>
      </c>
    </row>
    <row r="1924" spans="5:9" x14ac:dyDescent="0.3">
      <c r="E1924" t="str">
        <f>IFERROR(IF(D1924="","",VLOOKUP(D1924,CadProd!$A:$B,2,0)),"")</f>
        <v/>
      </c>
      <c r="F1924" t="str">
        <f>IFERROR(IF(D1924="","",VLOOKUP(D1924,CadProd!$A:$C,3,0)),"")</f>
        <v/>
      </c>
      <c r="I1924" s="1" t="str">
        <f t="shared" si="29"/>
        <v/>
      </c>
    </row>
    <row r="1925" spans="5:9" x14ac:dyDescent="0.3">
      <c r="E1925" t="str">
        <f>IFERROR(IF(D1925="","",VLOOKUP(D1925,CadProd!$A:$B,2,0)),"")</f>
        <v/>
      </c>
      <c r="F1925" t="str">
        <f>IFERROR(IF(D1925="","",VLOOKUP(D1925,CadProd!$A:$C,3,0)),"")</f>
        <v/>
      </c>
      <c r="I1925" s="1" t="str">
        <f t="shared" si="29"/>
        <v/>
      </c>
    </row>
    <row r="1926" spans="5:9" x14ac:dyDescent="0.3">
      <c r="E1926" t="str">
        <f>IFERROR(IF(D1926="","",VLOOKUP(D1926,CadProd!$A:$B,2,0)),"")</f>
        <v/>
      </c>
      <c r="F1926" t="str">
        <f>IFERROR(IF(D1926="","",VLOOKUP(D1926,CadProd!$A:$C,3,0)),"")</f>
        <v/>
      </c>
      <c r="I1926" s="1" t="str">
        <f t="shared" si="29"/>
        <v/>
      </c>
    </row>
    <row r="1927" spans="5:9" x14ac:dyDescent="0.3">
      <c r="E1927" t="str">
        <f>IFERROR(IF(D1927="","",VLOOKUP(D1927,CadProd!$A:$B,2,0)),"")</f>
        <v/>
      </c>
      <c r="F1927" t="str">
        <f>IFERROR(IF(D1927="","",VLOOKUP(D1927,CadProd!$A:$C,3,0)),"")</f>
        <v/>
      </c>
      <c r="I1927" s="1" t="str">
        <f t="shared" si="29"/>
        <v/>
      </c>
    </row>
    <row r="1928" spans="5:9" x14ac:dyDescent="0.3">
      <c r="E1928" t="str">
        <f>IFERROR(IF(D1928="","",VLOOKUP(D1928,CadProd!$A:$B,2,0)),"")</f>
        <v/>
      </c>
      <c r="F1928" t="str">
        <f>IFERROR(IF(D1928="","",VLOOKUP(D1928,CadProd!$A:$C,3,0)),"")</f>
        <v/>
      </c>
      <c r="I1928" s="1" t="str">
        <f t="shared" si="29"/>
        <v/>
      </c>
    </row>
    <row r="1929" spans="5:9" x14ac:dyDescent="0.3">
      <c r="E1929" t="str">
        <f>IFERROR(IF(D1929="","",VLOOKUP(D1929,CadProd!$A:$B,2,0)),"")</f>
        <v/>
      </c>
      <c r="F1929" t="str">
        <f>IFERROR(IF(D1929="","",VLOOKUP(D1929,CadProd!$A:$C,3,0)),"")</f>
        <v/>
      </c>
      <c r="I1929" s="1" t="str">
        <f t="shared" si="29"/>
        <v/>
      </c>
    </row>
    <row r="1930" spans="5:9" x14ac:dyDescent="0.3">
      <c r="E1930" t="str">
        <f>IFERROR(IF(D1930="","",VLOOKUP(D1930,CadProd!$A:$B,2,0)),"")</f>
        <v/>
      </c>
      <c r="F1930" t="str">
        <f>IFERROR(IF(D1930="","",VLOOKUP(D1930,CadProd!$A:$C,3,0)),"")</f>
        <v/>
      </c>
      <c r="I1930" s="1" t="str">
        <f t="shared" si="29"/>
        <v/>
      </c>
    </row>
    <row r="1931" spans="5:9" x14ac:dyDescent="0.3">
      <c r="E1931" t="str">
        <f>IFERROR(IF(D1931="","",VLOOKUP(D1931,CadProd!$A:$B,2,0)),"")</f>
        <v/>
      </c>
      <c r="F1931" t="str">
        <f>IFERROR(IF(D1931="","",VLOOKUP(D1931,CadProd!$A:$C,3,0)),"")</f>
        <v/>
      </c>
      <c r="I1931" s="1" t="str">
        <f t="shared" ref="I1931:I1994" si="30">IFERROR(IF(D1931="","",H1931*G1931),"")</f>
        <v/>
      </c>
    </row>
    <row r="1932" spans="5:9" x14ac:dyDescent="0.3">
      <c r="E1932" t="str">
        <f>IFERROR(IF(D1932="","",VLOOKUP(D1932,CadProd!$A:$B,2,0)),"")</f>
        <v/>
      </c>
      <c r="F1932" t="str">
        <f>IFERROR(IF(D1932="","",VLOOKUP(D1932,CadProd!$A:$C,3,0)),"")</f>
        <v/>
      </c>
      <c r="I1932" s="1" t="str">
        <f t="shared" si="30"/>
        <v/>
      </c>
    </row>
    <row r="1933" spans="5:9" x14ac:dyDescent="0.3">
      <c r="E1933" t="str">
        <f>IFERROR(IF(D1933="","",VLOOKUP(D1933,CadProd!$A:$B,2,0)),"")</f>
        <v/>
      </c>
      <c r="F1933" t="str">
        <f>IFERROR(IF(D1933="","",VLOOKUP(D1933,CadProd!$A:$C,3,0)),"")</f>
        <v/>
      </c>
      <c r="I1933" s="1" t="str">
        <f t="shared" si="30"/>
        <v/>
      </c>
    </row>
    <row r="1934" spans="5:9" x14ac:dyDescent="0.3">
      <c r="E1934" t="str">
        <f>IFERROR(IF(D1934="","",VLOOKUP(D1934,CadProd!$A:$B,2,0)),"")</f>
        <v/>
      </c>
      <c r="F1934" t="str">
        <f>IFERROR(IF(D1934="","",VLOOKUP(D1934,CadProd!$A:$C,3,0)),"")</f>
        <v/>
      </c>
      <c r="I1934" s="1" t="str">
        <f t="shared" si="30"/>
        <v/>
      </c>
    </row>
    <row r="1935" spans="5:9" x14ac:dyDescent="0.3">
      <c r="E1935" t="str">
        <f>IFERROR(IF(D1935="","",VLOOKUP(D1935,CadProd!$A:$B,2,0)),"")</f>
        <v/>
      </c>
      <c r="F1935" t="str">
        <f>IFERROR(IF(D1935="","",VLOOKUP(D1935,CadProd!$A:$C,3,0)),"")</f>
        <v/>
      </c>
      <c r="I1935" s="1" t="str">
        <f t="shared" si="30"/>
        <v/>
      </c>
    </row>
    <row r="1936" spans="5:9" x14ac:dyDescent="0.3">
      <c r="E1936" t="str">
        <f>IFERROR(IF(D1936="","",VLOOKUP(D1936,CadProd!$A:$B,2,0)),"")</f>
        <v/>
      </c>
      <c r="F1936" t="str">
        <f>IFERROR(IF(D1936="","",VLOOKUP(D1936,CadProd!$A:$C,3,0)),"")</f>
        <v/>
      </c>
      <c r="I1936" s="1" t="str">
        <f t="shared" si="30"/>
        <v/>
      </c>
    </row>
    <row r="1937" spans="5:9" x14ac:dyDescent="0.3">
      <c r="E1937" t="str">
        <f>IFERROR(IF(D1937="","",VLOOKUP(D1937,CadProd!$A:$B,2,0)),"")</f>
        <v/>
      </c>
      <c r="F1937" t="str">
        <f>IFERROR(IF(D1937="","",VLOOKUP(D1937,CadProd!$A:$C,3,0)),"")</f>
        <v/>
      </c>
      <c r="I1937" s="1" t="str">
        <f t="shared" si="30"/>
        <v/>
      </c>
    </row>
    <row r="1938" spans="5:9" x14ac:dyDescent="0.3">
      <c r="E1938" t="str">
        <f>IFERROR(IF(D1938="","",VLOOKUP(D1938,CadProd!$A:$B,2,0)),"")</f>
        <v/>
      </c>
      <c r="F1938" t="str">
        <f>IFERROR(IF(D1938="","",VLOOKUP(D1938,CadProd!$A:$C,3,0)),"")</f>
        <v/>
      </c>
      <c r="I1938" s="1" t="str">
        <f t="shared" si="30"/>
        <v/>
      </c>
    </row>
    <row r="1939" spans="5:9" x14ac:dyDescent="0.3">
      <c r="E1939" t="str">
        <f>IFERROR(IF(D1939="","",VLOOKUP(D1939,CadProd!$A:$B,2,0)),"")</f>
        <v/>
      </c>
      <c r="F1939" t="str">
        <f>IFERROR(IF(D1939="","",VLOOKUP(D1939,CadProd!$A:$C,3,0)),"")</f>
        <v/>
      </c>
      <c r="I1939" s="1" t="str">
        <f t="shared" si="30"/>
        <v/>
      </c>
    </row>
    <row r="1940" spans="5:9" x14ac:dyDescent="0.3">
      <c r="E1940" t="str">
        <f>IFERROR(IF(D1940="","",VLOOKUP(D1940,CadProd!$A:$B,2,0)),"")</f>
        <v/>
      </c>
      <c r="F1940" t="str">
        <f>IFERROR(IF(D1940="","",VLOOKUP(D1940,CadProd!$A:$C,3,0)),"")</f>
        <v/>
      </c>
      <c r="I1940" s="1" t="str">
        <f t="shared" si="30"/>
        <v/>
      </c>
    </row>
    <row r="1941" spans="5:9" x14ac:dyDescent="0.3">
      <c r="E1941" t="str">
        <f>IFERROR(IF(D1941="","",VLOOKUP(D1941,CadProd!$A:$B,2,0)),"")</f>
        <v/>
      </c>
      <c r="F1941" t="str">
        <f>IFERROR(IF(D1941="","",VLOOKUP(D1941,CadProd!$A:$C,3,0)),"")</f>
        <v/>
      </c>
      <c r="I1941" s="1" t="str">
        <f t="shared" si="30"/>
        <v/>
      </c>
    </row>
    <row r="1942" spans="5:9" x14ac:dyDescent="0.3">
      <c r="E1942" t="str">
        <f>IFERROR(IF(D1942="","",VLOOKUP(D1942,CadProd!$A:$B,2,0)),"")</f>
        <v/>
      </c>
      <c r="F1942" t="str">
        <f>IFERROR(IF(D1942="","",VLOOKUP(D1942,CadProd!$A:$C,3,0)),"")</f>
        <v/>
      </c>
      <c r="I1942" s="1" t="str">
        <f t="shared" si="30"/>
        <v/>
      </c>
    </row>
    <row r="1943" spans="5:9" x14ac:dyDescent="0.3">
      <c r="E1943" t="str">
        <f>IFERROR(IF(D1943="","",VLOOKUP(D1943,CadProd!$A:$B,2,0)),"")</f>
        <v/>
      </c>
      <c r="F1943" t="str">
        <f>IFERROR(IF(D1943="","",VLOOKUP(D1943,CadProd!$A:$C,3,0)),"")</f>
        <v/>
      </c>
      <c r="I1943" s="1" t="str">
        <f t="shared" si="30"/>
        <v/>
      </c>
    </row>
    <row r="1944" spans="5:9" x14ac:dyDescent="0.3">
      <c r="E1944" t="str">
        <f>IFERROR(IF(D1944="","",VLOOKUP(D1944,CadProd!$A:$B,2,0)),"")</f>
        <v/>
      </c>
      <c r="F1944" t="str">
        <f>IFERROR(IF(D1944="","",VLOOKUP(D1944,CadProd!$A:$C,3,0)),"")</f>
        <v/>
      </c>
      <c r="I1944" s="1" t="str">
        <f t="shared" si="30"/>
        <v/>
      </c>
    </row>
    <row r="1945" spans="5:9" x14ac:dyDescent="0.3">
      <c r="E1945" t="str">
        <f>IFERROR(IF(D1945="","",VLOOKUP(D1945,CadProd!$A:$B,2,0)),"")</f>
        <v/>
      </c>
      <c r="F1945" t="str">
        <f>IFERROR(IF(D1945="","",VLOOKUP(D1945,CadProd!$A:$C,3,0)),"")</f>
        <v/>
      </c>
      <c r="I1945" s="1" t="str">
        <f t="shared" si="30"/>
        <v/>
      </c>
    </row>
    <row r="1946" spans="5:9" x14ac:dyDescent="0.3">
      <c r="E1946" t="str">
        <f>IFERROR(IF(D1946="","",VLOOKUP(D1946,CadProd!$A:$B,2,0)),"")</f>
        <v/>
      </c>
      <c r="F1946" t="str">
        <f>IFERROR(IF(D1946="","",VLOOKUP(D1946,CadProd!$A:$C,3,0)),"")</f>
        <v/>
      </c>
      <c r="I1946" s="1" t="str">
        <f t="shared" si="30"/>
        <v/>
      </c>
    </row>
    <row r="1947" spans="5:9" x14ac:dyDescent="0.3">
      <c r="E1947" t="str">
        <f>IFERROR(IF(D1947="","",VLOOKUP(D1947,CadProd!$A:$B,2,0)),"")</f>
        <v/>
      </c>
      <c r="F1947" t="str">
        <f>IFERROR(IF(D1947="","",VLOOKUP(D1947,CadProd!$A:$C,3,0)),"")</f>
        <v/>
      </c>
      <c r="I1947" s="1" t="str">
        <f t="shared" si="30"/>
        <v/>
      </c>
    </row>
    <row r="1948" spans="5:9" x14ac:dyDescent="0.3">
      <c r="E1948" t="str">
        <f>IFERROR(IF(D1948="","",VLOOKUP(D1948,CadProd!$A:$B,2,0)),"")</f>
        <v/>
      </c>
      <c r="F1948" t="str">
        <f>IFERROR(IF(D1948="","",VLOOKUP(D1948,CadProd!$A:$C,3,0)),"")</f>
        <v/>
      </c>
      <c r="I1948" s="1" t="str">
        <f t="shared" si="30"/>
        <v/>
      </c>
    </row>
    <row r="1949" spans="5:9" x14ac:dyDescent="0.3">
      <c r="E1949" t="str">
        <f>IFERROR(IF(D1949="","",VLOOKUP(D1949,CadProd!$A:$B,2,0)),"")</f>
        <v/>
      </c>
      <c r="F1949" t="str">
        <f>IFERROR(IF(D1949="","",VLOOKUP(D1949,CadProd!$A:$C,3,0)),"")</f>
        <v/>
      </c>
      <c r="I1949" s="1" t="str">
        <f t="shared" si="30"/>
        <v/>
      </c>
    </row>
    <row r="1950" spans="5:9" x14ac:dyDescent="0.3">
      <c r="E1950" t="str">
        <f>IFERROR(IF(D1950="","",VLOOKUP(D1950,CadProd!$A:$B,2,0)),"")</f>
        <v/>
      </c>
      <c r="F1950" t="str">
        <f>IFERROR(IF(D1950="","",VLOOKUP(D1950,CadProd!$A:$C,3,0)),"")</f>
        <v/>
      </c>
      <c r="I1950" s="1" t="str">
        <f t="shared" si="30"/>
        <v/>
      </c>
    </row>
    <row r="1951" spans="5:9" x14ac:dyDescent="0.3">
      <c r="E1951" t="str">
        <f>IFERROR(IF(D1951="","",VLOOKUP(D1951,CadProd!$A:$B,2,0)),"")</f>
        <v/>
      </c>
      <c r="F1951" t="str">
        <f>IFERROR(IF(D1951="","",VLOOKUP(D1951,CadProd!$A:$C,3,0)),"")</f>
        <v/>
      </c>
      <c r="I1951" s="1" t="str">
        <f t="shared" si="30"/>
        <v/>
      </c>
    </row>
    <row r="1952" spans="5:9" x14ac:dyDescent="0.3">
      <c r="E1952" t="str">
        <f>IFERROR(IF(D1952="","",VLOOKUP(D1952,CadProd!$A:$B,2,0)),"")</f>
        <v/>
      </c>
      <c r="F1952" t="str">
        <f>IFERROR(IF(D1952="","",VLOOKUP(D1952,CadProd!$A:$C,3,0)),"")</f>
        <v/>
      </c>
      <c r="I1952" s="1" t="str">
        <f t="shared" si="30"/>
        <v/>
      </c>
    </row>
    <row r="1953" spans="5:9" x14ac:dyDescent="0.3">
      <c r="E1953" t="str">
        <f>IFERROR(IF(D1953="","",VLOOKUP(D1953,CadProd!$A:$B,2,0)),"")</f>
        <v/>
      </c>
      <c r="F1953" t="str">
        <f>IFERROR(IF(D1953="","",VLOOKUP(D1953,CadProd!$A:$C,3,0)),"")</f>
        <v/>
      </c>
      <c r="I1953" s="1" t="str">
        <f t="shared" si="30"/>
        <v/>
      </c>
    </row>
    <row r="1954" spans="5:9" x14ac:dyDescent="0.3">
      <c r="E1954" t="str">
        <f>IFERROR(IF(D1954="","",VLOOKUP(D1954,CadProd!$A:$B,2,0)),"")</f>
        <v/>
      </c>
      <c r="F1954" t="str">
        <f>IFERROR(IF(D1954="","",VLOOKUP(D1954,CadProd!$A:$C,3,0)),"")</f>
        <v/>
      </c>
      <c r="I1954" s="1" t="str">
        <f t="shared" si="30"/>
        <v/>
      </c>
    </row>
    <row r="1955" spans="5:9" x14ac:dyDescent="0.3">
      <c r="E1955" t="str">
        <f>IFERROR(IF(D1955="","",VLOOKUP(D1955,CadProd!$A:$B,2,0)),"")</f>
        <v/>
      </c>
      <c r="F1955" t="str">
        <f>IFERROR(IF(D1955="","",VLOOKUP(D1955,CadProd!$A:$C,3,0)),"")</f>
        <v/>
      </c>
      <c r="I1955" s="1" t="str">
        <f t="shared" si="30"/>
        <v/>
      </c>
    </row>
    <row r="1956" spans="5:9" x14ac:dyDescent="0.3">
      <c r="E1956" t="str">
        <f>IFERROR(IF(D1956="","",VLOOKUP(D1956,CadProd!$A:$B,2,0)),"")</f>
        <v/>
      </c>
      <c r="F1956" t="str">
        <f>IFERROR(IF(D1956="","",VLOOKUP(D1956,CadProd!$A:$C,3,0)),"")</f>
        <v/>
      </c>
      <c r="I1956" s="1" t="str">
        <f t="shared" si="30"/>
        <v/>
      </c>
    </row>
    <row r="1957" spans="5:9" x14ac:dyDescent="0.3">
      <c r="E1957" t="str">
        <f>IFERROR(IF(D1957="","",VLOOKUP(D1957,CadProd!$A:$B,2,0)),"")</f>
        <v/>
      </c>
      <c r="F1957" t="str">
        <f>IFERROR(IF(D1957="","",VLOOKUP(D1957,CadProd!$A:$C,3,0)),"")</f>
        <v/>
      </c>
      <c r="I1957" s="1" t="str">
        <f t="shared" si="30"/>
        <v/>
      </c>
    </row>
    <row r="1958" spans="5:9" x14ac:dyDescent="0.3">
      <c r="E1958" t="str">
        <f>IFERROR(IF(D1958="","",VLOOKUP(D1958,CadProd!$A:$B,2,0)),"")</f>
        <v/>
      </c>
      <c r="F1958" t="str">
        <f>IFERROR(IF(D1958="","",VLOOKUP(D1958,CadProd!$A:$C,3,0)),"")</f>
        <v/>
      </c>
      <c r="I1958" s="1" t="str">
        <f t="shared" si="30"/>
        <v/>
      </c>
    </row>
    <row r="1959" spans="5:9" x14ac:dyDescent="0.3">
      <c r="E1959" t="str">
        <f>IFERROR(IF(D1959="","",VLOOKUP(D1959,CadProd!$A:$B,2,0)),"")</f>
        <v/>
      </c>
      <c r="F1959" t="str">
        <f>IFERROR(IF(D1959="","",VLOOKUP(D1959,CadProd!$A:$C,3,0)),"")</f>
        <v/>
      </c>
      <c r="I1959" s="1" t="str">
        <f t="shared" si="30"/>
        <v/>
      </c>
    </row>
    <row r="1960" spans="5:9" x14ac:dyDescent="0.3">
      <c r="E1960" t="str">
        <f>IFERROR(IF(D1960="","",VLOOKUP(D1960,CadProd!$A:$B,2,0)),"")</f>
        <v/>
      </c>
      <c r="F1960" t="str">
        <f>IFERROR(IF(D1960="","",VLOOKUP(D1960,CadProd!$A:$C,3,0)),"")</f>
        <v/>
      </c>
      <c r="I1960" s="1" t="str">
        <f t="shared" si="30"/>
        <v/>
      </c>
    </row>
    <row r="1961" spans="5:9" x14ac:dyDescent="0.3">
      <c r="E1961" t="str">
        <f>IFERROR(IF(D1961="","",VLOOKUP(D1961,CadProd!$A:$B,2,0)),"")</f>
        <v/>
      </c>
      <c r="F1961" t="str">
        <f>IFERROR(IF(D1961="","",VLOOKUP(D1961,CadProd!$A:$C,3,0)),"")</f>
        <v/>
      </c>
      <c r="I1961" s="1" t="str">
        <f t="shared" si="30"/>
        <v/>
      </c>
    </row>
    <row r="1962" spans="5:9" x14ac:dyDescent="0.3">
      <c r="E1962" t="str">
        <f>IFERROR(IF(D1962="","",VLOOKUP(D1962,CadProd!$A:$B,2,0)),"")</f>
        <v/>
      </c>
      <c r="F1962" t="str">
        <f>IFERROR(IF(D1962="","",VLOOKUP(D1962,CadProd!$A:$C,3,0)),"")</f>
        <v/>
      </c>
      <c r="I1962" s="1" t="str">
        <f t="shared" si="30"/>
        <v/>
      </c>
    </row>
    <row r="1963" spans="5:9" x14ac:dyDescent="0.3">
      <c r="E1963" t="str">
        <f>IFERROR(IF(D1963="","",VLOOKUP(D1963,CadProd!$A:$B,2,0)),"")</f>
        <v/>
      </c>
      <c r="F1963" t="str">
        <f>IFERROR(IF(D1963="","",VLOOKUP(D1963,CadProd!$A:$C,3,0)),"")</f>
        <v/>
      </c>
      <c r="I1963" s="1" t="str">
        <f t="shared" si="30"/>
        <v/>
      </c>
    </row>
    <row r="1964" spans="5:9" x14ac:dyDescent="0.3">
      <c r="E1964" t="str">
        <f>IFERROR(IF(D1964="","",VLOOKUP(D1964,CadProd!$A:$B,2,0)),"")</f>
        <v/>
      </c>
      <c r="F1964" t="str">
        <f>IFERROR(IF(D1964="","",VLOOKUP(D1964,CadProd!$A:$C,3,0)),"")</f>
        <v/>
      </c>
      <c r="I1964" s="1" t="str">
        <f t="shared" si="30"/>
        <v/>
      </c>
    </row>
    <row r="1965" spans="5:9" x14ac:dyDescent="0.3">
      <c r="E1965" t="str">
        <f>IFERROR(IF(D1965="","",VLOOKUP(D1965,CadProd!$A:$B,2,0)),"")</f>
        <v/>
      </c>
      <c r="F1965" t="str">
        <f>IFERROR(IF(D1965="","",VLOOKUP(D1965,CadProd!$A:$C,3,0)),"")</f>
        <v/>
      </c>
      <c r="I1965" s="1" t="str">
        <f t="shared" si="30"/>
        <v/>
      </c>
    </row>
    <row r="1966" spans="5:9" x14ac:dyDescent="0.3">
      <c r="E1966" t="str">
        <f>IFERROR(IF(D1966="","",VLOOKUP(D1966,CadProd!$A:$B,2,0)),"")</f>
        <v/>
      </c>
      <c r="F1966" t="str">
        <f>IFERROR(IF(D1966="","",VLOOKUP(D1966,CadProd!$A:$C,3,0)),"")</f>
        <v/>
      </c>
      <c r="I1966" s="1" t="str">
        <f t="shared" si="30"/>
        <v/>
      </c>
    </row>
    <row r="1967" spans="5:9" x14ac:dyDescent="0.3">
      <c r="E1967" t="str">
        <f>IFERROR(IF(D1967="","",VLOOKUP(D1967,CadProd!$A:$B,2,0)),"")</f>
        <v/>
      </c>
      <c r="F1967" t="str">
        <f>IFERROR(IF(D1967="","",VLOOKUP(D1967,CadProd!$A:$C,3,0)),"")</f>
        <v/>
      </c>
      <c r="I1967" s="1" t="str">
        <f t="shared" si="30"/>
        <v/>
      </c>
    </row>
    <row r="1968" spans="5:9" x14ac:dyDescent="0.3">
      <c r="E1968" t="str">
        <f>IFERROR(IF(D1968="","",VLOOKUP(D1968,CadProd!$A:$B,2,0)),"")</f>
        <v/>
      </c>
      <c r="F1968" t="str">
        <f>IFERROR(IF(D1968="","",VLOOKUP(D1968,CadProd!$A:$C,3,0)),"")</f>
        <v/>
      </c>
      <c r="I1968" s="1" t="str">
        <f t="shared" si="30"/>
        <v/>
      </c>
    </row>
    <row r="1969" spans="5:9" x14ac:dyDescent="0.3">
      <c r="E1969" t="str">
        <f>IFERROR(IF(D1969="","",VLOOKUP(D1969,CadProd!$A:$B,2,0)),"")</f>
        <v/>
      </c>
      <c r="F1969" t="str">
        <f>IFERROR(IF(D1969="","",VLOOKUP(D1969,CadProd!$A:$C,3,0)),"")</f>
        <v/>
      </c>
      <c r="I1969" s="1" t="str">
        <f t="shared" si="30"/>
        <v/>
      </c>
    </row>
    <row r="1970" spans="5:9" x14ac:dyDescent="0.3">
      <c r="E1970" t="str">
        <f>IFERROR(IF(D1970="","",VLOOKUP(D1970,CadProd!$A:$B,2,0)),"")</f>
        <v/>
      </c>
      <c r="F1970" t="str">
        <f>IFERROR(IF(D1970="","",VLOOKUP(D1970,CadProd!$A:$C,3,0)),"")</f>
        <v/>
      </c>
      <c r="I1970" s="1" t="str">
        <f t="shared" si="30"/>
        <v/>
      </c>
    </row>
    <row r="1971" spans="5:9" x14ac:dyDescent="0.3">
      <c r="E1971" t="str">
        <f>IFERROR(IF(D1971="","",VLOOKUP(D1971,CadProd!$A:$B,2,0)),"")</f>
        <v/>
      </c>
      <c r="F1971" t="str">
        <f>IFERROR(IF(D1971="","",VLOOKUP(D1971,CadProd!$A:$C,3,0)),"")</f>
        <v/>
      </c>
      <c r="I1971" s="1" t="str">
        <f t="shared" si="30"/>
        <v/>
      </c>
    </row>
    <row r="1972" spans="5:9" x14ac:dyDescent="0.3">
      <c r="E1972" t="str">
        <f>IFERROR(IF(D1972="","",VLOOKUP(D1972,CadProd!$A:$B,2,0)),"")</f>
        <v/>
      </c>
      <c r="F1972" t="str">
        <f>IFERROR(IF(D1972="","",VLOOKUP(D1972,CadProd!$A:$C,3,0)),"")</f>
        <v/>
      </c>
      <c r="I1972" s="1" t="str">
        <f t="shared" si="30"/>
        <v/>
      </c>
    </row>
    <row r="1973" spans="5:9" x14ac:dyDescent="0.3">
      <c r="E1973" t="str">
        <f>IFERROR(IF(D1973="","",VLOOKUP(D1973,CadProd!$A:$B,2,0)),"")</f>
        <v/>
      </c>
      <c r="F1973" t="str">
        <f>IFERROR(IF(D1973="","",VLOOKUP(D1973,CadProd!$A:$C,3,0)),"")</f>
        <v/>
      </c>
      <c r="I1973" s="1" t="str">
        <f t="shared" si="30"/>
        <v/>
      </c>
    </row>
    <row r="1974" spans="5:9" x14ac:dyDescent="0.3">
      <c r="E1974" t="str">
        <f>IFERROR(IF(D1974="","",VLOOKUP(D1974,CadProd!$A:$B,2,0)),"")</f>
        <v/>
      </c>
      <c r="F1974" t="str">
        <f>IFERROR(IF(D1974="","",VLOOKUP(D1974,CadProd!$A:$C,3,0)),"")</f>
        <v/>
      </c>
      <c r="I1974" s="1" t="str">
        <f t="shared" si="30"/>
        <v/>
      </c>
    </row>
    <row r="1975" spans="5:9" x14ac:dyDescent="0.3">
      <c r="E1975" t="str">
        <f>IFERROR(IF(D1975="","",VLOOKUP(D1975,CadProd!$A:$B,2,0)),"")</f>
        <v/>
      </c>
      <c r="F1975" t="str">
        <f>IFERROR(IF(D1975="","",VLOOKUP(D1975,CadProd!$A:$C,3,0)),"")</f>
        <v/>
      </c>
      <c r="I1975" s="1" t="str">
        <f t="shared" si="30"/>
        <v/>
      </c>
    </row>
    <row r="1976" spans="5:9" x14ac:dyDescent="0.3">
      <c r="E1976" t="str">
        <f>IFERROR(IF(D1976="","",VLOOKUP(D1976,CadProd!$A:$B,2,0)),"")</f>
        <v/>
      </c>
      <c r="F1976" t="str">
        <f>IFERROR(IF(D1976="","",VLOOKUP(D1976,CadProd!$A:$C,3,0)),"")</f>
        <v/>
      </c>
      <c r="I1976" s="1" t="str">
        <f t="shared" si="30"/>
        <v/>
      </c>
    </row>
    <row r="1977" spans="5:9" x14ac:dyDescent="0.3">
      <c r="E1977" t="str">
        <f>IFERROR(IF(D1977="","",VLOOKUP(D1977,CadProd!$A:$B,2,0)),"")</f>
        <v/>
      </c>
      <c r="F1977" t="str">
        <f>IFERROR(IF(D1977="","",VLOOKUP(D1977,CadProd!$A:$C,3,0)),"")</f>
        <v/>
      </c>
      <c r="I1977" s="1" t="str">
        <f t="shared" si="30"/>
        <v/>
      </c>
    </row>
    <row r="1978" spans="5:9" x14ac:dyDescent="0.3">
      <c r="E1978" t="str">
        <f>IFERROR(IF(D1978="","",VLOOKUP(D1978,CadProd!$A:$B,2,0)),"")</f>
        <v/>
      </c>
      <c r="F1978" t="str">
        <f>IFERROR(IF(D1978="","",VLOOKUP(D1978,CadProd!$A:$C,3,0)),"")</f>
        <v/>
      </c>
      <c r="I1978" s="1" t="str">
        <f t="shared" si="30"/>
        <v/>
      </c>
    </row>
    <row r="1979" spans="5:9" x14ac:dyDescent="0.3">
      <c r="E1979" t="str">
        <f>IFERROR(IF(D1979="","",VLOOKUP(D1979,CadProd!$A:$B,2,0)),"")</f>
        <v/>
      </c>
      <c r="F1979" t="str">
        <f>IFERROR(IF(D1979="","",VLOOKUP(D1979,CadProd!$A:$C,3,0)),"")</f>
        <v/>
      </c>
      <c r="I1979" s="1" t="str">
        <f t="shared" si="30"/>
        <v/>
      </c>
    </row>
    <row r="1980" spans="5:9" x14ac:dyDescent="0.3">
      <c r="E1980" t="str">
        <f>IFERROR(IF(D1980="","",VLOOKUP(D1980,CadProd!$A:$B,2,0)),"")</f>
        <v/>
      </c>
      <c r="F1980" t="str">
        <f>IFERROR(IF(D1980="","",VLOOKUP(D1980,CadProd!$A:$C,3,0)),"")</f>
        <v/>
      </c>
      <c r="I1980" s="1" t="str">
        <f t="shared" si="30"/>
        <v/>
      </c>
    </row>
    <row r="1981" spans="5:9" x14ac:dyDescent="0.3">
      <c r="E1981" t="str">
        <f>IFERROR(IF(D1981="","",VLOOKUP(D1981,CadProd!$A:$B,2,0)),"")</f>
        <v/>
      </c>
      <c r="F1981" t="str">
        <f>IFERROR(IF(D1981="","",VLOOKUP(D1981,CadProd!$A:$C,3,0)),"")</f>
        <v/>
      </c>
      <c r="I1981" s="1" t="str">
        <f t="shared" si="30"/>
        <v/>
      </c>
    </row>
    <row r="1982" spans="5:9" x14ac:dyDescent="0.3">
      <c r="E1982" t="str">
        <f>IFERROR(IF(D1982="","",VLOOKUP(D1982,CadProd!$A:$B,2,0)),"")</f>
        <v/>
      </c>
      <c r="F1982" t="str">
        <f>IFERROR(IF(D1982="","",VLOOKUP(D1982,CadProd!$A:$C,3,0)),"")</f>
        <v/>
      </c>
      <c r="I1982" s="1" t="str">
        <f t="shared" si="30"/>
        <v/>
      </c>
    </row>
    <row r="1983" spans="5:9" x14ac:dyDescent="0.3">
      <c r="E1983" t="str">
        <f>IFERROR(IF(D1983="","",VLOOKUP(D1983,CadProd!$A:$B,2,0)),"")</f>
        <v/>
      </c>
      <c r="F1983" t="str">
        <f>IFERROR(IF(D1983="","",VLOOKUP(D1983,CadProd!$A:$C,3,0)),"")</f>
        <v/>
      </c>
      <c r="I1983" s="1" t="str">
        <f t="shared" si="30"/>
        <v/>
      </c>
    </row>
    <row r="1984" spans="5:9" x14ac:dyDescent="0.3">
      <c r="E1984" t="str">
        <f>IFERROR(IF(D1984="","",VLOOKUP(D1984,CadProd!$A:$B,2,0)),"")</f>
        <v/>
      </c>
      <c r="F1984" t="str">
        <f>IFERROR(IF(D1984="","",VLOOKUP(D1984,CadProd!$A:$C,3,0)),"")</f>
        <v/>
      </c>
      <c r="I1984" s="1" t="str">
        <f t="shared" si="30"/>
        <v/>
      </c>
    </row>
    <row r="1985" spans="5:9" x14ac:dyDescent="0.3">
      <c r="E1985" t="str">
        <f>IFERROR(IF(D1985="","",VLOOKUP(D1985,CadProd!$A:$B,2,0)),"")</f>
        <v/>
      </c>
      <c r="F1985" t="str">
        <f>IFERROR(IF(D1985="","",VLOOKUP(D1985,CadProd!$A:$C,3,0)),"")</f>
        <v/>
      </c>
      <c r="I1985" s="1" t="str">
        <f t="shared" si="30"/>
        <v/>
      </c>
    </row>
    <row r="1986" spans="5:9" x14ac:dyDescent="0.3">
      <c r="E1986" t="str">
        <f>IFERROR(IF(D1986="","",VLOOKUP(D1986,CadProd!$A:$B,2,0)),"")</f>
        <v/>
      </c>
      <c r="F1986" t="str">
        <f>IFERROR(IF(D1986="","",VLOOKUP(D1986,CadProd!$A:$C,3,0)),"")</f>
        <v/>
      </c>
      <c r="I1986" s="1" t="str">
        <f t="shared" si="30"/>
        <v/>
      </c>
    </row>
    <row r="1987" spans="5:9" x14ac:dyDescent="0.3">
      <c r="E1987" t="str">
        <f>IFERROR(IF(D1987="","",VLOOKUP(D1987,CadProd!$A:$B,2,0)),"")</f>
        <v/>
      </c>
      <c r="F1987" t="str">
        <f>IFERROR(IF(D1987="","",VLOOKUP(D1987,CadProd!$A:$C,3,0)),"")</f>
        <v/>
      </c>
      <c r="I1987" s="1" t="str">
        <f t="shared" si="30"/>
        <v/>
      </c>
    </row>
    <row r="1988" spans="5:9" x14ac:dyDescent="0.3">
      <c r="E1988" t="str">
        <f>IFERROR(IF(D1988="","",VLOOKUP(D1988,CadProd!$A:$B,2,0)),"")</f>
        <v/>
      </c>
      <c r="F1988" t="str">
        <f>IFERROR(IF(D1988="","",VLOOKUP(D1988,CadProd!$A:$C,3,0)),"")</f>
        <v/>
      </c>
      <c r="I1988" s="1" t="str">
        <f t="shared" si="30"/>
        <v/>
      </c>
    </row>
    <row r="1989" spans="5:9" x14ac:dyDescent="0.3">
      <c r="E1989" t="str">
        <f>IFERROR(IF(D1989="","",VLOOKUP(D1989,CadProd!$A:$B,2,0)),"")</f>
        <v/>
      </c>
      <c r="F1989" t="str">
        <f>IFERROR(IF(D1989="","",VLOOKUP(D1989,CadProd!$A:$C,3,0)),"")</f>
        <v/>
      </c>
      <c r="I1989" s="1" t="str">
        <f t="shared" si="30"/>
        <v/>
      </c>
    </row>
    <row r="1990" spans="5:9" x14ac:dyDescent="0.3">
      <c r="E1990" t="str">
        <f>IFERROR(IF(D1990="","",VLOOKUP(D1990,CadProd!$A:$B,2,0)),"")</f>
        <v/>
      </c>
      <c r="F1990" t="str">
        <f>IFERROR(IF(D1990="","",VLOOKUP(D1990,CadProd!$A:$C,3,0)),"")</f>
        <v/>
      </c>
      <c r="I1990" s="1" t="str">
        <f t="shared" si="30"/>
        <v/>
      </c>
    </row>
    <row r="1991" spans="5:9" x14ac:dyDescent="0.3">
      <c r="E1991" t="str">
        <f>IFERROR(IF(D1991="","",VLOOKUP(D1991,CadProd!$A:$B,2,0)),"")</f>
        <v/>
      </c>
      <c r="F1991" t="str">
        <f>IFERROR(IF(D1991="","",VLOOKUP(D1991,CadProd!$A:$C,3,0)),"")</f>
        <v/>
      </c>
      <c r="I1991" s="1" t="str">
        <f t="shared" si="30"/>
        <v/>
      </c>
    </row>
    <row r="1992" spans="5:9" x14ac:dyDescent="0.3">
      <c r="E1992" t="str">
        <f>IFERROR(IF(D1992="","",VLOOKUP(D1992,CadProd!$A:$B,2,0)),"")</f>
        <v/>
      </c>
      <c r="F1992" t="str">
        <f>IFERROR(IF(D1992="","",VLOOKUP(D1992,CadProd!$A:$C,3,0)),"")</f>
        <v/>
      </c>
      <c r="I1992" s="1" t="str">
        <f t="shared" si="30"/>
        <v/>
      </c>
    </row>
    <row r="1993" spans="5:9" x14ac:dyDescent="0.3">
      <c r="E1993" t="str">
        <f>IFERROR(IF(D1993="","",VLOOKUP(D1993,CadProd!$A:$B,2,0)),"")</f>
        <v/>
      </c>
      <c r="F1993" t="str">
        <f>IFERROR(IF(D1993="","",VLOOKUP(D1993,CadProd!$A:$C,3,0)),"")</f>
        <v/>
      </c>
      <c r="I1993" s="1" t="str">
        <f t="shared" si="30"/>
        <v/>
      </c>
    </row>
    <row r="1994" spans="5:9" x14ac:dyDescent="0.3">
      <c r="E1994" t="str">
        <f>IFERROR(IF(D1994="","",VLOOKUP(D1994,CadProd!$A:$B,2,0)),"")</f>
        <v/>
      </c>
      <c r="F1994" t="str">
        <f>IFERROR(IF(D1994="","",VLOOKUP(D1994,CadProd!$A:$C,3,0)),"")</f>
        <v/>
      </c>
      <c r="I1994" s="1" t="str">
        <f t="shared" si="30"/>
        <v/>
      </c>
    </row>
    <row r="1995" spans="5:9" x14ac:dyDescent="0.3">
      <c r="E1995" t="str">
        <f>IFERROR(IF(D1995="","",VLOOKUP(D1995,CadProd!$A:$B,2,0)),"")</f>
        <v/>
      </c>
      <c r="F1995" t="str">
        <f>IFERROR(IF(D1995="","",VLOOKUP(D1995,CadProd!$A:$C,3,0)),"")</f>
        <v/>
      </c>
      <c r="I1995" s="1" t="str">
        <f t="shared" ref="I1995:I2058" si="31">IFERROR(IF(D1995="","",H1995*G1995),"")</f>
        <v/>
      </c>
    </row>
    <row r="1996" spans="5:9" x14ac:dyDescent="0.3">
      <c r="E1996" t="str">
        <f>IFERROR(IF(D1996="","",VLOOKUP(D1996,CadProd!$A:$B,2,0)),"")</f>
        <v/>
      </c>
      <c r="F1996" t="str">
        <f>IFERROR(IF(D1996="","",VLOOKUP(D1996,CadProd!$A:$C,3,0)),"")</f>
        <v/>
      </c>
      <c r="I1996" s="1" t="str">
        <f t="shared" si="31"/>
        <v/>
      </c>
    </row>
    <row r="1997" spans="5:9" x14ac:dyDescent="0.3">
      <c r="E1997" t="str">
        <f>IFERROR(IF(D1997="","",VLOOKUP(D1997,CadProd!$A:$B,2,0)),"")</f>
        <v/>
      </c>
      <c r="F1997" t="str">
        <f>IFERROR(IF(D1997="","",VLOOKUP(D1997,CadProd!$A:$C,3,0)),"")</f>
        <v/>
      </c>
      <c r="I1997" s="1" t="str">
        <f t="shared" si="31"/>
        <v/>
      </c>
    </row>
    <row r="1998" spans="5:9" x14ac:dyDescent="0.3">
      <c r="E1998" t="str">
        <f>IFERROR(IF(D1998="","",VLOOKUP(D1998,CadProd!$A:$B,2,0)),"")</f>
        <v/>
      </c>
      <c r="F1998" t="str">
        <f>IFERROR(IF(D1998="","",VLOOKUP(D1998,CadProd!$A:$C,3,0)),"")</f>
        <v/>
      </c>
      <c r="I1998" s="1" t="str">
        <f t="shared" si="31"/>
        <v/>
      </c>
    </row>
    <row r="1999" spans="5:9" x14ac:dyDescent="0.3">
      <c r="E1999" t="str">
        <f>IFERROR(IF(D1999="","",VLOOKUP(D1999,CadProd!$A:$B,2,0)),"")</f>
        <v/>
      </c>
      <c r="F1999" t="str">
        <f>IFERROR(IF(D1999="","",VLOOKUP(D1999,CadProd!$A:$C,3,0)),"")</f>
        <v/>
      </c>
      <c r="I1999" s="1" t="str">
        <f t="shared" si="31"/>
        <v/>
      </c>
    </row>
    <row r="2000" spans="5:9" x14ac:dyDescent="0.3">
      <c r="E2000" t="str">
        <f>IFERROR(IF(D2000="","",VLOOKUP(D2000,CadProd!$A:$B,2,0)),"")</f>
        <v/>
      </c>
      <c r="F2000" t="str">
        <f>IFERROR(IF(D2000="","",VLOOKUP(D2000,CadProd!$A:$C,3,0)),"")</f>
        <v/>
      </c>
      <c r="I2000" s="1" t="str">
        <f t="shared" si="31"/>
        <v/>
      </c>
    </row>
    <row r="2001" spans="5:9" x14ac:dyDescent="0.3">
      <c r="E2001" t="str">
        <f>IFERROR(IF(D2001="","",VLOOKUP(D2001,CadProd!$A:$B,2,0)),"")</f>
        <v/>
      </c>
      <c r="F2001" t="str">
        <f>IFERROR(IF(D2001="","",VLOOKUP(D2001,CadProd!$A:$C,3,0)),"")</f>
        <v/>
      </c>
      <c r="I2001" s="1" t="str">
        <f t="shared" si="31"/>
        <v/>
      </c>
    </row>
    <row r="2002" spans="5:9" x14ac:dyDescent="0.3">
      <c r="E2002" t="str">
        <f>IFERROR(IF(D2002="","",VLOOKUP(D2002,CadProd!$A:$B,2,0)),"")</f>
        <v/>
      </c>
      <c r="F2002" t="str">
        <f>IFERROR(IF(D2002="","",VLOOKUP(D2002,CadProd!$A:$C,3,0)),"")</f>
        <v/>
      </c>
      <c r="I2002" s="1" t="str">
        <f t="shared" si="31"/>
        <v/>
      </c>
    </row>
    <row r="2003" spans="5:9" x14ac:dyDescent="0.3">
      <c r="E2003" t="str">
        <f>IFERROR(IF(D2003="","",VLOOKUP(D2003,CadProd!$A:$B,2,0)),"")</f>
        <v/>
      </c>
      <c r="F2003" t="str">
        <f>IFERROR(IF(D2003="","",VLOOKUP(D2003,CadProd!$A:$C,3,0)),"")</f>
        <v/>
      </c>
      <c r="I2003" s="1" t="str">
        <f t="shared" si="31"/>
        <v/>
      </c>
    </row>
    <row r="2004" spans="5:9" x14ac:dyDescent="0.3">
      <c r="E2004" t="str">
        <f>IFERROR(IF(D2004="","",VLOOKUP(D2004,CadProd!$A:$B,2,0)),"")</f>
        <v/>
      </c>
      <c r="F2004" t="str">
        <f>IFERROR(IF(D2004="","",VLOOKUP(D2004,CadProd!$A:$C,3,0)),"")</f>
        <v/>
      </c>
      <c r="I2004" s="1" t="str">
        <f t="shared" si="31"/>
        <v/>
      </c>
    </row>
    <row r="2005" spans="5:9" x14ac:dyDescent="0.3">
      <c r="E2005" t="str">
        <f>IFERROR(IF(D2005="","",VLOOKUP(D2005,CadProd!$A:$B,2,0)),"")</f>
        <v/>
      </c>
      <c r="F2005" t="str">
        <f>IFERROR(IF(D2005="","",VLOOKUP(D2005,CadProd!$A:$C,3,0)),"")</f>
        <v/>
      </c>
      <c r="I2005" s="1" t="str">
        <f t="shared" si="31"/>
        <v/>
      </c>
    </row>
    <row r="2006" spans="5:9" x14ac:dyDescent="0.3">
      <c r="E2006" t="str">
        <f>IFERROR(IF(D2006="","",VLOOKUP(D2006,CadProd!$A:$B,2,0)),"")</f>
        <v/>
      </c>
      <c r="F2006" t="str">
        <f>IFERROR(IF(D2006="","",VLOOKUP(D2006,CadProd!$A:$C,3,0)),"")</f>
        <v/>
      </c>
      <c r="I2006" s="1" t="str">
        <f t="shared" si="31"/>
        <v/>
      </c>
    </row>
    <row r="2007" spans="5:9" x14ac:dyDescent="0.3">
      <c r="E2007" t="str">
        <f>IFERROR(IF(D2007="","",VLOOKUP(D2007,CadProd!$A:$B,2,0)),"")</f>
        <v/>
      </c>
      <c r="F2007" t="str">
        <f>IFERROR(IF(D2007="","",VLOOKUP(D2007,CadProd!$A:$C,3,0)),"")</f>
        <v/>
      </c>
      <c r="I2007" s="1" t="str">
        <f t="shared" si="31"/>
        <v/>
      </c>
    </row>
    <row r="2008" spans="5:9" x14ac:dyDescent="0.3">
      <c r="E2008" t="str">
        <f>IFERROR(IF(D2008="","",VLOOKUP(D2008,CadProd!$A:$B,2,0)),"")</f>
        <v/>
      </c>
      <c r="F2008" t="str">
        <f>IFERROR(IF(D2008="","",VLOOKUP(D2008,CadProd!$A:$C,3,0)),"")</f>
        <v/>
      </c>
      <c r="I2008" s="1" t="str">
        <f t="shared" si="31"/>
        <v/>
      </c>
    </row>
    <row r="2009" spans="5:9" x14ac:dyDescent="0.3">
      <c r="E2009" t="str">
        <f>IFERROR(IF(D2009="","",VLOOKUP(D2009,CadProd!$A:$B,2,0)),"")</f>
        <v/>
      </c>
      <c r="F2009" t="str">
        <f>IFERROR(IF(D2009="","",VLOOKUP(D2009,CadProd!$A:$C,3,0)),"")</f>
        <v/>
      </c>
      <c r="I2009" s="1" t="str">
        <f t="shared" si="31"/>
        <v/>
      </c>
    </row>
    <row r="2010" spans="5:9" x14ac:dyDescent="0.3">
      <c r="E2010" t="str">
        <f>IFERROR(IF(D2010="","",VLOOKUP(D2010,CadProd!$A:$B,2,0)),"")</f>
        <v/>
      </c>
      <c r="F2010" t="str">
        <f>IFERROR(IF(D2010="","",VLOOKUP(D2010,CadProd!$A:$C,3,0)),"")</f>
        <v/>
      </c>
      <c r="I2010" s="1" t="str">
        <f t="shared" si="31"/>
        <v/>
      </c>
    </row>
    <row r="2011" spans="5:9" x14ac:dyDescent="0.3">
      <c r="E2011" t="str">
        <f>IFERROR(IF(D2011="","",VLOOKUP(D2011,CadProd!$A:$B,2,0)),"")</f>
        <v/>
      </c>
      <c r="F2011" t="str">
        <f>IFERROR(IF(D2011="","",VLOOKUP(D2011,CadProd!$A:$C,3,0)),"")</f>
        <v/>
      </c>
      <c r="I2011" s="1" t="str">
        <f t="shared" si="31"/>
        <v/>
      </c>
    </row>
    <row r="2012" spans="5:9" x14ac:dyDescent="0.3">
      <c r="E2012" t="str">
        <f>IFERROR(IF(D2012="","",VLOOKUP(D2012,CadProd!$A:$B,2,0)),"")</f>
        <v/>
      </c>
      <c r="F2012" t="str">
        <f>IFERROR(IF(D2012="","",VLOOKUP(D2012,CadProd!$A:$C,3,0)),"")</f>
        <v/>
      </c>
      <c r="I2012" s="1" t="str">
        <f t="shared" si="31"/>
        <v/>
      </c>
    </row>
    <row r="2013" spans="5:9" x14ac:dyDescent="0.3">
      <c r="E2013" t="str">
        <f>IFERROR(IF(D2013="","",VLOOKUP(D2013,CadProd!$A:$B,2,0)),"")</f>
        <v/>
      </c>
      <c r="F2013" t="str">
        <f>IFERROR(IF(D2013="","",VLOOKUP(D2013,CadProd!$A:$C,3,0)),"")</f>
        <v/>
      </c>
      <c r="I2013" s="1" t="str">
        <f t="shared" si="31"/>
        <v/>
      </c>
    </row>
    <row r="2014" spans="5:9" x14ac:dyDescent="0.3">
      <c r="E2014" t="str">
        <f>IFERROR(IF(D2014="","",VLOOKUP(D2014,CadProd!$A:$B,2,0)),"")</f>
        <v/>
      </c>
      <c r="F2014" t="str">
        <f>IFERROR(IF(D2014="","",VLOOKUP(D2014,CadProd!$A:$C,3,0)),"")</f>
        <v/>
      </c>
      <c r="I2014" s="1" t="str">
        <f t="shared" si="31"/>
        <v/>
      </c>
    </row>
    <row r="2015" spans="5:9" x14ac:dyDescent="0.3">
      <c r="E2015" t="str">
        <f>IFERROR(IF(D2015="","",VLOOKUP(D2015,CadProd!$A:$B,2,0)),"")</f>
        <v/>
      </c>
      <c r="F2015" t="str">
        <f>IFERROR(IF(D2015="","",VLOOKUP(D2015,CadProd!$A:$C,3,0)),"")</f>
        <v/>
      </c>
      <c r="I2015" s="1" t="str">
        <f t="shared" si="31"/>
        <v/>
      </c>
    </row>
    <row r="2016" spans="5:9" x14ac:dyDescent="0.3">
      <c r="E2016" t="str">
        <f>IFERROR(IF(D2016="","",VLOOKUP(D2016,CadProd!$A:$B,2,0)),"")</f>
        <v/>
      </c>
      <c r="F2016" t="str">
        <f>IFERROR(IF(D2016="","",VLOOKUP(D2016,CadProd!$A:$C,3,0)),"")</f>
        <v/>
      </c>
      <c r="I2016" s="1" t="str">
        <f t="shared" si="31"/>
        <v/>
      </c>
    </row>
    <row r="2017" spans="5:9" x14ac:dyDescent="0.3">
      <c r="E2017" t="str">
        <f>IFERROR(IF(D2017="","",VLOOKUP(D2017,CadProd!$A:$B,2,0)),"")</f>
        <v/>
      </c>
      <c r="F2017" t="str">
        <f>IFERROR(IF(D2017="","",VLOOKUP(D2017,CadProd!$A:$C,3,0)),"")</f>
        <v/>
      </c>
      <c r="I2017" s="1" t="str">
        <f t="shared" si="31"/>
        <v/>
      </c>
    </row>
    <row r="2018" spans="5:9" x14ac:dyDescent="0.3">
      <c r="E2018" t="str">
        <f>IFERROR(IF(D2018="","",VLOOKUP(D2018,CadProd!$A:$B,2,0)),"")</f>
        <v/>
      </c>
      <c r="F2018" t="str">
        <f>IFERROR(IF(D2018="","",VLOOKUP(D2018,CadProd!$A:$C,3,0)),"")</f>
        <v/>
      </c>
      <c r="I2018" s="1" t="str">
        <f t="shared" si="31"/>
        <v/>
      </c>
    </row>
    <row r="2019" spans="5:9" x14ac:dyDescent="0.3">
      <c r="E2019" t="str">
        <f>IFERROR(IF(D2019="","",VLOOKUP(D2019,CadProd!$A:$B,2,0)),"")</f>
        <v/>
      </c>
      <c r="F2019" t="str">
        <f>IFERROR(IF(D2019="","",VLOOKUP(D2019,CadProd!$A:$C,3,0)),"")</f>
        <v/>
      </c>
      <c r="I2019" s="1" t="str">
        <f t="shared" si="31"/>
        <v/>
      </c>
    </row>
    <row r="2020" spans="5:9" x14ac:dyDescent="0.3">
      <c r="E2020" t="str">
        <f>IFERROR(IF(D2020="","",VLOOKUP(D2020,CadProd!$A:$B,2,0)),"")</f>
        <v/>
      </c>
      <c r="F2020" t="str">
        <f>IFERROR(IF(D2020="","",VLOOKUP(D2020,CadProd!$A:$C,3,0)),"")</f>
        <v/>
      </c>
      <c r="I2020" s="1" t="str">
        <f t="shared" si="31"/>
        <v/>
      </c>
    </row>
    <row r="2021" spans="5:9" x14ac:dyDescent="0.3">
      <c r="E2021" t="str">
        <f>IFERROR(IF(D2021="","",VLOOKUP(D2021,CadProd!$A:$B,2,0)),"")</f>
        <v/>
      </c>
      <c r="F2021" t="str">
        <f>IFERROR(IF(D2021="","",VLOOKUP(D2021,CadProd!$A:$C,3,0)),"")</f>
        <v/>
      </c>
      <c r="I2021" s="1" t="str">
        <f t="shared" si="31"/>
        <v/>
      </c>
    </row>
    <row r="2022" spans="5:9" x14ac:dyDescent="0.3">
      <c r="E2022" t="str">
        <f>IFERROR(IF(D2022="","",VLOOKUP(D2022,CadProd!$A:$B,2,0)),"")</f>
        <v/>
      </c>
      <c r="F2022" t="str">
        <f>IFERROR(IF(D2022="","",VLOOKUP(D2022,CadProd!$A:$C,3,0)),"")</f>
        <v/>
      </c>
      <c r="I2022" s="1" t="str">
        <f t="shared" si="31"/>
        <v/>
      </c>
    </row>
    <row r="2023" spans="5:9" x14ac:dyDescent="0.3">
      <c r="E2023" t="str">
        <f>IFERROR(IF(D2023="","",VLOOKUP(D2023,CadProd!$A:$B,2,0)),"")</f>
        <v/>
      </c>
      <c r="F2023" t="str">
        <f>IFERROR(IF(D2023="","",VLOOKUP(D2023,CadProd!$A:$C,3,0)),"")</f>
        <v/>
      </c>
      <c r="I2023" s="1" t="str">
        <f t="shared" si="31"/>
        <v/>
      </c>
    </row>
    <row r="2024" spans="5:9" x14ac:dyDescent="0.3">
      <c r="E2024" t="str">
        <f>IFERROR(IF(D2024="","",VLOOKUP(D2024,CadProd!$A:$B,2,0)),"")</f>
        <v/>
      </c>
      <c r="F2024" t="str">
        <f>IFERROR(IF(D2024="","",VLOOKUP(D2024,CadProd!$A:$C,3,0)),"")</f>
        <v/>
      </c>
      <c r="I2024" s="1" t="str">
        <f t="shared" si="31"/>
        <v/>
      </c>
    </row>
    <row r="2025" spans="5:9" x14ac:dyDescent="0.3">
      <c r="E2025" t="str">
        <f>IFERROR(IF(D2025="","",VLOOKUP(D2025,CadProd!$A:$B,2,0)),"")</f>
        <v/>
      </c>
      <c r="F2025" t="str">
        <f>IFERROR(IF(D2025="","",VLOOKUP(D2025,CadProd!$A:$C,3,0)),"")</f>
        <v/>
      </c>
      <c r="I2025" s="1" t="str">
        <f t="shared" si="31"/>
        <v/>
      </c>
    </row>
    <row r="2026" spans="5:9" x14ac:dyDescent="0.3">
      <c r="E2026" t="str">
        <f>IFERROR(IF(D2026="","",VLOOKUP(D2026,CadProd!$A:$B,2,0)),"")</f>
        <v/>
      </c>
      <c r="F2026" t="str">
        <f>IFERROR(IF(D2026="","",VLOOKUP(D2026,CadProd!$A:$C,3,0)),"")</f>
        <v/>
      </c>
      <c r="I2026" s="1" t="str">
        <f t="shared" si="31"/>
        <v/>
      </c>
    </row>
    <row r="2027" spans="5:9" x14ac:dyDescent="0.3">
      <c r="E2027" t="str">
        <f>IFERROR(IF(D2027="","",VLOOKUP(D2027,CadProd!$A:$B,2,0)),"")</f>
        <v/>
      </c>
      <c r="F2027" t="str">
        <f>IFERROR(IF(D2027="","",VLOOKUP(D2027,CadProd!$A:$C,3,0)),"")</f>
        <v/>
      </c>
      <c r="I2027" s="1" t="str">
        <f t="shared" si="31"/>
        <v/>
      </c>
    </row>
    <row r="2028" spans="5:9" x14ac:dyDescent="0.3">
      <c r="E2028" t="str">
        <f>IFERROR(IF(D2028="","",VLOOKUP(D2028,CadProd!$A:$B,2,0)),"")</f>
        <v/>
      </c>
      <c r="F2028" t="str">
        <f>IFERROR(IF(D2028="","",VLOOKUP(D2028,CadProd!$A:$C,3,0)),"")</f>
        <v/>
      </c>
      <c r="I2028" s="1" t="str">
        <f t="shared" si="31"/>
        <v/>
      </c>
    </row>
    <row r="2029" spans="5:9" x14ac:dyDescent="0.3">
      <c r="E2029" t="str">
        <f>IFERROR(IF(D2029="","",VLOOKUP(D2029,CadProd!$A:$B,2,0)),"")</f>
        <v/>
      </c>
      <c r="F2029" t="str">
        <f>IFERROR(IF(D2029="","",VLOOKUP(D2029,CadProd!$A:$C,3,0)),"")</f>
        <v/>
      </c>
      <c r="I2029" s="1" t="str">
        <f t="shared" si="31"/>
        <v/>
      </c>
    </row>
    <row r="2030" spans="5:9" x14ac:dyDescent="0.3">
      <c r="E2030" t="str">
        <f>IFERROR(IF(D2030="","",VLOOKUP(D2030,CadProd!$A:$B,2,0)),"")</f>
        <v/>
      </c>
      <c r="F2030" t="str">
        <f>IFERROR(IF(D2030="","",VLOOKUP(D2030,CadProd!$A:$C,3,0)),"")</f>
        <v/>
      </c>
      <c r="I2030" s="1" t="str">
        <f t="shared" si="31"/>
        <v/>
      </c>
    </row>
    <row r="2031" spans="5:9" x14ac:dyDescent="0.3">
      <c r="E2031" t="str">
        <f>IFERROR(IF(D2031="","",VLOOKUP(D2031,CadProd!$A:$B,2,0)),"")</f>
        <v/>
      </c>
      <c r="F2031" t="str">
        <f>IFERROR(IF(D2031="","",VLOOKUP(D2031,CadProd!$A:$C,3,0)),"")</f>
        <v/>
      </c>
      <c r="I2031" s="1" t="str">
        <f t="shared" si="31"/>
        <v/>
      </c>
    </row>
    <row r="2032" spans="5:9" x14ac:dyDescent="0.3">
      <c r="E2032" t="str">
        <f>IFERROR(IF(D2032="","",VLOOKUP(D2032,CadProd!$A:$B,2,0)),"")</f>
        <v/>
      </c>
      <c r="F2032" t="str">
        <f>IFERROR(IF(D2032="","",VLOOKUP(D2032,CadProd!$A:$C,3,0)),"")</f>
        <v/>
      </c>
      <c r="I2032" s="1" t="str">
        <f t="shared" si="31"/>
        <v/>
      </c>
    </row>
    <row r="2033" spans="5:9" x14ac:dyDescent="0.3">
      <c r="E2033" t="str">
        <f>IFERROR(IF(D2033="","",VLOOKUP(D2033,CadProd!$A:$B,2,0)),"")</f>
        <v/>
      </c>
      <c r="F2033" t="str">
        <f>IFERROR(IF(D2033="","",VLOOKUP(D2033,CadProd!$A:$C,3,0)),"")</f>
        <v/>
      </c>
      <c r="I2033" s="1" t="str">
        <f t="shared" si="31"/>
        <v/>
      </c>
    </row>
    <row r="2034" spans="5:9" x14ac:dyDescent="0.3">
      <c r="E2034" t="str">
        <f>IFERROR(IF(D2034="","",VLOOKUP(D2034,CadProd!$A:$B,2,0)),"")</f>
        <v/>
      </c>
      <c r="F2034" t="str">
        <f>IFERROR(IF(D2034="","",VLOOKUP(D2034,CadProd!$A:$C,3,0)),"")</f>
        <v/>
      </c>
      <c r="I2034" s="1" t="str">
        <f t="shared" si="31"/>
        <v/>
      </c>
    </row>
    <row r="2035" spans="5:9" x14ac:dyDescent="0.3">
      <c r="E2035" t="str">
        <f>IFERROR(IF(D2035="","",VLOOKUP(D2035,CadProd!$A:$B,2,0)),"")</f>
        <v/>
      </c>
      <c r="F2035" t="str">
        <f>IFERROR(IF(D2035="","",VLOOKUP(D2035,CadProd!$A:$C,3,0)),"")</f>
        <v/>
      </c>
      <c r="I2035" s="1" t="str">
        <f t="shared" si="31"/>
        <v/>
      </c>
    </row>
    <row r="2036" spans="5:9" x14ac:dyDescent="0.3">
      <c r="E2036" t="str">
        <f>IFERROR(IF(D2036="","",VLOOKUP(D2036,CadProd!$A:$B,2,0)),"")</f>
        <v/>
      </c>
      <c r="F2036" t="str">
        <f>IFERROR(IF(D2036="","",VLOOKUP(D2036,CadProd!$A:$C,3,0)),"")</f>
        <v/>
      </c>
      <c r="I2036" s="1" t="str">
        <f t="shared" si="31"/>
        <v/>
      </c>
    </row>
    <row r="2037" spans="5:9" x14ac:dyDescent="0.3">
      <c r="E2037" t="str">
        <f>IFERROR(IF(D2037="","",VLOOKUP(D2037,CadProd!$A:$B,2,0)),"")</f>
        <v/>
      </c>
      <c r="F2037" t="str">
        <f>IFERROR(IF(D2037="","",VLOOKUP(D2037,CadProd!$A:$C,3,0)),"")</f>
        <v/>
      </c>
      <c r="I2037" s="1" t="str">
        <f t="shared" si="31"/>
        <v/>
      </c>
    </row>
    <row r="2038" spans="5:9" x14ac:dyDescent="0.3">
      <c r="E2038" t="str">
        <f>IFERROR(IF(D2038="","",VLOOKUP(D2038,CadProd!$A:$B,2,0)),"")</f>
        <v/>
      </c>
      <c r="F2038" t="str">
        <f>IFERROR(IF(D2038="","",VLOOKUP(D2038,CadProd!$A:$C,3,0)),"")</f>
        <v/>
      </c>
      <c r="I2038" s="1" t="str">
        <f t="shared" si="31"/>
        <v/>
      </c>
    </row>
    <row r="2039" spans="5:9" x14ac:dyDescent="0.3">
      <c r="E2039" t="str">
        <f>IFERROR(IF(D2039="","",VLOOKUP(D2039,CadProd!$A:$B,2,0)),"")</f>
        <v/>
      </c>
      <c r="F2039" t="str">
        <f>IFERROR(IF(D2039="","",VLOOKUP(D2039,CadProd!$A:$C,3,0)),"")</f>
        <v/>
      </c>
      <c r="I2039" s="1" t="str">
        <f t="shared" si="31"/>
        <v/>
      </c>
    </row>
    <row r="2040" spans="5:9" x14ac:dyDescent="0.3">
      <c r="E2040" t="str">
        <f>IFERROR(IF(D2040="","",VLOOKUP(D2040,CadProd!$A:$B,2,0)),"")</f>
        <v/>
      </c>
      <c r="F2040" t="str">
        <f>IFERROR(IF(D2040="","",VLOOKUP(D2040,CadProd!$A:$C,3,0)),"")</f>
        <v/>
      </c>
      <c r="I2040" s="1" t="str">
        <f t="shared" si="31"/>
        <v/>
      </c>
    </row>
    <row r="2041" spans="5:9" x14ac:dyDescent="0.3">
      <c r="E2041" t="str">
        <f>IFERROR(IF(D2041="","",VLOOKUP(D2041,CadProd!$A:$B,2,0)),"")</f>
        <v/>
      </c>
      <c r="F2041" t="str">
        <f>IFERROR(IF(D2041="","",VLOOKUP(D2041,CadProd!$A:$C,3,0)),"")</f>
        <v/>
      </c>
      <c r="I2041" s="1" t="str">
        <f t="shared" si="31"/>
        <v/>
      </c>
    </row>
    <row r="2042" spans="5:9" x14ac:dyDescent="0.3">
      <c r="E2042" t="str">
        <f>IFERROR(IF(D2042="","",VLOOKUP(D2042,CadProd!$A:$B,2,0)),"")</f>
        <v/>
      </c>
      <c r="F2042" t="str">
        <f>IFERROR(IF(D2042="","",VLOOKUP(D2042,CadProd!$A:$C,3,0)),"")</f>
        <v/>
      </c>
      <c r="I2042" s="1" t="str">
        <f t="shared" si="31"/>
        <v/>
      </c>
    </row>
    <row r="2043" spans="5:9" x14ac:dyDescent="0.3">
      <c r="E2043" t="str">
        <f>IFERROR(IF(D2043="","",VLOOKUP(D2043,CadProd!$A:$B,2,0)),"")</f>
        <v/>
      </c>
      <c r="F2043" t="str">
        <f>IFERROR(IF(D2043="","",VLOOKUP(D2043,CadProd!$A:$C,3,0)),"")</f>
        <v/>
      </c>
      <c r="I2043" s="1" t="str">
        <f t="shared" si="31"/>
        <v/>
      </c>
    </row>
    <row r="2044" spans="5:9" x14ac:dyDescent="0.3">
      <c r="E2044" t="str">
        <f>IFERROR(IF(D2044="","",VLOOKUP(D2044,CadProd!$A:$B,2,0)),"")</f>
        <v/>
      </c>
      <c r="F2044" t="str">
        <f>IFERROR(IF(D2044="","",VLOOKUP(D2044,CadProd!$A:$C,3,0)),"")</f>
        <v/>
      </c>
      <c r="I2044" s="1" t="str">
        <f t="shared" si="31"/>
        <v/>
      </c>
    </row>
    <row r="2045" spans="5:9" x14ac:dyDescent="0.3">
      <c r="E2045" t="str">
        <f>IFERROR(IF(D2045="","",VLOOKUP(D2045,CadProd!$A:$B,2,0)),"")</f>
        <v/>
      </c>
      <c r="F2045" t="str">
        <f>IFERROR(IF(D2045="","",VLOOKUP(D2045,CadProd!$A:$C,3,0)),"")</f>
        <v/>
      </c>
      <c r="I2045" s="1" t="str">
        <f t="shared" si="31"/>
        <v/>
      </c>
    </row>
    <row r="2046" spans="5:9" x14ac:dyDescent="0.3">
      <c r="E2046" t="str">
        <f>IFERROR(IF(D2046="","",VLOOKUP(D2046,CadProd!$A:$B,2,0)),"")</f>
        <v/>
      </c>
      <c r="F2046" t="str">
        <f>IFERROR(IF(D2046="","",VLOOKUP(D2046,CadProd!$A:$C,3,0)),"")</f>
        <v/>
      </c>
      <c r="I2046" s="1" t="str">
        <f t="shared" si="31"/>
        <v/>
      </c>
    </row>
    <row r="2047" spans="5:9" x14ac:dyDescent="0.3">
      <c r="E2047" t="str">
        <f>IFERROR(IF(D2047="","",VLOOKUP(D2047,CadProd!$A:$B,2,0)),"")</f>
        <v/>
      </c>
      <c r="F2047" t="str">
        <f>IFERROR(IF(D2047="","",VLOOKUP(D2047,CadProd!$A:$C,3,0)),"")</f>
        <v/>
      </c>
      <c r="I2047" s="1" t="str">
        <f t="shared" si="31"/>
        <v/>
      </c>
    </row>
    <row r="2048" spans="5:9" x14ac:dyDescent="0.3">
      <c r="E2048" t="str">
        <f>IFERROR(IF(D2048="","",VLOOKUP(D2048,CadProd!$A:$B,2,0)),"")</f>
        <v/>
      </c>
      <c r="F2048" t="str">
        <f>IFERROR(IF(D2048="","",VLOOKUP(D2048,CadProd!$A:$C,3,0)),"")</f>
        <v/>
      </c>
      <c r="I2048" s="1" t="str">
        <f t="shared" si="31"/>
        <v/>
      </c>
    </row>
    <row r="2049" spans="5:9" x14ac:dyDescent="0.3">
      <c r="E2049" t="str">
        <f>IFERROR(IF(D2049="","",VLOOKUP(D2049,CadProd!$A:$B,2,0)),"")</f>
        <v/>
      </c>
      <c r="F2049" t="str">
        <f>IFERROR(IF(D2049="","",VLOOKUP(D2049,CadProd!$A:$C,3,0)),"")</f>
        <v/>
      </c>
      <c r="I2049" s="1" t="str">
        <f t="shared" si="31"/>
        <v/>
      </c>
    </row>
    <row r="2050" spans="5:9" x14ac:dyDescent="0.3">
      <c r="E2050" t="str">
        <f>IFERROR(IF(D2050="","",VLOOKUP(D2050,CadProd!$A:$B,2,0)),"")</f>
        <v/>
      </c>
      <c r="F2050" t="str">
        <f>IFERROR(IF(D2050="","",VLOOKUP(D2050,CadProd!$A:$C,3,0)),"")</f>
        <v/>
      </c>
      <c r="I2050" s="1" t="str">
        <f t="shared" si="31"/>
        <v/>
      </c>
    </row>
    <row r="2051" spans="5:9" x14ac:dyDescent="0.3">
      <c r="E2051" t="str">
        <f>IFERROR(IF(D2051="","",VLOOKUP(D2051,CadProd!$A:$B,2,0)),"")</f>
        <v/>
      </c>
      <c r="F2051" t="str">
        <f>IFERROR(IF(D2051="","",VLOOKUP(D2051,CadProd!$A:$C,3,0)),"")</f>
        <v/>
      </c>
      <c r="I2051" s="1" t="str">
        <f t="shared" si="31"/>
        <v/>
      </c>
    </row>
    <row r="2052" spans="5:9" x14ac:dyDescent="0.3">
      <c r="E2052" t="str">
        <f>IFERROR(IF(D2052="","",VLOOKUP(D2052,CadProd!$A:$B,2,0)),"")</f>
        <v/>
      </c>
      <c r="F2052" t="str">
        <f>IFERROR(IF(D2052="","",VLOOKUP(D2052,CadProd!$A:$C,3,0)),"")</f>
        <v/>
      </c>
      <c r="I2052" s="1" t="str">
        <f t="shared" si="31"/>
        <v/>
      </c>
    </row>
    <row r="2053" spans="5:9" x14ac:dyDescent="0.3">
      <c r="E2053" t="str">
        <f>IFERROR(IF(D2053="","",VLOOKUP(D2053,CadProd!$A:$B,2,0)),"")</f>
        <v/>
      </c>
      <c r="F2053" t="str">
        <f>IFERROR(IF(D2053="","",VLOOKUP(D2053,CadProd!$A:$C,3,0)),"")</f>
        <v/>
      </c>
      <c r="I2053" s="1" t="str">
        <f t="shared" si="31"/>
        <v/>
      </c>
    </row>
    <row r="2054" spans="5:9" x14ac:dyDescent="0.3">
      <c r="E2054" t="str">
        <f>IFERROR(IF(D2054="","",VLOOKUP(D2054,CadProd!$A:$B,2,0)),"")</f>
        <v/>
      </c>
      <c r="F2054" t="str">
        <f>IFERROR(IF(D2054="","",VLOOKUP(D2054,CadProd!$A:$C,3,0)),"")</f>
        <v/>
      </c>
      <c r="I2054" s="1" t="str">
        <f t="shared" si="31"/>
        <v/>
      </c>
    </row>
    <row r="2055" spans="5:9" x14ac:dyDescent="0.3">
      <c r="E2055" t="str">
        <f>IFERROR(IF(D2055="","",VLOOKUP(D2055,CadProd!$A:$B,2,0)),"")</f>
        <v/>
      </c>
      <c r="F2055" t="str">
        <f>IFERROR(IF(D2055="","",VLOOKUP(D2055,CadProd!$A:$C,3,0)),"")</f>
        <v/>
      </c>
      <c r="I2055" s="1" t="str">
        <f t="shared" si="31"/>
        <v/>
      </c>
    </row>
    <row r="2056" spans="5:9" x14ac:dyDescent="0.3">
      <c r="E2056" t="str">
        <f>IFERROR(IF(D2056="","",VLOOKUP(D2056,CadProd!$A:$B,2,0)),"")</f>
        <v/>
      </c>
      <c r="F2056" t="str">
        <f>IFERROR(IF(D2056="","",VLOOKUP(D2056,CadProd!$A:$C,3,0)),"")</f>
        <v/>
      </c>
      <c r="I2056" s="1" t="str">
        <f t="shared" si="31"/>
        <v/>
      </c>
    </row>
    <row r="2057" spans="5:9" x14ac:dyDescent="0.3">
      <c r="E2057" t="str">
        <f>IFERROR(IF(D2057="","",VLOOKUP(D2057,CadProd!$A:$B,2,0)),"")</f>
        <v/>
      </c>
      <c r="F2057" t="str">
        <f>IFERROR(IF(D2057="","",VLOOKUP(D2057,CadProd!$A:$C,3,0)),"")</f>
        <v/>
      </c>
      <c r="I2057" s="1" t="str">
        <f t="shared" si="31"/>
        <v/>
      </c>
    </row>
    <row r="2058" spans="5:9" x14ac:dyDescent="0.3">
      <c r="E2058" t="str">
        <f>IFERROR(IF(D2058="","",VLOOKUP(D2058,CadProd!$A:$B,2,0)),"")</f>
        <v/>
      </c>
      <c r="F2058" t="str">
        <f>IFERROR(IF(D2058="","",VLOOKUP(D2058,CadProd!$A:$C,3,0)),"")</f>
        <v/>
      </c>
      <c r="I2058" s="1" t="str">
        <f t="shared" si="31"/>
        <v/>
      </c>
    </row>
    <row r="2059" spans="5:9" x14ac:dyDescent="0.3">
      <c r="E2059" t="str">
        <f>IFERROR(IF(D2059="","",VLOOKUP(D2059,CadProd!$A:$B,2,0)),"")</f>
        <v/>
      </c>
      <c r="F2059" t="str">
        <f>IFERROR(IF(D2059="","",VLOOKUP(D2059,CadProd!$A:$C,3,0)),"")</f>
        <v/>
      </c>
      <c r="I2059" s="1" t="str">
        <f t="shared" ref="I2059:I2122" si="32">IFERROR(IF(D2059="","",H2059*G2059),"")</f>
        <v/>
      </c>
    </row>
    <row r="2060" spans="5:9" x14ac:dyDescent="0.3">
      <c r="E2060" t="str">
        <f>IFERROR(IF(D2060="","",VLOOKUP(D2060,CadProd!$A:$B,2,0)),"")</f>
        <v/>
      </c>
      <c r="F2060" t="str">
        <f>IFERROR(IF(D2060="","",VLOOKUP(D2060,CadProd!$A:$C,3,0)),"")</f>
        <v/>
      </c>
      <c r="I2060" s="1" t="str">
        <f t="shared" si="32"/>
        <v/>
      </c>
    </row>
    <row r="2061" spans="5:9" x14ac:dyDescent="0.3">
      <c r="E2061" t="str">
        <f>IFERROR(IF(D2061="","",VLOOKUP(D2061,CadProd!$A:$B,2,0)),"")</f>
        <v/>
      </c>
      <c r="F2061" t="str">
        <f>IFERROR(IF(D2061="","",VLOOKUP(D2061,CadProd!$A:$C,3,0)),"")</f>
        <v/>
      </c>
      <c r="I2061" s="1" t="str">
        <f t="shared" si="32"/>
        <v/>
      </c>
    </row>
    <row r="2062" spans="5:9" x14ac:dyDescent="0.3">
      <c r="E2062" t="str">
        <f>IFERROR(IF(D2062="","",VLOOKUP(D2062,CadProd!$A:$B,2,0)),"")</f>
        <v/>
      </c>
      <c r="F2062" t="str">
        <f>IFERROR(IF(D2062="","",VLOOKUP(D2062,CadProd!$A:$C,3,0)),"")</f>
        <v/>
      </c>
      <c r="I2062" s="1" t="str">
        <f t="shared" si="32"/>
        <v/>
      </c>
    </row>
    <row r="2063" spans="5:9" x14ac:dyDescent="0.3">
      <c r="E2063" t="str">
        <f>IFERROR(IF(D2063="","",VLOOKUP(D2063,CadProd!$A:$B,2,0)),"")</f>
        <v/>
      </c>
      <c r="F2063" t="str">
        <f>IFERROR(IF(D2063="","",VLOOKUP(D2063,CadProd!$A:$C,3,0)),"")</f>
        <v/>
      </c>
      <c r="I2063" s="1" t="str">
        <f t="shared" si="32"/>
        <v/>
      </c>
    </row>
    <row r="2064" spans="5:9" x14ac:dyDescent="0.3">
      <c r="E2064" t="str">
        <f>IFERROR(IF(D2064="","",VLOOKUP(D2064,CadProd!$A:$B,2,0)),"")</f>
        <v/>
      </c>
      <c r="F2064" t="str">
        <f>IFERROR(IF(D2064="","",VLOOKUP(D2064,CadProd!$A:$C,3,0)),"")</f>
        <v/>
      </c>
      <c r="I2064" s="1" t="str">
        <f t="shared" si="32"/>
        <v/>
      </c>
    </row>
    <row r="2065" spans="5:9" x14ac:dyDescent="0.3">
      <c r="E2065" t="str">
        <f>IFERROR(IF(D2065="","",VLOOKUP(D2065,CadProd!$A:$B,2,0)),"")</f>
        <v/>
      </c>
      <c r="F2065" t="str">
        <f>IFERROR(IF(D2065="","",VLOOKUP(D2065,CadProd!$A:$C,3,0)),"")</f>
        <v/>
      </c>
      <c r="I2065" s="1" t="str">
        <f t="shared" si="32"/>
        <v/>
      </c>
    </row>
    <row r="2066" spans="5:9" x14ac:dyDescent="0.3">
      <c r="E2066" t="str">
        <f>IFERROR(IF(D2066="","",VLOOKUP(D2066,CadProd!$A:$B,2,0)),"")</f>
        <v/>
      </c>
      <c r="F2066" t="str">
        <f>IFERROR(IF(D2066="","",VLOOKUP(D2066,CadProd!$A:$C,3,0)),"")</f>
        <v/>
      </c>
      <c r="I2066" s="1" t="str">
        <f t="shared" si="32"/>
        <v/>
      </c>
    </row>
    <row r="2067" spans="5:9" x14ac:dyDescent="0.3">
      <c r="E2067" t="str">
        <f>IFERROR(IF(D2067="","",VLOOKUP(D2067,CadProd!$A:$B,2,0)),"")</f>
        <v/>
      </c>
      <c r="F2067" t="str">
        <f>IFERROR(IF(D2067="","",VLOOKUP(D2067,CadProd!$A:$C,3,0)),"")</f>
        <v/>
      </c>
      <c r="I2067" s="1" t="str">
        <f t="shared" si="32"/>
        <v/>
      </c>
    </row>
    <row r="2068" spans="5:9" x14ac:dyDescent="0.3">
      <c r="E2068" t="str">
        <f>IFERROR(IF(D2068="","",VLOOKUP(D2068,CadProd!$A:$B,2,0)),"")</f>
        <v/>
      </c>
      <c r="F2068" t="str">
        <f>IFERROR(IF(D2068="","",VLOOKUP(D2068,CadProd!$A:$C,3,0)),"")</f>
        <v/>
      </c>
      <c r="I2068" s="1" t="str">
        <f t="shared" si="32"/>
        <v/>
      </c>
    </row>
    <row r="2069" spans="5:9" x14ac:dyDescent="0.3">
      <c r="E2069" t="str">
        <f>IFERROR(IF(D2069="","",VLOOKUP(D2069,CadProd!$A:$B,2,0)),"")</f>
        <v/>
      </c>
      <c r="F2069" t="str">
        <f>IFERROR(IF(D2069="","",VLOOKUP(D2069,CadProd!$A:$C,3,0)),"")</f>
        <v/>
      </c>
      <c r="I2069" s="1" t="str">
        <f t="shared" si="32"/>
        <v/>
      </c>
    </row>
    <row r="2070" spans="5:9" x14ac:dyDescent="0.3">
      <c r="E2070" t="str">
        <f>IFERROR(IF(D2070="","",VLOOKUP(D2070,CadProd!$A:$B,2,0)),"")</f>
        <v/>
      </c>
      <c r="F2070" t="str">
        <f>IFERROR(IF(D2070="","",VLOOKUP(D2070,CadProd!$A:$C,3,0)),"")</f>
        <v/>
      </c>
      <c r="I2070" s="1" t="str">
        <f t="shared" si="32"/>
        <v/>
      </c>
    </row>
    <row r="2071" spans="5:9" x14ac:dyDescent="0.3">
      <c r="E2071" t="str">
        <f>IFERROR(IF(D2071="","",VLOOKUP(D2071,CadProd!$A:$B,2,0)),"")</f>
        <v/>
      </c>
      <c r="F2071" t="str">
        <f>IFERROR(IF(D2071="","",VLOOKUP(D2071,CadProd!$A:$C,3,0)),"")</f>
        <v/>
      </c>
      <c r="I2071" s="1" t="str">
        <f t="shared" si="32"/>
        <v/>
      </c>
    </row>
    <row r="2072" spans="5:9" x14ac:dyDescent="0.3">
      <c r="E2072" t="str">
        <f>IFERROR(IF(D2072="","",VLOOKUP(D2072,CadProd!$A:$B,2,0)),"")</f>
        <v/>
      </c>
      <c r="F2072" t="str">
        <f>IFERROR(IF(D2072="","",VLOOKUP(D2072,CadProd!$A:$C,3,0)),"")</f>
        <v/>
      </c>
      <c r="I2072" s="1" t="str">
        <f t="shared" si="32"/>
        <v/>
      </c>
    </row>
    <row r="2073" spans="5:9" x14ac:dyDescent="0.3">
      <c r="E2073" t="str">
        <f>IFERROR(IF(D2073="","",VLOOKUP(D2073,CadProd!$A:$B,2,0)),"")</f>
        <v/>
      </c>
      <c r="F2073" t="str">
        <f>IFERROR(IF(D2073="","",VLOOKUP(D2073,CadProd!$A:$C,3,0)),"")</f>
        <v/>
      </c>
      <c r="I2073" s="1" t="str">
        <f t="shared" si="32"/>
        <v/>
      </c>
    </row>
    <row r="2074" spans="5:9" x14ac:dyDescent="0.3">
      <c r="E2074" t="str">
        <f>IFERROR(IF(D2074="","",VLOOKUP(D2074,CadProd!$A:$B,2,0)),"")</f>
        <v/>
      </c>
      <c r="F2074" t="str">
        <f>IFERROR(IF(D2074="","",VLOOKUP(D2074,CadProd!$A:$C,3,0)),"")</f>
        <v/>
      </c>
      <c r="I2074" s="1" t="str">
        <f t="shared" si="32"/>
        <v/>
      </c>
    </row>
    <row r="2075" spans="5:9" x14ac:dyDescent="0.3">
      <c r="E2075" t="str">
        <f>IFERROR(IF(D2075="","",VLOOKUP(D2075,CadProd!$A:$B,2,0)),"")</f>
        <v/>
      </c>
      <c r="F2075" t="str">
        <f>IFERROR(IF(D2075="","",VLOOKUP(D2075,CadProd!$A:$C,3,0)),"")</f>
        <v/>
      </c>
      <c r="I2075" s="1" t="str">
        <f t="shared" si="32"/>
        <v/>
      </c>
    </row>
    <row r="2076" spans="5:9" x14ac:dyDescent="0.3">
      <c r="E2076" t="str">
        <f>IFERROR(IF(D2076="","",VLOOKUP(D2076,CadProd!$A:$B,2,0)),"")</f>
        <v/>
      </c>
      <c r="F2076" t="str">
        <f>IFERROR(IF(D2076="","",VLOOKUP(D2076,CadProd!$A:$C,3,0)),"")</f>
        <v/>
      </c>
      <c r="I2076" s="1" t="str">
        <f t="shared" si="32"/>
        <v/>
      </c>
    </row>
    <row r="2077" spans="5:9" x14ac:dyDescent="0.3">
      <c r="E2077" t="str">
        <f>IFERROR(IF(D2077="","",VLOOKUP(D2077,CadProd!$A:$B,2,0)),"")</f>
        <v/>
      </c>
      <c r="F2077" t="str">
        <f>IFERROR(IF(D2077="","",VLOOKUP(D2077,CadProd!$A:$C,3,0)),"")</f>
        <v/>
      </c>
      <c r="I2077" s="1" t="str">
        <f t="shared" si="32"/>
        <v/>
      </c>
    </row>
    <row r="2078" spans="5:9" x14ac:dyDescent="0.3">
      <c r="E2078" t="str">
        <f>IFERROR(IF(D2078="","",VLOOKUP(D2078,CadProd!$A:$B,2,0)),"")</f>
        <v/>
      </c>
      <c r="F2078" t="str">
        <f>IFERROR(IF(D2078="","",VLOOKUP(D2078,CadProd!$A:$C,3,0)),"")</f>
        <v/>
      </c>
      <c r="I2078" s="1" t="str">
        <f t="shared" si="32"/>
        <v/>
      </c>
    </row>
    <row r="2079" spans="5:9" x14ac:dyDescent="0.3">
      <c r="E2079" t="str">
        <f>IFERROR(IF(D2079="","",VLOOKUP(D2079,CadProd!$A:$B,2,0)),"")</f>
        <v/>
      </c>
      <c r="F2079" t="str">
        <f>IFERROR(IF(D2079="","",VLOOKUP(D2079,CadProd!$A:$C,3,0)),"")</f>
        <v/>
      </c>
      <c r="I2079" s="1" t="str">
        <f t="shared" si="32"/>
        <v/>
      </c>
    </row>
    <row r="2080" spans="5:9" x14ac:dyDescent="0.3">
      <c r="E2080" t="str">
        <f>IFERROR(IF(D2080="","",VLOOKUP(D2080,CadProd!$A:$B,2,0)),"")</f>
        <v/>
      </c>
      <c r="F2080" t="str">
        <f>IFERROR(IF(D2080="","",VLOOKUP(D2080,CadProd!$A:$C,3,0)),"")</f>
        <v/>
      </c>
      <c r="I2080" s="1" t="str">
        <f t="shared" si="32"/>
        <v/>
      </c>
    </row>
    <row r="2081" spans="5:9" x14ac:dyDescent="0.3">
      <c r="E2081" t="str">
        <f>IFERROR(IF(D2081="","",VLOOKUP(D2081,CadProd!$A:$B,2,0)),"")</f>
        <v/>
      </c>
      <c r="F2081" t="str">
        <f>IFERROR(IF(D2081="","",VLOOKUP(D2081,CadProd!$A:$C,3,0)),"")</f>
        <v/>
      </c>
      <c r="I2081" s="1" t="str">
        <f t="shared" si="32"/>
        <v/>
      </c>
    </row>
    <row r="2082" spans="5:9" x14ac:dyDescent="0.3">
      <c r="E2082" t="str">
        <f>IFERROR(IF(D2082="","",VLOOKUP(D2082,CadProd!$A:$B,2,0)),"")</f>
        <v/>
      </c>
      <c r="F2082" t="str">
        <f>IFERROR(IF(D2082="","",VLOOKUP(D2082,CadProd!$A:$C,3,0)),"")</f>
        <v/>
      </c>
      <c r="I2082" s="1" t="str">
        <f t="shared" si="32"/>
        <v/>
      </c>
    </row>
    <row r="2083" spans="5:9" x14ac:dyDescent="0.3">
      <c r="E2083" t="str">
        <f>IFERROR(IF(D2083="","",VLOOKUP(D2083,CadProd!$A:$B,2,0)),"")</f>
        <v/>
      </c>
      <c r="F2083" t="str">
        <f>IFERROR(IF(D2083="","",VLOOKUP(D2083,CadProd!$A:$C,3,0)),"")</f>
        <v/>
      </c>
      <c r="I2083" s="1" t="str">
        <f t="shared" si="32"/>
        <v/>
      </c>
    </row>
    <row r="2084" spans="5:9" x14ac:dyDescent="0.3">
      <c r="E2084" t="str">
        <f>IFERROR(IF(D2084="","",VLOOKUP(D2084,CadProd!$A:$B,2,0)),"")</f>
        <v/>
      </c>
      <c r="F2084" t="str">
        <f>IFERROR(IF(D2084="","",VLOOKUP(D2084,CadProd!$A:$C,3,0)),"")</f>
        <v/>
      </c>
      <c r="I2084" s="1" t="str">
        <f t="shared" si="32"/>
        <v/>
      </c>
    </row>
    <row r="2085" spans="5:9" x14ac:dyDescent="0.3">
      <c r="E2085" t="str">
        <f>IFERROR(IF(D2085="","",VLOOKUP(D2085,CadProd!$A:$B,2,0)),"")</f>
        <v/>
      </c>
      <c r="F2085" t="str">
        <f>IFERROR(IF(D2085="","",VLOOKUP(D2085,CadProd!$A:$C,3,0)),"")</f>
        <v/>
      </c>
      <c r="I2085" s="1" t="str">
        <f t="shared" si="32"/>
        <v/>
      </c>
    </row>
    <row r="2086" spans="5:9" x14ac:dyDescent="0.3">
      <c r="E2086" t="str">
        <f>IFERROR(IF(D2086="","",VLOOKUP(D2086,CadProd!$A:$B,2,0)),"")</f>
        <v/>
      </c>
      <c r="F2086" t="str">
        <f>IFERROR(IF(D2086="","",VLOOKUP(D2086,CadProd!$A:$C,3,0)),"")</f>
        <v/>
      </c>
      <c r="I2086" s="1" t="str">
        <f t="shared" si="32"/>
        <v/>
      </c>
    </row>
    <row r="2087" spans="5:9" x14ac:dyDescent="0.3">
      <c r="E2087" t="str">
        <f>IFERROR(IF(D2087="","",VLOOKUP(D2087,CadProd!$A:$B,2,0)),"")</f>
        <v/>
      </c>
      <c r="F2087" t="str">
        <f>IFERROR(IF(D2087="","",VLOOKUP(D2087,CadProd!$A:$C,3,0)),"")</f>
        <v/>
      </c>
      <c r="I2087" s="1" t="str">
        <f t="shared" si="32"/>
        <v/>
      </c>
    </row>
    <row r="2088" spans="5:9" x14ac:dyDescent="0.3">
      <c r="E2088" t="str">
        <f>IFERROR(IF(D2088="","",VLOOKUP(D2088,CadProd!$A:$B,2,0)),"")</f>
        <v/>
      </c>
      <c r="F2088" t="str">
        <f>IFERROR(IF(D2088="","",VLOOKUP(D2088,CadProd!$A:$C,3,0)),"")</f>
        <v/>
      </c>
      <c r="I2088" s="1" t="str">
        <f t="shared" si="32"/>
        <v/>
      </c>
    </row>
    <row r="2089" spans="5:9" x14ac:dyDescent="0.3">
      <c r="E2089" t="str">
        <f>IFERROR(IF(D2089="","",VLOOKUP(D2089,CadProd!$A:$B,2,0)),"")</f>
        <v/>
      </c>
      <c r="F2089" t="str">
        <f>IFERROR(IF(D2089="","",VLOOKUP(D2089,CadProd!$A:$C,3,0)),"")</f>
        <v/>
      </c>
      <c r="I2089" s="1" t="str">
        <f t="shared" si="32"/>
        <v/>
      </c>
    </row>
    <row r="2090" spans="5:9" x14ac:dyDescent="0.3">
      <c r="E2090" t="str">
        <f>IFERROR(IF(D2090="","",VLOOKUP(D2090,CadProd!$A:$B,2,0)),"")</f>
        <v/>
      </c>
      <c r="F2090" t="str">
        <f>IFERROR(IF(D2090="","",VLOOKUP(D2090,CadProd!$A:$C,3,0)),"")</f>
        <v/>
      </c>
      <c r="I2090" s="1" t="str">
        <f t="shared" si="32"/>
        <v/>
      </c>
    </row>
    <row r="2091" spans="5:9" x14ac:dyDescent="0.3">
      <c r="E2091" t="str">
        <f>IFERROR(IF(D2091="","",VLOOKUP(D2091,CadProd!$A:$B,2,0)),"")</f>
        <v/>
      </c>
      <c r="F2091" t="str">
        <f>IFERROR(IF(D2091="","",VLOOKUP(D2091,CadProd!$A:$C,3,0)),"")</f>
        <v/>
      </c>
      <c r="I2091" s="1" t="str">
        <f t="shared" si="32"/>
        <v/>
      </c>
    </row>
    <row r="2092" spans="5:9" x14ac:dyDescent="0.3">
      <c r="E2092" t="str">
        <f>IFERROR(IF(D2092="","",VLOOKUP(D2092,CadProd!$A:$B,2,0)),"")</f>
        <v/>
      </c>
      <c r="F2092" t="str">
        <f>IFERROR(IF(D2092="","",VLOOKUP(D2092,CadProd!$A:$C,3,0)),"")</f>
        <v/>
      </c>
      <c r="I2092" s="1" t="str">
        <f t="shared" si="32"/>
        <v/>
      </c>
    </row>
    <row r="2093" spans="5:9" x14ac:dyDescent="0.3">
      <c r="E2093" t="str">
        <f>IFERROR(IF(D2093="","",VLOOKUP(D2093,CadProd!$A:$B,2,0)),"")</f>
        <v/>
      </c>
      <c r="F2093" t="str">
        <f>IFERROR(IF(D2093="","",VLOOKUP(D2093,CadProd!$A:$C,3,0)),"")</f>
        <v/>
      </c>
      <c r="I2093" s="1" t="str">
        <f t="shared" si="32"/>
        <v/>
      </c>
    </row>
    <row r="2094" spans="5:9" x14ac:dyDescent="0.3">
      <c r="E2094" t="str">
        <f>IFERROR(IF(D2094="","",VLOOKUP(D2094,CadProd!$A:$B,2,0)),"")</f>
        <v/>
      </c>
      <c r="F2094" t="str">
        <f>IFERROR(IF(D2094="","",VLOOKUP(D2094,CadProd!$A:$C,3,0)),"")</f>
        <v/>
      </c>
      <c r="I2094" s="1" t="str">
        <f t="shared" si="32"/>
        <v/>
      </c>
    </row>
    <row r="2095" spans="5:9" x14ac:dyDescent="0.3">
      <c r="E2095" t="str">
        <f>IFERROR(IF(D2095="","",VLOOKUP(D2095,CadProd!$A:$B,2,0)),"")</f>
        <v/>
      </c>
      <c r="F2095" t="str">
        <f>IFERROR(IF(D2095="","",VLOOKUP(D2095,CadProd!$A:$C,3,0)),"")</f>
        <v/>
      </c>
      <c r="I2095" s="1" t="str">
        <f t="shared" si="32"/>
        <v/>
      </c>
    </row>
    <row r="2096" spans="5:9" x14ac:dyDescent="0.3">
      <c r="E2096" t="str">
        <f>IFERROR(IF(D2096="","",VLOOKUP(D2096,CadProd!$A:$B,2,0)),"")</f>
        <v/>
      </c>
      <c r="F2096" t="str">
        <f>IFERROR(IF(D2096="","",VLOOKUP(D2096,CadProd!$A:$C,3,0)),"")</f>
        <v/>
      </c>
      <c r="I2096" s="1" t="str">
        <f t="shared" si="32"/>
        <v/>
      </c>
    </row>
    <row r="2097" spans="5:9" x14ac:dyDescent="0.3">
      <c r="E2097" t="str">
        <f>IFERROR(IF(D2097="","",VLOOKUP(D2097,CadProd!$A:$B,2,0)),"")</f>
        <v/>
      </c>
      <c r="F2097" t="str">
        <f>IFERROR(IF(D2097="","",VLOOKUP(D2097,CadProd!$A:$C,3,0)),"")</f>
        <v/>
      </c>
      <c r="I2097" s="1" t="str">
        <f t="shared" si="32"/>
        <v/>
      </c>
    </row>
    <row r="2098" spans="5:9" x14ac:dyDescent="0.3">
      <c r="E2098" t="str">
        <f>IFERROR(IF(D2098="","",VLOOKUP(D2098,CadProd!$A:$B,2,0)),"")</f>
        <v/>
      </c>
      <c r="F2098" t="str">
        <f>IFERROR(IF(D2098="","",VLOOKUP(D2098,CadProd!$A:$C,3,0)),"")</f>
        <v/>
      </c>
      <c r="I2098" s="1" t="str">
        <f t="shared" si="32"/>
        <v/>
      </c>
    </row>
    <row r="2099" spans="5:9" x14ac:dyDescent="0.3">
      <c r="E2099" t="str">
        <f>IFERROR(IF(D2099="","",VLOOKUP(D2099,CadProd!$A:$B,2,0)),"")</f>
        <v/>
      </c>
      <c r="F2099" t="str">
        <f>IFERROR(IF(D2099="","",VLOOKUP(D2099,CadProd!$A:$C,3,0)),"")</f>
        <v/>
      </c>
      <c r="I2099" s="1" t="str">
        <f t="shared" si="32"/>
        <v/>
      </c>
    </row>
    <row r="2100" spans="5:9" x14ac:dyDescent="0.3">
      <c r="E2100" t="str">
        <f>IFERROR(IF(D2100="","",VLOOKUP(D2100,CadProd!$A:$B,2,0)),"")</f>
        <v/>
      </c>
      <c r="F2100" t="str">
        <f>IFERROR(IF(D2100="","",VLOOKUP(D2100,CadProd!$A:$C,3,0)),"")</f>
        <v/>
      </c>
      <c r="I2100" s="1" t="str">
        <f t="shared" si="32"/>
        <v/>
      </c>
    </row>
    <row r="2101" spans="5:9" x14ac:dyDescent="0.3">
      <c r="E2101" t="str">
        <f>IFERROR(IF(D2101="","",VLOOKUP(D2101,CadProd!$A:$B,2,0)),"")</f>
        <v/>
      </c>
      <c r="F2101" t="str">
        <f>IFERROR(IF(D2101="","",VLOOKUP(D2101,CadProd!$A:$C,3,0)),"")</f>
        <v/>
      </c>
      <c r="I2101" s="1" t="str">
        <f t="shared" si="32"/>
        <v/>
      </c>
    </row>
    <row r="2102" spans="5:9" x14ac:dyDescent="0.3">
      <c r="E2102" t="str">
        <f>IFERROR(IF(D2102="","",VLOOKUP(D2102,CadProd!$A:$B,2,0)),"")</f>
        <v/>
      </c>
      <c r="F2102" t="str">
        <f>IFERROR(IF(D2102="","",VLOOKUP(D2102,CadProd!$A:$C,3,0)),"")</f>
        <v/>
      </c>
      <c r="I2102" s="1" t="str">
        <f t="shared" si="32"/>
        <v/>
      </c>
    </row>
    <row r="2103" spans="5:9" x14ac:dyDescent="0.3">
      <c r="E2103" t="str">
        <f>IFERROR(IF(D2103="","",VLOOKUP(D2103,CadProd!$A:$B,2,0)),"")</f>
        <v/>
      </c>
      <c r="F2103" t="str">
        <f>IFERROR(IF(D2103="","",VLOOKUP(D2103,CadProd!$A:$C,3,0)),"")</f>
        <v/>
      </c>
      <c r="I2103" s="1" t="str">
        <f t="shared" si="32"/>
        <v/>
      </c>
    </row>
    <row r="2104" spans="5:9" x14ac:dyDescent="0.3">
      <c r="E2104" t="str">
        <f>IFERROR(IF(D2104="","",VLOOKUP(D2104,CadProd!$A:$B,2,0)),"")</f>
        <v/>
      </c>
      <c r="F2104" t="str">
        <f>IFERROR(IF(D2104="","",VLOOKUP(D2104,CadProd!$A:$C,3,0)),"")</f>
        <v/>
      </c>
      <c r="I2104" s="1" t="str">
        <f t="shared" si="32"/>
        <v/>
      </c>
    </row>
    <row r="2105" spans="5:9" x14ac:dyDescent="0.3">
      <c r="E2105" t="str">
        <f>IFERROR(IF(D2105="","",VLOOKUP(D2105,CadProd!$A:$B,2,0)),"")</f>
        <v/>
      </c>
      <c r="F2105" t="str">
        <f>IFERROR(IF(D2105="","",VLOOKUP(D2105,CadProd!$A:$C,3,0)),"")</f>
        <v/>
      </c>
      <c r="I2105" s="1" t="str">
        <f t="shared" si="32"/>
        <v/>
      </c>
    </row>
    <row r="2106" spans="5:9" x14ac:dyDescent="0.3">
      <c r="E2106" t="str">
        <f>IFERROR(IF(D2106="","",VLOOKUP(D2106,CadProd!$A:$B,2,0)),"")</f>
        <v/>
      </c>
      <c r="F2106" t="str">
        <f>IFERROR(IF(D2106="","",VLOOKUP(D2106,CadProd!$A:$C,3,0)),"")</f>
        <v/>
      </c>
      <c r="I2106" s="1" t="str">
        <f t="shared" si="32"/>
        <v/>
      </c>
    </row>
    <row r="2107" spans="5:9" x14ac:dyDescent="0.3">
      <c r="E2107" t="str">
        <f>IFERROR(IF(D2107="","",VLOOKUP(D2107,CadProd!$A:$B,2,0)),"")</f>
        <v/>
      </c>
      <c r="F2107" t="str">
        <f>IFERROR(IF(D2107="","",VLOOKUP(D2107,CadProd!$A:$C,3,0)),"")</f>
        <v/>
      </c>
      <c r="I2107" s="1" t="str">
        <f t="shared" si="32"/>
        <v/>
      </c>
    </row>
    <row r="2108" spans="5:9" x14ac:dyDescent="0.3">
      <c r="E2108" t="str">
        <f>IFERROR(IF(D2108="","",VLOOKUP(D2108,CadProd!$A:$B,2,0)),"")</f>
        <v/>
      </c>
      <c r="F2108" t="str">
        <f>IFERROR(IF(D2108="","",VLOOKUP(D2108,CadProd!$A:$C,3,0)),"")</f>
        <v/>
      </c>
      <c r="I2108" s="1" t="str">
        <f t="shared" si="32"/>
        <v/>
      </c>
    </row>
    <row r="2109" spans="5:9" x14ac:dyDescent="0.3">
      <c r="E2109" t="str">
        <f>IFERROR(IF(D2109="","",VLOOKUP(D2109,CadProd!$A:$B,2,0)),"")</f>
        <v/>
      </c>
      <c r="F2109" t="str">
        <f>IFERROR(IF(D2109="","",VLOOKUP(D2109,CadProd!$A:$C,3,0)),"")</f>
        <v/>
      </c>
      <c r="I2109" s="1" t="str">
        <f t="shared" si="32"/>
        <v/>
      </c>
    </row>
    <row r="2110" spans="5:9" x14ac:dyDescent="0.3">
      <c r="E2110" t="str">
        <f>IFERROR(IF(D2110="","",VLOOKUP(D2110,CadProd!$A:$B,2,0)),"")</f>
        <v/>
      </c>
      <c r="F2110" t="str">
        <f>IFERROR(IF(D2110="","",VLOOKUP(D2110,CadProd!$A:$C,3,0)),"")</f>
        <v/>
      </c>
      <c r="I2110" s="1" t="str">
        <f t="shared" si="32"/>
        <v/>
      </c>
    </row>
    <row r="2111" spans="5:9" x14ac:dyDescent="0.3">
      <c r="E2111" t="str">
        <f>IFERROR(IF(D2111="","",VLOOKUP(D2111,CadProd!$A:$B,2,0)),"")</f>
        <v/>
      </c>
      <c r="F2111" t="str">
        <f>IFERROR(IF(D2111="","",VLOOKUP(D2111,CadProd!$A:$C,3,0)),"")</f>
        <v/>
      </c>
      <c r="I2111" s="1" t="str">
        <f t="shared" si="32"/>
        <v/>
      </c>
    </row>
    <row r="2112" spans="5:9" x14ac:dyDescent="0.3">
      <c r="E2112" t="str">
        <f>IFERROR(IF(D2112="","",VLOOKUP(D2112,CadProd!$A:$B,2,0)),"")</f>
        <v/>
      </c>
      <c r="F2112" t="str">
        <f>IFERROR(IF(D2112="","",VLOOKUP(D2112,CadProd!$A:$C,3,0)),"")</f>
        <v/>
      </c>
      <c r="I2112" s="1" t="str">
        <f t="shared" si="32"/>
        <v/>
      </c>
    </row>
    <row r="2113" spans="5:9" x14ac:dyDescent="0.3">
      <c r="E2113" t="str">
        <f>IFERROR(IF(D2113="","",VLOOKUP(D2113,CadProd!$A:$B,2,0)),"")</f>
        <v/>
      </c>
      <c r="F2113" t="str">
        <f>IFERROR(IF(D2113="","",VLOOKUP(D2113,CadProd!$A:$C,3,0)),"")</f>
        <v/>
      </c>
      <c r="I2113" s="1" t="str">
        <f t="shared" si="32"/>
        <v/>
      </c>
    </row>
    <row r="2114" spans="5:9" x14ac:dyDescent="0.3">
      <c r="E2114" t="str">
        <f>IFERROR(IF(D2114="","",VLOOKUP(D2114,CadProd!$A:$B,2,0)),"")</f>
        <v/>
      </c>
      <c r="F2114" t="str">
        <f>IFERROR(IF(D2114="","",VLOOKUP(D2114,CadProd!$A:$C,3,0)),"")</f>
        <v/>
      </c>
      <c r="I2114" s="1" t="str">
        <f t="shared" si="32"/>
        <v/>
      </c>
    </row>
    <row r="2115" spans="5:9" x14ac:dyDescent="0.3">
      <c r="E2115" t="str">
        <f>IFERROR(IF(D2115="","",VLOOKUP(D2115,CadProd!$A:$B,2,0)),"")</f>
        <v/>
      </c>
      <c r="F2115" t="str">
        <f>IFERROR(IF(D2115="","",VLOOKUP(D2115,CadProd!$A:$C,3,0)),"")</f>
        <v/>
      </c>
      <c r="I2115" s="1" t="str">
        <f t="shared" si="32"/>
        <v/>
      </c>
    </row>
    <row r="2116" spans="5:9" x14ac:dyDescent="0.3">
      <c r="E2116" t="str">
        <f>IFERROR(IF(D2116="","",VLOOKUP(D2116,CadProd!$A:$B,2,0)),"")</f>
        <v/>
      </c>
      <c r="F2116" t="str">
        <f>IFERROR(IF(D2116="","",VLOOKUP(D2116,CadProd!$A:$C,3,0)),"")</f>
        <v/>
      </c>
      <c r="I2116" s="1" t="str">
        <f t="shared" si="32"/>
        <v/>
      </c>
    </row>
    <row r="2117" spans="5:9" x14ac:dyDescent="0.3">
      <c r="E2117" t="str">
        <f>IFERROR(IF(D2117="","",VLOOKUP(D2117,CadProd!$A:$B,2,0)),"")</f>
        <v/>
      </c>
      <c r="F2117" t="str">
        <f>IFERROR(IF(D2117="","",VLOOKUP(D2117,CadProd!$A:$C,3,0)),"")</f>
        <v/>
      </c>
      <c r="I2117" s="1" t="str">
        <f t="shared" si="32"/>
        <v/>
      </c>
    </row>
    <row r="2118" spans="5:9" x14ac:dyDescent="0.3">
      <c r="E2118" t="str">
        <f>IFERROR(IF(D2118="","",VLOOKUP(D2118,CadProd!$A:$B,2,0)),"")</f>
        <v/>
      </c>
      <c r="F2118" t="str">
        <f>IFERROR(IF(D2118="","",VLOOKUP(D2118,CadProd!$A:$C,3,0)),"")</f>
        <v/>
      </c>
      <c r="I2118" s="1" t="str">
        <f t="shared" si="32"/>
        <v/>
      </c>
    </row>
    <row r="2119" spans="5:9" x14ac:dyDescent="0.3">
      <c r="E2119" t="str">
        <f>IFERROR(IF(D2119="","",VLOOKUP(D2119,CadProd!$A:$B,2,0)),"")</f>
        <v/>
      </c>
      <c r="F2119" t="str">
        <f>IFERROR(IF(D2119="","",VLOOKUP(D2119,CadProd!$A:$C,3,0)),"")</f>
        <v/>
      </c>
      <c r="I2119" s="1" t="str">
        <f t="shared" si="32"/>
        <v/>
      </c>
    </row>
    <row r="2120" spans="5:9" x14ac:dyDescent="0.3">
      <c r="E2120" t="str">
        <f>IFERROR(IF(D2120="","",VLOOKUP(D2120,CadProd!$A:$B,2,0)),"")</f>
        <v/>
      </c>
      <c r="F2120" t="str">
        <f>IFERROR(IF(D2120="","",VLOOKUP(D2120,CadProd!$A:$C,3,0)),"")</f>
        <v/>
      </c>
      <c r="I2120" s="1" t="str">
        <f t="shared" si="32"/>
        <v/>
      </c>
    </row>
    <row r="2121" spans="5:9" x14ac:dyDescent="0.3">
      <c r="E2121" t="str">
        <f>IFERROR(IF(D2121="","",VLOOKUP(D2121,CadProd!$A:$B,2,0)),"")</f>
        <v/>
      </c>
      <c r="F2121" t="str">
        <f>IFERROR(IF(D2121="","",VLOOKUP(D2121,CadProd!$A:$C,3,0)),"")</f>
        <v/>
      </c>
      <c r="I2121" s="1" t="str">
        <f t="shared" si="32"/>
        <v/>
      </c>
    </row>
    <row r="2122" spans="5:9" x14ac:dyDescent="0.3">
      <c r="E2122" t="str">
        <f>IFERROR(IF(D2122="","",VLOOKUP(D2122,CadProd!$A:$B,2,0)),"")</f>
        <v/>
      </c>
      <c r="F2122" t="str">
        <f>IFERROR(IF(D2122="","",VLOOKUP(D2122,CadProd!$A:$C,3,0)),"")</f>
        <v/>
      </c>
      <c r="I2122" s="1" t="str">
        <f t="shared" si="32"/>
        <v/>
      </c>
    </row>
    <row r="2123" spans="5:9" x14ac:dyDescent="0.3">
      <c r="E2123" t="str">
        <f>IFERROR(IF(D2123="","",VLOOKUP(D2123,CadProd!$A:$B,2,0)),"")</f>
        <v/>
      </c>
      <c r="F2123" t="str">
        <f>IFERROR(IF(D2123="","",VLOOKUP(D2123,CadProd!$A:$C,3,0)),"")</f>
        <v/>
      </c>
      <c r="I2123" s="1" t="str">
        <f t="shared" ref="I2123:I2186" si="33">IFERROR(IF(D2123="","",H2123*G2123),"")</f>
        <v/>
      </c>
    </row>
    <row r="2124" spans="5:9" x14ac:dyDescent="0.3">
      <c r="E2124" t="str">
        <f>IFERROR(IF(D2124="","",VLOOKUP(D2124,CadProd!$A:$B,2,0)),"")</f>
        <v/>
      </c>
      <c r="F2124" t="str">
        <f>IFERROR(IF(D2124="","",VLOOKUP(D2124,CadProd!$A:$C,3,0)),"")</f>
        <v/>
      </c>
      <c r="I2124" s="1" t="str">
        <f t="shared" si="33"/>
        <v/>
      </c>
    </row>
    <row r="2125" spans="5:9" x14ac:dyDescent="0.3">
      <c r="E2125" t="str">
        <f>IFERROR(IF(D2125="","",VLOOKUP(D2125,CadProd!$A:$B,2,0)),"")</f>
        <v/>
      </c>
      <c r="F2125" t="str">
        <f>IFERROR(IF(D2125="","",VLOOKUP(D2125,CadProd!$A:$C,3,0)),"")</f>
        <v/>
      </c>
      <c r="I2125" s="1" t="str">
        <f t="shared" si="33"/>
        <v/>
      </c>
    </row>
    <row r="2126" spans="5:9" x14ac:dyDescent="0.3">
      <c r="E2126" t="str">
        <f>IFERROR(IF(D2126="","",VLOOKUP(D2126,CadProd!$A:$B,2,0)),"")</f>
        <v/>
      </c>
      <c r="F2126" t="str">
        <f>IFERROR(IF(D2126="","",VLOOKUP(D2126,CadProd!$A:$C,3,0)),"")</f>
        <v/>
      </c>
      <c r="I2126" s="1" t="str">
        <f t="shared" si="33"/>
        <v/>
      </c>
    </row>
    <row r="2127" spans="5:9" x14ac:dyDescent="0.3">
      <c r="E2127" t="str">
        <f>IFERROR(IF(D2127="","",VLOOKUP(D2127,CadProd!$A:$B,2,0)),"")</f>
        <v/>
      </c>
      <c r="F2127" t="str">
        <f>IFERROR(IF(D2127="","",VLOOKUP(D2127,CadProd!$A:$C,3,0)),"")</f>
        <v/>
      </c>
      <c r="I2127" s="1" t="str">
        <f t="shared" si="33"/>
        <v/>
      </c>
    </row>
    <row r="2128" spans="5:9" x14ac:dyDescent="0.3">
      <c r="E2128" t="str">
        <f>IFERROR(IF(D2128="","",VLOOKUP(D2128,CadProd!$A:$B,2,0)),"")</f>
        <v/>
      </c>
      <c r="F2128" t="str">
        <f>IFERROR(IF(D2128="","",VLOOKUP(D2128,CadProd!$A:$C,3,0)),"")</f>
        <v/>
      </c>
      <c r="I2128" s="1" t="str">
        <f t="shared" si="33"/>
        <v/>
      </c>
    </row>
    <row r="2129" spans="5:9" x14ac:dyDescent="0.3">
      <c r="E2129" t="str">
        <f>IFERROR(IF(D2129="","",VLOOKUP(D2129,CadProd!$A:$B,2,0)),"")</f>
        <v/>
      </c>
      <c r="F2129" t="str">
        <f>IFERROR(IF(D2129="","",VLOOKUP(D2129,CadProd!$A:$C,3,0)),"")</f>
        <v/>
      </c>
      <c r="I2129" s="1" t="str">
        <f t="shared" si="33"/>
        <v/>
      </c>
    </row>
    <row r="2130" spans="5:9" x14ac:dyDescent="0.3">
      <c r="E2130" t="str">
        <f>IFERROR(IF(D2130="","",VLOOKUP(D2130,CadProd!$A:$B,2,0)),"")</f>
        <v/>
      </c>
      <c r="F2130" t="str">
        <f>IFERROR(IF(D2130="","",VLOOKUP(D2130,CadProd!$A:$C,3,0)),"")</f>
        <v/>
      </c>
      <c r="I2130" s="1" t="str">
        <f t="shared" si="33"/>
        <v/>
      </c>
    </row>
    <row r="2131" spans="5:9" x14ac:dyDescent="0.3">
      <c r="E2131" t="str">
        <f>IFERROR(IF(D2131="","",VLOOKUP(D2131,CadProd!$A:$B,2,0)),"")</f>
        <v/>
      </c>
      <c r="F2131" t="str">
        <f>IFERROR(IF(D2131="","",VLOOKUP(D2131,CadProd!$A:$C,3,0)),"")</f>
        <v/>
      </c>
      <c r="I2131" s="1" t="str">
        <f t="shared" si="33"/>
        <v/>
      </c>
    </row>
    <row r="2132" spans="5:9" x14ac:dyDescent="0.3">
      <c r="E2132" t="str">
        <f>IFERROR(IF(D2132="","",VLOOKUP(D2132,CadProd!$A:$B,2,0)),"")</f>
        <v/>
      </c>
      <c r="F2132" t="str">
        <f>IFERROR(IF(D2132="","",VLOOKUP(D2132,CadProd!$A:$C,3,0)),"")</f>
        <v/>
      </c>
      <c r="I2132" s="1" t="str">
        <f t="shared" si="33"/>
        <v/>
      </c>
    </row>
    <row r="2133" spans="5:9" x14ac:dyDescent="0.3">
      <c r="E2133" t="str">
        <f>IFERROR(IF(D2133="","",VLOOKUP(D2133,CadProd!$A:$B,2,0)),"")</f>
        <v/>
      </c>
      <c r="F2133" t="str">
        <f>IFERROR(IF(D2133="","",VLOOKUP(D2133,CadProd!$A:$C,3,0)),"")</f>
        <v/>
      </c>
      <c r="I2133" s="1" t="str">
        <f t="shared" si="33"/>
        <v/>
      </c>
    </row>
    <row r="2134" spans="5:9" x14ac:dyDescent="0.3">
      <c r="E2134" t="str">
        <f>IFERROR(IF(D2134="","",VLOOKUP(D2134,CadProd!$A:$B,2,0)),"")</f>
        <v/>
      </c>
      <c r="F2134" t="str">
        <f>IFERROR(IF(D2134="","",VLOOKUP(D2134,CadProd!$A:$C,3,0)),"")</f>
        <v/>
      </c>
      <c r="I2134" s="1" t="str">
        <f t="shared" si="33"/>
        <v/>
      </c>
    </row>
    <row r="2135" spans="5:9" x14ac:dyDescent="0.3">
      <c r="E2135" t="str">
        <f>IFERROR(IF(D2135="","",VLOOKUP(D2135,CadProd!$A:$B,2,0)),"")</f>
        <v/>
      </c>
      <c r="F2135" t="str">
        <f>IFERROR(IF(D2135="","",VLOOKUP(D2135,CadProd!$A:$C,3,0)),"")</f>
        <v/>
      </c>
      <c r="I2135" s="1" t="str">
        <f t="shared" si="33"/>
        <v/>
      </c>
    </row>
    <row r="2136" spans="5:9" x14ac:dyDescent="0.3">
      <c r="E2136" t="str">
        <f>IFERROR(IF(D2136="","",VLOOKUP(D2136,CadProd!$A:$B,2,0)),"")</f>
        <v/>
      </c>
      <c r="F2136" t="str">
        <f>IFERROR(IF(D2136="","",VLOOKUP(D2136,CadProd!$A:$C,3,0)),"")</f>
        <v/>
      </c>
      <c r="I2136" s="1" t="str">
        <f t="shared" si="33"/>
        <v/>
      </c>
    </row>
    <row r="2137" spans="5:9" x14ac:dyDescent="0.3">
      <c r="E2137" t="str">
        <f>IFERROR(IF(D2137="","",VLOOKUP(D2137,CadProd!$A:$B,2,0)),"")</f>
        <v/>
      </c>
      <c r="F2137" t="str">
        <f>IFERROR(IF(D2137="","",VLOOKUP(D2137,CadProd!$A:$C,3,0)),"")</f>
        <v/>
      </c>
      <c r="I2137" s="1" t="str">
        <f t="shared" si="33"/>
        <v/>
      </c>
    </row>
    <row r="2138" spans="5:9" x14ac:dyDescent="0.3">
      <c r="E2138" t="str">
        <f>IFERROR(IF(D2138="","",VLOOKUP(D2138,CadProd!$A:$B,2,0)),"")</f>
        <v/>
      </c>
      <c r="F2138" t="str">
        <f>IFERROR(IF(D2138="","",VLOOKUP(D2138,CadProd!$A:$C,3,0)),"")</f>
        <v/>
      </c>
      <c r="I2138" s="1" t="str">
        <f t="shared" si="33"/>
        <v/>
      </c>
    </row>
    <row r="2139" spans="5:9" x14ac:dyDescent="0.3">
      <c r="E2139" t="str">
        <f>IFERROR(IF(D2139="","",VLOOKUP(D2139,CadProd!$A:$B,2,0)),"")</f>
        <v/>
      </c>
      <c r="F2139" t="str">
        <f>IFERROR(IF(D2139="","",VLOOKUP(D2139,CadProd!$A:$C,3,0)),"")</f>
        <v/>
      </c>
      <c r="I2139" s="1" t="str">
        <f t="shared" si="33"/>
        <v/>
      </c>
    </row>
    <row r="2140" spans="5:9" x14ac:dyDescent="0.3">
      <c r="E2140" t="str">
        <f>IFERROR(IF(D2140="","",VLOOKUP(D2140,CadProd!$A:$B,2,0)),"")</f>
        <v/>
      </c>
      <c r="F2140" t="str">
        <f>IFERROR(IF(D2140="","",VLOOKUP(D2140,CadProd!$A:$C,3,0)),"")</f>
        <v/>
      </c>
      <c r="I2140" s="1" t="str">
        <f t="shared" si="33"/>
        <v/>
      </c>
    </row>
    <row r="2141" spans="5:9" x14ac:dyDescent="0.3">
      <c r="E2141" t="str">
        <f>IFERROR(IF(D2141="","",VLOOKUP(D2141,CadProd!$A:$B,2,0)),"")</f>
        <v/>
      </c>
      <c r="F2141" t="str">
        <f>IFERROR(IF(D2141="","",VLOOKUP(D2141,CadProd!$A:$C,3,0)),"")</f>
        <v/>
      </c>
      <c r="I2141" s="1" t="str">
        <f t="shared" si="33"/>
        <v/>
      </c>
    </row>
    <row r="2142" spans="5:9" x14ac:dyDescent="0.3">
      <c r="E2142" t="str">
        <f>IFERROR(IF(D2142="","",VLOOKUP(D2142,CadProd!$A:$B,2,0)),"")</f>
        <v/>
      </c>
      <c r="F2142" t="str">
        <f>IFERROR(IF(D2142="","",VLOOKUP(D2142,CadProd!$A:$C,3,0)),"")</f>
        <v/>
      </c>
      <c r="I2142" s="1" t="str">
        <f t="shared" si="33"/>
        <v/>
      </c>
    </row>
    <row r="2143" spans="5:9" x14ac:dyDescent="0.3">
      <c r="E2143" t="str">
        <f>IFERROR(IF(D2143="","",VLOOKUP(D2143,CadProd!$A:$B,2,0)),"")</f>
        <v/>
      </c>
      <c r="F2143" t="str">
        <f>IFERROR(IF(D2143="","",VLOOKUP(D2143,CadProd!$A:$C,3,0)),"")</f>
        <v/>
      </c>
      <c r="I2143" s="1" t="str">
        <f t="shared" si="33"/>
        <v/>
      </c>
    </row>
    <row r="2144" spans="5:9" x14ac:dyDescent="0.3">
      <c r="E2144" t="str">
        <f>IFERROR(IF(D2144="","",VLOOKUP(D2144,CadProd!$A:$B,2,0)),"")</f>
        <v/>
      </c>
      <c r="F2144" t="str">
        <f>IFERROR(IF(D2144="","",VLOOKUP(D2144,CadProd!$A:$C,3,0)),"")</f>
        <v/>
      </c>
      <c r="I2144" s="1" t="str">
        <f t="shared" si="33"/>
        <v/>
      </c>
    </row>
    <row r="2145" spans="5:9" x14ac:dyDescent="0.3">
      <c r="E2145" t="str">
        <f>IFERROR(IF(D2145="","",VLOOKUP(D2145,CadProd!$A:$B,2,0)),"")</f>
        <v/>
      </c>
      <c r="F2145" t="str">
        <f>IFERROR(IF(D2145="","",VLOOKUP(D2145,CadProd!$A:$C,3,0)),"")</f>
        <v/>
      </c>
      <c r="I2145" s="1" t="str">
        <f t="shared" si="33"/>
        <v/>
      </c>
    </row>
    <row r="2146" spans="5:9" x14ac:dyDescent="0.3">
      <c r="E2146" t="str">
        <f>IFERROR(IF(D2146="","",VLOOKUP(D2146,CadProd!$A:$B,2,0)),"")</f>
        <v/>
      </c>
      <c r="F2146" t="str">
        <f>IFERROR(IF(D2146="","",VLOOKUP(D2146,CadProd!$A:$C,3,0)),"")</f>
        <v/>
      </c>
      <c r="I2146" s="1" t="str">
        <f t="shared" si="33"/>
        <v/>
      </c>
    </row>
    <row r="2147" spans="5:9" x14ac:dyDescent="0.3">
      <c r="E2147" t="str">
        <f>IFERROR(IF(D2147="","",VLOOKUP(D2147,CadProd!$A:$B,2,0)),"")</f>
        <v/>
      </c>
      <c r="F2147" t="str">
        <f>IFERROR(IF(D2147="","",VLOOKUP(D2147,CadProd!$A:$C,3,0)),"")</f>
        <v/>
      </c>
      <c r="I2147" s="1" t="str">
        <f t="shared" si="33"/>
        <v/>
      </c>
    </row>
    <row r="2148" spans="5:9" x14ac:dyDescent="0.3">
      <c r="E2148" t="str">
        <f>IFERROR(IF(D2148="","",VLOOKUP(D2148,CadProd!$A:$B,2,0)),"")</f>
        <v/>
      </c>
      <c r="F2148" t="str">
        <f>IFERROR(IF(D2148="","",VLOOKUP(D2148,CadProd!$A:$C,3,0)),"")</f>
        <v/>
      </c>
      <c r="I2148" s="1" t="str">
        <f t="shared" si="33"/>
        <v/>
      </c>
    </row>
    <row r="2149" spans="5:9" x14ac:dyDescent="0.3">
      <c r="E2149" t="str">
        <f>IFERROR(IF(D2149="","",VLOOKUP(D2149,CadProd!$A:$B,2,0)),"")</f>
        <v/>
      </c>
      <c r="F2149" t="str">
        <f>IFERROR(IF(D2149="","",VLOOKUP(D2149,CadProd!$A:$C,3,0)),"")</f>
        <v/>
      </c>
      <c r="I2149" s="1" t="str">
        <f t="shared" si="33"/>
        <v/>
      </c>
    </row>
    <row r="2150" spans="5:9" x14ac:dyDescent="0.3">
      <c r="E2150" t="str">
        <f>IFERROR(IF(D2150="","",VLOOKUP(D2150,CadProd!$A:$B,2,0)),"")</f>
        <v/>
      </c>
      <c r="F2150" t="str">
        <f>IFERROR(IF(D2150="","",VLOOKUP(D2150,CadProd!$A:$C,3,0)),"")</f>
        <v/>
      </c>
      <c r="I2150" s="1" t="str">
        <f t="shared" si="33"/>
        <v/>
      </c>
    </row>
    <row r="2151" spans="5:9" x14ac:dyDescent="0.3">
      <c r="E2151" t="str">
        <f>IFERROR(IF(D2151="","",VLOOKUP(D2151,CadProd!$A:$B,2,0)),"")</f>
        <v/>
      </c>
      <c r="F2151" t="str">
        <f>IFERROR(IF(D2151="","",VLOOKUP(D2151,CadProd!$A:$C,3,0)),"")</f>
        <v/>
      </c>
      <c r="I2151" s="1" t="str">
        <f t="shared" si="33"/>
        <v/>
      </c>
    </row>
    <row r="2152" spans="5:9" x14ac:dyDescent="0.3">
      <c r="E2152" t="str">
        <f>IFERROR(IF(D2152="","",VLOOKUP(D2152,CadProd!$A:$B,2,0)),"")</f>
        <v/>
      </c>
      <c r="F2152" t="str">
        <f>IFERROR(IF(D2152="","",VLOOKUP(D2152,CadProd!$A:$C,3,0)),"")</f>
        <v/>
      </c>
      <c r="I2152" s="1" t="str">
        <f t="shared" si="33"/>
        <v/>
      </c>
    </row>
    <row r="2153" spans="5:9" x14ac:dyDescent="0.3">
      <c r="E2153" t="str">
        <f>IFERROR(IF(D2153="","",VLOOKUP(D2153,CadProd!$A:$B,2,0)),"")</f>
        <v/>
      </c>
      <c r="F2153" t="str">
        <f>IFERROR(IF(D2153="","",VLOOKUP(D2153,CadProd!$A:$C,3,0)),"")</f>
        <v/>
      </c>
      <c r="I2153" s="1" t="str">
        <f t="shared" si="33"/>
        <v/>
      </c>
    </row>
    <row r="2154" spans="5:9" x14ac:dyDescent="0.3">
      <c r="E2154" t="str">
        <f>IFERROR(IF(D2154="","",VLOOKUP(D2154,CadProd!$A:$B,2,0)),"")</f>
        <v/>
      </c>
      <c r="F2154" t="str">
        <f>IFERROR(IF(D2154="","",VLOOKUP(D2154,CadProd!$A:$C,3,0)),"")</f>
        <v/>
      </c>
      <c r="I2154" s="1" t="str">
        <f t="shared" si="33"/>
        <v/>
      </c>
    </row>
    <row r="2155" spans="5:9" x14ac:dyDescent="0.3">
      <c r="E2155" t="str">
        <f>IFERROR(IF(D2155="","",VLOOKUP(D2155,CadProd!$A:$B,2,0)),"")</f>
        <v/>
      </c>
      <c r="F2155" t="str">
        <f>IFERROR(IF(D2155="","",VLOOKUP(D2155,CadProd!$A:$C,3,0)),"")</f>
        <v/>
      </c>
      <c r="I2155" s="1" t="str">
        <f t="shared" si="33"/>
        <v/>
      </c>
    </row>
    <row r="2156" spans="5:9" x14ac:dyDescent="0.3">
      <c r="E2156" t="str">
        <f>IFERROR(IF(D2156="","",VLOOKUP(D2156,CadProd!$A:$B,2,0)),"")</f>
        <v/>
      </c>
      <c r="F2156" t="str">
        <f>IFERROR(IF(D2156="","",VLOOKUP(D2156,CadProd!$A:$C,3,0)),"")</f>
        <v/>
      </c>
      <c r="I2156" s="1" t="str">
        <f t="shared" si="33"/>
        <v/>
      </c>
    </row>
    <row r="2157" spans="5:9" x14ac:dyDescent="0.3">
      <c r="E2157" t="str">
        <f>IFERROR(IF(D2157="","",VLOOKUP(D2157,CadProd!$A:$B,2,0)),"")</f>
        <v/>
      </c>
      <c r="F2157" t="str">
        <f>IFERROR(IF(D2157="","",VLOOKUP(D2157,CadProd!$A:$C,3,0)),"")</f>
        <v/>
      </c>
      <c r="I2157" s="1" t="str">
        <f t="shared" si="33"/>
        <v/>
      </c>
    </row>
    <row r="2158" spans="5:9" x14ac:dyDescent="0.3">
      <c r="E2158" t="str">
        <f>IFERROR(IF(D2158="","",VLOOKUP(D2158,CadProd!$A:$B,2,0)),"")</f>
        <v/>
      </c>
      <c r="F2158" t="str">
        <f>IFERROR(IF(D2158="","",VLOOKUP(D2158,CadProd!$A:$C,3,0)),"")</f>
        <v/>
      </c>
      <c r="I2158" s="1" t="str">
        <f t="shared" si="33"/>
        <v/>
      </c>
    </row>
    <row r="2159" spans="5:9" x14ac:dyDescent="0.3">
      <c r="E2159" t="str">
        <f>IFERROR(IF(D2159="","",VLOOKUP(D2159,CadProd!$A:$B,2,0)),"")</f>
        <v/>
      </c>
      <c r="F2159" t="str">
        <f>IFERROR(IF(D2159="","",VLOOKUP(D2159,CadProd!$A:$C,3,0)),"")</f>
        <v/>
      </c>
      <c r="I2159" s="1" t="str">
        <f t="shared" si="33"/>
        <v/>
      </c>
    </row>
    <row r="2160" spans="5:9" x14ac:dyDescent="0.3">
      <c r="E2160" t="str">
        <f>IFERROR(IF(D2160="","",VLOOKUP(D2160,CadProd!$A:$B,2,0)),"")</f>
        <v/>
      </c>
      <c r="F2160" t="str">
        <f>IFERROR(IF(D2160="","",VLOOKUP(D2160,CadProd!$A:$C,3,0)),"")</f>
        <v/>
      </c>
      <c r="I2160" s="1" t="str">
        <f t="shared" si="33"/>
        <v/>
      </c>
    </row>
    <row r="2161" spans="5:9" x14ac:dyDescent="0.3">
      <c r="E2161" t="str">
        <f>IFERROR(IF(D2161="","",VLOOKUP(D2161,CadProd!$A:$B,2,0)),"")</f>
        <v/>
      </c>
      <c r="F2161" t="str">
        <f>IFERROR(IF(D2161="","",VLOOKUP(D2161,CadProd!$A:$C,3,0)),"")</f>
        <v/>
      </c>
      <c r="I2161" s="1" t="str">
        <f t="shared" si="33"/>
        <v/>
      </c>
    </row>
    <row r="2162" spans="5:9" x14ac:dyDescent="0.3">
      <c r="E2162" t="str">
        <f>IFERROR(IF(D2162="","",VLOOKUP(D2162,CadProd!$A:$B,2,0)),"")</f>
        <v/>
      </c>
      <c r="F2162" t="str">
        <f>IFERROR(IF(D2162="","",VLOOKUP(D2162,CadProd!$A:$C,3,0)),"")</f>
        <v/>
      </c>
      <c r="I2162" s="1" t="str">
        <f t="shared" si="33"/>
        <v/>
      </c>
    </row>
    <row r="2163" spans="5:9" x14ac:dyDescent="0.3">
      <c r="E2163" t="str">
        <f>IFERROR(IF(D2163="","",VLOOKUP(D2163,CadProd!$A:$B,2,0)),"")</f>
        <v/>
      </c>
      <c r="F2163" t="str">
        <f>IFERROR(IF(D2163="","",VLOOKUP(D2163,CadProd!$A:$C,3,0)),"")</f>
        <v/>
      </c>
      <c r="I2163" s="1" t="str">
        <f t="shared" si="33"/>
        <v/>
      </c>
    </row>
    <row r="2164" spans="5:9" x14ac:dyDescent="0.3">
      <c r="E2164" t="str">
        <f>IFERROR(IF(D2164="","",VLOOKUP(D2164,CadProd!$A:$B,2,0)),"")</f>
        <v/>
      </c>
      <c r="F2164" t="str">
        <f>IFERROR(IF(D2164="","",VLOOKUP(D2164,CadProd!$A:$C,3,0)),"")</f>
        <v/>
      </c>
      <c r="I2164" s="1" t="str">
        <f t="shared" si="33"/>
        <v/>
      </c>
    </row>
    <row r="2165" spans="5:9" x14ac:dyDescent="0.3">
      <c r="E2165" t="str">
        <f>IFERROR(IF(D2165="","",VLOOKUP(D2165,CadProd!$A:$B,2,0)),"")</f>
        <v/>
      </c>
      <c r="F2165" t="str">
        <f>IFERROR(IF(D2165="","",VLOOKUP(D2165,CadProd!$A:$C,3,0)),"")</f>
        <v/>
      </c>
      <c r="I2165" s="1" t="str">
        <f t="shared" si="33"/>
        <v/>
      </c>
    </row>
    <row r="2166" spans="5:9" x14ac:dyDescent="0.3">
      <c r="E2166" t="str">
        <f>IFERROR(IF(D2166="","",VLOOKUP(D2166,CadProd!$A:$B,2,0)),"")</f>
        <v/>
      </c>
      <c r="F2166" t="str">
        <f>IFERROR(IF(D2166="","",VLOOKUP(D2166,CadProd!$A:$C,3,0)),"")</f>
        <v/>
      </c>
      <c r="I2166" s="1" t="str">
        <f t="shared" si="33"/>
        <v/>
      </c>
    </row>
    <row r="2167" spans="5:9" x14ac:dyDescent="0.3">
      <c r="E2167" t="str">
        <f>IFERROR(IF(D2167="","",VLOOKUP(D2167,CadProd!$A:$B,2,0)),"")</f>
        <v/>
      </c>
      <c r="F2167" t="str">
        <f>IFERROR(IF(D2167="","",VLOOKUP(D2167,CadProd!$A:$C,3,0)),"")</f>
        <v/>
      </c>
      <c r="I2167" s="1" t="str">
        <f t="shared" si="33"/>
        <v/>
      </c>
    </row>
    <row r="2168" spans="5:9" x14ac:dyDescent="0.3">
      <c r="E2168" t="str">
        <f>IFERROR(IF(D2168="","",VLOOKUP(D2168,CadProd!$A:$B,2,0)),"")</f>
        <v/>
      </c>
      <c r="F2168" t="str">
        <f>IFERROR(IF(D2168="","",VLOOKUP(D2168,CadProd!$A:$C,3,0)),"")</f>
        <v/>
      </c>
      <c r="I2168" s="1" t="str">
        <f t="shared" si="33"/>
        <v/>
      </c>
    </row>
    <row r="2169" spans="5:9" x14ac:dyDescent="0.3">
      <c r="E2169" t="str">
        <f>IFERROR(IF(D2169="","",VLOOKUP(D2169,CadProd!$A:$B,2,0)),"")</f>
        <v/>
      </c>
      <c r="F2169" t="str">
        <f>IFERROR(IF(D2169="","",VLOOKUP(D2169,CadProd!$A:$C,3,0)),"")</f>
        <v/>
      </c>
      <c r="I2169" s="1" t="str">
        <f t="shared" si="33"/>
        <v/>
      </c>
    </row>
    <row r="2170" spans="5:9" x14ac:dyDescent="0.3">
      <c r="E2170" t="str">
        <f>IFERROR(IF(D2170="","",VLOOKUP(D2170,CadProd!$A:$B,2,0)),"")</f>
        <v/>
      </c>
      <c r="F2170" t="str">
        <f>IFERROR(IF(D2170="","",VLOOKUP(D2170,CadProd!$A:$C,3,0)),"")</f>
        <v/>
      </c>
      <c r="I2170" s="1" t="str">
        <f t="shared" si="33"/>
        <v/>
      </c>
    </row>
    <row r="2171" spans="5:9" x14ac:dyDescent="0.3">
      <c r="E2171" t="str">
        <f>IFERROR(IF(D2171="","",VLOOKUP(D2171,CadProd!$A:$B,2,0)),"")</f>
        <v/>
      </c>
      <c r="F2171" t="str">
        <f>IFERROR(IF(D2171="","",VLOOKUP(D2171,CadProd!$A:$C,3,0)),"")</f>
        <v/>
      </c>
      <c r="I2171" s="1" t="str">
        <f t="shared" si="33"/>
        <v/>
      </c>
    </row>
    <row r="2172" spans="5:9" x14ac:dyDescent="0.3">
      <c r="E2172" t="str">
        <f>IFERROR(IF(D2172="","",VLOOKUP(D2172,CadProd!$A:$B,2,0)),"")</f>
        <v/>
      </c>
      <c r="F2172" t="str">
        <f>IFERROR(IF(D2172="","",VLOOKUP(D2172,CadProd!$A:$C,3,0)),"")</f>
        <v/>
      </c>
      <c r="I2172" s="1" t="str">
        <f t="shared" si="33"/>
        <v/>
      </c>
    </row>
    <row r="2173" spans="5:9" x14ac:dyDescent="0.3">
      <c r="E2173" t="str">
        <f>IFERROR(IF(D2173="","",VLOOKUP(D2173,CadProd!$A:$B,2,0)),"")</f>
        <v/>
      </c>
      <c r="F2173" t="str">
        <f>IFERROR(IF(D2173="","",VLOOKUP(D2173,CadProd!$A:$C,3,0)),"")</f>
        <v/>
      </c>
      <c r="I2173" s="1" t="str">
        <f t="shared" si="33"/>
        <v/>
      </c>
    </row>
    <row r="2174" spans="5:9" x14ac:dyDescent="0.3">
      <c r="E2174" t="str">
        <f>IFERROR(IF(D2174="","",VLOOKUP(D2174,CadProd!$A:$B,2,0)),"")</f>
        <v/>
      </c>
      <c r="F2174" t="str">
        <f>IFERROR(IF(D2174="","",VLOOKUP(D2174,CadProd!$A:$C,3,0)),"")</f>
        <v/>
      </c>
      <c r="I2174" s="1" t="str">
        <f t="shared" si="33"/>
        <v/>
      </c>
    </row>
    <row r="2175" spans="5:9" x14ac:dyDescent="0.3">
      <c r="E2175" t="str">
        <f>IFERROR(IF(D2175="","",VLOOKUP(D2175,CadProd!$A:$B,2,0)),"")</f>
        <v/>
      </c>
      <c r="F2175" t="str">
        <f>IFERROR(IF(D2175="","",VLOOKUP(D2175,CadProd!$A:$C,3,0)),"")</f>
        <v/>
      </c>
      <c r="I2175" s="1" t="str">
        <f t="shared" si="33"/>
        <v/>
      </c>
    </row>
    <row r="2176" spans="5:9" x14ac:dyDescent="0.3">
      <c r="E2176" t="str">
        <f>IFERROR(IF(D2176="","",VLOOKUP(D2176,CadProd!$A:$B,2,0)),"")</f>
        <v/>
      </c>
      <c r="F2176" t="str">
        <f>IFERROR(IF(D2176="","",VLOOKUP(D2176,CadProd!$A:$C,3,0)),"")</f>
        <v/>
      </c>
      <c r="I2176" s="1" t="str">
        <f t="shared" si="33"/>
        <v/>
      </c>
    </row>
    <row r="2177" spans="5:9" x14ac:dyDescent="0.3">
      <c r="E2177" t="str">
        <f>IFERROR(IF(D2177="","",VLOOKUP(D2177,CadProd!$A:$B,2,0)),"")</f>
        <v/>
      </c>
      <c r="F2177" t="str">
        <f>IFERROR(IF(D2177="","",VLOOKUP(D2177,CadProd!$A:$C,3,0)),"")</f>
        <v/>
      </c>
      <c r="I2177" s="1" t="str">
        <f t="shared" si="33"/>
        <v/>
      </c>
    </row>
    <row r="2178" spans="5:9" x14ac:dyDescent="0.3">
      <c r="E2178" t="str">
        <f>IFERROR(IF(D2178="","",VLOOKUP(D2178,CadProd!$A:$B,2,0)),"")</f>
        <v/>
      </c>
      <c r="F2178" t="str">
        <f>IFERROR(IF(D2178="","",VLOOKUP(D2178,CadProd!$A:$C,3,0)),"")</f>
        <v/>
      </c>
      <c r="I2178" s="1" t="str">
        <f t="shared" si="33"/>
        <v/>
      </c>
    </row>
    <row r="2179" spans="5:9" x14ac:dyDescent="0.3">
      <c r="E2179" t="str">
        <f>IFERROR(IF(D2179="","",VLOOKUP(D2179,CadProd!$A:$B,2,0)),"")</f>
        <v/>
      </c>
      <c r="F2179" t="str">
        <f>IFERROR(IF(D2179="","",VLOOKUP(D2179,CadProd!$A:$C,3,0)),"")</f>
        <v/>
      </c>
      <c r="I2179" s="1" t="str">
        <f t="shared" si="33"/>
        <v/>
      </c>
    </row>
    <row r="2180" spans="5:9" x14ac:dyDescent="0.3">
      <c r="E2180" t="str">
        <f>IFERROR(IF(D2180="","",VLOOKUP(D2180,CadProd!$A:$B,2,0)),"")</f>
        <v/>
      </c>
      <c r="F2180" t="str">
        <f>IFERROR(IF(D2180="","",VLOOKUP(D2180,CadProd!$A:$C,3,0)),"")</f>
        <v/>
      </c>
      <c r="I2180" s="1" t="str">
        <f t="shared" si="33"/>
        <v/>
      </c>
    </row>
    <row r="2181" spans="5:9" x14ac:dyDescent="0.3">
      <c r="E2181" t="str">
        <f>IFERROR(IF(D2181="","",VLOOKUP(D2181,CadProd!$A:$B,2,0)),"")</f>
        <v/>
      </c>
      <c r="F2181" t="str">
        <f>IFERROR(IF(D2181="","",VLOOKUP(D2181,CadProd!$A:$C,3,0)),"")</f>
        <v/>
      </c>
      <c r="I2181" s="1" t="str">
        <f t="shared" si="33"/>
        <v/>
      </c>
    </row>
    <row r="2182" spans="5:9" x14ac:dyDescent="0.3">
      <c r="E2182" t="str">
        <f>IFERROR(IF(D2182="","",VLOOKUP(D2182,CadProd!$A:$B,2,0)),"")</f>
        <v/>
      </c>
      <c r="F2182" t="str">
        <f>IFERROR(IF(D2182="","",VLOOKUP(D2182,CadProd!$A:$C,3,0)),"")</f>
        <v/>
      </c>
      <c r="I2182" s="1" t="str">
        <f t="shared" si="33"/>
        <v/>
      </c>
    </row>
    <row r="2183" spans="5:9" x14ac:dyDescent="0.3">
      <c r="E2183" t="str">
        <f>IFERROR(IF(D2183="","",VLOOKUP(D2183,CadProd!$A:$B,2,0)),"")</f>
        <v/>
      </c>
      <c r="F2183" t="str">
        <f>IFERROR(IF(D2183="","",VLOOKUP(D2183,CadProd!$A:$C,3,0)),"")</f>
        <v/>
      </c>
      <c r="I2183" s="1" t="str">
        <f t="shared" si="33"/>
        <v/>
      </c>
    </row>
    <row r="2184" spans="5:9" x14ac:dyDescent="0.3">
      <c r="E2184" t="str">
        <f>IFERROR(IF(D2184="","",VLOOKUP(D2184,CadProd!$A:$B,2,0)),"")</f>
        <v/>
      </c>
      <c r="F2184" t="str">
        <f>IFERROR(IF(D2184="","",VLOOKUP(D2184,CadProd!$A:$C,3,0)),"")</f>
        <v/>
      </c>
      <c r="I2184" s="1" t="str">
        <f t="shared" si="33"/>
        <v/>
      </c>
    </row>
    <row r="2185" spans="5:9" x14ac:dyDescent="0.3">
      <c r="E2185" t="str">
        <f>IFERROR(IF(D2185="","",VLOOKUP(D2185,CadProd!$A:$B,2,0)),"")</f>
        <v/>
      </c>
      <c r="F2185" t="str">
        <f>IFERROR(IF(D2185="","",VLOOKUP(D2185,CadProd!$A:$C,3,0)),"")</f>
        <v/>
      </c>
      <c r="I2185" s="1" t="str">
        <f t="shared" si="33"/>
        <v/>
      </c>
    </row>
    <row r="2186" spans="5:9" x14ac:dyDescent="0.3">
      <c r="E2186" t="str">
        <f>IFERROR(IF(D2186="","",VLOOKUP(D2186,CadProd!$A:$B,2,0)),"")</f>
        <v/>
      </c>
      <c r="F2186" t="str">
        <f>IFERROR(IF(D2186="","",VLOOKUP(D2186,CadProd!$A:$C,3,0)),"")</f>
        <v/>
      </c>
      <c r="I2186" s="1" t="str">
        <f t="shared" si="33"/>
        <v/>
      </c>
    </row>
    <row r="2187" spans="5:9" x14ac:dyDescent="0.3">
      <c r="E2187" t="str">
        <f>IFERROR(IF(D2187="","",VLOOKUP(D2187,CadProd!$A:$B,2,0)),"")</f>
        <v/>
      </c>
      <c r="F2187" t="str">
        <f>IFERROR(IF(D2187="","",VLOOKUP(D2187,CadProd!$A:$C,3,0)),"")</f>
        <v/>
      </c>
      <c r="I2187" s="1" t="str">
        <f t="shared" ref="I2187:I2250" si="34">IFERROR(IF(D2187="","",H2187*G2187),"")</f>
        <v/>
      </c>
    </row>
    <row r="2188" spans="5:9" x14ac:dyDescent="0.3">
      <c r="E2188" t="str">
        <f>IFERROR(IF(D2188="","",VLOOKUP(D2188,CadProd!$A:$B,2,0)),"")</f>
        <v/>
      </c>
      <c r="F2188" t="str">
        <f>IFERROR(IF(D2188="","",VLOOKUP(D2188,CadProd!$A:$C,3,0)),"")</f>
        <v/>
      </c>
      <c r="I2188" s="1" t="str">
        <f t="shared" si="34"/>
        <v/>
      </c>
    </row>
    <row r="2189" spans="5:9" x14ac:dyDescent="0.3">
      <c r="E2189" t="str">
        <f>IFERROR(IF(D2189="","",VLOOKUP(D2189,CadProd!$A:$B,2,0)),"")</f>
        <v/>
      </c>
      <c r="F2189" t="str">
        <f>IFERROR(IF(D2189="","",VLOOKUP(D2189,CadProd!$A:$C,3,0)),"")</f>
        <v/>
      </c>
      <c r="I2189" s="1" t="str">
        <f t="shared" si="34"/>
        <v/>
      </c>
    </row>
    <row r="2190" spans="5:9" x14ac:dyDescent="0.3">
      <c r="E2190" t="str">
        <f>IFERROR(IF(D2190="","",VLOOKUP(D2190,CadProd!$A:$B,2,0)),"")</f>
        <v/>
      </c>
      <c r="F2190" t="str">
        <f>IFERROR(IF(D2190="","",VLOOKUP(D2190,CadProd!$A:$C,3,0)),"")</f>
        <v/>
      </c>
      <c r="I2190" s="1" t="str">
        <f t="shared" si="34"/>
        <v/>
      </c>
    </row>
    <row r="2191" spans="5:9" x14ac:dyDescent="0.3">
      <c r="E2191" t="str">
        <f>IFERROR(IF(D2191="","",VLOOKUP(D2191,CadProd!$A:$B,2,0)),"")</f>
        <v/>
      </c>
      <c r="F2191" t="str">
        <f>IFERROR(IF(D2191="","",VLOOKUP(D2191,CadProd!$A:$C,3,0)),"")</f>
        <v/>
      </c>
      <c r="I2191" s="1" t="str">
        <f t="shared" si="34"/>
        <v/>
      </c>
    </row>
    <row r="2192" spans="5:9" x14ac:dyDescent="0.3">
      <c r="E2192" t="str">
        <f>IFERROR(IF(D2192="","",VLOOKUP(D2192,CadProd!$A:$B,2,0)),"")</f>
        <v/>
      </c>
      <c r="F2192" t="str">
        <f>IFERROR(IF(D2192="","",VLOOKUP(D2192,CadProd!$A:$C,3,0)),"")</f>
        <v/>
      </c>
      <c r="I2192" s="1" t="str">
        <f t="shared" si="34"/>
        <v/>
      </c>
    </row>
    <row r="2193" spans="5:9" x14ac:dyDescent="0.3">
      <c r="E2193" t="str">
        <f>IFERROR(IF(D2193="","",VLOOKUP(D2193,CadProd!$A:$B,2,0)),"")</f>
        <v/>
      </c>
      <c r="F2193" t="str">
        <f>IFERROR(IF(D2193="","",VLOOKUP(D2193,CadProd!$A:$C,3,0)),"")</f>
        <v/>
      </c>
      <c r="I2193" s="1" t="str">
        <f t="shared" si="34"/>
        <v/>
      </c>
    </row>
    <row r="2194" spans="5:9" x14ac:dyDescent="0.3">
      <c r="E2194" t="str">
        <f>IFERROR(IF(D2194="","",VLOOKUP(D2194,CadProd!$A:$B,2,0)),"")</f>
        <v/>
      </c>
      <c r="F2194" t="str">
        <f>IFERROR(IF(D2194="","",VLOOKUP(D2194,CadProd!$A:$C,3,0)),"")</f>
        <v/>
      </c>
      <c r="I2194" s="1" t="str">
        <f t="shared" si="34"/>
        <v/>
      </c>
    </row>
    <row r="2195" spans="5:9" x14ac:dyDescent="0.3">
      <c r="E2195" t="str">
        <f>IFERROR(IF(D2195="","",VLOOKUP(D2195,CadProd!$A:$B,2,0)),"")</f>
        <v/>
      </c>
      <c r="F2195" t="str">
        <f>IFERROR(IF(D2195="","",VLOOKUP(D2195,CadProd!$A:$C,3,0)),"")</f>
        <v/>
      </c>
      <c r="I2195" s="1" t="str">
        <f t="shared" si="34"/>
        <v/>
      </c>
    </row>
    <row r="2196" spans="5:9" x14ac:dyDescent="0.3">
      <c r="E2196" t="str">
        <f>IFERROR(IF(D2196="","",VLOOKUP(D2196,CadProd!$A:$B,2,0)),"")</f>
        <v/>
      </c>
      <c r="F2196" t="str">
        <f>IFERROR(IF(D2196="","",VLOOKUP(D2196,CadProd!$A:$C,3,0)),"")</f>
        <v/>
      </c>
      <c r="I2196" s="1" t="str">
        <f t="shared" si="34"/>
        <v/>
      </c>
    </row>
    <row r="2197" spans="5:9" x14ac:dyDescent="0.3">
      <c r="E2197" t="str">
        <f>IFERROR(IF(D2197="","",VLOOKUP(D2197,CadProd!$A:$B,2,0)),"")</f>
        <v/>
      </c>
      <c r="F2197" t="str">
        <f>IFERROR(IF(D2197="","",VLOOKUP(D2197,CadProd!$A:$C,3,0)),"")</f>
        <v/>
      </c>
      <c r="I2197" s="1" t="str">
        <f t="shared" si="34"/>
        <v/>
      </c>
    </row>
    <row r="2198" spans="5:9" x14ac:dyDescent="0.3">
      <c r="E2198" t="str">
        <f>IFERROR(IF(D2198="","",VLOOKUP(D2198,CadProd!$A:$B,2,0)),"")</f>
        <v/>
      </c>
      <c r="F2198" t="str">
        <f>IFERROR(IF(D2198="","",VLOOKUP(D2198,CadProd!$A:$C,3,0)),"")</f>
        <v/>
      </c>
      <c r="I2198" s="1" t="str">
        <f t="shared" si="34"/>
        <v/>
      </c>
    </row>
    <row r="2199" spans="5:9" x14ac:dyDescent="0.3">
      <c r="E2199" t="str">
        <f>IFERROR(IF(D2199="","",VLOOKUP(D2199,CadProd!$A:$B,2,0)),"")</f>
        <v/>
      </c>
      <c r="F2199" t="str">
        <f>IFERROR(IF(D2199="","",VLOOKUP(D2199,CadProd!$A:$C,3,0)),"")</f>
        <v/>
      </c>
      <c r="I2199" s="1" t="str">
        <f t="shared" si="34"/>
        <v/>
      </c>
    </row>
    <row r="2200" spans="5:9" x14ac:dyDescent="0.3">
      <c r="E2200" t="str">
        <f>IFERROR(IF(D2200="","",VLOOKUP(D2200,CadProd!$A:$B,2,0)),"")</f>
        <v/>
      </c>
      <c r="F2200" t="str">
        <f>IFERROR(IF(D2200="","",VLOOKUP(D2200,CadProd!$A:$C,3,0)),"")</f>
        <v/>
      </c>
      <c r="I2200" s="1" t="str">
        <f t="shared" si="34"/>
        <v/>
      </c>
    </row>
    <row r="2201" spans="5:9" x14ac:dyDescent="0.3">
      <c r="E2201" t="str">
        <f>IFERROR(IF(D2201="","",VLOOKUP(D2201,CadProd!$A:$B,2,0)),"")</f>
        <v/>
      </c>
      <c r="F2201" t="str">
        <f>IFERROR(IF(D2201="","",VLOOKUP(D2201,CadProd!$A:$C,3,0)),"")</f>
        <v/>
      </c>
      <c r="I2201" s="1" t="str">
        <f t="shared" si="34"/>
        <v/>
      </c>
    </row>
    <row r="2202" spans="5:9" x14ac:dyDescent="0.3">
      <c r="E2202" t="str">
        <f>IFERROR(IF(D2202="","",VLOOKUP(D2202,CadProd!$A:$B,2,0)),"")</f>
        <v/>
      </c>
      <c r="F2202" t="str">
        <f>IFERROR(IF(D2202="","",VLOOKUP(D2202,CadProd!$A:$C,3,0)),"")</f>
        <v/>
      </c>
      <c r="I2202" s="1" t="str">
        <f t="shared" si="34"/>
        <v/>
      </c>
    </row>
    <row r="2203" spans="5:9" x14ac:dyDescent="0.3">
      <c r="E2203" t="str">
        <f>IFERROR(IF(D2203="","",VLOOKUP(D2203,CadProd!$A:$B,2,0)),"")</f>
        <v/>
      </c>
      <c r="F2203" t="str">
        <f>IFERROR(IF(D2203="","",VLOOKUP(D2203,CadProd!$A:$C,3,0)),"")</f>
        <v/>
      </c>
      <c r="I2203" s="1" t="str">
        <f t="shared" si="34"/>
        <v/>
      </c>
    </row>
    <row r="2204" spans="5:9" x14ac:dyDescent="0.3">
      <c r="E2204" t="str">
        <f>IFERROR(IF(D2204="","",VLOOKUP(D2204,CadProd!$A:$B,2,0)),"")</f>
        <v/>
      </c>
      <c r="F2204" t="str">
        <f>IFERROR(IF(D2204="","",VLOOKUP(D2204,CadProd!$A:$C,3,0)),"")</f>
        <v/>
      </c>
      <c r="I2204" s="1" t="str">
        <f t="shared" si="34"/>
        <v/>
      </c>
    </row>
    <row r="2205" spans="5:9" x14ac:dyDescent="0.3">
      <c r="E2205" t="str">
        <f>IFERROR(IF(D2205="","",VLOOKUP(D2205,CadProd!$A:$B,2,0)),"")</f>
        <v/>
      </c>
      <c r="F2205" t="str">
        <f>IFERROR(IF(D2205="","",VLOOKUP(D2205,CadProd!$A:$C,3,0)),"")</f>
        <v/>
      </c>
      <c r="I2205" s="1" t="str">
        <f t="shared" si="34"/>
        <v/>
      </c>
    </row>
    <row r="2206" spans="5:9" x14ac:dyDescent="0.3">
      <c r="E2206" t="str">
        <f>IFERROR(IF(D2206="","",VLOOKUP(D2206,CadProd!$A:$B,2,0)),"")</f>
        <v/>
      </c>
      <c r="F2206" t="str">
        <f>IFERROR(IF(D2206="","",VLOOKUP(D2206,CadProd!$A:$C,3,0)),"")</f>
        <v/>
      </c>
      <c r="I2206" s="1" t="str">
        <f t="shared" si="34"/>
        <v/>
      </c>
    </row>
    <row r="2207" spans="5:9" x14ac:dyDescent="0.3">
      <c r="E2207" t="str">
        <f>IFERROR(IF(D2207="","",VLOOKUP(D2207,CadProd!$A:$B,2,0)),"")</f>
        <v/>
      </c>
      <c r="F2207" t="str">
        <f>IFERROR(IF(D2207="","",VLOOKUP(D2207,CadProd!$A:$C,3,0)),"")</f>
        <v/>
      </c>
      <c r="I2207" s="1" t="str">
        <f t="shared" si="34"/>
        <v/>
      </c>
    </row>
    <row r="2208" spans="5:9" x14ac:dyDescent="0.3">
      <c r="E2208" t="str">
        <f>IFERROR(IF(D2208="","",VLOOKUP(D2208,CadProd!$A:$B,2,0)),"")</f>
        <v/>
      </c>
      <c r="F2208" t="str">
        <f>IFERROR(IF(D2208="","",VLOOKUP(D2208,CadProd!$A:$C,3,0)),"")</f>
        <v/>
      </c>
      <c r="I2208" s="1" t="str">
        <f t="shared" si="34"/>
        <v/>
      </c>
    </row>
    <row r="2209" spans="5:9" x14ac:dyDescent="0.3">
      <c r="E2209" t="str">
        <f>IFERROR(IF(D2209="","",VLOOKUP(D2209,CadProd!$A:$B,2,0)),"")</f>
        <v/>
      </c>
      <c r="F2209" t="str">
        <f>IFERROR(IF(D2209="","",VLOOKUP(D2209,CadProd!$A:$C,3,0)),"")</f>
        <v/>
      </c>
      <c r="I2209" s="1" t="str">
        <f t="shared" si="34"/>
        <v/>
      </c>
    </row>
    <row r="2210" spans="5:9" x14ac:dyDescent="0.3">
      <c r="E2210" t="str">
        <f>IFERROR(IF(D2210="","",VLOOKUP(D2210,CadProd!$A:$B,2,0)),"")</f>
        <v/>
      </c>
      <c r="F2210" t="str">
        <f>IFERROR(IF(D2210="","",VLOOKUP(D2210,CadProd!$A:$C,3,0)),"")</f>
        <v/>
      </c>
      <c r="I2210" s="1" t="str">
        <f t="shared" si="34"/>
        <v/>
      </c>
    </row>
    <row r="2211" spans="5:9" x14ac:dyDescent="0.3">
      <c r="E2211" t="str">
        <f>IFERROR(IF(D2211="","",VLOOKUP(D2211,CadProd!$A:$B,2,0)),"")</f>
        <v/>
      </c>
      <c r="F2211" t="str">
        <f>IFERROR(IF(D2211="","",VLOOKUP(D2211,CadProd!$A:$C,3,0)),"")</f>
        <v/>
      </c>
      <c r="I2211" s="1" t="str">
        <f t="shared" si="34"/>
        <v/>
      </c>
    </row>
    <row r="2212" spans="5:9" x14ac:dyDescent="0.3">
      <c r="E2212" t="str">
        <f>IFERROR(IF(D2212="","",VLOOKUP(D2212,CadProd!$A:$B,2,0)),"")</f>
        <v/>
      </c>
      <c r="F2212" t="str">
        <f>IFERROR(IF(D2212="","",VLOOKUP(D2212,CadProd!$A:$C,3,0)),"")</f>
        <v/>
      </c>
      <c r="I2212" s="1" t="str">
        <f t="shared" si="34"/>
        <v/>
      </c>
    </row>
    <row r="2213" spans="5:9" x14ac:dyDescent="0.3">
      <c r="E2213" t="str">
        <f>IFERROR(IF(D2213="","",VLOOKUP(D2213,CadProd!$A:$B,2,0)),"")</f>
        <v/>
      </c>
      <c r="F2213" t="str">
        <f>IFERROR(IF(D2213="","",VLOOKUP(D2213,CadProd!$A:$C,3,0)),"")</f>
        <v/>
      </c>
      <c r="I2213" s="1" t="str">
        <f t="shared" si="34"/>
        <v/>
      </c>
    </row>
    <row r="2214" spans="5:9" x14ac:dyDescent="0.3">
      <c r="E2214" t="str">
        <f>IFERROR(IF(D2214="","",VLOOKUP(D2214,CadProd!$A:$B,2,0)),"")</f>
        <v/>
      </c>
      <c r="F2214" t="str">
        <f>IFERROR(IF(D2214="","",VLOOKUP(D2214,CadProd!$A:$C,3,0)),"")</f>
        <v/>
      </c>
      <c r="I2214" s="1" t="str">
        <f t="shared" si="34"/>
        <v/>
      </c>
    </row>
    <row r="2215" spans="5:9" x14ac:dyDescent="0.3">
      <c r="E2215" t="str">
        <f>IFERROR(IF(D2215="","",VLOOKUP(D2215,CadProd!$A:$B,2,0)),"")</f>
        <v/>
      </c>
      <c r="F2215" t="str">
        <f>IFERROR(IF(D2215="","",VLOOKUP(D2215,CadProd!$A:$C,3,0)),"")</f>
        <v/>
      </c>
      <c r="I2215" s="1" t="str">
        <f t="shared" si="34"/>
        <v/>
      </c>
    </row>
    <row r="2216" spans="5:9" x14ac:dyDescent="0.3">
      <c r="E2216" t="str">
        <f>IFERROR(IF(D2216="","",VLOOKUP(D2216,CadProd!$A:$B,2,0)),"")</f>
        <v/>
      </c>
      <c r="F2216" t="str">
        <f>IFERROR(IF(D2216="","",VLOOKUP(D2216,CadProd!$A:$C,3,0)),"")</f>
        <v/>
      </c>
      <c r="I2216" s="1" t="str">
        <f t="shared" si="34"/>
        <v/>
      </c>
    </row>
    <row r="2217" spans="5:9" x14ac:dyDescent="0.3">
      <c r="E2217" t="str">
        <f>IFERROR(IF(D2217="","",VLOOKUP(D2217,CadProd!$A:$B,2,0)),"")</f>
        <v/>
      </c>
      <c r="F2217" t="str">
        <f>IFERROR(IF(D2217="","",VLOOKUP(D2217,CadProd!$A:$C,3,0)),"")</f>
        <v/>
      </c>
      <c r="I2217" s="1" t="str">
        <f t="shared" si="34"/>
        <v/>
      </c>
    </row>
    <row r="2218" spans="5:9" x14ac:dyDescent="0.3">
      <c r="E2218" t="str">
        <f>IFERROR(IF(D2218="","",VLOOKUP(D2218,CadProd!$A:$B,2,0)),"")</f>
        <v/>
      </c>
      <c r="F2218" t="str">
        <f>IFERROR(IF(D2218="","",VLOOKUP(D2218,CadProd!$A:$C,3,0)),"")</f>
        <v/>
      </c>
      <c r="I2218" s="1" t="str">
        <f t="shared" si="34"/>
        <v/>
      </c>
    </row>
    <row r="2219" spans="5:9" x14ac:dyDescent="0.3">
      <c r="E2219" t="str">
        <f>IFERROR(IF(D2219="","",VLOOKUP(D2219,CadProd!$A:$B,2,0)),"")</f>
        <v/>
      </c>
      <c r="F2219" t="str">
        <f>IFERROR(IF(D2219="","",VLOOKUP(D2219,CadProd!$A:$C,3,0)),"")</f>
        <v/>
      </c>
      <c r="I2219" s="1" t="str">
        <f t="shared" si="34"/>
        <v/>
      </c>
    </row>
    <row r="2220" spans="5:9" x14ac:dyDescent="0.3">
      <c r="E2220" t="str">
        <f>IFERROR(IF(D2220="","",VLOOKUP(D2220,CadProd!$A:$B,2,0)),"")</f>
        <v/>
      </c>
      <c r="F2220" t="str">
        <f>IFERROR(IF(D2220="","",VLOOKUP(D2220,CadProd!$A:$C,3,0)),"")</f>
        <v/>
      </c>
      <c r="I2220" s="1" t="str">
        <f t="shared" si="34"/>
        <v/>
      </c>
    </row>
    <row r="2221" spans="5:9" x14ac:dyDescent="0.3">
      <c r="E2221" t="str">
        <f>IFERROR(IF(D2221="","",VLOOKUP(D2221,CadProd!$A:$B,2,0)),"")</f>
        <v/>
      </c>
      <c r="F2221" t="str">
        <f>IFERROR(IF(D2221="","",VLOOKUP(D2221,CadProd!$A:$C,3,0)),"")</f>
        <v/>
      </c>
      <c r="I2221" s="1" t="str">
        <f t="shared" si="34"/>
        <v/>
      </c>
    </row>
    <row r="2222" spans="5:9" x14ac:dyDescent="0.3">
      <c r="E2222" t="str">
        <f>IFERROR(IF(D2222="","",VLOOKUP(D2222,CadProd!$A:$B,2,0)),"")</f>
        <v/>
      </c>
      <c r="F2222" t="str">
        <f>IFERROR(IF(D2222="","",VLOOKUP(D2222,CadProd!$A:$C,3,0)),"")</f>
        <v/>
      </c>
      <c r="I2222" s="1" t="str">
        <f t="shared" si="34"/>
        <v/>
      </c>
    </row>
    <row r="2223" spans="5:9" x14ac:dyDescent="0.3">
      <c r="E2223" t="str">
        <f>IFERROR(IF(D2223="","",VLOOKUP(D2223,CadProd!$A:$B,2,0)),"")</f>
        <v/>
      </c>
      <c r="F2223" t="str">
        <f>IFERROR(IF(D2223="","",VLOOKUP(D2223,CadProd!$A:$C,3,0)),"")</f>
        <v/>
      </c>
      <c r="I2223" s="1" t="str">
        <f t="shared" si="34"/>
        <v/>
      </c>
    </row>
    <row r="2224" spans="5:9" x14ac:dyDescent="0.3">
      <c r="E2224" t="str">
        <f>IFERROR(IF(D2224="","",VLOOKUP(D2224,CadProd!$A:$B,2,0)),"")</f>
        <v/>
      </c>
      <c r="F2224" t="str">
        <f>IFERROR(IF(D2224="","",VLOOKUP(D2224,CadProd!$A:$C,3,0)),"")</f>
        <v/>
      </c>
      <c r="I2224" s="1" t="str">
        <f t="shared" si="34"/>
        <v/>
      </c>
    </row>
    <row r="2225" spans="5:9" x14ac:dyDescent="0.3">
      <c r="E2225" t="str">
        <f>IFERROR(IF(D2225="","",VLOOKUP(D2225,CadProd!$A:$B,2,0)),"")</f>
        <v/>
      </c>
      <c r="F2225" t="str">
        <f>IFERROR(IF(D2225="","",VLOOKUP(D2225,CadProd!$A:$C,3,0)),"")</f>
        <v/>
      </c>
      <c r="I2225" s="1" t="str">
        <f t="shared" si="34"/>
        <v/>
      </c>
    </row>
    <row r="2226" spans="5:9" x14ac:dyDescent="0.3">
      <c r="E2226" t="str">
        <f>IFERROR(IF(D2226="","",VLOOKUP(D2226,CadProd!$A:$B,2,0)),"")</f>
        <v/>
      </c>
      <c r="F2226" t="str">
        <f>IFERROR(IF(D2226="","",VLOOKUP(D2226,CadProd!$A:$C,3,0)),"")</f>
        <v/>
      </c>
      <c r="I2226" s="1" t="str">
        <f t="shared" si="34"/>
        <v/>
      </c>
    </row>
    <row r="2227" spans="5:9" x14ac:dyDescent="0.3">
      <c r="E2227" t="str">
        <f>IFERROR(IF(D2227="","",VLOOKUP(D2227,CadProd!$A:$B,2,0)),"")</f>
        <v/>
      </c>
      <c r="F2227" t="str">
        <f>IFERROR(IF(D2227="","",VLOOKUP(D2227,CadProd!$A:$C,3,0)),"")</f>
        <v/>
      </c>
      <c r="I2227" s="1" t="str">
        <f t="shared" si="34"/>
        <v/>
      </c>
    </row>
    <row r="2228" spans="5:9" x14ac:dyDescent="0.3">
      <c r="E2228" t="str">
        <f>IFERROR(IF(D2228="","",VLOOKUP(D2228,CadProd!$A:$B,2,0)),"")</f>
        <v/>
      </c>
      <c r="F2228" t="str">
        <f>IFERROR(IF(D2228="","",VLOOKUP(D2228,CadProd!$A:$C,3,0)),"")</f>
        <v/>
      </c>
      <c r="I2228" s="1" t="str">
        <f t="shared" si="34"/>
        <v/>
      </c>
    </row>
    <row r="2229" spans="5:9" x14ac:dyDescent="0.3">
      <c r="E2229" t="str">
        <f>IFERROR(IF(D2229="","",VLOOKUP(D2229,CadProd!$A:$B,2,0)),"")</f>
        <v/>
      </c>
      <c r="F2229" t="str">
        <f>IFERROR(IF(D2229="","",VLOOKUP(D2229,CadProd!$A:$C,3,0)),"")</f>
        <v/>
      </c>
      <c r="I2229" s="1" t="str">
        <f t="shared" si="34"/>
        <v/>
      </c>
    </row>
    <row r="2230" spans="5:9" x14ac:dyDescent="0.3">
      <c r="E2230" t="str">
        <f>IFERROR(IF(D2230="","",VLOOKUP(D2230,CadProd!$A:$B,2,0)),"")</f>
        <v/>
      </c>
      <c r="F2230" t="str">
        <f>IFERROR(IF(D2230="","",VLOOKUP(D2230,CadProd!$A:$C,3,0)),"")</f>
        <v/>
      </c>
      <c r="I2230" s="1" t="str">
        <f t="shared" si="34"/>
        <v/>
      </c>
    </row>
    <row r="2231" spans="5:9" x14ac:dyDescent="0.3">
      <c r="E2231" t="str">
        <f>IFERROR(IF(D2231="","",VLOOKUP(D2231,CadProd!$A:$B,2,0)),"")</f>
        <v/>
      </c>
      <c r="F2231" t="str">
        <f>IFERROR(IF(D2231="","",VLOOKUP(D2231,CadProd!$A:$C,3,0)),"")</f>
        <v/>
      </c>
      <c r="I2231" s="1" t="str">
        <f t="shared" si="34"/>
        <v/>
      </c>
    </row>
    <row r="2232" spans="5:9" x14ac:dyDescent="0.3">
      <c r="E2232" t="str">
        <f>IFERROR(IF(D2232="","",VLOOKUP(D2232,CadProd!$A:$B,2,0)),"")</f>
        <v/>
      </c>
      <c r="F2232" t="str">
        <f>IFERROR(IF(D2232="","",VLOOKUP(D2232,CadProd!$A:$C,3,0)),"")</f>
        <v/>
      </c>
      <c r="I2232" s="1" t="str">
        <f t="shared" si="34"/>
        <v/>
      </c>
    </row>
    <row r="2233" spans="5:9" x14ac:dyDescent="0.3">
      <c r="E2233" t="str">
        <f>IFERROR(IF(D2233="","",VLOOKUP(D2233,CadProd!$A:$B,2,0)),"")</f>
        <v/>
      </c>
      <c r="F2233" t="str">
        <f>IFERROR(IF(D2233="","",VLOOKUP(D2233,CadProd!$A:$C,3,0)),"")</f>
        <v/>
      </c>
      <c r="I2233" s="1" t="str">
        <f t="shared" si="34"/>
        <v/>
      </c>
    </row>
    <row r="2234" spans="5:9" x14ac:dyDescent="0.3">
      <c r="E2234" t="str">
        <f>IFERROR(IF(D2234="","",VLOOKUP(D2234,CadProd!$A:$B,2,0)),"")</f>
        <v/>
      </c>
      <c r="F2234" t="str">
        <f>IFERROR(IF(D2234="","",VLOOKUP(D2234,CadProd!$A:$C,3,0)),"")</f>
        <v/>
      </c>
      <c r="I2234" s="1" t="str">
        <f t="shared" si="34"/>
        <v/>
      </c>
    </row>
    <row r="2235" spans="5:9" x14ac:dyDescent="0.3">
      <c r="E2235" t="str">
        <f>IFERROR(IF(D2235="","",VLOOKUP(D2235,CadProd!$A:$B,2,0)),"")</f>
        <v/>
      </c>
      <c r="F2235" t="str">
        <f>IFERROR(IF(D2235="","",VLOOKUP(D2235,CadProd!$A:$C,3,0)),"")</f>
        <v/>
      </c>
      <c r="I2235" s="1" t="str">
        <f t="shared" si="34"/>
        <v/>
      </c>
    </row>
    <row r="2236" spans="5:9" x14ac:dyDescent="0.3">
      <c r="E2236" t="str">
        <f>IFERROR(IF(D2236="","",VLOOKUP(D2236,CadProd!$A:$B,2,0)),"")</f>
        <v/>
      </c>
      <c r="F2236" t="str">
        <f>IFERROR(IF(D2236="","",VLOOKUP(D2236,CadProd!$A:$C,3,0)),"")</f>
        <v/>
      </c>
      <c r="I2236" s="1" t="str">
        <f t="shared" si="34"/>
        <v/>
      </c>
    </row>
    <row r="2237" spans="5:9" x14ac:dyDescent="0.3">
      <c r="E2237" t="str">
        <f>IFERROR(IF(D2237="","",VLOOKUP(D2237,CadProd!$A:$B,2,0)),"")</f>
        <v/>
      </c>
      <c r="F2237" t="str">
        <f>IFERROR(IF(D2237="","",VLOOKUP(D2237,CadProd!$A:$C,3,0)),"")</f>
        <v/>
      </c>
      <c r="I2237" s="1" t="str">
        <f t="shared" si="34"/>
        <v/>
      </c>
    </row>
    <row r="2238" spans="5:9" x14ac:dyDescent="0.3">
      <c r="E2238" t="str">
        <f>IFERROR(IF(D2238="","",VLOOKUP(D2238,CadProd!$A:$B,2,0)),"")</f>
        <v/>
      </c>
      <c r="F2238" t="str">
        <f>IFERROR(IF(D2238="","",VLOOKUP(D2238,CadProd!$A:$C,3,0)),"")</f>
        <v/>
      </c>
      <c r="I2238" s="1" t="str">
        <f t="shared" si="34"/>
        <v/>
      </c>
    </row>
    <row r="2239" spans="5:9" x14ac:dyDescent="0.3">
      <c r="E2239" t="str">
        <f>IFERROR(IF(D2239="","",VLOOKUP(D2239,CadProd!$A:$B,2,0)),"")</f>
        <v/>
      </c>
      <c r="F2239" t="str">
        <f>IFERROR(IF(D2239="","",VLOOKUP(D2239,CadProd!$A:$C,3,0)),"")</f>
        <v/>
      </c>
      <c r="I2239" s="1" t="str">
        <f t="shared" si="34"/>
        <v/>
      </c>
    </row>
    <row r="2240" spans="5:9" x14ac:dyDescent="0.3">
      <c r="E2240" t="str">
        <f>IFERROR(IF(D2240="","",VLOOKUP(D2240,CadProd!$A:$B,2,0)),"")</f>
        <v/>
      </c>
      <c r="F2240" t="str">
        <f>IFERROR(IF(D2240="","",VLOOKUP(D2240,CadProd!$A:$C,3,0)),"")</f>
        <v/>
      </c>
      <c r="I2240" s="1" t="str">
        <f t="shared" si="34"/>
        <v/>
      </c>
    </row>
    <row r="2241" spans="5:9" x14ac:dyDescent="0.3">
      <c r="E2241" t="str">
        <f>IFERROR(IF(D2241="","",VLOOKUP(D2241,CadProd!$A:$B,2,0)),"")</f>
        <v/>
      </c>
      <c r="F2241" t="str">
        <f>IFERROR(IF(D2241="","",VLOOKUP(D2241,CadProd!$A:$C,3,0)),"")</f>
        <v/>
      </c>
      <c r="I2241" s="1" t="str">
        <f t="shared" si="34"/>
        <v/>
      </c>
    </row>
    <row r="2242" spans="5:9" x14ac:dyDescent="0.3">
      <c r="E2242" t="str">
        <f>IFERROR(IF(D2242="","",VLOOKUP(D2242,CadProd!$A:$B,2,0)),"")</f>
        <v/>
      </c>
      <c r="F2242" t="str">
        <f>IFERROR(IF(D2242="","",VLOOKUP(D2242,CadProd!$A:$C,3,0)),"")</f>
        <v/>
      </c>
      <c r="I2242" s="1" t="str">
        <f t="shared" si="34"/>
        <v/>
      </c>
    </row>
    <row r="2243" spans="5:9" x14ac:dyDescent="0.3">
      <c r="E2243" t="str">
        <f>IFERROR(IF(D2243="","",VLOOKUP(D2243,CadProd!$A:$B,2,0)),"")</f>
        <v/>
      </c>
      <c r="F2243" t="str">
        <f>IFERROR(IF(D2243="","",VLOOKUP(D2243,CadProd!$A:$C,3,0)),"")</f>
        <v/>
      </c>
      <c r="I2243" s="1" t="str">
        <f t="shared" si="34"/>
        <v/>
      </c>
    </row>
    <row r="2244" spans="5:9" x14ac:dyDescent="0.3">
      <c r="E2244" t="str">
        <f>IFERROR(IF(D2244="","",VLOOKUP(D2244,CadProd!$A:$B,2,0)),"")</f>
        <v/>
      </c>
      <c r="F2244" t="str">
        <f>IFERROR(IF(D2244="","",VLOOKUP(D2244,CadProd!$A:$C,3,0)),"")</f>
        <v/>
      </c>
      <c r="I2244" s="1" t="str">
        <f t="shared" si="34"/>
        <v/>
      </c>
    </row>
    <row r="2245" spans="5:9" x14ac:dyDescent="0.3">
      <c r="E2245" t="str">
        <f>IFERROR(IF(D2245="","",VLOOKUP(D2245,CadProd!$A:$B,2,0)),"")</f>
        <v/>
      </c>
      <c r="F2245" t="str">
        <f>IFERROR(IF(D2245="","",VLOOKUP(D2245,CadProd!$A:$C,3,0)),"")</f>
        <v/>
      </c>
      <c r="I2245" s="1" t="str">
        <f t="shared" si="34"/>
        <v/>
      </c>
    </row>
    <row r="2246" spans="5:9" x14ac:dyDescent="0.3">
      <c r="E2246" t="str">
        <f>IFERROR(IF(D2246="","",VLOOKUP(D2246,CadProd!$A:$B,2,0)),"")</f>
        <v/>
      </c>
      <c r="F2246" t="str">
        <f>IFERROR(IF(D2246="","",VLOOKUP(D2246,CadProd!$A:$C,3,0)),"")</f>
        <v/>
      </c>
      <c r="I2246" s="1" t="str">
        <f t="shared" si="34"/>
        <v/>
      </c>
    </row>
    <row r="2247" spans="5:9" x14ac:dyDescent="0.3">
      <c r="E2247" t="str">
        <f>IFERROR(IF(D2247="","",VLOOKUP(D2247,CadProd!$A:$B,2,0)),"")</f>
        <v/>
      </c>
      <c r="F2247" t="str">
        <f>IFERROR(IF(D2247="","",VLOOKUP(D2247,CadProd!$A:$C,3,0)),"")</f>
        <v/>
      </c>
      <c r="I2247" s="1" t="str">
        <f t="shared" si="34"/>
        <v/>
      </c>
    </row>
    <row r="2248" spans="5:9" x14ac:dyDescent="0.3">
      <c r="E2248" t="str">
        <f>IFERROR(IF(D2248="","",VLOOKUP(D2248,CadProd!$A:$B,2,0)),"")</f>
        <v/>
      </c>
      <c r="F2248" t="str">
        <f>IFERROR(IF(D2248="","",VLOOKUP(D2248,CadProd!$A:$C,3,0)),"")</f>
        <v/>
      </c>
      <c r="I2248" s="1" t="str">
        <f t="shared" si="34"/>
        <v/>
      </c>
    </row>
    <row r="2249" spans="5:9" x14ac:dyDescent="0.3">
      <c r="E2249" t="str">
        <f>IFERROR(IF(D2249="","",VLOOKUP(D2249,CadProd!$A:$B,2,0)),"")</f>
        <v/>
      </c>
      <c r="F2249" t="str">
        <f>IFERROR(IF(D2249="","",VLOOKUP(D2249,CadProd!$A:$C,3,0)),"")</f>
        <v/>
      </c>
      <c r="I2249" s="1" t="str">
        <f t="shared" si="34"/>
        <v/>
      </c>
    </row>
    <row r="2250" spans="5:9" x14ac:dyDescent="0.3">
      <c r="E2250" t="str">
        <f>IFERROR(IF(D2250="","",VLOOKUP(D2250,CadProd!$A:$B,2,0)),"")</f>
        <v/>
      </c>
      <c r="F2250" t="str">
        <f>IFERROR(IF(D2250="","",VLOOKUP(D2250,CadProd!$A:$C,3,0)),"")</f>
        <v/>
      </c>
      <c r="I2250" s="1" t="str">
        <f t="shared" si="34"/>
        <v/>
      </c>
    </row>
    <row r="2251" spans="5:9" x14ac:dyDescent="0.3">
      <c r="E2251" t="str">
        <f>IFERROR(IF(D2251="","",VLOOKUP(D2251,CadProd!$A:$B,2,0)),"")</f>
        <v/>
      </c>
      <c r="F2251" t="str">
        <f>IFERROR(IF(D2251="","",VLOOKUP(D2251,CadProd!$A:$C,3,0)),"")</f>
        <v/>
      </c>
      <c r="I2251" s="1" t="str">
        <f t="shared" ref="I2251:I2314" si="35">IFERROR(IF(D2251="","",H2251*G2251),"")</f>
        <v/>
      </c>
    </row>
    <row r="2252" spans="5:9" x14ac:dyDescent="0.3">
      <c r="E2252" t="str">
        <f>IFERROR(IF(D2252="","",VLOOKUP(D2252,CadProd!$A:$B,2,0)),"")</f>
        <v/>
      </c>
      <c r="F2252" t="str">
        <f>IFERROR(IF(D2252="","",VLOOKUP(D2252,CadProd!$A:$C,3,0)),"")</f>
        <v/>
      </c>
      <c r="I2252" s="1" t="str">
        <f t="shared" si="35"/>
        <v/>
      </c>
    </row>
    <row r="2253" spans="5:9" x14ac:dyDescent="0.3">
      <c r="E2253" t="str">
        <f>IFERROR(IF(D2253="","",VLOOKUP(D2253,CadProd!$A:$B,2,0)),"")</f>
        <v/>
      </c>
      <c r="F2253" t="str">
        <f>IFERROR(IF(D2253="","",VLOOKUP(D2253,CadProd!$A:$C,3,0)),"")</f>
        <v/>
      </c>
      <c r="I2253" s="1" t="str">
        <f t="shared" si="35"/>
        <v/>
      </c>
    </row>
    <row r="2254" spans="5:9" x14ac:dyDescent="0.3">
      <c r="E2254" t="str">
        <f>IFERROR(IF(D2254="","",VLOOKUP(D2254,CadProd!$A:$B,2,0)),"")</f>
        <v/>
      </c>
      <c r="F2254" t="str">
        <f>IFERROR(IF(D2254="","",VLOOKUP(D2254,CadProd!$A:$C,3,0)),"")</f>
        <v/>
      </c>
      <c r="I2254" s="1" t="str">
        <f t="shared" si="35"/>
        <v/>
      </c>
    </row>
    <row r="2255" spans="5:9" x14ac:dyDescent="0.3">
      <c r="E2255" t="str">
        <f>IFERROR(IF(D2255="","",VLOOKUP(D2255,CadProd!$A:$B,2,0)),"")</f>
        <v/>
      </c>
      <c r="F2255" t="str">
        <f>IFERROR(IF(D2255="","",VLOOKUP(D2255,CadProd!$A:$C,3,0)),"")</f>
        <v/>
      </c>
      <c r="I2255" s="1" t="str">
        <f t="shared" si="35"/>
        <v/>
      </c>
    </row>
    <row r="2256" spans="5:9" x14ac:dyDescent="0.3">
      <c r="E2256" t="str">
        <f>IFERROR(IF(D2256="","",VLOOKUP(D2256,CadProd!$A:$B,2,0)),"")</f>
        <v/>
      </c>
      <c r="F2256" t="str">
        <f>IFERROR(IF(D2256="","",VLOOKUP(D2256,CadProd!$A:$C,3,0)),"")</f>
        <v/>
      </c>
      <c r="I2256" s="1" t="str">
        <f t="shared" si="35"/>
        <v/>
      </c>
    </row>
    <row r="2257" spans="5:9" x14ac:dyDescent="0.3">
      <c r="E2257" t="str">
        <f>IFERROR(IF(D2257="","",VLOOKUP(D2257,CadProd!$A:$B,2,0)),"")</f>
        <v/>
      </c>
      <c r="F2257" t="str">
        <f>IFERROR(IF(D2257="","",VLOOKUP(D2257,CadProd!$A:$C,3,0)),"")</f>
        <v/>
      </c>
      <c r="I2257" s="1" t="str">
        <f t="shared" si="35"/>
        <v/>
      </c>
    </row>
    <row r="2258" spans="5:9" x14ac:dyDescent="0.3">
      <c r="E2258" t="str">
        <f>IFERROR(IF(D2258="","",VLOOKUP(D2258,CadProd!$A:$B,2,0)),"")</f>
        <v/>
      </c>
      <c r="F2258" t="str">
        <f>IFERROR(IF(D2258="","",VLOOKUP(D2258,CadProd!$A:$C,3,0)),"")</f>
        <v/>
      </c>
      <c r="I2258" s="1" t="str">
        <f t="shared" si="35"/>
        <v/>
      </c>
    </row>
    <row r="2259" spans="5:9" x14ac:dyDescent="0.3">
      <c r="E2259" t="str">
        <f>IFERROR(IF(D2259="","",VLOOKUP(D2259,CadProd!$A:$B,2,0)),"")</f>
        <v/>
      </c>
      <c r="F2259" t="str">
        <f>IFERROR(IF(D2259="","",VLOOKUP(D2259,CadProd!$A:$C,3,0)),"")</f>
        <v/>
      </c>
      <c r="I2259" s="1" t="str">
        <f t="shared" si="35"/>
        <v/>
      </c>
    </row>
    <row r="2260" spans="5:9" x14ac:dyDescent="0.3">
      <c r="E2260" t="str">
        <f>IFERROR(IF(D2260="","",VLOOKUP(D2260,CadProd!$A:$B,2,0)),"")</f>
        <v/>
      </c>
      <c r="F2260" t="str">
        <f>IFERROR(IF(D2260="","",VLOOKUP(D2260,CadProd!$A:$C,3,0)),"")</f>
        <v/>
      </c>
      <c r="I2260" s="1" t="str">
        <f t="shared" si="35"/>
        <v/>
      </c>
    </row>
    <row r="2261" spans="5:9" x14ac:dyDescent="0.3">
      <c r="E2261" t="str">
        <f>IFERROR(IF(D2261="","",VLOOKUP(D2261,CadProd!$A:$B,2,0)),"")</f>
        <v/>
      </c>
      <c r="F2261" t="str">
        <f>IFERROR(IF(D2261="","",VLOOKUP(D2261,CadProd!$A:$C,3,0)),"")</f>
        <v/>
      </c>
      <c r="I2261" s="1" t="str">
        <f t="shared" si="35"/>
        <v/>
      </c>
    </row>
    <row r="2262" spans="5:9" x14ac:dyDescent="0.3">
      <c r="E2262" t="str">
        <f>IFERROR(IF(D2262="","",VLOOKUP(D2262,CadProd!$A:$B,2,0)),"")</f>
        <v/>
      </c>
      <c r="F2262" t="str">
        <f>IFERROR(IF(D2262="","",VLOOKUP(D2262,CadProd!$A:$C,3,0)),"")</f>
        <v/>
      </c>
      <c r="I2262" s="1" t="str">
        <f t="shared" si="35"/>
        <v/>
      </c>
    </row>
    <row r="2263" spans="5:9" x14ac:dyDescent="0.3">
      <c r="E2263" t="str">
        <f>IFERROR(IF(D2263="","",VLOOKUP(D2263,CadProd!$A:$B,2,0)),"")</f>
        <v/>
      </c>
      <c r="F2263" t="str">
        <f>IFERROR(IF(D2263="","",VLOOKUP(D2263,CadProd!$A:$C,3,0)),"")</f>
        <v/>
      </c>
      <c r="I2263" s="1" t="str">
        <f t="shared" si="35"/>
        <v/>
      </c>
    </row>
    <row r="2264" spans="5:9" x14ac:dyDescent="0.3">
      <c r="E2264" t="str">
        <f>IFERROR(IF(D2264="","",VLOOKUP(D2264,CadProd!$A:$B,2,0)),"")</f>
        <v/>
      </c>
      <c r="F2264" t="str">
        <f>IFERROR(IF(D2264="","",VLOOKUP(D2264,CadProd!$A:$C,3,0)),"")</f>
        <v/>
      </c>
      <c r="I2264" s="1" t="str">
        <f t="shared" si="35"/>
        <v/>
      </c>
    </row>
    <row r="2265" spans="5:9" x14ac:dyDescent="0.3">
      <c r="E2265" t="str">
        <f>IFERROR(IF(D2265="","",VLOOKUP(D2265,CadProd!$A:$B,2,0)),"")</f>
        <v/>
      </c>
      <c r="F2265" t="str">
        <f>IFERROR(IF(D2265="","",VLOOKUP(D2265,CadProd!$A:$C,3,0)),"")</f>
        <v/>
      </c>
      <c r="I2265" s="1" t="str">
        <f t="shared" si="35"/>
        <v/>
      </c>
    </row>
    <row r="2266" spans="5:9" x14ac:dyDescent="0.3">
      <c r="E2266" t="str">
        <f>IFERROR(IF(D2266="","",VLOOKUP(D2266,CadProd!$A:$B,2,0)),"")</f>
        <v/>
      </c>
      <c r="F2266" t="str">
        <f>IFERROR(IF(D2266="","",VLOOKUP(D2266,CadProd!$A:$C,3,0)),"")</f>
        <v/>
      </c>
      <c r="I2266" s="1" t="str">
        <f t="shared" si="35"/>
        <v/>
      </c>
    </row>
    <row r="2267" spans="5:9" x14ac:dyDescent="0.3">
      <c r="E2267" t="str">
        <f>IFERROR(IF(D2267="","",VLOOKUP(D2267,CadProd!$A:$B,2,0)),"")</f>
        <v/>
      </c>
      <c r="F2267" t="str">
        <f>IFERROR(IF(D2267="","",VLOOKUP(D2267,CadProd!$A:$C,3,0)),"")</f>
        <v/>
      </c>
      <c r="I2267" s="1" t="str">
        <f t="shared" si="35"/>
        <v/>
      </c>
    </row>
    <row r="2268" spans="5:9" x14ac:dyDescent="0.3">
      <c r="E2268" t="str">
        <f>IFERROR(IF(D2268="","",VLOOKUP(D2268,CadProd!$A:$B,2,0)),"")</f>
        <v/>
      </c>
      <c r="F2268" t="str">
        <f>IFERROR(IF(D2268="","",VLOOKUP(D2268,CadProd!$A:$C,3,0)),"")</f>
        <v/>
      </c>
      <c r="I2268" s="1" t="str">
        <f t="shared" si="35"/>
        <v/>
      </c>
    </row>
    <row r="2269" spans="5:9" x14ac:dyDescent="0.3">
      <c r="E2269" t="str">
        <f>IFERROR(IF(D2269="","",VLOOKUP(D2269,CadProd!$A:$B,2,0)),"")</f>
        <v/>
      </c>
      <c r="F2269" t="str">
        <f>IFERROR(IF(D2269="","",VLOOKUP(D2269,CadProd!$A:$C,3,0)),"")</f>
        <v/>
      </c>
      <c r="I2269" s="1" t="str">
        <f t="shared" si="35"/>
        <v/>
      </c>
    </row>
    <row r="2270" spans="5:9" x14ac:dyDescent="0.3">
      <c r="E2270" t="str">
        <f>IFERROR(IF(D2270="","",VLOOKUP(D2270,CadProd!$A:$B,2,0)),"")</f>
        <v/>
      </c>
      <c r="F2270" t="str">
        <f>IFERROR(IF(D2270="","",VLOOKUP(D2270,CadProd!$A:$C,3,0)),"")</f>
        <v/>
      </c>
      <c r="I2270" s="1" t="str">
        <f t="shared" si="35"/>
        <v/>
      </c>
    </row>
    <row r="2271" spans="5:9" x14ac:dyDescent="0.3">
      <c r="E2271" t="str">
        <f>IFERROR(IF(D2271="","",VLOOKUP(D2271,CadProd!$A:$B,2,0)),"")</f>
        <v/>
      </c>
      <c r="F2271" t="str">
        <f>IFERROR(IF(D2271="","",VLOOKUP(D2271,CadProd!$A:$C,3,0)),"")</f>
        <v/>
      </c>
      <c r="I2271" s="1" t="str">
        <f t="shared" si="35"/>
        <v/>
      </c>
    </row>
    <row r="2272" spans="5:9" x14ac:dyDescent="0.3">
      <c r="E2272" t="str">
        <f>IFERROR(IF(D2272="","",VLOOKUP(D2272,CadProd!$A:$B,2,0)),"")</f>
        <v/>
      </c>
      <c r="F2272" t="str">
        <f>IFERROR(IF(D2272="","",VLOOKUP(D2272,CadProd!$A:$C,3,0)),"")</f>
        <v/>
      </c>
      <c r="I2272" s="1" t="str">
        <f t="shared" si="35"/>
        <v/>
      </c>
    </row>
    <row r="2273" spans="5:9" x14ac:dyDescent="0.3">
      <c r="E2273" t="str">
        <f>IFERROR(IF(D2273="","",VLOOKUP(D2273,CadProd!$A:$B,2,0)),"")</f>
        <v/>
      </c>
      <c r="F2273" t="str">
        <f>IFERROR(IF(D2273="","",VLOOKUP(D2273,CadProd!$A:$C,3,0)),"")</f>
        <v/>
      </c>
      <c r="I2273" s="1" t="str">
        <f t="shared" si="35"/>
        <v/>
      </c>
    </row>
    <row r="2274" spans="5:9" x14ac:dyDescent="0.3">
      <c r="E2274" t="str">
        <f>IFERROR(IF(D2274="","",VLOOKUP(D2274,CadProd!$A:$B,2,0)),"")</f>
        <v/>
      </c>
      <c r="F2274" t="str">
        <f>IFERROR(IF(D2274="","",VLOOKUP(D2274,CadProd!$A:$C,3,0)),"")</f>
        <v/>
      </c>
      <c r="I2274" s="1" t="str">
        <f t="shared" si="35"/>
        <v/>
      </c>
    </row>
    <row r="2275" spans="5:9" x14ac:dyDescent="0.3">
      <c r="E2275" t="str">
        <f>IFERROR(IF(D2275="","",VLOOKUP(D2275,CadProd!$A:$B,2,0)),"")</f>
        <v/>
      </c>
      <c r="F2275" t="str">
        <f>IFERROR(IF(D2275="","",VLOOKUP(D2275,CadProd!$A:$C,3,0)),"")</f>
        <v/>
      </c>
      <c r="I2275" s="1" t="str">
        <f t="shared" si="35"/>
        <v/>
      </c>
    </row>
    <row r="2276" spans="5:9" x14ac:dyDescent="0.3">
      <c r="E2276" t="str">
        <f>IFERROR(IF(D2276="","",VLOOKUP(D2276,CadProd!$A:$B,2,0)),"")</f>
        <v/>
      </c>
      <c r="F2276" t="str">
        <f>IFERROR(IF(D2276="","",VLOOKUP(D2276,CadProd!$A:$C,3,0)),"")</f>
        <v/>
      </c>
      <c r="I2276" s="1" t="str">
        <f t="shared" si="35"/>
        <v/>
      </c>
    </row>
    <row r="2277" spans="5:9" x14ac:dyDescent="0.3">
      <c r="E2277" t="str">
        <f>IFERROR(IF(D2277="","",VLOOKUP(D2277,CadProd!$A:$B,2,0)),"")</f>
        <v/>
      </c>
      <c r="F2277" t="str">
        <f>IFERROR(IF(D2277="","",VLOOKUP(D2277,CadProd!$A:$C,3,0)),"")</f>
        <v/>
      </c>
      <c r="I2277" s="1" t="str">
        <f t="shared" si="35"/>
        <v/>
      </c>
    </row>
    <row r="2278" spans="5:9" x14ac:dyDescent="0.3">
      <c r="E2278" t="str">
        <f>IFERROR(IF(D2278="","",VLOOKUP(D2278,CadProd!$A:$B,2,0)),"")</f>
        <v/>
      </c>
      <c r="F2278" t="str">
        <f>IFERROR(IF(D2278="","",VLOOKUP(D2278,CadProd!$A:$C,3,0)),"")</f>
        <v/>
      </c>
      <c r="I2278" s="1" t="str">
        <f t="shared" si="35"/>
        <v/>
      </c>
    </row>
    <row r="2279" spans="5:9" x14ac:dyDescent="0.3">
      <c r="E2279" t="str">
        <f>IFERROR(IF(D2279="","",VLOOKUP(D2279,CadProd!$A:$B,2,0)),"")</f>
        <v/>
      </c>
      <c r="F2279" t="str">
        <f>IFERROR(IF(D2279="","",VLOOKUP(D2279,CadProd!$A:$C,3,0)),"")</f>
        <v/>
      </c>
      <c r="I2279" s="1" t="str">
        <f t="shared" si="35"/>
        <v/>
      </c>
    </row>
    <row r="2280" spans="5:9" x14ac:dyDescent="0.3">
      <c r="E2280" t="str">
        <f>IFERROR(IF(D2280="","",VLOOKUP(D2280,CadProd!$A:$B,2,0)),"")</f>
        <v/>
      </c>
      <c r="F2280" t="str">
        <f>IFERROR(IF(D2280="","",VLOOKUP(D2280,CadProd!$A:$C,3,0)),"")</f>
        <v/>
      </c>
      <c r="I2280" s="1" t="str">
        <f t="shared" si="35"/>
        <v/>
      </c>
    </row>
    <row r="2281" spans="5:9" x14ac:dyDescent="0.3">
      <c r="E2281" t="str">
        <f>IFERROR(IF(D2281="","",VLOOKUP(D2281,CadProd!$A:$B,2,0)),"")</f>
        <v/>
      </c>
      <c r="F2281" t="str">
        <f>IFERROR(IF(D2281="","",VLOOKUP(D2281,CadProd!$A:$C,3,0)),"")</f>
        <v/>
      </c>
      <c r="I2281" s="1" t="str">
        <f t="shared" si="35"/>
        <v/>
      </c>
    </row>
    <row r="2282" spans="5:9" x14ac:dyDescent="0.3">
      <c r="E2282" t="str">
        <f>IFERROR(IF(D2282="","",VLOOKUP(D2282,CadProd!$A:$B,2,0)),"")</f>
        <v/>
      </c>
      <c r="F2282" t="str">
        <f>IFERROR(IF(D2282="","",VLOOKUP(D2282,CadProd!$A:$C,3,0)),"")</f>
        <v/>
      </c>
      <c r="I2282" s="1" t="str">
        <f t="shared" si="35"/>
        <v/>
      </c>
    </row>
    <row r="2283" spans="5:9" x14ac:dyDescent="0.3">
      <c r="E2283" t="str">
        <f>IFERROR(IF(D2283="","",VLOOKUP(D2283,CadProd!$A:$B,2,0)),"")</f>
        <v/>
      </c>
      <c r="F2283" t="str">
        <f>IFERROR(IF(D2283="","",VLOOKUP(D2283,CadProd!$A:$C,3,0)),"")</f>
        <v/>
      </c>
      <c r="I2283" s="1" t="str">
        <f t="shared" si="35"/>
        <v/>
      </c>
    </row>
    <row r="2284" spans="5:9" x14ac:dyDescent="0.3">
      <c r="E2284" t="str">
        <f>IFERROR(IF(D2284="","",VLOOKUP(D2284,CadProd!$A:$B,2,0)),"")</f>
        <v/>
      </c>
      <c r="F2284" t="str">
        <f>IFERROR(IF(D2284="","",VLOOKUP(D2284,CadProd!$A:$C,3,0)),"")</f>
        <v/>
      </c>
      <c r="I2284" s="1" t="str">
        <f t="shared" si="35"/>
        <v/>
      </c>
    </row>
    <row r="2285" spans="5:9" x14ac:dyDescent="0.3">
      <c r="E2285" t="str">
        <f>IFERROR(IF(D2285="","",VLOOKUP(D2285,CadProd!$A:$B,2,0)),"")</f>
        <v/>
      </c>
      <c r="F2285" t="str">
        <f>IFERROR(IF(D2285="","",VLOOKUP(D2285,CadProd!$A:$C,3,0)),"")</f>
        <v/>
      </c>
      <c r="I2285" s="1" t="str">
        <f t="shared" si="35"/>
        <v/>
      </c>
    </row>
    <row r="2286" spans="5:9" x14ac:dyDescent="0.3">
      <c r="E2286" t="str">
        <f>IFERROR(IF(D2286="","",VLOOKUP(D2286,CadProd!$A:$B,2,0)),"")</f>
        <v/>
      </c>
      <c r="F2286" t="str">
        <f>IFERROR(IF(D2286="","",VLOOKUP(D2286,CadProd!$A:$C,3,0)),"")</f>
        <v/>
      </c>
      <c r="I2286" s="1" t="str">
        <f t="shared" si="35"/>
        <v/>
      </c>
    </row>
    <row r="2287" spans="5:9" x14ac:dyDescent="0.3">
      <c r="E2287" t="str">
        <f>IFERROR(IF(D2287="","",VLOOKUP(D2287,CadProd!$A:$B,2,0)),"")</f>
        <v/>
      </c>
      <c r="F2287" t="str">
        <f>IFERROR(IF(D2287="","",VLOOKUP(D2287,CadProd!$A:$C,3,0)),"")</f>
        <v/>
      </c>
      <c r="I2287" s="1" t="str">
        <f t="shared" si="35"/>
        <v/>
      </c>
    </row>
    <row r="2288" spans="5:9" x14ac:dyDescent="0.3">
      <c r="E2288" t="str">
        <f>IFERROR(IF(D2288="","",VLOOKUP(D2288,CadProd!$A:$B,2,0)),"")</f>
        <v/>
      </c>
      <c r="F2288" t="str">
        <f>IFERROR(IF(D2288="","",VLOOKUP(D2288,CadProd!$A:$C,3,0)),"")</f>
        <v/>
      </c>
      <c r="I2288" s="1" t="str">
        <f t="shared" si="35"/>
        <v/>
      </c>
    </row>
    <row r="2289" spans="5:9" x14ac:dyDescent="0.3">
      <c r="E2289" t="str">
        <f>IFERROR(IF(D2289="","",VLOOKUP(D2289,CadProd!$A:$B,2,0)),"")</f>
        <v/>
      </c>
      <c r="F2289" t="str">
        <f>IFERROR(IF(D2289="","",VLOOKUP(D2289,CadProd!$A:$C,3,0)),"")</f>
        <v/>
      </c>
      <c r="I2289" s="1" t="str">
        <f t="shared" si="35"/>
        <v/>
      </c>
    </row>
    <row r="2290" spans="5:9" x14ac:dyDescent="0.3">
      <c r="E2290" t="str">
        <f>IFERROR(IF(D2290="","",VLOOKUP(D2290,CadProd!$A:$B,2,0)),"")</f>
        <v/>
      </c>
      <c r="F2290" t="str">
        <f>IFERROR(IF(D2290="","",VLOOKUP(D2290,CadProd!$A:$C,3,0)),"")</f>
        <v/>
      </c>
      <c r="I2290" s="1" t="str">
        <f t="shared" si="35"/>
        <v/>
      </c>
    </row>
    <row r="2291" spans="5:9" x14ac:dyDescent="0.3">
      <c r="E2291" t="str">
        <f>IFERROR(IF(D2291="","",VLOOKUP(D2291,CadProd!$A:$B,2,0)),"")</f>
        <v/>
      </c>
      <c r="F2291" t="str">
        <f>IFERROR(IF(D2291="","",VLOOKUP(D2291,CadProd!$A:$C,3,0)),"")</f>
        <v/>
      </c>
      <c r="I2291" s="1" t="str">
        <f t="shared" si="35"/>
        <v/>
      </c>
    </row>
    <row r="2292" spans="5:9" x14ac:dyDescent="0.3">
      <c r="E2292" t="str">
        <f>IFERROR(IF(D2292="","",VLOOKUP(D2292,CadProd!$A:$B,2,0)),"")</f>
        <v/>
      </c>
      <c r="F2292" t="str">
        <f>IFERROR(IF(D2292="","",VLOOKUP(D2292,CadProd!$A:$C,3,0)),"")</f>
        <v/>
      </c>
      <c r="I2292" s="1" t="str">
        <f t="shared" si="35"/>
        <v/>
      </c>
    </row>
    <row r="2293" spans="5:9" x14ac:dyDescent="0.3">
      <c r="E2293" t="str">
        <f>IFERROR(IF(D2293="","",VLOOKUP(D2293,CadProd!$A:$B,2,0)),"")</f>
        <v/>
      </c>
      <c r="F2293" t="str">
        <f>IFERROR(IF(D2293="","",VLOOKUP(D2293,CadProd!$A:$C,3,0)),"")</f>
        <v/>
      </c>
      <c r="I2293" s="1" t="str">
        <f t="shared" si="35"/>
        <v/>
      </c>
    </row>
    <row r="2294" spans="5:9" x14ac:dyDescent="0.3">
      <c r="E2294" t="str">
        <f>IFERROR(IF(D2294="","",VLOOKUP(D2294,CadProd!$A:$B,2,0)),"")</f>
        <v/>
      </c>
      <c r="F2294" t="str">
        <f>IFERROR(IF(D2294="","",VLOOKUP(D2294,CadProd!$A:$C,3,0)),"")</f>
        <v/>
      </c>
      <c r="I2294" s="1" t="str">
        <f t="shared" si="35"/>
        <v/>
      </c>
    </row>
    <row r="2295" spans="5:9" x14ac:dyDescent="0.3">
      <c r="E2295" t="str">
        <f>IFERROR(IF(D2295="","",VLOOKUP(D2295,CadProd!$A:$B,2,0)),"")</f>
        <v/>
      </c>
      <c r="F2295" t="str">
        <f>IFERROR(IF(D2295="","",VLOOKUP(D2295,CadProd!$A:$C,3,0)),"")</f>
        <v/>
      </c>
      <c r="I2295" s="1" t="str">
        <f t="shared" si="35"/>
        <v/>
      </c>
    </row>
    <row r="2296" spans="5:9" x14ac:dyDescent="0.3">
      <c r="E2296" t="str">
        <f>IFERROR(IF(D2296="","",VLOOKUP(D2296,CadProd!$A:$B,2,0)),"")</f>
        <v/>
      </c>
      <c r="F2296" t="str">
        <f>IFERROR(IF(D2296="","",VLOOKUP(D2296,CadProd!$A:$C,3,0)),"")</f>
        <v/>
      </c>
      <c r="I2296" s="1" t="str">
        <f t="shared" si="35"/>
        <v/>
      </c>
    </row>
    <row r="2297" spans="5:9" x14ac:dyDescent="0.3">
      <c r="E2297" t="str">
        <f>IFERROR(IF(D2297="","",VLOOKUP(D2297,CadProd!$A:$B,2,0)),"")</f>
        <v/>
      </c>
      <c r="F2297" t="str">
        <f>IFERROR(IF(D2297="","",VLOOKUP(D2297,CadProd!$A:$C,3,0)),"")</f>
        <v/>
      </c>
      <c r="I2297" s="1" t="str">
        <f t="shared" si="35"/>
        <v/>
      </c>
    </row>
    <row r="2298" spans="5:9" x14ac:dyDescent="0.3">
      <c r="E2298" t="str">
        <f>IFERROR(IF(D2298="","",VLOOKUP(D2298,CadProd!$A:$B,2,0)),"")</f>
        <v/>
      </c>
      <c r="F2298" t="str">
        <f>IFERROR(IF(D2298="","",VLOOKUP(D2298,CadProd!$A:$C,3,0)),"")</f>
        <v/>
      </c>
      <c r="I2298" s="1" t="str">
        <f t="shared" si="35"/>
        <v/>
      </c>
    </row>
    <row r="2299" spans="5:9" x14ac:dyDescent="0.3">
      <c r="E2299" t="str">
        <f>IFERROR(IF(D2299="","",VLOOKUP(D2299,CadProd!$A:$B,2,0)),"")</f>
        <v/>
      </c>
      <c r="F2299" t="str">
        <f>IFERROR(IF(D2299="","",VLOOKUP(D2299,CadProd!$A:$C,3,0)),"")</f>
        <v/>
      </c>
      <c r="I2299" s="1" t="str">
        <f t="shared" si="35"/>
        <v/>
      </c>
    </row>
    <row r="2300" spans="5:9" x14ac:dyDescent="0.3">
      <c r="E2300" t="str">
        <f>IFERROR(IF(D2300="","",VLOOKUP(D2300,CadProd!$A:$B,2,0)),"")</f>
        <v/>
      </c>
      <c r="F2300" t="str">
        <f>IFERROR(IF(D2300="","",VLOOKUP(D2300,CadProd!$A:$C,3,0)),"")</f>
        <v/>
      </c>
      <c r="I2300" s="1" t="str">
        <f t="shared" si="35"/>
        <v/>
      </c>
    </row>
    <row r="2301" spans="5:9" x14ac:dyDescent="0.3">
      <c r="E2301" t="str">
        <f>IFERROR(IF(D2301="","",VLOOKUP(D2301,CadProd!$A:$B,2,0)),"")</f>
        <v/>
      </c>
      <c r="F2301" t="str">
        <f>IFERROR(IF(D2301="","",VLOOKUP(D2301,CadProd!$A:$C,3,0)),"")</f>
        <v/>
      </c>
      <c r="I2301" s="1" t="str">
        <f t="shared" si="35"/>
        <v/>
      </c>
    </row>
    <row r="2302" spans="5:9" x14ac:dyDescent="0.3">
      <c r="E2302" t="str">
        <f>IFERROR(IF(D2302="","",VLOOKUP(D2302,CadProd!$A:$B,2,0)),"")</f>
        <v/>
      </c>
      <c r="F2302" t="str">
        <f>IFERROR(IF(D2302="","",VLOOKUP(D2302,CadProd!$A:$C,3,0)),"")</f>
        <v/>
      </c>
      <c r="I2302" s="1" t="str">
        <f t="shared" si="35"/>
        <v/>
      </c>
    </row>
    <row r="2303" spans="5:9" x14ac:dyDescent="0.3">
      <c r="E2303" t="str">
        <f>IFERROR(IF(D2303="","",VLOOKUP(D2303,CadProd!$A:$B,2,0)),"")</f>
        <v/>
      </c>
      <c r="F2303" t="str">
        <f>IFERROR(IF(D2303="","",VLOOKUP(D2303,CadProd!$A:$C,3,0)),"")</f>
        <v/>
      </c>
      <c r="I2303" s="1" t="str">
        <f t="shared" si="35"/>
        <v/>
      </c>
    </row>
    <row r="2304" spans="5:9" x14ac:dyDescent="0.3">
      <c r="E2304" t="str">
        <f>IFERROR(IF(D2304="","",VLOOKUP(D2304,CadProd!$A:$B,2,0)),"")</f>
        <v/>
      </c>
      <c r="F2304" t="str">
        <f>IFERROR(IF(D2304="","",VLOOKUP(D2304,CadProd!$A:$C,3,0)),"")</f>
        <v/>
      </c>
      <c r="I2304" s="1" t="str">
        <f t="shared" si="35"/>
        <v/>
      </c>
    </row>
    <row r="2305" spans="5:9" x14ac:dyDescent="0.3">
      <c r="E2305" t="str">
        <f>IFERROR(IF(D2305="","",VLOOKUP(D2305,CadProd!$A:$B,2,0)),"")</f>
        <v/>
      </c>
      <c r="F2305" t="str">
        <f>IFERROR(IF(D2305="","",VLOOKUP(D2305,CadProd!$A:$C,3,0)),"")</f>
        <v/>
      </c>
      <c r="I2305" s="1" t="str">
        <f t="shared" si="35"/>
        <v/>
      </c>
    </row>
    <row r="2306" spans="5:9" x14ac:dyDescent="0.3">
      <c r="E2306" t="str">
        <f>IFERROR(IF(D2306="","",VLOOKUP(D2306,CadProd!$A:$B,2,0)),"")</f>
        <v/>
      </c>
      <c r="F2306" t="str">
        <f>IFERROR(IF(D2306="","",VLOOKUP(D2306,CadProd!$A:$C,3,0)),"")</f>
        <v/>
      </c>
      <c r="I2306" s="1" t="str">
        <f t="shared" si="35"/>
        <v/>
      </c>
    </row>
    <row r="2307" spans="5:9" x14ac:dyDescent="0.3">
      <c r="E2307" t="str">
        <f>IFERROR(IF(D2307="","",VLOOKUP(D2307,CadProd!$A:$B,2,0)),"")</f>
        <v/>
      </c>
      <c r="F2307" t="str">
        <f>IFERROR(IF(D2307="","",VLOOKUP(D2307,CadProd!$A:$C,3,0)),"")</f>
        <v/>
      </c>
      <c r="I2307" s="1" t="str">
        <f t="shared" si="35"/>
        <v/>
      </c>
    </row>
    <row r="2308" spans="5:9" x14ac:dyDescent="0.3">
      <c r="E2308" t="str">
        <f>IFERROR(IF(D2308="","",VLOOKUP(D2308,CadProd!$A:$B,2,0)),"")</f>
        <v/>
      </c>
      <c r="F2308" t="str">
        <f>IFERROR(IF(D2308="","",VLOOKUP(D2308,CadProd!$A:$C,3,0)),"")</f>
        <v/>
      </c>
      <c r="I2308" s="1" t="str">
        <f t="shared" si="35"/>
        <v/>
      </c>
    </row>
    <row r="2309" spans="5:9" x14ac:dyDescent="0.3">
      <c r="E2309" t="str">
        <f>IFERROR(IF(D2309="","",VLOOKUP(D2309,CadProd!$A:$B,2,0)),"")</f>
        <v/>
      </c>
      <c r="F2309" t="str">
        <f>IFERROR(IF(D2309="","",VLOOKUP(D2309,CadProd!$A:$C,3,0)),"")</f>
        <v/>
      </c>
      <c r="I2309" s="1" t="str">
        <f t="shared" si="35"/>
        <v/>
      </c>
    </row>
    <row r="2310" spans="5:9" x14ac:dyDescent="0.3">
      <c r="E2310" t="str">
        <f>IFERROR(IF(D2310="","",VLOOKUP(D2310,CadProd!$A:$B,2,0)),"")</f>
        <v/>
      </c>
      <c r="F2310" t="str">
        <f>IFERROR(IF(D2310="","",VLOOKUP(D2310,CadProd!$A:$C,3,0)),"")</f>
        <v/>
      </c>
      <c r="I2310" s="1" t="str">
        <f t="shared" si="35"/>
        <v/>
      </c>
    </row>
    <row r="2311" spans="5:9" x14ac:dyDescent="0.3">
      <c r="E2311" t="str">
        <f>IFERROR(IF(D2311="","",VLOOKUP(D2311,CadProd!$A:$B,2,0)),"")</f>
        <v/>
      </c>
      <c r="F2311" t="str">
        <f>IFERROR(IF(D2311="","",VLOOKUP(D2311,CadProd!$A:$C,3,0)),"")</f>
        <v/>
      </c>
      <c r="I2311" s="1" t="str">
        <f t="shared" si="35"/>
        <v/>
      </c>
    </row>
    <row r="2312" spans="5:9" x14ac:dyDescent="0.3">
      <c r="E2312" t="str">
        <f>IFERROR(IF(D2312="","",VLOOKUP(D2312,CadProd!$A:$B,2,0)),"")</f>
        <v/>
      </c>
      <c r="F2312" t="str">
        <f>IFERROR(IF(D2312="","",VLOOKUP(D2312,CadProd!$A:$C,3,0)),"")</f>
        <v/>
      </c>
      <c r="I2312" s="1" t="str">
        <f t="shared" si="35"/>
        <v/>
      </c>
    </row>
    <row r="2313" spans="5:9" x14ac:dyDescent="0.3">
      <c r="E2313" t="str">
        <f>IFERROR(IF(D2313="","",VLOOKUP(D2313,CadProd!$A:$B,2,0)),"")</f>
        <v/>
      </c>
      <c r="F2313" t="str">
        <f>IFERROR(IF(D2313="","",VLOOKUP(D2313,CadProd!$A:$C,3,0)),"")</f>
        <v/>
      </c>
      <c r="I2313" s="1" t="str">
        <f t="shared" si="35"/>
        <v/>
      </c>
    </row>
    <row r="2314" spans="5:9" x14ac:dyDescent="0.3">
      <c r="E2314" t="str">
        <f>IFERROR(IF(D2314="","",VLOOKUP(D2314,CadProd!$A:$B,2,0)),"")</f>
        <v/>
      </c>
      <c r="F2314" t="str">
        <f>IFERROR(IF(D2314="","",VLOOKUP(D2314,CadProd!$A:$C,3,0)),"")</f>
        <v/>
      </c>
      <c r="I2314" s="1" t="str">
        <f t="shared" si="35"/>
        <v/>
      </c>
    </row>
    <row r="2315" spans="5:9" x14ac:dyDescent="0.3">
      <c r="E2315" t="str">
        <f>IFERROR(IF(D2315="","",VLOOKUP(D2315,CadProd!$A:$B,2,0)),"")</f>
        <v/>
      </c>
      <c r="F2315" t="str">
        <f>IFERROR(IF(D2315="","",VLOOKUP(D2315,CadProd!$A:$C,3,0)),"")</f>
        <v/>
      </c>
      <c r="I2315" s="1" t="str">
        <f t="shared" ref="I2315:I2378" si="36">IFERROR(IF(D2315="","",H2315*G2315),"")</f>
        <v/>
      </c>
    </row>
    <row r="2316" spans="5:9" x14ac:dyDescent="0.3">
      <c r="E2316" t="str">
        <f>IFERROR(IF(D2316="","",VLOOKUP(D2316,CadProd!$A:$B,2,0)),"")</f>
        <v/>
      </c>
      <c r="F2316" t="str">
        <f>IFERROR(IF(D2316="","",VLOOKUP(D2316,CadProd!$A:$C,3,0)),"")</f>
        <v/>
      </c>
      <c r="I2316" s="1" t="str">
        <f t="shared" si="36"/>
        <v/>
      </c>
    </row>
    <row r="2317" spans="5:9" x14ac:dyDescent="0.3">
      <c r="E2317" t="str">
        <f>IFERROR(IF(D2317="","",VLOOKUP(D2317,CadProd!$A:$B,2,0)),"")</f>
        <v/>
      </c>
      <c r="F2317" t="str">
        <f>IFERROR(IF(D2317="","",VLOOKUP(D2317,CadProd!$A:$C,3,0)),"")</f>
        <v/>
      </c>
      <c r="I2317" s="1" t="str">
        <f t="shared" si="36"/>
        <v/>
      </c>
    </row>
    <row r="2318" spans="5:9" x14ac:dyDescent="0.3">
      <c r="E2318" t="str">
        <f>IFERROR(IF(D2318="","",VLOOKUP(D2318,CadProd!$A:$B,2,0)),"")</f>
        <v/>
      </c>
      <c r="F2318" t="str">
        <f>IFERROR(IF(D2318="","",VLOOKUP(D2318,CadProd!$A:$C,3,0)),"")</f>
        <v/>
      </c>
      <c r="I2318" s="1" t="str">
        <f t="shared" si="36"/>
        <v/>
      </c>
    </row>
    <row r="2319" spans="5:9" x14ac:dyDescent="0.3">
      <c r="E2319" t="str">
        <f>IFERROR(IF(D2319="","",VLOOKUP(D2319,CadProd!$A:$B,2,0)),"")</f>
        <v/>
      </c>
      <c r="F2319" t="str">
        <f>IFERROR(IF(D2319="","",VLOOKUP(D2319,CadProd!$A:$C,3,0)),"")</f>
        <v/>
      </c>
      <c r="I2319" s="1" t="str">
        <f t="shared" si="36"/>
        <v/>
      </c>
    </row>
    <row r="2320" spans="5:9" x14ac:dyDescent="0.3">
      <c r="E2320" t="str">
        <f>IFERROR(IF(D2320="","",VLOOKUP(D2320,CadProd!$A:$B,2,0)),"")</f>
        <v/>
      </c>
      <c r="F2320" t="str">
        <f>IFERROR(IF(D2320="","",VLOOKUP(D2320,CadProd!$A:$C,3,0)),"")</f>
        <v/>
      </c>
      <c r="I2320" s="1" t="str">
        <f t="shared" si="36"/>
        <v/>
      </c>
    </row>
    <row r="2321" spans="5:9" x14ac:dyDescent="0.3">
      <c r="E2321" t="str">
        <f>IFERROR(IF(D2321="","",VLOOKUP(D2321,CadProd!$A:$B,2,0)),"")</f>
        <v/>
      </c>
      <c r="F2321" t="str">
        <f>IFERROR(IF(D2321="","",VLOOKUP(D2321,CadProd!$A:$C,3,0)),"")</f>
        <v/>
      </c>
      <c r="I2321" s="1" t="str">
        <f t="shared" si="36"/>
        <v/>
      </c>
    </row>
    <row r="2322" spans="5:9" x14ac:dyDescent="0.3">
      <c r="E2322" t="str">
        <f>IFERROR(IF(D2322="","",VLOOKUP(D2322,CadProd!$A:$B,2,0)),"")</f>
        <v/>
      </c>
      <c r="F2322" t="str">
        <f>IFERROR(IF(D2322="","",VLOOKUP(D2322,CadProd!$A:$C,3,0)),"")</f>
        <v/>
      </c>
      <c r="I2322" s="1" t="str">
        <f t="shared" si="36"/>
        <v/>
      </c>
    </row>
    <row r="2323" spans="5:9" x14ac:dyDescent="0.3">
      <c r="E2323" t="str">
        <f>IFERROR(IF(D2323="","",VLOOKUP(D2323,CadProd!$A:$B,2,0)),"")</f>
        <v/>
      </c>
      <c r="F2323" t="str">
        <f>IFERROR(IF(D2323="","",VLOOKUP(D2323,CadProd!$A:$C,3,0)),"")</f>
        <v/>
      </c>
      <c r="I2323" s="1" t="str">
        <f t="shared" si="36"/>
        <v/>
      </c>
    </row>
    <row r="2324" spans="5:9" x14ac:dyDescent="0.3">
      <c r="E2324" t="str">
        <f>IFERROR(IF(D2324="","",VLOOKUP(D2324,CadProd!$A:$B,2,0)),"")</f>
        <v/>
      </c>
      <c r="F2324" t="str">
        <f>IFERROR(IF(D2324="","",VLOOKUP(D2324,CadProd!$A:$C,3,0)),"")</f>
        <v/>
      </c>
      <c r="I2324" s="1" t="str">
        <f t="shared" si="36"/>
        <v/>
      </c>
    </row>
    <row r="2325" spans="5:9" x14ac:dyDescent="0.3">
      <c r="E2325" t="str">
        <f>IFERROR(IF(D2325="","",VLOOKUP(D2325,CadProd!$A:$B,2,0)),"")</f>
        <v/>
      </c>
      <c r="F2325" t="str">
        <f>IFERROR(IF(D2325="","",VLOOKUP(D2325,CadProd!$A:$C,3,0)),"")</f>
        <v/>
      </c>
      <c r="I2325" s="1" t="str">
        <f t="shared" si="36"/>
        <v/>
      </c>
    </row>
    <row r="2326" spans="5:9" x14ac:dyDescent="0.3">
      <c r="E2326" t="str">
        <f>IFERROR(IF(D2326="","",VLOOKUP(D2326,CadProd!$A:$B,2,0)),"")</f>
        <v/>
      </c>
      <c r="F2326" t="str">
        <f>IFERROR(IF(D2326="","",VLOOKUP(D2326,CadProd!$A:$C,3,0)),"")</f>
        <v/>
      </c>
      <c r="I2326" s="1" t="str">
        <f t="shared" si="36"/>
        <v/>
      </c>
    </row>
    <row r="2327" spans="5:9" x14ac:dyDescent="0.3">
      <c r="E2327" t="str">
        <f>IFERROR(IF(D2327="","",VLOOKUP(D2327,CadProd!$A:$B,2,0)),"")</f>
        <v/>
      </c>
      <c r="F2327" t="str">
        <f>IFERROR(IF(D2327="","",VLOOKUP(D2327,CadProd!$A:$C,3,0)),"")</f>
        <v/>
      </c>
      <c r="I2327" s="1" t="str">
        <f t="shared" si="36"/>
        <v/>
      </c>
    </row>
    <row r="2328" spans="5:9" x14ac:dyDescent="0.3">
      <c r="E2328" t="str">
        <f>IFERROR(IF(D2328="","",VLOOKUP(D2328,CadProd!$A:$B,2,0)),"")</f>
        <v/>
      </c>
      <c r="F2328" t="str">
        <f>IFERROR(IF(D2328="","",VLOOKUP(D2328,CadProd!$A:$C,3,0)),"")</f>
        <v/>
      </c>
      <c r="I2328" s="1" t="str">
        <f t="shared" si="36"/>
        <v/>
      </c>
    </row>
    <row r="2329" spans="5:9" x14ac:dyDescent="0.3">
      <c r="E2329" t="str">
        <f>IFERROR(IF(D2329="","",VLOOKUP(D2329,CadProd!$A:$B,2,0)),"")</f>
        <v/>
      </c>
      <c r="F2329" t="str">
        <f>IFERROR(IF(D2329="","",VLOOKUP(D2329,CadProd!$A:$C,3,0)),"")</f>
        <v/>
      </c>
      <c r="I2329" s="1" t="str">
        <f t="shared" si="36"/>
        <v/>
      </c>
    </row>
    <row r="2330" spans="5:9" x14ac:dyDescent="0.3">
      <c r="E2330" t="str">
        <f>IFERROR(IF(D2330="","",VLOOKUP(D2330,CadProd!$A:$B,2,0)),"")</f>
        <v/>
      </c>
      <c r="F2330" t="str">
        <f>IFERROR(IF(D2330="","",VLOOKUP(D2330,CadProd!$A:$C,3,0)),"")</f>
        <v/>
      </c>
      <c r="I2330" s="1" t="str">
        <f t="shared" si="36"/>
        <v/>
      </c>
    </row>
    <row r="2331" spans="5:9" x14ac:dyDescent="0.3">
      <c r="E2331" t="str">
        <f>IFERROR(IF(D2331="","",VLOOKUP(D2331,CadProd!$A:$B,2,0)),"")</f>
        <v/>
      </c>
      <c r="F2331" t="str">
        <f>IFERROR(IF(D2331="","",VLOOKUP(D2331,CadProd!$A:$C,3,0)),"")</f>
        <v/>
      </c>
      <c r="I2331" s="1" t="str">
        <f t="shared" si="36"/>
        <v/>
      </c>
    </row>
    <row r="2332" spans="5:9" x14ac:dyDescent="0.3">
      <c r="E2332" t="str">
        <f>IFERROR(IF(D2332="","",VLOOKUP(D2332,CadProd!$A:$B,2,0)),"")</f>
        <v/>
      </c>
      <c r="F2332" t="str">
        <f>IFERROR(IF(D2332="","",VLOOKUP(D2332,CadProd!$A:$C,3,0)),"")</f>
        <v/>
      </c>
      <c r="I2332" s="1" t="str">
        <f t="shared" si="36"/>
        <v/>
      </c>
    </row>
    <row r="2333" spans="5:9" x14ac:dyDescent="0.3">
      <c r="E2333" t="str">
        <f>IFERROR(IF(D2333="","",VLOOKUP(D2333,CadProd!$A:$B,2,0)),"")</f>
        <v/>
      </c>
      <c r="F2333" t="str">
        <f>IFERROR(IF(D2333="","",VLOOKUP(D2333,CadProd!$A:$C,3,0)),"")</f>
        <v/>
      </c>
      <c r="I2333" s="1" t="str">
        <f t="shared" si="36"/>
        <v/>
      </c>
    </row>
    <row r="2334" spans="5:9" x14ac:dyDescent="0.3">
      <c r="E2334" t="str">
        <f>IFERROR(IF(D2334="","",VLOOKUP(D2334,CadProd!$A:$B,2,0)),"")</f>
        <v/>
      </c>
      <c r="F2334" t="str">
        <f>IFERROR(IF(D2334="","",VLOOKUP(D2334,CadProd!$A:$C,3,0)),"")</f>
        <v/>
      </c>
      <c r="I2334" s="1" t="str">
        <f t="shared" si="36"/>
        <v/>
      </c>
    </row>
    <row r="2335" spans="5:9" x14ac:dyDescent="0.3">
      <c r="E2335" t="str">
        <f>IFERROR(IF(D2335="","",VLOOKUP(D2335,CadProd!$A:$B,2,0)),"")</f>
        <v/>
      </c>
      <c r="F2335" t="str">
        <f>IFERROR(IF(D2335="","",VLOOKUP(D2335,CadProd!$A:$C,3,0)),"")</f>
        <v/>
      </c>
      <c r="I2335" s="1" t="str">
        <f t="shared" si="36"/>
        <v/>
      </c>
    </row>
    <row r="2336" spans="5:9" x14ac:dyDescent="0.3">
      <c r="E2336" t="str">
        <f>IFERROR(IF(D2336="","",VLOOKUP(D2336,CadProd!$A:$B,2,0)),"")</f>
        <v/>
      </c>
      <c r="F2336" t="str">
        <f>IFERROR(IF(D2336="","",VLOOKUP(D2336,CadProd!$A:$C,3,0)),"")</f>
        <v/>
      </c>
      <c r="I2336" s="1" t="str">
        <f t="shared" si="36"/>
        <v/>
      </c>
    </row>
    <row r="2337" spans="5:9" x14ac:dyDescent="0.3">
      <c r="E2337" t="str">
        <f>IFERROR(IF(D2337="","",VLOOKUP(D2337,CadProd!$A:$B,2,0)),"")</f>
        <v/>
      </c>
      <c r="F2337" t="str">
        <f>IFERROR(IF(D2337="","",VLOOKUP(D2337,CadProd!$A:$C,3,0)),"")</f>
        <v/>
      </c>
      <c r="I2337" s="1" t="str">
        <f t="shared" si="36"/>
        <v/>
      </c>
    </row>
    <row r="2338" spans="5:9" x14ac:dyDescent="0.3">
      <c r="E2338" t="str">
        <f>IFERROR(IF(D2338="","",VLOOKUP(D2338,CadProd!$A:$B,2,0)),"")</f>
        <v/>
      </c>
      <c r="F2338" t="str">
        <f>IFERROR(IF(D2338="","",VLOOKUP(D2338,CadProd!$A:$C,3,0)),"")</f>
        <v/>
      </c>
      <c r="I2338" s="1" t="str">
        <f t="shared" si="36"/>
        <v/>
      </c>
    </row>
    <row r="2339" spans="5:9" x14ac:dyDescent="0.3">
      <c r="E2339" t="str">
        <f>IFERROR(IF(D2339="","",VLOOKUP(D2339,CadProd!$A:$B,2,0)),"")</f>
        <v/>
      </c>
      <c r="F2339" t="str">
        <f>IFERROR(IF(D2339="","",VLOOKUP(D2339,CadProd!$A:$C,3,0)),"")</f>
        <v/>
      </c>
      <c r="I2339" s="1" t="str">
        <f t="shared" si="36"/>
        <v/>
      </c>
    </row>
    <row r="2340" spans="5:9" x14ac:dyDescent="0.3">
      <c r="E2340" t="str">
        <f>IFERROR(IF(D2340="","",VLOOKUP(D2340,CadProd!$A:$B,2,0)),"")</f>
        <v/>
      </c>
      <c r="F2340" t="str">
        <f>IFERROR(IF(D2340="","",VLOOKUP(D2340,CadProd!$A:$C,3,0)),"")</f>
        <v/>
      </c>
      <c r="I2340" s="1" t="str">
        <f t="shared" si="36"/>
        <v/>
      </c>
    </row>
    <row r="2341" spans="5:9" x14ac:dyDescent="0.3">
      <c r="E2341" t="str">
        <f>IFERROR(IF(D2341="","",VLOOKUP(D2341,CadProd!$A:$B,2,0)),"")</f>
        <v/>
      </c>
      <c r="F2341" t="str">
        <f>IFERROR(IF(D2341="","",VLOOKUP(D2341,CadProd!$A:$C,3,0)),"")</f>
        <v/>
      </c>
      <c r="I2341" s="1" t="str">
        <f t="shared" si="36"/>
        <v/>
      </c>
    </row>
    <row r="2342" spans="5:9" x14ac:dyDescent="0.3">
      <c r="E2342" t="str">
        <f>IFERROR(IF(D2342="","",VLOOKUP(D2342,CadProd!$A:$B,2,0)),"")</f>
        <v/>
      </c>
      <c r="F2342" t="str">
        <f>IFERROR(IF(D2342="","",VLOOKUP(D2342,CadProd!$A:$C,3,0)),"")</f>
        <v/>
      </c>
      <c r="I2342" s="1" t="str">
        <f t="shared" si="36"/>
        <v/>
      </c>
    </row>
    <row r="2343" spans="5:9" x14ac:dyDescent="0.3">
      <c r="E2343" t="str">
        <f>IFERROR(IF(D2343="","",VLOOKUP(D2343,CadProd!$A:$B,2,0)),"")</f>
        <v/>
      </c>
      <c r="F2343" t="str">
        <f>IFERROR(IF(D2343="","",VLOOKUP(D2343,CadProd!$A:$C,3,0)),"")</f>
        <v/>
      </c>
      <c r="I2343" s="1" t="str">
        <f t="shared" si="36"/>
        <v/>
      </c>
    </row>
    <row r="2344" spans="5:9" x14ac:dyDescent="0.3">
      <c r="E2344" t="str">
        <f>IFERROR(IF(D2344="","",VLOOKUP(D2344,CadProd!$A:$B,2,0)),"")</f>
        <v/>
      </c>
      <c r="F2344" t="str">
        <f>IFERROR(IF(D2344="","",VLOOKUP(D2344,CadProd!$A:$C,3,0)),"")</f>
        <v/>
      </c>
      <c r="I2344" s="1" t="str">
        <f t="shared" si="36"/>
        <v/>
      </c>
    </row>
    <row r="2345" spans="5:9" x14ac:dyDescent="0.3">
      <c r="E2345" t="str">
        <f>IFERROR(IF(D2345="","",VLOOKUP(D2345,CadProd!$A:$B,2,0)),"")</f>
        <v/>
      </c>
      <c r="F2345" t="str">
        <f>IFERROR(IF(D2345="","",VLOOKUP(D2345,CadProd!$A:$C,3,0)),"")</f>
        <v/>
      </c>
      <c r="I2345" s="1" t="str">
        <f t="shared" si="36"/>
        <v/>
      </c>
    </row>
    <row r="2346" spans="5:9" x14ac:dyDescent="0.3">
      <c r="E2346" t="str">
        <f>IFERROR(IF(D2346="","",VLOOKUP(D2346,CadProd!$A:$B,2,0)),"")</f>
        <v/>
      </c>
      <c r="F2346" t="str">
        <f>IFERROR(IF(D2346="","",VLOOKUP(D2346,CadProd!$A:$C,3,0)),"")</f>
        <v/>
      </c>
      <c r="I2346" s="1" t="str">
        <f t="shared" si="36"/>
        <v/>
      </c>
    </row>
    <row r="2347" spans="5:9" x14ac:dyDescent="0.3">
      <c r="E2347" t="str">
        <f>IFERROR(IF(D2347="","",VLOOKUP(D2347,CadProd!$A:$B,2,0)),"")</f>
        <v/>
      </c>
      <c r="F2347" t="str">
        <f>IFERROR(IF(D2347="","",VLOOKUP(D2347,CadProd!$A:$C,3,0)),"")</f>
        <v/>
      </c>
      <c r="I2347" s="1" t="str">
        <f t="shared" si="36"/>
        <v/>
      </c>
    </row>
    <row r="2348" spans="5:9" x14ac:dyDescent="0.3">
      <c r="E2348" t="str">
        <f>IFERROR(IF(D2348="","",VLOOKUP(D2348,CadProd!$A:$B,2,0)),"")</f>
        <v/>
      </c>
      <c r="F2348" t="str">
        <f>IFERROR(IF(D2348="","",VLOOKUP(D2348,CadProd!$A:$C,3,0)),"")</f>
        <v/>
      </c>
      <c r="I2348" s="1" t="str">
        <f t="shared" si="36"/>
        <v/>
      </c>
    </row>
    <row r="2349" spans="5:9" x14ac:dyDescent="0.3">
      <c r="E2349" t="str">
        <f>IFERROR(IF(D2349="","",VLOOKUP(D2349,CadProd!$A:$B,2,0)),"")</f>
        <v/>
      </c>
      <c r="F2349" t="str">
        <f>IFERROR(IF(D2349="","",VLOOKUP(D2349,CadProd!$A:$C,3,0)),"")</f>
        <v/>
      </c>
      <c r="I2349" s="1" t="str">
        <f t="shared" si="36"/>
        <v/>
      </c>
    </row>
    <row r="2350" spans="5:9" x14ac:dyDescent="0.3">
      <c r="E2350" t="str">
        <f>IFERROR(IF(D2350="","",VLOOKUP(D2350,CadProd!$A:$B,2,0)),"")</f>
        <v/>
      </c>
      <c r="F2350" t="str">
        <f>IFERROR(IF(D2350="","",VLOOKUP(D2350,CadProd!$A:$C,3,0)),"")</f>
        <v/>
      </c>
      <c r="I2350" s="1" t="str">
        <f t="shared" si="36"/>
        <v/>
      </c>
    </row>
    <row r="2351" spans="5:9" x14ac:dyDescent="0.3">
      <c r="E2351" t="str">
        <f>IFERROR(IF(D2351="","",VLOOKUP(D2351,CadProd!$A:$B,2,0)),"")</f>
        <v/>
      </c>
      <c r="F2351" t="str">
        <f>IFERROR(IF(D2351="","",VLOOKUP(D2351,CadProd!$A:$C,3,0)),"")</f>
        <v/>
      </c>
      <c r="I2351" s="1" t="str">
        <f t="shared" si="36"/>
        <v/>
      </c>
    </row>
    <row r="2352" spans="5:9" x14ac:dyDescent="0.3">
      <c r="E2352" t="str">
        <f>IFERROR(IF(D2352="","",VLOOKUP(D2352,CadProd!$A:$B,2,0)),"")</f>
        <v/>
      </c>
      <c r="F2352" t="str">
        <f>IFERROR(IF(D2352="","",VLOOKUP(D2352,CadProd!$A:$C,3,0)),"")</f>
        <v/>
      </c>
      <c r="I2352" s="1" t="str">
        <f t="shared" si="36"/>
        <v/>
      </c>
    </row>
    <row r="2353" spans="5:9" x14ac:dyDescent="0.3">
      <c r="E2353" t="str">
        <f>IFERROR(IF(D2353="","",VLOOKUP(D2353,CadProd!$A:$B,2,0)),"")</f>
        <v/>
      </c>
      <c r="F2353" t="str">
        <f>IFERROR(IF(D2353="","",VLOOKUP(D2353,CadProd!$A:$C,3,0)),"")</f>
        <v/>
      </c>
      <c r="I2353" s="1" t="str">
        <f t="shared" si="36"/>
        <v/>
      </c>
    </row>
    <row r="2354" spans="5:9" x14ac:dyDescent="0.3">
      <c r="E2354" t="str">
        <f>IFERROR(IF(D2354="","",VLOOKUP(D2354,CadProd!$A:$B,2,0)),"")</f>
        <v/>
      </c>
      <c r="F2354" t="str">
        <f>IFERROR(IF(D2354="","",VLOOKUP(D2354,CadProd!$A:$C,3,0)),"")</f>
        <v/>
      </c>
      <c r="I2354" s="1" t="str">
        <f t="shared" si="36"/>
        <v/>
      </c>
    </row>
    <row r="2355" spans="5:9" x14ac:dyDescent="0.3">
      <c r="E2355" t="str">
        <f>IFERROR(IF(D2355="","",VLOOKUP(D2355,CadProd!$A:$B,2,0)),"")</f>
        <v/>
      </c>
      <c r="F2355" t="str">
        <f>IFERROR(IF(D2355="","",VLOOKUP(D2355,CadProd!$A:$C,3,0)),"")</f>
        <v/>
      </c>
      <c r="I2355" s="1" t="str">
        <f t="shared" si="36"/>
        <v/>
      </c>
    </row>
    <row r="2356" spans="5:9" x14ac:dyDescent="0.3">
      <c r="E2356" t="str">
        <f>IFERROR(IF(D2356="","",VLOOKUP(D2356,CadProd!$A:$B,2,0)),"")</f>
        <v/>
      </c>
      <c r="F2356" t="str">
        <f>IFERROR(IF(D2356="","",VLOOKUP(D2356,CadProd!$A:$C,3,0)),"")</f>
        <v/>
      </c>
      <c r="I2356" s="1" t="str">
        <f t="shared" si="36"/>
        <v/>
      </c>
    </row>
    <row r="2357" spans="5:9" x14ac:dyDescent="0.3">
      <c r="E2357" t="str">
        <f>IFERROR(IF(D2357="","",VLOOKUP(D2357,CadProd!$A:$B,2,0)),"")</f>
        <v/>
      </c>
      <c r="F2357" t="str">
        <f>IFERROR(IF(D2357="","",VLOOKUP(D2357,CadProd!$A:$C,3,0)),"")</f>
        <v/>
      </c>
      <c r="I2357" s="1" t="str">
        <f t="shared" si="36"/>
        <v/>
      </c>
    </row>
    <row r="2358" spans="5:9" x14ac:dyDescent="0.3">
      <c r="E2358" t="str">
        <f>IFERROR(IF(D2358="","",VLOOKUP(D2358,CadProd!$A:$B,2,0)),"")</f>
        <v/>
      </c>
      <c r="F2358" t="str">
        <f>IFERROR(IF(D2358="","",VLOOKUP(D2358,CadProd!$A:$C,3,0)),"")</f>
        <v/>
      </c>
      <c r="I2358" s="1" t="str">
        <f t="shared" si="36"/>
        <v/>
      </c>
    </row>
    <row r="2359" spans="5:9" x14ac:dyDescent="0.3">
      <c r="E2359" t="str">
        <f>IFERROR(IF(D2359="","",VLOOKUP(D2359,CadProd!$A:$B,2,0)),"")</f>
        <v/>
      </c>
      <c r="F2359" t="str">
        <f>IFERROR(IF(D2359="","",VLOOKUP(D2359,CadProd!$A:$C,3,0)),"")</f>
        <v/>
      </c>
      <c r="I2359" s="1" t="str">
        <f t="shared" si="36"/>
        <v/>
      </c>
    </row>
    <row r="2360" spans="5:9" x14ac:dyDescent="0.3">
      <c r="E2360" t="str">
        <f>IFERROR(IF(D2360="","",VLOOKUP(D2360,CadProd!$A:$B,2,0)),"")</f>
        <v/>
      </c>
      <c r="F2360" t="str">
        <f>IFERROR(IF(D2360="","",VLOOKUP(D2360,CadProd!$A:$C,3,0)),"")</f>
        <v/>
      </c>
      <c r="I2360" s="1" t="str">
        <f t="shared" si="36"/>
        <v/>
      </c>
    </row>
    <row r="2361" spans="5:9" x14ac:dyDescent="0.3">
      <c r="E2361" t="str">
        <f>IFERROR(IF(D2361="","",VLOOKUP(D2361,CadProd!$A:$B,2,0)),"")</f>
        <v/>
      </c>
      <c r="F2361" t="str">
        <f>IFERROR(IF(D2361="","",VLOOKUP(D2361,CadProd!$A:$C,3,0)),"")</f>
        <v/>
      </c>
      <c r="I2361" s="1" t="str">
        <f t="shared" si="36"/>
        <v/>
      </c>
    </row>
    <row r="2362" spans="5:9" x14ac:dyDescent="0.3">
      <c r="E2362" t="str">
        <f>IFERROR(IF(D2362="","",VLOOKUP(D2362,CadProd!$A:$B,2,0)),"")</f>
        <v/>
      </c>
      <c r="F2362" t="str">
        <f>IFERROR(IF(D2362="","",VLOOKUP(D2362,CadProd!$A:$C,3,0)),"")</f>
        <v/>
      </c>
      <c r="I2362" s="1" t="str">
        <f t="shared" si="36"/>
        <v/>
      </c>
    </row>
    <row r="2363" spans="5:9" x14ac:dyDescent="0.3">
      <c r="E2363" t="str">
        <f>IFERROR(IF(D2363="","",VLOOKUP(D2363,CadProd!$A:$B,2,0)),"")</f>
        <v/>
      </c>
      <c r="F2363" t="str">
        <f>IFERROR(IF(D2363="","",VLOOKUP(D2363,CadProd!$A:$C,3,0)),"")</f>
        <v/>
      </c>
      <c r="I2363" s="1" t="str">
        <f t="shared" si="36"/>
        <v/>
      </c>
    </row>
    <row r="2364" spans="5:9" x14ac:dyDescent="0.3">
      <c r="E2364" t="str">
        <f>IFERROR(IF(D2364="","",VLOOKUP(D2364,CadProd!$A:$B,2,0)),"")</f>
        <v/>
      </c>
      <c r="F2364" t="str">
        <f>IFERROR(IF(D2364="","",VLOOKUP(D2364,CadProd!$A:$C,3,0)),"")</f>
        <v/>
      </c>
      <c r="I2364" s="1" t="str">
        <f t="shared" si="36"/>
        <v/>
      </c>
    </row>
    <row r="2365" spans="5:9" x14ac:dyDescent="0.3">
      <c r="E2365" t="str">
        <f>IFERROR(IF(D2365="","",VLOOKUP(D2365,CadProd!$A:$B,2,0)),"")</f>
        <v/>
      </c>
      <c r="F2365" t="str">
        <f>IFERROR(IF(D2365="","",VLOOKUP(D2365,CadProd!$A:$C,3,0)),"")</f>
        <v/>
      </c>
      <c r="I2365" s="1" t="str">
        <f t="shared" si="36"/>
        <v/>
      </c>
    </row>
    <row r="2366" spans="5:9" x14ac:dyDescent="0.3">
      <c r="E2366" t="str">
        <f>IFERROR(IF(D2366="","",VLOOKUP(D2366,CadProd!$A:$B,2,0)),"")</f>
        <v/>
      </c>
      <c r="F2366" t="str">
        <f>IFERROR(IF(D2366="","",VLOOKUP(D2366,CadProd!$A:$C,3,0)),"")</f>
        <v/>
      </c>
      <c r="I2366" s="1" t="str">
        <f t="shared" si="36"/>
        <v/>
      </c>
    </row>
    <row r="2367" spans="5:9" x14ac:dyDescent="0.3">
      <c r="E2367" t="str">
        <f>IFERROR(IF(D2367="","",VLOOKUP(D2367,CadProd!$A:$B,2,0)),"")</f>
        <v/>
      </c>
      <c r="F2367" t="str">
        <f>IFERROR(IF(D2367="","",VLOOKUP(D2367,CadProd!$A:$C,3,0)),"")</f>
        <v/>
      </c>
      <c r="I2367" s="1" t="str">
        <f t="shared" si="36"/>
        <v/>
      </c>
    </row>
    <row r="2368" spans="5:9" x14ac:dyDescent="0.3">
      <c r="E2368" t="str">
        <f>IFERROR(IF(D2368="","",VLOOKUP(D2368,CadProd!$A:$B,2,0)),"")</f>
        <v/>
      </c>
      <c r="F2368" t="str">
        <f>IFERROR(IF(D2368="","",VLOOKUP(D2368,CadProd!$A:$C,3,0)),"")</f>
        <v/>
      </c>
      <c r="I2368" s="1" t="str">
        <f t="shared" si="36"/>
        <v/>
      </c>
    </row>
    <row r="2369" spans="5:9" x14ac:dyDescent="0.3">
      <c r="E2369" t="str">
        <f>IFERROR(IF(D2369="","",VLOOKUP(D2369,CadProd!$A:$B,2,0)),"")</f>
        <v/>
      </c>
      <c r="F2369" t="str">
        <f>IFERROR(IF(D2369="","",VLOOKUP(D2369,CadProd!$A:$C,3,0)),"")</f>
        <v/>
      </c>
      <c r="I2369" s="1" t="str">
        <f t="shared" si="36"/>
        <v/>
      </c>
    </row>
    <row r="2370" spans="5:9" x14ac:dyDescent="0.3">
      <c r="E2370" t="str">
        <f>IFERROR(IF(D2370="","",VLOOKUP(D2370,CadProd!$A:$B,2,0)),"")</f>
        <v/>
      </c>
      <c r="F2370" t="str">
        <f>IFERROR(IF(D2370="","",VLOOKUP(D2370,CadProd!$A:$C,3,0)),"")</f>
        <v/>
      </c>
      <c r="I2370" s="1" t="str">
        <f t="shared" si="36"/>
        <v/>
      </c>
    </row>
    <row r="2371" spans="5:9" x14ac:dyDescent="0.3">
      <c r="E2371" t="str">
        <f>IFERROR(IF(D2371="","",VLOOKUP(D2371,CadProd!$A:$B,2,0)),"")</f>
        <v/>
      </c>
      <c r="F2371" t="str">
        <f>IFERROR(IF(D2371="","",VLOOKUP(D2371,CadProd!$A:$C,3,0)),"")</f>
        <v/>
      </c>
      <c r="I2371" s="1" t="str">
        <f t="shared" si="36"/>
        <v/>
      </c>
    </row>
    <row r="2372" spans="5:9" x14ac:dyDescent="0.3">
      <c r="E2372" t="str">
        <f>IFERROR(IF(D2372="","",VLOOKUP(D2372,CadProd!$A:$B,2,0)),"")</f>
        <v/>
      </c>
      <c r="F2372" t="str">
        <f>IFERROR(IF(D2372="","",VLOOKUP(D2372,CadProd!$A:$C,3,0)),"")</f>
        <v/>
      </c>
      <c r="I2372" s="1" t="str">
        <f t="shared" si="36"/>
        <v/>
      </c>
    </row>
    <row r="2373" spans="5:9" x14ac:dyDescent="0.3">
      <c r="E2373" t="str">
        <f>IFERROR(IF(D2373="","",VLOOKUP(D2373,CadProd!$A:$B,2,0)),"")</f>
        <v/>
      </c>
      <c r="F2373" t="str">
        <f>IFERROR(IF(D2373="","",VLOOKUP(D2373,CadProd!$A:$C,3,0)),"")</f>
        <v/>
      </c>
      <c r="I2373" s="1" t="str">
        <f t="shared" si="36"/>
        <v/>
      </c>
    </row>
    <row r="2374" spans="5:9" x14ac:dyDescent="0.3">
      <c r="E2374" t="str">
        <f>IFERROR(IF(D2374="","",VLOOKUP(D2374,CadProd!$A:$B,2,0)),"")</f>
        <v/>
      </c>
      <c r="F2374" t="str">
        <f>IFERROR(IF(D2374="","",VLOOKUP(D2374,CadProd!$A:$C,3,0)),"")</f>
        <v/>
      </c>
      <c r="I2374" s="1" t="str">
        <f t="shared" si="36"/>
        <v/>
      </c>
    </row>
    <row r="2375" spans="5:9" x14ac:dyDescent="0.3">
      <c r="E2375" t="str">
        <f>IFERROR(IF(D2375="","",VLOOKUP(D2375,CadProd!$A:$B,2,0)),"")</f>
        <v/>
      </c>
      <c r="F2375" t="str">
        <f>IFERROR(IF(D2375="","",VLOOKUP(D2375,CadProd!$A:$C,3,0)),"")</f>
        <v/>
      </c>
      <c r="I2375" s="1" t="str">
        <f t="shared" si="36"/>
        <v/>
      </c>
    </row>
    <row r="2376" spans="5:9" x14ac:dyDescent="0.3">
      <c r="E2376" t="str">
        <f>IFERROR(IF(D2376="","",VLOOKUP(D2376,CadProd!$A:$B,2,0)),"")</f>
        <v/>
      </c>
      <c r="F2376" t="str">
        <f>IFERROR(IF(D2376="","",VLOOKUP(D2376,CadProd!$A:$C,3,0)),"")</f>
        <v/>
      </c>
      <c r="I2376" s="1" t="str">
        <f t="shared" si="36"/>
        <v/>
      </c>
    </row>
    <row r="2377" spans="5:9" x14ac:dyDescent="0.3">
      <c r="E2377" t="str">
        <f>IFERROR(IF(D2377="","",VLOOKUP(D2377,CadProd!$A:$B,2,0)),"")</f>
        <v/>
      </c>
      <c r="F2377" t="str">
        <f>IFERROR(IF(D2377="","",VLOOKUP(D2377,CadProd!$A:$C,3,0)),"")</f>
        <v/>
      </c>
      <c r="I2377" s="1" t="str">
        <f t="shared" si="36"/>
        <v/>
      </c>
    </row>
    <row r="2378" spans="5:9" x14ac:dyDescent="0.3">
      <c r="E2378" t="str">
        <f>IFERROR(IF(D2378="","",VLOOKUP(D2378,CadProd!$A:$B,2,0)),"")</f>
        <v/>
      </c>
      <c r="F2378" t="str">
        <f>IFERROR(IF(D2378="","",VLOOKUP(D2378,CadProd!$A:$C,3,0)),"")</f>
        <v/>
      </c>
      <c r="I2378" s="1" t="str">
        <f t="shared" si="36"/>
        <v/>
      </c>
    </row>
    <row r="2379" spans="5:9" x14ac:dyDescent="0.3">
      <c r="E2379" t="str">
        <f>IFERROR(IF(D2379="","",VLOOKUP(D2379,CadProd!$A:$B,2,0)),"")</f>
        <v/>
      </c>
      <c r="F2379" t="str">
        <f>IFERROR(IF(D2379="","",VLOOKUP(D2379,CadProd!$A:$C,3,0)),"")</f>
        <v/>
      </c>
      <c r="I2379" s="1" t="str">
        <f t="shared" ref="I2379:I2442" si="37">IFERROR(IF(D2379="","",H2379*G2379),"")</f>
        <v/>
      </c>
    </row>
    <row r="2380" spans="5:9" x14ac:dyDescent="0.3">
      <c r="E2380" t="str">
        <f>IFERROR(IF(D2380="","",VLOOKUP(D2380,CadProd!$A:$B,2,0)),"")</f>
        <v/>
      </c>
      <c r="F2380" t="str">
        <f>IFERROR(IF(D2380="","",VLOOKUP(D2380,CadProd!$A:$C,3,0)),"")</f>
        <v/>
      </c>
      <c r="I2380" s="1" t="str">
        <f t="shared" si="37"/>
        <v/>
      </c>
    </row>
    <row r="2381" spans="5:9" x14ac:dyDescent="0.3">
      <c r="E2381" t="str">
        <f>IFERROR(IF(D2381="","",VLOOKUP(D2381,CadProd!$A:$B,2,0)),"")</f>
        <v/>
      </c>
      <c r="F2381" t="str">
        <f>IFERROR(IF(D2381="","",VLOOKUP(D2381,CadProd!$A:$C,3,0)),"")</f>
        <v/>
      </c>
      <c r="I2381" s="1" t="str">
        <f t="shared" si="37"/>
        <v/>
      </c>
    </row>
    <row r="2382" spans="5:9" x14ac:dyDescent="0.3">
      <c r="E2382" t="str">
        <f>IFERROR(IF(D2382="","",VLOOKUP(D2382,CadProd!$A:$B,2,0)),"")</f>
        <v/>
      </c>
      <c r="F2382" t="str">
        <f>IFERROR(IF(D2382="","",VLOOKUP(D2382,CadProd!$A:$C,3,0)),"")</f>
        <v/>
      </c>
      <c r="I2382" s="1" t="str">
        <f t="shared" si="37"/>
        <v/>
      </c>
    </row>
    <row r="2383" spans="5:9" x14ac:dyDescent="0.3">
      <c r="E2383" t="str">
        <f>IFERROR(IF(D2383="","",VLOOKUP(D2383,CadProd!$A:$B,2,0)),"")</f>
        <v/>
      </c>
      <c r="F2383" t="str">
        <f>IFERROR(IF(D2383="","",VLOOKUP(D2383,CadProd!$A:$C,3,0)),"")</f>
        <v/>
      </c>
      <c r="I2383" s="1" t="str">
        <f t="shared" si="37"/>
        <v/>
      </c>
    </row>
    <row r="2384" spans="5:9" x14ac:dyDescent="0.3">
      <c r="E2384" t="str">
        <f>IFERROR(IF(D2384="","",VLOOKUP(D2384,CadProd!$A:$B,2,0)),"")</f>
        <v/>
      </c>
      <c r="F2384" t="str">
        <f>IFERROR(IF(D2384="","",VLOOKUP(D2384,CadProd!$A:$C,3,0)),"")</f>
        <v/>
      </c>
      <c r="I2384" s="1" t="str">
        <f t="shared" si="37"/>
        <v/>
      </c>
    </row>
    <row r="2385" spans="5:9" x14ac:dyDescent="0.3">
      <c r="E2385" t="str">
        <f>IFERROR(IF(D2385="","",VLOOKUP(D2385,CadProd!$A:$B,2,0)),"")</f>
        <v/>
      </c>
      <c r="F2385" t="str">
        <f>IFERROR(IF(D2385="","",VLOOKUP(D2385,CadProd!$A:$C,3,0)),"")</f>
        <v/>
      </c>
      <c r="I2385" s="1" t="str">
        <f t="shared" si="37"/>
        <v/>
      </c>
    </row>
    <row r="2386" spans="5:9" x14ac:dyDescent="0.3">
      <c r="E2386" t="str">
        <f>IFERROR(IF(D2386="","",VLOOKUP(D2386,CadProd!$A:$B,2,0)),"")</f>
        <v/>
      </c>
      <c r="F2386" t="str">
        <f>IFERROR(IF(D2386="","",VLOOKUP(D2386,CadProd!$A:$C,3,0)),"")</f>
        <v/>
      </c>
      <c r="I2386" s="1" t="str">
        <f t="shared" si="37"/>
        <v/>
      </c>
    </row>
    <row r="2387" spans="5:9" x14ac:dyDescent="0.3">
      <c r="E2387" t="str">
        <f>IFERROR(IF(D2387="","",VLOOKUP(D2387,CadProd!$A:$B,2,0)),"")</f>
        <v/>
      </c>
      <c r="F2387" t="str">
        <f>IFERROR(IF(D2387="","",VLOOKUP(D2387,CadProd!$A:$C,3,0)),"")</f>
        <v/>
      </c>
      <c r="I2387" s="1" t="str">
        <f t="shared" si="37"/>
        <v/>
      </c>
    </row>
    <row r="2388" spans="5:9" x14ac:dyDescent="0.3">
      <c r="E2388" t="str">
        <f>IFERROR(IF(D2388="","",VLOOKUP(D2388,CadProd!$A:$B,2,0)),"")</f>
        <v/>
      </c>
      <c r="F2388" t="str">
        <f>IFERROR(IF(D2388="","",VLOOKUP(D2388,CadProd!$A:$C,3,0)),"")</f>
        <v/>
      </c>
      <c r="I2388" s="1" t="str">
        <f t="shared" si="37"/>
        <v/>
      </c>
    </row>
    <row r="2389" spans="5:9" x14ac:dyDescent="0.3">
      <c r="E2389" t="str">
        <f>IFERROR(IF(D2389="","",VLOOKUP(D2389,CadProd!$A:$B,2,0)),"")</f>
        <v/>
      </c>
      <c r="F2389" t="str">
        <f>IFERROR(IF(D2389="","",VLOOKUP(D2389,CadProd!$A:$C,3,0)),"")</f>
        <v/>
      </c>
      <c r="I2389" s="1" t="str">
        <f t="shared" si="37"/>
        <v/>
      </c>
    </row>
    <row r="2390" spans="5:9" x14ac:dyDescent="0.3">
      <c r="E2390" t="str">
        <f>IFERROR(IF(D2390="","",VLOOKUP(D2390,CadProd!$A:$B,2,0)),"")</f>
        <v/>
      </c>
      <c r="F2390" t="str">
        <f>IFERROR(IF(D2390="","",VLOOKUP(D2390,CadProd!$A:$C,3,0)),"")</f>
        <v/>
      </c>
      <c r="I2390" s="1" t="str">
        <f t="shared" si="37"/>
        <v/>
      </c>
    </row>
    <row r="2391" spans="5:9" x14ac:dyDescent="0.3">
      <c r="E2391" t="str">
        <f>IFERROR(IF(D2391="","",VLOOKUP(D2391,CadProd!$A:$B,2,0)),"")</f>
        <v/>
      </c>
      <c r="F2391" t="str">
        <f>IFERROR(IF(D2391="","",VLOOKUP(D2391,CadProd!$A:$C,3,0)),"")</f>
        <v/>
      </c>
      <c r="I2391" s="1" t="str">
        <f t="shared" si="37"/>
        <v/>
      </c>
    </row>
    <row r="2392" spans="5:9" x14ac:dyDescent="0.3">
      <c r="E2392" t="str">
        <f>IFERROR(IF(D2392="","",VLOOKUP(D2392,CadProd!$A:$B,2,0)),"")</f>
        <v/>
      </c>
      <c r="F2392" t="str">
        <f>IFERROR(IF(D2392="","",VLOOKUP(D2392,CadProd!$A:$C,3,0)),"")</f>
        <v/>
      </c>
      <c r="I2392" s="1" t="str">
        <f t="shared" si="37"/>
        <v/>
      </c>
    </row>
    <row r="2393" spans="5:9" x14ac:dyDescent="0.3">
      <c r="E2393" t="str">
        <f>IFERROR(IF(D2393="","",VLOOKUP(D2393,CadProd!$A:$B,2,0)),"")</f>
        <v/>
      </c>
      <c r="F2393" t="str">
        <f>IFERROR(IF(D2393="","",VLOOKUP(D2393,CadProd!$A:$C,3,0)),"")</f>
        <v/>
      </c>
      <c r="I2393" s="1" t="str">
        <f t="shared" si="37"/>
        <v/>
      </c>
    </row>
    <row r="2394" spans="5:9" x14ac:dyDescent="0.3">
      <c r="E2394" t="str">
        <f>IFERROR(IF(D2394="","",VLOOKUP(D2394,CadProd!$A:$B,2,0)),"")</f>
        <v/>
      </c>
      <c r="F2394" t="str">
        <f>IFERROR(IF(D2394="","",VLOOKUP(D2394,CadProd!$A:$C,3,0)),"")</f>
        <v/>
      </c>
      <c r="I2394" s="1" t="str">
        <f t="shared" si="37"/>
        <v/>
      </c>
    </row>
    <row r="2395" spans="5:9" x14ac:dyDescent="0.3">
      <c r="E2395" t="str">
        <f>IFERROR(IF(D2395="","",VLOOKUP(D2395,CadProd!$A:$B,2,0)),"")</f>
        <v/>
      </c>
      <c r="F2395" t="str">
        <f>IFERROR(IF(D2395="","",VLOOKUP(D2395,CadProd!$A:$C,3,0)),"")</f>
        <v/>
      </c>
      <c r="I2395" s="1" t="str">
        <f t="shared" si="37"/>
        <v/>
      </c>
    </row>
    <row r="2396" spans="5:9" x14ac:dyDescent="0.3">
      <c r="E2396" t="str">
        <f>IFERROR(IF(D2396="","",VLOOKUP(D2396,CadProd!$A:$B,2,0)),"")</f>
        <v/>
      </c>
      <c r="F2396" t="str">
        <f>IFERROR(IF(D2396="","",VLOOKUP(D2396,CadProd!$A:$C,3,0)),"")</f>
        <v/>
      </c>
      <c r="I2396" s="1" t="str">
        <f t="shared" si="37"/>
        <v/>
      </c>
    </row>
    <row r="2397" spans="5:9" x14ac:dyDescent="0.3">
      <c r="E2397" t="str">
        <f>IFERROR(IF(D2397="","",VLOOKUP(D2397,CadProd!$A:$B,2,0)),"")</f>
        <v/>
      </c>
      <c r="F2397" t="str">
        <f>IFERROR(IF(D2397="","",VLOOKUP(D2397,CadProd!$A:$C,3,0)),"")</f>
        <v/>
      </c>
      <c r="I2397" s="1" t="str">
        <f t="shared" si="37"/>
        <v/>
      </c>
    </row>
    <row r="2398" spans="5:9" x14ac:dyDescent="0.3">
      <c r="E2398" t="str">
        <f>IFERROR(IF(D2398="","",VLOOKUP(D2398,CadProd!$A:$B,2,0)),"")</f>
        <v/>
      </c>
      <c r="F2398" t="str">
        <f>IFERROR(IF(D2398="","",VLOOKUP(D2398,CadProd!$A:$C,3,0)),"")</f>
        <v/>
      </c>
      <c r="I2398" s="1" t="str">
        <f t="shared" si="37"/>
        <v/>
      </c>
    </row>
    <row r="2399" spans="5:9" x14ac:dyDescent="0.3">
      <c r="E2399" t="str">
        <f>IFERROR(IF(D2399="","",VLOOKUP(D2399,CadProd!$A:$B,2,0)),"")</f>
        <v/>
      </c>
      <c r="F2399" t="str">
        <f>IFERROR(IF(D2399="","",VLOOKUP(D2399,CadProd!$A:$C,3,0)),"")</f>
        <v/>
      </c>
      <c r="I2399" s="1" t="str">
        <f t="shared" si="37"/>
        <v/>
      </c>
    </row>
    <row r="2400" spans="5:9" x14ac:dyDescent="0.3">
      <c r="E2400" t="str">
        <f>IFERROR(IF(D2400="","",VLOOKUP(D2400,CadProd!$A:$B,2,0)),"")</f>
        <v/>
      </c>
      <c r="F2400" t="str">
        <f>IFERROR(IF(D2400="","",VLOOKUP(D2400,CadProd!$A:$C,3,0)),"")</f>
        <v/>
      </c>
      <c r="I2400" s="1" t="str">
        <f t="shared" si="37"/>
        <v/>
      </c>
    </row>
    <row r="2401" spans="5:9" x14ac:dyDescent="0.3">
      <c r="E2401" t="str">
        <f>IFERROR(IF(D2401="","",VLOOKUP(D2401,CadProd!$A:$B,2,0)),"")</f>
        <v/>
      </c>
      <c r="F2401" t="str">
        <f>IFERROR(IF(D2401="","",VLOOKUP(D2401,CadProd!$A:$C,3,0)),"")</f>
        <v/>
      </c>
      <c r="I2401" s="1" t="str">
        <f t="shared" si="37"/>
        <v/>
      </c>
    </row>
    <row r="2402" spans="5:9" x14ac:dyDescent="0.3">
      <c r="E2402" t="str">
        <f>IFERROR(IF(D2402="","",VLOOKUP(D2402,CadProd!$A:$B,2,0)),"")</f>
        <v/>
      </c>
      <c r="F2402" t="str">
        <f>IFERROR(IF(D2402="","",VLOOKUP(D2402,CadProd!$A:$C,3,0)),"")</f>
        <v/>
      </c>
      <c r="I2402" s="1" t="str">
        <f t="shared" si="37"/>
        <v/>
      </c>
    </row>
    <row r="2403" spans="5:9" x14ac:dyDescent="0.3">
      <c r="E2403" t="str">
        <f>IFERROR(IF(D2403="","",VLOOKUP(D2403,CadProd!$A:$B,2,0)),"")</f>
        <v/>
      </c>
      <c r="F2403" t="str">
        <f>IFERROR(IF(D2403="","",VLOOKUP(D2403,CadProd!$A:$C,3,0)),"")</f>
        <v/>
      </c>
      <c r="I2403" s="1" t="str">
        <f t="shared" si="37"/>
        <v/>
      </c>
    </row>
    <row r="2404" spans="5:9" x14ac:dyDescent="0.3">
      <c r="E2404" t="str">
        <f>IFERROR(IF(D2404="","",VLOOKUP(D2404,CadProd!$A:$B,2,0)),"")</f>
        <v/>
      </c>
      <c r="F2404" t="str">
        <f>IFERROR(IF(D2404="","",VLOOKUP(D2404,CadProd!$A:$C,3,0)),"")</f>
        <v/>
      </c>
      <c r="I2404" s="1" t="str">
        <f t="shared" si="37"/>
        <v/>
      </c>
    </row>
    <row r="2405" spans="5:9" x14ac:dyDescent="0.3">
      <c r="E2405" t="str">
        <f>IFERROR(IF(D2405="","",VLOOKUP(D2405,CadProd!$A:$B,2,0)),"")</f>
        <v/>
      </c>
      <c r="F2405" t="str">
        <f>IFERROR(IF(D2405="","",VLOOKUP(D2405,CadProd!$A:$C,3,0)),"")</f>
        <v/>
      </c>
      <c r="I2405" s="1" t="str">
        <f t="shared" si="37"/>
        <v/>
      </c>
    </row>
    <row r="2406" spans="5:9" x14ac:dyDescent="0.3">
      <c r="E2406" t="str">
        <f>IFERROR(IF(D2406="","",VLOOKUP(D2406,CadProd!$A:$B,2,0)),"")</f>
        <v/>
      </c>
      <c r="F2406" t="str">
        <f>IFERROR(IF(D2406="","",VLOOKUP(D2406,CadProd!$A:$C,3,0)),"")</f>
        <v/>
      </c>
      <c r="I2406" s="1" t="str">
        <f t="shared" si="37"/>
        <v/>
      </c>
    </row>
    <row r="2407" spans="5:9" x14ac:dyDescent="0.3">
      <c r="E2407" t="str">
        <f>IFERROR(IF(D2407="","",VLOOKUP(D2407,CadProd!$A:$B,2,0)),"")</f>
        <v/>
      </c>
      <c r="F2407" t="str">
        <f>IFERROR(IF(D2407="","",VLOOKUP(D2407,CadProd!$A:$C,3,0)),"")</f>
        <v/>
      </c>
      <c r="I2407" s="1" t="str">
        <f t="shared" si="37"/>
        <v/>
      </c>
    </row>
    <row r="2408" spans="5:9" x14ac:dyDescent="0.3">
      <c r="E2408" t="str">
        <f>IFERROR(IF(D2408="","",VLOOKUP(D2408,CadProd!$A:$B,2,0)),"")</f>
        <v/>
      </c>
      <c r="F2408" t="str">
        <f>IFERROR(IF(D2408="","",VLOOKUP(D2408,CadProd!$A:$C,3,0)),"")</f>
        <v/>
      </c>
      <c r="I2408" s="1" t="str">
        <f t="shared" si="37"/>
        <v/>
      </c>
    </row>
    <row r="2409" spans="5:9" x14ac:dyDescent="0.3">
      <c r="E2409" t="str">
        <f>IFERROR(IF(D2409="","",VLOOKUP(D2409,CadProd!$A:$B,2,0)),"")</f>
        <v/>
      </c>
      <c r="F2409" t="str">
        <f>IFERROR(IF(D2409="","",VLOOKUP(D2409,CadProd!$A:$C,3,0)),"")</f>
        <v/>
      </c>
      <c r="I2409" s="1" t="str">
        <f t="shared" si="37"/>
        <v/>
      </c>
    </row>
    <row r="2410" spans="5:9" x14ac:dyDescent="0.3">
      <c r="E2410" t="str">
        <f>IFERROR(IF(D2410="","",VLOOKUP(D2410,CadProd!$A:$B,2,0)),"")</f>
        <v/>
      </c>
      <c r="F2410" t="str">
        <f>IFERROR(IF(D2410="","",VLOOKUP(D2410,CadProd!$A:$C,3,0)),"")</f>
        <v/>
      </c>
      <c r="I2410" s="1" t="str">
        <f t="shared" si="37"/>
        <v/>
      </c>
    </row>
    <row r="2411" spans="5:9" x14ac:dyDescent="0.3">
      <c r="E2411" t="str">
        <f>IFERROR(IF(D2411="","",VLOOKUP(D2411,CadProd!$A:$B,2,0)),"")</f>
        <v/>
      </c>
      <c r="F2411" t="str">
        <f>IFERROR(IF(D2411="","",VLOOKUP(D2411,CadProd!$A:$C,3,0)),"")</f>
        <v/>
      </c>
      <c r="I2411" s="1" t="str">
        <f t="shared" si="37"/>
        <v/>
      </c>
    </row>
    <row r="2412" spans="5:9" x14ac:dyDescent="0.3">
      <c r="E2412" t="str">
        <f>IFERROR(IF(D2412="","",VLOOKUP(D2412,CadProd!$A:$B,2,0)),"")</f>
        <v/>
      </c>
      <c r="F2412" t="str">
        <f>IFERROR(IF(D2412="","",VLOOKUP(D2412,CadProd!$A:$C,3,0)),"")</f>
        <v/>
      </c>
      <c r="I2412" s="1" t="str">
        <f t="shared" si="37"/>
        <v/>
      </c>
    </row>
    <row r="2413" spans="5:9" x14ac:dyDescent="0.3">
      <c r="E2413" t="str">
        <f>IFERROR(IF(D2413="","",VLOOKUP(D2413,CadProd!$A:$B,2,0)),"")</f>
        <v/>
      </c>
      <c r="F2413" t="str">
        <f>IFERROR(IF(D2413="","",VLOOKUP(D2413,CadProd!$A:$C,3,0)),"")</f>
        <v/>
      </c>
      <c r="I2413" s="1" t="str">
        <f t="shared" si="37"/>
        <v/>
      </c>
    </row>
    <row r="2414" spans="5:9" x14ac:dyDescent="0.3">
      <c r="E2414" t="str">
        <f>IFERROR(IF(D2414="","",VLOOKUP(D2414,CadProd!$A:$B,2,0)),"")</f>
        <v/>
      </c>
      <c r="F2414" t="str">
        <f>IFERROR(IF(D2414="","",VLOOKUP(D2414,CadProd!$A:$C,3,0)),"")</f>
        <v/>
      </c>
      <c r="I2414" s="1" t="str">
        <f t="shared" si="37"/>
        <v/>
      </c>
    </row>
    <row r="2415" spans="5:9" x14ac:dyDescent="0.3">
      <c r="E2415" t="str">
        <f>IFERROR(IF(D2415="","",VLOOKUP(D2415,CadProd!$A:$B,2,0)),"")</f>
        <v/>
      </c>
      <c r="F2415" t="str">
        <f>IFERROR(IF(D2415="","",VLOOKUP(D2415,CadProd!$A:$C,3,0)),"")</f>
        <v/>
      </c>
      <c r="I2415" s="1" t="str">
        <f t="shared" si="37"/>
        <v/>
      </c>
    </row>
    <row r="2416" spans="5:9" x14ac:dyDescent="0.3">
      <c r="E2416" t="str">
        <f>IFERROR(IF(D2416="","",VLOOKUP(D2416,CadProd!$A:$B,2,0)),"")</f>
        <v/>
      </c>
      <c r="F2416" t="str">
        <f>IFERROR(IF(D2416="","",VLOOKUP(D2416,CadProd!$A:$C,3,0)),"")</f>
        <v/>
      </c>
      <c r="I2416" s="1" t="str">
        <f t="shared" si="37"/>
        <v/>
      </c>
    </row>
    <row r="2417" spans="5:9" x14ac:dyDescent="0.3">
      <c r="E2417" t="str">
        <f>IFERROR(IF(D2417="","",VLOOKUP(D2417,CadProd!$A:$B,2,0)),"")</f>
        <v/>
      </c>
      <c r="F2417" t="str">
        <f>IFERROR(IF(D2417="","",VLOOKUP(D2417,CadProd!$A:$C,3,0)),"")</f>
        <v/>
      </c>
      <c r="I2417" s="1" t="str">
        <f t="shared" si="37"/>
        <v/>
      </c>
    </row>
    <row r="2418" spans="5:9" x14ac:dyDescent="0.3">
      <c r="E2418" t="str">
        <f>IFERROR(IF(D2418="","",VLOOKUP(D2418,CadProd!$A:$B,2,0)),"")</f>
        <v/>
      </c>
      <c r="F2418" t="str">
        <f>IFERROR(IF(D2418="","",VLOOKUP(D2418,CadProd!$A:$C,3,0)),"")</f>
        <v/>
      </c>
      <c r="I2418" s="1" t="str">
        <f t="shared" si="37"/>
        <v/>
      </c>
    </row>
    <row r="2419" spans="5:9" x14ac:dyDescent="0.3">
      <c r="E2419" t="str">
        <f>IFERROR(IF(D2419="","",VLOOKUP(D2419,CadProd!$A:$B,2,0)),"")</f>
        <v/>
      </c>
      <c r="F2419" t="str">
        <f>IFERROR(IF(D2419="","",VLOOKUP(D2419,CadProd!$A:$C,3,0)),"")</f>
        <v/>
      </c>
      <c r="I2419" s="1" t="str">
        <f t="shared" si="37"/>
        <v/>
      </c>
    </row>
    <row r="2420" spans="5:9" x14ac:dyDescent="0.3">
      <c r="E2420" t="str">
        <f>IFERROR(IF(D2420="","",VLOOKUP(D2420,CadProd!$A:$B,2,0)),"")</f>
        <v/>
      </c>
      <c r="F2420" t="str">
        <f>IFERROR(IF(D2420="","",VLOOKUP(D2420,CadProd!$A:$C,3,0)),"")</f>
        <v/>
      </c>
      <c r="I2420" s="1" t="str">
        <f t="shared" si="37"/>
        <v/>
      </c>
    </row>
    <row r="2421" spans="5:9" x14ac:dyDescent="0.3">
      <c r="E2421" t="str">
        <f>IFERROR(IF(D2421="","",VLOOKUP(D2421,CadProd!$A:$B,2,0)),"")</f>
        <v/>
      </c>
      <c r="F2421" t="str">
        <f>IFERROR(IF(D2421="","",VLOOKUP(D2421,CadProd!$A:$C,3,0)),"")</f>
        <v/>
      </c>
      <c r="I2421" s="1" t="str">
        <f t="shared" si="37"/>
        <v/>
      </c>
    </row>
    <row r="2422" spans="5:9" x14ac:dyDescent="0.3">
      <c r="E2422" t="str">
        <f>IFERROR(IF(D2422="","",VLOOKUP(D2422,CadProd!$A:$B,2,0)),"")</f>
        <v/>
      </c>
      <c r="F2422" t="str">
        <f>IFERROR(IF(D2422="","",VLOOKUP(D2422,CadProd!$A:$C,3,0)),"")</f>
        <v/>
      </c>
      <c r="I2422" s="1" t="str">
        <f t="shared" si="37"/>
        <v/>
      </c>
    </row>
    <row r="2423" spans="5:9" x14ac:dyDescent="0.3">
      <c r="E2423" t="str">
        <f>IFERROR(IF(D2423="","",VLOOKUP(D2423,CadProd!$A:$B,2,0)),"")</f>
        <v/>
      </c>
      <c r="F2423" t="str">
        <f>IFERROR(IF(D2423="","",VLOOKUP(D2423,CadProd!$A:$C,3,0)),"")</f>
        <v/>
      </c>
      <c r="I2423" s="1" t="str">
        <f t="shared" si="37"/>
        <v/>
      </c>
    </row>
    <row r="2424" spans="5:9" x14ac:dyDescent="0.3">
      <c r="E2424" t="str">
        <f>IFERROR(IF(D2424="","",VLOOKUP(D2424,CadProd!$A:$B,2,0)),"")</f>
        <v/>
      </c>
      <c r="F2424" t="str">
        <f>IFERROR(IF(D2424="","",VLOOKUP(D2424,CadProd!$A:$C,3,0)),"")</f>
        <v/>
      </c>
      <c r="I2424" s="1" t="str">
        <f t="shared" si="37"/>
        <v/>
      </c>
    </row>
    <row r="2425" spans="5:9" x14ac:dyDescent="0.3">
      <c r="E2425" t="str">
        <f>IFERROR(IF(D2425="","",VLOOKUP(D2425,CadProd!$A:$B,2,0)),"")</f>
        <v/>
      </c>
      <c r="F2425" t="str">
        <f>IFERROR(IF(D2425="","",VLOOKUP(D2425,CadProd!$A:$C,3,0)),"")</f>
        <v/>
      </c>
      <c r="I2425" s="1" t="str">
        <f t="shared" si="37"/>
        <v/>
      </c>
    </row>
    <row r="2426" spans="5:9" x14ac:dyDescent="0.3">
      <c r="E2426" t="str">
        <f>IFERROR(IF(D2426="","",VLOOKUP(D2426,CadProd!$A:$B,2,0)),"")</f>
        <v/>
      </c>
      <c r="F2426" t="str">
        <f>IFERROR(IF(D2426="","",VLOOKUP(D2426,CadProd!$A:$C,3,0)),"")</f>
        <v/>
      </c>
      <c r="I2426" s="1" t="str">
        <f t="shared" si="37"/>
        <v/>
      </c>
    </row>
    <row r="2427" spans="5:9" x14ac:dyDescent="0.3">
      <c r="E2427" t="str">
        <f>IFERROR(IF(D2427="","",VLOOKUP(D2427,CadProd!$A:$B,2,0)),"")</f>
        <v/>
      </c>
      <c r="F2427" t="str">
        <f>IFERROR(IF(D2427="","",VLOOKUP(D2427,CadProd!$A:$C,3,0)),"")</f>
        <v/>
      </c>
      <c r="I2427" s="1" t="str">
        <f t="shared" si="37"/>
        <v/>
      </c>
    </row>
    <row r="2428" spans="5:9" x14ac:dyDescent="0.3">
      <c r="E2428" t="str">
        <f>IFERROR(IF(D2428="","",VLOOKUP(D2428,CadProd!$A:$B,2,0)),"")</f>
        <v/>
      </c>
      <c r="F2428" t="str">
        <f>IFERROR(IF(D2428="","",VLOOKUP(D2428,CadProd!$A:$C,3,0)),"")</f>
        <v/>
      </c>
      <c r="I2428" s="1" t="str">
        <f t="shared" si="37"/>
        <v/>
      </c>
    </row>
    <row r="2429" spans="5:9" x14ac:dyDescent="0.3">
      <c r="E2429" t="str">
        <f>IFERROR(IF(D2429="","",VLOOKUP(D2429,CadProd!$A:$B,2,0)),"")</f>
        <v/>
      </c>
      <c r="F2429" t="str">
        <f>IFERROR(IF(D2429="","",VLOOKUP(D2429,CadProd!$A:$C,3,0)),"")</f>
        <v/>
      </c>
      <c r="I2429" s="1" t="str">
        <f t="shared" si="37"/>
        <v/>
      </c>
    </row>
    <row r="2430" spans="5:9" x14ac:dyDescent="0.3">
      <c r="E2430" t="str">
        <f>IFERROR(IF(D2430="","",VLOOKUP(D2430,CadProd!$A:$B,2,0)),"")</f>
        <v/>
      </c>
      <c r="F2430" t="str">
        <f>IFERROR(IF(D2430="","",VLOOKUP(D2430,CadProd!$A:$C,3,0)),"")</f>
        <v/>
      </c>
      <c r="I2430" s="1" t="str">
        <f t="shared" si="37"/>
        <v/>
      </c>
    </row>
    <row r="2431" spans="5:9" x14ac:dyDescent="0.3">
      <c r="E2431" t="str">
        <f>IFERROR(IF(D2431="","",VLOOKUP(D2431,CadProd!$A:$B,2,0)),"")</f>
        <v/>
      </c>
      <c r="F2431" t="str">
        <f>IFERROR(IF(D2431="","",VLOOKUP(D2431,CadProd!$A:$C,3,0)),"")</f>
        <v/>
      </c>
      <c r="I2431" s="1" t="str">
        <f t="shared" si="37"/>
        <v/>
      </c>
    </row>
    <row r="2432" spans="5:9" x14ac:dyDescent="0.3">
      <c r="E2432" t="str">
        <f>IFERROR(IF(D2432="","",VLOOKUP(D2432,CadProd!$A:$B,2,0)),"")</f>
        <v/>
      </c>
      <c r="F2432" t="str">
        <f>IFERROR(IF(D2432="","",VLOOKUP(D2432,CadProd!$A:$C,3,0)),"")</f>
        <v/>
      </c>
      <c r="I2432" s="1" t="str">
        <f t="shared" si="37"/>
        <v/>
      </c>
    </row>
    <row r="2433" spans="5:9" x14ac:dyDescent="0.3">
      <c r="E2433" t="str">
        <f>IFERROR(IF(D2433="","",VLOOKUP(D2433,CadProd!$A:$B,2,0)),"")</f>
        <v/>
      </c>
      <c r="F2433" t="str">
        <f>IFERROR(IF(D2433="","",VLOOKUP(D2433,CadProd!$A:$C,3,0)),"")</f>
        <v/>
      </c>
      <c r="I2433" s="1" t="str">
        <f t="shared" si="37"/>
        <v/>
      </c>
    </row>
    <row r="2434" spans="5:9" x14ac:dyDescent="0.3">
      <c r="E2434" t="str">
        <f>IFERROR(IF(D2434="","",VLOOKUP(D2434,CadProd!$A:$B,2,0)),"")</f>
        <v/>
      </c>
      <c r="F2434" t="str">
        <f>IFERROR(IF(D2434="","",VLOOKUP(D2434,CadProd!$A:$C,3,0)),"")</f>
        <v/>
      </c>
      <c r="I2434" s="1" t="str">
        <f t="shared" si="37"/>
        <v/>
      </c>
    </row>
    <row r="2435" spans="5:9" x14ac:dyDescent="0.3">
      <c r="E2435" t="str">
        <f>IFERROR(IF(D2435="","",VLOOKUP(D2435,CadProd!$A:$B,2,0)),"")</f>
        <v/>
      </c>
      <c r="F2435" t="str">
        <f>IFERROR(IF(D2435="","",VLOOKUP(D2435,CadProd!$A:$C,3,0)),"")</f>
        <v/>
      </c>
      <c r="I2435" s="1" t="str">
        <f t="shared" si="37"/>
        <v/>
      </c>
    </row>
    <row r="2436" spans="5:9" x14ac:dyDescent="0.3">
      <c r="E2436" t="str">
        <f>IFERROR(IF(D2436="","",VLOOKUP(D2436,CadProd!$A:$B,2,0)),"")</f>
        <v/>
      </c>
      <c r="F2436" t="str">
        <f>IFERROR(IF(D2436="","",VLOOKUP(D2436,CadProd!$A:$C,3,0)),"")</f>
        <v/>
      </c>
      <c r="I2436" s="1" t="str">
        <f t="shared" si="37"/>
        <v/>
      </c>
    </row>
    <row r="2437" spans="5:9" x14ac:dyDescent="0.3">
      <c r="E2437" t="str">
        <f>IFERROR(IF(D2437="","",VLOOKUP(D2437,CadProd!$A:$B,2,0)),"")</f>
        <v/>
      </c>
      <c r="F2437" t="str">
        <f>IFERROR(IF(D2437="","",VLOOKUP(D2437,CadProd!$A:$C,3,0)),"")</f>
        <v/>
      </c>
      <c r="I2437" s="1" t="str">
        <f t="shared" si="37"/>
        <v/>
      </c>
    </row>
    <row r="2438" spans="5:9" x14ac:dyDescent="0.3">
      <c r="E2438" t="str">
        <f>IFERROR(IF(D2438="","",VLOOKUP(D2438,CadProd!$A:$B,2,0)),"")</f>
        <v/>
      </c>
      <c r="F2438" t="str">
        <f>IFERROR(IF(D2438="","",VLOOKUP(D2438,CadProd!$A:$C,3,0)),"")</f>
        <v/>
      </c>
      <c r="I2438" s="1" t="str">
        <f t="shared" si="37"/>
        <v/>
      </c>
    </row>
    <row r="2439" spans="5:9" x14ac:dyDescent="0.3">
      <c r="E2439" t="str">
        <f>IFERROR(IF(D2439="","",VLOOKUP(D2439,CadProd!$A:$B,2,0)),"")</f>
        <v/>
      </c>
      <c r="F2439" t="str">
        <f>IFERROR(IF(D2439="","",VLOOKUP(D2439,CadProd!$A:$C,3,0)),"")</f>
        <v/>
      </c>
      <c r="I2439" s="1" t="str">
        <f t="shared" si="37"/>
        <v/>
      </c>
    </row>
    <row r="2440" spans="5:9" x14ac:dyDescent="0.3">
      <c r="E2440" t="str">
        <f>IFERROR(IF(D2440="","",VLOOKUP(D2440,CadProd!$A:$B,2,0)),"")</f>
        <v/>
      </c>
      <c r="F2440" t="str">
        <f>IFERROR(IF(D2440="","",VLOOKUP(D2440,CadProd!$A:$C,3,0)),"")</f>
        <v/>
      </c>
      <c r="I2440" s="1" t="str">
        <f t="shared" si="37"/>
        <v/>
      </c>
    </row>
    <row r="2441" spans="5:9" x14ac:dyDescent="0.3">
      <c r="E2441" t="str">
        <f>IFERROR(IF(D2441="","",VLOOKUP(D2441,CadProd!$A:$B,2,0)),"")</f>
        <v/>
      </c>
      <c r="F2441" t="str">
        <f>IFERROR(IF(D2441="","",VLOOKUP(D2441,CadProd!$A:$C,3,0)),"")</f>
        <v/>
      </c>
      <c r="I2441" s="1" t="str">
        <f t="shared" si="37"/>
        <v/>
      </c>
    </row>
    <row r="2442" spans="5:9" x14ac:dyDescent="0.3">
      <c r="E2442" t="str">
        <f>IFERROR(IF(D2442="","",VLOOKUP(D2442,CadProd!$A:$B,2,0)),"")</f>
        <v/>
      </c>
      <c r="F2442" t="str">
        <f>IFERROR(IF(D2442="","",VLOOKUP(D2442,CadProd!$A:$C,3,0)),"")</f>
        <v/>
      </c>
      <c r="I2442" s="1" t="str">
        <f t="shared" si="37"/>
        <v/>
      </c>
    </row>
    <row r="2443" spans="5:9" x14ac:dyDescent="0.3">
      <c r="E2443" t="str">
        <f>IFERROR(IF(D2443="","",VLOOKUP(D2443,CadProd!$A:$B,2,0)),"")</f>
        <v/>
      </c>
      <c r="F2443" t="str">
        <f>IFERROR(IF(D2443="","",VLOOKUP(D2443,CadProd!$A:$C,3,0)),"")</f>
        <v/>
      </c>
      <c r="I2443" s="1" t="str">
        <f t="shared" ref="I2443:I2506" si="38">IFERROR(IF(D2443="","",H2443*G2443),"")</f>
        <v/>
      </c>
    </row>
    <row r="2444" spans="5:9" x14ac:dyDescent="0.3">
      <c r="E2444" t="str">
        <f>IFERROR(IF(D2444="","",VLOOKUP(D2444,CadProd!$A:$B,2,0)),"")</f>
        <v/>
      </c>
      <c r="F2444" t="str">
        <f>IFERROR(IF(D2444="","",VLOOKUP(D2444,CadProd!$A:$C,3,0)),"")</f>
        <v/>
      </c>
      <c r="I2444" s="1" t="str">
        <f t="shared" si="38"/>
        <v/>
      </c>
    </row>
    <row r="2445" spans="5:9" x14ac:dyDescent="0.3">
      <c r="E2445" t="str">
        <f>IFERROR(IF(D2445="","",VLOOKUP(D2445,CadProd!$A:$B,2,0)),"")</f>
        <v/>
      </c>
      <c r="F2445" t="str">
        <f>IFERROR(IF(D2445="","",VLOOKUP(D2445,CadProd!$A:$C,3,0)),"")</f>
        <v/>
      </c>
      <c r="I2445" s="1" t="str">
        <f t="shared" si="38"/>
        <v/>
      </c>
    </row>
    <row r="2446" spans="5:9" x14ac:dyDescent="0.3">
      <c r="E2446" t="str">
        <f>IFERROR(IF(D2446="","",VLOOKUP(D2446,CadProd!$A:$B,2,0)),"")</f>
        <v/>
      </c>
      <c r="F2446" t="str">
        <f>IFERROR(IF(D2446="","",VLOOKUP(D2446,CadProd!$A:$C,3,0)),"")</f>
        <v/>
      </c>
      <c r="I2446" s="1" t="str">
        <f t="shared" si="38"/>
        <v/>
      </c>
    </row>
    <row r="2447" spans="5:9" x14ac:dyDescent="0.3">
      <c r="E2447" t="str">
        <f>IFERROR(IF(D2447="","",VLOOKUP(D2447,CadProd!$A:$B,2,0)),"")</f>
        <v/>
      </c>
      <c r="F2447" t="str">
        <f>IFERROR(IF(D2447="","",VLOOKUP(D2447,CadProd!$A:$C,3,0)),"")</f>
        <v/>
      </c>
      <c r="I2447" s="1" t="str">
        <f t="shared" si="38"/>
        <v/>
      </c>
    </row>
    <row r="2448" spans="5:9" x14ac:dyDescent="0.3">
      <c r="E2448" t="str">
        <f>IFERROR(IF(D2448="","",VLOOKUP(D2448,CadProd!$A:$B,2,0)),"")</f>
        <v/>
      </c>
      <c r="F2448" t="str">
        <f>IFERROR(IF(D2448="","",VLOOKUP(D2448,CadProd!$A:$C,3,0)),"")</f>
        <v/>
      </c>
      <c r="I2448" s="1" t="str">
        <f t="shared" si="38"/>
        <v/>
      </c>
    </row>
    <row r="2449" spans="5:9" x14ac:dyDescent="0.3">
      <c r="E2449" t="str">
        <f>IFERROR(IF(D2449="","",VLOOKUP(D2449,CadProd!$A:$B,2,0)),"")</f>
        <v/>
      </c>
      <c r="F2449" t="str">
        <f>IFERROR(IF(D2449="","",VLOOKUP(D2449,CadProd!$A:$C,3,0)),"")</f>
        <v/>
      </c>
      <c r="I2449" s="1" t="str">
        <f t="shared" si="38"/>
        <v/>
      </c>
    </row>
    <row r="2450" spans="5:9" x14ac:dyDescent="0.3">
      <c r="E2450" t="str">
        <f>IFERROR(IF(D2450="","",VLOOKUP(D2450,CadProd!$A:$B,2,0)),"")</f>
        <v/>
      </c>
      <c r="F2450" t="str">
        <f>IFERROR(IF(D2450="","",VLOOKUP(D2450,CadProd!$A:$C,3,0)),"")</f>
        <v/>
      </c>
      <c r="I2450" s="1" t="str">
        <f t="shared" si="38"/>
        <v/>
      </c>
    </row>
    <row r="2451" spans="5:9" x14ac:dyDescent="0.3">
      <c r="E2451" t="str">
        <f>IFERROR(IF(D2451="","",VLOOKUP(D2451,CadProd!$A:$B,2,0)),"")</f>
        <v/>
      </c>
      <c r="F2451" t="str">
        <f>IFERROR(IF(D2451="","",VLOOKUP(D2451,CadProd!$A:$C,3,0)),"")</f>
        <v/>
      </c>
      <c r="I2451" s="1" t="str">
        <f t="shared" si="38"/>
        <v/>
      </c>
    </row>
    <row r="2452" spans="5:9" x14ac:dyDescent="0.3">
      <c r="E2452" t="str">
        <f>IFERROR(IF(D2452="","",VLOOKUP(D2452,CadProd!$A:$B,2,0)),"")</f>
        <v/>
      </c>
      <c r="F2452" t="str">
        <f>IFERROR(IF(D2452="","",VLOOKUP(D2452,CadProd!$A:$C,3,0)),"")</f>
        <v/>
      </c>
      <c r="I2452" s="1" t="str">
        <f t="shared" si="38"/>
        <v/>
      </c>
    </row>
    <row r="2453" spans="5:9" x14ac:dyDescent="0.3">
      <c r="E2453" t="str">
        <f>IFERROR(IF(D2453="","",VLOOKUP(D2453,CadProd!$A:$B,2,0)),"")</f>
        <v/>
      </c>
      <c r="F2453" t="str">
        <f>IFERROR(IF(D2453="","",VLOOKUP(D2453,CadProd!$A:$C,3,0)),"")</f>
        <v/>
      </c>
      <c r="I2453" s="1" t="str">
        <f t="shared" si="38"/>
        <v/>
      </c>
    </row>
    <row r="2454" spans="5:9" x14ac:dyDescent="0.3">
      <c r="E2454" t="str">
        <f>IFERROR(IF(D2454="","",VLOOKUP(D2454,CadProd!$A:$B,2,0)),"")</f>
        <v/>
      </c>
      <c r="F2454" t="str">
        <f>IFERROR(IF(D2454="","",VLOOKUP(D2454,CadProd!$A:$C,3,0)),"")</f>
        <v/>
      </c>
      <c r="I2454" s="1" t="str">
        <f t="shared" si="38"/>
        <v/>
      </c>
    </row>
    <row r="2455" spans="5:9" x14ac:dyDescent="0.3">
      <c r="E2455" t="str">
        <f>IFERROR(IF(D2455="","",VLOOKUP(D2455,CadProd!$A:$B,2,0)),"")</f>
        <v/>
      </c>
      <c r="F2455" t="str">
        <f>IFERROR(IF(D2455="","",VLOOKUP(D2455,CadProd!$A:$C,3,0)),"")</f>
        <v/>
      </c>
      <c r="I2455" s="1" t="str">
        <f t="shared" si="38"/>
        <v/>
      </c>
    </row>
    <row r="2456" spans="5:9" x14ac:dyDescent="0.3">
      <c r="E2456" t="str">
        <f>IFERROR(IF(D2456="","",VLOOKUP(D2456,CadProd!$A:$B,2,0)),"")</f>
        <v/>
      </c>
      <c r="F2456" t="str">
        <f>IFERROR(IF(D2456="","",VLOOKUP(D2456,CadProd!$A:$C,3,0)),"")</f>
        <v/>
      </c>
      <c r="I2456" s="1" t="str">
        <f t="shared" si="38"/>
        <v/>
      </c>
    </row>
    <row r="2457" spans="5:9" x14ac:dyDescent="0.3">
      <c r="E2457" t="str">
        <f>IFERROR(IF(D2457="","",VLOOKUP(D2457,CadProd!$A:$B,2,0)),"")</f>
        <v/>
      </c>
      <c r="F2457" t="str">
        <f>IFERROR(IF(D2457="","",VLOOKUP(D2457,CadProd!$A:$C,3,0)),"")</f>
        <v/>
      </c>
      <c r="I2457" s="1" t="str">
        <f t="shared" si="38"/>
        <v/>
      </c>
    </row>
    <row r="2458" spans="5:9" x14ac:dyDescent="0.3">
      <c r="E2458" t="str">
        <f>IFERROR(IF(D2458="","",VLOOKUP(D2458,CadProd!$A:$B,2,0)),"")</f>
        <v/>
      </c>
      <c r="F2458" t="str">
        <f>IFERROR(IF(D2458="","",VLOOKUP(D2458,CadProd!$A:$C,3,0)),"")</f>
        <v/>
      </c>
      <c r="I2458" s="1" t="str">
        <f t="shared" si="38"/>
        <v/>
      </c>
    </row>
    <row r="2459" spans="5:9" x14ac:dyDescent="0.3">
      <c r="E2459" t="str">
        <f>IFERROR(IF(D2459="","",VLOOKUP(D2459,CadProd!$A:$B,2,0)),"")</f>
        <v/>
      </c>
      <c r="F2459" t="str">
        <f>IFERROR(IF(D2459="","",VLOOKUP(D2459,CadProd!$A:$C,3,0)),"")</f>
        <v/>
      </c>
      <c r="I2459" s="1" t="str">
        <f t="shared" si="38"/>
        <v/>
      </c>
    </row>
    <row r="2460" spans="5:9" x14ac:dyDescent="0.3">
      <c r="E2460" t="str">
        <f>IFERROR(IF(D2460="","",VLOOKUP(D2460,CadProd!$A:$B,2,0)),"")</f>
        <v/>
      </c>
      <c r="F2460" t="str">
        <f>IFERROR(IF(D2460="","",VLOOKUP(D2460,CadProd!$A:$C,3,0)),"")</f>
        <v/>
      </c>
      <c r="I2460" s="1" t="str">
        <f t="shared" si="38"/>
        <v/>
      </c>
    </row>
    <row r="2461" spans="5:9" x14ac:dyDescent="0.3">
      <c r="E2461" t="str">
        <f>IFERROR(IF(D2461="","",VLOOKUP(D2461,CadProd!$A:$B,2,0)),"")</f>
        <v/>
      </c>
      <c r="F2461" t="str">
        <f>IFERROR(IF(D2461="","",VLOOKUP(D2461,CadProd!$A:$C,3,0)),"")</f>
        <v/>
      </c>
      <c r="I2461" s="1" t="str">
        <f t="shared" si="38"/>
        <v/>
      </c>
    </row>
    <row r="2462" spans="5:9" x14ac:dyDescent="0.3">
      <c r="E2462" t="str">
        <f>IFERROR(IF(D2462="","",VLOOKUP(D2462,CadProd!$A:$B,2,0)),"")</f>
        <v/>
      </c>
      <c r="F2462" t="str">
        <f>IFERROR(IF(D2462="","",VLOOKUP(D2462,CadProd!$A:$C,3,0)),"")</f>
        <v/>
      </c>
      <c r="I2462" s="1" t="str">
        <f t="shared" si="38"/>
        <v/>
      </c>
    </row>
    <row r="2463" spans="5:9" x14ac:dyDescent="0.3">
      <c r="E2463" t="str">
        <f>IFERROR(IF(D2463="","",VLOOKUP(D2463,CadProd!$A:$B,2,0)),"")</f>
        <v/>
      </c>
      <c r="F2463" t="str">
        <f>IFERROR(IF(D2463="","",VLOOKUP(D2463,CadProd!$A:$C,3,0)),"")</f>
        <v/>
      </c>
      <c r="I2463" s="1" t="str">
        <f t="shared" si="38"/>
        <v/>
      </c>
    </row>
    <row r="2464" spans="5:9" x14ac:dyDescent="0.3">
      <c r="E2464" t="str">
        <f>IFERROR(IF(D2464="","",VLOOKUP(D2464,CadProd!$A:$B,2,0)),"")</f>
        <v/>
      </c>
      <c r="F2464" t="str">
        <f>IFERROR(IF(D2464="","",VLOOKUP(D2464,CadProd!$A:$C,3,0)),"")</f>
        <v/>
      </c>
      <c r="I2464" s="1" t="str">
        <f t="shared" si="38"/>
        <v/>
      </c>
    </row>
    <row r="2465" spans="5:9" x14ac:dyDescent="0.3">
      <c r="E2465" t="str">
        <f>IFERROR(IF(D2465="","",VLOOKUP(D2465,CadProd!$A:$B,2,0)),"")</f>
        <v/>
      </c>
      <c r="F2465" t="str">
        <f>IFERROR(IF(D2465="","",VLOOKUP(D2465,CadProd!$A:$C,3,0)),"")</f>
        <v/>
      </c>
      <c r="I2465" s="1" t="str">
        <f t="shared" si="38"/>
        <v/>
      </c>
    </row>
    <row r="2466" spans="5:9" x14ac:dyDescent="0.3">
      <c r="E2466" t="str">
        <f>IFERROR(IF(D2466="","",VLOOKUP(D2466,CadProd!$A:$B,2,0)),"")</f>
        <v/>
      </c>
      <c r="F2466" t="str">
        <f>IFERROR(IF(D2466="","",VLOOKUP(D2466,CadProd!$A:$C,3,0)),"")</f>
        <v/>
      </c>
      <c r="I2466" s="1" t="str">
        <f t="shared" si="38"/>
        <v/>
      </c>
    </row>
    <row r="2467" spans="5:9" x14ac:dyDescent="0.3">
      <c r="E2467" t="str">
        <f>IFERROR(IF(D2467="","",VLOOKUP(D2467,CadProd!$A:$B,2,0)),"")</f>
        <v/>
      </c>
      <c r="F2467" t="str">
        <f>IFERROR(IF(D2467="","",VLOOKUP(D2467,CadProd!$A:$C,3,0)),"")</f>
        <v/>
      </c>
      <c r="I2467" s="1" t="str">
        <f t="shared" si="38"/>
        <v/>
      </c>
    </row>
    <row r="2468" spans="5:9" x14ac:dyDescent="0.3">
      <c r="E2468" t="str">
        <f>IFERROR(IF(D2468="","",VLOOKUP(D2468,CadProd!$A:$B,2,0)),"")</f>
        <v/>
      </c>
      <c r="F2468" t="str">
        <f>IFERROR(IF(D2468="","",VLOOKUP(D2468,CadProd!$A:$C,3,0)),"")</f>
        <v/>
      </c>
      <c r="I2468" s="1" t="str">
        <f t="shared" si="38"/>
        <v/>
      </c>
    </row>
    <row r="2469" spans="5:9" x14ac:dyDescent="0.3">
      <c r="E2469" t="str">
        <f>IFERROR(IF(D2469="","",VLOOKUP(D2469,CadProd!$A:$B,2,0)),"")</f>
        <v/>
      </c>
      <c r="F2469" t="str">
        <f>IFERROR(IF(D2469="","",VLOOKUP(D2469,CadProd!$A:$C,3,0)),"")</f>
        <v/>
      </c>
      <c r="I2469" s="1" t="str">
        <f t="shared" si="38"/>
        <v/>
      </c>
    </row>
    <row r="2470" spans="5:9" x14ac:dyDescent="0.3">
      <c r="E2470" t="str">
        <f>IFERROR(IF(D2470="","",VLOOKUP(D2470,CadProd!$A:$B,2,0)),"")</f>
        <v/>
      </c>
      <c r="F2470" t="str">
        <f>IFERROR(IF(D2470="","",VLOOKUP(D2470,CadProd!$A:$C,3,0)),"")</f>
        <v/>
      </c>
      <c r="I2470" s="1" t="str">
        <f t="shared" si="38"/>
        <v/>
      </c>
    </row>
    <row r="2471" spans="5:9" x14ac:dyDescent="0.3">
      <c r="E2471" t="str">
        <f>IFERROR(IF(D2471="","",VLOOKUP(D2471,CadProd!$A:$B,2,0)),"")</f>
        <v/>
      </c>
      <c r="F2471" t="str">
        <f>IFERROR(IF(D2471="","",VLOOKUP(D2471,CadProd!$A:$C,3,0)),"")</f>
        <v/>
      </c>
      <c r="I2471" s="1" t="str">
        <f t="shared" si="38"/>
        <v/>
      </c>
    </row>
    <row r="2472" spans="5:9" x14ac:dyDescent="0.3">
      <c r="E2472" t="str">
        <f>IFERROR(IF(D2472="","",VLOOKUP(D2472,CadProd!$A:$B,2,0)),"")</f>
        <v/>
      </c>
      <c r="F2472" t="str">
        <f>IFERROR(IF(D2472="","",VLOOKUP(D2472,CadProd!$A:$C,3,0)),"")</f>
        <v/>
      </c>
      <c r="I2472" s="1" t="str">
        <f t="shared" si="38"/>
        <v/>
      </c>
    </row>
    <row r="2473" spans="5:9" x14ac:dyDescent="0.3">
      <c r="E2473" t="str">
        <f>IFERROR(IF(D2473="","",VLOOKUP(D2473,CadProd!$A:$B,2,0)),"")</f>
        <v/>
      </c>
      <c r="F2473" t="str">
        <f>IFERROR(IF(D2473="","",VLOOKUP(D2473,CadProd!$A:$C,3,0)),"")</f>
        <v/>
      </c>
      <c r="I2473" s="1" t="str">
        <f t="shared" si="38"/>
        <v/>
      </c>
    </row>
    <row r="2474" spans="5:9" x14ac:dyDescent="0.3">
      <c r="E2474" t="str">
        <f>IFERROR(IF(D2474="","",VLOOKUP(D2474,CadProd!$A:$B,2,0)),"")</f>
        <v/>
      </c>
      <c r="F2474" t="str">
        <f>IFERROR(IF(D2474="","",VLOOKUP(D2474,CadProd!$A:$C,3,0)),"")</f>
        <v/>
      </c>
      <c r="I2474" s="1" t="str">
        <f t="shared" si="38"/>
        <v/>
      </c>
    </row>
    <row r="2475" spans="5:9" x14ac:dyDescent="0.3">
      <c r="E2475" t="str">
        <f>IFERROR(IF(D2475="","",VLOOKUP(D2475,CadProd!$A:$B,2,0)),"")</f>
        <v/>
      </c>
      <c r="F2475" t="str">
        <f>IFERROR(IF(D2475="","",VLOOKUP(D2475,CadProd!$A:$C,3,0)),"")</f>
        <v/>
      </c>
      <c r="I2475" s="1" t="str">
        <f t="shared" si="38"/>
        <v/>
      </c>
    </row>
    <row r="2476" spans="5:9" x14ac:dyDescent="0.3">
      <c r="E2476" t="str">
        <f>IFERROR(IF(D2476="","",VLOOKUP(D2476,CadProd!$A:$B,2,0)),"")</f>
        <v/>
      </c>
      <c r="F2476" t="str">
        <f>IFERROR(IF(D2476="","",VLOOKUP(D2476,CadProd!$A:$C,3,0)),"")</f>
        <v/>
      </c>
      <c r="I2476" s="1" t="str">
        <f t="shared" si="38"/>
        <v/>
      </c>
    </row>
    <row r="2477" spans="5:9" x14ac:dyDescent="0.3">
      <c r="E2477" t="str">
        <f>IFERROR(IF(D2477="","",VLOOKUP(D2477,CadProd!$A:$B,2,0)),"")</f>
        <v/>
      </c>
      <c r="F2477" t="str">
        <f>IFERROR(IF(D2477="","",VLOOKUP(D2477,CadProd!$A:$C,3,0)),"")</f>
        <v/>
      </c>
      <c r="I2477" s="1" t="str">
        <f t="shared" si="38"/>
        <v/>
      </c>
    </row>
    <row r="2478" spans="5:9" x14ac:dyDescent="0.3">
      <c r="E2478" t="str">
        <f>IFERROR(IF(D2478="","",VLOOKUP(D2478,CadProd!$A:$B,2,0)),"")</f>
        <v/>
      </c>
      <c r="F2478" t="str">
        <f>IFERROR(IF(D2478="","",VLOOKUP(D2478,CadProd!$A:$C,3,0)),"")</f>
        <v/>
      </c>
      <c r="I2478" s="1" t="str">
        <f t="shared" si="38"/>
        <v/>
      </c>
    </row>
    <row r="2479" spans="5:9" x14ac:dyDescent="0.3">
      <c r="E2479" t="str">
        <f>IFERROR(IF(D2479="","",VLOOKUP(D2479,CadProd!$A:$B,2,0)),"")</f>
        <v/>
      </c>
      <c r="F2479" t="str">
        <f>IFERROR(IF(D2479="","",VLOOKUP(D2479,CadProd!$A:$C,3,0)),"")</f>
        <v/>
      </c>
      <c r="I2479" s="1" t="str">
        <f t="shared" si="38"/>
        <v/>
      </c>
    </row>
    <row r="2480" spans="5:9" x14ac:dyDescent="0.3">
      <c r="E2480" t="str">
        <f>IFERROR(IF(D2480="","",VLOOKUP(D2480,CadProd!$A:$B,2,0)),"")</f>
        <v/>
      </c>
      <c r="F2480" t="str">
        <f>IFERROR(IF(D2480="","",VLOOKUP(D2480,CadProd!$A:$C,3,0)),"")</f>
        <v/>
      </c>
      <c r="I2480" s="1" t="str">
        <f t="shared" si="38"/>
        <v/>
      </c>
    </row>
    <row r="2481" spans="5:9" x14ac:dyDescent="0.3">
      <c r="E2481" t="str">
        <f>IFERROR(IF(D2481="","",VLOOKUP(D2481,CadProd!$A:$B,2,0)),"")</f>
        <v/>
      </c>
      <c r="F2481" t="str">
        <f>IFERROR(IF(D2481="","",VLOOKUP(D2481,CadProd!$A:$C,3,0)),"")</f>
        <v/>
      </c>
      <c r="I2481" s="1" t="str">
        <f t="shared" si="38"/>
        <v/>
      </c>
    </row>
    <row r="2482" spans="5:9" x14ac:dyDescent="0.3">
      <c r="E2482" t="str">
        <f>IFERROR(IF(D2482="","",VLOOKUP(D2482,CadProd!$A:$B,2,0)),"")</f>
        <v/>
      </c>
      <c r="F2482" t="str">
        <f>IFERROR(IF(D2482="","",VLOOKUP(D2482,CadProd!$A:$C,3,0)),"")</f>
        <v/>
      </c>
      <c r="I2482" s="1" t="str">
        <f t="shared" si="38"/>
        <v/>
      </c>
    </row>
    <row r="2483" spans="5:9" x14ac:dyDescent="0.3">
      <c r="E2483" t="str">
        <f>IFERROR(IF(D2483="","",VLOOKUP(D2483,CadProd!$A:$B,2,0)),"")</f>
        <v/>
      </c>
      <c r="F2483" t="str">
        <f>IFERROR(IF(D2483="","",VLOOKUP(D2483,CadProd!$A:$C,3,0)),"")</f>
        <v/>
      </c>
      <c r="I2483" s="1" t="str">
        <f t="shared" si="38"/>
        <v/>
      </c>
    </row>
    <row r="2484" spans="5:9" x14ac:dyDescent="0.3">
      <c r="E2484" t="str">
        <f>IFERROR(IF(D2484="","",VLOOKUP(D2484,CadProd!$A:$B,2,0)),"")</f>
        <v/>
      </c>
      <c r="F2484" t="str">
        <f>IFERROR(IF(D2484="","",VLOOKUP(D2484,CadProd!$A:$C,3,0)),"")</f>
        <v/>
      </c>
      <c r="I2484" s="1" t="str">
        <f t="shared" si="38"/>
        <v/>
      </c>
    </row>
    <row r="2485" spans="5:9" x14ac:dyDescent="0.3">
      <c r="E2485" t="str">
        <f>IFERROR(IF(D2485="","",VLOOKUP(D2485,CadProd!$A:$B,2,0)),"")</f>
        <v/>
      </c>
      <c r="F2485" t="str">
        <f>IFERROR(IF(D2485="","",VLOOKUP(D2485,CadProd!$A:$C,3,0)),"")</f>
        <v/>
      </c>
      <c r="I2485" s="1" t="str">
        <f t="shared" si="38"/>
        <v/>
      </c>
    </row>
    <row r="2486" spans="5:9" x14ac:dyDescent="0.3">
      <c r="E2486" t="str">
        <f>IFERROR(IF(D2486="","",VLOOKUP(D2486,CadProd!$A:$B,2,0)),"")</f>
        <v/>
      </c>
      <c r="F2486" t="str">
        <f>IFERROR(IF(D2486="","",VLOOKUP(D2486,CadProd!$A:$C,3,0)),"")</f>
        <v/>
      </c>
      <c r="I2486" s="1" t="str">
        <f t="shared" si="38"/>
        <v/>
      </c>
    </row>
    <row r="2487" spans="5:9" x14ac:dyDescent="0.3">
      <c r="E2487" t="str">
        <f>IFERROR(IF(D2487="","",VLOOKUP(D2487,CadProd!$A:$B,2,0)),"")</f>
        <v/>
      </c>
      <c r="F2487" t="str">
        <f>IFERROR(IF(D2487="","",VLOOKUP(D2487,CadProd!$A:$C,3,0)),"")</f>
        <v/>
      </c>
      <c r="I2487" s="1" t="str">
        <f t="shared" si="38"/>
        <v/>
      </c>
    </row>
    <row r="2488" spans="5:9" x14ac:dyDescent="0.3">
      <c r="E2488" t="str">
        <f>IFERROR(IF(D2488="","",VLOOKUP(D2488,CadProd!$A:$B,2,0)),"")</f>
        <v/>
      </c>
      <c r="F2488" t="str">
        <f>IFERROR(IF(D2488="","",VLOOKUP(D2488,CadProd!$A:$C,3,0)),"")</f>
        <v/>
      </c>
      <c r="I2488" s="1" t="str">
        <f t="shared" si="38"/>
        <v/>
      </c>
    </row>
    <row r="2489" spans="5:9" x14ac:dyDescent="0.3">
      <c r="E2489" t="str">
        <f>IFERROR(IF(D2489="","",VLOOKUP(D2489,CadProd!$A:$B,2,0)),"")</f>
        <v/>
      </c>
      <c r="F2489" t="str">
        <f>IFERROR(IF(D2489="","",VLOOKUP(D2489,CadProd!$A:$C,3,0)),"")</f>
        <v/>
      </c>
      <c r="I2489" s="1" t="str">
        <f t="shared" si="38"/>
        <v/>
      </c>
    </row>
    <row r="2490" spans="5:9" x14ac:dyDescent="0.3">
      <c r="E2490" t="str">
        <f>IFERROR(IF(D2490="","",VLOOKUP(D2490,CadProd!$A:$B,2,0)),"")</f>
        <v/>
      </c>
      <c r="F2490" t="str">
        <f>IFERROR(IF(D2490="","",VLOOKUP(D2490,CadProd!$A:$C,3,0)),"")</f>
        <v/>
      </c>
      <c r="I2490" s="1" t="str">
        <f t="shared" si="38"/>
        <v/>
      </c>
    </row>
    <row r="2491" spans="5:9" x14ac:dyDescent="0.3">
      <c r="E2491" t="str">
        <f>IFERROR(IF(D2491="","",VLOOKUP(D2491,CadProd!$A:$B,2,0)),"")</f>
        <v/>
      </c>
      <c r="F2491" t="str">
        <f>IFERROR(IF(D2491="","",VLOOKUP(D2491,CadProd!$A:$C,3,0)),"")</f>
        <v/>
      </c>
      <c r="I2491" s="1" t="str">
        <f t="shared" si="38"/>
        <v/>
      </c>
    </row>
    <row r="2492" spans="5:9" x14ac:dyDescent="0.3">
      <c r="E2492" t="str">
        <f>IFERROR(IF(D2492="","",VLOOKUP(D2492,CadProd!$A:$B,2,0)),"")</f>
        <v/>
      </c>
      <c r="F2492" t="str">
        <f>IFERROR(IF(D2492="","",VLOOKUP(D2492,CadProd!$A:$C,3,0)),"")</f>
        <v/>
      </c>
      <c r="I2492" s="1" t="str">
        <f t="shared" si="38"/>
        <v/>
      </c>
    </row>
    <row r="2493" spans="5:9" x14ac:dyDescent="0.3">
      <c r="E2493" t="str">
        <f>IFERROR(IF(D2493="","",VLOOKUP(D2493,CadProd!$A:$B,2,0)),"")</f>
        <v/>
      </c>
      <c r="F2493" t="str">
        <f>IFERROR(IF(D2493="","",VLOOKUP(D2493,CadProd!$A:$C,3,0)),"")</f>
        <v/>
      </c>
      <c r="I2493" s="1" t="str">
        <f t="shared" si="38"/>
        <v/>
      </c>
    </row>
    <row r="2494" spans="5:9" x14ac:dyDescent="0.3">
      <c r="E2494" t="str">
        <f>IFERROR(IF(D2494="","",VLOOKUP(D2494,CadProd!$A:$B,2,0)),"")</f>
        <v/>
      </c>
      <c r="F2494" t="str">
        <f>IFERROR(IF(D2494="","",VLOOKUP(D2494,CadProd!$A:$C,3,0)),"")</f>
        <v/>
      </c>
      <c r="I2494" s="1" t="str">
        <f t="shared" si="38"/>
        <v/>
      </c>
    </row>
    <row r="2495" spans="5:9" x14ac:dyDescent="0.3">
      <c r="E2495" t="str">
        <f>IFERROR(IF(D2495="","",VLOOKUP(D2495,CadProd!$A:$B,2,0)),"")</f>
        <v/>
      </c>
      <c r="F2495" t="str">
        <f>IFERROR(IF(D2495="","",VLOOKUP(D2495,CadProd!$A:$C,3,0)),"")</f>
        <v/>
      </c>
      <c r="I2495" s="1" t="str">
        <f t="shared" si="38"/>
        <v/>
      </c>
    </row>
    <row r="2496" spans="5:9" x14ac:dyDescent="0.3">
      <c r="E2496" t="str">
        <f>IFERROR(IF(D2496="","",VLOOKUP(D2496,CadProd!$A:$B,2,0)),"")</f>
        <v/>
      </c>
      <c r="F2496" t="str">
        <f>IFERROR(IF(D2496="","",VLOOKUP(D2496,CadProd!$A:$C,3,0)),"")</f>
        <v/>
      </c>
      <c r="I2496" s="1" t="str">
        <f t="shared" si="38"/>
        <v/>
      </c>
    </row>
    <row r="2497" spans="5:9" x14ac:dyDescent="0.3">
      <c r="E2497" t="str">
        <f>IFERROR(IF(D2497="","",VLOOKUP(D2497,CadProd!$A:$B,2,0)),"")</f>
        <v/>
      </c>
      <c r="F2497" t="str">
        <f>IFERROR(IF(D2497="","",VLOOKUP(D2497,CadProd!$A:$C,3,0)),"")</f>
        <v/>
      </c>
      <c r="I2497" s="1" t="str">
        <f t="shared" si="38"/>
        <v/>
      </c>
    </row>
    <row r="2498" spans="5:9" x14ac:dyDescent="0.3">
      <c r="E2498" t="str">
        <f>IFERROR(IF(D2498="","",VLOOKUP(D2498,CadProd!$A:$B,2,0)),"")</f>
        <v/>
      </c>
      <c r="F2498" t="str">
        <f>IFERROR(IF(D2498="","",VLOOKUP(D2498,CadProd!$A:$C,3,0)),"")</f>
        <v/>
      </c>
      <c r="I2498" s="1" t="str">
        <f t="shared" si="38"/>
        <v/>
      </c>
    </row>
    <row r="2499" spans="5:9" x14ac:dyDescent="0.3">
      <c r="E2499" t="str">
        <f>IFERROR(IF(D2499="","",VLOOKUP(D2499,CadProd!$A:$B,2,0)),"")</f>
        <v/>
      </c>
      <c r="F2499" t="str">
        <f>IFERROR(IF(D2499="","",VLOOKUP(D2499,CadProd!$A:$C,3,0)),"")</f>
        <v/>
      </c>
      <c r="I2499" s="1" t="str">
        <f t="shared" si="38"/>
        <v/>
      </c>
    </row>
    <row r="2500" spans="5:9" x14ac:dyDescent="0.3">
      <c r="E2500" t="str">
        <f>IFERROR(IF(D2500="","",VLOOKUP(D2500,CadProd!$A:$B,2,0)),"")</f>
        <v/>
      </c>
      <c r="F2500" t="str">
        <f>IFERROR(IF(D2500="","",VLOOKUP(D2500,CadProd!$A:$C,3,0)),"")</f>
        <v/>
      </c>
      <c r="I2500" s="1" t="str">
        <f t="shared" si="38"/>
        <v/>
      </c>
    </row>
    <row r="2501" spans="5:9" x14ac:dyDescent="0.3">
      <c r="E2501" t="str">
        <f>IFERROR(IF(D2501="","",VLOOKUP(D2501,CadProd!$A:$B,2,0)),"")</f>
        <v/>
      </c>
      <c r="F2501" t="str">
        <f>IFERROR(IF(D2501="","",VLOOKUP(D2501,CadProd!$A:$C,3,0)),"")</f>
        <v/>
      </c>
      <c r="I2501" s="1" t="str">
        <f t="shared" si="38"/>
        <v/>
      </c>
    </row>
    <row r="2502" spans="5:9" x14ac:dyDescent="0.3">
      <c r="E2502" t="str">
        <f>IFERROR(IF(D2502="","",VLOOKUP(D2502,CadProd!$A:$B,2,0)),"")</f>
        <v/>
      </c>
      <c r="F2502" t="str">
        <f>IFERROR(IF(D2502="","",VLOOKUP(D2502,CadProd!$A:$C,3,0)),"")</f>
        <v/>
      </c>
      <c r="I2502" s="1" t="str">
        <f t="shared" si="38"/>
        <v/>
      </c>
    </row>
    <row r="2503" spans="5:9" x14ac:dyDescent="0.3">
      <c r="E2503" t="str">
        <f>IFERROR(IF(D2503="","",VLOOKUP(D2503,CadProd!$A:$B,2,0)),"")</f>
        <v/>
      </c>
      <c r="F2503" t="str">
        <f>IFERROR(IF(D2503="","",VLOOKUP(D2503,CadProd!$A:$C,3,0)),"")</f>
        <v/>
      </c>
      <c r="I2503" s="1" t="str">
        <f t="shared" si="38"/>
        <v/>
      </c>
    </row>
    <row r="2504" spans="5:9" x14ac:dyDescent="0.3">
      <c r="E2504" t="str">
        <f>IFERROR(IF(D2504="","",VLOOKUP(D2504,CadProd!$A:$B,2,0)),"")</f>
        <v/>
      </c>
      <c r="F2504" t="str">
        <f>IFERROR(IF(D2504="","",VLOOKUP(D2504,CadProd!$A:$C,3,0)),"")</f>
        <v/>
      </c>
      <c r="I2504" s="1" t="str">
        <f t="shared" si="38"/>
        <v/>
      </c>
    </row>
    <row r="2505" spans="5:9" x14ac:dyDescent="0.3">
      <c r="E2505" t="str">
        <f>IFERROR(IF(D2505="","",VLOOKUP(D2505,CadProd!$A:$B,2,0)),"")</f>
        <v/>
      </c>
      <c r="F2505" t="str">
        <f>IFERROR(IF(D2505="","",VLOOKUP(D2505,CadProd!$A:$C,3,0)),"")</f>
        <v/>
      </c>
      <c r="I2505" s="1" t="str">
        <f t="shared" si="38"/>
        <v/>
      </c>
    </row>
    <row r="2506" spans="5:9" x14ac:dyDescent="0.3">
      <c r="E2506" t="str">
        <f>IFERROR(IF(D2506="","",VLOOKUP(D2506,CadProd!$A:$B,2,0)),"")</f>
        <v/>
      </c>
      <c r="F2506" t="str">
        <f>IFERROR(IF(D2506="","",VLOOKUP(D2506,CadProd!$A:$C,3,0)),"")</f>
        <v/>
      </c>
      <c r="I2506" s="1" t="str">
        <f t="shared" si="38"/>
        <v/>
      </c>
    </row>
    <row r="2507" spans="5:9" x14ac:dyDescent="0.3">
      <c r="E2507" t="str">
        <f>IFERROR(IF(D2507="","",VLOOKUP(D2507,CadProd!$A:$B,2,0)),"")</f>
        <v/>
      </c>
      <c r="F2507" t="str">
        <f>IFERROR(IF(D2507="","",VLOOKUP(D2507,CadProd!$A:$C,3,0)),"")</f>
        <v/>
      </c>
      <c r="I2507" s="1" t="str">
        <f t="shared" ref="I2507:I2570" si="39">IFERROR(IF(D2507="","",H2507*G2507),"")</f>
        <v/>
      </c>
    </row>
    <row r="2508" spans="5:9" x14ac:dyDescent="0.3">
      <c r="E2508" t="str">
        <f>IFERROR(IF(D2508="","",VLOOKUP(D2508,CadProd!$A:$B,2,0)),"")</f>
        <v/>
      </c>
      <c r="F2508" t="str">
        <f>IFERROR(IF(D2508="","",VLOOKUP(D2508,CadProd!$A:$C,3,0)),"")</f>
        <v/>
      </c>
      <c r="I2508" s="1" t="str">
        <f t="shared" si="39"/>
        <v/>
      </c>
    </row>
    <row r="2509" spans="5:9" x14ac:dyDescent="0.3">
      <c r="E2509" t="str">
        <f>IFERROR(IF(D2509="","",VLOOKUP(D2509,CadProd!$A:$B,2,0)),"")</f>
        <v/>
      </c>
      <c r="F2509" t="str">
        <f>IFERROR(IF(D2509="","",VLOOKUP(D2509,CadProd!$A:$C,3,0)),"")</f>
        <v/>
      </c>
      <c r="I2509" s="1" t="str">
        <f t="shared" si="39"/>
        <v/>
      </c>
    </row>
    <row r="2510" spans="5:9" x14ac:dyDescent="0.3">
      <c r="E2510" t="str">
        <f>IFERROR(IF(D2510="","",VLOOKUP(D2510,CadProd!$A:$B,2,0)),"")</f>
        <v/>
      </c>
      <c r="F2510" t="str">
        <f>IFERROR(IF(D2510="","",VLOOKUP(D2510,CadProd!$A:$C,3,0)),"")</f>
        <v/>
      </c>
      <c r="I2510" s="1" t="str">
        <f t="shared" si="39"/>
        <v/>
      </c>
    </row>
    <row r="2511" spans="5:9" x14ac:dyDescent="0.3">
      <c r="E2511" t="str">
        <f>IFERROR(IF(D2511="","",VLOOKUP(D2511,CadProd!$A:$B,2,0)),"")</f>
        <v/>
      </c>
      <c r="F2511" t="str">
        <f>IFERROR(IF(D2511="","",VLOOKUP(D2511,CadProd!$A:$C,3,0)),"")</f>
        <v/>
      </c>
      <c r="I2511" s="1" t="str">
        <f t="shared" si="39"/>
        <v/>
      </c>
    </row>
    <row r="2512" spans="5:9" x14ac:dyDescent="0.3">
      <c r="E2512" t="str">
        <f>IFERROR(IF(D2512="","",VLOOKUP(D2512,CadProd!$A:$B,2,0)),"")</f>
        <v/>
      </c>
      <c r="F2512" t="str">
        <f>IFERROR(IF(D2512="","",VLOOKUP(D2512,CadProd!$A:$C,3,0)),"")</f>
        <v/>
      </c>
      <c r="I2512" s="1" t="str">
        <f t="shared" si="39"/>
        <v/>
      </c>
    </row>
    <row r="2513" spans="5:9" x14ac:dyDescent="0.3">
      <c r="E2513" t="str">
        <f>IFERROR(IF(D2513="","",VLOOKUP(D2513,CadProd!$A:$B,2,0)),"")</f>
        <v/>
      </c>
      <c r="F2513" t="str">
        <f>IFERROR(IF(D2513="","",VLOOKUP(D2513,CadProd!$A:$C,3,0)),"")</f>
        <v/>
      </c>
      <c r="I2513" s="1" t="str">
        <f t="shared" si="39"/>
        <v/>
      </c>
    </row>
    <row r="2514" spans="5:9" x14ac:dyDescent="0.3">
      <c r="E2514" t="str">
        <f>IFERROR(IF(D2514="","",VLOOKUP(D2514,CadProd!$A:$B,2,0)),"")</f>
        <v/>
      </c>
      <c r="F2514" t="str">
        <f>IFERROR(IF(D2514="","",VLOOKUP(D2514,CadProd!$A:$C,3,0)),"")</f>
        <v/>
      </c>
      <c r="I2514" s="1" t="str">
        <f t="shared" si="39"/>
        <v/>
      </c>
    </row>
    <row r="2515" spans="5:9" x14ac:dyDescent="0.3">
      <c r="E2515" t="str">
        <f>IFERROR(IF(D2515="","",VLOOKUP(D2515,CadProd!$A:$B,2,0)),"")</f>
        <v/>
      </c>
      <c r="F2515" t="str">
        <f>IFERROR(IF(D2515="","",VLOOKUP(D2515,CadProd!$A:$C,3,0)),"")</f>
        <v/>
      </c>
      <c r="I2515" s="1" t="str">
        <f t="shared" si="39"/>
        <v/>
      </c>
    </row>
    <row r="2516" spans="5:9" x14ac:dyDescent="0.3">
      <c r="E2516" t="str">
        <f>IFERROR(IF(D2516="","",VLOOKUP(D2516,CadProd!$A:$B,2,0)),"")</f>
        <v/>
      </c>
      <c r="F2516" t="str">
        <f>IFERROR(IF(D2516="","",VLOOKUP(D2516,CadProd!$A:$C,3,0)),"")</f>
        <v/>
      </c>
      <c r="I2516" s="1" t="str">
        <f t="shared" si="39"/>
        <v/>
      </c>
    </row>
    <row r="2517" spans="5:9" x14ac:dyDescent="0.3">
      <c r="E2517" t="str">
        <f>IFERROR(IF(D2517="","",VLOOKUP(D2517,CadProd!$A:$B,2,0)),"")</f>
        <v/>
      </c>
      <c r="F2517" t="str">
        <f>IFERROR(IF(D2517="","",VLOOKUP(D2517,CadProd!$A:$C,3,0)),"")</f>
        <v/>
      </c>
      <c r="I2517" s="1" t="str">
        <f t="shared" si="39"/>
        <v/>
      </c>
    </row>
    <row r="2518" spans="5:9" x14ac:dyDescent="0.3">
      <c r="E2518" t="str">
        <f>IFERROR(IF(D2518="","",VLOOKUP(D2518,CadProd!$A:$B,2,0)),"")</f>
        <v/>
      </c>
      <c r="F2518" t="str">
        <f>IFERROR(IF(D2518="","",VLOOKUP(D2518,CadProd!$A:$C,3,0)),"")</f>
        <v/>
      </c>
      <c r="I2518" s="1" t="str">
        <f t="shared" si="39"/>
        <v/>
      </c>
    </row>
    <row r="2519" spans="5:9" x14ac:dyDescent="0.3">
      <c r="E2519" t="str">
        <f>IFERROR(IF(D2519="","",VLOOKUP(D2519,CadProd!$A:$B,2,0)),"")</f>
        <v/>
      </c>
      <c r="F2519" t="str">
        <f>IFERROR(IF(D2519="","",VLOOKUP(D2519,CadProd!$A:$C,3,0)),"")</f>
        <v/>
      </c>
      <c r="I2519" s="1" t="str">
        <f t="shared" si="39"/>
        <v/>
      </c>
    </row>
    <row r="2520" spans="5:9" x14ac:dyDescent="0.3">
      <c r="E2520" t="str">
        <f>IFERROR(IF(D2520="","",VLOOKUP(D2520,CadProd!$A:$B,2,0)),"")</f>
        <v/>
      </c>
      <c r="F2520" t="str">
        <f>IFERROR(IF(D2520="","",VLOOKUP(D2520,CadProd!$A:$C,3,0)),"")</f>
        <v/>
      </c>
      <c r="I2520" s="1" t="str">
        <f t="shared" si="39"/>
        <v/>
      </c>
    </row>
    <row r="2521" spans="5:9" x14ac:dyDescent="0.3">
      <c r="E2521" t="str">
        <f>IFERROR(IF(D2521="","",VLOOKUP(D2521,CadProd!$A:$B,2,0)),"")</f>
        <v/>
      </c>
      <c r="F2521" t="str">
        <f>IFERROR(IF(D2521="","",VLOOKUP(D2521,CadProd!$A:$C,3,0)),"")</f>
        <v/>
      </c>
      <c r="I2521" s="1" t="str">
        <f t="shared" si="39"/>
        <v/>
      </c>
    </row>
    <row r="2522" spans="5:9" x14ac:dyDescent="0.3">
      <c r="E2522" t="str">
        <f>IFERROR(IF(D2522="","",VLOOKUP(D2522,CadProd!$A:$B,2,0)),"")</f>
        <v/>
      </c>
      <c r="F2522" t="str">
        <f>IFERROR(IF(D2522="","",VLOOKUP(D2522,CadProd!$A:$C,3,0)),"")</f>
        <v/>
      </c>
      <c r="I2522" s="1" t="str">
        <f t="shared" si="39"/>
        <v/>
      </c>
    </row>
    <row r="2523" spans="5:9" x14ac:dyDescent="0.3">
      <c r="E2523" t="str">
        <f>IFERROR(IF(D2523="","",VLOOKUP(D2523,CadProd!$A:$B,2,0)),"")</f>
        <v/>
      </c>
      <c r="F2523" t="str">
        <f>IFERROR(IF(D2523="","",VLOOKUP(D2523,CadProd!$A:$C,3,0)),"")</f>
        <v/>
      </c>
      <c r="I2523" s="1" t="str">
        <f t="shared" si="39"/>
        <v/>
      </c>
    </row>
    <row r="2524" spans="5:9" x14ac:dyDescent="0.3">
      <c r="E2524" t="str">
        <f>IFERROR(IF(D2524="","",VLOOKUP(D2524,CadProd!$A:$B,2,0)),"")</f>
        <v/>
      </c>
      <c r="F2524" t="str">
        <f>IFERROR(IF(D2524="","",VLOOKUP(D2524,CadProd!$A:$C,3,0)),"")</f>
        <v/>
      </c>
      <c r="I2524" s="1" t="str">
        <f t="shared" si="39"/>
        <v/>
      </c>
    </row>
    <row r="2525" spans="5:9" x14ac:dyDescent="0.3">
      <c r="E2525" t="str">
        <f>IFERROR(IF(D2525="","",VLOOKUP(D2525,CadProd!$A:$B,2,0)),"")</f>
        <v/>
      </c>
      <c r="F2525" t="str">
        <f>IFERROR(IF(D2525="","",VLOOKUP(D2525,CadProd!$A:$C,3,0)),"")</f>
        <v/>
      </c>
      <c r="I2525" s="1" t="str">
        <f t="shared" si="39"/>
        <v/>
      </c>
    </row>
    <row r="2526" spans="5:9" x14ac:dyDescent="0.3">
      <c r="E2526" t="str">
        <f>IFERROR(IF(D2526="","",VLOOKUP(D2526,CadProd!$A:$B,2,0)),"")</f>
        <v/>
      </c>
      <c r="F2526" t="str">
        <f>IFERROR(IF(D2526="","",VLOOKUP(D2526,CadProd!$A:$C,3,0)),"")</f>
        <v/>
      </c>
      <c r="I2526" s="1" t="str">
        <f t="shared" si="39"/>
        <v/>
      </c>
    </row>
    <row r="2527" spans="5:9" x14ac:dyDescent="0.3">
      <c r="E2527" t="str">
        <f>IFERROR(IF(D2527="","",VLOOKUP(D2527,CadProd!$A:$B,2,0)),"")</f>
        <v/>
      </c>
      <c r="F2527" t="str">
        <f>IFERROR(IF(D2527="","",VLOOKUP(D2527,CadProd!$A:$C,3,0)),"")</f>
        <v/>
      </c>
      <c r="I2527" s="1" t="str">
        <f t="shared" si="39"/>
        <v/>
      </c>
    </row>
    <row r="2528" spans="5:9" x14ac:dyDescent="0.3">
      <c r="E2528" t="str">
        <f>IFERROR(IF(D2528="","",VLOOKUP(D2528,CadProd!$A:$B,2,0)),"")</f>
        <v/>
      </c>
      <c r="F2528" t="str">
        <f>IFERROR(IF(D2528="","",VLOOKUP(D2528,CadProd!$A:$C,3,0)),"")</f>
        <v/>
      </c>
      <c r="I2528" s="1" t="str">
        <f t="shared" si="39"/>
        <v/>
      </c>
    </row>
    <row r="2529" spans="5:9" x14ac:dyDescent="0.3">
      <c r="E2529" t="str">
        <f>IFERROR(IF(D2529="","",VLOOKUP(D2529,CadProd!$A:$B,2,0)),"")</f>
        <v/>
      </c>
      <c r="F2529" t="str">
        <f>IFERROR(IF(D2529="","",VLOOKUP(D2529,CadProd!$A:$C,3,0)),"")</f>
        <v/>
      </c>
      <c r="I2529" s="1" t="str">
        <f t="shared" si="39"/>
        <v/>
      </c>
    </row>
    <row r="2530" spans="5:9" x14ac:dyDescent="0.3">
      <c r="E2530" t="str">
        <f>IFERROR(IF(D2530="","",VLOOKUP(D2530,CadProd!$A:$B,2,0)),"")</f>
        <v/>
      </c>
      <c r="F2530" t="str">
        <f>IFERROR(IF(D2530="","",VLOOKUP(D2530,CadProd!$A:$C,3,0)),"")</f>
        <v/>
      </c>
      <c r="I2530" s="1" t="str">
        <f t="shared" si="39"/>
        <v/>
      </c>
    </row>
    <row r="2531" spans="5:9" x14ac:dyDescent="0.3">
      <c r="E2531" t="str">
        <f>IFERROR(IF(D2531="","",VLOOKUP(D2531,CadProd!$A:$B,2,0)),"")</f>
        <v/>
      </c>
      <c r="F2531" t="str">
        <f>IFERROR(IF(D2531="","",VLOOKUP(D2531,CadProd!$A:$C,3,0)),"")</f>
        <v/>
      </c>
      <c r="I2531" s="1" t="str">
        <f t="shared" si="39"/>
        <v/>
      </c>
    </row>
    <row r="2532" spans="5:9" x14ac:dyDescent="0.3">
      <c r="E2532" t="str">
        <f>IFERROR(IF(D2532="","",VLOOKUP(D2532,CadProd!$A:$B,2,0)),"")</f>
        <v/>
      </c>
      <c r="F2532" t="str">
        <f>IFERROR(IF(D2532="","",VLOOKUP(D2532,CadProd!$A:$C,3,0)),"")</f>
        <v/>
      </c>
      <c r="I2532" s="1" t="str">
        <f t="shared" si="39"/>
        <v/>
      </c>
    </row>
    <row r="2533" spans="5:9" x14ac:dyDescent="0.3">
      <c r="E2533" t="str">
        <f>IFERROR(IF(D2533="","",VLOOKUP(D2533,CadProd!$A:$B,2,0)),"")</f>
        <v/>
      </c>
      <c r="F2533" t="str">
        <f>IFERROR(IF(D2533="","",VLOOKUP(D2533,CadProd!$A:$C,3,0)),"")</f>
        <v/>
      </c>
      <c r="I2533" s="1" t="str">
        <f t="shared" si="39"/>
        <v/>
      </c>
    </row>
    <row r="2534" spans="5:9" x14ac:dyDescent="0.3">
      <c r="E2534" t="str">
        <f>IFERROR(IF(D2534="","",VLOOKUP(D2534,CadProd!$A:$B,2,0)),"")</f>
        <v/>
      </c>
      <c r="F2534" t="str">
        <f>IFERROR(IF(D2534="","",VLOOKUP(D2534,CadProd!$A:$C,3,0)),"")</f>
        <v/>
      </c>
      <c r="I2534" s="1" t="str">
        <f t="shared" si="39"/>
        <v/>
      </c>
    </row>
    <row r="2535" spans="5:9" x14ac:dyDescent="0.3">
      <c r="E2535" t="str">
        <f>IFERROR(IF(D2535="","",VLOOKUP(D2535,CadProd!$A:$B,2,0)),"")</f>
        <v/>
      </c>
      <c r="F2535" t="str">
        <f>IFERROR(IF(D2535="","",VLOOKUP(D2535,CadProd!$A:$C,3,0)),"")</f>
        <v/>
      </c>
      <c r="I2535" s="1" t="str">
        <f t="shared" si="39"/>
        <v/>
      </c>
    </row>
    <row r="2536" spans="5:9" x14ac:dyDescent="0.3">
      <c r="E2536" t="str">
        <f>IFERROR(IF(D2536="","",VLOOKUP(D2536,CadProd!$A:$B,2,0)),"")</f>
        <v/>
      </c>
      <c r="F2536" t="str">
        <f>IFERROR(IF(D2536="","",VLOOKUP(D2536,CadProd!$A:$C,3,0)),"")</f>
        <v/>
      </c>
      <c r="I2536" s="1" t="str">
        <f t="shared" si="39"/>
        <v/>
      </c>
    </row>
    <row r="2537" spans="5:9" x14ac:dyDescent="0.3">
      <c r="E2537" t="str">
        <f>IFERROR(IF(D2537="","",VLOOKUP(D2537,CadProd!$A:$B,2,0)),"")</f>
        <v/>
      </c>
      <c r="F2537" t="str">
        <f>IFERROR(IF(D2537="","",VLOOKUP(D2537,CadProd!$A:$C,3,0)),"")</f>
        <v/>
      </c>
      <c r="I2537" s="1" t="str">
        <f t="shared" si="39"/>
        <v/>
      </c>
    </row>
    <row r="2538" spans="5:9" x14ac:dyDescent="0.3">
      <c r="E2538" t="str">
        <f>IFERROR(IF(D2538="","",VLOOKUP(D2538,CadProd!$A:$B,2,0)),"")</f>
        <v/>
      </c>
      <c r="F2538" t="str">
        <f>IFERROR(IF(D2538="","",VLOOKUP(D2538,CadProd!$A:$C,3,0)),"")</f>
        <v/>
      </c>
      <c r="I2538" s="1" t="str">
        <f t="shared" si="39"/>
        <v/>
      </c>
    </row>
    <row r="2539" spans="5:9" x14ac:dyDescent="0.3">
      <c r="E2539" t="str">
        <f>IFERROR(IF(D2539="","",VLOOKUP(D2539,CadProd!$A:$B,2,0)),"")</f>
        <v/>
      </c>
      <c r="F2539" t="str">
        <f>IFERROR(IF(D2539="","",VLOOKUP(D2539,CadProd!$A:$C,3,0)),"")</f>
        <v/>
      </c>
      <c r="I2539" s="1" t="str">
        <f t="shared" si="39"/>
        <v/>
      </c>
    </row>
    <row r="2540" spans="5:9" x14ac:dyDescent="0.3">
      <c r="E2540" t="str">
        <f>IFERROR(IF(D2540="","",VLOOKUP(D2540,CadProd!$A:$B,2,0)),"")</f>
        <v/>
      </c>
      <c r="F2540" t="str">
        <f>IFERROR(IF(D2540="","",VLOOKUP(D2540,CadProd!$A:$C,3,0)),"")</f>
        <v/>
      </c>
      <c r="I2540" s="1" t="str">
        <f t="shared" si="39"/>
        <v/>
      </c>
    </row>
    <row r="2541" spans="5:9" x14ac:dyDescent="0.3">
      <c r="E2541" t="str">
        <f>IFERROR(IF(D2541="","",VLOOKUP(D2541,CadProd!$A:$B,2,0)),"")</f>
        <v/>
      </c>
      <c r="F2541" t="str">
        <f>IFERROR(IF(D2541="","",VLOOKUP(D2541,CadProd!$A:$C,3,0)),"")</f>
        <v/>
      </c>
      <c r="I2541" s="1" t="str">
        <f t="shared" si="39"/>
        <v/>
      </c>
    </row>
    <row r="2542" spans="5:9" x14ac:dyDescent="0.3">
      <c r="E2542" t="str">
        <f>IFERROR(IF(D2542="","",VLOOKUP(D2542,CadProd!$A:$B,2,0)),"")</f>
        <v/>
      </c>
      <c r="F2542" t="str">
        <f>IFERROR(IF(D2542="","",VLOOKUP(D2542,CadProd!$A:$C,3,0)),"")</f>
        <v/>
      </c>
      <c r="I2542" s="1" t="str">
        <f t="shared" si="39"/>
        <v/>
      </c>
    </row>
    <row r="2543" spans="5:9" x14ac:dyDescent="0.3">
      <c r="E2543" t="str">
        <f>IFERROR(IF(D2543="","",VLOOKUP(D2543,CadProd!$A:$B,2,0)),"")</f>
        <v/>
      </c>
      <c r="F2543" t="str">
        <f>IFERROR(IF(D2543="","",VLOOKUP(D2543,CadProd!$A:$C,3,0)),"")</f>
        <v/>
      </c>
      <c r="I2543" s="1" t="str">
        <f t="shared" si="39"/>
        <v/>
      </c>
    </row>
    <row r="2544" spans="5:9" x14ac:dyDescent="0.3">
      <c r="E2544" t="str">
        <f>IFERROR(IF(D2544="","",VLOOKUP(D2544,CadProd!$A:$B,2,0)),"")</f>
        <v/>
      </c>
      <c r="F2544" t="str">
        <f>IFERROR(IF(D2544="","",VLOOKUP(D2544,CadProd!$A:$C,3,0)),"")</f>
        <v/>
      </c>
      <c r="I2544" s="1" t="str">
        <f t="shared" si="39"/>
        <v/>
      </c>
    </row>
    <row r="2545" spans="5:9" x14ac:dyDescent="0.3">
      <c r="E2545" t="str">
        <f>IFERROR(IF(D2545="","",VLOOKUP(D2545,CadProd!$A:$B,2,0)),"")</f>
        <v/>
      </c>
      <c r="F2545" t="str">
        <f>IFERROR(IF(D2545="","",VLOOKUP(D2545,CadProd!$A:$C,3,0)),"")</f>
        <v/>
      </c>
      <c r="I2545" s="1" t="str">
        <f t="shared" si="39"/>
        <v/>
      </c>
    </row>
    <row r="2546" spans="5:9" x14ac:dyDescent="0.3">
      <c r="E2546" t="str">
        <f>IFERROR(IF(D2546="","",VLOOKUP(D2546,CadProd!$A:$B,2,0)),"")</f>
        <v/>
      </c>
      <c r="F2546" t="str">
        <f>IFERROR(IF(D2546="","",VLOOKUP(D2546,CadProd!$A:$C,3,0)),"")</f>
        <v/>
      </c>
      <c r="I2546" s="1" t="str">
        <f t="shared" si="39"/>
        <v/>
      </c>
    </row>
    <row r="2547" spans="5:9" x14ac:dyDescent="0.3">
      <c r="E2547" t="str">
        <f>IFERROR(IF(D2547="","",VLOOKUP(D2547,CadProd!$A:$B,2,0)),"")</f>
        <v/>
      </c>
      <c r="F2547" t="str">
        <f>IFERROR(IF(D2547="","",VLOOKUP(D2547,CadProd!$A:$C,3,0)),"")</f>
        <v/>
      </c>
      <c r="I2547" s="1" t="str">
        <f t="shared" si="39"/>
        <v/>
      </c>
    </row>
    <row r="2548" spans="5:9" x14ac:dyDescent="0.3">
      <c r="E2548" t="str">
        <f>IFERROR(IF(D2548="","",VLOOKUP(D2548,CadProd!$A:$B,2,0)),"")</f>
        <v/>
      </c>
      <c r="F2548" t="str">
        <f>IFERROR(IF(D2548="","",VLOOKUP(D2548,CadProd!$A:$C,3,0)),"")</f>
        <v/>
      </c>
      <c r="I2548" s="1" t="str">
        <f t="shared" si="39"/>
        <v/>
      </c>
    </row>
    <row r="2549" spans="5:9" x14ac:dyDescent="0.3">
      <c r="E2549" t="str">
        <f>IFERROR(IF(D2549="","",VLOOKUP(D2549,CadProd!$A:$B,2,0)),"")</f>
        <v/>
      </c>
      <c r="F2549" t="str">
        <f>IFERROR(IF(D2549="","",VLOOKUP(D2549,CadProd!$A:$C,3,0)),"")</f>
        <v/>
      </c>
      <c r="I2549" s="1" t="str">
        <f t="shared" si="39"/>
        <v/>
      </c>
    </row>
    <row r="2550" spans="5:9" x14ac:dyDescent="0.3">
      <c r="E2550" t="str">
        <f>IFERROR(IF(D2550="","",VLOOKUP(D2550,CadProd!$A:$B,2,0)),"")</f>
        <v/>
      </c>
      <c r="F2550" t="str">
        <f>IFERROR(IF(D2550="","",VLOOKUP(D2550,CadProd!$A:$C,3,0)),"")</f>
        <v/>
      </c>
      <c r="I2550" s="1" t="str">
        <f t="shared" si="39"/>
        <v/>
      </c>
    </row>
    <row r="2551" spans="5:9" x14ac:dyDescent="0.3">
      <c r="E2551" t="str">
        <f>IFERROR(IF(D2551="","",VLOOKUP(D2551,CadProd!$A:$B,2,0)),"")</f>
        <v/>
      </c>
      <c r="F2551" t="str">
        <f>IFERROR(IF(D2551="","",VLOOKUP(D2551,CadProd!$A:$C,3,0)),"")</f>
        <v/>
      </c>
      <c r="I2551" s="1" t="str">
        <f t="shared" si="39"/>
        <v/>
      </c>
    </row>
    <row r="2552" spans="5:9" x14ac:dyDescent="0.3">
      <c r="E2552" t="str">
        <f>IFERROR(IF(D2552="","",VLOOKUP(D2552,CadProd!$A:$B,2,0)),"")</f>
        <v/>
      </c>
      <c r="F2552" t="str">
        <f>IFERROR(IF(D2552="","",VLOOKUP(D2552,CadProd!$A:$C,3,0)),"")</f>
        <v/>
      </c>
      <c r="I2552" s="1" t="str">
        <f t="shared" si="39"/>
        <v/>
      </c>
    </row>
    <row r="2553" spans="5:9" x14ac:dyDescent="0.3">
      <c r="E2553" t="str">
        <f>IFERROR(IF(D2553="","",VLOOKUP(D2553,CadProd!$A:$B,2,0)),"")</f>
        <v/>
      </c>
      <c r="F2553" t="str">
        <f>IFERROR(IF(D2553="","",VLOOKUP(D2553,CadProd!$A:$C,3,0)),"")</f>
        <v/>
      </c>
      <c r="I2553" s="1" t="str">
        <f t="shared" si="39"/>
        <v/>
      </c>
    </row>
    <row r="2554" spans="5:9" x14ac:dyDescent="0.3">
      <c r="E2554" t="str">
        <f>IFERROR(IF(D2554="","",VLOOKUP(D2554,CadProd!$A:$B,2,0)),"")</f>
        <v/>
      </c>
      <c r="F2554" t="str">
        <f>IFERROR(IF(D2554="","",VLOOKUP(D2554,CadProd!$A:$C,3,0)),"")</f>
        <v/>
      </c>
      <c r="I2554" s="1" t="str">
        <f t="shared" si="39"/>
        <v/>
      </c>
    </row>
    <row r="2555" spans="5:9" x14ac:dyDescent="0.3">
      <c r="E2555" t="str">
        <f>IFERROR(IF(D2555="","",VLOOKUP(D2555,CadProd!$A:$B,2,0)),"")</f>
        <v/>
      </c>
      <c r="F2555" t="str">
        <f>IFERROR(IF(D2555="","",VLOOKUP(D2555,CadProd!$A:$C,3,0)),"")</f>
        <v/>
      </c>
      <c r="I2555" s="1" t="str">
        <f t="shared" si="39"/>
        <v/>
      </c>
    </row>
    <row r="2556" spans="5:9" x14ac:dyDescent="0.3">
      <c r="E2556" t="str">
        <f>IFERROR(IF(D2556="","",VLOOKUP(D2556,CadProd!$A:$B,2,0)),"")</f>
        <v/>
      </c>
      <c r="F2556" t="str">
        <f>IFERROR(IF(D2556="","",VLOOKUP(D2556,CadProd!$A:$C,3,0)),"")</f>
        <v/>
      </c>
      <c r="I2556" s="1" t="str">
        <f t="shared" si="39"/>
        <v/>
      </c>
    </row>
    <row r="2557" spans="5:9" x14ac:dyDescent="0.3">
      <c r="E2557" t="str">
        <f>IFERROR(IF(D2557="","",VLOOKUP(D2557,CadProd!$A:$B,2,0)),"")</f>
        <v/>
      </c>
      <c r="F2557" t="str">
        <f>IFERROR(IF(D2557="","",VLOOKUP(D2557,CadProd!$A:$C,3,0)),"")</f>
        <v/>
      </c>
      <c r="I2557" s="1" t="str">
        <f t="shared" si="39"/>
        <v/>
      </c>
    </row>
    <row r="2558" spans="5:9" x14ac:dyDescent="0.3">
      <c r="E2558" t="str">
        <f>IFERROR(IF(D2558="","",VLOOKUP(D2558,CadProd!$A:$B,2,0)),"")</f>
        <v/>
      </c>
      <c r="F2558" t="str">
        <f>IFERROR(IF(D2558="","",VLOOKUP(D2558,CadProd!$A:$C,3,0)),"")</f>
        <v/>
      </c>
      <c r="I2558" s="1" t="str">
        <f t="shared" si="39"/>
        <v/>
      </c>
    </row>
    <row r="2559" spans="5:9" x14ac:dyDescent="0.3">
      <c r="E2559" t="str">
        <f>IFERROR(IF(D2559="","",VLOOKUP(D2559,CadProd!$A:$B,2,0)),"")</f>
        <v/>
      </c>
      <c r="F2559" t="str">
        <f>IFERROR(IF(D2559="","",VLOOKUP(D2559,CadProd!$A:$C,3,0)),"")</f>
        <v/>
      </c>
      <c r="I2559" s="1" t="str">
        <f t="shared" si="39"/>
        <v/>
      </c>
    </row>
    <row r="2560" spans="5:9" x14ac:dyDescent="0.3">
      <c r="E2560" t="str">
        <f>IFERROR(IF(D2560="","",VLOOKUP(D2560,CadProd!$A:$B,2,0)),"")</f>
        <v/>
      </c>
      <c r="F2560" t="str">
        <f>IFERROR(IF(D2560="","",VLOOKUP(D2560,CadProd!$A:$C,3,0)),"")</f>
        <v/>
      </c>
      <c r="I2560" s="1" t="str">
        <f t="shared" si="39"/>
        <v/>
      </c>
    </row>
    <row r="2561" spans="5:9" x14ac:dyDescent="0.3">
      <c r="E2561" t="str">
        <f>IFERROR(IF(D2561="","",VLOOKUP(D2561,CadProd!$A:$B,2,0)),"")</f>
        <v/>
      </c>
      <c r="F2561" t="str">
        <f>IFERROR(IF(D2561="","",VLOOKUP(D2561,CadProd!$A:$C,3,0)),"")</f>
        <v/>
      </c>
      <c r="I2561" s="1" t="str">
        <f t="shared" si="39"/>
        <v/>
      </c>
    </row>
    <row r="2562" spans="5:9" x14ac:dyDescent="0.3">
      <c r="E2562" t="str">
        <f>IFERROR(IF(D2562="","",VLOOKUP(D2562,CadProd!$A:$B,2,0)),"")</f>
        <v/>
      </c>
      <c r="F2562" t="str">
        <f>IFERROR(IF(D2562="","",VLOOKUP(D2562,CadProd!$A:$C,3,0)),"")</f>
        <v/>
      </c>
      <c r="I2562" s="1" t="str">
        <f t="shared" si="39"/>
        <v/>
      </c>
    </row>
    <row r="2563" spans="5:9" x14ac:dyDescent="0.3">
      <c r="E2563" t="str">
        <f>IFERROR(IF(D2563="","",VLOOKUP(D2563,CadProd!$A:$B,2,0)),"")</f>
        <v/>
      </c>
      <c r="F2563" t="str">
        <f>IFERROR(IF(D2563="","",VLOOKUP(D2563,CadProd!$A:$C,3,0)),"")</f>
        <v/>
      </c>
      <c r="I2563" s="1" t="str">
        <f t="shared" si="39"/>
        <v/>
      </c>
    </row>
    <row r="2564" spans="5:9" x14ac:dyDescent="0.3">
      <c r="E2564" t="str">
        <f>IFERROR(IF(D2564="","",VLOOKUP(D2564,CadProd!$A:$B,2,0)),"")</f>
        <v/>
      </c>
      <c r="F2564" t="str">
        <f>IFERROR(IF(D2564="","",VLOOKUP(D2564,CadProd!$A:$C,3,0)),"")</f>
        <v/>
      </c>
      <c r="I2564" s="1" t="str">
        <f t="shared" si="39"/>
        <v/>
      </c>
    </row>
    <row r="2565" spans="5:9" x14ac:dyDescent="0.3">
      <c r="E2565" t="str">
        <f>IFERROR(IF(D2565="","",VLOOKUP(D2565,CadProd!$A:$B,2,0)),"")</f>
        <v/>
      </c>
      <c r="F2565" t="str">
        <f>IFERROR(IF(D2565="","",VLOOKUP(D2565,CadProd!$A:$C,3,0)),"")</f>
        <v/>
      </c>
      <c r="I2565" s="1" t="str">
        <f t="shared" si="39"/>
        <v/>
      </c>
    </row>
    <row r="2566" spans="5:9" x14ac:dyDescent="0.3">
      <c r="E2566" t="str">
        <f>IFERROR(IF(D2566="","",VLOOKUP(D2566,CadProd!$A:$B,2,0)),"")</f>
        <v/>
      </c>
      <c r="F2566" t="str">
        <f>IFERROR(IF(D2566="","",VLOOKUP(D2566,CadProd!$A:$C,3,0)),"")</f>
        <v/>
      </c>
      <c r="I2566" s="1" t="str">
        <f t="shared" si="39"/>
        <v/>
      </c>
    </row>
    <row r="2567" spans="5:9" x14ac:dyDescent="0.3">
      <c r="E2567" t="str">
        <f>IFERROR(IF(D2567="","",VLOOKUP(D2567,CadProd!$A:$B,2,0)),"")</f>
        <v/>
      </c>
      <c r="F2567" t="str">
        <f>IFERROR(IF(D2567="","",VLOOKUP(D2567,CadProd!$A:$C,3,0)),"")</f>
        <v/>
      </c>
      <c r="I2567" s="1" t="str">
        <f t="shared" si="39"/>
        <v/>
      </c>
    </row>
    <row r="2568" spans="5:9" x14ac:dyDescent="0.3">
      <c r="E2568" t="str">
        <f>IFERROR(IF(D2568="","",VLOOKUP(D2568,CadProd!$A:$B,2,0)),"")</f>
        <v/>
      </c>
      <c r="F2568" t="str">
        <f>IFERROR(IF(D2568="","",VLOOKUP(D2568,CadProd!$A:$C,3,0)),"")</f>
        <v/>
      </c>
      <c r="I2568" s="1" t="str">
        <f t="shared" si="39"/>
        <v/>
      </c>
    </row>
    <row r="2569" spans="5:9" x14ac:dyDescent="0.3">
      <c r="E2569" t="str">
        <f>IFERROR(IF(D2569="","",VLOOKUP(D2569,CadProd!$A:$B,2,0)),"")</f>
        <v/>
      </c>
      <c r="F2569" t="str">
        <f>IFERROR(IF(D2569="","",VLOOKUP(D2569,CadProd!$A:$C,3,0)),"")</f>
        <v/>
      </c>
      <c r="I2569" s="1" t="str">
        <f t="shared" si="39"/>
        <v/>
      </c>
    </row>
    <row r="2570" spans="5:9" x14ac:dyDescent="0.3">
      <c r="E2570" t="str">
        <f>IFERROR(IF(D2570="","",VLOOKUP(D2570,CadProd!$A:$B,2,0)),"")</f>
        <v/>
      </c>
      <c r="F2570" t="str">
        <f>IFERROR(IF(D2570="","",VLOOKUP(D2570,CadProd!$A:$C,3,0)),"")</f>
        <v/>
      </c>
      <c r="I2570" s="1" t="str">
        <f t="shared" si="39"/>
        <v/>
      </c>
    </row>
    <row r="2571" spans="5:9" x14ac:dyDescent="0.3">
      <c r="E2571" t="str">
        <f>IFERROR(IF(D2571="","",VLOOKUP(D2571,CadProd!$A:$B,2,0)),"")</f>
        <v/>
      </c>
      <c r="F2571" t="str">
        <f>IFERROR(IF(D2571="","",VLOOKUP(D2571,CadProd!$A:$C,3,0)),"")</f>
        <v/>
      </c>
      <c r="I2571" s="1" t="str">
        <f t="shared" ref="I2571:I2634" si="40">IFERROR(IF(D2571="","",H2571*G2571),"")</f>
        <v/>
      </c>
    </row>
    <row r="2572" spans="5:9" x14ac:dyDescent="0.3">
      <c r="E2572" t="str">
        <f>IFERROR(IF(D2572="","",VLOOKUP(D2572,CadProd!$A:$B,2,0)),"")</f>
        <v/>
      </c>
      <c r="F2572" t="str">
        <f>IFERROR(IF(D2572="","",VLOOKUP(D2572,CadProd!$A:$C,3,0)),"")</f>
        <v/>
      </c>
      <c r="I2572" s="1" t="str">
        <f t="shared" si="40"/>
        <v/>
      </c>
    </row>
    <row r="2573" spans="5:9" x14ac:dyDescent="0.3">
      <c r="E2573" t="str">
        <f>IFERROR(IF(D2573="","",VLOOKUP(D2573,CadProd!$A:$B,2,0)),"")</f>
        <v/>
      </c>
      <c r="F2573" t="str">
        <f>IFERROR(IF(D2573="","",VLOOKUP(D2573,CadProd!$A:$C,3,0)),"")</f>
        <v/>
      </c>
      <c r="I2573" s="1" t="str">
        <f t="shared" si="40"/>
        <v/>
      </c>
    </row>
    <row r="2574" spans="5:9" x14ac:dyDescent="0.3">
      <c r="E2574" t="str">
        <f>IFERROR(IF(D2574="","",VLOOKUP(D2574,CadProd!$A:$B,2,0)),"")</f>
        <v/>
      </c>
      <c r="F2574" t="str">
        <f>IFERROR(IF(D2574="","",VLOOKUP(D2574,CadProd!$A:$C,3,0)),"")</f>
        <v/>
      </c>
      <c r="I2574" s="1" t="str">
        <f t="shared" si="40"/>
        <v/>
      </c>
    </row>
    <row r="2575" spans="5:9" x14ac:dyDescent="0.3">
      <c r="E2575" t="str">
        <f>IFERROR(IF(D2575="","",VLOOKUP(D2575,CadProd!$A:$B,2,0)),"")</f>
        <v/>
      </c>
      <c r="F2575" t="str">
        <f>IFERROR(IF(D2575="","",VLOOKUP(D2575,CadProd!$A:$C,3,0)),"")</f>
        <v/>
      </c>
      <c r="I2575" s="1" t="str">
        <f t="shared" si="40"/>
        <v/>
      </c>
    </row>
    <row r="2576" spans="5:9" x14ac:dyDescent="0.3">
      <c r="E2576" t="str">
        <f>IFERROR(IF(D2576="","",VLOOKUP(D2576,CadProd!$A:$B,2,0)),"")</f>
        <v/>
      </c>
      <c r="F2576" t="str">
        <f>IFERROR(IF(D2576="","",VLOOKUP(D2576,CadProd!$A:$C,3,0)),"")</f>
        <v/>
      </c>
      <c r="I2576" s="1" t="str">
        <f t="shared" si="40"/>
        <v/>
      </c>
    </row>
    <row r="2577" spans="5:9" x14ac:dyDescent="0.3">
      <c r="E2577" t="str">
        <f>IFERROR(IF(D2577="","",VLOOKUP(D2577,CadProd!$A:$B,2,0)),"")</f>
        <v/>
      </c>
      <c r="F2577" t="str">
        <f>IFERROR(IF(D2577="","",VLOOKUP(D2577,CadProd!$A:$C,3,0)),"")</f>
        <v/>
      </c>
      <c r="I2577" s="1" t="str">
        <f t="shared" si="40"/>
        <v/>
      </c>
    </row>
    <row r="2578" spans="5:9" x14ac:dyDescent="0.3">
      <c r="E2578" t="str">
        <f>IFERROR(IF(D2578="","",VLOOKUP(D2578,CadProd!$A:$B,2,0)),"")</f>
        <v/>
      </c>
      <c r="F2578" t="str">
        <f>IFERROR(IF(D2578="","",VLOOKUP(D2578,CadProd!$A:$C,3,0)),"")</f>
        <v/>
      </c>
      <c r="I2578" s="1" t="str">
        <f t="shared" si="40"/>
        <v/>
      </c>
    </row>
    <row r="2579" spans="5:9" x14ac:dyDescent="0.3">
      <c r="E2579" t="str">
        <f>IFERROR(IF(D2579="","",VLOOKUP(D2579,CadProd!$A:$B,2,0)),"")</f>
        <v/>
      </c>
      <c r="F2579" t="str">
        <f>IFERROR(IF(D2579="","",VLOOKUP(D2579,CadProd!$A:$C,3,0)),"")</f>
        <v/>
      </c>
      <c r="I2579" s="1" t="str">
        <f t="shared" si="40"/>
        <v/>
      </c>
    </row>
    <row r="2580" spans="5:9" x14ac:dyDescent="0.3">
      <c r="E2580" t="str">
        <f>IFERROR(IF(D2580="","",VLOOKUP(D2580,CadProd!$A:$B,2,0)),"")</f>
        <v/>
      </c>
      <c r="F2580" t="str">
        <f>IFERROR(IF(D2580="","",VLOOKUP(D2580,CadProd!$A:$C,3,0)),"")</f>
        <v/>
      </c>
      <c r="I2580" s="1" t="str">
        <f t="shared" si="40"/>
        <v/>
      </c>
    </row>
    <row r="2581" spans="5:9" x14ac:dyDescent="0.3">
      <c r="E2581" t="str">
        <f>IFERROR(IF(D2581="","",VLOOKUP(D2581,CadProd!$A:$B,2,0)),"")</f>
        <v/>
      </c>
      <c r="F2581" t="str">
        <f>IFERROR(IF(D2581="","",VLOOKUP(D2581,CadProd!$A:$C,3,0)),"")</f>
        <v/>
      </c>
      <c r="I2581" s="1" t="str">
        <f t="shared" si="40"/>
        <v/>
      </c>
    </row>
    <row r="2582" spans="5:9" x14ac:dyDescent="0.3">
      <c r="E2582" t="str">
        <f>IFERROR(IF(D2582="","",VLOOKUP(D2582,CadProd!$A:$B,2,0)),"")</f>
        <v/>
      </c>
      <c r="F2582" t="str">
        <f>IFERROR(IF(D2582="","",VLOOKUP(D2582,CadProd!$A:$C,3,0)),"")</f>
        <v/>
      </c>
      <c r="I2582" s="1" t="str">
        <f t="shared" si="40"/>
        <v/>
      </c>
    </row>
    <row r="2583" spans="5:9" x14ac:dyDescent="0.3">
      <c r="E2583" t="str">
        <f>IFERROR(IF(D2583="","",VLOOKUP(D2583,CadProd!$A:$B,2,0)),"")</f>
        <v/>
      </c>
      <c r="F2583" t="str">
        <f>IFERROR(IF(D2583="","",VLOOKUP(D2583,CadProd!$A:$C,3,0)),"")</f>
        <v/>
      </c>
      <c r="I2583" s="1" t="str">
        <f t="shared" si="40"/>
        <v/>
      </c>
    </row>
    <row r="2584" spans="5:9" x14ac:dyDescent="0.3">
      <c r="E2584" t="str">
        <f>IFERROR(IF(D2584="","",VLOOKUP(D2584,CadProd!$A:$B,2,0)),"")</f>
        <v/>
      </c>
      <c r="F2584" t="str">
        <f>IFERROR(IF(D2584="","",VLOOKUP(D2584,CadProd!$A:$C,3,0)),"")</f>
        <v/>
      </c>
      <c r="I2584" s="1" t="str">
        <f t="shared" si="40"/>
        <v/>
      </c>
    </row>
    <row r="2585" spans="5:9" x14ac:dyDescent="0.3">
      <c r="E2585" t="str">
        <f>IFERROR(IF(D2585="","",VLOOKUP(D2585,CadProd!$A:$B,2,0)),"")</f>
        <v/>
      </c>
      <c r="F2585" t="str">
        <f>IFERROR(IF(D2585="","",VLOOKUP(D2585,CadProd!$A:$C,3,0)),"")</f>
        <v/>
      </c>
      <c r="I2585" s="1" t="str">
        <f t="shared" si="40"/>
        <v/>
      </c>
    </row>
    <row r="2586" spans="5:9" x14ac:dyDescent="0.3">
      <c r="E2586" t="str">
        <f>IFERROR(IF(D2586="","",VLOOKUP(D2586,CadProd!$A:$B,2,0)),"")</f>
        <v/>
      </c>
      <c r="F2586" t="str">
        <f>IFERROR(IF(D2586="","",VLOOKUP(D2586,CadProd!$A:$C,3,0)),"")</f>
        <v/>
      </c>
      <c r="I2586" s="1" t="str">
        <f t="shared" si="40"/>
        <v/>
      </c>
    </row>
    <row r="2587" spans="5:9" x14ac:dyDescent="0.3">
      <c r="E2587" t="str">
        <f>IFERROR(IF(D2587="","",VLOOKUP(D2587,CadProd!$A:$B,2,0)),"")</f>
        <v/>
      </c>
      <c r="F2587" t="str">
        <f>IFERROR(IF(D2587="","",VLOOKUP(D2587,CadProd!$A:$C,3,0)),"")</f>
        <v/>
      </c>
      <c r="I2587" s="1" t="str">
        <f t="shared" si="40"/>
        <v/>
      </c>
    </row>
    <row r="2588" spans="5:9" x14ac:dyDescent="0.3">
      <c r="E2588" t="str">
        <f>IFERROR(IF(D2588="","",VLOOKUP(D2588,CadProd!$A:$B,2,0)),"")</f>
        <v/>
      </c>
      <c r="F2588" t="str">
        <f>IFERROR(IF(D2588="","",VLOOKUP(D2588,CadProd!$A:$C,3,0)),"")</f>
        <v/>
      </c>
      <c r="I2588" s="1" t="str">
        <f t="shared" si="40"/>
        <v/>
      </c>
    </row>
    <row r="2589" spans="5:9" x14ac:dyDescent="0.3">
      <c r="E2589" t="str">
        <f>IFERROR(IF(D2589="","",VLOOKUP(D2589,CadProd!$A:$B,2,0)),"")</f>
        <v/>
      </c>
      <c r="F2589" t="str">
        <f>IFERROR(IF(D2589="","",VLOOKUP(D2589,CadProd!$A:$C,3,0)),"")</f>
        <v/>
      </c>
      <c r="I2589" s="1" t="str">
        <f t="shared" si="40"/>
        <v/>
      </c>
    </row>
    <row r="2590" spans="5:9" x14ac:dyDescent="0.3">
      <c r="E2590" t="str">
        <f>IFERROR(IF(D2590="","",VLOOKUP(D2590,CadProd!$A:$B,2,0)),"")</f>
        <v/>
      </c>
      <c r="F2590" t="str">
        <f>IFERROR(IF(D2590="","",VLOOKUP(D2590,CadProd!$A:$C,3,0)),"")</f>
        <v/>
      </c>
      <c r="I2590" s="1" t="str">
        <f t="shared" si="40"/>
        <v/>
      </c>
    </row>
    <row r="2591" spans="5:9" x14ac:dyDescent="0.3">
      <c r="E2591" t="str">
        <f>IFERROR(IF(D2591="","",VLOOKUP(D2591,CadProd!$A:$B,2,0)),"")</f>
        <v/>
      </c>
      <c r="F2591" t="str">
        <f>IFERROR(IF(D2591="","",VLOOKUP(D2591,CadProd!$A:$C,3,0)),"")</f>
        <v/>
      </c>
      <c r="I2591" s="1" t="str">
        <f t="shared" si="40"/>
        <v/>
      </c>
    </row>
    <row r="2592" spans="5:9" x14ac:dyDescent="0.3">
      <c r="E2592" t="str">
        <f>IFERROR(IF(D2592="","",VLOOKUP(D2592,CadProd!$A:$B,2,0)),"")</f>
        <v/>
      </c>
      <c r="F2592" t="str">
        <f>IFERROR(IF(D2592="","",VLOOKUP(D2592,CadProd!$A:$C,3,0)),"")</f>
        <v/>
      </c>
      <c r="I2592" s="1" t="str">
        <f t="shared" si="40"/>
        <v/>
      </c>
    </row>
    <row r="2593" spans="5:9" x14ac:dyDescent="0.3">
      <c r="E2593" t="str">
        <f>IFERROR(IF(D2593="","",VLOOKUP(D2593,CadProd!$A:$B,2,0)),"")</f>
        <v/>
      </c>
      <c r="F2593" t="str">
        <f>IFERROR(IF(D2593="","",VLOOKUP(D2593,CadProd!$A:$C,3,0)),"")</f>
        <v/>
      </c>
      <c r="I2593" s="1" t="str">
        <f t="shared" si="40"/>
        <v/>
      </c>
    </row>
    <row r="2594" spans="5:9" x14ac:dyDescent="0.3">
      <c r="E2594" t="str">
        <f>IFERROR(IF(D2594="","",VLOOKUP(D2594,CadProd!$A:$B,2,0)),"")</f>
        <v/>
      </c>
      <c r="F2594" t="str">
        <f>IFERROR(IF(D2594="","",VLOOKUP(D2594,CadProd!$A:$C,3,0)),"")</f>
        <v/>
      </c>
      <c r="I2594" s="1" t="str">
        <f t="shared" si="40"/>
        <v/>
      </c>
    </row>
    <row r="2595" spans="5:9" x14ac:dyDescent="0.3">
      <c r="E2595" t="str">
        <f>IFERROR(IF(D2595="","",VLOOKUP(D2595,CadProd!$A:$B,2,0)),"")</f>
        <v/>
      </c>
      <c r="F2595" t="str">
        <f>IFERROR(IF(D2595="","",VLOOKUP(D2595,CadProd!$A:$C,3,0)),"")</f>
        <v/>
      </c>
      <c r="I2595" s="1" t="str">
        <f t="shared" si="40"/>
        <v/>
      </c>
    </row>
    <row r="2596" spans="5:9" x14ac:dyDescent="0.3">
      <c r="E2596" t="str">
        <f>IFERROR(IF(D2596="","",VLOOKUP(D2596,CadProd!$A:$B,2,0)),"")</f>
        <v/>
      </c>
      <c r="F2596" t="str">
        <f>IFERROR(IF(D2596="","",VLOOKUP(D2596,CadProd!$A:$C,3,0)),"")</f>
        <v/>
      </c>
      <c r="I2596" s="1" t="str">
        <f t="shared" si="40"/>
        <v/>
      </c>
    </row>
    <row r="2597" spans="5:9" x14ac:dyDescent="0.3">
      <c r="E2597" t="str">
        <f>IFERROR(IF(D2597="","",VLOOKUP(D2597,CadProd!$A:$B,2,0)),"")</f>
        <v/>
      </c>
      <c r="F2597" t="str">
        <f>IFERROR(IF(D2597="","",VLOOKUP(D2597,CadProd!$A:$C,3,0)),"")</f>
        <v/>
      </c>
      <c r="I2597" s="1" t="str">
        <f t="shared" si="40"/>
        <v/>
      </c>
    </row>
    <row r="2598" spans="5:9" x14ac:dyDescent="0.3">
      <c r="E2598" t="str">
        <f>IFERROR(IF(D2598="","",VLOOKUP(D2598,CadProd!$A:$B,2,0)),"")</f>
        <v/>
      </c>
      <c r="F2598" t="str">
        <f>IFERROR(IF(D2598="","",VLOOKUP(D2598,CadProd!$A:$C,3,0)),"")</f>
        <v/>
      </c>
      <c r="I2598" s="1" t="str">
        <f t="shared" si="40"/>
        <v/>
      </c>
    </row>
    <row r="2599" spans="5:9" x14ac:dyDescent="0.3">
      <c r="E2599" t="str">
        <f>IFERROR(IF(D2599="","",VLOOKUP(D2599,CadProd!$A:$B,2,0)),"")</f>
        <v/>
      </c>
      <c r="F2599" t="str">
        <f>IFERROR(IF(D2599="","",VLOOKUP(D2599,CadProd!$A:$C,3,0)),"")</f>
        <v/>
      </c>
      <c r="I2599" s="1" t="str">
        <f t="shared" si="40"/>
        <v/>
      </c>
    </row>
    <row r="2600" spans="5:9" x14ac:dyDescent="0.3">
      <c r="E2600" t="str">
        <f>IFERROR(IF(D2600="","",VLOOKUP(D2600,CadProd!$A:$B,2,0)),"")</f>
        <v/>
      </c>
      <c r="F2600" t="str">
        <f>IFERROR(IF(D2600="","",VLOOKUP(D2600,CadProd!$A:$C,3,0)),"")</f>
        <v/>
      </c>
      <c r="I2600" s="1" t="str">
        <f t="shared" si="40"/>
        <v/>
      </c>
    </row>
    <row r="2601" spans="5:9" x14ac:dyDescent="0.3">
      <c r="E2601" t="str">
        <f>IFERROR(IF(D2601="","",VLOOKUP(D2601,CadProd!$A:$B,2,0)),"")</f>
        <v/>
      </c>
      <c r="F2601" t="str">
        <f>IFERROR(IF(D2601="","",VLOOKUP(D2601,CadProd!$A:$C,3,0)),"")</f>
        <v/>
      </c>
      <c r="I2601" s="1" t="str">
        <f t="shared" si="40"/>
        <v/>
      </c>
    </row>
    <row r="2602" spans="5:9" x14ac:dyDescent="0.3">
      <c r="E2602" t="str">
        <f>IFERROR(IF(D2602="","",VLOOKUP(D2602,CadProd!$A:$B,2,0)),"")</f>
        <v/>
      </c>
      <c r="F2602" t="str">
        <f>IFERROR(IF(D2602="","",VLOOKUP(D2602,CadProd!$A:$C,3,0)),"")</f>
        <v/>
      </c>
      <c r="I2602" s="1" t="str">
        <f t="shared" si="40"/>
        <v/>
      </c>
    </row>
    <row r="2603" spans="5:9" x14ac:dyDescent="0.3">
      <c r="E2603" t="str">
        <f>IFERROR(IF(D2603="","",VLOOKUP(D2603,CadProd!$A:$B,2,0)),"")</f>
        <v/>
      </c>
      <c r="F2603" t="str">
        <f>IFERROR(IF(D2603="","",VLOOKUP(D2603,CadProd!$A:$C,3,0)),"")</f>
        <v/>
      </c>
      <c r="I2603" s="1" t="str">
        <f t="shared" si="40"/>
        <v/>
      </c>
    </row>
    <row r="2604" spans="5:9" x14ac:dyDescent="0.3">
      <c r="E2604" t="str">
        <f>IFERROR(IF(D2604="","",VLOOKUP(D2604,CadProd!$A:$B,2,0)),"")</f>
        <v/>
      </c>
      <c r="F2604" t="str">
        <f>IFERROR(IF(D2604="","",VLOOKUP(D2604,CadProd!$A:$C,3,0)),"")</f>
        <v/>
      </c>
      <c r="I2604" s="1" t="str">
        <f t="shared" si="40"/>
        <v/>
      </c>
    </row>
    <row r="2605" spans="5:9" x14ac:dyDescent="0.3">
      <c r="E2605" t="str">
        <f>IFERROR(IF(D2605="","",VLOOKUP(D2605,CadProd!$A:$B,2,0)),"")</f>
        <v/>
      </c>
      <c r="F2605" t="str">
        <f>IFERROR(IF(D2605="","",VLOOKUP(D2605,CadProd!$A:$C,3,0)),"")</f>
        <v/>
      </c>
      <c r="I2605" s="1" t="str">
        <f t="shared" si="40"/>
        <v/>
      </c>
    </row>
    <row r="2606" spans="5:9" x14ac:dyDescent="0.3">
      <c r="E2606" t="str">
        <f>IFERROR(IF(D2606="","",VLOOKUP(D2606,CadProd!$A:$B,2,0)),"")</f>
        <v/>
      </c>
      <c r="F2606" t="str">
        <f>IFERROR(IF(D2606="","",VLOOKUP(D2606,CadProd!$A:$C,3,0)),"")</f>
        <v/>
      </c>
      <c r="I2606" s="1" t="str">
        <f t="shared" si="40"/>
        <v/>
      </c>
    </row>
    <row r="2607" spans="5:9" x14ac:dyDescent="0.3">
      <c r="E2607" t="str">
        <f>IFERROR(IF(D2607="","",VLOOKUP(D2607,CadProd!$A:$B,2,0)),"")</f>
        <v/>
      </c>
      <c r="F2607" t="str">
        <f>IFERROR(IF(D2607="","",VLOOKUP(D2607,CadProd!$A:$C,3,0)),"")</f>
        <v/>
      </c>
      <c r="I2607" s="1" t="str">
        <f t="shared" si="40"/>
        <v/>
      </c>
    </row>
    <row r="2608" spans="5:9" x14ac:dyDescent="0.3">
      <c r="E2608" t="str">
        <f>IFERROR(IF(D2608="","",VLOOKUP(D2608,CadProd!$A:$B,2,0)),"")</f>
        <v/>
      </c>
      <c r="F2608" t="str">
        <f>IFERROR(IF(D2608="","",VLOOKUP(D2608,CadProd!$A:$C,3,0)),"")</f>
        <v/>
      </c>
      <c r="I2608" s="1" t="str">
        <f t="shared" si="40"/>
        <v/>
      </c>
    </row>
    <row r="2609" spans="5:9" x14ac:dyDescent="0.3">
      <c r="E2609" t="str">
        <f>IFERROR(IF(D2609="","",VLOOKUP(D2609,CadProd!$A:$B,2,0)),"")</f>
        <v/>
      </c>
      <c r="F2609" t="str">
        <f>IFERROR(IF(D2609="","",VLOOKUP(D2609,CadProd!$A:$C,3,0)),"")</f>
        <v/>
      </c>
      <c r="I2609" s="1" t="str">
        <f t="shared" si="40"/>
        <v/>
      </c>
    </row>
    <row r="2610" spans="5:9" x14ac:dyDescent="0.3">
      <c r="E2610" t="str">
        <f>IFERROR(IF(D2610="","",VLOOKUP(D2610,CadProd!$A:$B,2,0)),"")</f>
        <v/>
      </c>
      <c r="F2610" t="str">
        <f>IFERROR(IF(D2610="","",VLOOKUP(D2610,CadProd!$A:$C,3,0)),"")</f>
        <v/>
      </c>
      <c r="I2610" s="1" t="str">
        <f t="shared" si="40"/>
        <v/>
      </c>
    </row>
    <row r="2611" spans="5:9" x14ac:dyDescent="0.3">
      <c r="E2611" t="str">
        <f>IFERROR(IF(D2611="","",VLOOKUP(D2611,CadProd!$A:$B,2,0)),"")</f>
        <v/>
      </c>
      <c r="F2611" t="str">
        <f>IFERROR(IF(D2611="","",VLOOKUP(D2611,CadProd!$A:$C,3,0)),"")</f>
        <v/>
      </c>
      <c r="I2611" s="1" t="str">
        <f t="shared" si="40"/>
        <v/>
      </c>
    </row>
    <row r="2612" spans="5:9" x14ac:dyDescent="0.3">
      <c r="E2612" t="str">
        <f>IFERROR(IF(D2612="","",VLOOKUP(D2612,CadProd!$A:$B,2,0)),"")</f>
        <v/>
      </c>
      <c r="F2612" t="str">
        <f>IFERROR(IF(D2612="","",VLOOKUP(D2612,CadProd!$A:$C,3,0)),"")</f>
        <v/>
      </c>
      <c r="I2612" s="1" t="str">
        <f t="shared" si="40"/>
        <v/>
      </c>
    </row>
    <row r="2613" spans="5:9" x14ac:dyDescent="0.3">
      <c r="E2613" t="str">
        <f>IFERROR(IF(D2613="","",VLOOKUP(D2613,CadProd!$A:$B,2,0)),"")</f>
        <v/>
      </c>
      <c r="F2613" t="str">
        <f>IFERROR(IF(D2613="","",VLOOKUP(D2613,CadProd!$A:$C,3,0)),"")</f>
        <v/>
      </c>
      <c r="I2613" s="1" t="str">
        <f t="shared" si="40"/>
        <v/>
      </c>
    </row>
    <row r="2614" spans="5:9" x14ac:dyDescent="0.3">
      <c r="E2614" t="str">
        <f>IFERROR(IF(D2614="","",VLOOKUP(D2614,CadProd!$A:$B,2,0)),"")</f>
        <v/>
      </c>
      <c r="F2614" t="str">
        <f>IFERROR(IF(D2614="","",VLOOKUP(D2614,CadProd!$A:$C,3,0)),"")</f>
        <v/>
      </c>
      <c r="I2614" s="1" t="str">
        <f t="shared" si="40"/>
        <v/>
      </c>
    </row>
    <row r="2615" spans="5:9" x14ac:dyDescent="0.3">
      <c r="E2615" t="str">
        <f>IFERROR(IF(D2615="","",VLOOKUP(D2615,CadProd!$A:$B,2,0)),"")</f>
        <v/>
      </c>
      <c r="F2615" t="str">
        <f>IFERROR(IF(D2615="","",VLOOKUP(D2615,CadProd!$A:$C,3,0)),"")</f>
        <v/>
      </c>
      <c r="I2615" s="1" t="str">
        <f t="shared" si="40"/>
        <v/>
      </c>
    </row>
    <row r="2616" spans="5:9" x14ac:dyDescent="0.3">
      <c r="E2616" t="str">
        <f>IFERROR(IF(D2616="","",VLOOKUP(D2616,CadProd!$A:$B,2,0)),"")</f>
        <v/>
      </c>
      <c r="F2616" t="str">
        <f>IFERROR(IF(D2616="","",VLOOKUP(D2616,CadProd!$A:$C,3,0)),"")</f>
        <v/>
      </c>
      <c r="I2616" s="1" t="str">
        <f t="shared" si="40"/>
        <v/>
      </c>
    </row>
    <row r="2617" spans="5:9" x14ac:dyDescent="0.3">
      <c r="E2617" t="str">
        <f>IFERROR(IF(D2617="","",VLOOKUP(D2617,CadProd!$A:$B,2,0)),"")</f>
        <v/>
      </c>
      <c r="F2617" t="str">
        <f>IFERROR(IF(D2617="","",VLOOKUP(D2617,CadProd!$A:$C,3,0)),"")</f>
        <v/>
      </c>
      <c r="I2617" s="1" t="str">
        <f t="shared" si="40"/>
        <v/>
      </c>
    </row>
    <row r="2618" spans="5:9" x14ac:dyDescent="0.3">
      <c r="E2618" t="str">
        <f>IFERROR(IF(D2618="","",VLOOKUP(D2618,CadProd!$A:$B,2,0)),"")</f>
        <v/>
      </c>
      <c r="F2618" t="str">
        <f>IFERROR(IF(D2618="","",VLOOKUP(D2618,CadProd!$A:$C,3,0)),"")</f>
        <v/>
      </c>
      <c r="I2618" s="1" t="str">
        <f t="shared" si="40"/>
        <v/>
      </c>
    </row>
    <row r="2619" spans="5:9" x14ac:dyDescent="0.3">
      <c r="E2619" t="str">
        <f>IFERROR(IF(D2619="","",VLOOKUP(D2619,CadProd!$A:$B,2,0)),"")</f>
        <v/>
      </c>
      <c r="F2619" t="str">
        <f>IFERROR(IF(D2619="","",VLOOKUP(D2619,CadProd!$A:$C,3,0)),"")</f>
        <v/>
      </c>
      <c r="I2619" s="1" t="str">
        <f t="shared" si="40"/>
        <v/>
      </c>
    </row>
    <row r="2620" spans="5:9" x14ac:dyDescent="0.3">
      <c r="E2620" t="str">
        <f>IFERROR(IF(D2620="","",VLOOKUP(D2620,CadProd!$A:$B,2,0)),"")</f>
        <v/>
      </c>
      <c r="F2620" t="str">
        <f>IFERROR(IF(D2620="","",VLOOKUP(D2620,CadProd!$A:$C,3,0)),"")</f>
        <v/>
      </c>
      <c r="I2620" s="1" t="str">
        <f t="shared" si="40"/>
        <v/>
      </c>
    </row>
    <row r="2621" spans="5:9" x14ac:dyDescent="0.3">
      <c r="E2621" t="str">
        <f>IFERROR(IF(D2621="","",VLOOKUP(D2621,CadProd!$A:$B,2,0)),"")</f>
        <v/>
      </c>
      <c r="F2621" t="str">
        <f>IFERROR(IF(D2621="","",VLOOKUP(D2621,CadProd!$A:$C,3,0)),"")</f>
        <v/>
      </c>
      <c r="I2621" s="1" t="str">
        <f t="shared" si="40"/>
        <v/>
      </c>
    </row>
    <row r="2622" spans="5:9" x14ac:dyDescent="0.3">
      <c r="E2622" t="str">
        <f>IFERROR(IF(D2622="","",VLOOKUP(D2622,CadProd!$A:$B,2,0)),"")</f>
        <v/>
      </c>
      <c r="F2622" t="str">
        <f>IFERROR(IF(D2622="","",VLOOKUP(D2622,CadProd!$A:$C,3,0)),"")</f>
        <v/>
      </c>
      <c r="I2622" s="1" t="str">
        <f t="shared" si="40"/>
        <v/>
      </c>
    </row>
    <row r="2623" spans="5:9" x14ac:dyDescent="0.3">
      <c r="E2623" t="str">
        <f>IFERROR(IF(D2623="","",VLOOKUP(D2623,CadProd!$A:$B,2,0)),"")</f>
        <v/>
      </c>
      <c r="F2623" t="str">
        <f>IFERROR(IF(D2623="","",VLOOKUP(D2623,CadProd!$A:$C,3,0)),"")</f>
        <v/>
      </c>
      <c r="I2623" s="1" t="str">
        <f t="shared" si="40"/>
        <v/>
      </c>
    </row>
    <row r="2624" spans="5:9" x14ac:dyDescent="0.3">
      <c r="E2624" t="str">
        <f>IFERROR(IF(D2624="","",VLOOKUP(D2624,CadProd!$A:$B,2,0)),"")</f>
        <v/>
      </c>
      <c r="F2624" t="str">
        <f>IFERROR(IF(D2624="","",VLOOKUP(D2624,CadProd!$A:$C,3,0)),"")</f>
        <v/>
      </c>
      <c r="I2624" s="1" t="str">
        <f t="shared" si="40"/>
        <v/>
      </c>
    </row>
    <row r="2625" spans="5:9" x14ac:dyDescent="0.3">
      <c r="E2625" t="str">
        <f>IFERROR(IF(D2625="","",VLOOKUP(D2625,CadProd!$A:$B,2,0)),"")</f>
        <v/>
      </c>
      <c r="F2625" t="str">
        <f>IFERROR(IF(D2625="","",VLOOKUP(D2625,CadProd!$A:$C,3,0)),"")</f>
        <v/>
      </c>
      <c r="I2625" s="1" t="str">
        <f t="shared" si="40"/>
        <v/>
      </c>
    </row>
    <row r="2626" spans="5:9" x14ac:dyDescent="0.3">
      <c r="E2626" t="str">
        <f>IFERROR(IF(D2626="","",VLOOKUP(D2626,CadProd!$A:$B,2,0)),"")</f>
        <v/>
      </c>
      <c r="F2626" t="str">
        <f>IFERROR(IF(D2626="","",VLOOKUP(D2626,CadProd!$A:$C,3,0)),"")</f>
        <v/>
      </c>
      <c r="I2626" s="1" t="str">
        <f t="shared" si="40"/>
        <v/>
      </c>
    </row>
    <row r="2627" spans="5:9" x14ac:dyDescent="0.3">
      <c r="E2627" t="str">
        <f>IFERROR(IF(D2627="","",VLOOKUP(D2627,CadProd!$A:$B,2,0)),"")</f>
        <v/>
      </c>
      <c r="F2627" t="str">
        <f>IFERROR(IF(D2627="","",VLOOKUP(D2627,CadProd!$A:$C,3,0)),"")</f>
        <v/>
      </c>
      <c r="I2627" s="1" t="str">
        <f t="shared" si="40"/>
        <v/>
      </c>
    </row>
    <row r="2628" spans="5:9" x14ac:dyDescent="0.3">
      <c r="E2628" t="str">
        <f>IFERROR(IF(D2628="","",VLOOKUP(D2628,CadProd!$A:$B,2,0)),"")</f>
        <v/>
      </c>
      <c r="F2628" t="str">
        <f>IFERROR(IF(D2628="","",VLOOKUP(D2628,CadProd!$A:$C,3,0)),"")</f>
        <v/>
      </c>
      <c r="I2628" s="1" t="str">
        <f t="shared" si="40"/>
        <v/>
      </c>
    </row>
    <row r="2629" spans="5:9" x14ac:dyDescent="0.3">
      <c r="E2629" t="str">
        <f>IFERROR(IF(D2629="","",VLOOKUP(D2629,CadProd!$A:$B,2,0)),"")</f>
        <v/>
      </c>
      <c r="F2629" t="str">
        <f>IFERROR(IF(D2629="","",VLOOKUP(D2629,CadProd!$A:$C,3,0)),"")</f>
        <v/>
      </c>
      <c r="I2629" s="1" t="str">
        <f t="shared" si="40"/>
        <v/>
      </c>
    </row>
    <row r="2630" spans="5:9" x14ac:dyDescent="0.3">
      <c r="E2630" t="str">
        <f>IFERROR(IF(D2630="","",VLOOKUP(D2630,CadProd!$A:$B,2,0)),"")</f>
        <v/>
      </c>
      <c r="F2630" t="str">
        <f>IFERROR(IF(D2630="","",VLOOKUP(D2630,CadProd!$A:$C,3,0)),"")</f>
        <v/>
      </c>
      <c r="I2630" s="1" t="str">
        <f t="shared" si="40"/>
        <v/>
      </c>
    </row>
    <row r="2631" spans="5:9" x14ac:dyDescent="0.3">
      <c r="E2631" t="str">
        <f>IFERROR(IF(D2631="","",VLOOKUP(D2631,CadProd!$A:$B,2,0)),"")</f>
        <v/>
      </c>
      <c r="F2631" t="str">
        <f>IFERROR(IF(D2631="","",VLOOKUP(D2631,CadProd!$A:$C,3,0)),"")</f>
        <v/>
      </c>
      <c r="I2631" s="1" t="str">
        <f t="shared" si="40"/>
        <v/>
      </c>
    </row>
    <row r="2632" spans="5:9" x14ac:dyDescent="0.3">
      <c r="E2632" t="str">
        <f>IFERROR(IF(D2632="","",VLOOKUP(D2632,CadProd!$A:$B,2,0)),"")</f>
        <v/>
      </c>
      <c r="F2632" t="str">
        <f>IFERROR(IF(D2632="","",VLOOKUP(D2632,CadProd!$A:$C,3,0)),"")</f>
        <v/>
      </c>
      <c r="I2632" s="1" t="str">
        <f t="shared" si="40"/>
        <v/>
      </c>
    </row>
    <row r="2633" spans="5:9" x14ac:dyDescent="0.3">
      <c r="E2633" t="str">
        <f>IFERROR(IF(D2633="","",VLOOKUP(D2633,CadProd!$A:$B,2,0)),"")</f>
        <v/>
      </c>
      <c r="F2633" t="str">
        <f>IFERROR(IF(D2633="","",VLOOKUP(D2633,CadProd!$A:$C,3,0)),"")</f>
        <v/>
      </c>
      <c r="I2633" s="1" t="str">
        <f t="shared" si="40"/>
        <v/>
      </c>
    </row>
    <row r="2634" spans="5:9" x14ac:dyDescent="0.3">
      <c r="E2634" t="str">
        <f>IFERROR(IF(D2634="","",VLOOKUP(D2634,CadProd!$A:$B,2,0)),"")</f>
        <v/>
      </c>
      <c r="F2634" t="str">
        <f>IFERROR(IF(D2634="","",VLOOKUP(D2634,CadProd!$A:$C,3,0)),"")</f>
        <v/>
      </c>
      <c r="I2634" s="1" t="str">
        <f t="shared" si="40"/>
        <v/>
      </c>
    </row>
    <row r="2635" spans="5:9" x14ac:dyDescent="0.3">
      <c r="E2635" t="str">
        <f>IFERROR(IF(D2635="","",VLOOKUP(D2635,CadProd!$A:$B,2,0)),"")</f>
        <v/>
      </c>
      <c r="F2635" t="str">
        <f>IFERROR(IF(D2635="","",VLOOKUP(D2635,CadProd!$A:$C,3,0)),"")</f>
        <v/>
      </c>
      <c r="I2635" s="1" t="str">
        <f t="shared" ref="I2635:I2698" si="41">IFERROR(IF(D2635="","",H2635*G2635),"")</f>
        <v/>
      </c>
    </row>
    <row r="2636" spans="5:9" x14ac:dyDescent="0.3">
      <c r="E2636" t="str">
        <f>IFERROR(IF(D2636="","",VLOOKUP(D2636,CadProd!$A:$B,2,0)),"")</f>
        <v/>
      </c>
      <c r="F2636" t="str">
        <f>IFERROR(IF(D2636="","",VLOOKUP(D2636,CadProd!$A:$C,3,0)),"")</f>
        <v/>
      </c>
      <c r="I2636" s="1" t="str">
        <f t="shared" si="41"/>
        <v/>
      </c>
    </row>
    <row r="2637" spans="5:9" x14ac:dyDescent="0.3">
      <c r="E2637" t="str">
        <f>IFERROR(IF(D2637="","",VLOOKUP(D2637,CadProd!$A:$B,2,0)),"")</f>
        <v/>
      </c>
      <c r="F2637" t="str">
        <f>IFERROR(IF(D2637="","",VLOOKUP(D2637,CadProd!$A:$C,3,0)),"")</f>
        <v/>
      </c>
      <c r="I2637" s="1" t="str">
        <f t="shared" si="41"/>
        <v/>
      </c>
    </row>
    <row r="2638" spans="5:9" x14ac:dyDescent="0.3">
      <c r="E2638" t="str">
        <f>IFERROR(IF(D2638="","",VLOOKUP(D2638,CadProd!$A:$B,2,0)),"")</f>
        <v/>
      </c>
      <c r="F2638" t="str">
        <f>IFERROR(IF(D2638="","",VLOOKUP(D2638,CadProd!$A:$C,3,0)),"")</f>
        <v/>
      </c>
      <c r="I2638" s="1" t="str">
        <f t="shared" si="41"/>
        <v/>
      </c>
    </row>
    <row r="2639" spans="5:9" x14ac:dyDescent="0.3">
      <c r="E2639" t="str">
        <f>IFERROR(IF(D2639="","",VLOOKUP(D2639,CadProd!$A:$B,2,0)),"")</f>
        <v/>
      </c>
      <c r="F2639" t="str">
        <f>IFERROR(IF(D2639="","",VLOOKUP(D2639,CadProd!$A:$C,3,0)),"")</f>
        <v/>
      </c>
      <c r="I2639" s="1" t="str">
        <f t="shared" si="41"/>
        <v/>
      </c>
    </row>
    <row r="2640" spans="5:9" x14ac:dyDescent="0.3">
      <c r="E2640" t="str">
        <f>IFERROR(IF(D2640="","",VLOOKUP(D2640,CadProd!$A:$B,2,0)),"")</f>
        <v/>
      </c>
      <c r="F2640" t="str">
        <f>IFERROR(IF(D2640="","",VLOOKUP(D2640,CadProd!$A:$C,3,0)),"")</f>
        <v/>
      </c>
      <c r="I2640" s="1" t="str">
        <f t="shared" si="41"/>
        <v/>
      </c>
    </row>
    <row r="2641" spans="5:9" x14ac:dyDescent="0.3">
      <c r="E2641" t="str">
        <f>IFERROR(IF(D2641="","",VLOOKUP(D2641,CadProd!$A:$B,2,0)),"")</f>
        <v/>
      </c>
      <c r="F2641" t="str">
        <f>IFERROR(IF(D2641="","",VLOOKUP(D2641,CadProd!$A:$C,3,0)),"")</f>
        <v/>
      </c>
      <c r="I2641" s="1" t="str">
        <f t="shared" si="41"/>
        <v/>
      </c>
    </row>
    <row r="2642" spans="5:9" x14ac:dyDescent="0.3">
      <c r="E2642" t="str">
        <f>IFERROR(IF(D2642="","",VLOOKUP(D2642,CadProd!$A:$B,2,0)),"")</f>
        <v/>
      </c>
      <c r="F2642" t="str">
        <f>IFERROR(IF(D2642="","",VLOOKUP(D2642,CadProd!$A:$C,3,0)),"")</f>
        <v/>
      </c>
      <c r="I2642" s="1" t="str">
        <f t="shared" si="41"/>
        <v/>
      </c>
    </row>
    <row r="2643" spans="5:9" x14ac:dyDescent="0.3">
      <c r="E2643" t="str">
        <f>IFERROR(IF(D2643="","",VLOOKUP(D2643,CadProd!$A:$B,2,0)),"")</f>
        <v/>
      </c>
      <c r="F2643" t="str">
        <f>IFERROR(IF(D2643="","",VLOOKUP(D2643,CadProd!$A:$C,3,0)),"")</f>
        <v/>
      </c>
      <c r="I2643" s="1" t="str">
        <f t="shared" si="41"/>
        <v/>
      </c>
    </row>
    <row r="2644" spans="5:9" x14ac:dyDescent="0.3">
      <c r="E2644" t="str">
        <f>IFERROR(IF(D2644="","",VLOOKUP(D2644,CadProd!$A:$B,2,0)),"")</f>
        <v/>
      </c>
      <c r="F2644" t="str">
        <f>IFERROR(IF(D2644="","",VLOOKUP(D2644,CadProd!$A:$C,3,0)),"")</f>
        <v/>
      </c>
      <c r="I2644" s="1" t="str">
        <f t="shared" si="41"/>
        <v/>
      </c>
    </row>
    <row r="2645" spans="5:9" x14ac:dyDescent="0.3">
      <c r="E2645" t="str">
        <f>IFERROR(IF(D2645="","",VLOOKUP(D2645,CadProd!$A:$B,2,0)),"")</f>
        <v/>
      </c>
      <c r="F2645" t="str">
        <f>IFERROR(IF(D2645="","",VLOOKUP(D2645,CadProd!$A:$C,3,0)),"")</f>
        <v/>
      </c>
      <c r="I2645" s="1" t="str">
        <f t="shared" si="41"/>
        <v/>
      </c>
    </row>
    <row r="2646" spans="5:9" x14ac:dyDescent="0.3">
      <c r="E2646" t="str">
        <f>IFERROR(IF(D2646="","",VLOOKUP(D2646,CadProd!$A:$B,2,0)),"")</f>
        <v/>
      </c>
      <c r="F2646" t="str">
        <f>IFERROR(IF(D2646="","",VLOOKUP(D2646,CadProd!$A:$C,3,0)),"")</f>
        <v/>
      </c>
      <c r="I2646" s="1" t="str">
        <f t="shared" si="41"/>
        <v/>
      </c>
    </row>
    <row r="2647" spans="5:9" x14ac:dyDescent="0.3">
      <c r="E2647" t="str">
        <f>IFERROR(IF(D2647="","",VLOOKUP(D2647,CadProd!$A:$B,2,0)),"")</f>
        <v/>
      </c>
      <c r="F2647" t="str">
        <f>IFERROR(IF(D2647="","",VLOOKUP(D2647,CadProd!$A:$C,3,0)),"")</f>
        <v/>
      </c>
      <c r="I2647" s="1" t="str">
        <f t="shared" si="41"/>
        <v/>
      </c>
    </row>
    <row r="2648" spans="5:9" x14ac:dyDescent="0.3">
      <c r="E2648" t="str">
        <f>IFERROR(IF(D2648="","",VLOOKUP(D2648,CadProd!$A:$B,2,0)),"")</f>
        <v/>
      </c>
      <c r="F2648" t="str">
        <f>IFERROR(IF(D2648="","",VLOOKUP(D2648,CadProd!$A:$C,3,0)),"")</f>
        <v/>
      </c>
      <c r="I2648" s="1" t="str">
        <f t="shared" si="41"/>
        <v/>
      </c>
    </row>
    <row r="2649" spans="5:9" x14ac:dyDescent="0.3">
      <c r="E2649" t="str">
        <f>IFERROR(IF(D2649="","",VLOOKUP(D2649,CadProd!$A:$B,2,0)),"")</f>
        <v/>
      </c>
      <c r="F2649" t="str">
        <f>IFERROR(IF(D2649="","",VLOOKUP(D2649,CadProd!$A:$C,3,0)),"")</f>
        <v/>
      </c>
      <c r="I2649" s="1" t="str">
        <f t="shared" si="41"/>
        <v/>
      </c>
    </row>
    <row r="2650" spans="5:9" x14ac:dyDescent="0.3">
      <c r="E2650" t="str">
        <f>IFERROR(IF(D2650="","",VLOOKUP(D2650,CadProd!$A:$B,2,0)),"")</f>
        <v/>
      </c>
      <c r="F2650" t="str">
        <f>IFERROR(IF(D2650="","",VLOOKUP(D2650,CadProd!$A:$C,3,0)),"")</f>
        <v/>
      </c>
      <c r="I2650" s="1" t="str">
        <f t="shared" si="41"/>
        <v/>
      </c>
    </row>
    <row r="2651" spans="5:9" x14ac:dyDescent="0.3">
      <c r="E2651" t="str">
        <f>IFERROR(IF(D2651="","",VLOOKUP(D2651,CadProd!$A:$B,2,0)),"")</f>
        <v/>
      </c>
      <c r="F2651" t="str">
        <f>IFERROR(IF(D2651="","",VLOOKUP(D2651,CadProd!$A:$C,3,0)),"")</f>
        <v/>
      </c>
      <c r="I2651" s="1" t="str">
        <f t="shared" si="41"/>
        <v/>
      </c>
    </row>
    <row r="2652" spans="5:9" x14ac:dyDescent="0.3">
      <c r="E2652" t="str">
        <f>IFERROR(IF(D2652="","",VLOOKUP(D2652,CadProd!$A:$B,2,0)),"")</f>
        <v/>
      </c>
      <c r="F2652" t="str">
        <f>IFERROR(IF(D2652="","",VLOOKUP(D2652,CadProd!$A:$C,3,0)),"")</f>
        <v/>
      </c>
      <c r="I2652" s="1" t="str">
        <f t="shared" si="41"/>
        <v/>
      </c>
    </row>
    <row r="2653" spans="5:9" x14ac:dyDescent="0.3">
      <c r="E2653" t="str">
        <f>IFERROR(IF(D2653="","",VLOOKUP(D2653,CadProd!$A:$B,2,0)),"")</f>
        <v/>
      </c>
      <c r="F2653" t="str">
        <f>IFERROR(IF(D2653="","",VLOOKUP(D2653,CadProd!$A:$C,3,0)),"")</f>
        <v/>
      </c>
      <c r="I2653" s="1" t="str">
        <f t="shared" si="41"/>
        <v/>
      </c>
    </row>
    <row r="2654" spans="5:9" x14ac:dyDescent="0.3">
      <c r="E2654" t="str">
        <f>IFERROR(IF(D2654="","",VLOOKUP(D2654,CadProd!$A:$B,2,0)),"")</f>
        <v/>
      </c>
      <c r="F2654" t="str">
        <f>IFERROR(IF(D2654="","",VLOOKUP(D2654,CadProd!$A:$C,3,0)),"")</f>
        <v/>
      </c>
      <c r="I2654" s="1" t="str">
        <f t="shared" si="41"/>
        <v/>
      </c>
    </row>
    <row r="2655" spans="5:9" x14ac:dyDescent="0.3">
      <c r="E2655" t="str">
        <f>IFERROR(IF(D2655="","",VLOOKUP(D2655,CadProd!$A:$B,2,0)),"")</f>
        <v/>
      </c>
      <c r="F2655" t="str">
        <f>IFERROR(IF(D2655="","",VLOOKUP(D2655,CadProd!$A:$C,3,0)),"")</f>
        <v/>
      </c>
      <c r="I2655" s="1" t="str">
        <f t="shared" si="41"/>
        <v/>
      </c>
    </row>
    <row r="2656" spans="5:9" x14ac:dyDescent="0.3">
      <c r="E2656" t="str">
        <f>IFERROR(IF(D2656="","",VLOOKUP(D2656,CadProd!$A:$B,2,0)),"")</f>
        <v/>
      </c>
      <c r="F2656" t="str">
        <f>IFERROR(IF(D2656="","",VLOOKUP(D2656,CadProd!$A:$C,3,0)),"")</f>
        <v/>
      </c>
      <c r="I2656" s="1" t="str">
        <f t="shared" si="41"/>
        <v/>
      </c>
    </row>
    <row r="2657" spans="5:9" x14ac:dyDescent="0.3">
      <c r="E2657" t="str">
        <f>IFERROR(IF(D2657="","",VLOOKUP(D2657,CadProd!$A:$B,2,0)),"")</f>
        <v/>
      </c>
      <c r="F2657" t="str">
        <f>IFERROR(IF(D2657="","",VLOOKUP(D2657,CadProd!$A:$C,3,0)),"")</f>
        <v/>
      </c>
      <c r="I2657" s="1" t="str">
        <f t="shared" si="41"/>
        <v/>
      </c>
    </row>
    <row r="2658" spans="5:9" x14ac:dyDescent="0.3">
      <c r="E2658" t="str">
        <f>IFERROR(IF(D2658="","",VLOOKUP(D2658,CadProd!$A:$B,2,0)),"")</f>
        <v/>
      </c>
      <c r="F2658" t="str">
        <f>IFERROR(IF(D2658="","",VLOOKUP(D2658,CadProd!$A:$C,3,0)),"")</f>
        <v/>
      </c>
      <c r="I2658" s="1" t="str">
        <f t="shared" si="41"/>
        <v/>
      </c>
    </row>
    <row r="2659" spans="5:9" x14ac:dyDescent="0.3">
      <c r="E2659" t="str">
        <f>IFERROR(IF(D2659="","",VLOOKUP(D2659,CadProd!$A:$B,2,0)),"")</f>
        <v/>
      </c>
      <c r="F2659" t="str">
        <f>IFERROR(IF(D2659="","",VLOOKUP(D2659,CadProd!$A:$C,3,0)),"")</f>
        <v/>
      </c>
      <c r="I2659" s="1" t="str">
        <f t="shared" si="41"/>
        <v/>
      </c>
    </row>
    <row r="2660" spans="5:9" x14ac:dyDescent="0.3">
      <c r="E2660" t="str">
        <f>IFERROR(IF(D2660="","",VLOOKUP(D2660,CadProd!$A:$B,2,0)),"")</f>
        <v/>
      </c>
      <c r="F2660" t="str">
        <f>IFERROR(IF(D2660="","",VLOOKUP(D2660,CadProd!$A:$C,3,0)),"")</f>
        <v/>
      </c>
      <c r="I2660" s="1" t="str">
        <f t="shared" si="41"/>
        <v/>
      </c>
    </row>
    <row r="2661" spans="5:9" x14ac:dyDescent="0.3">
      <c r="E2661" t="str">
        <f>IFERROR(IF(D2661="","",VLOOKUP(D2661,CadProd!$A:$B,2,0)),"")</f>
        <v/>
      </c>
      <c r="F2661" t="str">
        <f>IFERROR(IF(D2661="","",VLOOKUP(D2661,CadProd!$A:$C,3,0)),"")</f>
        <v/>
      </c>
      <c r="I2661" s="1" t="str">
        <f t="shared" si="41"/>
        <v/>
      </c>
    </row>
    <row r="2662" spans="5:9" x14ac:dyDescent="0.3">
      <c r="E2662" t="str">
        <f>IFERROR(IF(D2662="","",VLOOKUP(D2662,CadProd!$A:$B,2,0)),"")</f>
        <v/>
      </c>
      <c r="F2662" t="str">
        <f>IFERROR(IF(D2662="","",VLOOKUP(D2662,CadProd!$A:$C,3,0)),"")</f>
        <v/>
      </c>
      <c r="I2662" s="1" t="str">
        <f t="shared" si="41"/>
        <v/>
      </c>
    </row>
    <row r="2663" spans="5:9" x14ac:dyDescent="0.3">
      <c r="E2663" t="str">
        <f>IFERROR(IF(D2663="","",VLOOKUP(D2663,CadProd!$A:$B,2,0)),"")</f>
        <v/>
      </c>
      <c r="F2663" t="str">
        <f>IFERROR(IF(D2663="","",VLOOKUP(D2663,CadProd!$A:$C,3,0)),"")</f>
        <v/>
      </c>
      <c r="I2663" s="1" t="str">
        <f t="shared" si="41"/>
        <v/>
      </c>
    </row>
    <row r="2664" spans="5:9" x14ac:dyDescent="0.3">
      <c r="E2664" t="str">
        <f>IFERROR(IF(D2664="","",VLOOKUP(D2664,CadProd!$A:$B,2,0)),"")</f>
        <v/>
      </c>
      <c r="F2664" t="str">
        <f>IFERROR(IF(D2664="","",VLOOKUP(D2664,CadProd!$A:$C,3,0)),"")</f>
        <v/>
      </c>
      <c r="I2664" s="1" t="str">
        <f t="shared" si="41"/>
        <v/>
      </c>
    </row>
    <row r="2665" spans="5:9" x14ac:dyDescent="0.3">
      <c r="E2665" t="str">
        <f>IFERROR(IF(D2665="","",VLOOKUP(D2665,CadProd!$A:$B,2,0)),"")</f>
        <v/>
      </c>
      <c r="F2665" t="str">
        <f>IFERROR(IF(D2665="","",VLOOKUP(D2665,CadProd!$A:$C,3,0)),"")</f>
        <v/>
      </c>
      <c r="I2665" s="1" t="str">
        <f t="shared" si="41"/>
        <v/>
      </c>
    </row>
    <row r="2666" spans="5:9" x14ac:dyDescent="0.3">
      <c r="E2666" t="str">
        <f>IFERROR(IF(D2666="","",VLOOKUP(D2666,CadProd!$A:$B,2,0)),"")</f>
        <v/>
      </c>
      <c r="F2666" t="str">
        <f>IFERROR(IF(D2666="","",VLOOKUP(D2666,CadProd!$A:$C,3,0)),"")</f>
        <v/>
      </c>
      <c r="I2666" s="1" t="str">
        <f t="shared" si="41"/>
        <v/>
      </c>
    </row>
    <row r="2667" spans="5:9" x14ac:dyDescent="0.3">
      <c r="E2667" t="str">
        <f>IFERROR(IF(D2667="","",VLOOKUP(D2667,CadProd!$A:$B,2,0)),"")</f>
        <v/>
      </c>
      <c r="F2667" t="str">
        <f>IFERROR(IF(D2667="","",VLOOKUP(D2667,CadProd!$A:$C,3,0)),"")</f>
        <v/>
      </c>
      <c r="I2667" s="1" t="str">
        <f t="shared" si="41"/>
        <v/>
      </c>
    </row>
    <row r="2668" spans="5:9" x14ac:dyDescent="0.3">
      <c r="E2668" t="str">
        <f>IFERROR(IF(D2668="","",VLOOKUP(D2668,CadProd!$A:$B,2,0)),"")</f>
        <v/>
      </c>
      <c r="F2668" t="str">
        <f>IFERROR(IF(D2668="","",VLOOKUP(D2668,CadProd!$A:$C,3,0)),"")</f>
        <v/>
      </c>
      <c r="I2668" s="1" t="str">
        <f t="shared" si="41"/>
        <v/>
      </c>
    </row>
    <row r="2669" spans="5:9" x14ac:dyDescent="0.3">
      <c r="E2669" t="str">
        <f>IFERROR(IF(D2669="","",VLOOKUP(D2669,CadProd!$A:$B,2,0)),"")</f>
        <v/>
      </c>
      <c r="F2669" t="str">
        <f>IFERROR(IF(D2669="","",VLOOKUP(D2669,CadProd!$A:$C,3,0)),"")</f>
        <v/>
      </c>
      <c r="I2669" s="1" t="str">
        <f t="shared" si="41"/>
        <v/>
      </c>
    </row>
    <row r="2670" spans="5:9" x14ac:dyDescent="0.3">
      <c r="E2670" t="str">
        <f>IFERROR(IF(D2670="","",VLOOKUP(D2670,CadProd!$A:$B,2,0)),"")</f>
        <v/>
      </c>
      <c r="F2670" t="str">
        <f>IFERROR(IF(D2670="","",VLOOKUP(D2670,CadProd!$A:$C,3,0)),"")</f>
        <v/>
      </c>
      <c r="I2670" s="1" t="str">
        <f t="shared" si="41"/>
        <v/>
      </c>
    </row>
    <row r="2671" spans="5:9" x14ac:dyDescent="0.3">
      <c r="E2671" t="str">
        <f>IFERROR(IF(D2671="","",VLOOKUP(D2671,CadProd!$A:$B,2,0)),"")</f>
        <v/>
      </c>
      <c r="F2671" t="str">
        <f>IFERROR(IF(D2671="","",VLOOKUP(D2671,CadProd!$A:$C,3,0)),"")</f>
        <v/>
      </c>
      <c r="I2671" s="1" t="str">
        <f t="shared" si="41"/>
        <v/>
      </c>
    </row>
    <row r="2672" spans="5:9" x14ac:dyDescent="0.3">
      <c r="E2672" t="str">
        <f>IFERROR(IF(D2672="","",VLOOKUP(D2672,CadProd!$A:$B,2,0)),"")</f>
        <v/>
      </c>
      <c r="F2672" t="str">
        <f>IFERROR(IF(D2672="","",VLOOKUP(D2672,CadProd!$A:$C,3,0)),"")</f>
        <v/>
      </c>
      <c r="I2672" s="1" t="str">
        <f t="shared" si="41"/>
        <v/>
      </c>
    </row>
    <row r="2673" spans="5:9" x14ac:dyDescent="0.3">
      <c r="E2673" t="str">
        <f>IFERROR(IF(D2673="","",VLOOKUP(D2673,CadProd!$A:$B,2,0)),"")</f>
        <v/>
      </c>
      <c r="F2673" t="str">
        <f>IFERROR(IF(D2673="","",VLOOKUP(D2673,CadProd!$A:$C,3,0)),"")</f>
        <v/>
      </c>
      <c r="I2673" s="1" t="str">
        <f t="shared" si="41"/>
        <v/>
      </c>
    </row>
    <row r="2674" spans="5:9" x14ac:dyDescent="0.3">
      <c r="E2674" t="str">
        <f>IFERROR(IF(D2674="","",VLOOKUP(D2674,CadProd!$A:$B,2,0)),"")</f>
        <v/>
      </c>
      <c r="F2674" t="str">
        <f>IFERROR(IF(D2674="","",VLOOKUP(D2674,CadProd!$A:$C,3,0)),"")</f>
        <v/>
      </c>
      <c r="I2674" s="1" t="str">
        <f t="shared" si="41"/>
        <v/>
      </c>
    </row>
    <row r="2675" spans="5:9" x14ac:dyDescent="0.3">
      <c r="E2675" t="str">
        <f>IFERROR(IF(D2675="","",VLOOKUP(D2675,CadProd!$A:$B,2,0)),"")</f>
        <v/>
      </c>
      <c r="F2675" t="str">
        <f>IFERROR(IF(D2675="","",VLOOKUP(D2675,CadProd!$A:$C,3,0)),"")</f>
        <v/>
      </c>
      <c r="I2675" s="1" t="str">
        <f t="shared" si="41"/>
        <v/>
      </c>
    </row>
    <row r="2676" spans="5:9" x14ac:dyDescent="0.3">
      <c r="E2676" t="str">
        <f>IFERROR(IF(D2676="","",VLOOKUP(D2676,CadProd!$A:$B,2,0)),"")</f>
        <v/>
      </c>
      <c r="F2676" t="str">
        <f>IFERROR(IF(D2676="","",VLOOKUP(D2676,CadProd!$A:$C,3,0)),"")</f>
        <v/>
      </c>
      <c r="I2676" s="1" t="str">
        <f t="shared" si="41"/>
        <v/>
      </c>
    </row>
    <row r="2677" spans="5:9" x14ac:dyDescent="0.3">
      <c r="E2677" t="str">
        <f>IFERROR(IF(D2677="","",VLOOKUP(D2677,CadProd!$A:$B,2,0)),"")</f>
        <v/>
      </c>
      <c r="F2677" t="str">
        <f>IFERROR(IF(D2677="","",VLOOKUP(D2677,CadProd!$A:$C,3,0)),"")</f>
        <v/>
      </c>
      <c r="I2677" s="1" t="str">
        <f t="shared" si="41"/>
        <v/>
      </c>
    </row>
    <row r="2678" spans="5:9" x14ac:dyDescent="0.3">
      <c r="E2678" t="str">
        <f>IFERROR(IF(D2678="","",VLOOKUP(D2678,CadProd!$A:$B,2,0)),"")</f>
        <v/>
      </c>
      <c r="F2678" t="str">
        <f>IFERROR(IF(D2678="","",VLOOKUP(D2678,CadProd!$A:$C,3,0)),"")</f>
        <v/>
      </c>
      <c r="I2678" s="1" t="str">
        <f t="shared" si="41"/>
        <v/>
      </c>
    </row>
    <row r="2679" spans="5:9" x14ac:dyDescent="0.3">
      <c r="E2679" t="str">
        <f>IFERROR(IF(D2679="","",VLOOKUP(D2679,CadProd!$A:$B,2,0)),"")</f>
        <v/>
      </c>
      <c r="F2679" t="str">
        <f>IFERROR(IF(D2679="","",VLOOKUP(D2679,CadProd!$A:$C,3,0)),"")</f>
        <v/>
      </c>
      <c r="I2679" s="1" t="str">
        <f t="shared" si="41"/>
        <v/>
      </c>
    </row>
    <row r="2680" spans="5:9" x14ac:dyDescent="0.3">
      <c r="E2680" t="str">
        <f>IFERROR(IF(D2680="","",VLOOKUP(D2680,CadProd!$A:$B,2,0)),"")</f>
        <v/>
      </c>
      <c r="F2680" t="str">
        <f>IFERROR(IF(D2680="","",VLOOKUP(D2680,CadProd!$A:$C,3,0)),"")</f>
        <v/>
      </c>
      <c r="I2680" s="1" t="str">
        <f t="shared" si="41"/>
        <v/>
      </c>
    </row>
    <row r="2681" spans="5:9" x14ac:dyDescent="0.3">
      <c r="E2681" t="str">
        <f>IFERROR(IF(D2681="","",VLOOKUP(D2681,CadProd!$A:$B,2,0)),"")</f>
        <v/>
      </c>
      <c r="F2681" t="str">
        <f>IFERROR(IF(D2681="","",VLOOKUP(D2681,CadProd!$A:$C,3,0)),"")</f>
        <v/>
      </c>
      <c r="I2681" s="1" t="str">
        <f t="shared" si="41"/>
        <v/>
      </c>
    </row>
    <row r="2682" spans="5:9" x14ac:dyDescent="0.3">
      <c r="E2682" t="str">
        <f>IFERROR(IF(D2682="","",VLOOKUP(D2682,CadProd!$A:$B,2,0)),"")</f>
        <v/>
      </c>
      <c r="F2682" t="str">
        <f>IFERROR(IF(D2682="","",VLOOKUP(D2682,CadProd!$A:$C,3,0)),"")</f>
        <v/>
      </c>
      <c r="I2682" s="1" t="str">
        <f t="shared" si="41"/>
        <v/>
      </c>
    </row>
    <row r="2683" spans="5:9" x14ac:dyDescent="0.3">
      <c r="E2683" t="str">
        <f>IFERROR(IF(D2683="","",VLOOKUP(D2683,CadProd!$A:$B,2,0)),"")</f>
        <v/>
      </c>
      <c r="F2683" t="str">
        <f>IFERROR(IF(D2683="","",VLOOKUP(D2683,CadProd!$A:$C,3,0)),"")</f>
        <v/>
      </c>
      <c r="I2683" s="1" t="str">
        <f t="shared" si="41"/>
        <v/>
      </c>
    </row>
    <row r="2684" spans="5:9" x14ac:dyDescent="0.3">
      <c r="E2684" t="str">
        <f>IFERROR(IF(D2684="","",VLOOKUP(D2684,CadProd!$A:$B,2,0)),"")</f>
        <v/>
      </c>
      <c r="F2684" t="str">
        <f>IFERROR(IF(D2684="","",VLOOKUP(D2684,CadProd!$A:$C,3,0)),"")</f>
        <v/>
      </c>
      <c r="I2684" s="1" t="str">
        <f t="shared" si="41"/>
        <v/>
      </c>
    </row>
    <row r="2685" spans="5:9" x14ac:dyDescent="0.3">
      <c r="E2685" t="str">
        <f>IFERROR(IF(D2685="","",VLOOKUP(D2685,CadProd!$A:$B,2,0)),"")</f>
        <v/>
      </c>
      <c r="F2685" t="str">
        <f>IFERROR(IF(D2685="","",VLOOKUP(D2685,CadProd!$A:$C,3,0)),"")</f>
        <v/>
      </c>
      <c r="I2685" s="1" t="str">
        <f t="shared" si="41"/>
        <v/>
      </c>
    </row>
    <row r="2686" spans="5:9" x14ac:dyDescent="0.3">
      <c r="E2686" t="str">
        <f>IFERROR(IF(D2686="","",VLOOKUP(D2686,CadProd!$A:$B,2,0)),"")</f>
        <v/>
      </c>
      <c r="F2686" t="str">
        <f>IFERROR(IF(D2686="","",VLOOKUP(D2686,CadProd!$A:$C,3,0)),"")</f>
        <v/>
      </c>
      <c r="I2686" s="1" t="str">
        <f t="shared" si="41"/>
        <v/>
      </c>
    </row>
    <row r="2687" spans="5:9" x14ac:dyDescent="0.3">
      <c r="E2687" t="str">
        <f>IFERROR(IF(D2687="","",VLOOKUP(D2687,CadProd!$A:$B,2,0)),"")</f>
        <v/>
      </c>
      <c r="F2687" t="str">
        <f>IFERROR(IF(D2687="","",VLOOKUP(D2687,CadProd!$A:$C,3,0)),"")</f>
        <v/>
      </c>
      <c r="I2687" s="1" t="str">
        <f t="shared" si="41"/>
        <v/>
      </c>
    </row>
    <row r="2688" spans="5:9" x14ac:dyDescent="0.3">
      <c r="E2688" t="str">
        <f>IFERROR(IF(D2688="","",VLOOKUP(D2688,CadProd!$A:$B,2,0)),"")</f>
        <v/>
      </c>
      <c r="F2688" t="str">
        <f>IFERROR(IF(D2688="","",VLOOKUP(D2688,CadProd!$A:$C,3,0)),"")</f>
        <v/>
      </c>
      <c r="I2688" s="1" t="str">
        <f t="shared" si="41"/>
        <v/>
      </c>
    </row>
    <row r="2689" spans="5:9" x14ac:dyDescent="0.3">
      <c r="E2689" t="str">
        <f>IFERROR(IF(D2689="","",VLOOKUP(D2689,CadProd!$A:$B,2,0)),"")</f>
        <v/>
      </c>
      <c r="F2689" t="str">
        <f>IFERROR(IF(D2689="","",VLOOKUP(D2689,CadProd!$A:$C,3,0)),"")</f>
        <v/>
      </c>
      <c r="I2689" s="1" t="str">
        <f t="shared" si="41"/>
        <v/>
      </c>
    </row>
    <row r="2690" spans="5:9" x14ac:dyDescent="0.3">
      <c r="E2690" t="str">
        <f>IFERROR(IF(D2690="","",VLOOKUP(D2690,CadProd!$A:$B,2,0)),"")</f>
        <v/>
      </c>
      <c r="F2690" t="str">
        <f>IFERROR(IF(D2690="","",VLOOKUP(D2690,CadProd!$A:$C,3,0)),"")</f>
        <v/>
      </c>
      <c r="I2690" s="1" t="str">
        <f t="shared" si="41"/>
        <v/>
      </c>
    </row>
    <row r="2691" spans="5:9" x14ac:dyDescent="0.3">
      <c r="E2691" t="str">
        <f>IFERROR(IF(D2691="","",VLOOKUP(D2691,CadProd!$A:$B,2,0)),"")</f>
        <v/>
      </c>
      <c r="F2691" t="str">
        <f>IFERROR(IF(D2691="","",VLOOKUP(D2691,CadProd!$A:$C,3,0)),"")</f>
        <v/>
      </c>
      <c r="I2691" s="1" t="str">
        <f t="shared" si="41"/>
        <v/>
      </c>
    </row>
    <row r="2692" spans="5:9" x14ac:dyDescent="0.3">
      <c r="E2692" t="str">
        <f>IFERROR(IF(D2692="","",VLOOKUP(D2692,CadProd!$A:$B,2,0)),"")</f>
        <v/>
      </c>
      <c r="F2692" t="str">
        <f>IFERROR(IF(D2692="","",VLOOKUP(D2692,CadProd!$A:$C,3,0)),"")</f>
        <v/>
      </c>
      <c r="I2692" s="1" t="str">
        <f t="shared" si="41"/>
        <v/>
      </c>
    </row>
    <row r="2693" spans="5:9" x14ac:dyDescent="0.3">
      <c r="E2693" t="str">
        <f>IFERROR(IF(D2693="","",VLOOKUP(D2693,CadProd!$A:$B,2,0)),"")</f>
        <v/>
      </c>
      <c r="F2693" t="str">
        <f>IFERROR(IF(D2693="","",VLOOKUP(D2693,CadProd!$A:$C,3,0)),"")</f>
        <v/>
      </c>
      <c r="I2693" s="1" t="str">
        <f t="shared" si="41"/>
        <v/>
      </c>
    </row>
    <row r="2694" spans="5:9" x14ac:dyDescent="0.3">
      <c r="E2694" t="str">
        <f>IFERROR(IF(D2694="","",VLOOKUP(D2694,CadProd!$A:$B,2,0)),"")</f>
        <v/>
      </c>
      <c r="F2694" t="str">
        <f>IFERROR(IF(D2694="","",VLOOKUP(D2694,CadProd!$A:$C,3,0)),"")</f>
        <v/>
      </c>
      <c r="I2694" s="1" t="str">
        <f t="shared" si="41"/>
        <v/>
      </c>
    </row>
    <row r="2695" spans="5:9" x14ac:dyDescent="0.3">
      <c r="E2695" t="str">
        <f>IFERROR(IF(D2695="","",VLOOKUP(D2695,CadProd!$A:$B,2,0)),"")</f>
        <v/>
      </c>
      <c r="F2695" t="str">
        <f>IFERROR(IF(D2695="","",VLOOKUP(D2695,CadProd!$A:$C,3,0)),"")</f>
        <v/>
      </c>
      <c r="I2695" s="1" t="str">
        <f t="shared" si="41"/>
        <v/>
      </c>
    </row>
    <row r="2696" spans="5:9" x14ac:dyDescent="0.3">
      <c r="E2696" t="str">
        <f>IFERROR(IF(D2696="","",VLOOKUP(D2696,CadProd!$A:$B,2,0)),"")</f>
        <v/>
      </c>
      <c r="F2696" t="str">
        <f>IFERROR(IF(D2696="","",VLOOKUP(D2696,CadProd!$A:$C,3,0)),"")</f>
        <v/>
      </c>
      <c r="I2696" s="1" t="str">
        <f t="shared" si="41"/>
        <v/>
      </c>
    </row>
    <row r="2697" spans="5:9" x14ac:dyDescent="0.3">
      <c r="E2697" t="str">
        <f>IFERROR(IF(D2697="","",VLOOKUP(D2697,CadProd!$A:$B,2,0)),"")</f>
        <v/>
      </c>
      <c r="F2697" t="str">
        <f>IFERROR(IF(D2697="","",VLOOKUP(D2697,CadProd!$A:$C,3,0)),"")</f>
        <v/>
      </c>
      <c r="I2697" s="1" t="str">
        <f t="shared" si="41"/>
        <v/>
      </c>
    </row>
    <row r="2698" spans="5:9" x14ac:dyDescent="0.3">
      <c r="E2698" t="str">
        <f>IFERROR(IF(D2698="","",VLOOKUP(D2698,CadProd!$A:$B,2,0)),"")</f>
        <v/>
      </c>
      <c r="F2698" t="str">
        <f>IFERROR(IF(D2698="","",VLOOKUP(D2698,CadProd!$A:$C,3,0)),"")</f>
        <v/>
      </c>
      <c r="I2698" s="1" t="str">
        <f t="shared" si="41"/>
        <v/>
      </c>
    </row>
    <row r="2699" spans="5:9" x14ac:dyDescent="0.3">
      <c r="E2699" t="str">
        <f>IFERROR(IF(D2699="","",VLOOKUP(D2699,CadProd!$A:$B,2,0)),"")</f>
        <v/>
      </c>
      <c r="F2699" t="str">
        <f>IFERROR(IF(D2699="","",VLOOKUP(D2699,CadProd!$A:$C,3,0)),"")</f>
        <v/>
      </c>
      <c r="I2699" s="1" t="str">
        <f t="shared" ref="I2699:I2762" si="42">IFERROR(IF(D2699="","",H2699*G2699),"")</f>
        <v/>
      </c>
    </row>
    <row r="2700" spans="5:9" x14ac:dyDescent="0.3">
      <c r="E2700" t="str">
        <f>IFERROR(IF(D2700="","",VLOOKUP(D2700,CadProd!$A:$B,2,0)),"")</f>
        <v/>
      </c>
      <c r="F2700" t="str">
        <f>IFERROR(IF(D2700="","",VLOOKUP(D2700,CadProd!$A:$C,3,0)),"")</f>
        <v/>
      </c>
      <c r="I2700" s="1" t="str">
        <f t="shared" si="42"/>
        <v/>
      </c>
    </row>
    <row r="2701" spans="5:9" x14ac:dyDescent="0.3">
      <c r="E2701" t="str">
        <f>IFERROR(IF(D2701="","",VLOOKUP(D2701,CadProd!$A:$B,2,0)),"")</f>
        <v/>
      </c>
      <c r="F2701" t="str">
        <f>IFERROR(IF(D2701="","",VLOOKUP(D2701,CadProd!$A:$C,3,0)),"")</f>
        <v/>
      </c>
      <c r="I2701" s="1" t="str">
        <f t="shared" si="42"/>
        <v/>
      </c>
    </row>
    <row r="2702" spans="5:9" x14ac:dyDescent="0.3">
      <c r="E2702" t="str">
        <f>IFERROR(IF(D2702="","",VLOOKUP(D2702,CadProd!$A:$B,2,0)),"")</f>
        <v/>
      </c>
      <c r="F2702" t="str">
        <f>IFERROR(IF(D2702="","",VLOOKUP(D2702,CadProd!$A:$C,3,0)),"")</f>
        <v/>
      </c>
      <c r="I2702" s="1" t="str">
        <f t="shared" si="42"/>
        <v/>
      </c>
    </row>
    <row r="2703" spans="5:9" x14ac:dyDescent="0.3">
      <c r="E2703" t="str">
        <f>IFERROR(IF(D2703="","",VLOOKUP(D2703,CadProd!$A:$B,2,0)),"")</f>
        <v/>
      </c>
      <c r="F2703" t="str">
        <f>IFERROR(IF(D2703="","",VLOOKUP(D2703,CadProd!$A:$C,3,0)),"")</f>
        <v/>
      </c>
      <c r="I2703" s="1" t="str">
        <f t="shared" si="42"/>
        <v/>
      </c>
    </row>
    <row r="2704" spans="5:9" x14ac:dyDescent="0.3">
      <c r="E2704" t="str">
        <f>IFERROR(IF(D2704="","",VLOOKUP(D2704,CadProd!$A:$B,2,0)),"")</f>
        <v/>
      </c>
      <c r="F2704" t="str">
        <f>IFERROR(IF(D2704="","",VLOOKUP(D2704,CadProd!$A:$C,3,0)),"")</f>
        <v/>
      </c>
      <c r="I2704" s="1" t="str">
        <f t="shared" si="42"/>
        <v/>
      </c>
    </row>
    <row r="2705" spans="5:9" x14ac:dyDescent="0.3">
      <c r="E2705" t="str">
        <f>IFERROR(IF(D2705="","",VLOOKUP(D2705,CadProd!$A:$B,2,0)),"")</f>
        <v/>
      </c>
      <c r="F2705" t="str">
        <f>IFERROR(IF(D2705="","",VLOOKUP(D2705,CadProd!$A:$C,3,0)),"")</f>
        <v/>
      </c>
      <c r="I2705" s="1" t="str">
        <f t="shared" si="42"/>
        <v/>
      </c>
    </row>
    <row r="2706" spans="5:9" x14ac:dyDescent="0.3">
      <c r="E2706" t="str">
        <f>IFERROR(IF(D2706="","",VLOOKUP(D2706,CadProd!$A:$B,2,0)),"")</f>
        <v/>
      </c>
      <c r="F2706" t="str">
        <f>IFERROR(IF(D2706="","",VLOOKUP(D2706,CadProd!$A:$C,3,0)),"")</f>
        <v/>
      </c>
      <c r="I2706" s="1" t="str">
        <f t="shared" si="42"/>
        <v/>
      </c>
    </row>
    <row r="2707" spans="5:9" x14ac:dyDescent="0.3">
      <c r="E2707" t="str">
        <f>IFERROR(IF(D2707="","",VLOOKUP(D2707,CadProd!$A:$B,2,0)),"")</f>
        <v/>
      </c>
      <c r="F2707" t="str">
        <f>IFERROR(IF(D2707="","",VLOOKUP(D2707,CadProd!$A:$C,3,0)),"")</f>
        <v/>
      </c>
      <c r="I2707" s="1" t="str">
        <f t="shared" si="42"/>
        <v/>
      </c>
    </row>
    <row r="2708" spans="5:9" x14ac:dyDescent="0.3">
      <c r="E2708" t="str">
        <f>IFERROR(IF(D2708="","",VLOOKUP(D2708,CadProd!$A:$B,2,0)),"")</f>
        <v/>
      </c>
      <c r="F2708" t="str">
        <f>IFERROR(IF(D2708="","",VLOOKUP(D2708,CadProd!$A:$C,3,0)),"")</f>
        <v/>
      </c>
      <c r="I2708" s="1" t="str">
        <f t="shared" si="42"/>
        <v/>
      </c>
    </row>
    <row r="2709" spans="5:9" x14ac:dyDescent="0.3">
      <c r="E2709" t="str">
        <f>IFERROR(IF(D2709="","",VLOOKUP(D2709,CadProd!$A:$B,2,0)),"")</f>
        <v/>
      </c>
      <c r="F2709" t="str">
        <f>IFERROR(IF(D2709="","",VLOOKUP(D2709,CadProd!$A:$C,3,0)),"")</f>
        <v/>
      </c>
      <c r="I2709" s="1" t="str">
        <f t="shared" si="42"/>
        <v/>
      </c>
    </row>
    <row r="2710" spans="5:9" x14ac:dyDescent="0.3">
      <c r="E2710" t="str">
        <f>IFERROR(IF(D2710="","",VLOOKUP(D2710,CadProd!$A:$B,2,0)),"")</f>
        <v/>
      </c>
      <c r="F2710" t="str">
        <f>IFERROR(IF(D2710="","",VLOOKUP(D2710,CadProd!$A:$C,3,0)),"")</f>
        <v/>
      </c>
      <c r="I2710" s="1" t="str">
        <f t="shared" si="42"/>
        <v/>
      </c>
    </row>
    <row r="2711" spans="5:9" x14ac:dyDescent="0.3">
      <c r="E2711" t="str">
        <f>IFERROR(IF(D2711="","",VLOOKUP(D2711,CadProd!$A:$B,2,0)),"")</f>
        <v/>
      </c>
      <c r="F2711" t="str">
        <f>IFERROR(IF(D2711="","",VLOOKUP(D2711,CadProd!$A:$C,3,0)),"")</f>
        <v/>
      </c>
      <c r="I2711" s="1" t="str">
        <f t="shared" si="42"/>
        <v/>
      </c>
    </row>
    <row r="2712" spans="5:9" x14ac:dyDescent="0.3">
      <c r="E2712" t="str">
        <f>IFERROR(IF(D2712="","",VLOOKUP(D2712,CadProd!$A:$B,2,0)),"")</f>
        <v/>
      </c>
      <c r="F2712" t="str">
        <f>IFERROR(IF(D2712="","",VLOOKUP(D2712,CadProd!$A:$C,3,0)),"")</f>
        <v/>
      </c>
      <c r="I2712" s="1" t="str">
        <f t="shared" si="42"/>
        <v/>
      </c>
    </row>
    <row r="2713" spans="5:9" x14ac:dyDescent="0.3">
      <c r="E2713" t="str">
        <f>IFERROR(IF(D2713="","",VLOOKUP(D2713,CadProd!$A:$B,2,0)),"")</f>
        <v/>
      </c>
      <c r="F2713" t="str">
        <f>IFERROR(IF(D2713="","",VLOOKUP(D2713,CadProd!$A:$C,3,0)),"")</f>
        <v/>
      </c>
      <c r="I2713" s="1" t="str">
        <f t="shared" si="42"/>
        <v/>
      </c>
    </row>
    <row r="2714" spans="5:9" x14ac:dyDescent="0.3">
      <c r="E2714" t="str">
        <f>IFERROR(IF(D2714="","",VLOOKUP(D2714,CadProd!$A:$B,2,0)),"")</f>
        <v/>
      </c>
      <c r="F2714" t="str">
        <f>IFERROR(IF(D2714="","",VLOOKUP(D2714,CadProd!$A:$C,3,0)),"")</f>
        <v/>
      </c>
      <c r="I2714" s="1" t="str">
        <f t="shared" si="42"/>
        <v/>
      </c>
    </row>
    <row r="2715" spans="5:9" x14ac:dyDescent="0.3">
      <c r="E2715" t="str">
        <f>IFERROR(IF(D2715="","",VLOOKUP(D2715,CadProd!$A:$B,2,0)),"")</f>
        <v/>
      </c>
      <c r="F2715" t="str">
        <f>IFERROR(IF(D2715="","",VLOOKUP(D2715,CadProd!$A:$C,3,0)),"")</f>
        <v/>
      </c>
      <c r="I2715" s="1" t="str">
        <f t="shared" si="42"/>
        <v/>
      </c>
    </row>
    <row r="2716" spans="5:9" x14ac:dyDescent="0.3">
      <c r="E2716" t="str">
        <f>IFERROR(IF(D2716="","",VLOOKUP(D2716,CadProd!$A:$B,2,0)),"")</f>
        <v/>
      </c>
      <c r="F2716" t="str">
        <f>IFERROR(IF(D2716="","",VLOOKUP(D2716,CadProd!$A:$C,3,0)),"")</f>
        <v/>
      </c>
      <c r="I2716" s="1" t="str">
        <f t="shared" si="42"/>
        <v/>
      </c>
    </row>
    <row r="2717" spans="5:9" x14ac:dyDescent="0.3">
      <c r="E2717" t="str">
        <f>IFERROR(IF(D2717="","",VLOOKUP(D2717,CadProd!$A:$B,2,0)),"")</f>
        <v/>
      </c>
      <c r="F2717" t="str">
        <f>IFERROR(IF(D2717="","",VLOOKUP(D2717,CadProd!$A:$C,3,0)),"")</f>
        <v/>
      </c>
      <c r="I2717" s="1" t="str">
        <f t="shared" si="42"/>
        <v/>
      </c>
    </row>
    <row r="2718" spans="5:9" x14ac:dyDescent="0.3">
      <c r="E2718" t="str">
        <f>IFERROR(IF(D2718="","",VLOOKUP(D2718,CadProd!$A:$B,2,0)),"")</f>
        <v/>
      </c>
      <c r="F2718" t="str">
        <f>IFERROR(IF(D2718="","",VLOOKUP(D2718,CadProd!$A:$C,3,0)),"")</f>
        <v/>
      </c>
      <c r="I2718" s="1" t="str">
        <f t="shared" si="42"/>
        <v/>
      </c>
    </row>
    <row r="2719" spans="5:9" x14ac:dyDescent="0.3">
      <c r="E2719" t="str">
        <f>IFERROR(IF(D2719="","",VLOOKUP(D2719,CadProd!$A:$B,2,0)),"")</f>
        <v/>
      </c>
      <c r="F2719" t="str">
        <f>IFERROR(IF(D2719="","",VLOOKUP(D2719,CadProd!$A:$C,3,0)),"")</f>
        <v/>
      </c>
      <c r="I2719" s="1" t="str">
        <f t="shared" si="42"/>
        <v/>
      </c>
    </row>
    <row r="2720" spans="5:9" x14ac:dyDescent="0.3">
      <c r="E2720" t="str">
        <f>IFERROR(IF(D2720="","",VLOOKUP(D2720,CadProd!$A:$B,2,0)),"")</f>
        <v/>
      </c>
      <c r="F2720" t="str">
        <f>IFERROR(IF(D2720="","",VLOOKUP(D2720,CadProd!$A:$C,3,0)),"")</f>
        <v/>
      </c>
      <c r="I2720" s="1" t="str">
        <f t="shared" si="42"/>
        <v/>
      </c>
    </row>
    <row r="2721" spans="5:9" x14ac:dyDescent="0.3">
      <c r="E2721" t="str">
        <f>IFERROR(IF(D2721="","",VLOOKUP(D2721,CadProd!$A:$B,2,0)),"")</f>
        <v/>
      </c>
      <c r="F2721" t="str">
        <f>IFERROR(IF(D2721="","",VLOOKUP(D2721,CadProd!$A:$C,3,0)),"")</f>
        <v/>
      </c>
      <c r="I2721" s="1" t="str">
        <f t="shared" si="42"/>
        <v/>
      </c>
    </row>
    <row r="2722" spans="5:9" x14ac:dyDescent="0.3">
      <c r="E2722" t="str">
        <f>IFERROR(IF(D2722="","",VLOOKUP(D2722,CadProd!$A:$B,2,0)),"")</f>
        <v/>
      </c>
      <c r="F2722" t="str">
        <f>IFERROR(IF(D2722="","",VLOOKUP(D2722,CadProd!$A:$C,3,0)),"")</f>
        <v/>
      </c>
      <c r="I2722" s="1" t="str">
        <f t="shared" si="42"/>
        <v/>
      </c>
    </row>
    <row r="2723" spans="5:9" x14ac:dyDescent="0.3">
      <c r="E2723" t="str">
        <f>IFERROR(IF(D2723="","",VLOOKUP(D2723,CadProd!$A:$B,2,0)),"")</f>
        <v/>
      </c>
      <c r="F2723" t="str">
        <f>IFERROR(IF(D2723="","",VLOOKUP(D2723,CadProd!$A:$C,3,0)),"")</f>
        <v/>
      </c>
      <c r="I2723" s="1" t="str">
        <f t="shared" si="42"/>
        <v/>
      </c>
    </row>
    <row r="2724" spans="5:9" x14ac:dyDescent="0.3">
      <c r="E2724" t="str">
        <f>IFERROR(IF(D2724="","",VLOOKUP(D2724,CadProd!$A:$B,2,0)),"")</f>
        <v/>
      </c>
      <c r="F2724" t="str">
        <f>IFERROR(IF(D2724="","",VLOOKUP(D2724,CadProd!$A:$C,3,0)),"")</f>
        <v/>
      </c>
      <c r="I2724" s="1" t="str">
        <f t="shared" si="42"/>
        <v/>
      </c>
    </row>
    <row r="2725" spans="5:9" x14ac:dyDescent="0.3">
      <c r="E2725" t="str">
        <f>IFERROR(IF(D2725="","",VLOOKUP(D2725,CadProd!$A:$B,2,0)),"")</f>
        <v/>
      </c>
      <c r="F2725" t="str">
        <f>IFERROR(IF(D2725="","",VLOOKUP(D2725,CadProd!$A:$C,3,0)),"")</f>
        <v/>
      </c>
      <c r="I2725" s="1" t="str">
        <f t="shared" si="42"/>
        <v/>
      </c>
    </row>
    <row r="2726" spans="5:9" x14ac:dyDescent="0.3">
      <c r="E2726" t="str">
        <f>IFERROR(IF(D2726="","",VLOOKUP(D2726,CadProd!$A:$B,2,0)),"")</f>
        <v/>
      </c>
      <c r="F2726" t="str">
        <f>IFERROR(IF(D2726="","",VLOOKUP(D2726,CadProd!$A:$C,3,0)),"")</f>
        <v/>
      </c>
      <c r="I2726" s="1" t="str">
        <f t="shared" si="42"/>
        <v/>
      </c>
    </row>
    <row r="2727" spans="5:9" x14ac:dyDescent="0.3">
      <c r="E2727" t="str">
        <f>IFERROR(IF(D2727="","",VLOOKUP(D2727,CadProd!$A:$B,2,0)),"")</f>
        <v/>
      </c>
      <c r="F2727" t="str">
        <f>IFERROR(IF(D2727="","",VLOOKUP(D2727,CadProd!$A:$C,3,0)),"")</f>
        <v/>
      </c>
      <c r="I2727" s="1" t="str">
        <f t="shared" si="42"/>
        <v/>
      </c>
    </row>
    <row r="2728" spans="5:9" x14ac:dyDescent="0.3">
      <c r="E2728" t="str">
        <f>IFERROR(IF(D2728="","",VLOOKUP(D2728,CadProd!$A:$B,2,0)),"")</f>
        <v/>
      </c>
      <c r="F2728" t="str">
        <f>IFERROR(IF(D2728="","",VLOOKUP(D2728,CadProd!$A:$C,3,0)),"")</f>
        <v/>
      </c>
      <c r="I2728" s="1" t="str">
        <f t="shared" si="42"/>
        <v/>
      </c>
    </row>
    <row r="2729" spans="5:9" x14ac:dyDescent="0.3">
      <c r="E2729" t="str">
        <f>IFERROR(IF(D2729="","",VLOOKUP(D2729,CadProd!$A:$B,2,0)),"")</f>
        <v/>
      </c>
      <c r="F2729" t="str">
        <f>IFERROR(IF(D2729="","",VLOOKUP(D2729,CadProd!$A:$C,3,0)),"")</f>
        <v/>
      </c>
      <c r="I2729" s="1" t="str">
        <f t="shared" si="42"/>
        <v/>
      </c>
    </row>
    <row r="2730" spans="5:9" x14ac:dyDescent="0.3">
      <c r="E2730" t="str">
        <f>IFERROR(IF(D2730="","",VLOOKUP(D2730,CadProd!$A:$B,2,0)),"")</f>
        <v/>
      </c>
      <c r="F2730" t="str">
        <f>IFERROR(IF(D2730="","",VLOOKUP(D2730,CadProd!$A:$C,3,0)),"")</f>
        <v/>
      </c>
      <c r="I2730" s="1" t="str">
        <f t="shared" si="42"/>
        <v/>
      </c>
    </row>
    <row r="2731" spans="5:9" x14ac:dyDescent="0.3">
      <c r="E2731" t="str">
        <f>IFERROR(IF(D2731="","",VLOOKUP(D2731,CadProd!$A:$B,2,0)),"")</f>
        <v/>
      </c>
      <c r="F2731" t="str">
        <f>IFERROR(IF(D2731="","",VLOOKUP(D2731,CadProd!$A:$C,3,0)),"")</f>
        <v/>
      </c>
      <c r="I2731" s="1" t="str">
        <f t="shared" si="42"/>
        <v/>
      </c>
    </row>
    <row r="2732" spans="5:9" x14ac:dyDescent="0.3">
      <c r="E2732" t="str">
        <f>IFERROR(IF(D2732="","",VLOOKUP(D2732,CadProd!$A:$B,2,0)),"")</f>
        <v/>
      </c>
      <c r="F2732" t="str">
        <f>IFERROR(IF(D2732="","",VLOOKUP(D2732,CadProd!$A:$C,3,0)),"")</f>
        <v/>
      </c>
      <c r="I2732" s="1" t="str">
        <f t="shared" si="42"/>
        <v/>
      </c>
    </row>
    <row r="2733" spans="5:9" x14ac:dyDescent="0.3">
      <c r="E2733" t="str">
        <f>IFERROR(IF(D2733="","",VLOOKUP(D2733,CadProd!$A:$B,2,0)),"")</f>
        <v/>
      </c>
      <c r="F2733" t="str">
        <f>IFERROR(IF(D2733="","",VLOOKUP(D2733,CadProd!$A:$C,3,0)),"")</f>
        <v/>
      </c>
      <c r="I2733" s="1" t="str">
        <f t="shared" si="42"/>
        <v/>
      </c>
    </row>
    <row r="2734" spans="5:9" x14ac:dyDescent="0.3">
      <c r="E2734" t="str">
        <f>IFERROR(IF(D2734="","",VLOOKUP(D2734,CadProd!$A:$B,2,0)),"")</f>
        <v/>
      </c>
      <c r="F2734" t="str">
        <f>IFERROR(IF(D2734="","",VLOOKUP(D2734,CadProd!$A:$C,3,0)),"")</f>
        <v/>
      </c>
      <c r="I2734" s="1" t="str">
        <f t="shared" si="42"/>
        <v/>
      </c>
    </row>
    <row r="2735" spans="5:9" x14ac:dyDescent="0.3">
      <c r="E2735" t="str">
        <f>IFERROR(IF(D2735="","",VLOOKUP(D2735,CadProd!$A:$B,2,0)),"")</f>
        <v/>
      </c>
      <c r="F2735" t="str">
        <f>IFERROR(IF(D2735="","",VLOOKUP(D2735,CadProd!$A:$C,3,0)),"")</f>
        <v/>
      </c>
      <c r="I2735" s="1" t="str">
        <f t="shared" si="42"/>
        <v/>
      </c>
    </row>
    <row r="2736" spans="5:9" x14ac:dyDescent="0.3">
      <c r="E2736" t="str">
        <f>IFERROR(IF(D2736="","",VLOOKUP(D2736,CadProd!$A:$B,2,0)),"")</f>
        <v/>
      </c>
      <c r="F2736" t="str">
        <f>IFERROR(IF(D2736="","",VLOOKUP(D2736,CadProd!$A:$C,3,0)),"")</f>
        <v/>
      </c>
      <c r="I2736" s="1" t="str">
        <f t="shared" si="42"/>
        <v/>
      </c>
    </row>
    <row r="2737" spans="5:9" x14ac:dyDescent="0.3">
      <c r="E2737" t="str">
        <f>IFERROR(IF(D2737="","",VLOOKUP(D2737,CadProd!$A:$B,2,0)),"")</f>
        <v/>
      </c>
      <c r="F2737" t="str">
        <f>IFERROR(IF(D2737="","",VLOOKUP(D2737,CadProd!$A:$C,3,0)),"")</f>
        <v/>
      </c>
      <c r="I2737" s="1" t="str">
        <f t="shared" si="42"/>
        <v/>
      </c>
    </row>
    <row r="2738" spans="5:9" x14ac:dyDescent="0.3">
      <c r="E2738" t="str">
        <f>IFERROR(IF(D2738="","",VLOOKUP(D2738,CadProd!$A:$B,2,0)),"")</f>
        <v/>
      </c>
      <c r="F2738" t="str">
        <f>IFERROR(IF(D2738="","",VLOOKUP(D2738,CadProd!$A:$C,3,0)),"")</f>
        <v/>
      </c>
      <c r="I2738" s="1" t="str">
        <f t="shared" si="42"/>
        <v/>
      </c>
    </row>
    <row r="2739" spans="5:9" x14ac:dyDescent="0.3">
      <c r="E2739" t="str">
        <f>IFERROR(IF(D2739="","",VLOOKUP(D2739,CadProd!$A:$B,2,0)),"")</f>
        <v/>
      </c>
      <c r="F2739" t="str">
        <f>IFERROR(IF(D2739="","",VLOOKUP(D2739,CadProd!$A:$C,3,0)),"")</f>
        <v/>
      </c>
      <c r="I2739" s="1" t="str">
        <f t="shared" si="42"/>
        <v/>
      </c>
    </row>
    <row r="2740" spans="5:9" x14ac:dyDescent="0.3">
      <c r="E2740" t="str">
        <f>IFERROR(IF(D2740="","",VLOOKUP(D2740,CadProd!$A:$B,2,0)),"")</f>
        <v/>
      </c>
      <c r="F2740" t="str">
        <f>IFERROR(IF(D2740="","",VLOOKUP(D2740,CadProd!$A:$C,3,0)),"")</f>
        <v/>
      </c>
      <c r="I2740" s="1" t="str">
        <f t="shared" si="42"/>
        <v/>
      </c>
    </row>
    <row r="2741" spans="5:9" x14ac:dyDescent="0.3">
      <c r="E2741" t="str">
        <f>IFERROR(IF(D2741="","",VLOOKUP(D2741,CadProd!$A:$B,2,0)),"")</f>
        <v/>
      </c>
      <c r="F2741" t="str">
        <f>IFERROR(IF(D2741="","",VLOOKUP(D2741,CadProd!$A:$C,3,0)),"")</f>
        <v/>
      </c>
      <c r="I2741" s="1" t="str">
        <f t="shared" si="42"/>
        <v/>
      </c>
    </row>
    <row r="2742" spans="5:9" x14ac:dyDescent="0.3">
      <c r="E2742" t="str">
        <f>IFERROR(IF(D2742="","",VLOOKUP(D2742,CadProd!$A:$B,2,0)),"")</f>
        <v/>
      </c>
      <c r="F2742" t="str">
        <f>IFERROR(IF(D2742="","",VLOOKUP(D2742,CadProd!$A:$C,3,0)),"")</f>
        <v/>
      </c>
      <c r="I2742" s="1" t="str">
        <f t="shared" si="42"/>
        <v/>
      </c>
    </row>
    <row r="2743" spans="5:9" x14ac:dyDescent="0.3">
      <c r="E2743" t="str">
        <f>IFERROR(IF(D2743="","",VLOOKUP(D2743,CadProd!$A:$B,2,0)),"")</f>
        <v/>
      </c>
      <c r="F2743" t="str">
        <f>IFERROR(IF(D2743="","",VLOOKUP(D2743,CadProd!$A:$C,3,0)),"")</f>
        <v/>
      </c>
      <c r="I2743" s="1" t="str">
        <f t="shared" si="42"/>
        <v/>
      </c>
    </row>
    <row r="2744" spans="5:9" x14ac:dyDescent="0.3">
      <c r="E2744" t="str">
        <f>IFERROR(IF(D2744="","",VLOOKUP(D2744,CadProd!$A:$B,2,0)),"")</f>
        <v/>
      </c>
      <c r="F2744" t="str">
        <f>IFERROR(IF(D2744="","",VLOOKUP(D2744,CadProd!$A:$C,3,0)),"")</f>
        <v/>
      </c>
      <c r="I2744" s="1" t="str">
        <f t="shared" si="42"/>
        <v/>
      </c>
    </row>
    <row r="2745" spans="5:9" x14ac:dyDescent="0.3">
      <c r="E2745" t="str">
        <f>IFERROR(IF(D2745="","",VLOOKUP(D2745,CadProd!$A:$B,2,0)),"")</f>
        <v/>
      </c>
      <c r="F2745" t="str">
        <f>IFERROR(IF(D2745="","",VLOOKUP(D2745,CadProd!$A:$C,3,0)),"")</f>
        <v/>
      </c>
      <c r="I2745" s="1" t="str">
        <f t="shared" si="42"/>
        <v/>
      </c>
    </row>
    <row r="2746" spans="5:9" x14ac:dyDescent="0.3">
      <c r="E2746" t="str">
        <f>IFERROR(IF(D2746="","",VLOOKUP(D2746,CadProd!$A:$B,2,0)),"")</f>
        <v/>
      </c>
      <c r="F2746" t="str">
        <f>IFERROR(IF(D2746="","",VLOOKUP(D2746,CadProd!$A:$C,3,0)),"")</f>
        <v/>
      </c>
      <c r="I2746" s="1" t="str">
        <f t="shared" si="42"/>
        <v/>
      </c>
    </row>
    <row r="2747" spans="5:9" x14ac:dyDescent="0.3">
      <c r="E2747" t="str">
        <f>IFERROR(IF(D2747="","",VLOOKUP(D2747,CadProd!$A:$B,2,0)),"")</f>
        <v/>
      </c>
      <c r="F2747" t="str">
        <f>IFERROR(IF(D2747="","",VLOOKUP(D2747,CadProd!$A:$C,3,0)),"")</f>
        <v/>
      </c>
      <c r="I2747" s="1" t="str">
        <f t="shared" si="42"/>
        <v/>
      </c>
    </row>
    <row r="2748" spans="5:9" x14ac:dyDescent="0.3">
      <c r="E2748" t="str">
        <f>IFERROR(IF(D2748="","",VLOOKUP(D2748,CadProd!$A:$B,2,0)),"")</f>
        <v/>
      </c>
      <c r="F2748" t="str">
        <f>IFERROR(IF(D2748="","",VLOOKUP(D2748,CadProd!$A:$C,3,0)),"")</f>
        <v/>
      </c>
      <c r="I2748" s="1" t="str">
        <f t="shared" si="42"/>
        <v/>
      </c>
    </row>
    <row r="2749" spans="5:9" x14ac:dyDescent="0.3">
      <c r="E2749" t="str">
        <f>IFERROR(IF(D2749="","",VLOOKUP(D2749,CadProd!$A:$B,2,0)),"")</f>
        <v/>
      </c>
      <c r="F2749" t="str">
        <f>IFERROR(IF(D2749="","",VLOOKUP(D2749,CadProd!$A:$C,3,0)),"")</f>
        <v/>
      </c>
      <c r="I2749" s="1" t="str">
        <f t="shared" si="42"/>
        <v/>
      </c>
    </row>
    <row r="2750" spans="5:9" x14ac:dyDescent="0.3">
      <c r="E2750" t="str">
        <f>IFERROR(IF(D2750="","",VLOOKUP(D2750,CadProd!$A:$B,2,0)),"")</f>
        <v/>
      </c>
      <c r="F2750" t="str">
        <f>IFERROR(IF(D2750="","",VLOOKUP(D2750,CadProd!$A:$C,3,0)),"")</f>
        <v/>
      </c>
      <c r="I2750" s="1" t="str">
        <f t="shared" si="42"/>
        <v/>
      </c>
    </row>
    <row r="2751" spans="5:9" x14ac:dyDescent="0.3">
      <c r="E2751" t="str">
        <f>IFERROR(IF(D2751="","",VLOOKUP(D2751,CadProd!$A:$B,2,0)),"")</f>
        <v/>
      </c>
      <c r="F2751" t="str">
        <f>IFERROR(IF(D2751="","",VLOOKUP(D2751,CadProd!$A:$C,3,0)),"")</f>
        <v/>
      </c>
      <c r="I2751" s="1" t="str">
        <f t="shared" si="42"/>
        <v/>
      </c>
    </row>
    <row r="2752" spans="5:9" x14ac:dyDescent="0.3">
      <c r="E2752" t="str">
        <f>IFERROR(IF(D2752="","",VLOOKUP(D2752,CadProd!$A:$B,2,0)),"")</f>
        <v/>
      </c>
      <c r="F2752" t="str">
        <f>IFERROR(IF(D2752="","",VLOOKUP(D2752,CadProd!$A:$C,3,0)),"")</f>
        <v/>
      </c>
      <c r="I2752" s="1" t="str">
        <f t="shared" si="42"/>
        <v/>
      </c>
    </row>
    <row r="2753" spans="5:9" x14ac:dyDescent="0.3">
      <c r="E2753" t="str">
        <f>IFERROR(IF(D2753="","",VLOOKUP(D2753,CadProd!$A:$B,2,0)),"")</f>
        <v/>
      </c>
      <c r="F2753" t="str">
        <f>IFERROR(IF(D2753="","",VLOOKUP(D2753,CadProd!$A:$C,3,0)),"")</f>
        <v/>
      </c>
      <c r="I2753" s="1" t="str">
        <f t="shared" si="42"/>
        <v/>
      </c>
    </row>
    <row r="2754" spans="5:9" x14ac:dyDescent="0.3">
      <c r="E2754" t="str">
        <f>IFERROR(IF(D2754="","",VLOOKUP(D2754,CadProd!$A:$B,2,0)),"")</f>
        <v/>
      </c>
      <c r="F2754" t="str">
        <f>IFERROR(IF(D2754="","",VLOOKUP(D2754,CadProd!$A:$C,3,0)),"")</f>
        <v/>
      </c>
      <c r="I2754" s="1" t="str">
        <f t="shared" si="42"/>
        <v/>
      </c>
    </row>
    <row r="2755" spans="5:9" x14ac:dyDescent="0.3">
      <c r="E2755" t="str">
        <f>IFERROR(IF(D2755="","",VLOOKUP(D2755,CadProd!$A:$B,2,0)),"")</f>
        <v/>
      </c>
      <c r="F2755" t="str">
        <f>IFERROR(IF(D2755="","",VLOOKUP(D2755,CadProd!$A:$C,3,0)),"")</f>
        <v/>
      </c>
      <c r="I2755" s="1" t="str">
        <f t="shared" si="42"/>
        <v/>
      </c>
    </row>
    <row r="2756" spans="5:9" x14ac:dyDescent="0.3">
      <c r="E2756" t="str">
        <f>IFERROR(IF(D2756="","",VLOOKUP(D2756,CadProd!$A:$B,2,0)),"")</f>
        <v/>
      </c>
      <c r="F2756" t="str">
        <f>IFERROR(IF(D2756="","",VLOOKUP(D2756,CadProd!$A:$C,3,0)),"")</f>
        <v/>
      </c>
      <c r="I2756" s="1" t="str">
        <f t="shared" si="42"/>
        <v/>
      </c>
    </row>
    <row r="2757" spans="5:9" x14ac:dyDescent="0.3">
      <c r="E2757" t="str">
        <f>IFERROR(IF(D2757="","",VLOOKUP(D2757,CadProd!$A:$B,2,0)),"")</f>
        <v/>
      </c>
      <c r="F2757" t="str">
        <f>IFERROR(IF(D2757="","",VLOOKUP(D2757,CadProd!$A:$C,3,0)),"")</f>
        <v/>
      </c>
      <c r="I2757" s="1" t="str">
        <f t="shared" si="42"/>
        <v/>
      </c>
    </row>
    <row r="2758" spans="5:9" x14ac:dyDescent="0.3">
      <c r="E2758" t="str">
        <f>IFERROR(IF(D2758="","",VLOOKUP(D2758,CadProd!$A:$B,2,0)),"")</f>
        <v/>
      </c>
      <c r="F2758" t="str">
        <f>IFERROR(IF(D2758="","",VLOOKUP(D2758,CadProd!$A:$C,3,0)),"")</f>
        <v/>
      </c>
      <c r="I2758" s="1" t="str">
        <f t="shared" si="42"/>
        <v/>
      </c>
    </row>
    <row r="2759" spans="5:9" x14ac:dyDescent="0.3">
      <c r="E2759" t="str">
        <f>IFERROR(IF(D2759="","",VLOOKUP(D2759,CadProd!$A:$B,2,0)),"")</f>
        <v/>
      </c>
      <c r="F2759" t="str">
        <f>IFERROR(IF(D2759="","",VLOOKUP(D2759,CadProd!$A:$C,3,0)),"")</f>
        <v/>
      </c>
      <c r="I2759" s="1" t="str">
        <f t="shared" si="42"/>
        <v/>
      </c>
    </row>
    <row r="2760" spans="5:9" x14ac:dyDescent="0.3">
      <c r="E2760" t="str">
        <f>IFERROR(IF(D2760="","",VLOOKUP(D2760,CadProd!$A:$B,2,0)),"")</f>
        <v/>
      </c>
      <c r="F2760" t="str">
        <f>IFERROR(IF(D2760="","",VLOOKUP(D2760,CadProd!$A:$C,3,0)),"")</f>
        <v/>
      </c>
      <c r="I2760" s="1" t="str">
        <f t="shared" si="42"/>
        <v/>
      </c>
    </row>
    <row r="2761" spans="5:9" x14ac:dyDescent="0.3">
      <c r="E2761" t="str">
        <f>IFERROR(IF(D2761="","",VLOOKUP(D2761,CadProd!$A:$B,2,0)),"")</f>
        <v/>
      </c>
      <c r="F2761" t="str">
        <f>IFERROR(IF(D2761="","",VLOOKUP(D2761,CadProd!$A:$C,3,0)),"")</f>
        <v/>
      </c>
      <c r="I2761" s="1" t="str">
        <f t="shared" si="42"/>
        <v/>
      </c>
    </row>
    <row r="2762" spans="5:9" x14ac:dyDescent="0.3">
      <c r="E2762" t="str">
        <f>IFERROR(IF(D2762="","",VLOOKUP(D2762,CadProd!$A:$B,2,0)),"")</f>
        <v/>
      </c>
      <c r="F2762" t="str">
        <f>IFERROR(IF(D2762="","",VLOOKUP(D2762,CadProd!$A:$C,3,0)),"")</f>
        <v/>
      </c>
      <c r="I2762" s="1" t="str">
        <f t="shared" si="42"/>
        <v/>
      </c>
    </row>
    <row r="2763" spans="5:9" x14ac:dyDescent="0.3">
      <c r="E2763" t="str">
        <f>IFERROR(IF(D2763="","",VLOOKUP(D2763,CadProd!$A:$B,2,0)),"")</f>
        <v/>
      </c>
      <c r="F2763" t="str">
        <f>IFERROR(IF(D2763="","",VLOOKUP(D2763,CadProd!$A:$C,3,0)),"")</f>
        <v/>
      </c>
      <c r="I2763" s="1" t="str">
        <f t="shared" ref="I2763:I2826" si="43">IFERROR(IF(D2763="","",H2763*G2763),"")</f>
        <v/>
      </c>
    </row>
    <row r="2764" spans="5:9" x14ac:dyDescent="0.3">
      <c r="E2764" t="str">
        <f>IFERROR(IF(D2764="","",VLOOKUP(D2764,CadProd!$A:$B,2,0)),"")</f>
        <v/>
      </c>
      <c r="F2764" t="str">
        <f>IFERROR(IF(D2764="","",VLOOKUP(D2764,CadProd!$A:$C,3,0)),"")</f>
        <v/>
      </c>
      <c r="I2764" s="1" t="str">
        <f t="shared" si="43"/>
        <v/>
      </c>
    </row>
    <row r="2765" spans="5:9" x14ac:dyDescent="0.3">
      <c r="E2765" t="str">
        <f>IFERROR(IF(D2765="","",VLOOKUP(D2765,CadProd!$A:$B,2,0)),"")</f>
        <v/>
      </c>
      <c r="F2765" t="str">
        <f>IFERROR(IF(D2765="","",VLOOKUP(D2765,CadProd!$A:$C,3,0)),"")</f>
        <v/>
      </c>
      <c r="I2765" s="1" t="str">
        <f t="shared" si="43"/>
        <v/>
      </c>
    </row>
    <row r="2766" spans="5:9" x14ac:dyDescent="0.3">
      <c r="E2766" t="str">
        <f>IFERROR(IF(D2766="","",VLOOKUP(D2766,CadProd!$A:$B,2,0)),"")</f>
        <v/>
      </c>
      <c r="F2766" t="str">
        <f>IFERROR(IF(D2766="","",VLOOKUP(D2766,CadProd!$A:$C,3,0)),"")</f>
        <v/>
      </c>
      <c r="I2766" s="1" t="str">
        <f t="shared" si="43"/>
        <v/>
      </c>
    </row>
    <row r="2767" spans="5:9" x14ac:dyDescent="0.3">
      <c r="E2767" t="str">
        <f>IFERROR(IF(D2767="","",VLOOKUP(D2767,CadProd!$A:$B,2,0)),"")</f>
        <v/>
      </c>
      <c r="F2767" t="str">
        <f>IFERROR(IF(D2767="","",VLOOKUP(D2767,CadProd!$A:$C,3,0)),"")</f>
        <v/>
      </c>
      <c r="I2767" s="1" t="str">
        <f t="shared" si="43"/>
        <v/>
      </c>
    </row>
    <row r="2768" spans="5:9" x14ac:dyDescent="0.3">
      <c r="E2768" t="str">
        <f>IFERROR(IF(D2768="","",VLOOKUP(D2768,CadProd!$A:$B,2,0)),"")</f>
        <v/>
      </c>
      <c r="F2768" t="str">
        <f>IFERROR(IF(D2768="","",VLOOKUP(D2768,CadProd!$A:$C,3,0)),"")</f>
        <v/>
      </c>
      <c r="I2768" s="1" t="str">
        <f t="shared" si="43"/>
        <v/>
      </c>
    </row>
    <row r="2769" spans="5:9" x14ac:dyDescent="0.3">
      <c r="E2769" t="str">
        <f>IFERROR(IF(D2769="","",VLOOKUP(D2769,CadProd!$A:$B,2,0)),"")</f>
        <v/>
      </c>
      <c r="F2769" t="str">
        <f>IFERROR(IF(D2769="","",VLOOKUP(D2769,CadProd!$A:$C,3,0)),"")</f>
        <v/>
      </c>
      <c r="I2769" s="1" t="str">
        <f t="shared" si="43"/>
        <v/>
      </c>
    </row>
    <row r="2770" spans="5:9" x14ac:dyDescent="0.3">
      <c r="E2770" t="str">
        <f>IFERROR(IF(D2770="","",VLOOKUP(D2770,CadProd!$A:$B,2,0)),"")</f>
        <v/>
      </c>
      <c r="F2770" t="str">
        <f>IFERROR(IF(D2770="","",VLOOKUP(D2770,CadProd!$A:$C,3,0)),"")</f>
        <v/>
      </c>
      <c r="I2770" s="1" t="str">
        <f t="shared" si="43"/>
        <v/>
      </c>
    </row>
    <row r="2771" spans="5:9" x14ac:dyDescent="0.3">
      <c r="E2771" t="str">
        <f>IFERROR(IF(D2771="","",VLOOKUP(D2771,CadProd!$A:$B,2,0)),"")</f>
        <v/>
      </c>
      <c r="F2771" t="str">
        <f>IFERROR(IF(D2771="","",VLOOKUP(D2771,CadProd!$A:$C,3,0)),"")</f>
        <v/>
      </c>
      <c r="I2771" s="1" t="str">
        <f t="shared" si="43"/>
        <v/>
      </c>
    </row>
    <row r="2772" spans="5:9" x14ac:dyDescent="0.3">
      <c r="E2772" t="str">
        <f>IFERROR(IF(D2772="","",VLOOKUP(D2772,CadProd!$A:$B,2,0)),"")</f>
        <v/>
      </c>
      <c r="F2772" t="str">
        <f>IFERROR(IF(D2772="","",VLOOKUP(D2772,CadProd!$A:$C,3,0)),"")</f>
        <v/>
      </c>
      <c r="I2772" s="1" t="str">
        <f t="shared" si="43"/>
        <v/>
      </c>
    </row>
    <row r="2773" spans="5:9" x14ac:dyDescent="0.3">
      <c r="E2773" t="str">
        <f>IFERROR(IF(D2773="","",VLOOKUP(D2773,CadProd!$A:$B,2,0)),"")</f>
        <v/>
      </c>
      <c r="F2773" t="str">
        <f>IFERROR(IF(D2773="","",VLOOKUP(D2773,CadProd!$A:$C,3,0)),"")</f>
        <v/>
      </c>
      <c r="I2773" s="1" t="str">
        <f t="shared" si="43"/>
        <v/>
      </c>
    </row>
    <row r="2774" spans="5:9" x14ac:dyDescent="0.3">
      <c r="E2774" t="str">
        <f>IFERROR(IF(D2774="","",VLOOKUP(D2774,CadProd!$A:$B,2,0)),"")</f>
        <v/>
      </c>
      <c r="F2774" t="str">
        <f>IFERROR(IF(D2774="","",VLOOKUP(D2774,CadProd!$A:$C,3,0)),"")</f>
        <v/>
      </c>
      <c r="I2774" s="1" t="str">
        <f t="shared" si="43"/>
        <v/>
      </c>
    </row>
    <row r="2775" spans="5:9" x14ac:dyDescent="0.3">
      <c r="E2775" t="str">
        <f>IFERROR(IF(D2775="","",VLOOKUP(D2775,CadProd!$A:$B,2,0)),"")</f>
        <v/>
      </c>
      <c r="F2775" t="str">
        <f>IFERROR(IF(D2775="","",VLOOKUP(D2775,CadProd!$A:$C,3,0)),"")</f>
        <v/>
      </c>
      <c r="I2775" s="1" t="str">
        <f t="shared" si="43"/>
        <v/>
      </c>
    </row>
    <row r="2776" spans="5:9" x14ac:dyDescent="0.3">
      <c r="E2776" t="str">
        <f>IFERROR(IF(D2776="","",VLOOKUP(D2776,CadProd!$A:$B,2,0)),"")</f>
        <v/>
      </c>
      <c r="F2776" t="str">
        <f>IFERROR(IF(D2776="","",VLOOKUP(D2776,CadProd!$A:$C,3,0)),"")</f>
        <v/>
      </c>
      <c r="I2776" s="1" t="str">
        <f t="shared" si="43"/>
        <v/>
      </c>
    </row>
    <row r="2777" spans="5:9" x14ac:dyDescent="0.3">
      <c r="E2777" t="str">
        <f>IFERROR(IF(D2777="","",VLOOKUP(D2777,CadProd!$A:$B,2,0)),"")</f>
        <v/>
      </c>
      <c r="F2777" t="str">
        <f>IFERROR(IF(D2777="","",VLOOKUP(D2777,CadProd!$A:$C,3,0)),"")</f>
        <v/>
      </c>
      <c r="I2777" s="1" t="str">
        <f t="shared" si="43"/>
        <v/>
      </c>
    </row>
    <row r="2778" spans="5:9" x14ac:dyDescent="0.3">
      <c r="E2778" t="str">
        <f>IFERROR(IF(D2778="","",VLOOKUP(D2778,CadProd!$A:$B,2,0)),"")</f>
        <v/>
      </c>
      <c r="F2778" t="str">
        <f>IFERROR(IF(D2778="","",VLOOKUP(D2778,CadProd!$A:$C,3,0)),"")</f>
        <v/>
      </c>
      <c r="I2778" s="1" t="str">
        <f t="shared" si="43"/>
        <v/>
      </c>
    </row>
    <row r="2779" spans="5:9" x14ac:dyDescent="0.3">
      <c r="E2779" t="str">
        <f>IFERROR(IF(D2779="","",VLOOKUP(D2779,CadProd!$A:$B,2,0)),"")</f>
        <v/>
      </c>
      <c r="F2779" t="str">
        <f>IFERROR(IF(D2779="","",VLOOKUP(D2779,CadProd!$A:$C,3,0)),"")</f>
        <v/>
      </c>
      <c r="I2779" s="1" t="str">
        <f t="shared" si="43"/>
        <v/>
      </c>
    </row>
    <row r="2780" spans="5:9" x14ac:dyDescent="0.3">
      <c r="E2780" t="str">
        <f>IFERROR(IF(D2780="","",VLOOKUP(D2780,CadProd!$A:$B,2,0)),"")</f>
        <v/>
      </c>
      <c r="F2780" t="str">
        <f>IFERROR(IF(D2780="","",VLOOKUP(D2780,CadProd!$A:$C,3,0)),"")</f>
        <v/>
      </c>
      <c r="I2780" s="1" t="str">
        <f t="shared" si="43"/>
        <v/>
      </c>
    </row>
    <row r="2781" spans="5:9" x14ac:dyDescent="0.3">
      <c r="E2781" t="str">
        <f>IFERROR(IF(D2781="","",VLOOKUP(D2781,CadProd!$A:$B,2,0)),"")</f>
        <v/>
      </c>
      <c r="F2781" t="str">
        <f>IFERROR(IF(D2781="","",VLOOKUP(D2781,CadProd!$A:$C,3,0)),"")</f>
        <v/>
      </c>
      <c r="I2781" s="1" t="str">
        <f t="shared" si="43"/>
        <v/>
      </c>
    </row>
    <row r="2782" spans="5:9" x14ac:dyDescent="0.3">
      <c r="E2782" t="str">
        <f>IFERROR(IF(D2782="","",VLOOKUP(D2782,CadProd!$A:$B,2,0)),"")</f>
        <v/>
      </c>
      <c r="F2782" t="str">
        <f>IFERROR(IF(D2782="","",VLOOKUP(D2782,CadProd!$A:$C,3,0)),"")</f>
        <v/>
      </c>
      <c r="I2782" s="1" t="str">
        <f t="shared" si="43"/>
        <v/>
      </c>
    </row>
    <row r="2783" spans="5:9" x14ac:dyDescent="0.3">
      <c r="E2783" t="str">
        <f>IFERROR(IF(D2783="","",VLOOKUP(D2783,CadProd!$A:$B,2,0)),"")</f>
        <v/>
      </c>
      <c r="F2783" t="str">
        <f>IFERROR(IF(D2783="","",VLOOKUP(D2783,CadProd!$A:$C,3,0)),"")</f>
        <v/>
      </c>
      <c r="I2783" s="1" t="str">
        <f t="shared" si="43"/>
        <v/>
      </c>
    </row>
    <row r="2784" spans="5:9" x14ac:dyDescent="0.3">
      <c r="E2784" t="str">
        <f>IFERROR(IF(D2784="","",VLOOKUP(D2784,CadProd!$A:$B,2,0)),"")</f>
        <v/>
      </c>
      <c r="F2784" t="str">
        <f>IFERROR(IF(D2784="","",VLOOKUP(D2784,CadProd!$A:$C,3,0)),"")</f>
        <v/>
      </c>
      <c r="I2784" s="1" t="str">
        <f t="shared" si="43"/>
        <v/>
      </c>
    </row>
    <row r="2785" spans="5:9" x14ac:dyDescent="0.3">
      <c r="E2785" t="str">
        <f>IFERROR(IF(D2785="","",VLOOKUP(D2785,CadProd!$A:$B,2,0)),"")</f>
        <v/>
      </c>
      <c r="F2785" t="str">
        <f>IFERROR(IF(D2785="","",VLOOKUP(D2785,CadProd!$A:$C,3,0)),"")</f>
        <v/>
      </c>
      <c r="I2785" s="1" t="str">
        <f t="shared" si="43"/>
        <v/>
      </c>
    </row>
    <row r="2786" spans="5:9" x14ac:dyDescent="0.3">
      <c r="E2786" t="str">
        <f>IFERROR(IF(D2786="","",VLOOKUP(D2786,CadProd!$A:$B,2,0)),"")</f>
        <v/>
      </c>
      <c r="F2786" t="str">
        <f>IFERROR(IF(D2786="","",VLOOKUP(D2786,CadProd!$A:$C,3,0)),"")</f>
        <v/>
      </c>
      <c r="I2786" s="1" t="str">
        <f t="shared" si="43"/>
        <v/>
      </c>
    </row>
    <row r="2787" spans="5:9" x14ac:dyDescent="0.3">
      <c r="E2787" t="str">
        <f>IFERROR(IF(D2787="","",VLOOKUP(D2787,CadProd!$A:$B,2,0)),"")</f>
        <v/>
      </c>
      <c r="F2787" t="str">
        <f>IFERROR(IF(D2787="","",VLOOKUP(D2787,CadProd!$A:$C,3,0)),"")</f>
        <v/>
      </c>
      <c r="I2787" s="1" t="str">
        <f t="shared" si="43"/>
        <v/>
      </c>
    </row>
    <row r="2788" spans="5:9" x14ac:dyDescent="0.3">
      <c r="E2788" t="str">
        <f>IFERROR(IF(D2788="","",VLOOKUP(D2788,CadProd!$A:$B,2,0)),"")</f>
        <v/>
      </c>
      <c r="F2788" t="str">
        <f>IFERROR(IF(D2788="","",VLOOKUP(D2788,CadProd!$A:$C,3,0)),"")</f>
        <v/>
      </c>
      <c r="I2788" s="1" t="str">
        <f t="shared" si="43"/>
        <v/>
      </c>
    </row>
    <row r="2789" spans="5:9" x14ac:dyDescent="0.3">
      <c r="E2789" t="str">
        <f>IFERROR(IF(D2789="","",VLOOKUP(D2789,CadProd!$A:$B,2,0)),"")</f>
        <v/>
      </c>
      <c r="F2789" t="str">
        <f>IFERROR(IF(D2789="","",VLOOKUP(D2789,CadProd!$A:$C,3,0)),"")</f>
        <v/>
      </c>
      <c r="I2789" s="1" t="str">
        <f t="shared" si="43"/>
        <v/>
      </c>
    </row>
    <row r="2790" spans="5:9" x14ac:dyDescent="0.3">
      <c r="E2790" t="str">
        <f>IFERROR(IF(D2790="","",VLOOKUP(D2790,CadProd!$A:$B,2,0)),"")</f>
        <v/>
      </c>
      <c r="F2790" t="str">
        <f>IFERROR(IF(D2790="","",VLOOKUP(D2790,CadProd!$A:$C,3,0)),"")</f>
        <v/>
      </c>
      <c r="I2790" s="1" t="str">
        <f t="shared" si="43"/>
        <v/>
      </c>
    </row>
    <row r="2791" spans="5:9" x14ac:dyDescent="0.3">
      <c r="E2791" t="str">
        <f>IFERROR(IF(D2791="","",VLOOKUP(D2791,CadProd!$A:$B,2,0)),"")</f>
        <v/>
      </c>
      <c r="F2791" t="str">
        <f>IFERROR(IF(D2791="","",VLOOKUP(D2791,CadProd!$A:$C,3,0)),"")</f>
        <v/>
      </c>
      <c r="I2791" s="1" t="str">
        <f t="shared" si="43"/>
        <v/>
      </c>
    </row>
    <row r="2792" spans="5:9" x14ac:dyDescent="0.3">
      <c r="E2792" t="str">
        <f>IFERROR(IF(D2792="","",VLOOKUP(D2792,CadProd!$A:$B,2,0)),"")</f>
        <v/>
      </c>
      <c r="F2792" t="str">
        <f>IFERROR(IF(D2792="","",VLOOKUP(D2792,CadProd!$A:$C,3,0)),"")</f>
        <v/>
      </c>
      <c r="I2792" s="1" t="str">
        <f t="shared" si="43"/>
        <v/>
      </c>
    </row>
    <row r="2793" spans="5:9" x14ac:dyDescent="0.3">
      <c r="E2793" t="str">
        <f>IFERROR(IF(D2793="","",VLOOKUP(D2793,CadProd!$A:$B,2,0)),"")</f>
        <v/>
      </c>
      <c r="F2793" t="str">
        <f>IFERROR(IF(D2793="","",VLOOKUP(D2793,CadProd!$A:$C,3,0)),"")</f>
        <v/>
      </c>
      <c r="I2793" s="1" t="str">
        <f t="shared" si="43"/>
        <v/>
      </c>
    </row>
    <row r="2794" spans="5:9" x14ac:dyDescent="0.3">
      <c r="E2794" t="str">
        <f>IFERROR(IF(D2794="","",VLOOKUP(D2794,CadProd!$A:$B,2,0)),"")</f>
        <v/>
      </c>
      <c r="F2794" t="str">
        <f>IFERROR(IF(D2794="","",VLOOKUP(D2794,CadProd!$A:$C,3,0)),"")</f>
        <v/>
      </c>
      <c r="I2794" s="1" t="str">
        <f t="shared" si="43"/>
        <v/>
      </c>
    </row>
    <row r="2795" spans="5:9" x14ac:dyDescent="0.3">
      <c r="E2795" t="str">
        <f>IFERROR(IF(D2795="","",VLOOKUP(D2795,CadProd!$A:$B,2,0)),"")</f>
        <v/>
      </c>
      <c r="F2795" t="str">
        <f>IFERROR(IF(D2795="","",VLOOKUP(D2795,CadProd!$A:$C,3,0)),"")</f>
        <v/>
      </c>
      <c r="I2795" s="1" t="str">
        <f t="shared" si="43"/>
        <v/>
      </c>
    </row>
    <row r="2796" spans="5:9" x14ac:dyDescent="0.3">
      <c r="E2796" t="str">
        <f>IFERROR(IF(D2796="","",VLOOKUP(D2796,CadProd!$A:$B,2,0)),"")</f>
        <v/>
      </c>
      <c r="F2796" t="str">
        <f>IFERROR(IF(D2796="","",VLOOKUP(D2796,CadProd!$A:$C,3,0)),"")</f>
        <v/>
      </c>
      <c r="I2796" s="1" t="str">
        <f t="shared" si="43"/>
        <v/>
      </c>
    </row>
    <row r="2797" spans="5:9" x14ac:dyDescent="0.3">
      <c r="E2797" t="str">
        <f>IFERROR(IF(D2797="","",VLOOKUP(D2797,CadProd!$A:$B,2,0)),"")</f>
        <v/>
      </c>
      <c r="F2797" t="str">
        <f>IFERROR(IF(D2797="","",VLOOKUP(D2797,CadProd!$A:$C,3,0)),"")</f>
        <v/>
      </c>
      <c r="I2797" s="1" t="str">
        <f t="shared" si="43"/>
        <v/>
      </c>
    </row>
    <row r="2798" spans="5:9" x14ac:dyDescent="0.3">
      <c r="E2798" t="str">
        <f>IFERROR(IF(D2798="","",VLOOKUP(D2798,CadProd!$A:$B,2,0)),"")</f>
        <v/>
      </c>
      <c r="F2798" t="str">
        <f>IFERROR(IF(D2798="","",VLOOKUP(D2798,CadProd!$A:$C,3,0)),"")</f>
        <v/>
      </c>
      <c r="I2798" s="1" t="str">
        <f t="shared" si="43"/>
        <v/>
      </c>
    </row>
    <row r="2799" spans="5:9" x14ac:dyDescent="0.3">
      <c r="E2799" t="str">
        <f>IFERROR(IF(D2799="","",VLOOKUP(D2799,CadProd!$A:$B,2,0)),"")</f>
        <v/>
      </c>
      <c r="F2799" t="str">
        <f>IFERROR(IF(D2799="","",VLOOKUP(D2799,CadProd!$A:$C,3,0)),"")</f>
        <v/>
      </c>
      <c r="I2799" s="1" t="str">
        <f t="shared" si="43"/>
        <v/>
      </c>
    </row>
    <row r="2800" spans="5:9" x14ac:dyDescent="0.3">
      <c r="E2800" t="str">
        <f>IFERROR(IF(D2800="","",VLOOKUP(D2800,CadProd!$A:$B,2,0)),"")</f>
        <v/>
      </c>
      <c r="F2800" t="str">
        <f>IFERROR(IF(D2800="","",VLOOKUP(D2800,CadProd!$A:$C,3,0)),"")</f>
        <v/>
      </c>
      <c r="I2800" s="1" t="str">
        <f t="shared" si="43"/>
        <v/>
      </c>
    </row>
    <row r="2801" spans="5:9" x14ac:dyDescent="0.3">
      <c r="E2801" t="str">
        <f>IFERROR(IF(D2801="","",VLOOKUP(D2801,CadProd!$A:$B,2,0)),"")</f>
        <v/>
      </c>
      <c r="F2801" t="str">
        <f>IFERROR(IF(D2801="","",VLOOKUP(D2801,CadProd!$A:$C,3,0)),"")</f>
        <v/>
      </c>
      <c r="I2801" s="1" t="str">
        <f t="shared" si="43"/>
        <v/>
      </c>
    </row>
    <row r="2802" spans="5:9" x14ac:dyDescent="0.3">
      <c r="E2802" t="str">
        <f>IFERROR(IF(D2802="","",VLOOKUP(D2802,CadProd!$A:$B,2,0)),"")</f>
        <v/>
      </c>
      <c r="F2802" t="str">
        <f>IFERROR(IF(D2802="","",VLOOKUP(D2802,CadProd!$A:$C,3,0)),"")</f>
        <v/>
      </c>
      <c r="I2802" s="1" t="str">
        <f t="shared" si="43"/>
        <v/>
      </c>
    </row>
    <row r="2803" spans="5:9" x14ac:dyDescent="0.3">
      <c r="E2803" t="str">
        <f>IFERROR(IF(D2803="","",VLOOKUP(D2803,CadProd!$A:$B,2,0)),"")</f>
        <v/>
      </c>
      <c r="F2803" t="str">
        <f>IFERROR(IF(D2803="","",VLOOKUP(D2803,CadProd!$A:$C,3,0)),"")</f>
        <v/>
      </c>
      <c r="I2803" s="1" t="str">
        <f t="shared" si="43"/>
        <v/>
      </c>
    </row>
    <row r="2804" spans="5:9" x14ac:dyDescent="0.3">
      <c r="E2804" t="str">
        <f>IFERROR(IF(D2804="","",VLOOKUP(D2804,CadProd!$A:$B,2,0)),"")</f>
        <v/>
      </c>
      <c r="F2804" t="str">
        <f>IFERROR(IF(D2804="","",VLOOKUP(D2804,CadProd!$A:$C,3,0)),"")</f>
        <v/>
      </c>
      <c r="I2804" s="1" t="str">
        <f t="shared" si="43"/>
        <v/>
      </c>
    </row>
    <row r="2805" spans="5:9" x14ac:dyDescent="0.3">
      <c r="E2805" t="str">
        <f>IFERROR(IF(D2805="","",VLOOKUP(D2805,CadProd!$A:$B,2,0)),"")</f>
        <v/>
      </c>
      <c r="F2805" t="str">
        <f>IFERROR(IF(D2805="","",VLOOKUP(D2805,CadProd!$A:$C,3,0)),"")</f>
        <v/>
      </c>
      <c r="I2805" s="1" t="str">
        <f t="shared" si="43"/>
        <v/>
      </c>
    </row>
    <row r="2806" spans="5:9" x14ac:dyDescent="0.3">
      <c r="E2806" t="str">
        <f>IFERROR(IF(D2806="","",VLOOKUP(D2806,CadProd!$A:$B,2,0)),"")</f>
        <v/>
      </c>
      <c r="F2806" t="str">
        <f>IFERROR(IF(D2806="","",VLOOKUP(D2806,CadProd!$A:$C,3,0)),"")</f>
        <v/>
      </c>
      <c r="I2806" s="1" t="str">
        <f t="shared" si="43"/>
        <v/>
      </c>
    </row>
    <row r="2807" spans="5:9" x14ac:dyDescent="0.3">
      <c r="E2807" t="str">
        <f>IFERROR(IF(D2807="","",VLOOKUP(D2807,CadProd!$A:$B,2,0)),"")</f>
        <v/>
      </c>
      <c r="F2807" t="str">
        <f>IFERROR(IF(D2807="","",VLOOKUP(D2807,CadProd!$A:$C,3,0)),"")</f>
        <v/>
      </c>
      <c r="I2807" s="1" t="str">
        <f t="shared" si="43"/>
        <v/>
      </c>
    </row>
    <row r="2808" spans="5:9" x14ac:dyDescent="0.3">
      <c r="E2808" t="str">
        <f>IFERROR(IF(D2808="","",VLOOKUP(D2808,CadProd!$A:$B,2,0)),"")</f>
        <v/>
      </c>
      <c r="F2808" t="str">
        <f>IFERROR(IF(D2808="","",VLOOKUP(D2808,CadProd!$A:$C,3,0)),"")</f>
        <v/>
      </c>
      <c r="I2808" s="1" t="str">
        <f t="shared" si="43"/>
        <v/>
      </c>
    </row>
    <row r="2809" spans="5:9" x14ac:dyDescent="0.3">
      <c r="E2809" t="str">
        <f>IFERROR(IF(D2809="","",VLOOKUP(D2809,CadProd!$A:$B,2,0)),"")</f>
        <v/>
      </c>
      <c r="F2809" t="str">
        <f>IFERROR(IF(D2809="","",VLOOKUP(D2809,CadProd!$A:$C,3,0)),"")</f>
        <v/>
      </c>
      <c r="I2809" s="1" t="str">
        <f t="shared" si="43"/>
        <v/>
      </c>
    </row>
    <row r="2810" spans="5:9" x14ac:dyDescent="0.3">
      <c r="E2810" t="str">
        <f>IFERROR(IF(D2810="","",VLOOKUP(D2810,CadProd!$A:$B,2,0)),"")</f>
        <v/>
      </c>
      <c r="F2810" t="str">
        <f>IFERROR(IF(D2810="","",VLOOKUP(D2810,CadProd!$A:$C,3,0)),"")</f>
        <v/>
      </c>
      <c r="I2810" s="1" t="str">
        <f t="shared" si="43"/>
        <v/>
      </c>
    </row>
    <row r="2811" spans="5:9" x14ac:dyDescent="0.3">
      <c r="E2811" t="str">
        <f>IFERROR(IF(D2811="","",VLOOKUP(D2811,CadProd!$A:$B,2,0)),"")</f>
        <v/>
      </c>
      <c r="F2811" t="str">
        <f>IFERROR(IF(D2811="","",VLOOKUP(D2811,CadProd!$A:$C,3,0)),"")</f>
        <v/>
      </c>
      <c r="I2811" s="1" t="str">
        <f t="shared" si="43"/>
        <v/>
      </c>
    </row>
    <row r="2812" spans="5:9" x14ac:dyDescent="0.3">
      <c r="E2812" t="str">
        <f>IFERROR(IF(D2812="","",VLOOKUP(D2812,CadProd!$A:$B,2,0)),"")</f>
        <v/>
      </c>
      <c r="F2812" t="str">
        <f>IFERROR(IF(D2812="","",VLOOKUP(D2812,CadProd!$A:$C,3,0)),"")</f>
        <v/>
      </c>
      <c r="I2812" s="1" t="str">
        <f t="shared" si="43"/>
        <v/>
      </c>
    </row>
    <row r="2813" spans="5:9" x14ac:dyDescent="0.3">
      <c r="E2813" t="str">
        <f>IFERROR(IF(D2813="","",VLOOKUP(D2813,CadProd!$A:$B,2,0)),"")</f>
        <v/>
      </c>
      <c r="F2813" t="str">
        <f>IFERROR(IF(D2813="","",VLOOKUP(D2813,CadProd!$A:$C,3,0)),"")</f>
        <v/>
      </c>
      <c r="I2813" s="1" t="str">
        <f t="shared" si="43"/>
        <v/>
      </c>
    </row>
    <row r="2814" spans="5:9" x14ac:dyDescent="0.3">
      <c r="E2814" t="str">
        <f>IFERROR(IF(D2814="","",VLOOKUP(D2814,CadProd!$A:$B,2,0)),"")</f>
        <v/>
      </c>
      <c r="F2814" t="str">
        <f>IFERROR(IF(D2814="","",VLOOKUP(D2814,CadProd!$A:$C,3,0)),"")</f>
        <v/>
      </c>
      <c r="I2814" s="1" t="str">
        <f t="shared" si="43"/>
        <v/>
      </c>
    </row>
    <row r="2815" spans="5:9" x14ac:dyDescent="0.3">
      <c r="E2815" t="str">
        <f>IFERROR(IF(D2815="","",VLOOKUP(D2815,CadProd!$A:$B,2,0)),"")</f>
        <v/>
      </c>
      <c r="F2815" t="str">
        <f>IFERROR(IF(D2815="","",VLOOKUP(D2815,CadProd!$A:$C,3,0)),"")</f>
        <v/>
      </c>
      <c r="I2815" s="1" t="str">
        <f t="shared" si="43"/>
        <v/>
      </c>
    </row>
    <row r="2816" spans="5:9" x14ac:dyDescent="0.3">
      <c r="E2816" t="str">
        <f>IFERROR(IF(D2816="","",VLOOKUP(D2816,CadProd!$A:$B,2,0)),"")</f>
        <v/>
      </c>
      <c r="F2816" t="str">
        <f>IFERROR(IF(D2816="","",VLOOKUP(D2816,CadProd!$A:$C,3,0)),"")</f>
        <v/>
      </c>
      <c r="I2816" s="1" t="str">
        <f t="shared" si="43"/>
        <v/>
      </c>
    </row>
    <row r="2817" spans="5:9" x14ac:dyDescent="0.3">
      <c r="E2817" t="str">
        <f>IFERROR(IF(D2817="","",VLOOKUP(D2817,CadProd!$A:$B,2,0)),"")</f>
        <v/>
      </c>
      <c r="F2817" t="str">
        <f>IFERROR(IF(D2817="","",VLOOKUP(D2817,CadProd!$A:$C,3,0)),"")</f>
        <v/>
      </c>
      <c r="I2817" s="1" t="str">
        <f t="shared" si="43"/>
        <v/>
      </c>
    </row>
    <row r="2818" spans="5:9" x14ac:dyDescent="0.3">
      <c r="E2818" t="str">
        <f>IFERROR(IF(D2818="","",VLOOKUP(D2818,CadProd!$A:$B,2,0)),"")</f>
        <v/>
      </c>
      <c r="F2818" t="str">
        <f>IFERROR(IF(D2818="","",VLOOKUP(D2818,CadProd!$A:$C,3,0)),"")</f>
        <v/>
      </c>
      <c r="I2818" s="1" t="str">
        <f t="shared" si="43"/>
        <v/>
      </c>
    </row>
    <row r="2819" spans="5:9" x14ac:dyDescent="0.3">
      <c r="E2819" t="str">
        <f>IFERROR(IF(D2819="","",VLOOKUP(D2819,CadProd!$A:$B,2,0)),"")</f>
        <v/>
      </c>
      <c r="F2819" t="str">
        <f>IFERROR(IF(D2819="","",VLOOKUP(D2819,CadProd!$A:$C,3,0)),"")</f>
        <v/>
      </c>
      <c r="I2819" s="1" t="str">
        <f t="shared" si="43"/>
        <v/>
      </c>
    </row>
    <row r="2820" spans="5:9" x14ac:dyDescent="0.3">
      <c r="E2820" t="str">
        <f>IFERROR(IF(D2820="","",VLOOKUP(D2820,CadProd!$A:$B,2,0)),"")</f>
        <v/>
      </c>
      <c r="F2820" t="str">
        <f>IFERROR(IF(D2820="","",VLOOKUP(D2820,CadProd!$A:$C,3,0)),"")</f>
        <v/>
      </c>
      <c r="I2820" s="1" t="str">
        <f t="shared" si="43"/>
        <v/>
      </c>
    </row>
    <row r="2821" spans="5:9" x14ac:dyDescent="0.3">
      <c r="E2821" t="str">
        <f>IFERROR(IF(D2821="","",VLOOKUP(D2821,CadProd!$A:$B,2,0)),"")</f>
        <v/>
      </c>
      <c r="F2821" t="str">
        <f>IFERROR(IF(D2821="","",VLOOKUP(D2821,CadProd!$A:$C,3,0)),"")</f>
        <v/>
      </c>
      <c r="I2821" s="1" t="str">
        <f t="shared" si="43"/>
        <v/>
      </c>
    </row>
    <row r="2822" spans="5:9" x14ac:dyDescent="0.3">
      <c r="E2822" t="str">
        <f>IFERROR(IF(D2822="","",VLOOKUP(D2822,CadProd!$A:$B,2,0)),"")</f>
        <v/>
      </c>
      <c r="F2822" t="str">
        <f>IFERROR(IF(D2822="","",VLOOKUP(D2822,CadProd!$A:$C,3,0)),"")</f>
        <v/>
      </c>
      <c r="I2822" s="1" t="str">
        <f t="shared" si="43"/>
        <v/>
      </c>
    </row>
    <row r="2823" spans="5:9" x14ac:dyDescent="0.3">
      <c r="E2823" t="str">
        <f>IFERROR(IF(D2823="","",VLOOKUP(D2823,CadProd!$A:$B,2,0)),"")</f>
        <v/>
      </c>
      <c r="F2823" t="str">
        <f>IFERROR(IF(D2823="","",VLOOKUP(D2823,CadProd!$A:$C,3,0)),"")</f>
        <v/>
      </c>
      <c r="I2823" s="1" t="str">
        <f t="shared" si="43"/>
        <v/>
      </c>
    </row>
    <row r="2824" spans="5:9" x14ac:dyDescent="0.3">
      <c r="E2824" t="str">
        <f>IFERROR(IF(D2824="","",VLOOKUP(D2824,CadProd!$A:$B,2,0)),"")</f>
        <v/>
      </c>
      <c r="F2824" t="str">
        <f>IFERROR(IF(D2824="","",VLOOKUP(D2824,CadProd!$A:$C,3,0)),"")</f>
        <v/>
      </c>
      <c r="I2824" s="1" t="str">
        <f t="shared" si="43"/>
        <v/>
      </c>
    </row>
    <row r="2825" spans="5:9" x14ac:dyDescent="0.3">
      <c r="E2825" t="str">
        <f>IFERROR(IF(D2825="","",VLOOKUP(D2825,CadProd!$A:$B,2,0)),"")</f>
        <v/>
      </c>
      <c r="F2825" t="str">
        <f>IFERROR(IF(D2825="","",VLOOKUP(D2825,CadProd!$A:$C,3,0)),"")</f>
        <v/>
      </c>
      <c r="I2825" s="1" t="str">
        <f t="shared" si="43"/>
        <v/>
      </c>
    </row>
    <row r="2826" spans="5:9" x14ac:dyDescent="0.3">
      <c r="E2826" t="str">
        <f>IFERROR(IF(D2826="","",VLOOKUP(D2826,CadProd!$A:$B,2,0)),"")</f>
        <v/>
      </c>
      <c r="F2826" t="str">
        <f>IFERROR(IF(D2826="","",VLOOKUP(D2826,CadProd!$A:$C,3,0)),"")</f>
        <v/>
      </c>
      <c r="I2826" s="1" t="str">
        <f t="shared" si="43"/>
        <v/>
      </c>
    </row>
    <row r="2827" spans="5:9" x14ac:dyDescent="0.3">
      <c r="E2827" t="str">
        <f>IFERROR(IF(D2827="","",VLOOKUP(D2827,CadProd!$A:$B,2,0)),"")</f>
        <v/>
      </c>
      <c r="F2827" t="str">
        <f>IFERROR(IF(D2827="","",VLOOKUP(D2827,CadProd!$A:$C,3,0)),"")</f>
        <v/>
      </c>
      <c r="I2827" s="1" t="str">
        <f t="shared" ref="I2827:I2890" si="44">IFERROR(IF(D2827="","",H2827*G2827),"")</f>
        <v/>
      </c>
    </row>
    <row r="2828" spans="5:9" x14ac:dyDescent="0.3">
      <c r="E2828" t="str">
        <f>IFERROR(IF(D2828="","",VLOOKUP(D2828,CadProd!$A:$B,2,0)),"")</f>
        <v/>
      </c>
      <c r="F2828" t="str">
        <f>IFERROR(IF(D2828="","",VLOOKUP(D2828,CadProd!$A:$C,3,0)),"")</f>
        <v/>
      </c>
      <c r="I2828" s="1" t="str">
        <f t="shared" si="44"/>
        <v/>
      </c>
    </row>
    <row r="2829" spans="5:9" x14ac:dyDescent="0.3">
      <c r="E2829" t="str">
        <f>IFERROR(IF(D2829="","",VLOOKUP(D2829,CadProd!$A:$B,2,0)),"")</f>
        <v/>
      </c>
      <c r="F2829" t="str">
        <f>IFERROR(IF(D2829="","",VLOOKUP(D2829,CadProd!$A:$C,3,0)),"")</f>
        <v/>
      </c>
      <c r="I2829" s="1" t="str">
        <f t="shared" si="44"/>
        <v/>
      </c>
    </row>
    <row r="2830" spans="5:9" x14ac:dyDescent="0.3">
      <c r="E2830" t="str">
        <f>IFERROR(IF(D2830="","",VLOOKUP(D2830,CadProd!$A:$B,2,0)),"")</f>
        <v/>
      </c>
      <c r="F2830" t="str">
        <f>IFERROR(IF(D2830="","",VLOOKUP(D2830,CadProd!$A:$C,3,0)),"")</f>
        <v/>
      </c>
      <c r="I2830" s="1" t="str">
        <f t="shared" si="44"/>
        <v/>
      </c>
    </row>
    <row r="2831" spans="5:9" x14ac:dyDescent="0.3">
      <c r="E2831" t="str">
        <f>IFERROR(IF(D2831="","",VLOOKUP(D2831,CadProd!$A:$B,2,0)),"")</f>
        <v/>
      </c>
      <c r="F2831" t="str">
        <f>IFERROR(IF(D2831="","",VLOOKUP(D2831,CadProd!$A:$C,3,0)),"")</f>
        <v/>
      </c>
      <c r="I2831" s="1" t="str">
        <f t="shared" si="44"/>
        <v/>
      </c>
    </row>
    <row r="2832" spans="5:9" x14ac:dyDescent="0.3">
      <c r="E2832" t="str">
        <f>IFERROR(IF(D2832="","",VLOOKUP(D2832,CadProd!$A:$B,2,0)),"")</f>
        <v/>
      </c>
      <c r="F2832" t="str">
        <f>IFERROR(IF(D2832="","",VLOOKUP(D2832,CadProd!$A:$C,3,0)),"")</f>
        <v/>
      </c>
      <c r="I2832" s="1" t="str">
        <f t="shared" si="44"/>
        <v/>
      </c>
    </row>
    <row r="2833" spans="5:9" x14ac:dyDescent="0.3">
      <c r="E2833" t="str">
        <f>IFERROR(IF(D2833="","",VLOOKUP(D2833,CadProd!$A:$B,2,0)),"")</f>
        <v/>
      </c>
      <c r="F2833" t="str">
        <f>IFERROR(IF(D2833="","",VLOOKUP(D2833,CadProd!$A:$C,3,0)),"")</f>
        <v/>
      </c>
      <c r="I2833" s="1" t="str">
        <f t="shared" si="44"/>
        <v/>
      </c>
    </row>
    <row r="2834" spans="5:9" x14ac:dyDescent="0.3">
      <c r="E2834" t="str">
        <f>IFERROR(IF(D2834="","",VLOOKUP(D2834,CadProd!$A:$B,2,0)),"")</f>
        <v/>
      </c>
      <c r="F2834" t="str">
        <f>IFERROR(IF(D2834="","",VLOOKUP(D2834,CadProd!$A:$C,3,0)),"")</f>
        <v/>
      </c>
      <c r="I2834" s="1" t="str">
        <f t="shared" si="44"/>
        <v/>
      </c>
    </row>
    <row r="2835" spans="5:9" x14ac:dyDescent="0.3">
      <c r="E2835" t="str">
        <f>IFERROR(IF(D2835="","",VLOOKUP(D2835,CadProd!$A:$B,2,0)),"")</f>
        <v/>
      </c>
      <c r="F2835" t="str">
        <f>IFERROR(IF(D2835="","",VLOOKUP(D2835,CadProd!$A:$C,3,0)),"")</f>
        <v/>
      </c>
      <c r="I2835" s="1" t="str">
        <f t="shared" si="44"/>
        <v/>
      </c>
    </row>
    <row r="2836" spans="5:9" x14ac:dyDescent="0.3">
      <c r="E2836" t="str">
        <f>IFERROR(IF(D2836="","",VLOOKUP(D2836,CadProd!$A:$B,2,0)),"")</f>
        <v/>
      </c>
      <c r="F2836" t="str">
        <f>IFERROR(IF(D2836="","",VLOOKUP(D2836,CadProd!$A:$C,3,0)),"")</f>
        <v/>
      </c>
      <c r="I2836" s="1" t="str">
        <f t="shared" si="44"/>
        <v/>
      </c>
    </row>
    <row r="2837" spans="5:9" x14ac:dyDescent="0.3">
      <c r="E2837" t="str">
        <f>IFERROR(IF(D2837="","",VLOOKUP(D2837,CadProd!$A:$B,2,0)),"")</f>
        <v/>
      </c>
      <c r="F2837" t="str">
        <f>IFERROR(IF(D2837="","",VLOOKUP(D2837,CadProd!$A:$C,3,0)),"")</f>
        <v/>
      </c>
      <c r="I2837" s="1" t="str">
        <f t="shared" si="44"/>
        <v/>
      </c>
    </row>
    <row r="2838" spans="5:9" x14ac:dyDescent="0.3">
      <c r="E2838" t="str">
        <f>IFERROR(IF(D2838="","",VLOOKUP(D2838,CadProd!$A:$B,2,0)),"")</f>
        <v/>
      </c>
      <c r="F2838" t="str">
        <f>IFERROR(IF(D2838="","",VLOOKUP(D2838,CadProd!$A:$C,3,0)),"")</f>
        <v/>
      </c>
      <c r="I2838" s="1" t="str">
        <f t="shared" si="44"/>
        <v/>
      </c>
    </row>
    <row r="2839" spans="5:9" x14ac:dyDescent="0.3">
      <c r="E2839" t="str">
        <f>IFERROR(IF(D2839="","",VLOOKUP(D2839,CadProd!$A:$B,2,0)),"")</f>
        <v/>
      </c>
      <c r="F2839" t="str">
        <f>IFERROR(IF(D2839="","",VLOOKUP(D2839,CadProd!$A:$C,3,0)),"")</f>
        <v/>
      </c>
      <c r="I2839" s="1" t="str">
        <f t="shared" si="44"/>
        <v/>
      </c>
    </row>
    <row r="2840" spans="5:9" x14ac:dyDescent="0.3">
      <c r="E2840" t="str">
        <f>IFERROR(IF(D2840="","",VLOOKUP(D2840,CadProd!$A:$B,2,0)),"")</f>
        <v/>
      </c>
      <c r="F2840" t="str">
        <f>IFERROR(IF(D2840="","",VLOOKUP(D2840,CadProd!$A:$C,3,0)),"")</f>
        <v/>
      </c>
      <c r="I2840" s="1" t="str">
        <f t="shared" si="44"/>
        <v/>
      </c>
    </row>
    <row r="2841" spans="5:9" x14ac:dyDescent="0.3">
      <c r="E2841" t="str">
        <f>IFERROR(IF(D2841="","",VLOOKUP(D2841,CadProd!$A:$B,2,0)),"")</f>
        <v/>
      </c>
      <c r="F2841" t="str">
        <f>IFERROR(IF(D2841="","",VLOOKUP(D2841,CadProd!$A:$C,3,0)),"")</f>
        <v/>
      </c>
      <c r="I2841" s="1" t="str">
        <f t="shared" si="44"/>
        <v/>
      </c>
    </row>
    <row r="2842" spans="5:9" x14ac:dyDescent="0.3">
      <c r="E2842" t="str">
        <f>IFERROR(IF(D2842="","",VLOOKUP(D2842,CadProd!$A:$B,2,0)),"")</f>
        <v/>
      </c>
      <c r="F2842" t="str">
        <f>IFERROR(IF(D2842="","",VLOOKUP(D2842,CadProd!$A:$C,3,0)),"")</f>
        <v/>
      </c>
      <c r="I2842" s="1" t="str">
        <f t="shared" si="44"/>
        <v/>
      </c>
    </row>
    <row r="2843" spans="5:9" x14ac:dyDescent="0.3">
      <c r="E2843" t="str">
        <f>IFERROR(IF(D2843="","",VLOOKUP(D2843,CadProd!$A:$B,2,0)),"")</f>
        <v/>
      </c>
      <c r="F2843" t="str">
        <f>IFERROR(IF(D2843="","",VLOOKUP(D2843,CadProd!$A:$C,3,0)),"")</f>
        <v/>
      </c>
      <c r="I2843" s="1" t="str">
        <f t="shared" si="44"/>
        <v/>
      </c>
    </row>
    <row r="2844" spans="5:9" x14ac:dyDescent="0.3">
      <c r="E2844" t="str">
        <f>IFERROR(IF(D2844="","",VLOOKUP(D2844,CadProd!$A:$B,2,0)),"")</f>
        <v/>
      </c>
      <c r="F2844" t="str">
        <f>IFERROR(IF(D2844="","",VLOOKUP(D2844,CadProd!$A:$C,3,0)),"")</f>
        <v/>
      </c>
      <c r="I2844" s="1" t="str">
        <f t="shared" si="44"/>
        <v/>
      </c>
    </row>
    <row r="2845" spans="5:9" x14ac:dyDescent="0.3">
      <c r="E2845" t="str">
        <f>IFERROR(IF(D2845="","",VLOOKUP(D2845,CadProd!$A:$B,2,0)),"")</f>
        <v/>
      </c>
      <c r="F2845" t="str">
        <f>IFERROR(IF(D2845="","",VLOOKUP(D2845,CadProd!$A:$C,3,0)),"")</f>
        <v/>
      </c>
      <c r="I2845" s="1" t="str">
        <f t="shared" si="44"/>
        <v/>
      </c>
    </row>
    <row r="2846" spans="5:9" x14ac:dyDescent="0.3">
      <c r="E2846" t="str">
        <f>IFERROR(IF(D2846="","",VLOOKUP(D2846,CadProd!$A:$B,2,0)),"")</f>
        <v/>
      </c>
      <c r="F2846" t="str">
        <f>IFERROR(IF(D2846="","",VLOOKUP(D2846,CadProd!$A:$C,3,0)),"")</f>
        <v/>
      </c>
      <c r="I2846" s="1" t="str">
        <f t="shared" si="44"/>
        <v/>
      </c>
    </row>
    <row r="2847" spans="5:9" x14ac:dyDescent="0.3">
      <c r="E2847" t="str">
        <f>IFERROR(IF(D2847="","",VLOOKUP(D2847,CadProd!$A:$B,2,0)),"")</f>
        <v/>
      </c>
      <c r="F2847" t="str">
        <f>IFERROR(IF(D2847="","",VLOOKUP(D2847,CadProd!$A:$C,3,0)),"")</f>
        <v/>
      </c>
      <c r="I2847" s="1" t="str">
        <f t="shared" si="44"/>
        <v/>
      </c>
    </row>
    <row r="2848" spans="5:9" x14ac:dyDescent="0.3">
      <c r="E2848" t="str">
        <f>IFERROR(IF(D2848="","",VLOOKUP(D2848,CadProd!$A:$B,2,0)),"")</f>
        <v/>
      </c>
      <c r="F2848" t="str">
        <f>IFERROR(IF(D2848="","",VLOOKUP(D2848,CadProd!$A:$C,3,0)),"")</f>
        <v/>
      </c>
      <c r="I2848" s="1" t="str">
        <f t="shared" si="44"/>
        <v/>
      </c>
    </row>
    <row r="2849" spans="5:9" x14ac:dyDescent="0.3">
      <c r="E2849" t="str">
        <f>IFERROR(IF(D2849="","",VLOOKUP(D2849,CadProd!$A:$B,2,0)),"")</f>
        <v/>
      </c>
      <c r="F2849" t="str">
        <f>IFERROR(IF(D2849="","",VLOOKUP(D2849,CadProd!$A:$C,3,0)),"")</f>
        <v/>
      </c>
      <c r="I2849" s="1" t="str">
        <f t="shared" si="44"/>
        <v/>
      </c>
    </row>
    <row r="2850" spans="5:9" x14ac:dyDescent="0.3">
      <c r="E2850" t="str">
        <f>IFERROR(IF(D2850="","",VLOOKUP(D2850,CadProd!$A:$B,2,0)),"")</f>
        <v/>
      </c>
      <c r="F2850" t="str">
        <f>IFERROR(IF(D2850="","",VLOOKUP(D2850,CadProd!$A:$C,3,0)),"")</f>
        <v/>
      </c>
      <c r="I2850" s="1" t="str">
        <f t="shared" si="44"/>
        <v/>
      </c>
    </row>
    <row r="2851" spans="5:9" x14ac:dyDescent="0.3">
      <c r="E2851" t="str">
        <f>IFERROR(IF(D2851="","",VLOOKUP(D2851,CadProd!$A:$B,2,0)),"")</f>
        <v/>
      </c>
      <c r="F2851" t="str">
        <f>IFERROR(IF(D2851="","",VLOOKUP(D2851,CadProd!$A:$C,3,0)),"")</f>
        <v/>
      </c>
      <c r="I2851" s="1" t="str">
        <f t="shared" si="44"/>
        <v/>
      </c>
    </row>
    <row r="2852" spans="5:9" x14ac:dyDescent="0.3">
      <c r="E2852" t="str">
        <f>IFERROR(IF(D2852="","",VLOOKUP(D2852,CadProd!$A:$B,2,0)),"")</f>
        <v/>
      </c>
      <c r="F2852" t="str">
        <f>IFERROR(IF(D2852="","",VLOOKUP(D2852,CadProd!$A:$C,3,0)),"")</f>
        <v/>
      </c>
      <c r="I2852" s="1" t="str">
        <f t="shared" si="44"/>
        <v/>
      </c>
    </row>
    <row r="2853" spans="5:9" x14ac:dyDescent="0.3">
      <c r="E2853" t="str">
        <f>IFERROR(IF(D2853="","",VLOOKUP(D2853,CadProd!$A:$B,2,0)),"")</f>
        <v/>
      </c>
      <c r="F2853" t="str">
        <f>IFERROR(IF(D2853="","",VLOOKUP(D2853,CadProd!$A:$C,3,0)),"")</f>
        <v/>
      </c>
      <c r="I2853" s="1" t="str">
        <f t="shared" si="44"/>
        <v/>
      </c>
    </row>
    <row r="2854" spans="5:9" x14ac:dyDescent="0.3">
      <c r="E2854" t="str">
        <f>IFERROR(IF(D2854="","",VLOOKUP(D2854,CadProd!$A:$B,2,0)),"")</f>
        <v/>
      </c>
      <c r="F2854" t="str">
        <f>IFERROR(IF(D2854="","",VLOOKUP(D2854,CadProd!$A:$C,3,0)),"")</f>
        <v/>
      </c>
      <c r="I2854" s="1" t="str">
        <f t="shared" si="44"/>
        <v/>
      </c>
    </row>
    <row r="2855" spans="5:9" x14ac:dyDescent="0.3">
      <c r="E2855" t="str">
        <f>IFERROR(IF(D2855="","",VLOOKUP(D2855,CadProd!$A:$B,2,0)),"")</f>
        <v/>
      </c>
      <c r="F2855" t="str">
        <f>IFERROR(IF(D2855="","",VLOOKUP(D2855,CadProd!$A:$C,3,0)),"")</f>
        <v/>
      </c>
      <c r="I2855" s="1" t="str">
        <f t="shared" si="44"/>
        <v/>
      </c>
    </row>
    <row r="2856" spans="5:9" x14ac:dyDescent="0.3">
      <c r="E2856" t="str">
        <f>IFERROR(IF(D2856="","",VLOOKUP(D2856,CadProd!$A:$B,2,0)),"")</f>
        <v/>
      </c>
      <c r="F2856" t="str">
        <f>IFERROR(IF(D2856="","",VLOOKUP(D2856,CadProd!$A:$C,3,0)),"")</f>
        <v/>
      </c>
      <c r="I2856" s="1" t="str">
        <f t="shared" si="44"/>
        <v/>
      </c>
    </row>
    <row r="2857" spans="5:9" x14ac:dyDescent="0.3">
      <c r="E2857" t="str">
        <f>IFERROR(IF(D2857="","",VLOOKUP(D2857,CadProd!$A:$B,2,0)),"")</f>
        <v/>
      </c>
      <c r="F2857" t="str">
        <f>IFERROR(IF(D2857="","",VLOOKUP(D2857,CadProd!$A:$C,3,0)),"")</f>
        <v/>
      </c>
      <c r="I2857" s="1" t="str">
        <f t="shared" si="44"/>
        <v/>
      </c>
    </row>
    <row r="2858" spans="5:9" x14ac:dyDescent="0.3">
      <c r="E2858" t="str">
        <f>IFERROR(IF(D2858="","",VLOOKUP(D2858,CadProd!$A:$B,2,0)),"")</f>
        <v/>
      </c>
      <c r="F2858" t="str">
        <f>IFERROR(IF(D2858="","",VLOOKUP(D2858,CadProd!$A:$C,3,0)),"")</f>
        <v/>
      </c>
      <c r="I2858" s="1" t="str">
        <f t="shared" si="44"/>
        <v/>
      </c>
    </row>
    <row r="2859" spans="5:9" x14ac:dyDescent="0.3">
      <c r="E2859" t="str">
        <f>IFERROR(IF(D2859="","",VLOOKUP(D2859,CadProd!$A:$B,2,0)),"")</f>
        <v/>
      </c>
      <c r="F2859" t="str">
        <f>IFERROR(IF(D2859="","",VLOOKUP(D2859,CadProd!$A:$C,3,0)),"")</f>
        <v/>
      </c>
      <c r="I2859" s="1" t="str">
        <f t="shared" si="44"/>
        <v/>
      </c>
    </row>
    <row r="2860" spans="5:9" x14ac:dyDescent="0.3">
      <c r="E2860" t="str">
        <f>IFERROR(IF(D2860="","",VLOOKUP(D2860,CadProd!$A:$B,2,0)),"")</f>
        <v/>
      </c>
      <c r="F2860" t="str">
        <f>IFERROR(IF(D2860="","",VLOOKUP(D2860,CadProd!$A:$C,3,0)),"")</f>
        <v/>
      </c>
      <c r="I2860" s="1" t="str">
        <f t="shared" si="44"/>
        <v/>
      </c>
    </row>
    <row r="2861" spans="5:9" x14ac:dyDescent="0.3">
      <c r="E2861" t="str">
        <f>IFERROR(IF(D2861="","",VLOOKUP(D2861,CadProd!$A:$B,2,0)),"")</f>
        <v/>
      </c>
      <c r="F2861" t="str">
        <f>IFERROR(IF(D2861="","",VLOOKUP(D2861,CadProd!$A:$C,3,0)),"")</f>
        <v/>
      </c>
      <c r="I2861" s="1" t="str">
        <f t="shared" si="44"/>
        <v/>
      </c>
    </row>
    <row r="2862" spans="5:9" x14ac:dyDescent="0.3">
      <c r="E2862" t="str">
        <f>IFERROR(IF(D2862="","",VLOOKUP(D2862,CadProd!$A:$B,2,0)),"")</f>
        <v/>
      </c>
      <c r="F2862" t="str">
        <f>IFERROR(IF(D2862="","",VLOOKUP(D2862,CadProd!$A:$C,3,0)),"")</f>
        <v/>
      </c>
      <c r="I2862" s="1" t="str">
        <f t="shared" si="44"/>
        <v/>
      </c>
    </row>
    <row r="2863" spans="5:9" x14ac:dyDescent="0.3">
      <c r="E2863" t="str">
        <f>IFERROR(IF(D2863="","",VLOOKUP(D2863,CadProd!$A:$B,2,0)),"")</f>
        <v/>
      </c>
      <c r="F2863" t="str">
        <f>IFERROR(IF(D2863="","",VLOOKUP(D2863,CadProd!$A:$C,3,0)),"")</f>
        <v/>
      </c>
      <c r="I2863" s="1" t="str">
        <f t="shared" si="44"/>
        <v/>
      </c>
    </row>
    <row r="2864" spans="5:9" x14ac:dyDescent="0.3">
      <c r="E2864" t="str">
        <f>IFERROR(IF(D2864="","",VLOOKUP(D2864,CadProd!$A:$B,2,0)),"")</f>
        <v/>
      </c>
      <c r="F2864" t="str">
        <f>IFERROR(IF(D2864="","",VLOOKUP(D2864,CadProd!$A:$C,3,0)),"")</f>
        <v/>
      </c>
      <c r="I2864" s="1" t="str">
        <f t="shared" si="44"/>
        <v/>
      </c>
    </row>
    <row r="2865" spans="5:9" x14ac:dyDescent="0.3">
      <c r="E2865" t="str">
        <f>IFERROR(IF(D2865="","",VLOOKUP(D2865,CadProd!$A:$B,2,0)),"")</f>
        <v/>
      </c>
      <c r="F2865" t="str">
        <f>IFERROR(IF(D2865="","",VLOOKUP(D2865,CadProd!$A:$C,3,0)),"")</f>
        <v/>
      </c>
      <c r="I2865" s="1" t="str">
        <f t="shared" si="44"/>
        <v/>
      </c>
    </row>
    <row r="2866" spans="5:9" x14ac:dyDescent="0.3">
      <c r="E2866" t="str">
        <f>IFERROR(IF(D2866="","",VLOOKUP(D2866,CadProd!$A:$B,2,0)),"")</f>
        <v/>
      </c>
      <c r="F2866" t="str">
        <f>IFERROR(IF(D2866="","",VLOOKUP(D2866,CadProd!$A:$C,3,0)),"")</f>
        <v/>
      </c>
      <c r="I2866" s="1" t="str">
        <f t="shared" si="44"/>
        <v/>
      </c>
    </row>
    <row r="2867" spans="5:9" x14ac:dyDescent="0.3">
      <c r="E2867" t="str">
        <f>IFERROR(IF(D2867="","",VLOOKUP(D2867,CadProd!$A:$B,2,0)),"")</f>
        <v/>
      </c>
      <c r="F2867" t="str">
        <f>IFERROR(IF(D2867="","",VLOOKUP(D2867,CadProd!$A:$C,3,0)),"")</f>
        <v/>
      </c>
      <c r="I2867" s="1" t="str">
        <f t="shared" si="44"/>
        <v/>
      </c>
    </row>
    <row r="2868" spans="5:9" x14ac:dyDescent="0.3">
      <c r="E2868" t="str">
        <f>IFERROR(IF(D2868="","",VLOOKUP(D2868,CadProd!$A:$B,2,0)),"")</f>
        <v/>
      </c>
      <c r="F2868" t="str">
        <f>IFERROR(IF(D2868="","",VLOOKUP(D2868,CadProd!$A:$C,3,0)),"")</f>
        <v/>
      </c>
      <c r="I2868" s="1" t="str">
        <f t="shared" si="44"/>
        <v/>
      </c>
    </row>
    <row r="2869" spans="5:9" x14ac:dyDescent="0.3">
      <c r="E2869" t="str">
        <f>IFERROR(IF(D2869="","",VLOOKUP(D2869,CadProd!$A:$B,2,0)),"")</f>
        <v/>
      </c>
      <c r="F2869" t="str">
        <f>IFERROR(IF(D2869="","",VLOOKUP(D2869,CadProd!$A:$C,3,0)),"")</f>
        <v/>
      </c>
      <c r="I2869" s="1" t="str">
        <f t="shared" si="44"/>
        <v/>
      </c>
    </row>
    <row r="2870" spans="5:9" x14ac:dyDescent="0.3">
      <c r="E2870" t="str">
        <f>IFERROR(IF(D2870="","",VLOOKUP(D2870,CadProd!$A:$B,2,0)),"")</f>
        <v/>
      </c>
      <c r="F2870" t="str">
        <f>IFERROR(IF(D2870="","",VLOOKUP(D2870,CadProd!$A:$C,3,0)),"")</f>
        <v/>
      </c>
      <c r="I2870" s="1" t="str">
        <f t="shared" si="44"/>
        <v/>
      </c>
    </row>
    <row r="2871" spans="5:9" x14ac:dyDescent="0.3">
      <c r="E2871" t="str">
        <f>IFERROR(IF(D2871="","",VLOOKUP(D2871,CadProd!$A:$B,2,0)),"")</f>
        <v/>
      </c>
      <c r="F2871" t="str">
        <f>IFERROR(IF(D2871="","",VLOOKUP(D2871,CadProd!$A:$C,3,0)),"")</f>
        <v/>
      </c>
      <c r="I2871" s="1" t="str">
        <f t="shared" si="44"/>
        <v/>
      </c>
    </row>
    <row r="2872" spans="5:9" x14ac:dyDescent="0.3">
      <c r="E2872" t="str">
        <f>IFERROR(IF(D2872="","",VLOOKUP(D2872,CadProd!$A:$B,2,0)),"")</f>
        <v/>
      </c>
      <c r="F2872" t="str">
        <f>IFERROR(IF(D2872="","",VLOOKUP(D2872,CadProd!$A:$C,3,0)),"")</f>
        <v/>
      </c>
      <c r="I2872" s="1" t="str">
        <f t="shared" si="44"/>
        <v/>
      </c>
    </row>
    <row r="2873" spans="5:9" x14ac:dyDescent="0.3">
      <c r="E2873" t="str">
        <f>IFERROR(IF(D2873="","",VLOOKUP(D2873,CadProd!$A:$B,2,0)),"")</f>
        <v/>
      </c>
      <c r="F2873" t="str">
        <f>IFERROR(IF(D2873="","",VLOOKUP(D2873,CadProd!$A:$C,3,0)),"")</f>
        <v/>
      </c>
      <c r="I2873" s="1" t="str">
        <f t="shared" si="44"/>
        <v/>
      </c>
    </row>
    <row r="2874" spans="5:9" x14ac:dyDescent="0.3">
      <c r="E2874" t="str">
        <f>IFERROR(IF(D2874="","",VLOOKUP(D2874,CadProd!$A:$B,2,0)),"")</f>
        <v/>
      </c>
      <c r="F2874" t="str">
        <f>IFERROR(IF(D2874="","",VLOOKUP(D2874,CadProd!$A:$C,3,0)),"")</f>
        <v/>
      </c>
      <c r="I2874" s="1" t="str">
        <f t="shared" si="44"/>
        <v/>
      </c>
    </row>
    <row r="2875" spans="5:9" x14ac:dyDescent="0.3">
      <c r="E2875" t="str">
        <f>IFERROR(IF(D2875="","",VLOOKUP(D2875,CadProd!$A:$B,2,0)),"")</f>
        <v/>
      </c>
      <c r="F2875" t="str">
        <f>IFERROR(IF(D2875="","",VLOOKUP(D2875,CadProd!$A:$C,3,0)),"")</f>
        <v/>
      </c>
      <c r="I2875" s="1" t="str">
        <f t="shared" si="44"/>
        <v/>
      </c>
    </row>
    <row r="2876" spans="5:9" x14ac:dyDescent="0.3">
      <c r="E2876" t="str">
        <f>IFERROR(IF(D2876="","",VLOOKUP(D2876,CadProd!$A:$B,2,0)),"")</f>
        <v/>
      </c>
      <c r="F2876" t="str">
        <f>IFERROR(IF(D2876="","",VLOOKUP(D2876,CadProd!$A:$C,3,0)),"")</f>
        <v/>
      </c>
      <c r="I2876" s="1" t="str">
        <f t="shared" si="44"/>
        <v/>
      </c>
    </row>
    <row r="2877" spans="5:9" x14ac:dyDescent="0.3">
      <c r="E2877" t="str">
        <f>IFERROR(IF(D2877="","",VLOOKUP(D2877,CadProd!$A:$B,2,0)),"")</f>
        <v/>
      </c>
      <c r="F2877" t="str">
        <f>IFERROR(IF(D2877="","",VLOOKUP(D2877,CadProd!$A:$C,3,0)),"")</f>
        <v/>
      </c>
      <c r="I2877" s="1" t="str">
        <f t="shared" si="44"/>
        <v/>
      </c>
    </row>
    <row r="2878" spans="5:9" x14ac:dyDescent="0.3">
      <c r="E2878" t="str">
        <f>IFERROR(IF(D2878="","",VLOOKUP(D2878,CadProd!$A:$B,2,0)),"")</f>
        <v/>
      </c>
      <c r="F2878" t="str">
        <f>IFERROR(IF(D2878="","",VLOOKUP(D2878,CadProd!$A:$C,3,0)),"")</f>
        <v/>
      </c>
      <c r="I2878" s="1" t="str">
        <f t="shared" si="44"/>
        <v/>
      </c>
    </row>
    <row r="2879" spans="5:9" x14ac:dyDescent="0.3">
      <c r="E2879" t="str">
        <f>IFERROR(IF(D2879="","",VLOOKUP(D2879,CadProd!$A:$B,2,0)),"")</f>
        <v/>
      </c>
      <c r="F2879" t="str">
        <f>IFERROR(IF(D2879="","",VLOOKUP(D2879,CadProd!$A:$C,3,0)),"")</f>
        <v/>
      </c>
      <c r="I2879" s="1" t="str">
        <f t="shared" si="44"/>
        <v/>
      </c>
    </row>
    <row r="2880" spans="5:9" x14ac:dyDescent="0.3">
      <c r="E2880" t="str">
        <f>IFERROR(IF(D2880="","",VLOOKUP(D2880,CadProd!$A:$B,2,0)),"")</f>
        <v/>
      </c>
      <c r="F2880" t="str">
        <f>IFERROR(IF(D2880="","",VLOOKUP(D2880,CadProd!$A:$C,3,0)),"")</f>
        <v/>
      </c>
      <c r="I2880" s="1" t="str">
        <f t="shared" si="44"/>
        <v/>
      </c>
    </row>
    <row r="2881" spans="5:9" x14ac:dyDescent="0.3">
      <c r="E2881" t="str">
        <f>IFERROR(IF(D2881="","",VLOOKUP(D2881,CadProd!$A:$B,2,0)),"")</f>
        <v/>
      </c>
      <c r="F2881" t="str">
        <f>IFERROR(IF(D2881="","",VLOOKUP(D2881,CadProd!$A:$C,3,0)),"")</f>
        <v/>
      </c>
      <c r="I2881" s="1" t="str">
        <f t="shared" si="44"/>
        <v/>
      </c>
    </row>
    <row r="2882" spans="5:9" x14ac:dyDescent="0.3">
      <c r="E2882" t="str">
        <f>IFERROR(IF(D2882="","",VLOOKUP(D2882,CadProd!$A:$B,2,0)),"")</f>
        <v/>
      </c>
      <c r="F2882" t="str">
        <f>IFERROR(IF(D2882="","",VLOOKUP(D2882,CadProd!$A:$C,3,0)),"")</f>
        <v/>
      </c>
      <c r="I2882" s="1" t="str">
        <f t="shared" si="44"/>
        <v/>
      </c>
    </row>
    <row r="2883" spans="5:9" x14ac:dyDescent="0.3">
      <c r="E2883" t="str">
        <f>IFERROR(IF(D2883="","",VLOOKUP(D2883,CadProd!$A:$B,2,0)),"")</f>
        <v/>
      </c>
      <c r="F2883" t="str">
        <f>IFERROR(IF(D2883="","",VLOOKUP(D2883,CadProd!$A:$C,3,0)),"")</f>
        <v/>
      </c>
      <c r="I2883" s="1" t="str">
        <f t="shared" si="44"/>
        <v/>
      </c>
    </row>
    <row r="2884" spans="5:9" x14ac:dyDescent="0.3">
      <c r="E2884" t="str">
        <f>IFERROR(IF(D2884="","",VLOOKUP(D2884,CadProd!$A:$B,2,0)),"")</f>
        <v/>
      </c>
      <c r="F2884" t="str">
        <f>IFERROR(IF(D2884="","",VLOOKUP(D2884,CadProd!$A:$C,3,0)),"")</f>
        <v/>
      </c>
      <c r="I2884" s="1" t="str">
        <f t="shared" si="44"/>
        <v/>
      </c>
    </row>
    <row r="2885" spans="5:9" x14ac:dyDescent="0.3">
      <c r="E2885" t="str">
        <f>IFERROR(IF(D2885="","",VLOOKUP(D2885,CadProd!$A:$B,2,0)),"")</f>
        <v/>
      </c>
      <c r="F2885" t="str">
        <f>IFERROR(IF(D2885="","",VLOOKUP(D2885,CadProd!$A:$C,3,0)),"")</f>
        <v/>
      </c>
      <c r="I2885" s="1" t="str">
        <f t="shared" si="44"/>
        <v/>
      </c>
    </row>
    <row r="2886" spans="5:9" x14ac:dyDescent="0.3">
      <c r="E2886" t="str">
        <f>IFERROR(IF(D2886="","",VLOOKUP(D2886,CadProd!$A:$B,2,0)),"")</f>
        <v/>
      </c>
      <c r="F2886" t="str">
        <f>IFERROR(IF(D2886="","",VLOOKUP(D2886,CadProd!$A:$C,3,0)),"")</f>
        <v/>
      </c>
      <c r="I2886" s="1" t="str">
        <f t="shared" si="44"/>
        <v/>
      </c>
    </row>
    <row r="2887" spans="5:9" x14ac:dyDescent="0.3">
      <c r="E2887" t="str">
        <f>IFERROR(IF(D2887="","",VLOOKUP(D2887,CadProd!$A:$B,2,0)),"")</f>
        <v/>
      </c>
      <c r="F2887" t="str">
        <f>IFERROR(IF(D2887="","",VLOOKUP(D2887,CadProd!$A:$C,3,0)),"")</f>
        <v/>
      </c>
      <c r="I2887" s="1" t="str">
        <f t="shared" si="44"/>
        <v/>
      </c>
    </row>
    <row r="2888" spans="5:9" x14ac:dyDescent="0.3">
      <c r="E2888" t="str">
        <f>IFERROR(IF(D2888="","",VLOOKUP(D2888,CadProd!$A:$B,2,0)),"")</f>
        <v/>
      </c>
      <c r="F2888" t="str">
        <f>IFERROR(IF(D2888="","",VLOOKUP(D2888,CadProd!$A:$C,3,0)),"")</f>
        <v/>
      </c>
      <c r="I2888" s="1" t="str">
        <f t="shared" si="44"/>
        <v/>
      </c>
    </row>
    <row r="2889" spans="5:9" x14ac:dyDescent="0.3">
      <c r="E2889" t="str">
        <f>IFERROR(IF(D2889="","",VLOOKUP(D2889,CadProd!$A:$B,2,0)),"")</f>
        <v/>
      </c>
      <c r="F2889" t="str">
        <f>IFERROR(IF(D2889="","",VLOOKUP(D2889,CadProd!$A:$C,3,0)),"")</f>
        <v/>
      </c>
      <c r="I2889" s="1" t="str">
        <f t="shared" si="44"/>
        <v/>
      </c>
    </row>
    <row r="2890" spans="5:9" x14ac:dyDescent="0.3">
      <c r="E2890" t="str">
        <f>IFERROR(IF(D2890="","",VLOOKUP(D2890,CadProd!$A:$B,2,0)),"")</f>
        <v/>
      </c>
      <c r="F2890" t="str">
        <f>IFERROR(IF(D2890="","",VLOOKUP(D2890,CadProd!$A:$C,3,0)),"")</f>
        <v/>
      </c>
      <c r="I2890" s="1" t="str">
        <f t="shared" si="44"/>
        <v/>
      </c>
    </row>
    <row r="2891" spans="5:9" x14ac:dyDescent="0.3">
      <c r="E2891" t="str">
        <f>IFERROR(IF(D2891="","",VLOOKUP(D2891,CadProd!$A:$B,2,0)),"")</f>
        <v/>
      </c>
      <c r="F2891" t="str">
        <f>IFERROR(IF(D2891="","",VLOOKUP(D2891,CadProd!$A:$C,3,0)),"")</f>
        <v/>
      </c>
      <c r="I2891" s="1" t="str">
        <f t="shared" ref="I2891:I2954" si="45">IFERROR(IF(D2891="","",H2891*G2891),"")</f>
        <v/>
      </c>
    </row>
    <row r="2892" spans="5:9" x14ac:dyDescent="0.3">
      <c r="E2892" t="str">
        <f>IFERROR(IF(D2892="","",VLOOKUP(D2892,CadProd!$A:$B,2,0)),"")</f>
        <v/>
      </c>
      <c r="F2892" t="str">
        <f>IFERROR(IF(D2892="","",VLOOKUP(D2892,CadProd!$A:$C,3,0)),"")</f>
        <v/>
      </c>
      <c r="I2892" s="1" t="str">
        <f t="shared" si="45"/>
        <v/>
      </c>
    </row>
    <row r="2893" spans="5:9" x14ac:dyDescent="0.3">
      <c r="E2893" t="str">
        <f>IFERROR(IF(D2893="","",VLOOKUP(D2893,CadProd!$A:$B,2,0)),"")</f>
        <v/>
      </c>
      <c r="F2893" t="str">
        <f>IFERROR(IF(D2893="","",VLOOKUP(D2893,CadProd!$A:$C,3,0)),"")</f>
        <v/>
      </c>
      <c r="I2893" s="1" t="str">
        <f t="shared" si="45"/>
        <v/>
      </c>
    </row>
    <row r="2894" spans="5:9" x14ac:dyDescent="0.3">
      <c r="E2894" t="str">
        <f>IFERROR(IF(D2894="","",VLOOKUP(D2894,CadProd!$A:$B,2,0)),"")</f>
        <v/>
      </c>
      <c r="F2894" t="str">
        <f>IFERROR(IF(D2894="","",VLOOKUP(D2894,CadProd!$A:$C,3,0)),"")</f>
        <v/>
      </c>
      <c r="I2894" s="1" t="str">
        <f t="shared" si="45"/>
        <v/>
      </c>
    </row>
    <row r="2895" spans="5:9" x14ac:dyDescent="0.3">
      <c r="E2895" t="str">
        <f>IFERROR(IF(D2895="","",VLOOKUP(D2895,CadProd!$A:$B,2,0)),"")</f>
        <v/>
      </c>
      <c r="F2895" t="str">
        <f>IFERROR(IF(D2895="","",VLOOKUP(D2895,CadProd!$A:$C,3,0)),"")</f>
        <v/>
      </c>
      <c r="I2895" s="1" t="str">
        <f t="shared" si="45"/>
        <v/>
      </c>
    </row>
    <row r="2896" spans="5:9" x14ac:dyDescent="0.3">
      <c r="E2896" t="str">
        <f>IFERROR(IF(D2896="","",VLOOKUP(D2896,CadProd!$A:$B,2,0)),"")</f>
        <v/>
      </c>
      <c r="F2896" t="str">
        <f>IFERROR(IF(D2896="","",VLOOKUP(D2896,CadProd!$A:$C,3,0)),"")</f>
        <v/>
      </c>
      <c r="I2896" s="1" t="str">
        <f t="shared" si="45"/>
        <v/>
      </c>
    </row>
    <row r="2897" spans="5:9" x14ac:dyDescent="0.3">
      <c r="E2897" t="str">
        <f>IFERROR(IF(D2897="","",VLOOKUP(D2897,CadProd!$A:$B,2,0)),"")</f>
        <v/>
      </c>
      <c r="F2897" t="str">
        <f>IFERROR(IF(D2897="","",VLOOKUP(D2897,CadProd!$A:$C,3,0)),"")</f>
        <v/>
      </c>
      <c r="I2897" s="1" t="str">
        <f t="shared" si="45"/>
        <v/>
      </c>
    </row>
    <row r="2898" spans="5:9" x14ac:dyDescent="0.3">
      <c r="E2898" t="str">
        <f>IFERROR(IF(D2898="","",VLOOKUP(D2898,CadProd!$A:$B,2,0)),"")</f>
        <v/>
      </c>
      <c r="F2898" t="str">
        <f>IFERROR(IF(D2898="","",VLOOKUP(D2898,CadProd!$A:$C,3,0)),"")</f>
        <v/>
      </c>
      <c r="I2898" s="1" t="str">
        <f t="shared" si="45"/>
        <v/>
      </c>
    </row>
    <row r="2899" spans="5:9" x14ac:dyDescent="0.3">
      <c r="E2899" t="str">
        <f>IFERROR(IF(D2899="","",VLOOKUP(D2899,CadProd!$A:$B,2,0)),"")</f>
        <v/>
      </c>
      <c r="F2899" t="str">
        <f>IFERROR(IF(D2899="","",VLOOKUP(D2899,CadProd!$A:$C,3,0)),"")</f>
        <v/>
      </c>
      <c r="I2899" s="1" t="str">
        <f t="shared" si="45"/>
        <v/>
      </c>
    </row>
    <row r="2900" spans="5:9" x14ac:dyDescent="0.3">
      <c r="E2900" t="str">
        <f>IFERROR(IF(D2900="","",VLOOKUP(D2900,CadProd!$A:$B,2,0)),"")</f>
        <v/>
      </c>
      <c r="F2900" t="str">
        <f>IFERROR(IF(D2900="","",VLOOKUP(D2900,CadProd!$A:$C,3,0)),"")</f>
        <v/>
      </c>
      <c r="I2900" s="1" t="str">
        <f t="shared" si="45"/>
        <v/>
      </c>
    </row>
    <row r="2901" spans="5:9" x14ac:dyDescent="0.3">
      <c r="E2901" t="str">
        <f>IFERROR(IF(D2901="","",VLOOKUP(D2901,CadProd!$A:$B,2,0)),"")</f>
        <v/>
      </c>
      <c r="F2901" t="str">
        <f>IFERROR(IF(D2901="","",VLOOKUP(D2901,CadProd!$A:$C,3,0)),"")</f>
        <v/>
      </c>
      <c r="I2901" s="1" t="str">
        <f t="shared" si="45"/>
        <v/>
      </c>
    </row>
    <row r="2902" spans="5:9" x14ac:dyDescent="0.3">
      <c r="E2902" t="str">
        <f>IFERROR(IF(D2902="","",VLOOKUP(D2902,CadProd!$A:$B,2,0)),"")</f>
        <v/>
      </c>
      <c r="F2902" t="str">
        <f>IFERROR(IF(D2902="","",VLOOKUP(D2902,CadProd!$A:$C,3,0)),"")</f>
        <v/>
      </c>
      <c r="I2902" s="1" t="str">
        <f t="shared" si="45"/>
        <v/>
      </c>
    </row>
    <row r="2903" spans="5:9" x14ac:dyDescent="0.3">
      <c r="E2903" t="str">
        <f>IFERROR(IF(D2903="","",VLOOKUP(D2903,CadProd!$A:$B,2,0)),"")</f>
        <v/>
      </c>
      <c r="F2903" t="str">
        <f>IFERROR(IF(D2903="","",VLOOKUP(D2903,CadProd!$A:$C,3,0)),"")</f>
        <v/>
      </c>
      <c r="I2903" s="1" t="str">
        <f t="shared" si="45"/>
        <v/>
      </c>
    </row>
    <row r="2904" spans="5:9" x14ac:dyDescent="0.3">
      <c r="E2904" t="str">
        <f>IFERROR(IF(D2904="","",VLOOKUP(D2904,CadProd!$A:$B,2,0)),"")</f>
        <v/>
      </c>
      <c r="F2904" t="str">
        <f>IFERROR(IF(D2904="","",VLOOKUP(D2904,CadProd!$A:$C,3,0)),"")</f>
        <v/>
      </c>
      <c r="I2904" s="1" t="str">
        <f t="shared" si="45"/>
        <v/>
      </c>
    </row>
    <row r="2905" spans="5:9" x14ac:dyDescent="0.3">
      <c r="E2905" t="str">
        <f>IFERROR(IF(D2905="","",VLOOKUP(D2905,CadProd!$A:$B,2,0)),"")</f>
        <v/>
      </c>
      <c r="F2905" t="str">
        <f>IFERROR(IF(D2905="","",VLOOKUP(D2905,CadProd!$A:$C,3,0)),"")</f>
        <v/>
      </c>
      <c r="I2905" s="1" t="str">
        <f t="shared" si="45"/>
        <v/>
      </c>
    </row>
    <row r="2906" spans="5:9" x14ac:dyDescent="0.3">
      <c r="E2906" t="str">
        <f>IFERROR(IF(D2906="","",VLOOKUP(D2906,CadProd!$A:$B,2,0)),"")</f>
        <v/>
      </c>
      <c r="F2906" t="str">
        <f>IFERROR(IF(D2906="","",VLOOKUP(D2906,CadProd!$A:$C,3,0)),"")</f>
        <v/>
      </c>
      <c r="I2906" s="1" t="str">
        <f t="shared" si="45"/>
        <v/>
      </c>
    </row>
    <row r="2907" spans="5:9" x14ac:dyDescent="0.3">
      <c r="E2907" t="str">
        <f>IFERROR(IF(D2907="","",VLOOKUP(D2907,CadProd!$A:$B,2,0)),"")</f>
        <v/>
      </c>
      <c r="F2907" t="str">
        <f>IFERROR(IF(D2907="","",VLOOKUP(D2907,CadProd!$A:$C,3,0)),"")</f>
        <v/>
      </c>
      <c r="I2907" s="1" t="str">
        <f t="shared" si="45"/>
        <v/>
      </c>
    </row>
    <row r="2908" spans="5:9" x14ac:dyDescent="0.3">
      <c r="E2908" t="str">
        <f>IFERROR(IF(D2908="","",VLOOKUP(D2908,CadProd!$A:$B,2,0)),"")</f>
        <v/>
      </c>
      <c r="F2908" t="str">
        <f>IFERROR(IF(D2908="","",VLOOKUP(D2908,CadProd!$A:$C,3,0)),"")</f>
        <v/>
      </c>
      <c r="I2908" s="1" t="str">
        <f t="shared" si="45"/>
        <v/>
      </c>
    </row>
    <row r="2909" spans="5:9" x14ac:dyDescent="0.3">
      <c r="E2909" t="str">
        <f>IFERROR(IF(D2909="","",VLOOKUP(D2909,CadProd!$A:$B,2,0)),"")</f>
        <v/>
      </c>
      <c r="F2909" t="str">
        <f>IFERROR(IF(D2909="","",VLOOKUP(D2909,CadProd!$A:$C,3,0)),"")</f>
        <v/>
      </c>
      <c r="I2909" s="1" t="str">
        <f t="shared" si="45"/>
        <v/>
      </c>
    </row>
    <row r="2910" spans="5:9" x14ac:dyDescent="0.3">
      <c r="E2910" t="str">
        <f>IFERROR(IF(D2910="","",VLOOKUP(D2910,CadProd!$A:$B,2,0)),"")</f>
        <v/>
      </c>
      <c r="F2910" t="str">
        <f>IFERROR(IF(D2910="","",VLOOKUP(D2910,CadProd!$A:$C,3,0)),"")</f>
        <v/>
      </c>
      <c r="I2910" s="1" t="str">
        <f t="shared" si="45"/>
        <v/>
      </c>
    </row>
    <row r="2911" spans="5:9" x14ac:dyDescent="0.3">
      <c r="E2911" t="str">
        <f>IFERROR(IF(D2911="","",VLOOKUP(D2911,CadProd!$A:$B,2,0)),"")</f>
        <v/>
      </c>
      <c r="F2911" t="str">
        <f>IFERROR(IF(D2911="","",VLOOKUP(D2911,CadProd!$A:$C,3,0)),"")</f>
        <v/>
      </c>
      <c r="I2911" s="1" t="str">
        <f t="shared" si="45"/>
        <v/>
      </c>
    </row>
    <row r="2912" spans="5:9" x14ac:dyDescent="0.3">
      <c r="E2912" t="str">
        <f>IFERROR(IF(D2912="","",VLOOKUP(D2912,CadProd!$A:$B,2,0)),"")</f>
        <v/>
      </c>
      <c r="F2912" t="str">
        <f>IFERROR(IF(D2912="","",VLOOKUP(D2912,CadProd!$A:$C,3,0)),"")</f>
        <v/>
      </c>
      <c r="I2912" s="1" t="str">
        <f t="shared" si="45"/>
        <v/>
      </c>
    </row>
    <row r="2913" spans="5:9" x14ac:dyDescent="0.3">
      <c r="E2913" t="str">
        <f>IFERROR(IF(D2913="","",VLOOKUP(D2913,CadProd!$A:$B,2,0)),"")</f>
        <v/>
      </c>
      <c r="F2913" t="str">
        <f>IFERROR(IF(D2913="","",VLOOKUP(D2913,CadProd!$A:$C,3,0)),"")</f>
        <v/>
      </c>
      <c r="I2913" s="1" t="str">
        <f t="shared" si="45"/>
        <v/>
      </c>
    </row>
    <row r="2914" spans="5:9" x14ac:dyDescent="0.3">
      <c r="E2914" t="str">
        <f>IFERROR(IF(D2914="","",VLOOKUP(D2914,CadProd!$A:$B,2,0)),"")</f>
        <v/>
      </c>
      <c r="F2914" t="str">
        <f>IFERROR(IF(D2914="","",VLOOKUP(D2914,CadProd!$A:$C,3,0)),"")</f>
        <v/>
      </c>
      <c r="I2914" s="1" t="str">
        <f t="shared" si="45"/>
        <v/>
      </c>
    </row>
    <row r="2915" spans="5:9" x14ac:dyDescent="0.3">
      <c r="E2915" t="str">
        <f>IFERROR(IF(D2915="","",VLOOKUP(D2915,CadProd!$A:$B,2,0)),"")</f>
        <v/>
      </c>
      <c r="F2915" t="str">
        <f>IFERROR(IF(D2915="","",VLOOKUP(D2915,CadProd!$A:$C,3,0)),"")</f>
        <v/>
      </c>
      <c r="I2915" s="1" t="str">
        <f t="shared" si="45"/>
        <v/>
      </c>
    </row>
    <row r="2916" spans="5:9" x14ac:dyDescent="0.3">
      <c r="E2916" t="str">
        <f>IFERROR(IF(D2916="","",VLOOKUP(D2916,CadProd!$A:$B,2,0)),"")</f>
        <v/>
      </c>
      <c r="F2916" t="str">
        <f>IFERROR(IF(D2916="","",VLOOKUP(D2916,CadProd!$A:$C,3,0)),"")</f>
        <v/>
      </c>
      <c r="I2916" s="1" t="str">
        <f t="shared" si="45"/>
        <v/>
      </c>
    </row>
    <row r="2917" spans="5:9" x14ac:dyDescent="0.3">
      <c r="E2917" t="str">
        <f>IFERROR(IF(D2917="","",VLOOKUP(D2917,CadProd!$A:$B,2,0)),"")</f>
        <v/>
      </c>
      <c r="F2917" t="str">
        <f>IFERROR(IF(D2917="","",VLOOKUP(D2917,CadProd!$A:$C,3,0)),"")</f>
        <v/>
      </c>
      <c r="I2917" s="1" t="str">
        <f t="shared" si="45"/>
        <v/>
      </c>
    </row>
    <row r="2918" spans="5:9" x14ac:dyDescent="0.3">
      <c r="E2918" t="str">
        <f>IFERROR(IF(D2918="","",VLOOKUP(D2918,CadProd!$A:$B,2,0)),"")</f>
        <v/>
      </c>
      <c r="F2918" t="str">
        <f>IFERROR(IF(D2918="","",VLOOKUP(D2918,CadProd!$A:$C,3,0)),"")</f>
        <v/>
      </c>
      <c r="I2918" s="1" t="str">
        <f t="shared" si="45"/>
        <v/>
      </c>
    </row>
    <row r="2919" spans="5:9" x14ac:dyDescent="0.3">
      <c r="E2919" t="str">
        <f>IFERROR(IF(D2919="","",VLOOKUP(D2919,CadProd!$A:$B,2,0)),"")</f>
        <v/>
      </c>
      <c r="F2919" t="str">
        <f>IFERROR(IF(D2919="","",VLOOKUP(D2919,CadProd!$A:$C,3,0)),"")</f>
        <v/>
      </c>
      <c r="I2919" s="1" t="str">
        <f t="shared" si="45"/>
        <v/>
      </c>
    </row>
    <row r="2920" spans="5:9" x14ac:dyDescent="0.3">
      <c r="E2920" t="str">
        <f>IFERROR(IF(D2920="","",VLOOKUP(D2920,CadProd!$A:$B,2,0)),"")</f>
        <v/>
      </c>
      <c r="F2920" t="str">
        <f>IFERROR(IF(D2920="","",VLOOKUP(D2920,CadProd!$A:$C,3,0)),"")</f>
        <v/>
      </c>
      <c r="I2920" s="1" t="str">
        <f t="shared" si="45"/>
        <v/>
      </c>
    </row>
    <row r="2921" spans="5:9" x14ac:dyDescent="0.3">
      <c r="E2921" t="str">
        <f>IFERROR(IF(D2921="","",VLOOKUP(D2921,CadProd!$A:$B,2,0)),"")</f>
        <v/>
      </c>
      <c r="F2921" t="str">
        <f>IFERROR(IF(D2921="","",VLOOKUP(D2921,CadProd!$A:$C,3,0)),"")</f>
        <v/>
      </c>
      <c r="I2921" s="1" t="str">
        <f t="shared" si="45"/>
        <v/>
      </c>
    </row>
    <row r="2922" spans="5:9" x14ac:dyDescent="0.3">
      <c r="E2922" t="str">
        <f>IFERROR(IF(D2922="","",VLOOKUP(D2922,CadProd!$A:$B,2,0)),"")</f>
        <v/>
      </c>
      <c r="F2922" t="str">
        <f>IFERROR(IF(D2922="","",VLOOKUP(D2922,CadProd!$A:$C,3,0)),"")</f>
        <v/>
      </c>
      <c r="I2922" s="1" t="str">
        <f t="shared" si="45"/>
        <v/>
      </c>
    </row>
    <row r="2923" spans="5:9" x14ac:dyDescent="0.3">
      <c r="E2923" t="str">
        <f>IFERROR(IF(D2923="","",VLOOKUP(D2923,CadProd!$A:$B,2,0)),"")</f>
        <v/>
      </c>
      <c r="F2923" t="str">
        <f>IFERROR(IF(D2923="","",VLOOKUP(D2923,CadProd!$A:$C,3,0)),"")</f>
        <v/>
      </c>
      <c r="I2923" s="1" t="str">
        <f t="shared" si="45"/>
        <v/>
      </c>
    </row>
    <row r="2924" spans="5:9" x14ac:dyDescent="0.3">
      <c r="E2924" t="str">
        <f>IFERROR(IF(D2924="","",VLOOKUP(D2924,CadProd!$A:$B,2,0)),"")</f>
        <v/>
      </c>
      <c r="F2924" t="str">
        <f>IFERROR(IF(D2924="","",VLOOKUP(D2924,CadProd!$A:$C,3,0)),"")</f>
        <v/>
      </c>
      <c r="I2924" s="1" t="str">
        <f t="shared" si="45"/>
        <v/>
      </c>
    </row>
    <row r="2925" spans="5:9" x14ac:dyDescent="0.3">
      <c r="E2925" t="str">
        <f>IFERROR(IF(D2925="","",VLOOKUP(D2925,CadProd!$A:$B,2,0)),"")</f>
        <v/>
      </c>
      <c r="F2925" t="str">
        <f>IFERROR(IF(D2925="","",VLOOKUP(D2925,CadProd!$A:$C,3,0)),"")</f>
        <v/>
      </c>
      <c r="I2925" s="1" t="str">
        <f t="shared" si="45"/>
        <v/>
      </c>
    </row>
    <row r="2926" spans="5:9" x14ac:dyDescent="0.3">
      <c r="E2926" t="str">
        <f>IFERROR(IF(D2926="","",VLOOKUP(D2926,CadProd!$A:$B,2,0)),"")</f>
        <v/>
      </c>
      <c r="F2926" t="str">
        <f>IFERROR(IF(D2926="","",VLOOKUP(D2926,CadProd!$A:$C,3,0)),"")</f>
        <v/>
      </c>
      <c r="I2926" s="1" t="str">
        <f t="shared" si="45"/>
        <v/>
      </c>
    </row>
    <row r="2927" spans="5:9" x14ac:dyDescent="0.3">
      <c r="E2927" t="str">
        <f>IFERROR(IF(D2927="","",VLOOKUP(D2927,CadProd!$A:$B,2,0)),"")</f>
        <v/>
      </c>
      <c r="F2927" t="str">
        <f>IFERROR(IF(D2927="","",VLOOKUP(D2927,CadProd!$A:$C,3,0)),"")</f>
        <v/>
      </c>
      <c r="I2927" s="1" t="str">
        <f t="shared" si="45"/>
        <v/>
      </c>
    </row>
    <row r="2928" spans="5:9" x14ac:dyDescent="0.3">
      <c r="E2928" t="str">
        <f>IFERROR(IF(D2928="","",VLOOKUP(D2928,CadProd!$A:$B,2,0)),"")</f>
        <v/>
      </c>
      <c r="F2928" t="str">
        <f>IFERROR(IF(D2928="","",VLOOKUP(D2928,CadProd!$A:$C,3,0)),"")</f>
        <v/>
      </c>
      <c r="I2928" s="1" t="str">
        <f t="shared" si="45"/>
        <v/>
      </c>
    </row>
    <row r="2929" spans="5:9" x14ac:dyDescent="0.3">
      <c r="E2929" t="str">
        <f>IFERROR(IF(D2929="","",VLOOKUP(D2929,CadProd!$A:$B,2,0)),"")</f>
        <v/>
      </c>
      <c r="F2929" t="str">
        <f>IFERROR(IF(D2929="","",VLOOKUP(D2929,CadProd!$A:$C,3,0)),"")</f>
        <v/>
      </c>
      <c r="I2929" s="1" t="str">
        <f t="shared" si="45"/>
        <v/>
      </c>
    </row>
    <row r="2930" spans="5:9" x14ac:dyDescent="0.3">
      <c r="E2930" t="str">
        <f>IFERROR(IF(D2930="","",VLOOKUP(D2930,CadProd!$A:$B,2,0)),"")</f>
        <v/>
      </c>
      <c r="F2930" t="str">
        <f>IFERROR(IF(D2930="","",VLOOKUP(D2930,CadProd!$A:$C,3,0)),"")</f>
        <v/>
      </c>
      <c r="I2930" s="1" t="str">
        <f t="shared" si="45"/>
        <v/>
      </c>
    </row>
    <row r="2931" spans="5:9" x14ac:dyDescent="0.3">
      <c r="E2931" t="str">
        <f>IFERROR(IF(D2931="","",VLOOKUP(D2931,CadProd!$A:$B,2,0)),"")</f>
        <v/>
      </c>
      <c r="F2931" t="str">
        <f>IFERROR(IF(D2931="","",VLOOKUP(D2931,CadProd!$A:$C,3,0)),"")</f>
        <v/>
      </c>
      <c r="I2931" s="1" t="str">
        <f t="shared" si="45"/>
        <v/>
      </c>
    </row>
    <row r="2932" spans="5:9" x14ac:dyDescent="0.3">
      <c r="E2932" t="str">
        <f>IFERROR(IF(D2932="","",VLOOKUP(D2932,CadProd!$A:$B,2,0)),"")</f>
        <v/>
      </c>
      <c r="F2932" t="str">
        <f>IFERROR(IF(D2932="","",VLOOKUP(D2932,CadProd!$A:$C,3,0)),"")</f>
        <v/>
      </c>
      <c r="I2932" s="1" t="str">
        <f t="shared" si="45"/>
        <v/>
      </c>
    </row>
    <row r="2933" spans="5:9" x14ac:dyDescent="0.3">
      <c r="E2933" t="str">
        <f>IFERROR(IF(D2933="","",VLOOKUP(D2933,CadProd!$A:$B,2,0)),"")</f>
        <v/>
      </c>
      <c r="F2933" t="str">
        <f>IFERROR(IF(D2933="","",VLOOKUP(D2933,CadProd!$A:$C,3,0)),"")</f>
        <v/>
      </c>
      <c r="I2933" s="1" t="str">
        <f t="shared" si="45"/>
        <v/>
      </c>
    </row>
    <row r="2934" spans="5:9" x14ac:dyDescent="0.3">
      <c r="E2934" t="str">
        <f>IFERROR(IF(D2934="","",VLOOKUP(D2934,CadProd!$A:$B,2,0)),"")</f>
        <v/>
      </c>
      <c r="F2934" t="str">
        <f>IFERROR(IF(D2934="","",VLOOKUP(D2934,CadProd!$A:$C,3,0)),"")</f>
        <v/>
      </c>
      <c r="I2934" s="1" t="str">
        <f t="shared" si="45"/>
        <v/>
      </c>
    </row>
    <row r="2935" spans="5:9" x14ac:dyDescent="0.3">
      <c r="E2935" t="str">
        <f>IFERROR(IF(D2935="","",VLOOKUP(D2935,CadProd!$A:$B,2,0)),"")</f>
        <v/>
      </c>
      <c r="F2935" t="str">
        <f>IFERROR(IF(D2935="","",VLOOKUP(D2935,CadProd!$A:$C,3,0)),"")</f>
        <v/>
      </c>
      <c r="I2935" s="1" t="str">
        <f t="shared" si="45"/>
        <v/>
      </c>
    </row>
    <row r="2936" spans="5:9" x14ac:dyDescent="0.3">
      <c r="E2936" t="str">
        <f>IFERROR(IF(D2936="","",VLOOKUP(D2936,CadProd!$A:$B,2,0)),"")</f>
        <v/>
      </c>
      <c r="F2936" t="str">
        <f>IFERROR(IF(D2936="","",VLOOKUP(D2936,CadProd!$A:$C,3,0)),"")</f>
        <v/>
      </c>
      <c r="I2936" s="1" t="str">
        <f t="shared" si="45"/>
        <v/>
      </c>
    </row>
    <row r="2937" spans="5:9" x14ac:dyDescent="0.3">
      <c r="E2937" t="str">
        <f>IFERROR(IF(D2937="","",VLOOKUP(D2937,CadProd!$A:$B,2,0)),"")</f>
        <v/>
      </c>
      <c r="F2937" t="str">
        <f>IFERROR(IF(D2937="","",VLOOKUP(D2937,CadProd!$A:$C,3,0)),"")</f>
        <v/>
      </c>
      <c r="I2937" s="1" t="str">
        <f t="shared" si="45"/>
        <v/>
      </c>
    </row>
    <row r="2938" spans="5:9" x14ac:dyDescent="0.3">
      <c r="E2938" t="str">
        <f>IFERROR(IF(D2938="","",VLOOKUP(D2938,CadProd!$A:$B,2,0)),"")</f>
        <v/>
      </c>
      <c r="F2938" t="str">
        <f>IFERROR(IF(D2938="","",VLOOKUP(D2938,CadProd!$A:$C,3,0)),"")</f>
        <v/>
      </c>
      <c r="I2938" s="1" t="str">
        <f t="shared" si="45"/>
        <v/>
      </c>
    </row>
    <row r="2939" spans="5:9" x14ac:dyDescent="0.3">
      <c r="E2939" t="str">
        <f>IFERROR(IF(D2939="","",VLOOKUP(D2939,CadProd!$A:$B,2,0)),"")</f>
        <v/>
      </c>
      <c r="F2939" t="str">
        <f>IFERROR(IF(D2939="","",VLOOKUP(D2939,CadProd!$A:$C,3,0)),"")</f>
        <v/>
      </c>
      <c r="I2939" s="1" t="str">
        <f t="shared" si="45"/>
        <v/>
      </c>
    </row>
    <row r="2940" spans="5:9" x14ac:dyDescent="0.3">
      <c r="E2940" t="str">
        <f>IFERROR(IF(D2940="","",VLOOKUP(D2940,CadProd!$A:$B,2,0)),"")</f>
        <v/>
      </c>
      <c r="F2940" t="str">
        <f>IFERROR(IF(D2940="","",VLOOKUP(D2940,CadProd!$A:$C,3,0)),"")</f>
        <v/>
      </c>
      <c r="I2940" s="1" t="str">
        <f t="shared" si="45"/>
        <v/>
      </c>
    </row>
    <row r="2941" spans="5:9" x14ac:dyDescent="0.3">
      <c r="E2941" t="str">
        <f>IFERROR(IF(D2941="","",VLOOKUP(D2941,CadProd!$A:$B,2,0)),"")</f>
        <v/>
      </c>
      <c r="F2941" t="str">
        <f>IFERROR(IF(D2941="","",VLOOKUP(D2941,CadProd!$A:$C,3,0)),"")</f>
        <v/>
      </c>
      <c r="I2941" s="1" t="str">
        <f t="shared" si="45"/>
        <v/>
      </c>
    </row>
    <row r="2942" spans="5:9" x14ac:dyDescent="0.3">
      <c r="E2942" t="str">
        <f>IFERROR(IF(D2942="","",VLOOKUP(D2942,CadProd!$A:$B,2,0)),"")</f>
        <v/>
      </c>
      <c r="F2942" t="str">
        <f>IFERROR(IF(D2942="","",VLOOKUP(D2942,CadProd!$A:$C,3,0)),"")</f>
        <v/>
      </c>
      <c r="I2942" s="1" t="str">
        <f t="shared" si="45"/>
        <v/>
      </c>
    </row>
    <row r="2943" spans="5:9" x14ac:dyDescent="0.3">
      <c r="E2943" t="str">
        <f>IFERROR(IF(D2943="","",VLOOKUP(D2943,CadProd!$A:$B,2,0)),"")</f>
        <v/>
      </c>
      <c r="F2943" t="str">
        <f>IFERROR(IF(D2943="","",VLOOKUP(D2943,CadProd!$A:$C,3,0)),"")</f>
        <v/>
      </c>
      <c r="I2943" s="1" t="str">
        <f t="shared" si="45"/>
        <v/>
      </c>
    </row>
    <row r="2944" spans="5:9" x14ac:dyDescent="0.3">
      <c r="E2944" t="str">
        <f>IFERROR(IF(D2944="","",VLOOKUP(D2944,CadProd!$A:$B,2,0)),"")</f>
        <v/>
      </c>
      <c r="F2944" t="str">
        <f>IFERROR(IF(D2944="","",VLOOKUP(D2944,CadProd!$A:$C,3,0)),"")</f>
        <v/>
      </c>
      <c r="I2944" s="1" t="str">
        <f t="shared" si="45"/>
        <v/>
      </c>
    </row>
    <row r="2945" spans="5:9" x14ac:dyDescent="0.3">
      <c r="E2945" t="str">
        <f>IFERROR(IF(D2945="","",VLOOKUP(D2945,CadProd!$A:$B,2,0)),"")</f>
        <v/>
      </c>
      <c r="F2945" t="str">
        <f>IFERROR(IF(D2945="","",VLOOKUP(D2945,CadProd!$A:$C,3,0)),"")</f>
        <v/>
      </c>
      <c r="I2945" s="1" t="str">
        <f t="shared" si="45"/>
        <v/>
      </c>
    </row>
    <row r="2946" spans="5:9" x14ac:dyDescent="0.3">
      <c r="E2946" t="str">
        <f>IFERROR(IF(D2946="","",VLOOKUP(D2946,CadProd!$A:$B,2,0)),"")</f>
        <v/>
      </c>
      <c r="F2946" t="str">
        <f>IFERROR(IF(D2946="","",VLOOKUP(D2946,CadProd!$A:$C,3,0)),"")</f>
        <v/>
      </c>
      <c r="I2946" s="1" t="str">
        <f t="shared" si="45"/>
        <v/>
      </c>
    </row>
    <row r="2947" spans="5:9" x14ac:dyDescent="0.3">
      <c r="E2947" t="str">
        <f>IFERROR(IF(D2947="","",VLOOKUP(D2947,CadProd!$A:$B,2,0)),"")</f>
        <v/>
      </c>
      <c r="F2947" t="str">
        <f>IFERROR(IF(D2947="","",VLOOKUP(D2947,CadProd!$A:$C,3,0)),"")</f>
        <v/>
      </c>
      <c r="I2947" s="1" t="str">
        <f t="shared" si="45"/>
        <v/>
      </c>
    </row>
    <row r="2948" spans="5:9" x14ac:dyDescent="0.3">
      <c r="E2948" t="str">
        <f>IFERROR(IF(D2948="","",VLOOKUP(D2948,CadProd!$A:$B,2,0)),"")</f>
        <v/>
      </c>
      <c r="F2948" t="str">
        <f>IFERROR(IF(D2948="","",VLOOKUP(D2948,CadProd!$A:$C,3,0)),"")</f>
        <v/>
      </c>
      <c r="I2948" s="1" t="str">
        <f t="shared" si="45"/>
        <v/>
      </c>
    </row>
    <row r="2949" spans="5:9" x14ac:dyDescent="0.3">
      <c r="E2949" t="str">
        <f>IFERROR(IF(D2949="","",VLOOKUP(D2949,CadProd!$A:$B,2,0)),"")</f>
        <v/>
      </c>
      <c r="F2949" t="str">
        <f>IFERROR(IF(D2949="","",VLOOKUP(D2949,CadProd!$A:$C,3,0)),"")</f>
        <v/>
      </c>
      <c r="I2949" s="1" t="str">
        <f t="shared" si="45"/>
        <v/>
      </c>
    </row>
    <row r="2950" spans="5:9" x14ac:dyDescent="0.3">
      <c r="E2950" t="str">
        <f>IFERROR(IF(D2950="","",VLOOKUP(D2950,CadProd!$A:$B,2,0)),"")</f>
        <v/>
      </c>
      <c r="F2950" t="str">
        <f>IFERROR(IF(D2950="","",VLOOKUP(D2950,CadProd!$A:$C,3,0)),"")</f>
        <v/>
      </c>
      <c r="I2950" s="1" t="str">
        <f t="shared" si="45"/>
        <v/>
      </c>
    </row>
    <row r="2951" spans="5:9" x14ac:dyDescent="0.3">
      <c r="E2951" t="str">
        <f>IFERROR(IF(D2951="","",VLOOKUP(D2951,CadProd!$A:$B,2,0)),"")</f>
        <v/>
      </c>
      <c r="F2951" t="str">
        <f>IFERROR(IF(D2951="","",VLOOKUP(D2951,CadProd!$A:$C,3,0)),"")</f>
        <v/>
      </c>
      <c r="I2951" s="1" t="str">
        <f t="shared" si="45"/>
        <v/>
      </c>
    </row>
    <row r="2952" spans="5:9" x14ac:dyDescent="0.3">
      <c r="E2952" t="str">
        <f>IFERROR(IF(D2952="","",VLOOKUP(D2952,CadProd!$A:$B,2,0)),"")</f>
        <v/>
      </c>
      <c r="F2952" t="str">
        <f>IFERROR(IF(D2952="","",VLOOKUP(D2952,CadProd!$A:$C,3,0)),"")</f>
        <v/>
      </c>
      <c r="I2952" s="1" t="str">
        <f t="shared" si="45"/>
        <v/>
      </c>
    </row>
    <row r="2953" spans="5:9" x14ac:dyDescent="0.3">
      <c r="E2953" t="str">
        <f>IFERROR(IF(D2953="","",VLOOKUP(D2953,CadProd!$A:$B,2,0)),"")</f>
        <v/>
      </c>
      <c r="F2953" t="str">
        <f>IFERROR(IF(D2953="","",VLOOKUP(D2953,CadProd!$A:$C,3,0)),"")</f>
        <v/>
      </c>
      <c r="I2953" s="1" t="str">
        <f t="shared" si="45"/>
        <v/>
      </c>
    </row>
    <row r="2954" spans="5:9" x14ac:dyDescent="0.3">
      <c r="E2954" t="str">
        <f>IFERROR(IF(D2954="","",VLOOKUP(D2954,CadProd!$A:$B,2,0)),"")</f>
        <v/>
      </c>
      <c r="F2954" t="str">
        <f>IFERROR(IF(D2954="","",VLOOKUP(D2954,CadProd!$A:$C,3,0)),"")</f>
        <v/>
      </c>
      <c r="I2954" s="1" t="str">
        <f t="shared" si="45"/>
        <v/>
      </c>
    </row>
    <row r="2955" spans="5:9" x14ac:dyDescent="0.3">
      <c r="E2955" t="str">
        <f>IFERROR(IF(D2955="","",VLOOKUP(D2955,CadProd!$A:$B,2,0)),"")</f>
        <v/>
      </c>
      <c r="F2955" t="str">
        <f>IFERROR(IF(D2955="","",VLOOKUP(D2955,CadProd!$A:$C,3,0)),"")</f>
        <v/>
      </c>
      <c r="I2955" s="1" t="str">
        <f t="shared" ref="I2955:I2976" si="46">IFERROR(IF(D2955="","",H2955*G2955),"")</f>
        <v/>
      </c>
    </row>
    <row r="2956" spans="5:9" x14ac:dyDescent="0.3">
      <c r="E2956" t="str">
        <f>IFERROR(IF(D2956="","",VLOOKUP(D2956,CadProd!$A:$B,2,0)),"")</f>
        <v/>
      </c>
      <c r="F2956" t="str">
        <f>IFERROR(IF(D2956="","",VLOOKUP(D2956,CadProd!$A:$C,3,0)),"")</f>
        <v/>
      </c>
      <c r="I2956" s="1" t="str">
        <f t="shared" si="46"/>
        <v/>
      </c>
    </row>
    <row r="2957" spans="5:9" x14ac:dyDescent="0.3">
      <c r="E2957" t="str">
        <f>IFERROR(IF(D2957="","",VLOOKUP(D2957,CadProd!$A:$B,2,0)),"")</f>
        <v/>
      </c>
      <c r="F2957" t="str">
        <f>IFERROR(IF(D2957="","",VLOOKUP(D2957,CadProd!$A:$C,3,0)),"")</f>
        <v/>
      </c>
      <c r="I2957" s="1" t="str">
        <f t="shared" si="46"/>
        <v/>
      </c>
    </row>
    <row r="2958" spans="5:9" x14ac:dyDescent="0.3">
      <c r="E2958" t="str">
        <f>IFERROR(IF(D2958="","",VLOOKUP(D2958,CadProd!$A:$B,2,0)),"")</f>
        <v/>
      </c>
      <c r="F2958" t="str">
        <f>IFERROR(IF(D2958="","",VLOOKUP(D2958,CadProd!$A:$C,3,0)),"")</f>
        <v/>
      </c>
      <c r="I2958" s="1" t="str">
        <f t="shared" si="46"/>
        <v/>
      </c>
    </row>
    <row r="2959" spans="5:9" x14ac:dyDescent="0.3">
      <c r="E2959" t="str">
        <f>IFERROR(IF(D2959="","",VLOOKUP(D2959,CadProd!$A:$B,2,0)),"")</f>
        <v/>
      </c>
      <c r="F2959" t="str">
        <f>IFERROR(IF(D2959="","",VLOOKUP(D2959,CadProd!$A:$C,3,0)),"")</f>
        <v/>
      </c>
      <c r="I2959" s="1" t="str">
        <f t="shared" si="46"/>
        <v/>
      </c>
    </row>
    <row r="2960" spans="5:9" x14ac:dyDescent="0.3">
      <c r="E2960" t="str">
        <f>IFERROR(IF(D2960="","",VLOOKUP(D2960,CadProd!$A:$B,2,0)),"")</f>
        <v/>
      </c>
      <c r="F2960" t="str">
        <f>IFERROR(IF(D2960="","",VLOOKUP(D2960,CadProd!$A:$C,3,0)),"")</f>
        <v/>
      </c>
      <c r="I2960" s="1" t="str">
        <f t="shared" si="46"/>
        <v/>
      </c>
    </row>
    <row r="2961" spans="5:9" x14ac:dyDescent="0.3">
      <c r="E2961" t="str">
        <f>IFERROR(IF(D2961="","",VLOOKUP(D2961,CadProd!$A:$B,2,0)),"")</f>
        <v/>
      </c>
      <c r="F2961" t="str">
        <f>IFERROR(IF(D2961="","",VLOOKUP(D2961,CadProd!$A:$C,3,0)),"")</f>
        <v/>
      </c>
      <c r="I2961" s="1" t="str">
        <f t="shared" si="46"/>
        <v/>
      </c>
    </row>
    <row r="2962" spans="5:9" x14ac:dyDescent="0.3">
      <c r="E2962" t="str">
        <f>IFERROR(IF(D2962="","",VLOOKUP(D2962,CadProd!$A:$B,2,0)),"")</f>
        <v/>
      </c>
      <c r="F2962" t="str">
        <f>IFERROR(IF(D2962="","",VLOOKUP(D2962,CadProd!$A:$C,3,0)),"")</f>
        <v/>
      </c>
      <c r="I2962" s="1" t="str">
        <f t="shared" si="46"/>
        <v/>
      </c>
    </row>
    <row r="2963" spans="5:9" x14ac:dyDescent="0.3">
      <c r="E2963" t="str">
        <f>IFERROR(IF(D2963="","",VLOOKUP(D2963,CadProd!$A:$B,2,0)),"")</f>
        <v/>
      </c>
      <c r="F2963" t="str">
        <f>IFERROR(IF(D2963="","",VLOOKUP(D2963,CadProd!$A:$C,3,0)),"")</f>
        <v/>
      </c>
      <c r="I2963" s="1" t="str">
        <f t="shared" si="46"/>
        <v/>
      </c>
    </row>
    <row r="2964" spans="5:9" x14ac:dyDescent="0.3">
      <c r="E2964" t="str">
        <f>IFERROR(IF(D2964="","",VLOOKUP(D2964,CadProd!$A:$B,2,0)),"")</f>
        <v/>
      </c>
      <c r="F2964" t="str">
        <f>IFERROR(IF(D2964="","",VLOOKUP(D2964,CadProd!$A:$C,3,0)),"")</f>
        <v/>
      </c>
      <c r="I2964" s="1" t="str">
        <f t="shared" si="46"/>
        <v/>
      </c>
    </row>
    <row r="2965" spans="5:9" x14ac:dyDescent="0.3">
      <c r="E2965" t="str">
        <f>IFERROR(IF(D2965="","",VLOOKUP(D2965,CadProd!$A:$B,2,0)),"")</f>
        <v/>
      </c>
      <c r="F2965" t="str">
        <f>IFERROR(IF(D2965="","",VLOOKUP(D2965,CadProd!$A:$C,3,0)),"")</f>
        <v/>
      </c>
      <c r="I2965" s="1" t="str">
        <f t="shared" si="46"/>
        <v/>
      </c>
    </row>
    <row r="2966" spans="5:9" x14ac:dyDescent="0.3">
      <c r="E2966" t="str">
        <f>IFERROR(IF(D2966="","",VLOOKUP(D2966,CadProd!$A:$B,2,0)),"")</f>
        <v/>
      </c>
      <c r="F2966" t="str">
        <f>IFERROR(IF(D2966="","",VLOOKUP(D2966,CadProd!$A:$C,3,0)),"")</f>
        <v/>
      </c>
      <c r="I2966" s="1" t="str">
        <f t="shared" si="46"/>
        <v/>
      </c>
    </row>
    <row r="2967" spans="5:9" x14ac:dyDescent="0.3">
      <c r="E2967" t="str">
        <f>IFERROR(IF(D2967="","",VLOOKUP(D2967,CadProd!$A:$B,2,0)),"")</f>
        <v/>
      </c>
      <c r="F2967" t="str">
        <f>IFERROR(IF(D2967="","",VLOOKUP(D2967,CadProd!$A:$C,3,0)),"")</f>
        <v/>
      </c>
      <c r="I2967" s="1" t="str">
        <f t="shared" si="46"/>
        <v/>
      </c>
    </row>
    <row r="2968" spans="5:9" x14ac:dyDescent="0.3">
      <c r="E2968" t="str">
        <f>IFERROR(IF(D2968="","",VLOOKUP(D2968,CadProd!$A:$B,2,0)),"")</f>
        <v/>
      </c>
      <c r="F2968" t="str">
        <f>IFERROR(IF(D2968="","",VLOOKUP(D2968,CadProd!$A:$C,3,0)),"")</f>
        <v/>
      </c>
      <c r="I2968" s="1" t="str">
        <f t="shared" si="46"/>
        <v/>
      </c>
    </row>
    <row r="2969" spans="5:9" x14ac:dyDescent="0.3">
      <c r="E2969" t="str">
        <f>IFERROR(IF(D2969="","",VLOOKUP(D2969,CadProd!$A:$B,2,0)),"")</f>
        <v/>
      </c>
      <c r="F2969" t="str">
        <f>IFERROR(IF(D2969="","",VLOOKUP(D2969,CadProd!$A:$C,3,0)),"")</f>
        <v/>
      </c>
      <c r="I2969" s="1" t="str">
        <f t="shared" si="46"/>
        <v/>
      </c>
    </row>
    <row r="2970" spans="5:9" x14ac:dyDescent="0.3">
      <c r="E2970" t="str">
        <f>IFERROR(IF(D2970="","",VLOOKUP(D2970,CadProd!$A:$B,2,0)),"")</f>
        <v/>
      </c>
      <c r="F2970" t="str">
        <f>IFERROR(IF(D2970="","",VLOOKUP(D2970,CadProd!$A:$C,3,0)),"")</f>
        <v/>
      </c>
      <c r="I2970" s="1" t="str">
        <f t="shared" si="46"/>
        <v/>
      </c>
    </row>
    <row r="2971" spans="5:9" x14ac:dyDescent="0.3">
      <c r="E2971" t="str">
        <f>IFERROR(IF(D2971="","",VLOOKUP(D2971,CadProd!$A:$B,2,0)),"")</f>
        <v/>
      </c>
      <c r="F2971" t="str">
        <f>IFERROR(IF(D2971="","",VLOOKUP(D2971,CadProd!$A:$C,3,0)),"")</f>
        <v/>
      </c>
      <c r="I2971" s="1" t="str">
        <f t="shared" si="46"/>
        <v/>
      </c>
    </row>
    <row r="2972" spans="5:9" x14ac:dyDescent="0.3">
      <c r="E2972" t="str">
        <f>IFERROR(IF(D2972="","",VLOOKUP(D2972,CadProd!$A:$B,2,0)),"")</f>
        <v/>
      </c>
      <c r="F2972" t="str">
        <f>IFERROR(IF(D2972="","",VLOOKUP(D2972,CadProd!$A:$C,3,0)),"")</f>
        <v/>
      </c>
      <c r="I2972" s="1" t="str">
        <f t="shared" si="46"/>
        <v/>
      </c>
    </row>
    <row r="2973" spans="5:9" x14ac:dyDescent="0.3">
      <c r="E2973" t="str">
        <f>IFERROR(IF(D2973="","",VLOOKUP(D2973,CadProd!$A:$B,2,0)),"")</f>
        <v/>
      </c>
      <c r="F2973" t="str">
        <f>IFERROR(IF(D2973="","",VLOOKUP(D2973,CadProd!$A:$C,3,0)),"")</f>
        <v/>
      </c>
      <c r="I2973" s="1" t="str">
        <f t="shared" si="46"/>
        <v/>
      </c>
    </row>
    <row r="2974" spans="5:9" x14ac:dyDescent="0.3">
      <c r="E2974" t="str">
        <f>IFERROR(IF(D2974="","",VLOOKUP(D2974,CadProd!$A:$B,2,0)),"")</f>
        <v/>
      </c>
      <c r="F2974" t="str">
        <f>IFERROR(IF(D2974="","",VLOOKUP(D2974,CadProd!$A:$C,3,0)),"")</f>
        <v/>
      </c>
      <c r="I2974" s="1" t="str">
        <f t="shared" si="46"/>
        <v/>
      </c>
    </row>
    <row r="2975" spans="5:9" x14ac:dyDescent="0.3">
      <c r="E2975" t="str">
        <f>IFERROR(IF(D2975="","",VLOOKUP(D2975,CadProd!$A:$B,2,0)),"")</f>
        <v/>
      </c>
      <c r="F2975" t="str">
        <f>IFERROR(IF(D2975="","",VLOOKUP(D2975,CadProd!$A:$C,3,0)),"")</f>
        <v/>
      </c>
      <c r="I2975" s="1" t="str">
        <f t="shared" si="46"/>
        <v/>
      </c>
    </row>
    <row r="2976" spans="5:9" x14ac:dyDescent="0.3">
      <c r="E2976" t="str">
        <f>IFERROR(IF(D2976="","",VLOOKUP(D2976,CadProd!$A:$B,2,0)),"")</f>
        <v/>
      </c>
      <c r="F2976" t="str">
        <f>IFERROR(IF(D2976="","",VLOOKUP(D2976,CadProd!$A:$C,3,0)),"")</f>
        <v/>
      </c>
      <c r="I2976" s="1" t="str">
        <f t="shared" si="46"/>
        <v/>
      </c>
    </row>
    <row r="2977" customFormat="1" x14ac:dyDescent="0.3"/>
    <row r="2978" customFormat="1" x14ac:dyDescent="0.3"/>
    <row r="2979" customFormat="1" x14ac:dyDescent="0.3"/>
    <row r="2980" customFormat="1" x14ac:dyDescent="0.3"/>
    <row r="2981" customFormat="1" x14ac:dyDescent="0.3"/>
    <row r="2982" customFormat="1" x14ac:dyDescent="0.3"/>
    <row r="2983" customFormat="1" x14ac:dyDescent="0.3"/>
    <row r="2984" customFormat="1" x14ac:dyDescent="0.3"/>
    <row r="2985" customFormat="1" x14ac:dyDescent="0.3"/>
    <row r="2986" customFormat="1" x14ac:dyDescent="0.3"/>
    <row r="2987" customFormat="1" x14ac:dyDescent="0.3"/>
    <row r="2988" customFormat="1" x14ac:dyDescent="0.3"/>
    <row r="2989" customFormat="1" x14ac:dyDescent="0.3"/>
    <row r="2990" customFormat="1" x14ac:dyDescent="0.3"/>
    <row r="2991" customFormat="1" x14ac:dyDescent="0.3"/>
    <row r="2992" customFormat="1" x14ac:dyDescent="0.3"/>
    <row r="2993" customFormat="1" x14ac:dyDescent="0.3"/>
    <row r="2994" customFormat="1" x14ac:dyDescent="0.3"/>
    <row r="2995" customFormat="1" x14ac:dyDescent="0.3"/>
    <row r="2996" customFormat="1" x14ac:dyDescent="0.3"/>
    <row r="2997" customFormat="1" x14ac:dyDescent="0.3"/>
    <row r="2998" customFormat="1" x14ac:dyDescent="0.3"/>
    <row r="2999" customFormat="1" x14ac:dyDescent="0.3"/>
    <row r="3000" customFormat="1" x14ac:dyDescent="0.3"/>
    <row r="3001" customFormat="1" x14ac:dyDescent="0.3"/>
    <row r="3002" customFormat="1" x14ac:dyDescent="0.3"/>
    <row r="3003" customFormat="1" x14ac:dyDescent="0.3"/>
    <row r="3004" customFormat="1" x14ac:dyDescent="0.3"/>
    <row r="3005" customFormat="1" x14ac:dyDescent="0.3"/>
    <row r="3006" customFormat="1" x14ac:dyDescent="0.3"/>
    <row r="3007" customFormat="1" x14ac:dyDescent="0.3"/>
    <row r="3008" customFormat="1" x14ac:dyDescent="0.3"/>
    <row r="3009" customFormat="1" x14ac:dyDescent="0.3"/>
    <row r="3010" customFormat="1" x14ac:dyDescent="0.3"/>
    <row r="3011" customFormat="1" x14ac:dyDescent="0.3"/>
    <row r="3012" customFormat="1" x14ac:dyDescent="0.3"/>
    <row r="3013" customFormat="1" x14ac:dyDescent="0.3"/>
    <row r="3014" customFormat="1" x14ac:dyDescent="0.3"/>
    <row r="3015" customFormat="1" x14ac:dyDescent="0.3"/>
    <row r="3016" customFormat="1" x14ac:dyDescent="0.3"/>
    <row r="3017" customFormat="1" x14ac:dyDescent="0.3"/>
    <row r="3018" customFormat="1" x14ac:dyDescent="0.3"/>
    <row r="3019" customFormat="1" x14ac:dyDescent="0.3"/>
    <row r="3020" customFormat="1" x14ac:dyDescent="0.3"/>
    <row r="3021" customFormat="1" x14ac:dyDescent="0.3"/>
    <row r="3022" customFormat="1" x14ac:dyDescent="0.3"/>
    <row r="3023" customFormat="1" x14ac:dyDescent="0.3"/>
    <row r="3024" customFormat="1" x14ac:dyDescent="0.3"/>
    <row r="3025" customFormat="1" x14ac:dyDescent="0.3"/>
    <row r="3026" customFormat="1" x14ac:dyDescent="0.3"/>
    <row r="3027" customFormat="1" x14ac:dyDescent="0.3"/>
    <row r="3028" customFormat="1" x14ac:dyDescent="0.3"/>
    <row r="3029" customFormat="1" x14ac:dyDescent="0.3"/>
    <row r="3030" customFormat="1" x14ac:dyDescent="0.3"/>
    <row r="3031" customFormat="1" x14ac:dyDescent="0.3"/>
    <row r="3032" customFormat="1" x14ac:dyDescent="0.3"/>
    <row r="3033" customFormat="1" x14ac:dyDescent="0.3"/>
    <row r="3034" customFormat="1" x14ac:dyDescent="0.3"/>
    <row r="3035" customFormat="1" x14ac:dyDescent="0.3"/>
    <row r="3036" customFormat="1" x14ac:dyDescent="0.3"/>
    <row r="3037" customFormat="1" x14ac:dyDescent="0.3"/>
    <row r="3038" customFormat="1" x14ac:dyDescent="0.3"/>
    <row r="3039" customFormat="1" x14ac:dyDescent="0.3"/>
    <row r="3040" customFormat="1" x14ac:dyDescent="0.3"/>
    <row r="3041" customFormat="1" x14ac:dyDescent="0.3"/>
    <row r="3042" customFormat="1" x14ac:dyDescent="0.3"/>
    <row r="3043" customFormat="1" x14ac:dyDescent="0.3"/>
    <row r="3044" customFormat="1" x14ac:dyDescent="0.3"/>
    <row r="3045" customFormat="1" x14ac:dyDescent="0.3"/>
    <row r="3046" customFormat="1" x14ac:dyDescent="0.3"/>
    <row r="3047" customFormat="1" x14ac:dyDescent="0.3"/>
    <row r="3048" customFormat="1" x14ac:dyDescent="0.3"/>
    <row r="3049" customFormat="1" x14ac:dyDescent="0.3"/>
    <row r="3050" customFormat="1" x14ac:dyDescent="0.3"/>
    <row r="3051" customFormat="1" x14ac:dyDescent="0.3"/>
    <row r="3052" customFormat="1" x14ac:dyDescent="0.3"/>
    <row r="3053" customFormat="1" x14ac:dyDescent="0.3"/>
    <row r="3054" customFormat="1" x14ac:dyDescent="0.3"/>
    <row r="3055" customFormat="1" x14ac:dyDescent="0.3"/>
    <row r="3056" customFormat="1" x14ac:dyDescent="0.3"/>
    <row r="3057" customFormat="1" x14ac:dyDescent="0.3"/>
    <row r="3058" customFormat="1" x14ac:dyDescent="0.3"/>
    <row r="3059" customFormat="1" x14ac:dyDescent="0.3"/>
    <row r="3060" customFormat="1" x14ac:dyDescent="0.3"/>
    <row r="3061" customFormat="1" x14ac:dyDescent="0.3"/>
    <row r="3062" customFormat="1" x14ac:dyDescent="0.3"/>
    <row r="3063" customFormat="1" x14ac:dyDescent="0.3"/>
    <row r="3064" customFormat="1" x14ac:dyDescent="0.3"/>
    <row r="3065" customFormat="1" x14ac:dyDescent="0.3"/>
    <row r="3066" customFormat="1" x14ac:dyDescent="0.3"/>
    <row r="3067" customFormat="1" x14ac:dyDescent="0.3"/>
    <row r="3068" customFormat="1" x14ac:dyDescent="0.3"/>
    <row r="3069" customFormat="1" x14ac:dyDescent="0.3"/>
    <row r="3070" customFormat="1" x14ac:dyDescent="0.3"/>
    <row r="3071" customFormat="1" x14ac:dyDescent="0.3"/>
    <row r="3072" customFormat="1" x14ac:dyDescent="0.3"/>
    <row r="3073" customFormat="1" x14ac:dyDescent="0.3"/>
    <row r="3074" customFormat="1" x14ac:dyDescent="0.3"/>
    <row r="3075" customFormat="1" x14ac:dyDescent="0.3"/>
    <row r="3076" customFormat="1" x14ac:dyDescent="0.3"/>
    <row r="3077" customFormat="1" x14ac:dyDescent="0.3"/>
    <row r="3078" customFormat="1" x14ac:dyDescent="0.3"/>
    <row r="3079" customFormat="1" x14ac:dyDescent="0.3"/>
    <row r="3080" customFormat="1" x14ac:dyDescent="0.3"/>
    <row r="3081" customFormat="1" x14ac:dyDescent="0.3"/>
    <row r="3082" customFormat="1" x14ac:dyDescent="0.3"/>
    <row r="3083" customFormat="1" x14ac:dyDescent="0.3"/>
    <row r="3084" customFormat="1" x14ac:dyDescent="0.3"/>
    <row r="3085" customFormat="1" x14ac:dyDescent="0.3"/>
    <row r="3086" customFormat="1" x14ac:dyDescent="0.3"/>
    <row r="3087" customFormat="1" x14ac:dyDescent="0.3"/>
    <row r="3088" customFormat="1" x14ac:dyDescent="0.3"/>
    <row r="3089" customFormat="1" x14ac:dyDescent="0.3"/>
    <row r="3090" customFormat="1" x14ac:dyDescent="0.3"/>
    <row r="3091" customFormat="1" x14ac:dyDescent="0.3"/>
    <row r="3092" customFormat="1" x14ac:dyDescent="0.3"/>
    <row r="3093" customFormat="1" x14ac:dyDescent="0.3"/>
    <row r="3094" customFormat="1" x14ac:dyDescent="0.3"/>
    <row r="3095" customFormat="1" x14ac:dyDescent="0.3"/>
    <row r="3096" customFormat="1" x14ac:dyDescent="0.3"/>
    <row r="3097" customFormat="1" x14ac:dyDescent="0.3"/>
    <row r="3098" customFormat="1" x14ac:dyDescent="0.3"/>
    <row r="3099" customFormat="1" x14ac:dyDescent="0.3"/>
    <row r="3100" customFormat="1" x14ac:dyDescent="0.3"/>
    <row r="3101" customFormat="1" x14ac:dyDescent="0.3"/>
    <row r="3102" customFormat="1" x14ac:dyDescent="0.3"/>
    <row r="3103" customFormat="1" x14ac:dyDescent="0.3"/>
    <row r="3104" customFormat="1" x14ac:dyDescent="0.3"/>
    <row r="3105" customFormat="1" x14ac:dyDescent="0.3"/>
    <row r="3106" customFormat="1" x14ac:dyDescent="0.3"/>
    <row r="3107" customFormat="1" x14ac:dyDescent="0.3"/>
    <row r="3108" customFormat="1" x14ac:dyDescent="0.3"/>
    <row r="3109" customFormat="1" x14ac:dyDescent="0.3"/>
    <row r="3110" customFormat="1" x14ac:dyDescent="0.3"/>
    <row r="3111" customFormat="1" x14ac:dyDescent="0.3"/>
    <row r="3112" customFormat="1" x14ac:dyDescent="0.3"/>
    <row r="3113" customFormat="1" x14ac:dyDescent="0.3"/>
    <row r="3114" customFormat="1" x14ac:dyDescent="0.3"/>
    <row r="3115" customFormat="1" x14ac:dyDescent="0.3"/>
    <row r="3116" customFormat="1" x14ac:dyDescent="0.3"/>
    <row r="3117" customFormat="1" x14ac:dyDescent="0.3"/>
    <row r="3118" customFormat="1" x14ac:dyDescent="0.3"/>
    <row r="3119" customFormat="1" x14ac:dyDescent="0.3"/>
    <row r="3120" customFormat="1" x14ac:dyDescent="0.3"/>
    <row r="3121" customFormat="1" x14ac:dyDescent="0.3"/>
    <row r="3122" customFormat="1" x14ac:dyDescent="0.3"/>
    <row r="3123" customFormat="1" x14ac:dyDescent="0.3"/>
    <row r="3124" customFormat="1" x14ac:dyDescent="0.3"/>
    <row r="3125" customFormat="1" x14ac:dyDescent="0.3"/>
    <row r="3126" customFormat="1" x14ac:dyDescent="0.3"/>
    <row r="3127" customFormat="1" x14ac:dyDescent="0.3"/>
    <row r="3128" customFormat="1" x14ac:dyDescent="0.3"/>
    <row r="3129" customFormat="1" x14ac:dyDescent="0.3"/>
    <row r="3130" customFormat="1" x14ac:dyDescent="0.3"/>
    <row r="3131" customFormat="1" x14ac:dyDescent="0.3"/>
    <row r="3132" customFormat="1" x14ac:dyDescent="0.3"/>
    <row r="3133" customFormat="1" x14ac:dyDescent="0.3"/>
    <row r="3134" customFormat="1" x14ac:dyDescent="0.3"/>
    <row r="3135" customFormat="1" x14ac:dyDescent="0.3"/>
    <row r="3136" customFormat="1" x14ac:dyDescent="0.3"/>
    <row r="3137" customFormat="1" x14ac:dyDescent="0.3"/>
    <row r="3138" customFormat="1" x14ac:dyDescent="0.3"/>
    <row r="3139" customFormat="1" x14ac:dyDescent="0.3"/>
    <row r="3140" customFormat="1" x14ac:dyDescent="0.3"/>
    <row r="3141" customFormat="1" x14ac:dyDescent="0.3"/>
    <row r="3142" customFormat="1" x14ac:dyDescent="0.3"/>
    <row r="3143" customFormat="1" x14ac:dyDescent="0.3"/>
    <row r="3144" customFormat="1" x14ac:dyDescent="0.3"/>
    <row r="3145" customFormat="1" x14ac:dyDescent="0.3"/>
    <row r="3146" customFormat="1" x14ac:dyDescent="0.3"/>
    <row r="3147" customFormat="1" x14ac:dyDescent="0.3"/>
    <row r="3148" customFormat="1" x14ac:dyDescent="0.3"/>
    <row r="3149" customFormat="1" x14ac:dyDescent="0.3"/>
    <row r="3150" customFormat="1" x14ac:dyDescent="0.3"/>
    <row r="3151" customFormat="1" x14ac:dyDescent="0.3"/>
    <row r="3152" customFormat="1" x14ac:dyDescent="0.3"/>
    <row r="3153" customFormat="1" x14ac:dyDescent="0.3"/>
    <row r="3154" customFormat="1" x14ac:dyDescent="0.3"/>
    <row r="3155" customFormat="1" x14ac:dyDescent="0.3"/>
    <row r="3156" customFormat="1" x14ac:dyDescent="0.3"/>
    <row r="3157" customFormat="1" x14ac:dyDescent="0.3"/>
    <row r="3158" customFormat="1" x14ac:dyDescent="0.3"/>
    <row r="3159" customFormat="1" x14ac:dyDescent="0.3"/>
    <row r="3160" customFormat="1" x14ac:dyDescent="0.3"/>
    <row r="3161" customFormat="1" x14ac:dyDescent="0.3"/>
    <row r="3162" customFormat="1" x14ac:dyDescent="0.3"/>
    <row r="3163" customFormat="1" x14ac:dyDescent="0.3"/>
    <row r="3164" customFormat="1" x14ac:dyDescent="0.3"/>
    <row r="3165" customFormat="1" x14ac:dyDescent="0.3"/>
    <row r="3166" customFormat="1" x14ac:dyDescent="0.3"/>
    <row r="3167" customFormat="1" x14ac:dyDescent="0.3"/>
    <row r="3168" customFormat="1" x14ac:dyDescent="0.3"/>
    <row r="3169" customFormat="1" x14ac:dyDescent="0.3"/>
    <row r="3170" customFormat="1" x14ac:dyDescent="0.3"/>
    <row r="3171" customFormat="1" x14ac:dyDescent="0.3"/>
    <row r="3172" customFormat="1" x14ac:dyDescent="0.3"/>
    <row r="3173" customFormat="1" x14ac:dyDescent="0.3"/>
    <row r="3174" customFormat="1" x14ac:dyDescent="0.3"/>
    <row r="3175" customFormat="1" x14ac:dyDescent="0.3"/>
    <row r="3176" customFormat="1" x14ac:dyDescent="0.3"/>
    <row r="3177" customFormat="1" x14ac:dyDescent="0.3"/>
    <row r="3178" customFormat="1" x14ac:dyDescent="0.3"/>
    <row r="3179" customFormat="1" x14ac:dyDescent="0.3"/>
    <row r="3180" customFormat="1" x14ac:dyDescent="0.3"/>
    <row r="3181" customFormat="1" x14ac:dyDescent="0.3"/>
    <row r="3182" customFormat="1" x14ac:dyDescent="0.3"/>
    <row r="3183" customFormat="1" x14ac:dyDescent="0.3"/>
    <row r="3184" customFormat="1" x14ac:dyDescent="0.3"/>
    <row r="3185" customFormat="1" x14ac:dyDescent="0.3"/>
    <row r="3186" customFormat="1" x14ac:dyDescent="0.3"/>
    <row r="3187" customFormat="1" x14ac:dyDescent="0.3"/>
    <row r="3188" customFormat="1" x14ac:dyDescent="0.3"/>
    <row r="3189" customFormat="1" x14ac:dyDescent="0.3"/>
    <row r="3190" customFormat="1" x14ac:dyDescent="0.3"/>
    <row r="3191" customFormat="1" x14ac:dyDescent="0.3"/>
    <row r="3192" customFormat="1" x14ac:dyDescent="0.3"/>
    <row r="3193" customFormat="1" x14ac:dyDescent="0.3"/>
    <row r="3194" customFormat="1" x14ac:dyDescent="0.3"/>
    <row r="3195" customFormat="1" x14ac:dyDescent="0.3"/>
    <row r="3196" customFormat="1" x14ac:dyDescent="0.3"/>
    <row r="3197" customFormat="1" x14ac:dyDescent="0.3"/>
    <row r="3198" customFormat="1" x14ac:dyDescent="0.3"/>
    <row r="3199" customFormat="1" x14ac:dyDescent="0.3"/>
    <row r="3200" customFormat="1" x14ac:dyDescent="0.3"/>
    <row r="3201" customFormat="1" x14ac:dyDescent="0.3"/>
    <row r="3202" customFormat="1" x14ac:dyDescent="0.3"/>
    <row r="3203" customFormat="1" x14ac:dyDescent="0.3"/>
    <row r="3204" customFormat="1" x14ac:dyDescent="0.3"/>
    <row r="3205" customFormat="1" x14ac:dyDescent="0.3"/>
    <row r="3206" customFormat="1" x14ac:dyDescent="0.3"/>
    <row r="3207" customFormat="1" x14ac:dyDescent="0.3"/>
    <row r="3208" customFormat="1" x14ac:dyDescent="0.3"/>
    <row r="3209" customFormat="1" x14ac:dyDescent="0.3"/>
    <row r="3210" customFormat="1" x14ac:dyDescent="0.3"/>
    <row r="3211" customFormat="1" x14ac:dyDescent="0.3"/>
    <row r="3212" customFormat="1" x14ac:dyDescent="0.3"/>
    <row r="3213" customFormat="1" x14ac:dyDescent="0.3"/>
    <row r="3214" customFormat="1" x14ac:dyDescent="0.3"/>
    <row r="3215" customFormat="1" x14ac:dyDescent="0.3"/>
    <row r="3216" customFormat="1" x14ac:dyDescent="0.3"/>
    <row r="3217" customFormat="1" x14ac:dyDescent="0.3"/>
    <row r="3218" customFormat="1" x14ac:dyDescent="0.3"/>
    <row r="3219" customFormat="1" x14ac:dyDescent="0.3"/>
    <row r="3220" customFormat="1" x14ac:dyDescent="0.3"/>
    <row r="3221" customFormat="1" x14ac:dyDescent="0.3"/>
    <row r="3222" customFormat="1" x14ac:dyDescent="0.3"/>
    <row r="3223" customFormat="1" x14ac:dyDescent="0.3"/>
    <row r="3224" customFormat="1" x14ac:dyDescent="0.3"/>
    <row r="3225" customFormat="1" x14ac:dyDescent="0.3"/>
    <row r="3226" customFormat="1" x14ac:dyDescent="0.3"/>
    <row r="3227" customFormat="1" x14ac:dyDescent="0.3"/>
    <row r="3228" customFormat="1" x14ac:dyDescent="0.3"/>
    <row r="3229" customFormat="1" x14ac:dyDescent="0.3"/>
    <row r="3230" customFormat="1" x14ac:dyDescent="0.3"/>
    <row r="3231" customFormat="1" x14ac:dyDescent="0.3"/>
    <row r="3232" customFormat="1" x14ac:dyDescent="0.3"/>
    <row r="3233" customFormat="1" x14ac:dyDescent="0.3"/>
    <row r="3234" customFormat="1" x14ac:dyDescent="0.3"/>
    <row r="3235" customFormat="1" x14ac:dyDescent="0.3"/>
    <row r="3236" customFormat="1" x14ac:dyDescent="0.3"/>
    <row r="3237" customFormat="1" x14ac:dyDescent="0.3"/>
    <row r="3238" customFormat="1" x14ac:dyDescent="0.3"/>
    <row r="3239" customFormat="1" x14ac:dyDescent="0.3"/>
    <row r="3240" customFormat="1" x14ac:dyDescent="0.3"/>
    <row r="3241" customFormat="1" x14ac:dyDescent="0.3"/>
    <row r="3242" customFormat="1" x14ac:dyDescent="0.3"/>
    <row r="3243" customFormat="1" x14ac:dyDescent="0.3"/>
    <row r="3244" customFormat="1" x14ac:dyDescent="0.3"/>
    <row r="3245" customFormat="1" x14ac:dyDescent="0.3"/>
    <row r="3246" customFormat="1" x14ac:dyDescent="0.3"/>
    <row r="3247" customFormat="1" x14ac:dyDescent="0.3"/>
    <row r="3248" customFormat="1" x14ac:dyDescent="0.3"/>
    <row r="3249" customFormat="1" x14ac:dyDescent="0.3"/>
    <row r="3250" customFormat="1" x14ac:dyDescent="0.3"/>
    <row r="3251" customFormat="1" x14ac:dyDescent="0.3"/>
    <row r="3252" customFormat="1" x14ac:dyDescent="0.3"/>
    <row r="3253" customFormat="1" x14ac:dyDescent="0.3"/>
    <row r="3254" customFormat="1" x14ac:dyDescent="0.3"/>
    <row r="3255" customFormat="1" x14ac:dyDescent="0.3"/>
    <row r="3256" customFormat="1" x14ac:dyDescent="0.3"/>
    <row r="3257" customFormat="1" x14ac:dyDescent="0.3"/>
    <row r="3258" customFormat="1" x14ac:dyDescent="0.3"/>
    <row r="3259" customFormat="1" x14ac:dyDescent="0.3"/>
    <row r="3260" customFormat="1" x14ac:dyDescent="0.3"/>
    <row r="3261" customFormat="1" x14ac:dyDescent="0.3"/>
    <row r="3262" customFormat="1" x14ac:dyDescent="0.3"/>
    <row r="3263" customFormat="1" x14ac:dyDescent="0.3"/>
    <row r="3264" customFormat="1" x14ac:dyDescent="0.3"/>
    <row r="3265" customFormat="1" x14ac:dyDescent="0.3"/>
    <row r="3266" customFormat="1" x14ac:dyDescent="0.3"/>
    <row r="3267" customFormat="1" x14ac:dyDescent="0.3"/>
    <row r="3268" customFormat="1" x14ac:dyDescent="0.3"/>
    <row r="3269" customFormat="1" x14ac:dyDescent="0.3"/>
    <row r="3270" customFormat="1" x14ac:dyDescent="0.3"/>
    <row r="3271" customFormat="1" x14ac:dyDescent="0.3"/>
    <row r="3272" customFormat="1" x14ac:dyDescent="0.3"/>
    <row r="3273" customFormat="1" x14ac:dyDescent="0.3"/>
    <row r="3274" customFormat="1" x14ac:dyDescent="0.3"/>
    <row r="3275" customFormat="1" x14ac:dyDescent="0.3"/>
    <row r="3276" customFormat="1" x14ac:dyDescent="0.3"/>
    <row r="3277" customFormat="1" x14ac:dyDescent="0.3"/>
    <row r="3278" customFormat="1" x14ac:dyDescent="0.3"/>
    <row r="3279" customFormat="1" x14ac:dyDescent="0.3"/>
    <row r="3280" customFormat="1" x14ac:dyDescent="0.3"/>
    <row r="3281" customFormat="1" x14ac:dyDescent="0.3"/>
    <row r="3282" customFormat="1" x14ac:dyDescent="0.3"/>
    <row r="3283" customFormat="1" x14ac:dyDescent="0.3"/>
    <row r="3284" customFormat="1" x14ac:dyDescent="0.3"/>
    <row r="3285" customFormat="1" x14ac:dyDescent="0.3"/>
    <row r="3286" customFormat="1" x14ac:dyDescent="0.3"/>
    <row r="3287" customFormat="1" x14ac:dyDescent="0.3"/>
    <row r="3288" customFormat="1" x14ac:dyDescent="0.3"/>
    <row r="3289" customFormat="1" x14ac:dyDescent="0.3"/>
    <row r="3290" customFormat="1" x14ac:dyDescent="0.3"/>
    <row r="3291" customFormat="1" x14ac:dyDescent="0.3"/>
    <row r="3292" customFormat="1" x14ac:dyDescent="0.3"/>
    <row r="3293" customFormat="1" x14ac:dyDescent="0.3"/>
    <row r="3294" customFormat="1" x14ac:dyDescent="0.3"/>
    <row r="3295" customFormat="1" x14ac:dyDescent="0.3"/>
    <row r="3296" customFormat="1" x14ac:dyDescent="0.3"/>
    <row r="3297" customFormat="1" x14ac:dyDescent="0.3"/>
    <row r="3298" customFormat="1" x14ac:dyDescent="0.3"/>
    <row r="3299" customFormat="1" x14ac:dyDescent="0.3"/>
    <row r="3300" customFormat="1" x14ac:dyDescent="0.3"/>
    <row r="3301" customFormat="1" x14ac:dyDescent="0.3"/>
    <row r="3302" customFormat="1" x14ac:dyDescent="0.3"/>
    <row r="3303" customFormat="1" x14ac:dyDescent="0.3"/>
    <row r="3304" customFormat="1" x14ac:dyDescent="0.3"/>
    <row r="3305" customFormat="1" x14ac:dyDescent="0.3"/>
    <row r="3306" customFormat="1" x14ac:dyDescent="0.3"/>
    <row r="3307" customFormat="1" x14ac:dyDescent="0.3"/>
    <row r="3308" customFormat="1" x14ac:dyDescent="0.3"/>
    <row r="3309" customFormat="1" x14ac:dyDescent="0.3"/>
    <row r="3310" customFormat="1" x14ac:dyDescent="0.3"/>
    <row r="3311" customFormat="1" x14ac:dyDescent="0.3"/>
    <row r="3312" customFormat="1" x14ac:dyDescent="0.3"/>
    <row r="3313" customFormat="1" x14ac:dyDescent="0.3"/>
    <row r="3314" customFormat="1" x14ac:dyDescent="0.3"/>
    <row r="3315" customFormat="1" x14ac:dyDescent="0.3"/>
    <row r="3316" customFormat="1" x14ac:dyDescent="0.3"/>
    <row r="3317" customFormat="1" x14ac:dyDescent="0.3"/>
    <row r="3318" customFormat="1" x14ac:dyDescent="0.3"/>
    <row r="3319" customFormat="1" x14ac:dyDescent="0.3"/>
    <row r="3320" customFormat="1" x14ac:dyDescent="0.3"/>
    <row r="3321" customFormat="1" x14ac:dyDescent="0.3"/>
    <row r="3322" customFormat="1" x14ac:dyDescent="0.3"/>
    <row r="3323" customFormat="1" x14ac:dyDescent="0.3"/>
    <row r="3324" customFormat="1" x14ac:dyDescent="0.3"/>
    <row r="3325" customFormat="1" x14ac:dyDescent="0.3"/>
    <row r="3326" customFormat="1" x14ac:dyDescent="0.3"/>
    <row r="3327" customFormat="1" x14ac:dyDescent="0.3"/>
    <row r="3328" customFormat="1" x14ac:dyDescent="0.3"/>
    <row r="3329" customFormat="1" x14ac:dyDescent="0.3"/>
    <row r="3330" customFormat="1" x14ac:dyDescent="0.3"/>
    <row r="3331" customFormat="1" x14ac:dyDescent="0.3"/>
    <row r="3332" customFormat="1" x14ac:dyDescent="0.3"/>
    <row r="3333" customFormat="1" x14ac:dyDescent="0.3"/>
    <row r="3334" customFormat="1" x14ac:dyDescent="0.3"/>
    <row r="3335" customFormat="1" x14ac:dyDescent="0.3"/>
    <row r="3336" customFormat="1" x14ac:dyDescent="0.3"/>
    <row r="3337" customFormat="1" x14ac:dyDescent="0.3"/>
    <row r="3338" customFormat="1" x14ac:dyDescent="0.3"/>
    <row r="3339" customFormat="1" x14ac:dyDescent="0.3"/>
    <row r="3340" customFormat="1" x14ac:dyDescent="0.3"/>
    <row r="3341" customFormat="1" x14ac:dyDescent="0.3"/>
    <row r="3342" customFormat="1" x14ac:dyDescent="0.3"/>
    <row r="3343" customFormat="1" x14ac:dyDescent="0.3"/>
    <row r="3344" customFormat="1" x14ac:dyDescent="0.3"/>
    <row r="3345" customFormat="1" x14ac:dyDescent="0.3"/>
    <row r="3346" customFormat="1" x14ac:dyDescent="0.3"/>
    <row r="3347" customFormat="1" x14ac:dyDescent="0.3"/>
    <row r="3348" customFormat="1" x14ac:dyDescent="0.3"/>
    <row r="3349" customFormat="1" x14ac:dyDescent="0.3"/>
    <row r="3350" customFormat="1" x14ac:dyDescent="0.3"/>
    <row r="3351" customFormat="1" x14ac:dyDescent="0.3"/>
    <row r="3352" customFormat="1" x14ac:dyDescent="0.3"/>
    <row r="3353" customFormat="1" x14ac:dyDescent="0.3"/>
    <row r="3354" customFormat="1" x14ac:dyDescent="0.3"/>
    <row r="3355" customFormat="1" x14ac:dyDescent="0.3"/>
    <row r="3356" customFormat="1" x14ac:dyDescent="0.3"/>
    <row r="3357" customFormat="1" x14ac:dyDescent="0.3"/>
    <row r="3358" customFormat="1" x14ac:dyDescent="0.3"/>
    <row r="3359" customFormat="1" x14ac:dyDescent="0.3"/>
    <row r="3360" customFormat="1" x14ac:dyDescent="0.3"/>
    <row r="3361" customFormat="1" x14ac:dyDescent="0.3"/>
    <row r="3362" customFormat="1" x14ac:dyDescent="0.3"/>
    <row r="3363" customFormat="1" x14ac:dyDescent="0.3"/>
    <row r="3364" customFormat="1" x14ac:dyDescent="0.3"/>
    <row r="3365" customFormat="1" x14ac:dyDescent="0.3"/>
    <row r="3366" customFormat="1" x14ac:dyDescent="0.3"/>
    <row r="3367" customFormat="1" x14ac:dyDescent="0.3"/>
    <row r="3368" customFormat="1" x14ac:dyDescent="0.3"/>
    <row r="3369" customFormat="1" x14ac:dyDescent="0.3"/>
    <row r="3370" customFormat="1" x14ac:dyDescent="0.3"/>
    <row r="3371" customFormat="1" x14ac:dyDescent="0.3"/>
    <row r="3372" customFormat="1" x14ac:dyDescent="0.3"/>
    <row r="3373" customFormat="1" x14ac:dyDescent="0.3"/>
    <row r="3374" customFormat="1" x14ac:dyDescent="0.3"/>
    <row r="3375" customFormat="1" x14ac:dyDescent="0.3"/>
    <row r="3376" customFormat="1" x14ac:dyDescent="0.3"/>
    <row r="3377" customFormat="1" x14ac:dyDescent="0.3"/>
    <row r="3378" customFormat="1" x14ac:dyDescent="0.3"/>
    <row r="3379" customFormat="1" x14ac:dyDescent="0.3"/>
    <row r="3380" customFormat="1" x14ac:dyDescent="0.3"/>
    <row r="3381" customFormat="1" x14ac:dyDescent="0.3"/>
    <row r="3382" customFormat="1" x14ac:dyDescent="0.3"/>
    <row r="3383" customFormat="1" x14ac:dyDescent="0.3"/>
    <row r="3384" customFormat="1" x14ac:dyDescent="0.3"/>
    <row r="3385" customFormat="1" x14ac:dyDescent="0.3"/>
    <row r="3386" customFormat="1" x14ac:dyDescent="0.3"/>
    <row r="3387" customFormat="1" x14ac:dyDescent="0.3"/>
    <row r="3388" customFormat="1" x14ac:dyDescent="0.3"/>
    <row r="3389" customFormat="1" x14ac:dyDescent="0.3"/>
    <row r="3390" customFormat="1" x14ac:dyDescent="0.3"/>
    <row r="3391" customFormat="1" x14ac:dyDescent="0.3"/>
    <row r="3392" customFormat="1" x14ac:dyDescent="0.3"/>
    <row r="3393" customFormat="1" x14ac:dyDescent="0.3"/>
    <row r="3394" customFormat="1" x14ac:dyDescent="0.3"/>
    <row r="3395" customFormat="1" x14ac:dyDescent="0.3"/>
    <row r="3396" customFormat="1" x14ac:dyDescent="0.3"/>
    <row r="3397" customFormat="1" x14ac:dyDescent="0.3"/>
    <row r="3398" customFormat="1" x14ac:dyDescent="0.3"/>
    <row r="3399" customFormat="1" x14ac:dyDescent="0.3"/>
    <row r="3400" customFormat="1" x14ac:dyDescent="0.3"/>
    <row r="3401" customFormat="1" x14ac:dyDescent="0.3"/>
    <row r="3402" customFormat="1" x14ac:dyDescent="0.3"/>
    <row r="3403" customFormat="1" x14ac:dyDescent="0.3"/>
    <row r="3404" customFormat="1" x14ac:dyDescent="0.3"/>
    <row r="3405" customFormat="1" x14ac:dyDescent="0.3"/>
    <row r="3406" customFormat="1" x14ac:dyDescent="0.3"/>
    <row r="3407" customFormat="1" x14ac:dyDescent="0.3"/>
    <row r="3408" customFormat="1" x14ac:dyDescent="0.3"/>
    <row r="3409" customFormat="1" x14ac:dyDescent="0.3"/>
    <row r="3410" customFormat="1" x14ac:dyDescent="0.3"/>
    <row r="3411" customFormat="1" x14ac:dyDescent="0.3"/>
    <row r="3412" customFormat="1" x14ac:dyDescent="0.3"/>
    <row r="3413" customFormat="1" x14ac:dyDescent="0.3"/>
    <row r="3414" customFormat="1" x14ac:dyDescent="0.3"/>
    <row r="3415" customFormat="1" x14ac:dyDescent="0.3"/>
    <row r="3416" customFormat="1" x14ac:dyDescent="0.3"/>
    <row r="3417" customFormat="1" x14ac:dyDescent="0.3"/>
    <row r="3418" customFormat="1" x14ac:dyDescent="0.3"/>
    <row r="3419" customFormat="1" x14ac:dyDescent="0.3"/>
    <row r="3420" customFormat="1" x14ac:dyDescent="0.3"/>
    <row r="3421" customFormat="1" x14ac:dyDescent="0.3"/>
    <row r="3422" customFormat="1" x14ac:dyDescent="0.3"/>
    <row r="3423" customFormat="1" x14ac:dyDescent="0.3"/>
    <row r="3424" customFormat="1" x14ac:dyDescent="0.3"/>
    <row r="3425" customFormat="1" x14ac:dyDescent="0.3"/>
    <row r="3426" customFormat="1" x14ac:dyDescent="0.3"/>
    <row r="3427" customFormat="1" x14ac:dyDescent="0.3"/>
    <row r="3428" customFormat="1" x14ac:dyDescent="0.3"/>
    <row r="3429" customFormat="1" x14ac:dyDescent="0.3"/>
    <row r="3430" customFormat="1" x14ac:dyDescent="0.3"/>
    <row r="3431" customFormat="1" x14ac:dyDescent="0.3"/>
    <row r="3432" customFormat="1" x14ac:dyDescent="0.3"/>
    <row r="3433" customFormat="1" x14ac:dyDescent="0.3"/>
    <row r="3434" customFormat="1" x14ac:dyDescent="0.3"/>
    <row r="3435" customFormat="1" x14ac:dyDescent="0.3"/>
    <row r="3436" customFormat="1" x14ac:dyDescent="0.3"/>
    <row r="3437" customFormat="1" x14ac:dyDescent="0.3"/>
    <row r="3438" customFormat="1" x14ac:dyDescent="0.3"/>
    <row r="3439" customFormat="1" x14ac:dyDescent="0.3"/>
    <row r="3440" customFormat="1" x14ac:dyDescent="0.3"/>
    <row r="3441" customFormat="1" x14ac:dyDescent="0.3"/>
    <row r="3442" customFormat="1" x14ac:dyDescent="0.3"/>
    <row r="3443" customFormat="1" x14ac:dyDescent="0.3"/>
    <row r="3444" customFormat="1" x14ac:dyDescent="0.3"/>
    <row r="3445" customFormat="1" x14ac:dyDescent="0.3"/>
    <row r="3446" customFormat="1" x14ac:dyDescent="0.3"/>
    <row r="3447" customFormat="1" x14ac:dyDescent="0.3"/>
    <row r="3448" customFormat="1" x14ac:dyDescent="0.3"/>
    <row r="3449" customFormat="1" x14ac:dyDescent="0.3"/>
    <row r="3450" customFormat="1" x14ac:dyDescent="0.3"/>
    <row r="3451" customFormat="1" x14ac:dyDescent="0.3"/>
    <row r="3452" customFormat="1" x14ac:dyDescent="0.3"/>
    <row r="3453" customFormat="1" x14ac:dyDescent="0.3"/>
    <row r="3454" customFormat="1" x14ac:dyDescent="0.3"/>
    <row r="3455" customFormat="1" x14ac:dyDescent="0.3"/>
    <row r="3456" customFormat="1" x14ac:dyDescent="0.3"/>
    <row r="3457" customFormat="1" x14ac:dyDescent="0.3"/>
    <row r="3458" customFormat="1" x14ac:dyDescent="0.3"/>
    <row r="3459" customFormat="1" x14ac:dyDescent="0.3"/>
    <row r="3460" customFormat="1" x14ac:dyDescent="0.3"/>
    <row r="3461" customFormat="1" x14ac:dyDescent="0.3"/>
    <row r="3462" customFormat="1" x14ac:dyDescent="0.3"/>
    <row r="3463" customFormat="1" x14ac:dyDescent="0.3"/>
    <row r="3464" customFormat="1" x14ac:dyDescent="0.3"/>
    <row r="3465" customFormat="1" x14ac:dyDescent="0.3"/>
    <row r="3466" customFormat="1" x14ac:dyDescent="0.3"/>
    <row r="3467" customFormat="1" x14ac:dyDescent="0.3"/>
    <row r="3468" customFormat="1" x14ac:dyDescent="0.3"/>
    <row r="3469" customFormat="1" x14ac:dyDescent="0.3"/>
    <row r="3470" customFormat="1" x14ac:dyDescent="0.3"/>
    <row r="3471" customFormat="1" x14ac:dyDescent="0.3"/>
    <row r="3472" customFormat="1" x14ac:dyDescent="0.3"/>
    <row r="3473" customFormat="1" x14ac:dyDescent="0.3"/>
    <row r="3474" customFormat="1" x14ac:dyDescent="0.3"/>
    <row r="3475" customFormat="1" x14ac:dyDescent="0.3"/>
    <row r="3476" customFormat="1" x14ac:dyDescent="0.3"/>
    <row r="3477" customFormat="1" x14ac:dyDescent="0.3"/>
    <row r="3478" customFormat="1" x14ac:dyDescent="0.3"/>
    <row r="3479" customFormat="1" x14ac:dyDescent="0.3"/>
    <row r="3480" customFormat="1" x14ac:dyDescent="0.3"/>
    <row r="3481" customFormat="1" x14ac:dyDescent="0.3"/>
    <row r="3482" customFormat="1" x14ac:dyDescent="0.3"/>
    <row r="3483" customFormat="1" x14ac:dyDescent="0.3"/>
    <row r="3484" customFormat="1" x14ac:dyDescent="0.3"/>
    <row r="3485" customFormat="1" x14ac:dyDescent="0.3"/>
    <row r="3486" customFormat="1" x14ac:dyDescent="0.3"/>
    <row r="3487" customFormat="1" x14ac:dyDescent="0.3"/>
    <row r="3488" customFormat="1" x14ac:dyDescent="0.3"/>
    <row r="3489" customFormat="1" x14ac:dyDescent="0.3"/>
    <row r="3490" customFormat="1" x14ac:dyDescent="0.3"/>
    <row r="3491" customFormat="1" x14ac:dyDescent="0.3"/>
    <row r="3492" customFormat="1" x14ac:dyDescent="0.3"/>
    <row r="3493" customFormat="1" x14ac:dyDescent="0.3"/>
    <row r="3494" customFormat="1" x14ac:dyDescent="0.3"/>
    <row r="3495" customFormat="1" x14ac:dyDescent="0.3"/>
    <row r="3496" customFormat="1" x14ac:dyDescent="0.3"/>
    <row r="3497" customFormat="1" x14ac:dyDescent="0.3"/>
    <row r="3498" customFormat="1" x14ac:dyDescent="0.3"/>
    <row r="3499" customFormat="1" x14ac:dyDescent="0.3"/>
    <row r="3500" customFormat="1" x14ac:dyDescent="0.3"/>
    <row r="3501" customFormat="1" x14ac:dyDescent="0.3"/>
    <row r="3502" customFormat="1" x14ac:dyDescent="0.3"/>
    <row r="3503" customFormat="1" x14ac:dyDescent="0.3"/>
    <row r="3504" customFormat="1" x14ac:dyDescent="0.3"/>
    <row r="3505" customFormat="1" x14ac:dyDescent="0.3"/>
    <row r="3506" customFormat="1" x14ac:dyDescent="0.3"/>
    <row r="3507" customFormat="1" x14ac:dyDescent="0.3"/>
    <row r="3508" customFormat="1" x14ac:dyDescent="0.3"/>
    <row r="3509" customFormat="1" x14ac:dyDescent="0.3"/>
    <row r="3510" customFormat="1" x14ac:dyDescent="0.3"/>
    <row r="3511" customFormat="1" x14ac:dyDescent="0.3"/>
    <row r="3512" customFormat="1" x14ac:dyDescent="0.3"/>
    <row r="3513" customFormat="1" x14ac:dyDescent="0.3"/>
    <row r="3514" customFormat="1" x14ac:dyDescent="0.3"/>
    <row r="3515" customFormat="1" x14ac:dyDescent="0.3"/>
    <row r="3516" customFormat="1" x14ac:dyDescent="0.3"/>
    <row r="3517" customFormat="1" x14ac:dyDescent="0.3"/>
    <row r="3518" customFormat="1" x14ac:dyDescent="0.3"/>
    <row r="3519" customFormat="1" x14ac:dyDescent="0.3"/>
    <row r="3520" customFormat="1" x14ac:dyDescent="0.3"/>
    <row r="3521" customFormat="1" x14ac:dyDescent="0.3"/>
    <row r="3522" customFormat="1" x14ac:dyDescent="0.3"/>
    <row r="3523" customFormat="1" x14ac:dyDescent="0.3"/>
    <row r="3524" customFormat="1" x14ac:dyDescent="0.3"/>
    <row r="3525" customFormat="1" x14ac:dyDescent="0.3"/>
    <row r="3526" customFormat="1" x14ac:dyDescent="0.3"/>
    <row r="3527" customFormat="1" x14ac:dyDescent="0.3"/>
    <row r="3528" customFormat="1" x14ac:dyDescent="0.3"/>
    <row r="3529" customFormat="1" x14ac:dyDescent="0.3"/>
    <row r="3530" customFormat="1" x14ac:dyDescent="0.3"/>
    <row r="3531" customFormat="1" x14ac:dyDescent="0.3"/>
    <row r="3532" customFormat="1" x14ac:dyDescent="0.3"/>
    <row r="3533" customFormat="1" x14ac:dyDescent="0.3"/>
    <row r="3534" customFormat="1" x14ac:dyDescent="0.3"/>
    <row r="3535" customFormat="1" x14ac:dyDescent="0.3"/>
    <row r="3536" customFormat="1" x14ac:dyDescent="0.3"/>
    <row r="3537" customFormat="1" x14ac:dyDescent="0.3"/>
    <row r="3538" customFormat="1" x14ac:dyDescent="0.3"/>
    <row r="3539" customFormat="1" x14ac:dyDescent="0.3"/>
    <row r="3540" customFormat="1" x14ac:dyDescent="0.3"/>
    <row r="3541" customFormat="1" x14ac:dyDescent="0.3"/>
    <row r="3542" customFormat="1" x14ac:dyDescent="0.3"/>
    <row r="3543" customFormat="1" x14ac:dyDescent="0.3"/>
    <row r="3544" customFormat="1" x14ac:dyDescent="0.3"/>
    <row r="3545" customFormat="1" x14ac:dyDescent="0.3"/>
    <row r="3546" customFormat="1" x14ac:dyDescent="0.3"/>
    <row r="3547" customFormat="1" x14ac:dyDescent="0.3"/>
    <row r="3548" customFormat="1" x14ac:dyDescent="0.3"/>
    <row r="3549" customFormat="1" x14ac:dyDescent="0.3"/>
    <row r="3550" customFormat="1" x14ac:dyDescent="0.3"/>
    <row r="3551" customFormat="1" x14ac:dyDescent="0.3"/>
    <row r="3552" customFormat="1" x14ac:dyDescent="0.3"/>
    <row r="3553" customFormat="1" x14ac:dyDescent="0.3"/>
    <row r="3554" customFormat="1" x14ac:dyDescent="0.3"/>
    <row r="3555" customFormat="1" x14ac:dyDescent="0.3"/>
    <row r="3556" customFormat="1" x14ac:dyDescent="0.3"/>
    <row r="3557" customFormat="1" x14ac:dyDescent="0.3"/>
    <row r="3558" customFormat="1" x14ac:dyDescent="0.3"/>
    <row r="3559" customFormat="1" x14ac:dyDescent="0.3"/>
    <row r="3560" customFormat="1" x14ac:dyDescent="0.3"/>
    <row r="3561" customFormat="1" x14ac:dyDescent="0.3"/>
    <row r="3562" customFormat="1" x14ac:dyDescent="0.3"/>
    <row r="3563" customFormat="1" x14ac:dyDescent="0.3"/>
    <row r="3564" customFormat="1" x14ac:dyDescent="0.3"/>
    <row r="3565" customFormat="1" x14ac:dyDescent="0.3"/>
    <row r="3566" customFormat="1" x14ac:dyDescent="0.3"/>
    <row r="3567" customFormat="1" x14ac:dyDescent="0.3"/>
    <row r="3568" customFormat="1" x14ac:dyDescent="0.3"/>
    <row r="3569" customFormat="1" x14ac:dyDescent="0.3"/>
    <row r="3570" customFormat="1" x14ac:dyDescent="0.3"/>
    <row r="3571" customFormat="1" x14ac:dyDescent="0.3"/>
    <row r="3572" customFormat="1" x14ac:dyDescent="0.3"/>
    <row r="3573" customFormat="1" x14ac:dyDescent="0.3"/>
    <row r="3574" customFormat="1" x14ac:dyDescent="0.3"/>
    <row r="3575" customFormat="1" x14ac:dyDescent="0.3"/>
    <row r="3576" customFormat="1" x14ac:dyDescent="0.3"/>
    <row r="3577" customFormat="1" x14ac:dyDescent="0.3"/>
    <row r="3578" customFormat="1" x14ac:dyDescent="0.3"/>
    <row r="3579" customFormat="1" x14ac:dyDescent="0.3"/>
    <row r="3580" customFormat="1" x14ac:dyDescent="0.3"/>
    <row r="3581" customFormat="1" x14ac:dyDescent="0.3"/>
    <row r="3582" customFormat="1" x14ac:dyDescent="0.3"/>
    <row r="3583" customFormat="1" x14ac:dyDescent="0.3"/>
    <row r="3584" customFormat="1" x14ac:dyDescent="0.3"/>
    <row r="3585" customFormat="1" x14ac:dyDescent="0.3"/>
    <row r="3586" customFormat="1" x14ac:dyDescent="0.3"/>
    <row r="3587" customFormat="1" x14ac:dyDescent="0.3"/>
    <row r="3588" customFormat="1" x14ac:dyDescent="0.3"/>
    <row r="3589" customFormat="1" x14ac:dyDescent="0.3"/>
    <row r="3590" customFormat="1" x14ac:dyDescent="0.3"/>
    <row r="3591" customFormat="1" x14ac:dyDescent="0.3"/>
    <row r="3592" customFormat="1" x14ac:dyDescent="0.3"/>
    <row r="3593" customFormat="1" x14ac:dyDescent="0.3"/>
    <row r="3594" customFormat="1" x14ac:dyDescent="0.3"/>
    <row r="3595" customFormat="1" x14ac:dyDescent="0.3"/>
    <row r="3596" customFormat="1" x14ac:dyDescent="0.3"/>
    <row r="3597" customFormat="1" x14ac:dyDescent="0.3"/>
    <row r="3598" customFormat="1" x14ac:dyDescent="0.3"/>
    <row r="3599" customFormat="1" x14ac:dyDescent="0.3"/>
    <row r="3600" customFormat="1" x14ac:dyDescent="0.3"/>
    <row r="3601" customFormat="1" x14ac:dyDescent="0.3"/>
    <row r="3602" customFormat="1" x14ac:dyDescent="0.3"/>
    <row r="3603" customFormat="1" x14ac:dyDescent="0.3"/>
    <row r="3604" customFormat="1" x14ac:dyDescent="0.3"/>
    <row r="3605" customFormat="1" x14ac:dyDescent="0.3"/>
    <row r="3606" customFormat="1" x14ac:dyDescent="0.3"/>
    <row r="3607" customFormat="1" x14ac:dyDescent="0.3"/>
    <row r="3608" customFormat="1" x14ac:dyDescent="0.3"/>
    <row r="3609" customFormat="1" x14ac:dyDescent="0.3"/>
    <row r="3610" customFormat="1" x14ac:dyDescent="0.3"/>
    <row r="3611" customFormat="1" x14ac:dyDescent="0.3"/>
    <row r="3612" customFormat="1" x14ac:dyDescent="0.3"/>
    <row r="3613" customFormat="1" x14ac:dyDescent="0.3"/>
    <row r="3614" customFormat="1" x14ac:dyDescent="0.3"/>
    <row r="3615" customFormat="1" x14ac:dyDescent="0.3"/>
    <row r="3616" customFormat="1" x14ac:dyDescent="0.3"/>
    <row r="3617" customFormat="1" x14ac:dyDescent="0.3"/>
    <row r="3618" customFormat="1" x14ac:dyDescent="0.3"/>
    <row r="3619" customFormat="1" x14ac:dyDescent="0.3"/>
    <row r="3620" customFormat="1" x14ac:dyDescent="0.3"/>
    <row r="3621" customFormat="1" x14ac:dyDescent="0.3"/>
    <row r="3622" customFormat="1" x14ac:dyDescent="0.3"/>
    <row r="3623" customFormat="1" x14ac:dyDescent="0.3"/>
    <row r="3624" customFormat="1" x14ac:dyDescent="0.3"/>
    <row r="3625" customFormat="1" x14ac:dyDescent="0.3"/>
    <row r="3626" customFormat="1" x14ac:dyDescent="0.3"/>
    <row r="3627" customFormat="1" x14ac:dyDescent="0.3"/>
    <row r="3628" customFormat="1" x14ac:dyDescent="0.3"/>
    <row r="3629" customFormat="1" x14ac:dyDescent="0.3"/>
    <row r="3630" customFormat="1" x14ac:dyDescent="0.3"/>
    <row r="3631" customFormat="1" x14ac:dyDescent="0.3"/>
    <row r="3632" customFormat="1" x14ac:dyDescent="0.3"/>
    <row r="3633" customFormat="1" x14ac:dyDescent="0.3"/>
    <row r="3634" customFormat="1" x14ac:dyDescent="0.3"/>
    <row r="3635" customFormat="1" x14ac:dyDescent="0.3"/>
    <row r="3636" customFormat="1" x14ac:dyDescent="0.3"/>
    <row r="3637" customFormat="1" x14ac:dyDescent="0.3"/>
    <row r="3638" customFormat="1" x14ac:dyDescent="0.3"/>
    <row r="3639" customFormat="1" x14ac:dyDescent="0.3"/>
    <row r="3640" customFormat="1" x14ac:dyDescent="0.3"/>
    <row r="3641" customFormat="1" x14ac:dyDescent="0.3"/>
    <row r="3642" customFormat="1" x14ac:dyDescent="0.3"/>
    <row r="3643" customFormat="1" x14ac:dyDescent="0.3"/>
    <row r="3644" customFormat="1" x14ac:dyDescent="0.3"/>
    <row r="3645" customFormat="1" x14ac:dyDescent="0.3"/>
    <row r="3646" customFormat="1" x14ac:dyDescent="0.3"/>
    <row r="3647" customFormat="1" x14ac:dyDescent="0.3"/>
    <row r="3648" customFormat="1" x14ac:dyDescent="0.3"/>
    <row r="3649" customFormat="1" x14ac:dyDescent="0.3"/>
    <row r="3650" customFormat="1" x14ac:dyDescent="0.3"/>
    <row r="3651" customFormat="1" x14ac:dyDescent="0.3"/>
    <row r="3652" customFormat="1" x14ac:dyDescent="0.3"/>
    <row r="3653" customFormat="1" x14ac:dyDescent="0.3"/>
    <row r="3654" customFormat="1" x14ac:dyDescent="0.3"/>
    <row r="3655" customFormat="1" x14ac:dyDescent="0.3"/>
    <row r="3656" customFormat="1" x14ac:dyDescent="0.3"/>
    <row r="3657" customFormat="1" x14ac:dyDescent="0.3"/>
    <row r="3658" customFormat="1" x14ac:dyDescent="0.3"/>
    <row r="3659" customFormat="1" x14ac:dyDescent="0.3"/>
    <row r="3660" customFormat="1" x14ac:dyDescent="0.3"/>
    <row r="3661" customFormat="1" x14ac:dyDescent="0.3"/>
    <row r="3662" customFormat="1" x14ac:dyDescent="0.3"/>
    <row r="3663" customFormat="1" x14ac:dyDescent="0.3"/>
    <row r="3664" customFormat="1" x14ac:dyDescent="0.3"/>
    <row r="3665" customFormat="1" x14ac:dyDescent="0.3"/>
    <row r="3666" customFormat="1" x14ac:dyDescent="0.3"/>
    <row r="3667" customFormat="1" x14ac:dyDescent="0.3"/>
    <row r="3668" customFormat="1" x14ac:dyDescent="0.3"/>
    <row r="3669" customFormat="1" x14ac:dyDescent="0.3"/>
    <row r="3670" customFormat="1" x14ac:dyDescent="0.3"/>
    <row r="3671" customFormat="1" x14ac:dyDescent="0.3"/>
    <row r="3672" customFormat="1" x14ac:dyDescent="0.3"/>
    <row r="3673" customFormat="1" x14ac:dyDescent="0.3"/>
    <row r="3674" customFormat="1" x14ac:dyDescent="0.3"/>
    <row r="3675" customFormat="1" x14ac:dyDescent="0.3"/>
    <row r="3676" customFormat="1" x14ac:dyDescent="0.3"/>
    <row r="3677" customFormat="1" x14ac:dyDescent="0.3"/>
    <row r="3678" customFormat="1" x14ac:dyDescent="0.3"/>
    <row r="3679" customFormat="1" x14ac:dyDescent="0.3"/>
    <row r="3680" customFormat="1" x14ac:dyDescent="0.3"/>
    <row r="3681" customFormat="1" x14ac:dyDescent="0.3"/>
    <row r="3682" customFormat="1" x14ac:dyDescent="0.3"/>
    <row r="3683" customFormat="1" x14ac:dyDescent="0.3"/>
    <row r="3684" customFormat="1" x14ac:dyDescent="0.3"/>
    <row r="3685" customFormat="1" x14ac:dyDescent="0.3"/>
    <row r="3686" customFormat="1" x14ac:dyDescent="0.3"/>
    <row r="3687" customFormat="1" x14ac:dyDescent="0.3"/>
    <row r="3688" customFormat="1" x14ac:dyDescent="0.3"/>
    <row r="3689" customFormat="1" x14ac:dyDescent="0.3"/>
    <row r="3690" customFormat="1" x14ac:dyDescent="0.3"/>
    <row r="3691" customFormat="1" x14ac:dyDescent="0.3"/>
    <row r="3692" customFormat="1" x14ac:dyDescent="0.3"/>
    <row r="3693" customFormat="1" x14ac:dyDescent="0.3"/>
    <row r="3694" customFormat="1" x14ac:dyDescent="0.3"/>
    <row r="3695" customFormat="1" x14ac:dyDescent="0.3"/>
    <row r="3696" customFormat="1" x14ac:dyDescent="0.3"/>
    <row r="3697" customFormat="1" x14ac:dyDescent="0.3"/>
    <row r="3698" customFormat="1" x14ac:dyDescent="0.3"/>
    <row r="3699" customFormat="1" x14ac:dyDescent="0.3"/>
    <row r="3700" customFormat="1" x14ac:dyDescent="0.3"/>
    <row r="3701" customFormat="1" x14ac:dyDescent="0.3"/>
    <row r="3702" customFormat="1" x14ac:dyDescent="0.3"/>
    <row r="3703" customFormat="1" x14ac:dyDescent="0.3"/>
    <row r="3704" customFormat="1" x14ac:dyDescent="0.3"/>
    <row r="3705" customFormat="1" x14ac:dyDescent="0.3"/>
    <row r="3706" customFormat="1" x14ac:dyDescent="0.3"/>
    <row r="3707" customFormat="1" x14ac:dyDescent="0.3"/>
    <row r="3708" customFormat="1" x14ac:dyDescent="0.3"/>
    <row r="3709" customFormat="1" x14ac:dyDescent="0.3"/>
    <row r="3710" customFormat="1" x14ac:dyDescent="0.3"/>
    <row r="3711" customFormat="1" x14ac:dyDescent="0.3"/>
    <row r="3712" customFormat="1" x14ac:dyDescent="0.3"/>
    <row r="3713" customFormat="1" x14ac:dyDescent="0.3"/>
    <row r="3714" customFormat="1" x14ac:dyDescent="0.3"/>
    <row r="3715" customFormat="1" x14ac:dyDescent="0.3"/>
    <row r="3716" customFormat="1" x14ac:dyDescent="0.3"/>
    <row r="3717" customFormat="1" x14ac:dyDescent="0.3"/>
    <row r="3718" customFormat="1" x14ac:dyDescent="0.3"/>
    <row r="3719" customFormat="1" x14ac:dyDescent="0.3"/>
    <row r="3720" customFormat="1" x14ac:dyDescent="0.3"/>
    <row r="3721" customFormat="1" x14ac:dyDescent="0.3"/>
    <row r="3722" customFormat="1" x14ac:dyDescent="0.3"/>
    <row r="3723" customFormat="1" x14ac:dyDescent="0.3"/>
    <row r="3724" customFormat="1" x14ac:dyDescent="0.3"/>
    <row r="3725" customFormat="1" x14ac:dyDescent="0.3"/>
    <row r="3726" customFormat="1" x14ac:dyDescent="0.3"/>
    <row r="3727" customFormat="1" x14ac:dyDescent="0.3"/>
    <row r="3728" customFormat="1" x14ac:dyDescent="0.3"/>
    <row r="3729" customFormat="1" x14ac:dyDescent="0.3"/>
    <row r="3730" customFormat="1" x14ac:dyDescent="0.3"/>
    <row r="3731" customFormat="1" x14ac:dyDescent="0.3"/>
    <row r="3732" customFormat="1" x14ac:dyDescent="0.3"/>
    <row r="3733" customFormat="1" x14ac:dyDescent="0.3"/>
    <row r="3734" customFormat="1" x14ac:dyDescent="0.3"/>
    <row r="3735" customFormat="1" x14ac:dyDescent="0.3"/>
    <row r="3736" customFormat="1" x14ac:dyDescent="0.3"/>
    <row r="3737" customFormat="1" x14ac:dyDescent="0.3"/>
    <row r="3738" customFormat="1" x14ac:dyDescent="0.3"/>
    <row r="3739" customFormat="1" x14ac:dyDescent="0.3"/>
    <row r="3740" customFormat="1" x14ac:dyDescent="0.3"/>
    <row r="3741" customFormat="1" x14ac:dyDescent="0.3"/>
    <row r="3742" customFormat="1" x14ac:dyDescent="0.3"/>
    <row r="3743" customFormat="1" x14ac:dyDescent="0.3"/>
    <row r="3744" customFormat="1" x14ac:dyDescent="0.3"/>
    <row r="3745" customFormat="1" x14ac:dyDescent="0.3"/>
    <row r="3746" customFormat="1" x14ac:dyDescent="0.3"/>
    <row r="3747" customFormat="1" x14ac:dyDescent="0.3"/>
    <row r="3748" customFormat="1" x14ac:dyDescent="0.3"/>
    <row r="3749" customFormat="1" x14ac:dyDescent="0.3"/>
    <row r="3750" customFormat="1" x14ac:dyDescent="0.3"/>
    <row r="3751" customFormat="1" x14ac:dyDescent="0.3"/>
    <row r="3752" customFormat="1" x14ac:dyDescent="0.3"/>
    <row r="3753" customFormat="1" x14ac:dyDescent="0.3"/>
    <row r="3754" customFormat="1" x14ac:dyDescent="0.3"/>
    <row r="3755" customFormat="1" x14ac:dyDescent="0.3"/>
    <row r="3756" customFormat="1" x14ac:dyDescent="0.3"/>
    <row r="3757" customFormat="1" x14ac:dyDescent="0.3"/>
    <row r="3758" customFormat="1" x14ac:dyDescent="0.3"/>
    <row r="3759" customFormat="1" x14ac:dyDescent="0.3"/>
    <row r="3760" customFormat="1" x14ac:dyDescent="0.3"/>
    <row r="3761" customFormat="1" x14ac:dyDescent="0.3"/>
    <row r="3762" customFormat="1" x14ac:dyDescent="0.3"/>
    <row r="3763" customFormat="1" x14ac:dyDescent="0.3"/>
    <row r="3764" customFormat="1" x14ac:dyDescent="0.3"/>
    <row r="3765" customFormat="1" x14ac:dyDescent="0.3"/>
    <row r="3766" customFormat="1" x14ac:dyDescent="0.3"/>
    <row r="3767" customFormat="1" x14ac:dyDescent="0.3"/>
    <row r="3768" customFormat="1" x14ac:dyDescent="0.3"/>
    <row r="3769" customFormat="1" x14ac:dyDescent="0.3"/>
    <row r="3770" customFormat="1" x14ac:dyDescent="0.3"/>
    <row r="3771" customFormat="1" x14ac:dyDescent="0.3"/>
    <row r="3772" customFormat="1" x14ac:dyDescent="0.3"/>
    <row r="3773" customFormat="1" x14ac:dyDescent="0.3"/>
    <row r="3774" customFormat="1" x14ac:dyDescent="0.3"/>
    <row r="3775" customFormat="1" x14ac:dyDescent="0.3"/>
    <row r="3776" customFormat="1" x14ac:dyDescent="0.3"/>
    <row r="3777" customFormat="1" x14ac:dyDescent="0.3"/>
    <row r="3778" customFormat="1" x14ac:dyDescent="0.3"/>
    <row r="3779" customFormat="1" x14ac:dyDescent="0.3"/>
    <row r="3780" customFormat="1" x14ac:dyDescent="0.3"/>
    <row r="3781" customFormat="1" x14ac:dyDescent="0.3"/>
    <row r="3782" customFormat="1" x14ac:dyDescent="0.3"/>
    <row r="3783" customFormat="1" x14ac:dyDescent="0.3"/>
    <row r="3784" customFormat="1" x14ac:dyDescent="0.3"/>
    <row r="3785" customFormat="1" x14ac:dyDescent="0.3"/>
    <row r="3786" customFormat="1" x14ac:dyDescent="0.3"/>
    <row r="3787" customFormat="1" x14ac:dyDescent="0.3"/>
    <row r="3788" customFormat="1" x14ac:dyDescent="0.3"/>
    <row r="3789" customFormat="1" x14ac:dyDescent="0.3"/>
    <row r="3790" customFormat="1" x14ac:dyDescent="0.3"/>
    <row r="3791" customFormat="1" x14ac:dyDescent="0.3"/>
    <row r="3792" customFormat="1" x14ac:dyDescent="0.3"/>
    <row r="3793" customFormat="1" x14ac:dyDescent="0.3"/>
    <row r="3794" customFormat="1" x14ac:dyDescent="0.3"/>
    <row r="3795" customFormat="1" x14ac:dyDescent="0.3"/>
    <row r="3796" customFormat="1" x14ac:dyDescent="0.3"/>
    <row r="3797" customFormat="1" x14ac:dyDescent="0.3"/>
    <row r="3798" customFormat="1" x14ac:dyDescent="0.3"/>
    <row r="3799" customFormat="1" x14ac:dyDescent="0.3"/>
    <row r="3800" customFormat="1" x14ac:dyDescent="0.3"/>
    <row r="3801" customFormat="1" x14ac:dyDescent="0.3"/>
    <row r="3802" customFormat="1" x14ac:dyDescent="0.3"/>
    <row r="3803" customFormat="1" x14ac:dyDescent="0.3"/>
    <row r="3804" customFormat="1" x14ac:dyDescent="0.3"/>
    <row r="3805" customFormat="1" x14ac:dyDescent="0.3"/>
    <row r="3806" customFormat="1" x14ac:dyDescent="0.3"/>
    <row r="3807" customFormat="1" x14ac:dyDescent="0.3"/>
    <row r="3808" customFormat="1" x14ac:dyDescent="0.3"/>
    <row r="3809" customFormat="1" x14ac:dyDescent="0.3"/>
    <row r="3810" customFormat="1" x14ac:dyDescent="0.3"/>
    <row r="3811" customFormat="1" x14ac:dyDescent="0.3"/>
    <row r="3812" customFormat="1" x14ac:dyDescent="0.3"/>
    <row r="3813" customFormat="1" x14ac:dyDescent="0.3"/>
    <row r="3814" customFormat="1" x14ac:dyDescent="0.3"/>
    <row r="3815" customFormat="1" x14ac:dyDescent="0.3"/>
    <row r="3816" customFormat="1" x14ac:dyDescent="0.3"/>
    <row r="3817" customFormat="1" x14ac:dyDescent="0.3"/>
    <row r="3818" customFormat="1" x14ac:dyDescent="0.3"/>
    <row r="3819" customFormat="1" x14ac:dyDescent="0.3"/>
    <row r="3820" customFormat="1" x14ac:dyDescent="0.3"/>
    <row r="3821" customFormat="1" x14ac:dyDescent="0.3"/>
    <row r="3822" customFormat="1" x14ac:dyDescent="0.3"/>
    <row r="3823" customFormat="1" x14ac:dyDescent="0.3"/>
    <row r="3824" customFormat="1" x14ac:dyDescent="0.3"/>
    <row r="3825" customFormat="1" x14ac:dyDescent="0.3"/>
    <row r="3826" customFormat="1" x14ac:dyDescent="0.3"/>
    <row r="3827" customFormat="1" x14ac:dyDescent="0.3"/>
    <row r="3828" customFormat="1" x14ac:dyDescent="0.3"/>
    <row r="3829" customFormat="1" x14ac:dyDescent="0.3"/>
    <row r="3830" customFormat="1" x14ac:dyDescent="0.3"/>
    <row r="3831" customFormat="1" x14ac:dyDescent="0.3"/>
    <row r="3832" customFormat="1" x14ac:dyDescent="0.3"/>
    <row r="3833" customFormat="1" x14ac:dyDescent="0.3"/>
    <row r="3834" customFormat="1" x14ac:dyDescent="0.3"/>
    <row r="3835" customFormat="1" x14ac:dyDescent="0.3"/>
    <row r="3836" customFormat="1" x14ac:dyDescent="0.3"/>
    <row r="3837" customFormat="1" x14ac:dyDescent="0.3"/>
    <row r="3838" customFormat="1" x14ac:dyDescent="0.3"/>
    <row r="3839" customFormat="1" x14ac:dyDescent="0.3"/>
    <row r="3840" customFormat="1" x14ac:dyDescent="0.3"/>
    <row r="3841" customFormat="1" x14ac:dyDescent="0.3"/>
    <row r="3842" customFormat="1" x14ac:dyDescent="0.3"/>
    <row r="3843" customFormat="1" x14ac:dyDescent="0.3"/>
    <row r="3844" customFormat="1" x14ac:dyDescent="0.3"/>
    <row r="3845" customFormat="1" x14ac:dyDescent="0.3"/>
    <row r="3846" customFormat="1" x14ac:dyDescent="0.3"/>
    <row r="3847" customFormat="1" x14ac:dyDescent="0.3"/>
    <row r="3848" customFormat="1" x14ac:dyDescent="0.3"/>
    <row r="3849" customFormat="1" x14ac:dyDescent="0.3"/>
    <row r="3850" customFormat="1" x14ac:dyDescent="0.3"/>
    <row r="3851" customFormat="1" x14ac:dyDescent="0.3"/>
    <row r="3852" customFormat="1" x14ac:dyDescent="0.3"/>
    <row r="3853" customFormat="1" x14ac:dyDescent="0.3"/>
    <row r="3854" customFormat="1" x14ac:dyDescent="0.3"/>
    <row r="3855" customFormat="1" x14ac:dyDescent="0.3"/>
    <row r="3856" customFormat="1" x14ac:dyDescent="0.3"/>
    <row r="3857" customFormat="1" x14ac:dyDescent="0.3"/>
    <row r="3858" customFormat="1" x14ac:dyDescent="0.3"/>
    <row r="3859" customFormat="1" x14ac:dyDescent="0.3"/>
    <row r="3860" customFormat="1" x14ac:dyDescent="0.3"/>
    <row r="3861" customFormat="1" x14ac:dyDescent="0.3"/>
    <row r="3862" customFormat="1" x14ac:dyDescent="0.3"/>
    <row r="3863" customFormat="1" x14ac:dyDescent="0.3"/>
    <row r="3864" customFormat="1" x14ac:dyDescent="0.3"/>
    <row r="3865" customFormat="1" x14ac:dyDescent="0.3"/>
    <row r="3866" customFormat="1" x14ac:dyDescent="0.3"/>
    <row r="3867" customFormat="1" x14ac:dyDescent="0.3"/>
    <row r="3868" customFormat="1" x14ac:dyDescent="0.3"/>
    <row r="3869" customFormat="1" x14ac:dyDescent="0.3"/>
    <row r="3870" customFormat="1" x14ac:dyDescent="0.3"/>
    <row r="3871" customFormat="1" x14ac:dyDescent="0.3"/>
    <row r="3872" customFormat="1" x14ac:dyDescent="0.3"/>
    <row r="3873" customFormat="1" x14ac:dyDescent="0.3"/>
    <row r="3874" customFormat="1" x14ac:dyDescent="0.3"/>
    <row r="3875" customFormat="1" x14ac:dyDescent="0.3"/>
    <row r="3876" customFormat="1" x14ac:dyDescent="0.3"/>
    <row r="3877" customFormat="1" x14ac:dyDescent="0.3"/>
    <row r="3878" customFormat="1" x14ac:dyDescent="0.3"/>
    <row r="3879" customFormat="1" x14ac:dyDescent="0.3"/>
    <row r="3880" customFormat="1" x14ac:dyDescent="0.3"/>
    <row r="3881" customFormat="1" x14ac:dyDescent="0.3"/>
    <row r="3882" customFormat="1" x14ac:dyDescent="0.3"/>
    <row r="3883" customFormat="1" x14ac:dyDescent="0.3"/>
    <row r="3884" customFormat="1" x14ac:dyDescent="0.3"/>
    <row r="3885" customFormat="1" x14ac:dyDescent="0.3"/>
    <row r="3886" customFormat="1" x14ac:dyDescent="0.3"/>
    <row r="3887" customFormat="1" x14ac:dyDescent="0.3"/>
    <row r="3888" customFormat="1" x14ac:dyDescent="0.3"/>
    <row r="3889" customFormat="1" x14ac:dyDescent="0.3"/>
    <row r="3890" customFormat="1" x14ac:dyDescent="0.3"/>
    <row r="3891" customFormat="1" x14ac:dyDescent="0.3"/>
    <row r="3892" customFormat="1" x14ac:dyDescent="0.3"/>
    <row r="3893" customFormat="1" x14ac:dyDescent="0.3"/>
    <row r="3894" customFormat="1" x14ac:dyDescent="0.3"/>
    <row r="3895" customFormat="1" x14ac:dyDescent="0.3"/>
    <row r="3896" customFormat="1" x14ac:dyDescent="0.3"/>
    <row r="3897" customFormat="1" x14ac:dyDescent="0.3"/>
    <row r="3898" customFormat="1" x14ac:dyDescent="0.3"/>
    <row r="3899" customFormat="1" x14ac:dyDescent="0.3"/>
    <row r="3900" customFormat="1" x14ac:dyDescent="0.3"/>
    <row r="3901" customFormat="1" x14ac:dyDescent="0.3"/>
    <row r="3902" customFormat="1" x14ac:dyDescent="0.3"/>
    <row r="3903" customFormat="1" x14ac:dyDescent="0.3"/>
    <row r="3904" customFormat="1" x14ac:dyDescent="0.3"/>
    <row r="3905" customFormat="1" x14ac:dyDescent="0.3"/>
    <row r="3906" customFormat="1" x14ac:dyDescent="0.3"/>
    <row r="3907" customFormat="1" x14ac:dyDescent="0.3"/>
    <row r="3908" customFormat="1" x14ac:dyDescent="0.3"/>
    <row r="3909" customFormat="1" x14ac:dyDescent="0.3"/>
    <row r="3910" customFormat="1" x14ac:dyDescent="0.3"/>
    <row r="3911" customFormat="1" x14ac:dyDescent="0.3"/>
    <row r="3912" customFormat="1" x14ac:dyDescent="0.3"/>
    <row r="3913" customFormat="1" x14ac:dyDescent="0.3"/>
    <row r="3914" customFormat="1" x14ac:dyDescent="0.3"/>
    <row r="3915" customFormat="1" x14ac:dyDescent="0.3"/>
    <row r="3916" customFormat="1" x14ac:dyDescent="0.3"/>
    <row r="3917" customFormat="1" x14ac:dyDescent="0.3"/>
    <row r="3918" customFormat="1" x14ac:dyDescent="0.3"/>
    <row r="3919" customFormat="1" x14ac:dyDescent="0.3"/>
    <row r="3920" customFormat="1" x14ac:dyDescent="0.3"/>
    <row r="3921" customFormat="1" x14ac:dyDescent="0.3"/>
    <row r="3922" customFormat="1" x14ac:dyDescent="0.3"/>
    <row r="3923" customFormat="1" x14ac:dyDescent="0.3"/>
    <row r="3924" customFormat="1" x14ac:dyDescent="0.3"/>
    <row r="3925" customFormat="1" x14ac:dyDescent="0.3"/>
    <row r="3926" customFormat="1" x14ac:dyDescent="0.3"/>
    <row r="3927" customFormat="1" x14ac:dyDescent="0.3"/>
    <row r="3928" customFormat="1" x14ac:dyDescent="0.3"/>
    <row r="3929" customFormat="1" x14ac:dyDescent="0.3"/>
    <row r="3930" customFormat="1" x14ac:dyDescent="0.3"/>
    <row r="3931" customFormat="1" x14ac:dyDescent="0.3"/>
    <row r="3932" customFormat="1" x14ac:dyDescent="0.3"/>
    <row r="3933" customFormat="1" x14ac:dyDescent="0.3"/>
    <row r="3934" customFormat="1" x14ac:dyDescent="0.3"/>
    <row r="3935" customFormat="1" x14ac:dyDescent="0.3"/>
    <row r="3936" customFormat="1" x14ac:dyDescent="0.3"/>
    <row r="3937" customFormat="1" x14ac:dyDescent="0.3"/>
    <row r="3938" customFormat="1" x14ac:dyDescent="0.3"/>
    <row r="3939" customFormat="1" x14ac:dyDescent="0.3"/>
    <row r="3940" customFormat="1" x14ac:dyDescent="0.3"/>
    <row r="3941" customFormat="1" x14ac:dyDescent="0.3"/>
    <row r="3942" customFormat="1" x14ac:dyDescent="0.3"/>
    <row r="3943" customFormat="1" x14ac:dyDescent="0.3"/>
    <row r="3944" customFormat="1" x14ac:dyDescent="0.3"/>
    <row r="3945" customFormat="1" x14ac:dyDescent="0.3"/>
    <row r="3946" customFormat="1" x14ac:dyDescent="0.3"/>
    <row r="3947" customFormat="1" x14ac:dyDescent="0.3"/>
    <row r="3948" customFormat="1" x14ac:dyDescent="0.3"/>
    <row r="3949" customFormat="1" x14ac:dyDescent="0.3"/>
    <row r="3950" customFormat="1" x14ac:dyDescent="0.3"/>
    <row r="3951" customFormat="1" x14ac:dyDescent="0.3"/>
    <row r="3952" customFormat="1" x14ac:dyDescent="0.3"/>
    <row r="3953" customFormat="1" x14ac:dyDescent="0.3"/>
    <row r="3954" customFormat="1" x14ac:dyDescent="0.3"/>
    <row r="3955" customFormat="1" x14ac:dyDescent="0.3"/>
    <row r="3956" customFormat="1" x14ac:dyDescent="0.3"/>
    <row r="3957" customFormat="1" x14ac:dyDescent="0.3"/>
    <row r="3958" customFormat="1" x14ac:dyDescent="0.3"/>
    <row r="3959" customFormat="1" x14ac:dyDescent="0.3"/>
    <row r="3960" customFormat="1" x14ac:dyDescent="0.3"/>
    <row r="3961" customFormat="1" x14ac:dyDescent="0.3"/>
    <row r="3962" customFormat="1" x14ac:dyDescent="0.3"/>
    <row r="3963" customFormat="1" x14ac:dyDescent="0.3"/>
    <row r="3964" customFormat="1" x14ac:dyDescent="0.3"/>
    <row r="3965" customFormat="1" x14ac:dyDescent="0.3"/>
    <row r="3966" customFormat="1" x14ac:dyDescent="0.3"/>
    <row r="3967" customFormat="1" x14ac:dyDescent="0.3"/>
    <row r="3968" customFormat="1" x14ac:dyDescent="0.3"/>
    <row r="3969" customFormat="1" x14ac:dyDescent="0.3"/>
    <row r="3970" customFormat="1" x14ac:dyDescent="0.3"/>
    <row r="3971" customFormat="1" x14ac:dyDescent="0.3"/>
    <row r="3972" customFormat="1" x14ac:dyDescent="0.3"/>
    <row r="3973" customFormat="1" x14ac:dyDescent="0.3"/>
    <row r="3974" customFormat="1" x14ac:dyDescent="0.3"/>
    <row r="3975" customFormat="1" x14ac:dyDescent="0.3"/>
    <row r="3976" customFormat="1" x14ac:dyDescent="0.3"/>
    <row r="3977" customFormat="1" x14ac:dyDescent="0.3"/>
    <row r="3978" customFormat="1" x14ac:dyDescent="0.3"/>
    <row r="3979" customFormat="1" x14ac:dyDescent="0.3"/>
    <row r="3980" customFormat="1" x14ac:dyDescent="0.3"/>
    <row r="3981" customFormat="1" x14ac:dyDescent="0.3"/>
    <row r="3982" customFormat="1" x14ac:dyDescent="0.3"/>
    <row r="3983" customFormat="1" x14ac:dyDescent="0.3"/>
    <row r="3984" customFormat="1" x14ac:dyDescent="0.3"/>
    <row r="3985" customFormat="1" x14ac:dyDescent="0.3"/>
    <row r="3986" customFormat="1" x14ac:dyDescent="0.3"/>
    <row r="3987" customFormat="1" x14ac:dyDescent="0.3"/>
    <row r="3988" customFormat="1" x14ac:dyDescent="0.3"/>
    <row r="3989" customFormat="1" x14ac:dyDescent="0.3"/>
    <row r="3990" customFormat="1" x14ac:dyDescent="0.3"/>
    <row r="3991" customFormat="1" x14ac:dyDescent="0.3"/>
    <row r="3992" customFormat="1" x14ac:dyDescent="0.3"/>
    <row r="3993" customFormat="1" x14ac:dyDescent="0.3"/>
    <row r="3994" customFormat="1" x14ac:dyDescent="0.3"/>
    <row r="3995" customFormat="1" x14ac:dyDescent="0.3"/>
    <row r="3996" customFormat="1" x14ac:dyDescent="0.3"/>
    <row r="3997" customFormat="1" x14ac:dyDescent="0.3"/>
    <row r="3998" customFormat="1" x14ac:dyDescent="0.3"/>
    <row r="3999" customFormat="1" x14ac:dyDescent="0.3"/>
    <row r="4000" customFormat="1" x14ac:dyDescent="0.3"/>
    <row r="4001" customFormat="1" x14ac:dyDescent="0.3"/>
    <row r="4002" customFormat="1" x14ac:dyDescent="0.3"/>
    <row r="4003" customFormat="1" x14ac:dyDescent="0.3"/>
    <row r="4004" customFormat="1" x14ac:dyDescent="0.3"/>
    <row r="4005" customFormat="1" x14ac:dyDescent="0.3"/>
    <row r="4006" customFormat="1" x14ac:dyDescent="0.3"/>
    <row r="4007" customFormat="1" x14ac:dyDescent="0.3"/>
    <row r="4008" customFormat="1" x14ac:dyDescent="0.3"/>
    <row r="4009" customFormat="1" x14ac:dyDescent="0.3"/>
    <row r="4010" customFormat="1" x14ac:dyDescent="0.3"/>
    <row r="4011" customFormat="1" x14ac:dyDescent="0.3"/>
    <row r="4012" customFormat="1" x14ac:dyDescent="0.3"/>
    <row r="4013" customFormat="1" x14ac:dyDescent="0.3"/>
    <row r="4014" customFormat="1" x14ac:dyDescent="0.3"/>
    <row r="4015" customFormat="1" x14ac:dyDescent="0.3"/>
    <row r="4016" customFormat="1" x14ac:dyDescent="0.3"/>
    <row r="4017" customFormat="1" x14ac:dyDescent="0.3"/>
    <row r="4018" customFormat="1" x14ac:dyDescent="0.3"/>
    <row r="4019" customFormat="1" x14ac:dyDescent="0.3"/>
    <row r="4020" customFormat="1" x14ac:dyDescent="0.3"/>
    <row r="4021" customFormat="1" x14ac:dyDescent="0.3"/>
    <row r="4022" customFormat="1" x14ac:dyDescent="0.3"/>
    <row r="4023" customFormat="1" x14ac:dyDescent="0.3"/>
    <row r="4024" customFormat="1" x14ac:dyDescent="0.3"/>
    <row r="4025" customFormat="1" x14ac:dyDescent="0.3"/>
    <row r="4026" customFormat="1" x14ac:dyDescent="0.3"/>
    <row r="4027" customFormat="1" x14ac:dyDescent="0.3"/>
    <row r="4028" customFormat="1" x14ac:dyDescent="0.3"/>
    <row r="4029" customFormat="1" x14ac:dyDescent="0.3"/>
    <row r="4030" customFormat="1" x14ac:dyDescent="0.3"/>
    <row r="4031" customFormat="1" x14ac:dyDescent="0.3"/>
    <row r="4032" customFormat="1" x14ac:dyDescent="0.3"/>
    <row r="4033" customFormat="1" x14ac:dyDescent="0.3"/>
    <row r="4034" customFormat="1" x14ac:dyDescent="0.3"/>
    <row r="4035" customFormat="1" x14ac:dyDescent="0.3"/>
    <row r="4036" customFormat="1" x14ac:dyDescent="0.3"/>
    <row r="4037" customFormat="1" x14ac:dyDescent="0.3"/>
    <row r="4038" customFormat="1" x14ac:dyDescent="0.3"/>
    <row r="4039" customFormat="1" x14ac:dyDescent="0.3"/>
    <row r="4040" customFormat="1" x14ac:dyDescent="0.3"/>
    <row r="4041" customFormat="1" x14ac:dyDescent="0.3"/>
    <row r="4042" customFormat="1" x14ac:dyDescent="0.3"/>
    <row r="4043" customFormat="1" x14ac:dyDescent="0.3"/>
    <row r="4044" customFormat="1" x14ac:dyDescent="0.3"/>
    <row r="4045" customFormat="1" x14ac:dyDescent="0.3"/>
    <row r="4046" customFormat="1" x14ac:dyDescent="0.3"/>
    <row r="4047" customFormat="1" x14ac:dyDescent="0.3"/>
    <row r="4048" customFormat="1" x14ac:dyDescent="0.3"/>
    <row r="4049" customFormat="1" x14ac:dyDescent="0.3"/>
    <row r="4050" customFormat="1" x14ac:dyDescent="0.3"/>
    <row r="4051" customFormat="1" x14ac:dyDescent="0.3"/>
    <row r="4052" customFormat="1" x14ac:dyDescent="0.3"/>
    <row r="4053" customFormat="1" x14ac:dyDescent="0.3"/>
    <row r="4054" customFormat="1" x14ac:dyDescent="0.3"/>
    <row r="4055" customFormat="1" x14ac:dyDescent="0.3"/>
    <row r="4056" customFormat="1" x14ac:dyDescent="0.3"/>
    <row r="4057" customFormat="1" x14ac:dyDescent="0.3"/>
    <row r="4058" customFormat="1" x14ac:dyDescent="0.3"/>
    <row r="4059" customFormat="1" x14ac:dyDescent="0.3"/>
    <row r="4060" customFormat="1" x14ac:dyDescent="0.3"/>
    <row r="4061" customFormat="1" x14ac:dyDescent="0.3"/>
    <row r="4062" customFormat="1" x14ac:dyDescent="0.3"/>
    <row r="4063" customFormat="1" x14ac:dyDescent="0.3"/>
    <row r="4064" customFormat="1" x14ac:dyDescent="0.3"/>
    <row r="4065" customFormat="1" x14ac:dyDescent="0.3"/>
    <row r="4066" customFormat="1" x14ac:dyDescent="0.3"/>
    <row r="4067" customFormat="1" x14ac:dyDescent="0.3"/>
    <row r="4068" customFormat="1" x14ac:dyDescent="0.3"/>
    <row r="4069" customFormat="1" x14ac:dyDescent="0.3"/>
    <row r="4070" customFormat="1" x14ac:dyDescent="0.3"/>
    <row r="4071" customFormat="1" x14ac:dyDescent="0.3"/>
    <row r="4072" customFormat="1" x14ac:dyDescent="0.3"/>
    <row r="4073" customFormat="1" x14ac:dyDescent="0.3"/>
    <row r="4074" customFormat="1" x14ac:dyDescent="0.3"/>
    <row r="4075" customFormat="1" x14ac:dyDescent="0.3"/>
    <row r="4076" customFormat="1" x14ac:dyDescent="0.3"/>
    <row r="4077" customFormat="1" x14ac:dyDescent="0.3"/>
    <row r="4078" customFormat="1" x14ac:dyDescent="0.3"/>
    <row r="4079" customFormat="1" x14ac:dyDescent="0.3"/>
    <row r="4080" customFormat="1" x14ac:dyDescent="0.3"/>
    <row r="4081" customFormat="1" x14ac:dyDescent="0.3"/>
    <row r="4082" customFormat="1" x14ac:dyDescent="0.3"/>
    <row r="4083" customFormat="1" x14ac:dyDescent="0.3"/>
    <row r="4084" customFormat="1" x14ac:dyDescent="0.3"/>
    <row r="4085" customFormat="1" x14ac:dyDescent="0.3"/>
    <row r="4086" customFormat="1" x14ac:dyDescent="0.3"/>
    <row r="4087" customFormat="1" x14ac:dyDescent="0.3"/>
    <row r="4088" customFormat="1" x14ac:dyDescent="0.3"/>
    <row r="4089" customFormat="1" x14ac:dyDescent="0.3"/>
    <row r="4090" customFormat="1" x14ac:dyDescent="0.3"/>
    <row r="4091" customFormat="1" x14ac:dyDescent="0.3"/>
    <row r="4092" customFormat="1" x14ac:dyDescent="0.3"/>
    <row r="4093" customFormat="1" x14ac:dyDescent="0.3"/>
    <row r="4094" customFormat="1" x14ac:dyDescent="0.3"/>
    <row r="4095" customFormat="1" x14ac:dyDescent="0.3"/>
    <row r="4096" customFormat="1" x14ac:dyDescent="0.3"/>
    <row r="4097" customFormat="1" x14ac:dyDescent="0.3"/>
    <row r="4098" customFormat="1" x14ac:dyDescent="0.3"/>
    <row r="4099" customFormat="1" x14ac:dyDescent="0.3"/>
    <row r="4100" customFormat="1" x14ac:dyDescent="0.3"/>
    <row r="4101" customFormat="1" x14ac:dyDescent="0.3"/>
    <row r="4102" customFormat="1" x14ac:dyDescent="0.3"/>
    <row r="4103" customFormat="1" x14ac:dyDescent="0.3"/>
    <row r="4104" customFormat="1" x14ac:dyDescent="0.3"/>
    <row r="4105" customFormat="1" x14ac:dyDescent="0.3"/>
    <row r="4106" customFormat="1" x14ac:dyDescent="0.3"/>
    <row r="4107" customFormat="1" x14ac:dyDescent="0.3"/>
    <row r="4108" customFormat="1" x14ac:dyDescent="0.3"/>
    <row r="4109" customFormat="1" x14ac:dyDescent="0.3"/>
    <row r="4110" customFormat="1" x14ac:dyDescent="0.3"/>
    <row r="4111" customFormat="1" x14ac:dyDescent="0.3"/>
    <row r="4112" customFormat="1" x14ac:dyDescent="0.3"/>
    <row r="4113" customFormat="1" x14ac:dyDescent="0.3"/>
    <row r="4114" customFormat="1" x14ac:dyDescent="0.3"/>
    <row r="4115" customFormat="1" x14ac:dyDescent="0.3"/>
    <row r="4116" customFormat="1" x14ac:dyDescent="0.3"/>
    <row r="4117" customFormat="1" x14ac:dyDescent="0.3"/>
    <row r="4118" customFormat="1" x14ac:dyDescent="0.3"/>
    <row r="4119" customFormat="1" x14ac:dyDescent="0.3"/>
    <row r="4120" customFormat="1" x14ac:dyDescent="0.3"/>
    <row r="4121" customFormat="1" x14ac:dyDescent="0.3"/>
    <row r="4122" customFormat="1" x14ac:dyDescent="0.3"/>
    <row r="4123" customFormat="1" x14ac:dyDescent="0.3"/>
    <row r="4124" customFormat="1" x14ac:dyDescent="0.3"/>
    <row r="4125" customFormat="1" x14ac:dyDescent="0.3"/>
    <row r="4126" customFormat="1" x14ac:dyDescent="0.3"/>
    <row r="4127" customFormat="1" x14ac:dyDescent="0.3"/>
    <row r="4128" customFormat="1" x14ac:dyDescent="0.3"/>
    <row r="4129" customFormat="1" x14ac:dyDescent="0.3"/>
    <row r="4130" customFormat="1" x14ac:dyDescent="0.3"/>
    <row r="4131" customFormat="1" x14ac:dyDescent="0.3"/>
    <row r="4132" customFormat="1" x14ac:dyDescent="0.3"/>
    <row r="4133" customFormat="1" x14ac:dyDescent="0.3"/>
    <row r="4134" customFormat="1" x14ac:dyDescent="0.3"/>
    <row r="4135" customFormat="1" x14ac:dyDescent="0.3"/>
    <row r="4136" customFormat="1" x14ac:dyDescent="0.3"/>
    <row r="4137" customFormat="1" x14ac:dyDescent="0.3"/>
    <row r="4138" customFormat="1" x14ac:dyDescent="0.3"/>
    <row r="4139" customFormat="1" x14ac:dyDescent="0.3"/>
    <row r="4140" customFormat="1" x14ac:dyDescent="0.3"/>
    <row r="4141" customFormat="1" x14ac:dyDescent="0.3"/>
    <row r="4142" customFormat="1" x14ac:dyDescent="0.3"/>
    <row r="4143" customFormat="1" x14ac:dyDescent="0.3"/>
    <row r="4144" customFormat="1" x14ac:dyDescent="0.3"/>
    <row r="4145" customFormat="1" x14ac:dyDescent="0.3"/>
    <row r="4146" customFormat="1" x14ac:dyDescent="0.3"/>
    <row r="4147" customFormat="1" x14ac:dyDescent="0.3"/>
    <row r="4148" customFormat="1" x14ac:dyDescent="0.3"/>
    <row r="4149" customFormat="1" x14ac:dyDescent="0.3"/>
    <row r="4150" customFormat="1" x14ac:dyDescent="0.3"/>
    <row r="4151" customFormat="1" x14ac:dyDescent="0.3"/>
    <row r="4152" customFormat="1" x14ac:dyDescent="0.3"/>
    <row r="4153" customFormat="1" x14ac:dyDescent="0.3"/>
    <row r="4154" customFormat="1" x14ac:dyDescent="0.3"/>
    <row r="4155" customFormat="1" x14ac:dyDescent="0.3"/>
    <row r="4156" customFormat="1" x14ac:dyDescent="0.3"/>
    <row r="4157" customFormat="1" x14ac:dyDescent="0.3"/>
    <row r="4158" customFormat="1" x14ac:dyDescent="0.3"/>
    <row r="4159" customFormat="1" x14ac:dyDescent="0.3"/>
    <row r="4160" customFormat="1" x14ac:dyDescent="0.3"/>
    <row r="4161" customFormat="1" x14ac:dyDescent="0.3"/>
    <row r="4162" customFormat="1" x14ac:dyDescent="0.3"/>
    <row r="4163" customFormat="1" x14ac:dyDescent="0.3"/>
    <row r="4164" customFormat="1" x14ac:dyDescent="0.3"/>
    <row r="4165" customFormat="1" x14ac:dyDescent="0.3"/>
    <row r="4166" customFormat="1" x14ac:dyDescent="0.3"/>
    <row r="4167" customFormat="1" x14ac:dyDescent="0.3"/>
    <row r="4168" customFormat="1" x14ac:dyDescent="0.3"/>
    <row r="4169" customFormat="1" x14ac:dyDescent="0.3"/>
    <row r="4170" customFormat="1" x14ac:dyDescent="0.3"/>
    <row r="4171" customFormat="1" x14ac:dyDescent="0.3"/>
    <row r="4172" customFormat="1" x14ac:dyDescent="0.3"/>
    <row r="4173" customFormat="1" x14ac:dyDescent="0.3"/>
    <row r="4174" customFormat="1" x14ac:dyDescent="0.3"/>
    <row r="4175" customFormat="1" x14ac:dyDescent="0.3"/>
    <row r="4176" customFormat="1" x14ac:dyDescent="0.3"/>
    <row r="4177" customFormat="1" x14ac:dyDescent="0.3"/>
    <row r="4178" customFormat="1" x14ac:dyDescent="0.3"/>
    <row r="4179" customFormat="1" x14ac:dyDescent="0.3"/>
    <row r="4180" customFormat="1" x14ac:dyDescent="0.3"/>
    <row r="4181" customFormat="1" x14ac:dyDescent="0.3"/>
    <row r="4182" customFormat="1" x14ac:dyDescent="0.3"/>
    <row r="4183" customFormat="1" x14ac:dyDescent="0.3"/>
    <row r="4184" customFormat="1" x14ac:dyDescent="0.3"/>
    <row r="4185" customFormat="1" x14ac:dyDescent="0.3"/>
    <row r="4186" customFormat="1" x14ac:dyDescent="0.3"/>
    <row r="4187" customFormat="1" x14ac:dyDescent="0.3"/>
    <row r="4188" customFormat="1" x14ac:dyDescent="0.3"/>
    <row r="4189" customFormat="1" x14ac:dyDescent="0.3"/>
    <row r="4190" customFormat="1" x14ac:dyDescent="0.3"/>
    <row r="4191" customFormat="1" x14ac:dyDescent="0.3"/>
    <row r="4192" customFormat="1" x14ac:dyDescent="0.3"/>
    <row r="4193" customFormat="1" x14ac:dyDescent="0.3"/>
    <row r="4194" customFormat="1" x14ac:dyDescent="0.3"/>
    <row r="4195" customFormat="1" x14ac:dyDescent="0.3"/>
    <row r="4196" customFormat="1" x14ac:dyDescent="0.3"/>
    <row r="4197" customFormat="1" x14ac:dyDescent="0.3"/>
    <row r="4198" customFormat="1" x14ac:dyDescent="0.3"/>
    <row r="4199" customFormat="1" x14ac:dyDescent="0.3"/>
    <row r="4200" customFormat="1" x14ac:dyDescent="0.3"/>
    <row r="4201" customFormat="1" x14ac:dyDescent="0.3"/>
    <row r="4202" customFormat="1" x14ac:dyDescent="0.3"/>
    <row r="4203" customFormat="1" x14ac:dyDescent="0.3"/>
    <row r="4204" customFormat="1" x14ac:dyDescent="0.3"/>
    <row r="4205" customFormat="1" x14ac:dyDescent="0.3"/>
    <row r="4206" customFormat="1" x14ac:dyDescent="0.3"/>
    <row r="4207" customFormat="1" x14ac:dyDescent="0.3"/>
    <row r="4208" customFormat="1" x14ac:dyDescent="0.3"/>
    <row r="4209" customFormat="1" x14ac:dyDescent="0.3"/>
    <row r="4210" customFormat="1" x14ac:dyDescent="0.3"/>
    <row r="4211" customFormat="1" x14ac:dyDescent="0.3"/>
    <row r="4212" customFormat="1" x14ac:dyDescent="0.3"/>
    <row r="4213" customFormat="1" x14ac:dyDescent="0.3"/>
    <row r="4214" customFormat="1" x14ac:dyDescent="0.3"/>
    <row r="4215" customFormat="1" x14ac:dyDescent="0.3"/>
    <row r="4216" customFormat="1" x14ac:dyDescent="0.3"/>
    <row r="4217" customFormat="1" x14ac:dyDescent="0.3"/>
    <row r="4218" customFormat="1" x14ac:dyDescent="0.3"/>
    <row r="4219" customFormat="1" x14ac:dyDescent="0.3"/>
    <row r="4220" customFormat="1" x14ac:dyDescent="0.3"/>
    <row r="4221" customFormat="1" x14ac:dyDescent="0.3"/>
    <row r="4222" customFormat="1" x14ac:dyDescent="0.3"/>
    <row r="4223" customFormat="1" x14ac:dyDescent="0.3"/>
    <row r="4224" customFormat="1" x14ac:dyDescent="0.3"/>
    <row r="4225" customFormat="1" x14ac:dyDescent="0.3"/>
    <row r="4226" customFormat="1" x14ac:dyDescent="0.3"/>
    <row r="4227" customFormat="1" x14ac:dyDescent="0.3"/>
    <row r="4228" customFormat="1" x14ac:dyDescent="0.3"/>
    <row r="4229" customFormat="1" x14ac:dyDescent="0.3"/>
    <row r="4230" customFormat="1" x14ac:dyDescent="0.3"/>
    <row r="4231" customFormat="1" x14ac:dyDescent="0.3"/>
    <row r="4232" customFormat="1" x14ac:dyDescent="0.3"/>
    <row r="4233" customFormat="1" x14ac:dyDescent="0.3"/>
    <row r="4234" customFormat="1" x14ac:dyDescent="0.3"/>
    <row r="4235" customFormat="1" x14ac:dyDescent="0.3"/>
    <row r="4236" customFormat="1" x14ac:dyDescent="0.3"/>
    <row r="4237" customFormat="1" x14ac:dyDescent="0.3"/>
    <row r="4238" customFormat="1" x14ac:dyDescent="0.3"/>
    <row r="4239" customFormat="1" x14ac:dyDescent="0.3"/>
    <row r="4240" customFormat="1" x14ac:dyDescent="0.3"/>
    <row r="4241" customFormat="1" x14ac:dyDescent="0.3"/>
    <row r="4242" customFormat="1" x14ac:dyDescent="0.3"/>
    <row r="4243" customFormat="1" x14ac:dyDescent="0.3"/>
    <row r="4244" customFormat="1" x14ac:dyDescent="0.3"/>
    <row r="4245" customFormat="1" x14ac:dyDescent="0.3"/>
    <row r="4246" customFormat="1" x14ac:dyDescent="0.3"/>
    <row r="4247" customFormat="1" x14ac:dyDescent="0.3"/>
    <row r="4248" customFormat="1" x14ac:dyDescent="0.3"/>
    <row r="4249" customFormat="1" x14ac:dyDescent="0.3"/>
    <row r="4250" customFormat="1" x14ac:dyDescent="0.3"/>
    <row r="4251" customFormat="1" x14ac:dyDescent="0.3"/>
    <row r="4252" customFormat="1" x14ac:dyDescent="0.3"/>
    <row r="4253" customFormat="1" x14ac:dyDescent="0.3"/>
    <row r="4254" customFormat="1" x14ac:dyDescent="0.3"/>
    <row r="4255" customFormat="1" x14ac:dyDescent="0.3"/>
    <row r="4256" customFormat="1" x14ac:dyDescent="0.3"/>
    <row r="4257" customFormat="1" x14ac:dyDescent="0.3"/>
    <row r="4258" customFormat="1" x14ac:dyDescent="0.3"/>
    <row r="4259" customFormat="1" x14ac:dyDescent="0.3"/>
    <row r="4260" customFormat="1" x14ac:dyDescent="0.3"/>
    <row r="4261" customFormat="1" x14ac:dyDescent="0.3"/>
    <row r="4262" customFormat="1" x14ac:dyDescent="0.3"/>
    <row r="4263" customFormat="1" x14ac:dyDescent="0.3"/>
    <row r="4264" customFormat="1" x14ac:dyDescent="0.3"/>
    <row r="4265" customFormat="1" x14ac:dyDescent="0.3"/>
    <row r="4266" customFormat="1" x14ac:dyDescent="0.3"/>
    <row r="4267" customFormat="1" x14ac:dyDescent="0.3"/>
    <row r="4268" customFormat="1" x14ac:dyDescent="0.3"/>
    <row r="4269" customFormat="1" x14ac:dyDescent="0.3"/>
    <row r="4270" customFormat="1" x14ac:dyDescent="0.3"/>
    <row r="4271" customFormat="1" x14ac:dyDescent="0.3"/>
    <row r="4272" customFormat="1" x14ac:dyDescent="0.3"/>
    <row r="4273" customFormat="1" x14ac:dyDescent="0.3"/>
    <row r="4274" customFormat="1" x14ac:dyDescent="0.3"/>
    <row r="4275" customFormat="1" x14ac:dyDescent="0.3"/>
    <row r="4276" customFormat="1" x14ac:dyDescent="0.3"/>
    <row r="4277" customFormat="1" x14ac:dyDescent="0.3"/>
    <row r="4278" customFormat="1" x14ac:dyDescent="0.3"/>
    <row r="4279" customFormat="1" x14ac:dyDescent="0.3"/>
    <row r="4280" customFormat="1" x14ac:dyDescent="0.3"/>
    <row r="4281" customFormat="1" x14ac:dyDescent="0.3"/>
    <row r="4282" customFormat="1" x14ac:dyDescent="0.3"/>
    <row r="4283" customFormat="1" x14ac:dyDescent="0.3"/>
    <row r="4284" customFormat="1" x14ac:dyDescent="0.3"/>
    <row r="4285" customFormat="1" x14ac:dyDescent="0.3"/>
    <row r="4286" customFormat="1" x14ac:dyDescent="0.3"/>
    <row r="4287" customFormat="1" x14ac:dyDescent="0.3"/>
    <row r="4288" customFormat="1" x14ac:dyDescent="0.3"/>
    <row r="4289" customFormat="1" x14ac:dyDescent="0.3"/>
    <row r="4290" customFormat="1" x14ac:dyDescent="0.3"/>
    <row r="4291" customFormat="1" x14ac:dyDescent="0.3"/>
    <row r="4292" customFormat="1" x14ac:dyDescent="0.3"/>
    <row r="4293" customFormat="1" x14ac:dyDescent="0.3"/>
    <row r="4294" customFormat="1" x14ac:dyDescent="0.3"/>
    <row r="4295" customFormat="1" x14ac:dyDescent="0.3"/>
    <row r="4296" customFormat="1" x14ac:dyDescent="0.3"/>
    <row r="4297" customFormat="1" x14ac:dyDescent="0.3"/>
    <row r="4298" customFormat="1" x14ac:dyDescent="0.3"/>
    <row r="4299" customFormat="1" x14ac:dyDescent="0.3"/>
    <row r="4300" customFormat="1" x14ac:dyDescent="0.3"/>
    <row r="4301" customFormat="1" x14ac:dyDescent="0.3"/>
    <row r="4302" customFormat="1" x14ac:dyDescent="0.3"/>
    <row r="4303" customFormat="1" x14ac:dyDescent="0.3"/>
    <row r="4304" customFormat="1" x14ac:dyDescent="0.3"/>
    <row r="4305" customFormat="1" x14ac:dyDescent="0.3"/>
    <row r="4306" customFormat="1" x14ac:dyDescent="0.3"/>
    <row r="4307" customFormat="1" x14ac:dyDescent="0.3"/>
    <row r="4308" customFormat="1" x14ac:dyDescent="0.3"/>
    <row r="4309" customFormat="1" x14ac:dyDescent="0.3"/>
    <row r="4310" customFormat="1" x14ac:dyDescent="0.3"/>
    <row r="4311" customFormat="1" x14ac:dyDescent="0.3"/>
    <row r="4312" customFormat="1" x14ac:dyDescent="0.3"/>
    <row r="4313" customFormat="1" x14ac:dyDescent="0.3"/>
    <row r="4314" customFormat="1" x14ac:dyDescent="0.3"/>
    <row r="4315" customFormat="1" x14ac:dyDescent="0.3"/>
    <row r="4316" customFormat="1" x14ac:dyDescent="0.3"/>
    <row r="4317" customFormat="1" x14ac:dyDescent="0.3"/>
    <row r="4318" customFormat="1" x14ac:dyDescent="0.3"/>
    <row r="4319" customFormat="1" x14ac:dyDescent="0.3"/>
    <row r="4320" customFormat="1" x14ac:dyDescent="0.3"/>
    <row r="4321" customFormat="1" x14ac:dyDescent="0.3"/>
    <row r="4322" customFormat="1" x14ac:dyDescent="0.3"/>
    <row r="4323" customFormat="1" x14ac:dyDescent="0.3"/>
    <row r="4324" customFormat="1" x14ac:dyDescent="0.3"/>
    <row r="4325" customFormat="1" x14ac:dyDescent="0.3"/>
    <row r="4326" customFormat="1" x14ac:dyDescent="0.3"/>
    <row r="4327" customFormat="1" x14ac:dyDescent="0.3"/>
    <row r="4328" customFormat="1" x14ac:dyDescent="0.3"/>
    <row r="4329" customFormat="1" x14ac:dyDescent="0.3"/>
    <row r="4330" customFormat="1" x14ac:dyDescent="0.3"/>
    <row r="4331" customFormat="1" x14ac:dyDescent="0.3"/>
    <row r="4332" customFormat="1" x14ac:dyDescent="0.3"/>
    <row r="4333" customFormat="1" x14ac:dyDescent="0.3"/>
    <row r="4334" customFormat="1" x14ac:dyDescent="0.3"/>
    <row r="4335" customFormat="1" x14ac:dyDescent="0.3"/>
    <row r="4336" customFormat="1" x14ac:dyDescent="0.3"/>
    <row r="4337" customFormat="1" x14ac:dyDescent="0.3"/>
    <row r="4338" customFormat="1" x14ac:dyDescent="0.3"/>
    <row r="4339" customFormat="1" x14ac:dyDescent="0.3"/>
    <row r="4340" customFormat="1" x14ac:dyDescent="0.3"/>
    <row r="4341" customFormat="1" x14ac:dyDescent="0.3"/>
    <row r="4342" customFormat="1" x14ac:dyDescent="0.3"/>
    <row r="4343" customFormat="1" x14ac:dyDescent="0.3"/>
    <row r="4344" customFormat="1" x14ac:dyDescent="0.3"/>
    <row r="4345" customFormat="1" x14ac:dyDescent="0.3"/>
    <row r="4346" customFormat="1" x14ac:dyDescent="0.3"/>
    <row r="4347" customFormat="1" x14ac:dyDescent="0.3"/>
    <row r="4348" customFormat="1" x14ac:dyDescent="0.3"/>
    <row r="4349" customFormat="1" x14ac:dyDescent="0.3"/>
    <row r="4350" customFormat="1" x14ac:dyDescent="0.3"/>
    <row r="4351" customFormat="1" x14ac:dyDescent="0.3"/>
    <row r="4352" customFormat="1" x14ac:dyDescent="0.3"/>
    <row r="4353" customFormat="1" x14ac:dyDescent="0.3"/>
    <row r="4354" customFormat="1" x14ac:dyDescent="0.3"/>
    <row r="4355" customFormat="1" x14ac:dyDescent="0.3"/>
    <row r="4356" customFormat="1" x14ac:dyDescent="0.3"/>
    <row r="4357" customFormat="1" x14ac:dyDescent="0.3"/>
    <row r="4358" customFormat="1" x14ac:dyDescent="0.3"/>
    <row r="4359" customFormat="1" x14ac:dyDescent="0.3"/>
    <row r="4360" customFormat="1" x14ac:dyDescent="0.3"/>
    <row r="4361" customFormat="1" x14ac:dyDescent="0.3"/>
    <row r="4362" customFormat="1" x14ac:dyDescent="0.3"/>
    <row r="4363" customFormat="1" x14ac:dyDescent="0.3"/>
    <row r="4364" customFormat="1" x14ac:dyDescent="0.3"/>
    <row r="4365" customFormat="1" x14ac:dyDescent="0.3"/>
    <row r="4366" customFormat="1" x14ac:dyDescent="0.3"/>
    <row r="4367" customFormat="1" x14ac:dyDescent="0.3"/>
    <row r="4368" customFormat="1" x14ac:dyDescent="0.3"/>
    <row r="4369" customFormat="1" x14ac:dyDescent="0.3"/>
    <row r="4370" customFormat="1" x14ac:dyDescent="0.3"/>
    <row r="4371" customFormat="1" x14ac:dyDescent="0.3"/>
    <row r="4372" customFormat="1" x14ac:dyDescent="0.3"/>
    <row r="4373" customFormat="1" x14ac:dyDescent="0.3"/>
    <row r="4374" customFormat="1" x14ac:dyDescent="0.3"/>
    <row r="4375" customFormat="1" x14ac:dyDescent="0.3"/>
    <row r="4376" customFormat="1" x14ac:dyDescent="0.3"/>
    <row r="4377" customFormat="1" x14ac:dyDescent="0.3"/>
    <row r="4378" customFormat="1" x14ac:dyDescent="0.3"/>
    <row r="4379" customFormat="1" x14ac:dyDescent="0.3"/>
    <row r="4380" customFormat="1" x14ac:dyDescent="0.3"/>
    <row r="4381" customFormat="1" x14ac:dyDescent="0.3"/>
    <row r="4382" customFormat="1" x14ac:dyDescent="0.3"/>
    <row r="4383" customFormat="1" x14ac:dyDescent="0.3"/>
    <row r="4384" customFormat="1" x14ac:dyDescent="0.3"/>
    <row r="4385" customFormat="1" x14ac:dyDescent="0.3"/>
    <row r="4386" customFormat="1" x14ac:dyDescent="0.3"/>
    <row r="4387" customFormat="1" x14ac:dyDescent="0.3"/>
    <row r="4388" customFormat="1" x14ac:dyDescent="0.3"/>
    <row r="4389" customFormat="1" x14ac:dyDescent="0.3"/>
    <row r="4390" customFormat="1" x14ac:dyDescent="0.3"/>
    <row r="4391" customFormat="1" x14ac:dyDescent="0.3"/>
    <row r="4392" customFormat="1" x14ac:dyDescent="0.3"/>
    <row r="4393" customFormat="1" x14ac:dyDescent="0.3"/>
    <row r="4394" customFormat="1" x14ac:dyDescent="0.3"/>
    <row r="4395" customFormat="1" x14ac:dyDescent="0.3"/>
    <row r="4396" customFormat="1" x14ac:dyDescent="0.3"/>
    <row r="4397" customFormat="1" x14ac:dyDescent="0.3"/>
    <row r="4398" customFormat="1" x14ac:dyDescent="0.3"/>
    <row r="4399" customFormat="1" x14ac:dyDescent="0.3"/>
    <row r="4400" customFormat="1" x14ac:dyDescent="0.3"/>
    <row r="4401" customFormat="1" x14ac:dyDescent="0.3"/>
    <row r="4402" customFormat="1" x14ac:dyDescent="0.3"/>
    <row r="4403" customFormat="1" x14ac:dyDescent="0.3"/>
    <row r="4404" customFormat="1" x14ac:dyDescent="0.3"/>
    <row r="4405" customFormat="1" x14ac:dyDescent="0.3"/>
    <row r="4406" customFormat="1" x14ac:dyDescent="0.3"/>
    <row r="4407" customFormat="1" x14ac:dyDescent="0.3"/>
    <row r="4408" customFormat="1" x14ac:dyDescent="0.3"/>
    <row r="4409" customFormat="1" x14ac:dyDescent="0.3"/>
    <row r="4410" customFormat="1" x14ac:dyDescent="0.3"/>
    <row r="4411" customFormat="1" x14ac:dyDescent="0.3"/>
    <row r="4412" customFormat="1" x14ac:dyDescent="0.3"/>
    <row r="4413" customFormat="1" x14ac:dyDescent="0.3"/>
    <row r="4414" customFormat="1" x14ac:dyDescent="0.3"/>
    <row r="4415" customFormat="1" x14ac:dyDescent="0.3"/>
    <row r="4416" customFormat="1" x14ac:dyDescent="0.3"/>
    <row r="4417" customFormat="1" x14ac:dyDescent="0.3"/>
    <row r="4418" customFormat="1" x14ac:dyDescent="0.3"/>
    <row r="4419" customFormat="1" x14ac:dyDescent="0.3"/>
    <row r="4420" customFormat="1" x14ac:dyDescent="0.3"/>
    <row r="4421" customFormat="1" x14ac:dyDescent="0.3"/>
    <row r="4422" customFormat="1" x14ac:dyDescent="0.3"/>
    <row r="4423" customFormat="1" x14ac:dyDescent="0.3"/>
    <row r="4424" customFormat="1" x14ac:dyDescent="0.3"/>
    <row r="4425" customFormat="1" x14ac:dyDescent="0.3"/>
    <row r="4426" customFormat="1" x14ac:dyDescent="0.3"/>
    <row r="4427" customFormat="1" x14ac:dyDescent="0.3"/>
    <row r="4428" customFormat="1" x14ac:dyDescent="0.3"/>
    <row r="4429" customFormat="1" x14ac:dyDescent="0.3"/>
    <row r="4430" customFormat="1" x14ac:dyDescent="0.3"/>
    <row r="4431" customFormat="1" x14ac:dyDescent="0.3"/>
    <row r="4432" customFormat="1" x14ac:dyDescent="0.3"/>
    <row r="4433" customFormat="1" x14ac:dyDescent="0.3"/>
    <row r="4434" customFormat="1" x14ac:dyDescent="0.3"/>
    <row r="4435" customFormat="1" x14ac:dyDescent="0.3"/>
    <row r="4436" customFormat="1" x14ac:dyDescent="0.3"/>
    <row r="4437" customFormat="1" x14ac:dyDescent="0.3"/>
    <row r="4438" customFormat="1" x14ac:dyDescent="0.3"/>
    <row r="4439" customFormat="1" x14ac:dyDescent="0.3"/>
    <row r="4440" customFormat="1" x14ac:dyDescent="0.3"/>
    <row r="4441" customFormat="1" x14ac:dyDescent="0.3"/>
    <row r="4442" customFormat="1" x14ac:dyDescent="0.3"/>
    <row r="4443" customFormat="1" x14ac:dyDescent="0.3"/>
    <row r="4444" customFormat="1" x14ac:dyDescent="0.3"/>
    <row r="4445" customFormat="1" x14ac:dyDescent="0.3"/>
    <row r="4446" customFormat="1" x14ac:dyDescent="0.3"/>
    <row r="4447" customFormat="1" x14ac:dyDescent="0.3"/>
    <row r="4448" customFormat="1" x14ac:dyDescent="0.3"/>
    <row r="4449" customFormat="1" x14ac:dyDescent="0.3"/>
    <row r="4450" customFormat="1" x14ac:dyDescent="0.3"/>
    <row r="4451" customFormat="1" x14ac:dyDescent="0.3"/>
    <row r="4452" customFormat="1" x14ac:dyDescent="0.3"/>
    <row r="4453" customFormat="1" x14ac:dyDescent="0.3"/>
    <row r="4454" customFormat="1" x14ac:dyDescent="0.3"/>
    <row r="4455" customFormat="1" x14ac:dyDescent="0.3"/>
    <row r="4456" customFormat="1" x14ac:dyDescent="0.3"/>
    <row r="4457" customFormat="1" x14ac:dyDescent="0.3"/>
    <row r="4458" customFormat="1" x14ac:dyDescent="0.3"/>
    <row r="4459" customFormat="1" x14ac:dyDescent="0.3"/>
    <row r="4460" customFormat="1" x14ac:dyDescent="0.3"/>
    <row r="4461" customFormat="1" x14ac:dyDescent="0.3"/>
    <row r="4462" customFormat="1" x14ac:dyDescent="0.3"/>
    <row r="4463" customFormat="1" x14ac:dyDescent="0.3"/>
    <row r="4464" customFormat="1" x14ac:dyDescent="0.3"/>
    <row r="4465" customFormat="1" x14ac:dyDescent="0.3"/>
    <row r="4466" customFormat="1" x14ac:dyDescent="0.3"/>
    <row r="4467" customFormat="1" x14ac:dyDescent="0.3"/>
    <row r="4468" customFormat="1" x14ac:dyDescent="0.3"/>
    <row r="4469" customFormat="1" x14ac:dyDescent="0.3"/>
    <row r="4470" customFormat="1" x14ac:dyDescent="0.3"/>
    <row r="4471" customFormat="1" x14ac:dyDescent="0.3"/>
    <row r="4472" customFormat="1" x14ac:dyDescent="0.3"/>
    <row r="4473" customFormat="1" x14ac:dyDescent="0.3"/>
    <row r="4474" customFormat="1" x14ac:dyDescent="0.3"/>
    <row r="4475" customFormat="1" x14ac:dyDescent="0.3"/>
    <row r="4476" customFormat="1" x14ac:dyDescent="0.3"/>
    <row r="4477" customFormat="1" x14ac:dyDescent="0.3"/>
    <row r="4478" customFormat="1" x14ac:dyDescent="0.3"/>
    <row r="4479" customFormat="1" x14ac:dyDescent="0.3"/>
    <row r="4480" customFormat="1" x14ac:dyDescent="0.3"/>
    <row r="4481" customFormat="1" x14ac:dyDescent="0.3"/>
    <row r="4482" customFormat="1" x14ac:dyDescent="0.3"/>
    <row r="4483" customFormat="1" x14ac:dyDescent="0.3"/>
    <row r="4484" customFormat="1" x14ac:dyDescent="0.3"/>
    <row r="4485" customFormat="1" x14ac:dyDescent="0.3"/>
    <row r="4486" customFormat="1" x14ac:dyDescent="0.3"/>
    <row r="4487" customFormat="1" x14ac:dyDescent="0.3"/>
    <row r="4488" customFormat="1" x14ac:dyDescent="0.3"/>
    <row r="4489" customFormat="1" x14ac:dyDescent="0.3"/>
    <row r="4490" customFormat="1" x14ac:dyDescent="0.3"/>
    <row r="4491" customFormat="1" x14ac:dyDescent="0.3"/>
    <row r="4492" customFormat="1" x14ac:dyDescent="0.3"/>
    <row r="4493" customFormat="1" x14ac:dyDescent="0.3"/>
    <row r="4494" customFormat="1" x14ac:dyDescent="0.3"/>
    <row r="4495" customFormat="1" x14ac:dyDescent="0.3"/>
    <row r="4496" customFormat="1" x14ac:dyDescent="0.3"/>
    <row r="4497" customFormat="1" x14ac:dyDescent="0.3"/>
    <row r="4498" customFormat="1" x14ac:dyDescent="0.3"/>
    <row r="4499" customFormat="1" x14ac:dyDescent="0.3"/>
    <row r="4500" customFormat="1" x14ac:dyDescent="0.3"/>
    <row r="4501" customFormat="1" x14ac:dyDescent="0.3"/>
    <row r="4502" customFormat="1" x14ac:dyDescent="0.3"/>
    <row r="4503" customFormat="1" x14ac:dyDescent="0.3"/>
    <row r="4504" customFormat="1" x14ac:dyDescent="0.3"/>
    <row r="4505" customFormat="1" x14ac:dyDescent="0.3"/>
    <row r="4506" customFormat="1" x14ac:dyDescent="0.3"/>
    <row r="4507" customFormat="1" x14ac:dyDescent="0.3"/>
    <row r="4508" customFormat="1" x14ac:dyDescent="0.3"/>
    <row r="4509" customFormat="1" x14ac:dyDescent="0.3"/>
    <row r="4510" customFormat="1" x14ac:dyDescent="0.3"/>
    <row r="4511" customFormat="1" x14ac:dyDescent="0.3"/>
    <row r="4512" customFormat="1" x14ac:dyDescent="0.3"/>
    <row r="4513" customFormat="1" x14ac:dyDescent="0.3"/>
    <row r="4514" customFormat="1" x14ac:dyDescent="0.3"/>
    <row r="4515" customFormat="1" x14ac:dyDescent="0.3"/>
    <row r="4516" customFormat="1" x14ac:dyDescent="0.3"/>
    <row r="4517" customFormat="1" x14ac:dyDescent="0.3"/>
    <row r="4518" customFormat="1" x14ac:dyDescent="0.3"/>
    <row r="4519" customFormat="1" x14ac:dyDescent="0.3"/>
    <row r="4520" customFormat="1" x14ac:dyDescent="0.3"/>
    <row r="4521" customFormat="1" x14ac:dyDescent="0.3"/>
    <row r="4522" customFormat="1" x14ac:dyDescent="0.3"/>
    <row r="4523" customFormat="1" x14ac:dyDescent="0.3"/>
    <row r="4524" customFormat="1" x14ac:dyDescent="0.3"/>
    <row r="4525" customFormat="1" x14ac:dyDescent="0.3"/>
    <row r="4526" customFormat="1" x14ac:dyDescent="0.3"/>
    <row r="4527" customFormat="1" x14ac:dyDescent="0.3"/>
    <row r="4528" customFormat="1" x14ac:dyDescent="0.3"/>
    <row r="4529" customFormat="1" x14ac:dyDescent="0.3"/>
    <row r="4530" customFormat="1" x14ac:dyDescent="0.3"/>
    <row r="4531" customFormat="1" x14ac:dyDescent="0.3"/>
    <row r="4532" customFormat="1" x14ac:dyDescent="0.3"/>
    <row r="4533" customFormat="1" x14ac:dyDescent="0.3"/>
    <row r="4534" customFormat="1" x14ac:dyDescent="0.3"/>
    <row r="4535" customFormat="1" x14ac:dyDescent="0.3"/>
    <row r="4536" customFormat="1" x14ac:dyDescent="0.3"/>
    <row r="4537" customFormat="1" x14ac:dyDescent="0.3"/>
    <row r="4538" customFormat="1" x14ac:dyDescent="0.3"/>
    <row r="4539" customFormat="1" x14ac:dyDescent="0.3"/>
    <row r="4540" customFormat="1" x14ac:dyDescent="0.3"/>
    <row r="4541" customFormat="1" x14ac:dyDescent="0.3"/>
    <row r="4542" customFormat="1" x14ac:dyDescent="0.3"/>
    <row r="4543" customFormat="1" x14ac:dyDescent="0.3"/>
    <row r="4544" customFormat="1" x14ac:dyDescent="0.3"/>
    <row r="4545" customFormat="1" x14ac:dyDescent="0.3"/>
    <row r="4546" customFormat="1" x14ac:dyDescent="0.3"/>
    <row r="4547" customFormat="1" x14ac:dyDescent="0.3"/>
    <row r="4548" customFormat="1" x14ac:dyDescent="0.3"/>
    <row r="4549" customFormat="1" x14ac:dyDescent="0.3"/>
    <row r="4550" customFormat="1" x14ac:dyDescent="0.3"/>
    <row r="4551" customFormat="1" x14ac:dyDescent="0.3"/>
    <row r="4552" customFormat="1" x14ac:dyDescent="0.3"/>
    <row r="4553" customFormat="1" x14ac:dyDescent="0.3"/>
    <row r="4554" customFormat="1" x14ac:dyDescent="0.3"/>
    <row r="4555" customFormat="1" x14ac:dyDescent="0.3"/>
    <row r="4556" customFormat="1" x14ac:dyDescent="0.3"/>
    <row r="4557" customFormat="1" x14ac:dyDescent="0.3"/>
    <row r="4558" customFormat="1" x14ac:dyDescent="0.3"/>
    <row r="4559" customFormat="1" x14ac:dyDescent="0.3"/>
    <row r="4560" customFormat="1" x14ac:dyDescent="0.3"/>
    <row r="4561" customFormat="1" x14ac:dyDescent="0.3"/>
    <row r="4562" customFormat="1" x14ac:dyDescent="0.3"/>
    <row r="4563" customFormat="1" x14ac:dyDescent="0.3"/>
    <row r="4564" customFormat="1" x14ac:dyDescent="0.3"/>
    <row r="4565" customFormat="1" x14ac:dyDescent="0.3"/>
    <row r="4566" customFormat="1" x14ac:dyDescent="0.3"/>
    <row r="4567" customFormat="1" x14ac:dyDescent="0.3"/>
    <row r="4568" customFormat="1" x14ac:dyDescent="0.3"/>
    <row r="4569" customFormat="1" x14ac:dyDescent="0.3"/>
    <row r="4570" customFormat="1" x14ac:dyDescent="0.3"/>
    <row r="4571" customFormat="1" x14ac:dyDescent="0.3"/>
    <row r="4572" customFormat="1" x14ac:dyDescent="0.3"/>
    <row r="4573" customFormat="1" x14ac:dyDescent="0.3"/>
    <row r="4574" customFormat="1" x14ac:dyDescent="0.3"/>
    <row r="4575" customFormat="1" x14ac:dyDescent="0.3"/>
    <row r="4576" customFormat="1" x14ac:dyDescent="0.3"/>
    <row r="4577" customFormat="1" x14ac:dyDescent="0.3"/>
    <row r="4578" customFormat="1" x14ac:dyDescent="0.3"/>
    <row r="4579" customFormat="1" x14ac:dyDescent="0.3"/>
    <row r="4580" customFormat="1" x14ac:dyDescent="0.3"/>
    <row r="4581" customFormat="1" x14ac:dyDescent="0.3"/>
    <row r="4582" customFormat="1" x14ac:dyDescent="0.3"/>
    <row r="4583" customFormat="1" x14ac:dyDescent="0.3"/>
    <row r="4584" customFormat="1" x14ac:dyDescent="0.3"/>
    <row r="4585" customFormat="1" x14ac:dyDescent="0.3"/>
    <row r="4586" customFormat="1" x14ac:dyDescent="0.3"/>
    <row r="4587" customFormat="1" x14ac:dyDescent="0.3"/>
    <row r="4588" customFormat="1" x14ac:dyDescent="0.3"/>
    <row r="4589" customFormat="1" x14ac:dyDescent="0.3"/>
    <row r="4590" customFormat="1" x14ac:dyDescent="0.3"/>
    <row r="4591" customFormat="1" x14ac:dyDescent="0.3"/>
    <row r="4592" customFormat="1" x14ac:dyDescent="0.3"/>
    <row r="4593" customFormat="1" x14ac:dyDescent="0.3"/>
    <row r="4594" customFormat="1" x14ac:dyDescent="0.3"/>
    <row r="4595" customFormat="1" x14ac:dyDescent="0.3"/>
    <row r="4596" customFormat="1" x14ac:dyDescent="0.3"/>
    <row r="4597" customFormat="1" x14ac:dyDescent="0.3"/>
    <row r="4598" customFormat="1" x14ac:dyDescent="0.3"/>
    <row r="4599" customFormat="1" x14ac:dyDescent="0.3"/>
    <row r="4600" customFormat="1" x14ac:dyDescent="0.3"/>
    <row r="4601" customFormat="1" x14ac:dyDescent="0.3"/>
    <row r="4602" customFormat="1" x14ac:dyDescent="0.3"/>
    <row r="4603" customFormat="1" x14ac:dyDescent="0.3"/>
    <row r="4604" customFormat="1" x14ac:dyDescent="0.3"/>
    <row r="4605" customFormat="1" x14ac:dyDescent="0.3"/>
    <row r="4606" customFormat="1" x14ac:dyDescent="0.3"/>
    <row r="4607" customFormat="1" x14ac:dyDescent="0.3"/>
    <row r="4608" customFormat="1" x14ac:dyDescent="0.3"/>
    <row r="4609" customFormat="1" x14ac:dyDescent="0.3"/>
    <row r="4610" customFormat="1" x14ac:dyDescent="0.3"/>
    <row r="4611" customFormat="1" x14ac:dyDescent="0.3"/>
    <row r="4612" customFormat="1" x14ac:dyDescent="0.3"/>
    <row r="4613" customFormat="1" x14ac:dyDescent="0.3"/>
    <row r="4614" customFormat="1" x14ac:dyDescent="0.3"/>
    <row r="4615" customFormat="1" x14ac:dyDescent="0.3"/>
    <row r="4616" customFormat="1" x14ac:dyDescent="0.3"/>
    <row r="4617" customFormat="1" x14ac:dyDescent="0.3"/>
    <row r="4618" customFormat="1" x14ac:dyDescent="0.3"/>
    <row r="4619" customFormat="1" x14ac:dyDescent="0.3"/>
    <row r="4620" customFormat="1" x14ac:dyDescent="0.3"/>
    <row r="4621" customFormat="1" x14ac:dyDescent="0.3"/>
    <row r="4622" customFormat="1" x14ac:dyDescent="0.3"/>
    <row r="4623" customFormat="1" x14ac:dyDescent="0.3"/>
    <row r="4624" customFormat="1" x14ac:dyDescent="0.3"/>
    <row r="4625" customFormat="1" x14ac:dyDescent="0.3"/>
    <row r="4626" customFormat="1" x14ac:dyDescent="0.3"/>
    <row r="4627" customFormat="1" x14ac:dyDescent="0.3"/>
    <row r="4628" customFormat="1" x14ac:dyDescent="0.3"/>
    <row r="4629" customFormat="1" x14ac:dyDescent="0.3"/>
    <row r="4630" customFormat="1" x14ac:dyDescent="0.3"/>
    <row r="4631" customFormat="1" x14ac:dyDescent="0.3"/>
    <row r="4632" customFormat="1" x14ac:dyDescent="0.3"/>
    <row r="4633" customFormat="1" x14ac:dyDescent="0.3"/>
    <row r="4634" customFormat="1" x14ac:dyDescent="0.3"/>
    <row r="4635" customFormat="1" x14ac:dyDescent="0.3"/>
    <row r="4636" customFormat="1" x14ac:dyDescent="0.3"/>
    <row r="4637" customFormat="1" x14ac:dyDescent="0.3"/>
    <row r="4638" customFormat="1" x14ac:dyDescent="0.3"/>
    <row r="4639" customFormat="1" x14ac:dyDescent="0.3"/>
    <row r="4640" customFormat="1" x14ac:dyDescent="0.3"/>
    <row r="4641" customFormat="1" x14ac:dyDescent="0.3"/>
    <row r="4642" customFormat="1" x14ac:dyDescent="0.3"/>
    <row r="4643" customFormat="1" x14ac:dyDescent="0.3"/>
    <row r="4644" customFormat="1" x14ac:dyDescent="0.3"/>
    <row r="4645" customFormat="1" x14ac:dyDescent="0.3"/>
    <row r="4646" customFormat="1" x14ac:dyDescent="0.3"/>
    <row r="4647" customFormat="1" x14ac:dyDescent="0.3"/>
    <row r="4648" customFormat="1" x14ac:dyDescent="0.3"/>
    <row r="4649" customFormat="1" x14ac:dyDescent="0.3"/>
    <row r="4650" customFormat="1" x14ac:dyDescent="0.3"/>
    <row r="4651" customFormat="1" x14ac:dyDescent="0.3"/>
    <row r="4652" customFormat="1" x14ac:dyDescent="0.3"/>
    <row r="4653" customFormat="1" x14ac:dyDescent="0.3"/>
    <row r="4654" customFormat="1" x14ac:dyDescent="0.3"/>
    <row r="4655" customFormat="1" x14ac:dyDescent="0.3"/>
    <row r="4656" customFormat="1" x14ac:dyDescent="0.3"/>
    <row r="4657" customFormat="1" x14ac:dyDescent="0.3"/>
    <row r="4658" customFormat="1" x14ac:dyDescent="0.3"/>
    <row r="4659" customFormat="1" x14ac:dyDescent="0.3"/>
    <row r="4660" customFormat="1" x14ac:dyDescent="0.3"/>
    <row r="4661" customFormat="1" x14ac:dyDescent="0.3"/>
    <row r="4662" customFormat="1" x14ac:dyDescent="0.3"/>
    <row r="4663" customFormat="1" x14ac:dyDescent="0.3"/>
    <row r="4664" customFormat="1" x14ac:dyDescent="0.3"/>
    <row r="4665" customFormat="1" x14ac:dyDescent="0.3"/>
    <row r="4666" customFormat="1" x14ac:dyDescent="0.3"/>
    <row r="4667" customFormat="1" x14ac:dyDescent="0.3"/>
    <row r="4668" customFormat="1" x14ac:dyDescent="0.3"/>
    <row r="4669" customFormat="1" x14ac:dyDescent="0.3"/>
    <row r="4670" customFormat="1" x14ac:dyDescent="0.3"/>
    <row r="4671" customFormat="1" x14ac:dyDescent="0.3"/>
    <row r="4672" customFormat="1" x14ac:dyDescent="0.3"/>
    <row r="4673" customFormat="1" x14ac:dyDescent="0.3"/>
    <row r="4674" customFormat="1" x14ac:dyDescent="0.3"/>
    <row r="4675" customFormat="1" x14ac:dyDescent="0.3"/>
    <row r="4676" customFormat="1" x14ac:dyDescent="0.3"/>
    <row r="4677" customFormat="1" x14ac:dyDescent="0.3"/>
    <row r="4678" customFormat="1" x14ac:dyDescent="0.3"/>
    <row r="4679" customFormat="1" x14ac:dyDescent="0.3"/>
    <row r="4680" customFormat="1" x14ac:dyDescent="0.3"/>
    <row r="4681" customFormat="1" x14ac:dyDescent="0.3"/>
    <row r="4682" customFormat="1" x14ac:dyDescent="0.3"/>
    <row r="4683" customFormat="1" x14ac:dyDescent="0.3"/>
    <row r="4684" customFormat="1" x14ac:dyDescent="0.3"/>
    <row r="4685" customFormat="1" x14ac:dyDescent="0.3"/>
    <row r="4686" customFormat="1" x14ac:dyDescent="0.3"/>
    <row r="4687" customFormat="1" x14ac:dyDescent="0.3"/>
    <row r="4688" customFormat="1" x14ac:dyDescent="0.3"/>
    <row r="4689" customFormat="1" x14ac:dyDescent="0.3"/>
    <row r="4690" customFormat="1" x14ac:dyDescent="0.3"/>
    <row r="4691" customFormat="1" x14ac:dyDescent="0.3"/>
    <row r="4692" customFormat="1" x14ac:dyDescent="0.3"/>
    <row r="4693" customFormat="1" x14ac:dyDescent="0.3"/>
    <row r="4694" customFormat="1" x14ac:dyDescent="0.3"/>
    <row r="4695" customFormat="1" x14ac:dyDescent="0.3"/>
    <row r="4696" customFormat="1" x14ac:dyDescent="0.3"/>
    <row r="4697" customFormat="1" x14ac:dyDescent="0.3"/>
    <row r="4698" customFormat="1" x14ac:dyDescent="0.3"/>
    <row r="4699" customFormat="1" x14ac:dyDescent="0.3"/>
    <row r="4700" customFormat="1" x14ac:dyDescent="0.3"/>
    <row r="4701" customFormat="1" x14ac:dyDescent="0.3"/>
    <row r="4702" customFormat="1" x14ac:dyDescent="0.3"/>
    <row r="4703" customFormat="1" x14ac:dyDescent="0.3"/>
    <row r="4704" customFormat="1" x14ac:dyDescent="0.3"/>
    <row r="4705" customFormat="1" x14ac:dyDescent="0.3"/>
    <row r="4706" customFormat="1" x14ac:dyDescent="0.3"/>
    <row r="4707" customFormat="1" x14ac:dyDescent="0.3"/>
    <row r="4708" customFormat="1" x14ac:dyDescent="0.3"/>
    <row r="4709" customFormat="1" x14ac:dyDescent="0.3"/>
    <row r="4710" customFormat="1" x14ac:dyDescent="0.3"/>
    <row r="4711" customFormat="1" x14ac:dyDescent="0.3"/>
    <row r="4712" customFormat="1" x14ac:dyDescent="0.3"/>
    <row r="4713" customFormat="1" x14ac:dyDescent="0.3"/>
    <row r="4714" customFormat="1" x14ac:dyDescent="0.3"/>
    <row r="4715" customFormat="1" x14ac:dyDescent="0.3"/>
    <row r="4716" customFormat="1" x14ac:dyDescent="0.3"/>
    <row r="4717" customFormat="1" x14ac:dyDescent="0.3"/>
    <row r="4718" customFormat="1" x14ac:dyDescent="0.3"/>
    <row r="4719" customFormat="1" x14ac:dyDescent="0.3"/>
    <row r="4720" customFormat="1" x14ac:dyDescent="0.3"/>
    <row r="4721" customFormat="1" x14ac:dyDescent="0.3"/>
    <row r="4722" customFormat="1" x14ac:dyDescent="0.3"/>
    <row r="4723" customFormat="1" x14ac:dyDescent="0.3"/>
    <row r="4724" customFormat="1" x14ac:dyDescent="0.3"/>
    <row r="4725" customFormat="1" x14ac:dyDescent="0.3"/>
    <row r="4726" customFormat="1" x14ac:dyDescent="0.3"/>
    <row r="4727" customFormat="1" x14ac:dyDescent="0.3"/>
    <row r="4728" customFormat="1" x14ac:dyDescent="0.3"/>
    <row r="4729" customFormat="1" x14ac:dyDescent="0.3"/>
    <row r="4730" customFormat="1" x14ac:dyDescent="0.3"/>
    <row r="4731" customFormat="1" x14ac:dyDescent="0.3"/>
    <row r="4732" customFormat="1" x14ac:dyDescent="0.3"/>
    <row r="4733" customFormat="1" x14ac:dyDescent="0.3"/>
    <row r="4734" customFormat="1" x14ac:dyDescent="0.3"/>
    <row r="4735" customFormat="1" x14ac:dyDescent="0.3"/>
    <row r="4736" customFormat="1" x14ac:dyDescent="0.3"/>
    <row r="4737" customFormat="1" x14ac:dyDescent="0.3"/>
    <row r="4738" customFormat="1" x14ac:dyDescent="0.3"/>
    <row r="4739" customFormat="1" x14ac:dyDescent="0.3"/>
    <row r="4740" customFormat="1" x14ac:dyDescent="0.3"/>
    <row r="4741" customFormat="1" x14ac:dyDescent="0.3"/>
    <row r="4742" customFormat="1" x14ac:dyDescent="0.3"/>
    <row r="4743" customFormat="1" x14ac:dyDescent="0.3"/>
    <row r="4744" customFormat="1" x14ac:dyDescent="0.3"/>
    <row r="4745" customFormat="1" x14ac:dyDescent="0.3"/>
    <row r="4746" customFormat="1" x14ac:dyDescent="0.3"/>
    <row r="4747" customFormat="1" x14ac:dyDescent="0.3"/>
    <row r="4748" customFormat="1" x14ac:dyDescent="0.3"/>
    <row r="4749" customFormat="1" x14ac:dyDescent="0.3"/>
    <row r="4750" customFormat="1" x14ac:dyDescent="0.3"/>
    <row r="4751" customFormat="1" x14ac:dyDescent="0.3"/>
    <row r="4752" customFormat="1" x14ac:dyDescent="0.3"/>
    <row r="4753" customFormat="1" x14ac:dyDescent="0.3"/>
    <row r="4754" customFormat="1" x14ac:dyDescent="0.3"/>
    <row r="4755" customFormat="1" x14ac:dyDescent="0.3"/>
    <row r="4756" customFormat="1" x14ac:dyDescent="0.3"/>
    <row r="4757" customFormat="1" x14ac:dyDescent="0.3"/>
    <row r="4758" customFormat="1" x14ac:dyDescent="0.3"/>
    <row r="4759" customFormat="1" x14ac:dyDescent="0.3"/>
    <row r="4760" customFormat="1" x14ac:dyDescent="0.3"/>
    <row r="4761" customFormat="1" x14ac:dyDescent="0.3"/>
    <row r="4762" customFormat="1" x14ac:dyDescent="0.3"/>
    <row r="4763" customFormat="1" x14ac:dyDescent="0.3"/>
    <row r="4764" customFormat="1" x14ac:dyDescent="0.3"/>
    <row r="4765" customFormat="1" x14ac:dyDescent="0.3"/>
    <row r="4766" customFormat="1" x14ac:dyDescent="0.3"/>
    <row r="4767" customFormat="1" x14ac:dyDescent="0.3"/>
    <row r="4768" customFormat="1" x14ac:dyDescent="0.3"/>
    <row r="4769" customFormat="1" x14ac:dyDescent="0.3"/>
    <row r="4770" customFormat="1" x14ac:dyDescent="0.3"/>
    <row r="4771" customFormat="1" x14ac:dyDescent="0.3"/>
    <row r="4772" customFormat="1" x14ac:dyDescent="0.3"/>
    <row r="4773" customFormat="1" x14ac:dyDescent="0.3"/>
    <row r="4774" customFormat="1" x14ac:dyDescent="0.3"/>
    <row r="4775" customFormat="1" x14ac:dyDescent="0.3"/>
    <row r="4776" customFormat="1" x14ac:dyDescent="0.3"/>
    <row r="4777" customFormat="1" x14ac:dyDescent="0.3"/>
    <row r="4778" customFormat="1" x14ac:dyDescent="0.3"/>
    <row r="4779" customFormat="1" x14ac:dyDescent="0.3"/>
    <row r="4780" customFormat="1" x14ac:dyDescent="0.3"/>
    <row r="4781" customFormat="1" x14ac:dyDescent="0.3"/>
    <row r="4782" customFormat="1" x14ac:dyDescent="0.3"/>
    <row r="4783" customFormat="1" x14ac:dyDescent="0.3"/>
    <row r="4784" customFormat="1" x14ac:dyDescent="0.3"/>
    <row r="4785" customFormat="1" x14ac:dyDescent="0.3"/>
    <row r="4786" customFormat="1" x14ac:dyDescent="0.3"/>
    <row r="4787" customFormat="1" x14ac:dyDescent="0.3"/>
    <row r="4788" customFormat="1" x14ac:dyDescent="0.3"/>
    <row r="4789" customFormat="1" x14ac:dyDescent="0.3"/>
    <row r="4790" customFormat="1" x14ac:dyDescent="0.3"/>
    <row r="4791" customFormat="1" x14ac:dyDescent="0.3"/>
    <row r="4792" customFormat="1" x14ac:dyDescent="0.3"/>
    <row r="4793" customFormat="1" x14ac:dyDescent="0.3"/>
    <row r="4794" customFormat="1" x14ac:dyDescent="0.3"/>
    <row r="4795" customFormat="1" x14ac:dyDescent="0.3"/>
    <row r="4796" customFormat="1" x14ac:dyDescent="0.3"/>
    <row r="4797" customFormat="1" x14ac:dyDescent="0.3"/>
    <row r="4798" customFormat="1" x14ac:dyDescent="0.3"/>
    <row r="4799" customFormat="1" x14ac:dyDescent="0.3"/>
    <row r="4800" customFormat="1" x14ac:dyDescent="0.3"/>
    <row r="4801" customFormat="1" x14ac:dyDescent="0.3"/>
    <row r="4802" customFormat="1" x14ac:dyDescent="0.3"/>
    <row r="4803" customFormat="1" x14ac:dyDescent="0.3"/>
    <row r="4804" customFormat="1" x14ac:dyDescent="0.3"/>
    <row r="4805" customFormat="1" x14ac:dyDescent="0.3"/>
    <row r="4806" customFormat="1" x14ac:dyDescent="0.3"/>
    <row r="4807" customFormat="1" x14ac:dyDescent="0.3"/>
    <row r="4808" customFormat="1" x14ac:dyDescent="0.3"/>
    <row r="4809" customFormat="1" x14ac:dyDescent="0.3"/>
    <row r="4810" customFormat="1" x14ac:dyDescent="0.3"/>
    <row r="4811" customFormat="1" x14ac:dyDescent="0.3"/>
    <row r="4812" customFormat="1" x14ac:dyDescent="0.3"/>
    <row r="4813" customFormat="1" x14ac:dyDescent="0.3"/>
    <row r="4814" customFormat="1" x14ac:dyDescent="0.3"/>
    <row r="4815" customFormat="1" x14ac:dyDescent="0.3"/>
    <row r="4816" customFormat="1" x14ac:dyDescent="0.3"/>
    <row r="4817" customFormat="1" x14ac:dyDescent="0.3"/>
    <row r="4818" customFormat="1" x14ac:dyDescent="0.3"/>
    <row r="4819" customFormat="1" x14ac:dyDescent="0.3"/>
    <row r="4820" customFormat="1" x14ac:dyDescent="0.3"/>
    <row r="4821" customFormat="1" x14ac:dyDescent="0.3"/>
    <row r="4822" customFormat="1" x14ac:dyDescent="0.3"/>
    <row r="4823" customFormat="1" x14ac:dyDescent="0.3"/>
    <row r="4824" customFormat="1" x14ac:dyDescent="0.3"/>
    <row r="4825" customFormat="1" x14ac:dyDescent="0.3"/>
    <row r="4826" customFormat="1" x14ac:dyDescent="0.3"/>
    <row r="4827" customFormat="1" x14ac:dyDescent="0.3"/>
    <row r="4828" customFormat="1" x14ac:dyDescent="0.3"/>
    <row r="4829" customFormat="1" x14ac:dyDescent="0.3"/>
    <row r="4830" customFormat="1" x14ac:dyDescent="0.3"/>
    <row r="4831" customFormat="1" x14ac:dyDescent="0.3"/>
    <row r="4832" customFormat="1" x14ac:dyDescent="0.3"/>
    <row r="4833" customFormat="1" x14ac:dyDescent="0.3"/>
    <row r="4834" customFormat="1" x14ac:dyDescent="0.3"/>
    <row r="4835" customFormat="1" x14ac:dyDescent="0.3"/>
    <row r="4836" customFormat="1" x14ac:dyDescent="0.3"/>
    <row r="4837" customFormat="1" x14ac:dyDescent="0.3"/>
    <row r="4838" customFormat="1" x14ac:dyDescent="0.3"/>
    <row r="4839" customFormat="1" x14ac:dyDescent="0.3"/>
    <row r="4840" customFormat="1" x14ac:dyDescent="0.3"/>
    <row r="4841" customFormat="1" x14ac:dyDescent="0.3"/>
    <row r="4842" customFormat="1" x14ac:dyDescent="0.3"/>
    <row r="4843" customFormat="1" x14ac:dyDescent="0.3"/>
    <row r="4844" customFormat="1" x14ac:dyDescent="0.3"/>
    <row r="4845" customFormat="1" x14ac:dyDescent="0.3"/>
    <row r="4846" customFormat="1" x14ac:dyDescent="0.3"/>
    <row r="4847" customFormat="1" x14ac:dyDescent="0.3"/>
    <row r="4848" customFormat="1" x14ac:dyDescent="0.3"/>
    <row r="4849" customFormat="1" x14ac:dyDescent="0.3"/>
    <row r="4850" customFormat="1" x14ac:dyDescent="0.3"/>
    <row r="4851" customFormat="1" x14ac:dyDescent="0.3"/>
    <row r="4852" customFormat="1" x14ac:dyDescent="0.3"/>
    <row r="4853" customFormat="1" x14ac:dyDescent="0.3"/>
    <row r="4854" customFormat="1" x14ac:dyDescent="0.3"/>
    <row r="4855" customFormat="1" x14ac:dyDescent="0.3"/>
    <row r="4856" customFormat="1" x14ac:dyDescent="0.3"/>
    <row r="4857" customFormat="1" x14ac:dyDescent="0.3"/>
    <row r="4858" customFormat="1" x14ac:dyDescent="0.3"/>
    <row r="4859" customFormat="1" x14ac:dyDescent="0.3"/>
    <row r="4860" customFormat="1" x14ac:dyDescent="0.3"/>
    <row r="4861" customFormat="1" x14ac:dyDescent="0.3"/>
    <row r="4862" customFormat="1" x14ac:dyDescent="0.3"/>
    <row r="4863" customFormat="1" x14ac:dyDescent="0.3"/>
    <row r="4864" customFormat="1" x14ac:dyDescent="0.3"/>
    <row r="4865" customFormat="1" x14ac:dyDescent="0.3"/>
    <row r="4866" customFormat="1" x14ac:dyDescent="0.3"/>
    <row r="4867" customFormat="1" x14ac:dyDescent="0.3"/>
    <row r="4868" customFormat="1" x14ac:dyDescent="0.3"/>
    <row r="4869" customFormat="1" x14ac:dyDescent="0.3"/>
    <row r="4870" customFormat="1" x14ac:dyDescent="0.3"/>
    <row r="4871" customFormat="1" x14ac:dyDescent="0.3"/>
    <row r="4872" customFormat="1" x14ac:dyDescent="0.3"/>
    <row r="4873" customFormat="1" x14ac:dyDescent="0.3"/>
    <row r="4874" customFormat="1" x14ac:dyDescent="0.3"/>
    <row r="4875" customFormat="1" x14ac:dyDescent="0.3"/>
    <row r="4876" customFormat="1" x14ac:dyDescent="0.3"/>
    <row r="4877" customFormat="1" x14ac:dyDescent="0.3"/>
    <row r="4878" customFormat="1" x14ac:dyDescent="0.3"/>
    <row r="4879" customFormat="1" x14ac:dyDescent="0.3"/>
    <row r="4880" customFormat="1" x14ac:dyDescent="0.3"/>
    <row r="4881" customFormat="1" x14ac:dyDescent="0.3"/>
    <row r="4882" customFormat="1" x14ac:dyDescent="0.3"/>
    <row r="4883" customFormat="1" x14ac:dyDescent="0.3"/>
    <row r="4884" customFormat="1" x14ac:dyDescent="0.3"/>
    <row r="4885" customFormat="1" x14ac:dyDescent="0.3"/>
    <row r="4886" customFormat="1" x14ac:dyDescent="0.3"/>
    <row r="4887" customFormat="1" x14ac:dyDescent="0.3"/>
    <row r="4888" customFormat="1" x14ac:dyDescent="0.3"/>
    <row r="4889" customFormat="1" x14ac:dyDescent="0.3"/>
    <row r="4890" customFormat="1" x14ac:dyDescent="0.3"/>
    <row r="4891" customFormat="1" x14ac:dyDescent="0.3"/>
    <row r="4892" customFormat="1" x14ac:dyDescent="0.3"/>
    <row r="4893" customFormat="1" x14ac:dyDescent="0.3"/>
    <row r="4894" customFormat="1" x14ac:dyDescent="0.3"/>
    <row r="4895" customFormat="1" x14ac:dyDescent="0.3"/>
    <row r="4896" customFormat="1" x14ac:dyDescent="0.3"/>
    <row r="4897" customFormat="1" x14ac:dyDescent="0.3"/>
    <row r="4898" customFormat="1" x14ac:dyDescent="0.3"/>
    <row r="4899" customFormat="1" x14ac:dyDescent="0.3"/>
    <row r="4900" customFormat="1" x14ac:dyDescent="0.3"/>
    <row r="4901" customFormat="1" x14ac:dyDescent="0.3"/>
    <row r="4902" customFormat="1" x14ac:dyDescent="0.3"/>
    <row r="4903" customFormat="1" x14ac:dyDescent="0.3"/>
    <row r="4904" customFormat="1" x14ac:dyDescent="0.3"/>
    <row r="4905" customFormat="1" x14ac:dyDescent="0.3"/>
    <row r="4906" customFormat="1" x14ac:dyDescent="0.3"/>
    <row r="4907" customFormat="1" x14ac:dyDescent="0.3"/>
    <row r="4908" customFormat="1" x14ac:dyDescent="0.3"/>
    <row r="4909" customFormat="1" x14ac:dyDescent="0.3"/>
    <row r="4910" customFormat="1" x14ac:dyDescent="0.3"/>
    <row r="4911" customFormat="1" x14ac:dyDescent="0.3"/>
    <row r="4912" customFormat="1" x14ac:dyDescent="0.3"/>
    <row r="4913" customFormat="1" x14ac:dyDescent="0.3"/>
    <row r="4914" customFormat="1" x14ac:dyDescent="0.3"/>
    <row r="4915" customFormat="1" x14ac:dyDescent="0.3"/>
    <row r="4916" customFormat="1" x14ac:dyDescent="0.3"/>
    <row r="4917" customFormat="1" x14ac:dyDescent="0.3"/>
    <row r="4918" customFormat="1" x14ac:dyDescent="0.3"/>
    <row r="4919" customFormat="1" x14ac:dyDescent="0.3"/>
    <row r="4920" customFormat="1" x14ac:dyDescent="0.3"/>
    <row r="4921" customFormat="1" x14ac:dyDescent="0.3"/>
    <row r="4922" customFormat="1" x14ac:dyDescent="0.3"/>
    <row r="4923" customFormat="1" x14ac:dyDescent="0.3"/>
    <row r="4924" customFormat="1" x14ac:dyDescent="0.3"/>
    <row r="4925" customFormat="1" x14ac:dyDescent="0.3"/>
    <row r="4926" customFormat="1" x14ac:dyDescent="0.3"/>
    <row r="4927" customFormat="1" x14ac:dyDescent="0.3"/>
    <row r="4928" customFormat="1" x14ac:dyDescent="0.3"/>
    <row r="4929" customFormat="1" x14ac:dyDescent="0.3"/>
    <row r="4930" customFormat="1" x14ac:dyDescent="0.3"/>
    <row r="4931" customFormat="1" x14ac:dyDescent="0.3"/>
    <row r="4932" customFormat="1" x14ac:dyDescent="0.3"/>
    <row r="4933" customFormat="1" x14ac:dyDescent="0.3"/>
    <row r="4934" customFormat="1" x14ac:dyDescent="0.3"/>
    <row r="4935" customFormat="1" x14ac:dyDescent="0.3"/>
    <row r="4936" customFormat="1" x14ac:dyDescent="0.3"/>
    <row r="4937" customFormat="1" x14ac:dyDescent="0.3"/>
    <row r="4938" customFormat="1" x14ac:dyDescent="0.3"/>
    <row r="4939" customFormat="1" x14ac:dyDescent="0.3"/>
    <row r="4940" customFormat="1" x14ac:dyDescent="0.3"/>
    <row r="4941" customFormat="1" x14ac:dyDescent="0.3"/>
    <row r="4942" customFormat="1" x14ac:dyDescent="0.3"/>
    <row r="4943" customFormat="1" x14ac:dyDescent="0.3"/>
    <row r="4944" customFormat="1" x14ac:dyDescent="0.3"/>
    <row r="4945" customFormat="1" x14ac:dyDescent="0.3"/>
    <row r="4946" customFormat="1" x14ac:dyDescent="0.3"/>
    <row r="4947" customFormat="1" x14ac:dyDescent="0.3"/>
    <row r="4948" customFormat="1" x14ac:dyDescent="0.3"/>
    <row r="4949" customFormat="1" x14ac:dyDescent="0.3"/>
    <row r="4950" customFormat="1" x14ac:dyDescent="0.3"/>
    <row r="4951" customFormat="1" x14ac:dyDescent="0.3"/>
    <row r="4952" customFormat="1" x14ac:dyDescent="0.3"/>
    <row r="4953" customFormat="1" x14ac:dyDescent="0.3"/>
    <row r="4954" customFormat="1" x14ac:dyDescent="0.3"/>
    <row r="4955" customFormat="1" x14ac:dyDescent="0.3"/>
    <row r="4956" customFormat="1" x14ac:dyDescent="0.3"/>
    <row r="4957" customFormat="1" x14ac:dyDescent="0.3"/>
    <row r="4958" customFormat="1" x14ac:dyDescent="0.3"/>
    <row r="4959" customFormat="1" x14ac:dyDescent="0.3"/>
    <row r="4960" customFormat="1" x14ac:dyDescent="0.3"/>
    <row r="4961" customFormat="1" x14ac:dyDescent="0.3"/>
    <row r="4962" customFormat="1" x14ac:dyDescent="0.3"/>
    <row r="4963" customFormat="1" x14ac:dyDescent="0.3"/>
    <row r="4964" customFormat="1" x14ac:dyDescent="0.3"/>
    <row r="4965" customFormat="1" x14ac:dyDescent="0.3"/>
    <row r="4966" customFormat="1" x14ac:dyDescent="0.3"/>
    <row r="4967" customFormat="1" x14ac:dyDescent="0.3"/>
    <row r="4968" customFormat="1" x14ac:dyDescent="0.3"/>
    <row r="4969" customFormat="1" x14ac:dyDescent="0.3"/>
    <row r="4970" customFormat="1" x14ac:dyDescent="0.3"/>
    <row r="4971" customFormat="1" x14ac:dyDescent="0.3"/>
    <row r="4972" customFormat="1" x14ac:dyDescent="0.3"/>
    <row r="4973" customFormat="1" x14ac:dyDescent="0.3"/>
    <row r="4974" customFormat="1" x14ac:dyDescent="0.3"/>
    <row r="4975" customFormat="1" x14ac:dyDescent="0.3"/>
    <row r="4976" customFormat="1" x14ac:dyDescent="0.3"/>
    <row r="4977" customFormat="1" x14ac:dyDescent="0.3"/>
    <row r="4978" customFormat="1" x14ac:dyDescent="0.3"/>
    <row r="4979" customFormat="1" x14ac:dyDescent="0.3"/>
    <row r="4980" customFormat="1" x14ac:dyDescent="0.3"/>
    <row r="4981" customFormat="1" x14ac:dyDescent="0.3"/>
    <row r="4982" customFormat="1" x14ac:dyDescent="0.3"/>
    <row r="4983" customFormat="1" x14ac:dyDescent="0.3"/>
    <row r="4984" customFormat="1" x14ac:dyDescent="0.3"/>
    <row r="4985" customFormat="1" x14ac:dyDescent="0.3"/>
    <row r="4986" customFormat="1" x14ac:dyDescent="0.3"/>
    <row r="4987" customFormat="1" x14ac:dyDescent="0.3"/>
    <row r="4988" customFormat="1" x14ac:dyDescent="0.3"/>
    <row r="4989" customFormat="1" x14ac:dyDescent="0.3"/>
    <row r="4990" customFormat="1" x14ac:dyDescent="0.3"/>
    <row r="4991" customFormat="1" x14ac:dyDescent="0.3"/>
    <row r="4992" customFormat="1" x14ac:dyDescent="0.3"/>
    <row r="4993" customFormat="1" x14ac:dyDescent="0.3"/>
    <row r="4994" customFormat="1" x14ac:dyDescent="0.3"/>
    <row r="4995" customFormat="1" x14ac:dyDescent="0.3"/>
    <row r="4996" customFormat="1" x14ac:dyDescent="0.3"/>
    <row r="4997" customFormat="1" x14ac:dyDescent="0.3"/>
    <row r="4998" customFormat="1" x14ac:dyDescent="0.3"/>
    <row r="4999" customFormat="1" x14ac:dyDescent="0.3"/>
    <row r="5000" customFormat="1" x14ac:dyDescent="0.3"/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A0D3C-1627-4B50-A430-0B1CCA9EEA91}">
  <sheetPr codeName="Planilha13"/>
  <dimension ref="A1:L2968"/>
  <sheetViews>
    <sheetView workbookViewId="0">
      <selection activeCell="D2" sqref="D2"/>
    </sheetView>
  </sheetViews>
  <sheetFormatPr defaultRowHeight="14.4" x14ac:dyDescent="0.3"/>
  <cols>
    <col min="1" max="1" width="11" bestFit="1" customWidth="1"/>
    <col min="2" max="2" width="12.33203125" bestFit="1" customWidth="1"/>
    <col min="3" max="3" width="26.77734375" customWidth="1"/>
    <col min="4" max="4" width="11.21875" bestFit="1" customWidth="1"/>
    <col min="5" max="5" width="14.88671875" style="1" bestFit="1" customWidth="1"/>
    <col min="6" max="6" width="14.88671875" style="1" customWidth="1"/>
    <col min="7" max="7" width="10.33203125" style="1" bestFit="1" customWidth="1"/>
    <col min="8" max="8" width="14.88671875" style="1" customWidth="1"/>
    <col min="9" max="9" width="13.44140625" style="1" bestFit="1" customWidth="1"/>
  </cols>
  <sheetData>
    <row r="1" spans="1:12" x14ac:dyDescent="0.3">
      <c r="A1" t="s">
        <v>0</v>
      </c>
      <c r="B1" t="s">
        <v>38</v>
      </c>
      <c r="C1" t="s">
        <v>1</v>
      </c>
      <c r="D1" t="s">
        <v>2</v>
      </c>
      <c r="E1" t="s">
        <v>13</v>
      </c>
      <c r="F1" t="s">
        <v>14</v>
      </c>
      <c r="G1" t="s">
        <v>18</v>
      </c>
      <c r="H1" t="str">
        <f>IFERROR(IF(H2&lt;0,"PREJUÍZO","LUCRO"),"")</f>
        <v>LUCRO</v>
      </c>
      <c r="I1" t="s">
        <v>16</v>
      </c>
      <c r="J1" s="6" t="str">
        <f>IFERROR(D2/G2-1,"")</f>
        <v/>
      </c>
      <c r="K1" t="str">
        <f>LEFT(J1,4)</f>
        <v/>
      </c>
      <c r="L1" t="str">
        <f>RIGHT(K1,2)</f>
        <v/>
      </c>
    </row>
    <row r="2" spans="1:12" x14ac:dyDescent="0.3">
      <c r="B2" t="str">
        <f>IFERROR(VLOOKUP(A2,CadProd!$A:$B,2,0),"")</f>
        <v/>
      </c>
      <c r="C2" t="str">
        <f>IFERROR(VLOOKUP(A2,CadProd!$A:$C,3,0),"")</f>
        <v/>
      </c>
      <c r="D2" s="1"/>
      <c r="E2" s="1">
        <f>IFERROR(VLOOKUP(A2,Estoque!$A:$G,7,0),0)</f>
        <v>0</v>
      </c>
      <c r="F2" s="1">
        <f>IFERROR(IF(A2="",0,VLOOKUP(J2,CustosInfo!$A:$D,4,0)),0)</f>
        <v>0</v>
      </c>
      <c r="G2" s="1">
        <f>E2+F2</f>
        <v>0</v>
      </c>
      <c r="H2" s="1">
        <f>D2-G2</f>
        <v>0</v>
      </c>
      <c r="I2" s="3" t="str">
        <f>IFERROR(IF(A2="","",IF(H2&lt;0,"PREJUÍZO","LUCRO DE "&amp;L1&amp;"%")),"")</f>
        <v/>
      </c>
      <c r="J2" t="str">
        <f ca="1">BD_INFO!F3</f>
        <v>04_2023</v>
      </c>
    </row>
    <row r="3" spans="1:12" x14ac:dyDescent="0.3">
      <c r="B3" t="str">
        <f>IFERROR(IF(A3="","",VLOOKUP(A3,CadProd!$A:$B,2,0)),"")</f>
        <v/>
      </c>
      <c r="C3" t="str">
        <f>IFERROR(IF(A3="","",VLOOKUP(A3,CadProd!$A:$C,3,0)),"")</f>
        <v/>
      </c>
      <c r="I3" s="1" t="str">
        <f>IFERROR(IF(A3="","",E3*#REF!),"")</f>
        <v/>
      </c>
    </row>
    <row r="4" spans="1:12" x14ac:dyDescent="0.3">
      <c r="A4" s="2"/>
      <c r="C4" t="str">
        <f>IFERROR(IF(A4="","",VLOOKUP(A4,CadProd!$A:$C,3,0)),"")</f>
        <v/>
      </c>
      <c r="I4" s="1" t="str">
        <f>IFERROR(IF(A4="","",E4*#REF!),"")</f>
        <v/>
      </c>
    </row>
    <row r="5" spans="1:12" x14ac:dyDescent="0.3">
      <c r="B5" t="str">
        <f>IFERROR(IF(A5="","",VLOOKUP(A5,CadProd!$A:$B,2,0)),"")</f>
        <v/>
      </c>
      <c r="C5" t="str">
        <f>IFERROR(IF(A5="","",VLOOKUP(A5,CadProd!$A:$C,3,0)),"")</f>
        <v/>
      </c>
      <c r="I5" s="1" t="str">
        <f>IFERROR(IF(A5="","",E5*#REF!),"")</f>
        <v/>
      </c>
    </row>
    <row r="6" spans="1:12" x14ac:dyDescent="0.3">
      <c r="B6" t="str">
        <f>IFERROR(IF(A6="","",VLOOKUP(A6,CadProd!$A:$B,2,0)),"")</f>
        <v/>
      </c>
      <c r="C6" t="str">
        <f>IFERROR(IF(A6="","",VLOOKUP(A6,CadProd!$A:$C,3,0)),"")</f>
        <v/>
      </c>
      <c r="I6" s="1" t="str">
        <f>IFERROR(IF(A6="","",E6*#REF!),"")</f>
        <v/>
      </c>
    </row>
    <row r="7" spans="1:12" x14ac:dyDescent="0.3">
      <c r="B7" t="str">
        <f>IFERROR(IF(A7="","",VLOOKUP(A7,CadProd!$A:$B,2,0)),"")</f>
        <v/>
      </c>
      <c r="C7" t="str">
        <f>IFERROR(IF(A7="","",VLOOKUP(A7,CadProd!$A:$C,3,0)),"")</f>
        <v/>
      </c>
      <c r="I7" s="1" t="str">
        <f>IFERROR(IF(A7="","",E7*#REF!),"")</f>
        <v/>
      </c>
    </row>
    <row r="8" spans="1:12" x14ac:dyDescent="0.3">
      <c r="B8" t="str">
        <f>IFERROR(IF(A8="","",VLOOKUP(A8,CadProd!$A:$B,2,0)),"")</f>
        <v/>
      </c>
      <c r="C8" t="str">
        <f>IFERROR(IF(A8="","",VLOOKUP(A8,CadProd!$A:$C,3,0)),"")</f>
        <v/>
      </c>
      <c r="I8" s="1" t="str">
        <f>IFERROR(IF(A8="","",E8*#REF!),"")</f>
        <v/>
      </c>
    </row>
    <row r="9" spans="1:12" x14ac:dyDescent="0.3">
      <c r="B9" t="str">
        <f>IFERROR(IF(A9="","",VLOOKUP(A9,CadProd!$A:$B,2,0)),"")</f>
        <v/>
      </c>
      <c r="C9" t="str">
        <f>IFERROR(IF(A9="","",VLOOKUP(A9,CadProd!$A:$C,3,0)),"")</f>
        <v/>
      </c>
      <c r="I9" s="1" t="str">
        <f>IFERROR(IF(A9="","",E9*#REF!),"")</f>
        <v/>
      </c>
    </row>
    <row r="10" spans="1:12" x14ac:dyDescent="0.3">
      <c r="B10" t="str">
        <f>IFERROR(IF(A10="","",VLOOKUP(A10,CadProd!$A:$B,2,0)),"")</f>
        <v/>
      </c>
      <c r="I10" s="1" t="str">
        <f>IFERROR(IF(A10="","",E10*#REF!),"")</f>
        <v/>
      </c>
    </row>
    <row r="11" spans="1:12" x14ac:dyDescent="0.3">
      <c r="B11" t="str">
        <f>IFERROR(IF(A11="","",VLOOKUP(A11,CadProd!$A:$B,2,0)),"")</f>
        <v/>
      </c>
      <c r="C11" t="str">
        <f>IFERROR(IF(A11="","",VLOOKUP(A11,CadProd!$A:$C,3,0)),"")</f>
        <v/>
      </c>
      <c r="I11" s="1" t="str">
        <f>IFERROR(IF(A11="","",E11*#REF!),"")</f>
        <v/>
      </c>
    </row>
    <row r="12" spans="1:12" x14ac:dyDescent="0.3">
      <c r="B12" t="str">
        <f>IFERROR(IF(A12="","",VLOOKUP(A12,CadProd!$A:$B,2,0)),"")</f>
        <v/>
      </c>
      <c r="C12" t="str">
        <f>IFERROR(IF(A12="","",VLOOKUP(A12,CadProd!$A:$C,3,0)),"")</f>
        <v/>
      </c>
      <c r="I12" s="1" t="str">
        <f>IFERROR(IF(A12="","",E12*#REF!),"")</f>
        <v/>
      </c>
    </row>
    <row r="13" spans="1:12" x14ac:dyDescent="0.3">
      <c r="B13" t="str">
        <f>IFERROR(IF(A13="","",VLOOKUP(A13,CadProd!$A:$B,2,0)),"")</f>
        <v/>
      </c>
      <c r="C13" t="str">
        <f>IFERROR(IF(A13="","",VLOOKUP(A13,CadProd!$A:$C,3,0)),"")</f>
        <v/>
      </c>
      <c r="I13" s="1" t="str">
        <f>IFERROR(IF(A13="","",E13*#REF!),"")</f>
        <v/>
      </c>
    </row>
    <row r="14" spans="1:12" x14ac:dyDescent="0.3">
      <c r="B14" t="str">
        <f>IFERROR(IF(A14="","",VLOOKUP(A14,CadProd!$A:$B,2,0)),"")</f>
        <v/>
      </c>
      <c r="C14" t="str">
        <f>IFERROR(IF(A14="","",VLOOKUP(A14,CadProd!$A:$C,3,0)),"")</f>
        <v/>
      </c>
      <c r="I14" s="1" t="str">
        <f>IFERROR(IF(A14="","",E14*#REF!),"")</f>
        <v/>
      </c>
    </row>
    <row r="15" spans="1:12" x14ac:dyDescent="0.3">
      <c r="B15" t="str">
        <f>IFERROR(IF(A15="","",VLOOKUP(A15,CadProd!$A:$B,2,0)),"")</f>
        <v/>
      </c>
      <c r="C15" t="str">
        <f>IFERROR(IF(A15="","",VLOOKUP(A15,CadProd!$A:$C,3,0)),"")</f>
        <v/>
      </c>
      <c r="I15" s="1" t="str">
        <f>IFERROR(IF(A15="","",E15*#REF!),"")</f>
        <v/>
      </c>
    </row>
    <row r="16" spans="1:12" x14ac:dyDescent="0.3">
      <c r="B16" t="str">
        <f>IFERROR(IF(A16="","",VLOOKUP(A16,CadProd!$A:$B,2,0)),"")</f>
        <v/>
      </c>
      <c r="C16" t="str">
        <f>IFERROR(IF(A16="","",VLOOKUP(A16,CadProd!$A:$C,3,0)),"")</f>
        <v/>
      </c>
      <c r="I16" s="1" t="str">
        <f>IFERROR(IF(A16="","",E16*#REF!),"")</f>
        <v/>
      </c>
    </row>
    <row r="17" spans="2:9" x14ac:dyDescent="0.3">
      <c r="B17" t="str">
        <f>IFERROR(IF(A17="","",VLOOKUP(A17,CadProd!$A:$B,2,0)),"")</f>
        <v/>
      </c>
      <c r="C17" t="str">
        <f>IFERROR(IF(A17="","",VLOOKUP(A17,CadProd!$A:$C,3,0)),"")</f>
        <v/>
      </c>
      <c r="I17" s="1" t="str">
        <f>IFERROR(IF(A17="","",E17*#REF!),"")</f>
        <v/>
      </c>
    </row>
    <row r="18" spans="2:9" x14ac:dyDescent="0.3">
      <c r="B18" t="str">
        <f>IFERROR(IF(A18="","",VLOOKUP(A18,CadProd!$A:$B,2,0)),"")</f>
        <v/>
      </c>
      <c r="C18" t="str">
        <f>IFERROR(IF(A18="","",VLOOKUP(A18,CadProd!$A:$C,3,0)),"")</f>
        <v/>
      </c>
      <c r="I18" s="1" t="str">
        <f>IFERROR(IF(A18="","",E18*#REF!),"")</f>
        <v/>
      </c>
    </row>
    <row r="19" spans="2:9" x14ac:dyDescent="0.3">
      <c r="B19" t="str">
        <f>IFERROR(IF(A19="","",VLOOKUP(A19,CadProd!$A:$B,2,0)),"")</f>
        <v/>
      </c>
      <c r="C19" t="str">
        <f>IFERROR(IF(A19="","",VLOOKUP(A19,CadProd!$A:$C,3,0)),"")</f>
        <v/>
      </c>
      <c r="I19" s="1" t="str">
        <f>IFERROR(IF(A19="","",E19*#REF!),"")</f>
        <v/>
      </c>
    </row>
    <row r="20" spans="2:9" x14ac:dyDescent="0.3">
      <c r="B20" t="str">
        <f>IFERROR(IF(A20="","",VLOOKUP(A20,CadProd!$A:$B,2,0)),"")</f>
        <v/>
      </c>
      <c r="C20" t="str">
        <f>IFERROR(IF(A20="","",VLOOKUP(A20,CadProd!$A:$C,3,0)),"")</f>
        <v/>
      </c>
      <c r="I20" s="1" t="str">
        <f>IFERROR(IF(A20="","",E20*#REF!),"")</f>
        <v/>
      </c>
    </row>
    <row r="21" spans="2:9" x14ac:dyDescent="0.3">
      <c r="B21" t="str">
        <f>IFERROR(IF(A21="","",VLOOKUP(A21,CadProd!$A:$B,2,0)),"")</f>
        <v/>
      </c>
      <c r="C21" t="str">
        <f>IFERROR(IF(A21="","",VLOOKUP(A21,CadProd!$A:$C,3,0)),"")</f>
        <v/>
      </c>
      <c r="I21" s="1" t="str">
        <f>IFERROR(IF(A21="","",E21*#REF!),"")</f>
        <v/>
      </c>
    </row>
    <row r="22" spans="2:9" x14ac:dyDescent="0.3">
      <c r="B22" t="str">
        <f>IFERROR(IF(A22="","",VLOOKUP(A22,CadProd!$A:$B,2,0)),"")</f>
        <v/>
      </c>
      <c r="C22" t="str">
        <f>IFERROR(IF(A22="","",VLOOKUP(A22,CadProd!$A:$C,3,0)),"")</f>
        <v/>
      </c>
      <c r="I22" s="1" t="str">
        <f>IFERROR(IF(A22="","",E22*#REF!),"")</f>
        <v/>
      </c>
    </row>
    <row r="23" spans="2:9" x14ac:dyDescent="0.3">
      <c r="B23" t="str">
        <f>IFERROR(IF(A23="","",VLOOKUP(A23,CadProd!$A:$B,2,0)),"")</f>
        <v/>
      </c>
      <c r="C23" t="str">
        <f>IFERROR(IF(A23="","",VLOOKUP(A23,CadProd!$A:$C,3,0)),"")</f>
        <v/>
      </c>
      <c r="I23" s="1" t="str">
        <f>IFERROR(IF(A23="","",E23*#REF!),"")</f>
        <v/>
      </c>
    </row>
    <row r="24" spans="2:9" x14ac:dyDescent="0.3">
      <c r="B24" t="str">
        <f>IFERROR(IF(A24="","",VLOOKUP(A24,CadProd!$A:$B,2,0)),"")</f>
        <v/>
      </c>
      <c r="C24" t="str">
        <f>IFERROR(IF(A24="","",VLOOKUP(A24,CadProd!$A:$C,3,0)),"")</f>
        <v/>
      </c>
      <c r="I24" s="1" t="str">
        <f>IFERROR(IF(A24="","",E24*#REF!),"")</f>
        <v/>
      </c>
    </row>
    <row r="25" spans="2:9" x14ac:dyDescent="0.3">
      <c r="B25" t="str">
        <f>IFERROR(IF(A25="","",VLOOKUP(A25,CadProd!$A:$B,2,0)),"")</f>
        <v/>
      </c>
      <c r="C25" t="str">
        <f>IFERROR(IF(A25="","",VLOOKUP(A25,CadProd!$A:$C,3,0)),"")</f>
        <v/>
      </c>
      <c r="I25" s="1" t="str">
        <f>IFERROR(IF(A25="","",E25*#REF!),"")</f>
        <v/>
      </c>
    </row>
    <row r="26" spans="2:9" x14ac:dyDescent="0.3">
      <c r="B26" t="str">
        <f>IFERROR(IF(A26="","",VLOOKUP(A26,CadProd!$A:$B,2,0)),"")</f>
        <v/>
      </c>
      <c r="C26" t="str">
        <f>IFERROR(IF(A26="","",VLOOKUP(A26,CadProd!$A:$C,3,0)),"")</f>
        <v/>
      </c>
      <c r="I26" s="1" t="str">
        <f>IFERROR(IF(A26="","",E26*#REF!),"")</f>
        <v/>
      </c>
    </row>
    <row r="27" spans="2:9" x14ac:dyDescent="0.3">
      <c r="B27" t="str">
        <f>IFERROR(IF(A27="","",VLOOKUP(A27,CadProd!$A:$B,2,0)),"")</f>
        <v/>
      </c>
      <c r="C27" t="str">
        <f>IFERROR(IF(A27="","",VLOOKUP(A27,CadProd!$A:$C,3,0)),"")</f>
        <v/>
      </c>
      <c r="I27" s="1" t="str">
        <f>IFERROR(IF(A27="","",E27*#REF!),"")</f>
        <v/>
      </c>
    </row>
    <row r="28" spans="2:9" x14ac:dyDescent="0.3">
      <c r="B28" t="str">
        <f>IFERROR(IF(A28="","",VLOOKUP(A28,CadProd!$A:$B,2,0)),"")</f>
        <v/>
      </c>
      <c r="C28" t="str">
        <f>IFERROR(IF(A28="","",VLOOKUP(A28,CadProd!$A:$C,3,0)),"")</f>
        <v/>
      </c>
      <c r="I28" s="1" t="str">
        <f>IFERROR(IF(A28="","",E28*#REF!),"")</f>
        <v/>
      </c>
    </row>
    <row r="29" spans="2:9" x14ac:dyDescent="0.3">
      <c r="B29" t="str">
        <f>IFERROR(IF(A29="","",VLOOKUP(A29,CadProd!$A:$B,2,0)),"")</f>
        <v/>
      </c>
      <c r="C29" t="str">
        <f>IFERROR(IF(A29="","",VLOOKUP(A29,CadProd!$A:$C,3,0)),"")</f>
        <v/>
      </c>
      <c r="I29" s="1" t="str">
        <f>IFERROR(IF(A29="","",E29*#REF!),"")</f>
        <v/>
      </c>
    </row>
    <row r="30" spans="2:9" x14ac:dyDescent="0.3">
      <c r="B30" t="str">
        <f>IFERROR(IF(A30="","",VLOOKUP(A30,CadProd!$A:$B,2,0)),"")</f>
        <v/>
      </c>
      <c r="C30" t="str">
        <f>IFERROR(IF(A30="","",VLOOKUP(A30,CadProd!$A:$C,3,0)),"")</f>
        <v/>
      </c>
      <c r="I30" s="1" t="str">
        <f>IFERROR(IF(A30="","",E30*#REF!),"")</f>
        <v/>
      </c>
    </row>
    <row r="31" spans="2:9" x14ac:dyDescent="0.3">
      <c r="B31" t="str">
        <f>IFERROR(IF(A31="","",VLOOKUP(A31,CadProd!$A:$B,2,0)),"")</f>
        <v/>
      </c>
      <c r="C31" t="str">
        <f>IFERROR(IF(A31="","",VLOOKUP(A31,CadProd!$A:$C,3,0)),"")</f>
        <v/>
      </c>
      <c r="I31" s="1" t="str">
        <f>IFERROR(IF(A31="","",E31*#REF!),"")</f>
        <v/>
      </c>
    </row>
    <row r="32" spans="2:9" x14ac:dyDescent="0.3">
      <c r="B32" t="str">
        <f>IFERROR(IF(A32="","",VLOOKUP(A32,CadProd!$A:$B,2,0)),"")</f>
        <v/>
      </c>
      <c r="C32" t="str">
        <f>IFERROR(IF(A32="","",VLOOKUP(A32,CadProd!$A:$C,3,0)),"")</f>
        <v/>
      </c>
      <c r="I32" s="1" t="str">
        <f>IFERROR(IF(A32="","",E32*#REF!),"")</f>
        <v/>
      </c>
    </row>
    <row r="33" spans="2:9" x14ac:dyDescent="0.3">
      <c r="B33" t="str">
        <f>IFERROR(IF(A33="","",VLOOKUP(A33,CadProd!$A:$B,2,0)),"")</f>
        <v/>
      </c>
      <c r="C33" t="str">
        <f>IFERROR(IF(A33="","",VLOOKUP(A33,CadProd!$A:$C,3,0)),"")</f>
        <v/>
      </c>
      <c r="I33" s="1" t="str">
        <f>IFERROR(IF(A33="","",E33*#REF!),"")</f>
        <v/>
      </c>
    </row>
    <row r="34" spans="2:9" x14ac:dyDescent="0.3">
      <c r="B34" t="str">
        <f>IFERROR(IF(A34="","",VLOOKUP(A34,CadProd!$A:$B,2,0)),"")</f>
        <v/>
      </c>
      <c r="C34" t="str">
        <f>IFERROR(IF(A34="","",VLOOKUP(A34,CadProd!$A:$C,3,0)),"")</f>
        <v/>
      </c>
      <c r="I34" s="1" t="str">
        <f>IFERROR(IF(A34="","",E34*#REF!),"")</f>
        <v/>
      </c>
    </row>
    <row r="35" spans="2:9" x14ac:dyDescent="0.3">
      <c r="B35" t="str">
        <f>IFERROR(IF(A35="","",VLOOKUP(A35,CadProd!$A:$B,2,0)),"")</f>
        <v/>
      </c>
      <c r="C35" t="str">
        <f>IFERROR(IF(A35="","",VLOOKUP(A35,CadProd!$A:$C,3,0)),"")</f>
        <v/>
      </c>
      <c r="I35" s="1" t="str">
        <f>IFERROR(IF(A35="","",E35*#REF!),"")</f>
        <v/>
      </c>
    </row>
    <row r="36" spans="2:9" x14ac:dyDescent="0.3">
      <c r="B36" t="str">
        <f>IFERROR(IF(A36="","",VLOOKUP(A36,CadProd!$A:$B,2,0)),"")</f>
        <v/>
      </c>
      <c r="C36" t="str">
        <f>IFERROR(IF(A36="","",VLOOKUP(A36,CadProd!$A:$C,3,0)),"")</f>
        <v/>
      </c>
      <c r="I36" s="1" t="str">
        <f>IFERROR(IF(A36="","",E36*#REF!),"")</f>
        <v/>
      </c>
    </row>
    <row r="37" spans="2:9" x14ac:dyDescent="0.3">
      <c r="B37" t="str">
        <f>IFERROR(IF(A37="","",VLOOKUP(A37,CadProd!$A:$B,2,0)),"")</f>
        <v/>
      </c>
      <c r="C37" t="str">
        <f>IFERROR(IF(A37="","",VLOOKUP(A37,CadProd!$A:$C,3,0)),"")</f>
        <v/>
      </c>
      <c r="I37" s="1" t="str">
        <f>IFERROR(IF(A37="","",E37*#REF!),"")</f>
        <v/>
      </c>
    </row>
    <row r="38" spans="2:9" x14ac:dyDescent="0.3">
      <c r="B38" t="str">
        <f>IFERROR(IF(A38="","",VLOOKUP(A38,CadProd!$A:$B,2,0)),"")</f>
        <v/>
      </c>
      <c r="C38" t="str">
        <f>IFERROR(IF(A38="","",VLOOKUP(A38,CadProd!$A:$C,3,0)),"")</f>
        <v/>
      </c>
      <c r="I38" s="1" t="str">
        <f>IFERROR(IF(A38="","",E38*#REF!),"")</f>
        <v/>
      </c>
    </row>
    <row r="39" spans="2:9" x14ac:dyDescent="0.3">
      <c r="B39" t="str">
        <f>IFERROR(IF(A39="","",VLOOKUP(A39,CadProd!$A:$B,2,0)),"")</f>
        <v/>
      </c>
      <c r="C39" t="str">
        <f>IFERROR(IF(A39="","",VLOOKUP(A39,CadProd!$A:$C,3,0)),"")</f>
        <v/>
      </c>
      <c r="I39" s="1" t="str">
        <f>IFERROR(IF(A39="","",E39*#REF!),"")</f>
        <v/>
      </c>
    </row>
    <row r="40" spans="2:9" x14ac:dyDescent="0.3">
      <c r="B40" t="str">
        <f>IFERROR(IF(A40="","",VLOOKUP(A40,CadProd!$A:$B,2,0)),"")</f>
        <v/>
      </c>
      <c r="C40" t="str">
        <f>IFERROR(IF(A40="","",VLOOKUP(A40,CadProd!$A:$C,3,0)),"")</f>
        <v/>
      </c>
      <c r="I40" s="1" t="str">
        <f>IFERROR(IF(A40="","",E40*#REF!),"")</f>
        <v/>
      </c>
    </row>
    <row r="41" spans="2:9" x14ac:dyDescent="0.3">
      <c r="B41" t="str">
        <f>IFERROR(IF(A41="","",VLOOKUP(A41,CadProd!$A:$B,2,0)),"")</f>
        <v/>
      </c>
      <c r="C41" t="str">
        <f>IFERROR(IF(A41="","",VLOOKUP(A41,CadProd!$A:$C,3,0)),"")</f>
        <v/>
      </c>
      <c r="I41" s="1" t="str">
        <f>IFERROR(IF(A41="","",E41*#REF!),"")</f>
        <v/>
      </c>
    </row>
    <row r="42" spans="2:9" x14ac:dyDescent="0.3">
      <c r="B42" t="str">
        <f>IFERROR(IF(A42="","",VLOOKUP(A42,CadProd!$A:$B,2,0)),"")</f>
        <v/>
      </c>
      <c r="C42" t="str">
        <f>IFERROR(IF(A42="","",VLOOKUP(A42,CadProd!$A:$C,3,0)),"")</f>
        <v/>
      </c>
      <c r="I42" s="1" t="str">
        <f>IFERROR(IF(A42="","",E42*#REF!),"")</f>
        <v/>
      </c>
    </row>
    <row r="43" spans="2:9" x14ac:dyDescent="0.3">
      <c r="B43" t="str">
        <f>IFERROR(IF(A43="","",VLOOKUP(A43,CadProd!$A:$B,2,0)),"")</f>
        <v/>
      </c>
      <c r="C43" t="str">
        <f>IFERROR(IF(A43="","",VLOOKUP(A43,CadProd!$A:$C,3,0)),"")</f>
        <v/>
      </c>
      <c r="I43" s="1" t="str">
        <f>IFERROR(IF(A43="","",E43*#REF!),"")</f>
        <v/>
      </c>
    </row>
    <row r="44" spans="2:9" x14ac:dyDescent="0.3">
      <c r="B44" t="str">
        <f>IFERROR(IF(A44="","",VLOOKUP(A44,CadProd!$A:$B,2,0)),"")</f>
        <v/>
      </c>
      <c r="C44" t="str">
        <f>IFERROR(IF(A44="","",VLOOKUP(A44,CadProd!$A:$C,3,0)),"")</f>
        <v/>
      </c>
      <c r="I44" s="1" t="str">
        <f>IFERROR(IF(A44="","",E44*#REF!),"")</f>
        <v/>
      </c>
    </row>
    <row r="45" spans="2:9" x14ac:dyDescent="0.3">
      <c r="B45" t="str">
        <f>IFERROR(IF(A45="","",VLOOKUP(A45,CadProd!$A:$B,2,0)),"")</f>
        <v/>
      </c>
      <c r="C45" t="str">
        <f>IFERROR(IF(A45="","",VLOOKUP(A45,CadProd!$A:$C,3,0)),"")</f>
        <v/>
      </c>
      <c r="I45" s="1" t="str">
        <f>IFERROR(IF(A45="","",E45*#REF!),"")</f>
        <v/>
      </c>
    </row>
    <row r="46" spans="2:9" x14ac:dyDescent="0.3">
      <c r="B46" t="str">
        <f>IFERROR(IF(A46="","",VLOOKUP(A46,CadProd!$A:$B,2,0)),"")</f>
        <v/>
      </c>
      <c r="C46" t="str">
        <f>IFERROR(IF(A46="","",VLOOKUP(A46,CadProd!$A:$C,3,0)),"")</f>
        <v/>
      </c>
      <c r="I46" s="1" t="str">
        <f>IFERROR(IF(A46="","",E46*#REF!),"")</f>
        <v/>
      </c>
    </row>
    <row r="47" spans="2:9" x14ac:dyDescent="0.3">
      <c r="B47" t="str">
        <f>IFERROR(IF(A47="","",VLOOKUP(A47,CadProd!$A:$B,2,0)),"")</f>
        <v/>
      </c>
      <c r="C47" t="str">
        <f>IFERROR(IF(A47="","",VLOOKUP(A47,CadProd!$A:$C,3,0)),"")</f>
        <v/>
      </c>
      <c r="I47" s="1" t="str">
        <f>IFERROR(IF(A47="","",E47*#REF!),"")</f>
        <v/>
      </c>
    </row>
    <row r="48" spans="2:9" x14ac:dyDescent="0.3">
      <c r="B48" t="str">
        <f>IFERROR(IF(A48="","",VLOOKUP(A48,CadProd!$A:$B,2,0)),"")</f>
        <v/>
      </c>
      <c r="C48" t="str">
        <f>IFERROR(IF(A48="","",VLOOKUP(A48,CadProd!$A:$C,3,0)),"")</f>
        <v/>
      </c>
      <c r="I48" s="1" t="str">
        <f>IFERROR(IF(A48="","",E48*#REF!),"")</f>
        <v/>
      </c>
    </row>
    <row r="49" spans="2:9" x14ac:dyDescent="0.3">
      <c r="B49" t="str">
        <f>IFERROR(IF(A49="","",VLOOKUP(A49,CadProd!$A:$B,2,0)),"")</f>
        <v/>
      </c>
      <c r="C49" t="str">
        <f>IFERROR(IF(A49="","",VLOOKUP(A49,CadProd!$A:$C,3,0)),"")</f>
        <v/>
      </c>
      <c r="I49" s="1" t="str">
        <f>IFERROR(IF(A49="","",E49*#REF!),"")</f>
        <v/>
      </c>
    </row>
    <row r="50" spans="2:9" x14ac:dyDescent="0.3">
      <c r="B50" t="str">
        <f>IFERROR(IF(A50="","",VLOOKUP(A50,CadProd!$A:$B,2,0)),"")</f>
        <v/>
      </c>
      <c r="C50" t="str">
        <f>IFERROR(IF(A50="","",VLOOKUP(A50,CadProd!$A:$C,3,0)),"")</f>
        <v/>
      </c>
      <c r="I50" s="1" t="str">
        <f>IFERROR(IF(A50="","",E50*#REF!),"")</f>
        <v/>
      </c>
    </row>
    <row r="51" spans="2:9" x14ac:dyDescent="0.3">
      <c r="B51" t="str">
        <f>IFERROR(IF(A51="","",VLOOKUP(A51,CadProd!$A:$B,2,0)),"")</f>
        <v/>
      </c>
      <c r="C51" t="str">
        <f>IFERROR(IF(A51="","",VLOOKUP(A51,CadProd!$A:$C,3,0)),"")</f>
        <v/>
      </c>
      <c r="I51" s="1" t="str">
        <f>IFERROR(IF(A51="","",E51*#REF!),"")</f>
        <v/>
      </c>
    </row>
    <row r="52" spans="2:9" x14ac:dyDescent="0.3">
      <c r="B52" t="str">
        <f>IFERROR(IF(A52="","",VLOOKUP(A52,CadProd!$A:$B,2,0)),"")</f>
        <v/>
      </c>
      <c r="C52" t="str">
        <f>IFERROR(IF(A52="","",VLOOKUP(A52,CadProd!$A:$C,3,0)),"")</f>
        <v/>
      </c>
      <c r="I52" s="1" t="str">
        <f>IFERROR(IF(A52="","",E52*#REF!),"")</f>
        <v/>
      </c>
    </row>
    <row r="53" spans="2:9" x14ac:dyDescent="0.3">
      <c r="B53" t="str">
        <f>IFERROR(IF(A53="","",VLOOKUP(A53,CadProd!$A:$B,2,0)),"")</f>
        <v/>
      </c>
      <c r="C53" t="str">
        <f>IFERROR(IF(A53="","",VLOOKUP(A53,CadProd!$A:$C,3,0)),"")</f>
        <v/>
      </c>
      <c r="I53" s="1" t="str">
        <f>IFERROR(IF(A53="","",E53*#REF!),"")</f>
        <v/>
      </c>
    </row>
    <row r="54" spans="2:9" x14ac:dyDescent="0.3">
      <c r="B54" t="str">
        <f>IFERROR(IF(A54="","",VLOOKUP(A54,CadProd!$A:$B,2,0)),"")</f>
        <v/>
      </c>
      <c r="C54" t="str">
        <f>IFERROR(IF(A54="","",VLOOKUP(A54,CadProd!$A:$C,3,0)),"")</f>
        <v/>
      </c>
      <c r="I54" s="1" t="str">
        <f>IFERROR(IF(A54="","",E54*#REF!),"")</f>
        <v/>
      </c>
    </row>
    <row r="55" spans="2:9" x14ac:dyDescent="0.3">
      <c r="B55" t="str">
        <f>IFERROR(IF(A55="","",VLOOKUP(A55,CadProd!$A:$B,2,0)),"")</f>
        <v/>
      </c>
      <c r="C55" t="str">
        <f>IFERROR(IF(A55="","",VLOOKUP(A55,CadProd!$A:$C,3,0)),"")</f>
        <v/>
      </c>
      <c r="I55" s="1" t="str">
        <f>IFERROR(IF(A55="","",E55*#REF!),"")</f>
        <v/>
      </c>
    </row>
    <row r="56" spans="2:9" x14ac:dyDescent="0.3">
      <c r="B56" t="str">
        <f>IFERROR(IF(A56="","",VLOOKUP(A56,CadProd!$A:$B,2,0)),"")</f>
        <v/>
      </c>
      <c r="C56" t="str">
        <f>IFERROR(IF(A56="","",VLOOKUP(A56,CadProd!$A:$C,3,0)),"")</f>
        <v/>
      </c>
      <c r="I56" s="1" t="str">
        <f>IFERROR(IF(A56="","",E56*#REF!),"")</f>
        <v/>
      </c>
    </row>
    <row r="57" spans="2:9" x14ac:dyDescent="0.3">
      <c r="B57" t="str">
        <f>IFERROR(IF(A57="","",VLOOKUP(A57,CadProd!$A:$B,2,0)),"")</f>
        <v/>
      </c>
      <c r="C57" t="str">
        <f>IFERROR(IF(A57="","",VLOOKUP(A57,CadProd!$A:$C,3,0)),"")</f>
        <v/>
      </c>
      <c r="I57" s="1" t="str">
        <f>IFERROR(IF(A57="","",E57*#REF!),"")</f>
        <v/>
      </c>
    </row>
    <row r="58" spans="2:9" x14ac:dyDescent="0.3">
      <c r="B58" t="str">
        <f>IFERROR(IF(A58="","",VLOOKUP(A58,CadProd!$A:$B,2,0)),"")</f>
        <v/>
      </c>
      <c r="C58" t="str">
        <f>IFERROR(IF(A58="","",VLOOKUP(A58,CadProd!$A:$C,3,0)),"")</f>
        <v/>
      </c>
      <c r="I58" s="1" t="str">
        <f>IFERROR(IF(A58="","",E58*#REF!),"")</f>
        <v/>
      </c>
    </row>
    <row r="59" spans="2:9" x14ac:dyDescent="0.3">
      <c r="B59" t="str">
        <f>IFERROR(IF(A59="","",VLOOKUP(A59,CadProd!$A:$B,2,0)),"")</f>
        <v/>
      </c>
      <c r="C59" t="str">
        <f>IFERROR(IF(A59="","",VLOOKUP(A59,CadProd!$A:$C,3,0)),"")</f>
        <v/>
      </c>
      <c r="I59" s="1" t="str">
        <f>IFERROR(IF(A59="","",E59*#REF!),"")</f>
        <v/>
      </c>
    </row>
    <row r="60" spans="2:9" x14ac:dyDescent="0.3">
      <c r="B60" t="str">
        <f>IFERROR(IF(A60="","",VLOOKUP(A60,CadProd!$A:$B,2,0)),"")</f>
        <v/>
      </c>
      <c r="C60" t="str">
        <f>IFERROR(IF(A60="","",VLOOKUP(A60,CadProd!$A:$C,3,0)),"")</f>
        <v/>
      </c>
      <c r="I60" s="1" t="str">
        <f>IFERROR(IF(A60="","",E60*#REF!),"")</f>
        <v/>
      </c>
    </row>
    <row r="61" spans="2:9" x14ac:dyDescent="0.3">
      <c r="B61" t="str">
        <f>IFERROR(IF(A61="","",VLOOKUP(A61,CadProd!$A:$B,2,0)),"")</f>
        <v/>
      </c>
      <c r="C61" t="str">
        <f>IFERROR(IF(A61="","",VLOOKUP(A61,CadProd!$A:$C,3,0)),"")</f>
        <v/>
      </c>
      <c r="I61" s="1" t="str">
        <f>IFERROR(IF(A61="","",E61*#REF!),"")</f>
        <v/>
      </c>
    </row>
    <row r="62" spans="2:9" x14ac:dyDescent="0.3">
      <c r="B62" t="str">
        <f>IFERROR(IF(A62="","",VLOOKUP(A62,CadProd!$A:$B,2,0)),"")</f>
        <v/>
      </c>
      <c r="C62" t="str">
        <f>IFERROR(IF(A62="","",VLOOKUP(A62,CadProd!$A:$C,3,0)),"")</f>
        <v/>
      </c>
      <c r="I62" s="1" t="str">
        <f>IFERROR(IF(A62="","",E62*#REF!),"")</f>
        <v/>
      </c>
    </row>
    <row r="63" spans="2:9" x14ac:dyDescent="0.3">
      <c r="B63" t="str">
        <f>IFERROR(IF(A63="","",VLOOKUP(A63,CadProd!$A:$B,2,0)),"")</f>
        <v/>
      </c>
      <c r="C63" t="str">
        <f>IFERROR(IF(A63="","",VLOOKUP(A63,CadProd!$A:$C,3,0)),"")</f>
        <v/>
      </c>
      <c r="I63" s="1" t="str">
        <f>IFERROR(IF(A63="","",E63*#REF!),"")</f>
        <v/>
      </c>
    </row>
    <row r="64" spans="2:9" x14ac:dyDescent="0.3">
      <c r="B64" t="str">
        <f>IFERROR(IF(A64="","",VLOOKUP(A64,CadProd!$A:$B,2,0)),"")</f>
        <v/>
      </c>
      <c r="C64" t="str">
        <f>IFERROR(IF(A64="","",VLOOKUP(A64,CadProd!$A:$C,3,0)),"")</f>
        <v/>
      </c>
      <c r="I64" s="1" t="str">
        <f>IFERROR(IF(A64="","",E64*#REF!),"")</f>
        <v/>
      </c>
    </row>
    <row r="65" spans="2:9" x14ac:dyDescent="0.3">
      <c r="B65" t="str">
        <f>IFERROR(IF(A65="","",VLOOKUP(A65,CadProd!$A:$B,2,0)),"")</f>
        <v/>
      </c>
      <c r="C65" t="str">
        <f>IFERROR(IF(A65="","",VLOOKUP(A65,CadProd!$A:$C,3,0)),"")</f>
        <v/>
      </c>
      <c r="I65" s="1" t="str">
        <f>IFERROR(IF(A65="","",E65*#REF!),"")</f>
        <v/>
      </c>
    </row>
    <row r="66" spans="2:9" x14ac:dyDescent="0.3">
      <c r="B66" t="str">
        <f>IFERROR(IF(A66="","",VLOOKUP(A66,CadProd!$A:$B,2,0)),"")</f>
        <v/>
      </c>
      <c r="C66" t="str">
        <f>IFERROR(IF(A66="","",VLOOKUP(A66,CadProd!$A:$C,3,0)),"")</f>
        <v/>
      </c>
      <c r="I66" s="1" t="str">
        <f>IFERROR(IF(A66="","",E66*#REF!),"")</f>
        <v/>
      </c>
    </row>
    <row r="67" spans="2:9" x14ac:dyDescent="0.3">
      <c r="B67" t="str">
        <f>IFERROR(IF(A67="","",VLOOKUP(A67,CadProd!$A:$B,2,0)),"")</f>
        <v/>
      </c>
      <c r="C67" t="str">
        <f>IFERROR(IF(A67="","",VLOOKUP(A67,CadProd!$A:$C,3,0)),"")</f>
        <v/>
      </c>
      <c r="I67" s="1" t="str">
        <f>IFERROR(IF(A67="","",E67*#REF!),"")</f>
        <v/>
      </c>
    </row>
    <row r="68" spans="2:9" x14ac:dyDescent="0.3">
      <c r="B68" t="str">
        <f>IFERROR(IF(A68="","",VLOOKUP(A68,CadProd!$A:$B,2,0)),"")</f>
        <v/>
      </c>
      <c r="C68" t="str">
        <f>IFERROR(IF(A68="","",VLOOKUP(A68,CadProd!$A:$C,3,0)),"")</f>
        <v/>
      </c>
      <c r="I68" s="1" t="str">
        <f>IFERROR(IF(A68="","",E68*#REF!),"")</f>
        <v/>
      </c>
    </row>
    <row r="69" spans="2:9" x14ac:dyDescent="0.3">
      <c r="B69" t="str">
        <f>IFERROR(IF(A69="","",VLOOKUP(A69,CadProd!$A:$B,2,0)),"")</f>
        <v/>
      </c>
      <c r="C69" t="str">
        <f>IFERROR(IF(A69="","",VLOOKUP(A69,CadProd!$A:$C,3,0)),"")</f>
        <v/>
      </c>
      <c r="I69" s="1" t="str">
        <f>IFERROR(IF(A69="","",E69*#REF!),"")</f>
        <v/>
      </c>
    </row>
    <row r="70" spans="2:9" x14ac:dyDescent="0.3">
      <c r="B70" t="str">
        <f>IFERROR(IF(A70="","",VLOOKUP(A70,CadProd!$A:$B,2,0)),"")</f>
        <v/>
      </c>
      <c r="C70" t="str">
        <f>IFERROR(IF(A70="","",VLOOKUP(A70,CadProd!$A:$C,3,0)),"")</f>
        <v/>
      </c>
      <c r="I70" s="1" t="str">
        <f>IFERROR(IF(A70="","",E70*#REF!),"")</f>
        <v/>
      </c>
    </row>
    <row r="71" spans="2:9" x14ac:dyDescent="0.3">
      <c r="B71" t="str">
        <f>IFERROR(IF(A71="","",VLOOKUP(A71,CadProd!$A:$B,2,0)),"")</f>
        <v/>
      </c>
      <c r="C71" t="str">
        <f>IFERROR(IF(A71="","",VLOOKUP(A71,CadProd!$A:$C,3,0)),"")</f>
        <v/>
      </c>
      <c r="I71" s="1" t="str">
        <f>IFERROR(IF(A71="","",E71*#REF!),"")</f>
        <v/>
      </c>
    </row>
    <row r="72" spans="2:9" x14ac:dyDescent="0.3">
      <c r="B72" t="str">
        <f>IFERROR(IF(A72="","",VLOOKUP(A72,CadProd!$A:$B,2,0)),"")</f>
        <v/>
      </c>
      <c r="C72" t="str">
        <f>IFERROR(IF(A72="","",VLOOKUP(A72,CadProd!$A:$C,3,0)),"")</f>
        <v/>
      </c>
      <c r="I72" s="1" t="str">
        <f>IFERROR(IF(A72="","",E72*#REF!),"")</f>
        <v/>
      </c>
    </row>
    <row r="73" spans="2:9" x14ac:dyDescent="0.3">
      <c r="B73" t="str">
        <f>IFERROR(IF(A73="","",VLOOKUP(A73,CadProd!$A:$B,2,0)),"")</f>
        <v/>
      </c>
      <c r="C73" t="str">
        <f>IFERROR(IF(A73="","",VLOOKUP(A73,CadProd!$A:$C,3,0)),"")</f>
        <v/>
      </c>
      <c r="I73" s="1" t="str">
        <f>IFERROR(IF(A73="","",E73*#REF!),"")</f>
        <v/>
      </c>
    </row>
    <row r="74" spans="2:9" x14ac:dyDescent="0.3">
      <c r="B74" t="str">
        <f>IFERROR(IF(A74="","",VLOOKUP(A74,CadProd!$A:$B,2,0)),"")</f>
        <v/>
      </c>
      <c r="C74" t="str">
        <f>IFERROR(IF(A74="","",VLOOKUP(A74,CadProd!$A:$C,3,0)),"")</f>
        <v/>
      </c>
      <c r="I74" s="1" t="str">
        <f>IFERROR(IF(A74="","",E74*#REF!),"")</f>
        <v/>
      </c>
    </row>
    <row r="75" spans="2:9" x14ac:dyDescent="0.3">
      <c r="B75" t="str">
        <f>IFERROR(IF(A75="","",VLOOKUP(A75,CadProd!$A:$B,2,0)),"")</f>
        <v/>
      </c>
      <c r="C75" t="str">
        <f>IFERROR(IF(A75="","",VLOOKUP(A75,CadProd!$A:$C,3,0)),"")</f>
        <v/>
      </c>
      <c r="I75" s="1" t="str">
        <f>IFERROR(IF(A75="","",E75*#REF!),"")</f>
        <v/>
      </c>
    </row>
    <row r="76" spans="2:9" x14ac:dyDescent="0.3">
      <c r="B76" t="str">
        <f>IFERROR(IF(A76="","",VLOOKUP(A76,CadProd!$A:$B,2,0)),"")</f>
        <v/>
      </c>
      <c r="C76" t="str">
        <f>IFERROR(IF(A76="","",VLOOKUP(A76,CadProd!$A:$C,3,0)),"")</f>
        <v/>
      </c>
      <c r="I76" s="1" t="str">
        <f>IFERROR(IF(A76="","",E76*#REF!),"")</f>
        <v/>
      </c>
    </row>
    <row r="77" spans="2:9" x14ac:dyDescent="0.3">
      <c r="B77" t="str">
        <f>IFERROR(IF(A77="","",VLOOKUP(A77,CadProd!$A:$B,2,0)),"")</f>
        <v/>
      </c>
      <c r="C77" t="str">
        <f>IFERROR(IF(A77="","",VLOOKUP(A77,CadProd!$A:$C,3,0)),"")</f>
        <v/>
      </c>
      <c r="I77" s="1" t="str">
        <f>IFERROR(IF(A77="","",E77*#REF!),"")</f>
        <v/>
      </c>
    </row>
    <row r="78" spans="2:9" x14ac:dyDescent="0.3">
      <c r="B78" t="str">
        <f>IFERROR(IF(A78="","",VLOOKUP(A78,CadProd!$A:$B,2,0)),"")</f>
        <v/>
      </c>
      <c r="C78" t="str">
        <f>IFERROR(IF(A78="","",VLOOKUP(A78,CadProd!$A:$C,3,0)),"")</f>
        <v/>
      </c>
      <c r="I78" s="1" t="str">
        <f>IFERROR(IF(A78="","",E78*#REF!),"")</f>
        <v/>
      </c>
    </row>
    <row r="79" spans="2:9" x14ac:dyDescent="0.3">
      <c r="B79" t="str">
        <f>IFERROR(IF(A79="","",VLOOKUP(A79,CadProd!$A:$B,2,0)),"")</f>
        <v/>
      </c>
      <c r="C79" t="str">
        <f>IFERROR(IF(A79="","",VLOOKUP(A79,CadProd!$A:$C,3,0)),"")</f>
        <v/>
      </c>
      <c r="I79" s="1" t="str">
        <f>IFERROR(IF(A79="","",E79*#REF!),"")</f>
        <v/>
      </c>
    </row>
    <row r="80" spans="2:9" x14ac:dyDescent="0.3">
      <c r="B80" t="str">
        <f>IFERROR(IF(A80="","",VLOOKUP(A80,CadProd!$A:$B,2,0)),"")</f>
        <v/>
      </c>
      <c r="C80" t="str">
        <f>IFERROR(IF(A80="","",VLOOKUP(A80,CadProd!$A:$C,3,0)),"")</f>
        <v/>
      </c>
      <c r="I80" s="1" t="str">
        <f>IFERROR(IF(A80="","",E80*#REF!),"")</f>
        <v/>
      </c>
    </row>
    <row r="81" spans="2:9" x14ac:dyDescent="0.3">
      <c r="B81" t="str">
        <f>IFERROR(IF(A81="","",VLOOKUP(A81,CadProd!$A:$B,2,0)),"")</f>
        <v/>
      </c>
      <c r="C81" t="str">
        <f>IFERROR(IF(A81="","",VLOOKUP(A81,CadProd!$A:$C,3,0)),"")</f>
        <v/>
      </c>
      <c r="I81" s="1" t="str">
        <f>IFERROR(IF(A81="","",E81*#REF!),"")</f>
        <v/>
      </c>
    </row>
    <row r="82" spans="2:9" x14ac:dyDescent="0.3">
      <c r="B82" t="str">
        <f>IFERROR(IF(A82="","",VLOOKUP(A82,CadProd!$A:$B,2,0)),"")</f>
        <v/>
      </c>
      <c r="C82" t="str">
        <f>IFERROR(IF(A82="","",VLOOKUP(A82,CadProd!$A:$C,3,0)),"")</f>
        <v/>
      </c>
      <c r="I82" s="1" t="str">
        <f>IFERROR(IF(A82="","",E82*#REF!),"")</f>
        <v/>
      </c>
    </row>
    <row r="83" spans="2:9" x14ac:dyDescent="0.3">
      <c r="B83" t="str">
        <f>IFERROR(IF(A83="","",VLOOKUP(A83,CadProd!$A:$B,2,0)),"")</f>
        <v/>
      </c>
      <c r="C83" t="str">
        <f>IFERROR(IF(A83="","",VLOOKUP(A83,CadProd!$A:$C,3,0)),"")</f>
        <v/>
      </c>
      <c r="I83" s="1" t="str">
        <f>IFERROR(IF(A83="","",E83*#REF!),"")</f>
        <v/>
      </c>
    </row>
    <row r="84" spans="2:9" x14ac:dyDescent="0.3">
      <c r="B84" t="str">
        <f>IFERROR(IF(A84="","",VLOOKUP(A84,CadProd!$A:$B,2,0)),"")</f>
        <v/>
      </c>
      <c r="C84" t="str">
        <f>IFERROR(IF(A84="","",VLOOKUP(A84,CadProd!$A:$C,3,0)),"")</f>
        <v/>
      </c>
      <c r="I84" s="1" t="str">
        <f>IFERROR(IF(A84="","",E84*#REF!),"")</f>
        <v/>
      </c>
    </row>
    <row r="85" spans="2:9" x14ac:dyDescent="0.3">
      <c r="B85" t="str">
        <f>IFERROR(IF(A85="","",VLOOKUP(A85,CadProd!$A:$B,2,0)),"")</f>
        <v/>
      </c>
      <c r="C85" t="str">
        <f>IFERROR(IF(A85="","",VLOOKUP(A85,CadProd!$A:$C,3,0)),"")</f>
        <v/>
      </c>
      <c r="I85" s="1" t="str">
        <f>IFERROR(IF(A85="","",E85*#REF!),"")</f>
        <v/>
      </c>
    </row>
    <row r="86" spans="2:9" x14ac:dyDescent="0.3">
      <c r="B86" t="str">
        <f>IFERROR(IF(A86="","",VLOOKUP(A86,CadProd!$A:$B,2,0)),"")</f>
        <v/>
      </c>
      <c r="C86" t="str">
        <f>IFERROR(IF(A86="","",VLOOKUP(A86,CadProd!$A:$C,3,0)),"")</f>
        <v/>
      </c>
      <c r="I86" s="1" t="str">
        <f>IFERROR(IF(A86="","",E86*#REF!),"")</f>
        <v/>
      </c>
    </row>
    <row r="87" spans="2:9" x14ac:dyDescent="0.3">
      <c r="B87" t="str">
        <f>IFERROR(IF(A87="","",VLOOKUP(A87,CadProd!$A:$B,2,0)),"")</f>
        <v/>
      </c>
      <c r="C87" t="str">
        <f>IFERROR(IF(A87="","",VLOOKUP(A87,CadProd!$A:$C,3,0)),"")</f>
        <v/>
      </c>
      <c r="I87" s="1" t="str">
        <f>IFERROR(IF(A87="","",E87*#REF!),"")</f>
        <v/>
      </c>
    </row>
    <row r="88" spans="2:9" x14ac:dyDescent="0.3">
      <c r="B88" t="str">
        <f>IFERROR(IF(A88="","",VLOOKUP(A88,CadProd!$A:$B,2,0)),"")</f>
        <v/>
      </c>
      <c r="C88" t="str">
        <f>IFERROR(IF(A88="","",VLOOKUP(A88,CadProd!$A:$C,3,0)),"")</f>
        <v/>
      </c>
      <c r="I88" s="1" t="str">
        <f>IFERROR(IF(A88="","",E88*#REF!),"")</f>
        <v/>
      </c>
    </row>
    <row r="89" spans="2:9" x14ac:dyDescent="0.3">
      <c r="B89" t="str">
        <f>IFERROR(IF(A89="","",VLOOKUP(A89,CadProd!$A:$B,2,0)),"")</f>
        <v/>
      </c>
      <c r="C89" t="str">
        <f>IFERROR(IF(A89="","",VLOOKUP(A89,CadProd!$A:$C,3,0)),"")</f>
        <v/>
      </c>
      <c r="I89" s="1" t="str">
        <f>IFERROR(IF(A89="","",E89*#REF!),"")</f>
        <v/>
      </c>
    </row>
    <row r="90" spans="2:9" x14ac:dyDescent="0.3">
      <c r="B90" t="str">
        <f>IFERROR(IF(A90="","",VLOOKUP(A90,CadProd!$A:$B,2,0)),"")</f>
        <v/>
      </c>
      <c r="C90" t="str">
        <f>IFERROR(IF(A90="","",VLOOKUP(A90,CadProd!$A:$C,3,0)),"")</f>
        <v/>
      </c>
      <c r="I90" s="1" t="str">
        <f>IFERROR(IF(A90="","",E90*#REF!),"")</f>
        <v/>
      </c>
    </row>
    <row r="91" spans="2:9" x14ac:dyDescent="0.3">
      <c r="B91" t="str">
        <f>IFERROR(IF(A91="","",VLOOKUP(A91,CadProd!$A:$B,2,0)),"")</f>
        <v/>
      </c>
      <c r="C91" t="str">
        <f>IFERROR(IF(A91="","",VLOOKUP(A91,CadProd!$A:$C,3,0)),"")</f>
        <v/>
      </c>
      <c r="I91" s="1" t="str">
        <f>IFERROR(IF(A91="","",E91*#REF!),"")</f>
        <v/>
      </c>
    </row>
    <row r="92" spans="2:9" x14ac:dyDescent="0.3">
      <c r="B92" t="str">
        <f>IFERROR(IF(A92="","",VLOOKUP(A92,CadProd!$A:$B,2,0)),"")</f>
        <v/>
      </c>
      <c r="C92" t="str">
        <f>IFERROR(IF(A92="","",VLOOKUP(A92,CadProd!$A:$C,3,0)),"")</f>
        <v/>
      </c>
      <c r="I92" s="1" t="str">
        <f>IFERROR(IF(A92="","",E92*#REF!),"")</f>
        <v/>
      </c>
    </row>
    <row r="93" spans="2:9" x14ac:dyDescent="0.3">
      <c r="B93" t="str">
        <f>IFERROR(IF(A93="","",VLOOKUP(A93,CadProd!$A:$B,2,0)),"")</f>
        <v/>
      </c>
      <c r="C93" t="str">
        <f>IFERROR(IF(A93="","",VLOOKUP(A93,CadProd!$A:$C,3,0)),"")</f>
        <v/>
      </c>
      <c r="I93" s="1" t="str">
        <f>IFERROR(IF(A93="","",E93*#REF!),"")</f>
        <v/>
      </c>
    </row>
    <row r="94" spans="2:9" x14ac:dyDescent="0.3">
      <c r="B94" t="str">
        <f>IFERROR(IF(A94="","",VLOOKUP(A94,CadProd!$A:$B,2,0)),"")</f>
        <v/>
      </c>
      <c r="C94" t="str">
        <f>IFERROR(IF(A94="","",VLOOKUP(A94,CadProd!$A:$C,3,0)),"")</f>
        <v/>
      </c>
      <c r="I94" s="1" t="str">
        <f>IFERROR(IF(A94="","",E94*#REF!),"")</f>
        <v/>
      </c>
    </row>
    <row r="95" spans="2:9" x14ac:dyDescent="0.3">
      <c r="B95" t="str">
        <f>IFERROR(IF(A95="","",VLOOKUP(A95,CadProd!$A:$B,2,0)),"")</f>
        <v/>
      </c>
      <c r="C95" t="str">
        <f>IFERROR(IF(A95="","",VLOOKUP(A95,CadProd!$A:$C,3,0)),"")</f>
        <v/>
      </c>
      <c r="I95" s="1" t="str">
        <f>IFERROR(IF(A95="","",E95*#REF!),"")</f>
        <v/>
      </c>
    </row>
    <row r="96" spans="2:9" x14ac:dyDescent="0.3">
      <c r="B96" t="str">
        <f>IFERROR(IF(A96="","",VLOOKUP(A96,CadProd!$A:$B,2,0)),"")</f>
        <v/>
      </c>
      <c r="C96" t="str">
        <f>IFERROR(IF(A96="","",VLOOKUP(A96,CadProd!$A:$C,3,0)),"")</f>
        <v/>
      </c>
      <c r="I96" s="1" t="str">
        <f>IFERROR(IF(A96="","",E96*#REF!),"")</f>
        <v/>
      </c>
    </row>
    <row r="97" spans="2:9" x14ac:dyDescent="0.3">
      <c r="B97" t="str">
        <f>IFERROR(IF(A97="","",VLOOKUP(A97,CadProd!$A:$B,2,0)),"")</f>
        <v/>
      </c>
      <c r="C97" t="str">
        <f>IFERROR(IF(A97="","",VLOOKUP(A97,CadProd!$A:$C,3,0)),"")</f>
        <v/>
      </c>
      <c r="I97" s="1" t="str">
        <f>IFERROR(IF(A97="","",E97*#REF!),"")</f>
        <v/>
      </c>
    </row>
    <row r="98" spans="2:9" x14ac:dyDescent="0.3">
      <c r="B98" t="str">
        <f>IFERROR(IF(A98="","",VLOOKUP(A98,CadProd!$A:$B,2,0)),"")</f>
        <v/>
      </c>
      <c r="C98" t="str">
        <f>IFERROR(IF(A98="","",VLOOKUP(A98,CadProd!$A:$C,3,0)),"")</f>
        <v/>
      </c>
      <c r="I98" s="1" t="str">
        <f>IFERROR(IF(A98="","",E98*#REF!),"")</f>
        <v/>
      </c>
    </row>
    <row r="99" spans="2:9" x14ac:dyDescent="0.3">
      <c r="B99" t="str">
        <f>IFERROR(IF(A99="","",VLOOKUP(A99,CadProd!$A:$B,2,0)),"")</f>
        <v/>
      </c>
      <c r="C99" t="str">
        <f>IFERROR(IF(A99="","",VLOOKUP(A99,CadProd!$A:$C,3,0)),"")</f>
        <v/>
      </c>
      <c r="I99" s="1" t="str">
        <f>IFERROR(IF(A99="","",E99*#REF!),"")</f>
        <v/>
      </c>
    </row>
    <row r="100" spans="2:9" x14ac:dyDescent="0.3">
      <c r="B100" t="str">
        <f>IFERROR(IF(A100="","",VLOOKUP(A100,CadProd!$A:$B,2,0)),"")</f>
        <v/>
      </c>
      <c r="C100" t="str">
        <f>IFERROR(IF(A100="","",VLOOKUP(A100,CadProd!$A:$C,3,0)),"")</f>
        <v/>
      </c>
      <c r="I100" s="1" t="str">
        <f>IFERROR(IF(A100="","",E100*#REF!),"")</f>
        <v/>
      </c>
    </row>
    <row r="101" spans="2:9" x14ac:dyDescent="0.3">
      <c r="B101" t="str">
        <f>IFERROR(IF(A101="","",VLOOKUP(A101,CadProd!$A:$B,2,0)),"")</f>
        <v/>
      </c>
      <c r="C101" t="str">
        <f>IFERROR(IF(A101="","",VLOOKUP(A101,CadProd!$A:$C,3,0)),"")</f>
        <v/>
      </c>
      <c r="I101" s="1" t="str">
        <f>IFERROR(IF(A101="","",E101*#REF!),"")</f>
        <v/>
      </c>
    </row>
    <row r="102" spans="2:9" x14ac:dyDescent="0.3">
      <c r="B102" t="str">
        <f>IFERROR(IF(A102="","",VLOOKUP(A102,CadProd!$A:$B,2,0)),"")</f>
        <v/>
      </c>
      <c r="C102" t="str">
        <f>IFERROR(IF(A102="","",VLOOKUP(A102,CadProd!$A:$C,3,0)),"")</f>
        <v/>
      </c>
      <c r="I102" s="1" t="str">
        <f>IFERROR(IF(A102="","",E102*#REF!),"")</f>
        <v/>
      </c>
    </row>
    <row r="103" spans="2:9" x14ac:dyDescent="0.3">
      <c r="B103" t="str">
        <f>IFERROR(IF(A103="","",VLOOKUP(A103,CadProd!$A:$B,2,0)),"")</f>
        <v/>
      </c>
      <c r="C103" t="str">
        <f>IFERROR(IF(A103="","",VLOOKUP(A103,CadProd!$A:$C,3,0)),"")</f>
        <v/>
      </c>
      <c r="I103" s="1" t="str">
        <f>IFERROR(IF(A103="","",E103*#REF!),"")</f>
        <v/>
      </c>
    </row>
    <row r="104" spans="2:9" x14ac:dyDescent="0.3">
      <c r="B104" t="str">
        <f>IFERROR(IF(A104="","",VLOOKUP(A104,CadProd!$A:$B,2,0)),"")</f>
        <v/>
      </c>
      <c r="C104" t="str">
        <f>IFERROR(IF(A104="","",VLOOKUP(A104,CadProd!$A:$C,3,0)),"")</f>
        <v/>
      </c>
      <c r="I104" s="1" t="str">
        <f>IFERROR(IF(A104="","",E104*#REF!),"")</f>
        <v/>
      </c>
    </row>
    <row r="105" spans="2:9" x14ac:dyDescent="0.3">
      <c r="B105" t="str">
        <f>IFERROR(IF(A105="","",VLOOKUP(A105,CadProd!$A:$B,2,0)),"")</f>
        <v/>
      </c>
      <c r="C105" t="str">
        <f>IFERROR(IF(A105="","",VLOOKUP(A105,CadProd!$A:$C,3,0)),"")</f>
        <v/>
      </c>
      <c r="I105" s="1" t="str">
        <f>IFERROR(IF(A105="","",E105*#REF!),"")</f>
        <v/>
      </c>
    </row>
    <row r="106" spans="2:9" x14ac:dyDescent="0.3">
      <c r="B106" t="str">
        <f>IFERROR(IF(A106="","",VLOOKUP(A106,CadProd!$A:$B,2,0)),"")</f>
        <v/>
      </c>
      <c r="C106" t="str">
        <f>IFERROR(IF(A106="","",VLOOKUP(A106,CadProd!$A:$C,3,0)),"")</f>
        <v/>
      </c>
      <c r="I106" s="1" t="str">
        <f>IFERROR(IF(A106="","",E106*#REF!),"")</f>
        <v/>
      </c>
    </row>
    <row r="107" spans="2:9" x14ac:dyDescent="0.3">
      <c r="B107" t="str">
        <f>IFERROR(IF(A107="","",VLOOKUP(A107,CadProd!$A:$B,2,0)),"")</f>
        <v/>
      </c>
      <c r="C107" t="str">
        <f>IFERROR(IF(A107="","",VLOOKUP(A107,CadProd!$A:$C,3,0)),"")</f>
        <v/>
      </c>
      <c r="I107" s="1" t="str">
        <f>IFERROR(IF(A107="","",E107*#REF!),"")</f>
        <v/>
      </c>
    </row>
    <row r="108" spans="2:9" x14ac:dyDescent="0.3">
      <c r="B108" t="str">
        <f>IFERROR(IF(A108="","",VLOOKUP(A108,CadProd!$A:$B,2,0)),"")</f>
        <v/>
      </c>
      <c r="C108" t="str">
        <f>IFERROR(IF(A108="","",VLOOKUP(A108,CadProd!$A:$C,3,0)),"")</f>
        <v/>
      </c>
      <c r="I108" s="1" t="str">
        <f>IFERROR(IF(A108="","",E108*#REF!),"")</f>
        <v/>
      </c>
    </row>
    <row r="109" spans="2:9" x14ac:dyDescent="0.3">
      <c r="B109" t="str">
        <f>IFERROR(IF(A109="","",VLOOKUP(A109,CadProd!$A:$B,2,0)),"")</f>
        <v/>
      </c>
      <c r="C109" t="str">
        <f>IFERROR(IF(A109="","",VLOOKUP(A109,CadProd!$A:$C,3,0)),"")</f>
        <v/>
      </c>
      <c r="I109" s="1" t="str">
        <f>IFERROR(IF(A109="","",E109*#REF!),"")</f>
        <v/>
      </c>
    </row>
    <row r="110" spans="2:9" x14ac:dyDescent="0.3">
      <c r="B110" t="str">
        <f>IFERROR(IF(A110="","",VLOOKUP(A110,CadProd!$A:$B,2,0)),"")</f>
        <v/>
      </c>
      <c r="C110" t="str">
        <f>IFERROR(IF(A110="","",VLOOKUP(A110,CadProd!$A:$C,3,0)),"")</f>
        <v/>
      </c>
      <c r="I110" s="1" t="str">
        <f>IFERROR(IF(A110="","",E110*#REF!),"")</f>
        <v/>
      </c>
    </row>
    <row r="111" spans="2:9" x14ac:dyDescent="0.3">
      <c r="B111" t="str">
        <f>IFERROR(IF(A111="","",VLOOKUP(A111,CadProd!$A:$B,2,0)),"")</f>
        <v/>
      </c>
      <c r="C111" t="str">
        <f>IFERROR(IF(A111="","",VLOOKUP(A111,CadProd!$A:$C,3,0)),"")</f>
        <v/>
      </c>
      <c r="I111" s="1" t="str">
        <f>IFERROR(IF(A111="","",E111*#REF!),"")</f>
        <v/>
      </c>
    </row>
    <row r="112" spans="2:9" x14ac:dyDescent="0.3">
      <c r="B112" t="str">
        <f>IFERROR(IF(A112="","",VLOOKUP(A112,CadProd!$A:$B,2,0)),"")</f>
        <v/>
      </c>
      <c r="C112" t="str">
        <f>IFERROR(IF(A112="","",VLOOKUP(A112,CadProd!$A:$C,3,0)),"")</f>
        <v/>
      </c>
      <c r="I112" s="1" t="str">
        <f>IFERROR(IF(A112="","",E112*#REF!),"")</f>
        <v/>
      </c>
    </row>
    <row r="113" spans="2:9" x14ac:dyDescent="0.3">
      <c r="B113" t="str">
        <f>IFERROR(IF(A113="","",VLOOKUP(A113,CadProd!$A:$B,2,0)),"")</f>
        <v/>
      </c>
      <c r="C113" t="str">
        <f>IFERROR(IF(A113="","",VLOOKUP(A113,CadProd!$A:$C,3,0)),"")</f>
        <v/>
      </c>
      <c r="I113" s="1" t="str">
        <f>IFERROR(IF(A113="","",E113*#REF!),"")</f>
        <v/>
      </c>
    </row>
    <row r="114" spans="2:9" x14ac:dyDescent="0.3">
      <c r="B114" t="str">
        <f>IFERROR(IF(A114="","",VLOOKUP(A114,CadProd!$A:$B,2,0)),"")</f>
        <v/>
      </c>
      <c r="C114" t="str">
        <f>IFERROR(IF(A114="","",VLOOKUP(A114,CadProd!$A:$C,3,0)),"")</f>
        <v/>
      </c>
      <c r="I114" s="1" t="str">
        <f>IFERROR(IF(A114="","",E114*#REF!),"")</f>
        <v/>
      </c>
    </row>
    <row r="115" spans="2:9" x14ac:dyDescent="0.3">
      <c r="B115" t="str">
        <f>IFERROR(IF(A115="","",VLOOKUP(A115,CadProd!$A:$B,2,0)),"")</f>
        <v/>
      </c>
      <c r="C115" t="str">
        <f>IFERROR(IF(A115="","",VLOOKUP(A115,CadProd!$A:$C,3,0)),"")</f>
        <v/>
      </c>
      <c r="I115" s="1" t="str">
        <f>IFERROR(IF(A115="","",E115*#REF!),"")</f>
        <v/>
      </c>
    </row>
    <row r="116" spans="2:9" x14ac:dyDescent="0.3">
      <c r="B116" t="str">
        <f>IFERROR(IF(A116="","",VLOOKUP(A116,CadProd!$A:$B,2,0)),"")</f>
        <v/>
      </c>
      <c r="C116" t="str">
        <f>IFERROR(IF(A116="","",VLOOKUP(A116,CadProd!$A:$C,3,0)),"")</f>
        <v/>
      </c>
      <c r="I116" s="1" t="str">
        <f>IFERROR(IF(A116="","",E116*#REF!),"")</f>
        <v/>
      </c>
    </row>
    <row r="117" spans="2:9" x14ac:dyDescent="0.3">
      <c r="B117" t="str">
        <f>IFERROR(IF(A117="","",VLOOKUP(A117,CadProd!$A:$B,2,0)),"")</f>
        <v/>
      </c>
      <c r="C117" t="str">
        <f>IFERROR(IF(A117="","",VLOOKUP(A117,CadProd!$A:$C,3,0)),"")</f>
        <v/>
      </c>
      <c r="I117" s="1" t="str">
        <f>IFERROR(IF(A117="","",E117*#REF!),"")</f>
        <v/>
      </c>
    </row>
    <row r="118" spans="2:9" x14ac:dyDescent="0.3">
      <c r="B118" t="str">
        <f>IFERROR(IF(A118="","",VLOOKUP(A118,CadProd!$A:$B,2,0)),"")</f>
        <v/>
      </c>
      <c r="C118" t="str">
        <f>IFERROR(IF(A118="","",VLOOKUP(A118,CadProd!$A:$C,3,0)),"")</f>
        <v/>
      </c>
      <c r="I118" s="1" t="str">
        <f>IFERROR(IF(A118="","",E118*#REF!),"")</f>
        <v/>
      </c>
    </row>
    <row r="119" spans="2:9" x14ac:dyDescent="0.3">
      <c r="B119" t="str">
        <f>IFERROR(IF(A119="","",VLOOKUP(A119,CadProd!$A:$B,2,0)),"")</f>
        <v/>
      </c>
      <c r="C119" t="str">
        <f>IFERROR(IF(A119="","",VLOOKUP(A119,CadProd!$A:$C,3,0)),"")</f>
        <v/>
      </c>
      <c r="I119" s="1" t="str">
        <f>IFERROR(IF(A119="","",E119*#REF!),"")</f>
        <v/>
      </c>
    </row>
    <row r="120" spans="2:9" x14ac:dyDescent="0.3">
      <c r="B120" t="str">
        <f>IFERROR(IF(A120="","",VLOOKUP(A120,CadProd!$A:$B,2,0)),"")</f>
        <v/>
      </c>
      <c r="C120" t="str">
        <f>IFERROR(IF(A120="","",VLOOKUP(A120,CadProd!$A:$C,3,0)),"")</f>
        <v/>
      </c>
      <c r="I120" s="1" t="str">
        <f>IFERROR(IF(A120="","",E120*#REF!),"")</f>
        <v/>
      </c>
    </row>
    <row r="121" spans="2:9" x14ac:dyDescent="0.3">
      <c r="B121" t="str">
        <f>IFERROR(IF(A121="","",VLOOKUP(A121,CadProd!$A:$B,2,0)),"")</f>
        <v/>
      </c>
      <c r="C121" t="str">
        <f>IFERROR(IF(A121="","",VLOOKUP(A121,CadProd!$A:$C,3,0)),"")</f>
        <v/>
      </c>
      <c r="I121" s="1" t="str">
        <f>IFERROR(IF(A121="","",E121*#REF!),"")</f>
        <v/>
      </c>
    </row>
    <row r="122" spans="2:9" x14ac:dyDescent="0.3">
      <c r="B122" t="str">
        <f>IFERROR(IF(A122="","",VLOOKUP(A122,CadProd!$A:$B,2,0)),"")</f>
        <v/>
      </c>
      <c r="C122" t="str">
        <f>IFERROR(IF(A122="","",VLOOKUP(A122,CadProd!$A:$C,3,0)),"")</f>
        <v/>
      </c>
      <c r="I122" s="1" t="str">
        <f>IFERROR(IF(A122="","",E122*#REF!),"")</f>
        <v/>
      </c>
    </row>
    <row r="123" spans="2:9" x14ac:dyDescent="0.3">
      <c r="B123" t="str">
        <f>IFERROR(IF(A123="","",VLOOKUP(A123,CadProd!$A:$B,2,0)),"")</f>
        <v/>
      </c>
      <c r="C123" t="str">
        <f>IFERROR(IF(A123="","",VLOOKUP(A123,CadProd!$A:$C,3,0)),"")</f>
        <v/>
      </c>
      <c r="I123" s="1" t="str">
        <f>IFERROR(IF(A123="","",E123*#REF!),"")</f>
        <v/>
      </c>
    </row>
    <row r="124" spans="2:9" x14ac:dyDescent="0.3">
      <c r="B124" t="str">
        <f>IFERROR(IF(A124="","",VLOOKUP(A124,CadProd!$A:$B,2,0)),"")</f>
        <v/>
      </c>
      <c r="C124" t="str">
        <f>IFERROR(IF(A124="","",VLOOKUP(A124,CadProd!$A:$C,3,0)),"")</f>
        <v/>
      </c>
      <c r="I124" s="1" t="str">
        <f>IFERROR(IF(A124="","",E124*#REF!),"")</f>
        <v/>
      </c>
    </row>
    <row r="125" spans="2:9" x14ac:dyDescent="0.3">
      <c r="B125" t="str">
        <f>IFERROR(IF(A125="","",VLOOKUP(A125,CadProd!$A:$B,2,0)),"")</f>
        <v/>
      </c>
      <c r="C125" t="str">
        <f>IFERROR(IF(A125="","",VLOOKUP(A125,CadProd!$A:$C,3,0)),"")</f>
        <v/>
      </c>
      <c r="I125" s="1" t="str">
        <f>IFERROR(IF(A125="","",E125*#REF!),"")</f>
        <v/>
      </c>
    </row>
    <row r="126" spans="2:9" x14ac:dyDescent="0.3">
      <c r="B126" t="str">
        <f>IFERROR(IF(A126="","",VLOOKUP(A126,CadProd!$A:$B,2,0)),"")</f>
        <v/>
      </c>
      <c r="C126" t="str">
        <f>IFERROR(IF(A126="","",VLOOKUP(A126,CadProd!$A:$C,3,0)),"")</f>
        <v/>
      </c>
      <c r="I126" s="1" t="str">
        <f>IFERROR(IF(A126="","",E126*#REF!),"")</f>
        <v/>
      </c>
    </row>
    <row r="127" spans="2:9" x14ac:dyDescent="0.3">
      <c r="B127" t="str">
        <f>IFERROR(IF(A127="","",VLOOKUP(A127,CadProd!$A:$B,2,0)),"")</f>
        <v/>
      </c>
      <c r="C127" t="str">
        <f>IFERROR(IF(A127="","",VLOOKUP(A127,CadProd!$A:$C,3,0)),"")</f>
        <v/>
      </c>
      <c r="I127" s="1" t="str">
        <f>IFERROR(IF(A127="","",E127*#REF!),"")</f>
        <v/>
      </c>
    </row>
    <row r="128" spans="2:9" x14ac:dyDescent="0.3">
      <c r="B128" t="str">
        <f>IFERROR(IF(A128="","",VLOOKUP(A128,CadProd!$A:$B,2,0)),"")</f>
        <v/>
      </c>
      <c r="C128" t="str">
        <f>IFERROR(IF(A128="","",VLOOKUP(A128,CadProd!$A:$C,3,0)),"")</f>
        <v/>
      </c>
      <c r="I128" s="1" t="str">
        <f>IFERROR(IF(A128="","",E128*#REF!),"")</f>
        <v/>
      </c>
    </row>
    <row r="129" spans="2:9" x14ac:dyDescent="0.3">
      <c r="B129" t="str">
        <f>IFERROR(IF(A129="","",VLOOKUP(A129,CadProd!$A:$B,2,0)),"")</f>
        <v/>
      </c>
      <c r="C129" t="str">
        <f>IFERROR(IF(A129="","",VLOOKUP(A129,CadProd!$A:$C,3,0)),"")</f>
        <v/>
      </c>
      <c r="I129" s="1" t="str">
        <f>IFERROR(IF(A129="","",E129*#REF!),"")</f>
        <v/>
      </c>
    </row>
    <row r="130" spans="2:9" x14ac:dyDescent="0.3">
      <c r="B130" t="str">
        <f>IFERROR(IF(A130="","",VLOOKUP(A130,CadProd!$A:$B,2,0)),"")</f>
        <v/>
      </c>
      <c r="C130" t="str">
        <f>IFERROR(IF(A130="","",VLOOKUP(A130,CadProd!$A:$C,3,0)),"")</f>
        <v/>
      </c>
      <c r="I130" s="1" t="str">
        <f>IFERROR(IF(A130="","",E130*#REF!),"")</f>
        <v/>
      </c>
    </row>
    <row r="131" spans="2:9" x14ac:dyDescent="0.3">
      <c r="B131" t="str">
        <f>IFERROR(IF(A131="","",VLOOKUP(A131,CadProd!$A:$B,2,0)),"")</f>
        <v/>
      </c>
      <c r="C131" t="str">
        <f>IFERROR(IF(A131="","",VLOOKUP(A131,CadProd!$A:$C,3,0)),"")</f>
        <v/>
      </c>
      <c r="I131" s="1" t="str">
        <f>IFERROR(IF(A131="","",E131*#REF!),"")</f>
        <v/>
      </c>
    </row>
    <row r="132" spans="2:9" x14ac:dyDescent="0.3">
      <c r="B132" t="str">
        <f>IFERROR(IF(A132="","",VLOOKUP(A132,CadProd!$A:$B,2,0)),"")</f>
        <v/>
      </c>
      <c r="C132" t="str">
        <f>IFERROR(IF(A132="","",VLOOKUP(A132,CadProd!$A:$C,3,0)),"")</f>
        <v/>
      </c>
      <c r="I132" s="1" t="str">
        <f>IFERROR(IF(A132="","",E132*#REF!),"")</f>
        <v/>
      </c>
    </row>
    <row r="133" spans="2:9" x14ac:dyDescent="0.3">
      <c r="B133" t="str">
        <f>IFERROR(IF(A133="","",VLOOKUP(A133,CadProd!$A:$B,2,0)),"")</f>
        <v/>
      </c>
      <c r="C133" t="str">
        <f>IFERROR(IF(A133="","",VLOOKUP(A133,CadProd!$A:$C,3,0)),"")</f>
        <v/>
      </c>
      <c r="I133" s="1" t="str">
        <f>IFERROR(IF(A133="","",E133*#REF!),"")</f>
        <v/>
      </c>
    </row>
    <row r="134" spans="2:9" x14ac:dyDescent="0.3">
      <c r="B134" t="str">
        <f>IFERROR(IF(A134="","",VLOOKUP(A134,CadProd!$A:$B,2,0)),"")</f>
        <v/>
      </c>
      <c r="C134" t="str">
        <f>IFERROR(IF(A134="","",VLOOKUP(A134,CadProd!$A:$C,3,0)),"")</f>
        <v/>
      </c>
      <c r="I134" s="1" t="str">
        <f>IFERROR(IF(A134="","",E134*#REF!),"")</f>
        <v/>
      </c>
    </row>
    <row r="135" spans="2:9" x14ac:dyDescent="0.3">
      <c r="B135" t="str">
        <f>IFERROR(IF(A135="","",VLOOKUP(A135,CadProd!$A:$B,2,0)),"")</f>
        <v/>
      </c>
      <c r="C135" t="str">
        <f>IFERROR(IF(A135="","",VLOOKUP(A135,CadProd!$A:$C,3,0)),"")</f>
        <v/>
      </c>
      <c r="I135" s="1" t="str">
        <f>IFERROR(IF(A135="","",E135*#REF!),"")</f>
        <v/>
      </c>
    </row>
    <row r="136" spans="2:9" x14ac:dyDescent="0.3">
      <c r="B136" t="str">
        <f>IFERROR(IF(A136="","",VLOOKUP(A136,CadProd!$A:$B,2,0)),"")</f>
        <v/>
      </c>
      <c r="C136" t="str">
        <f>IFERROR(IF(A136="","",VLOOKUP(A136,CadProd!$A:$C,3,0)),"")</f>
        <v/>
      </c>
      <c r="I136" s="1" t="str">
        <f>IFERROR(IF(A136="","",E136*#REF!),"")</f>
        <v/>
      </c>
    </row>
    <row r="137" spans="2:9" x14ac:dyDescent="0.3">
      <c r="B137" t="str">
        <f>IFERROR(IF(A137="","",VLOOKUP(A137,CadProd!$A:$B,2,0)),"")</f>
        <v/>
      </c>
      <c r="C137" t="str">
        <f>IFERROR(IF(A137="","",VLOOKUP(A137,CadProd!$A:$C,3,0)),"")</f>
        <v/>
      </c>
      <c r="I137" s="1" t="str">
        <f>IFERROR(IF(A137="","",E137*#REF!),"")</f>
        <v/>
      </c>
    </row>
    <row r="138" spans="2:9" x14ac:dyDescent="0.3">
      <c r="B138" t="str">
        <f>IFERROR(IF(A138="","",VLOOKUP(A138,CadProd!$A:$B,2,0)),"")</f>
        <v/>
      </c>
      <c r="C138" t="str">
        <f>IFERROR(IF(A138="","",VLOOKUP(A138,CadProd!$A:$C,3,0)),"")</f>
        <v/>
      </c>
      <c r="I138" s="1" t="str">
        <f>IFERROR(IF(A138="","",E138*#REF!),"")</f>
        <v/>
      </c>
    </row>
    <row r="139" spans="2:9" x14ac:dyDescent="0.3">
      <c r="B139" t="str">
        <f>IFERROR(IF(A139="","",VLOOKUP(A139,CadProd!$A:$B,2,0)),"")</f>
        <v/>
      </c>
      <c r="C139" t="str">
        <f>IFERROR(IF(A139="","",VLOOKUP(A139,CadProd!$A:$C,3,0)),"")</f>
        <v/>
      </c>
      <c r="I139" s="1" t="str">
        <f>IFERROR(IF(A139="","",E139*#REF!),"")</f>
        <v/>
      </c>
    </row>
    <row r="140" spans="2:9" x14ac:dyDescent="0.3">
      <c r="B140" t="str">
        <f>IFERROR(IF(A140="","",VLOOKUP(A140,CadProd!$A:$B,2,0)),"")</f>
        <v/>
      </c>
      <c r="C140" t="str">
        <f>IFERROR(IF(A140="","",VLOOKUP(A140,CadProd!$A:$C,3,0)),"")</f>
        <v/>
      </c>
      <c r="I140" s="1" t="str">
        <f>IFERROR(IF(A140="","",E140*#REF!),"")</f>
        <v/>
      </c>
    </row>
    <row r="141" spans="2:9" x14ac:dyDescent="0.3">
      <c r="B141" t="str">
        <f>IFERROR(IF(A141="","",VLOOKUP(A141,CadProd!$A:$B,2,0)),"")</f>
        <v/>
      </c>
      <c r="C141" t="str">
        <f>IFERROR(IF(A141="","",VLOOKUP(A141,CadProd!$A:$C,3,0)),"")</f>
        <v/>
      </c>
      <c r="I141" s="1" t="str">
        <f>IFERROR(IF(A141="","",E141*#REF!),"")</f>
        <v/>
      </c>
    </row>
    <row r="142" spans="2:9" x14ac:dyDescent="0.3">
      <c r="B142" t="str">
        <f>IFERROR(IF(A142="","",VLOOKUP(A142,CadProd!$A:$B,2,0)),"")</f>
        <v/>
      </c>
      <c r="C142" t="str">
        <f>IFERROR(IF(A142="","",VLOOKUP(A142,CadProd!$A:$C,3,0)),"")</f>
        <v/>
      </c>
      <c r="I142" s="1" t="str">
        <f>IFERROR(IF(A142="","",E142*#REF!),"")</f>
        <v/>
      </c>
    </row>
    <row r="143" spans="2:9" x14ac:dyDescent="0.3">
      <c r="B143" t="str">
        <f>IFERROR(IF(A143="","",VLOOKUP(A143,CadProd!$A:$B,2,0)),"")</f>
        <v/>
      </c>
      <c r="C143" t="str">
        <f>IFERROR(IF(A143="","",VLOOKUP(A143,CadProd!$A:$C,3,0)),"")</f>
        <v/>
      </c>
      <c r="I143" s="1" t="str">
        <f>IFERROR(IF(A143="","",E143*#REF!),"")</f>
        <v/>
      </c>
    </row>
    <row r="144" spans="2:9" x14ac:dyDescent="0.3">
      <c r="B144" t="str">
        <f>IFERROR(IF(A144="","",VLOOKUP(A144,CadProd!$A:$B,2,0)),"")</f>
        <v/>
      </c>
      <c r="C144" t="str">
        <f>IFERROR(IF(A144="","",VLOOKUP(A144,CadProd!$A:$C,3,0)),"")</f>
        <v/>
      </c>
      <c r="I144" s="1" t="str">
        <f>IFERROR(IF(A144="","",E144*#REF!),"")</f>
        <v/>
      </c>
    </row>
    <row r="145" spans="2:9" x14ac:dyDescent="0.3">
      <c r="B145" t="str">
        <f>IFERROR(IF(A145="","",VLOOKUP(A145,CadProd!$A:$B,2,0)),"")</f>
        <v/>
      </c>
      <c r="C145" t="str">
        <f>IFERROR(IF(A145="","",VLOOKUP(A145,CadProd!$A:$C,3,0)),"")</f>
        <v/>
      </c>
      <c r="I145" s="1" t="str">
        <f>IFERROR(IF(A145="","",E145*#REF!),"")</f>
        <v/>
      </c>
    </row>
    <row r="146" spans="2:9" x14ac:dyDescent="0.3">
      <c r="B146" t="str">
        <f>IFERROR(IF(A146="","",VLOOKUP(A146,CadProd!$A:$B,2,0)),"")</f>
        <v/>
      </c>
      <c r="C146" t="str">
        <f>IFERROR(IF(A146="","",VLOOKUP(A146,CadProd!$A:$C,3,0)),"")</f>
        <v/>
      </c>
      <c r="I146" s="1" t="str">
        <f>IFERROR(IF(A146="","",E146*#REF!),"")</f>
        <v/>
      </c>
    </row>
    <row r="147" spans="2:9" x14ac:dyDescent="0.3">
      <c r="B147" t="str">
        <f>IFERROR(IF(A147="","",VLOOKUP(A147,CadProd!$A:$B,2,0)),"")</f>
        <v/>
      </c>
      <c r="C147" t="str">
        <f>IFERROR(IF(A147="","",VLOOKUP(A147,CadProd!$A:$C,3,0)),"")</f>
        <v/>
      </c>
      <c r="I147" s="1" t="str">
        <f>IFERROR(IF(A147="","",E147*#REF!),"")</f>
        <v/>
      </c>
    </row>
    <row r="148" spans="2:9" x14ac:dyDescent="0.3">
      <c r="B148" t="str">
        <f>IFERROR(IF(A148="","",VLOOKUP(A148,CadProd!$A:$B,2,0)),"")</f>
        <v/>
      </c>
      <c r="C148" t="str">
        <f>IFERROR(IF(A148="","",VLOOKUP(A148,CadProd!$A:$C,3,0)),"")</f>
        <v/>
      </c>
      <c r="I148" s="1" t="str">
        <f>IFERROR(IF(A148="","",E148*#REF!),"")</f>
        <v/>
      </c>
    </row>
    <row r="149" spans="2:9" x14ac:dyDescent="0.3">
      <c r="B149" t="str">
        <f>IFERROR(IF(A149="","",VLOOKUP(A149,CadProd!$A:$B,2,0)),"")</f>
        <v/>
      </c>
      <c r="C149" t="str">
        <f>IFERROR(IF(A149="","",VLOOKUP(A149,CadProd!$A:$C,3,0)),"")</f>
        <v/>
      </c>
      <c r="I149" s="1" t="str">
        <f>IFERROR(IF(A149="","",E149*#REF!),"")</f>
        <v/>
      </c>
    </row>
    <row r="150" spans="2:9" x14ac:dyDescent="0.3">
      <c r="B150" t="str">
        <f>IFERROR(IF(A150="","",VLOOKUP(A150,CadProd!$A:$B,2,0)),"")</f>
        <v/>
      </c>
      <c r="C150" t="str">
        <f>IFERROR(IF(A150="","",VLOOKUP(A150,CadProd!$A:$C,3,0)),"")</f>
        <v/>
      </c>
      <c r="I150" s="1" t="str">
        <f>IFERROR(IF(A150="","",E150*#REF!),"")</f>
        <v/>
      </c>
    </row>
    <row r="151" spans="2:9" x14ac:dyDescent="0.3">
      <c r="B151" t="str">
        <f>IFERROR(IF(A151="","",VLOOKUP(A151,CadProd!$A:$B,2,0)),"")</f>
        <v/>
      </c>
      <c r="C151" t="str">
        <f>IFERROR(IF(A151="","",VLOOKUP(A151,CadProd!$A:$C,3,0)),"")</f>
        <v/>
      </c>
      <c r="I151" s="1" t="str">
        <f>IFERROR(IF(A151="","",E151*#REF!),"")</f>
        <v/>
      </c>
    </row>
    <row r="152" spans="2:9" x14ac:dyDescent="0.3">
      <c r="B152" t="str">
        <f>IFERROR(IF(A152="","",VLOOKUP(A152,CadProd!$A:$B,2,0)),"")</f>
        <v/>
      </c>
      <c r="C152" t="str">
        <f>IFERROR(IF(A152="","",VLOOKUP(A152,CadProd!$A:$C,3,0)),"")</f>
        <v/>
      </c>
      <c r="I152" s="1" t="str">
        <f>IFERROR(IF(A152="","",E152*#REF!),"")</f>
        <v/>
      </c>
    </row>
    <row r="153" spans="2:9" x14ac:dyDescent="0.3">
      <c r="B153" t="str">
        <f>IFERROR(IF(A153="","",VLOOKUP(A153,CadProd!$A:$B,2,0)),"")</f>
        <v/>
      </c>
      <c r="C153" t="str">
        <f>IFERROR(IF(A153="","",VLOOKUP(A153,CadProd!$A:$C,3,0)),"")</f>
        <v/>
      </c>
      <c r="I153" s="1" t="str">
        <f>IFERROR(IF(A153="","",E153*#REF!),"")</f>
        <v/>
      </c>
    </row>
    <row r="154" spans="2:9" x14ac:dyDescent="0.3">
      <c r="B154" t="str">
        <f>IFERROR(IF(A154="","",VLOOKUP(A154,CadProd!$A:$B,2,0)),"")</f>
        <v/>
      </c>
      <c r="C154" t="str">
        <f>IFERROR(IF(A154="","",VLOOKUP(A154,CadProd!$A:$C,3,0)),"")</f>
        <v/>
      </c>
      <c r="I154" s="1" t="str">
        <f>IFERROR(IF(A154="","",E154*#REF!),"")</f>
        <v/>
      </c>
    </row>
    <row r="155" spans="2:9" x14ac:dyDescent="0.3">
      <c r="B155" t="str">
        <f>IFERROR(IF(A155="","",VLOOKUP(A155,CadProd!$A:$B,2,0)),"")</f>
        <v/>
      </c>
      <c r="C155" t="str">
        <f>IFERROR(IF(A155="","",VLOOKUP(A155,CadProd!$A:$C,3,0)),"")</f>
        <v/>
      </c>
      <c r="I155" s="1" t="str">
        <f>IFERROR(IF(A155="","",E155*#REF!),"")</f>
        <v/>
      </c>
    </row>
    <row r="156" spans="2:9" x14ac:dyDescent="0.3">
      <c r="B156" t="str">
        <f>IFERROR(IF(A156="","",VLOOKUP(A156,CadProd!$A:$B,2,0)),"")</f>
        <v/>
      </c>
      <c r="C156" t="str">
        <f>IFERROR(IF(A156="","",VLOOKUP(A156,CadProd!$A:$C,3,0)),"")</f>
        <v/>
      </c>
      <c r="I156" s="1" t="str">
        <f>IFERROR(IF(A156="","",E156*#REF!),"")</f>
        <v/>
      </c>
    </row>
    <row r="157" spans="2:9" x14ac:dyDescent="0.3">
      <c r="B157" t="str">
        <f>IFERROR(IF(A157="","",VLOOKUP(A157,CadProd!$A:$B,2,0)),"")</f>
        <v/>
      </c>
      <c r="C157" t="str">
        <f>IFERROR(IF(A157="","",VLOOKUP(A157,CadProd!$A:$C,3,0)),"")</f>
        <v/>
      </c>
      <c r="I157" s="1" t="str">
        <f>IFERROR(IF(A157="","",E157*#REF!),"")</f>
        <v/>
      </c>
    </row>
    <row r="158" spans="2:9" x14ac:dyDescent="0.3">
      <c r="B158" t="str">
        <f>IFERROR(IF(A158="","",VLOOKUP(A158,CadProd!$A:$B,2,0)),"")</f>
        <v/>
      </c>
      <c r="C158" t="str">
        <f>IFERROR(IF(A158="","",VLOOKUP(A158,CadProd!$A:$C,3,0)),"")</f>
        <v/>
      </c>
      <c r="I158" s="1" t="str">
        <f>IFERROR(IF(A158="","",E158*#REF!),"")</f>
        <v/>
      </c>
    </row>
    <row r="159" spans="2:9" x14ac:dyDescent="0.3">
      <c r="B159" t="str">
        <f>IFERROR(IF(A159="","",VLOOKUP(A159,CadProd!$A:$B,2,0)),"")</f>
        <v/>
      </c>
      <c r="C159" t="str">
        <f>IFERROR(IF(A159="","",VLOOKUP(A159,CadProd!$A:$C,3,0)),"")</f>
        <v/>
      </c>
      <c r="I159" s="1" t="str">
        <f>IFERROR(IF(A159="","",E159*#REF!),"")</f>
        <v/>
      </c>
    </row>
    <row r="160" spans="2:9" x14ac:dyDescent="0.3">
      <c r="B160" t="str">
        <f>IFERROR(IF(A160="","",VLOOKUP(A160,CadProd!$A:$B,2,0)),"")</f>
        <v/>
      </c>
      <c r="C160" t="str">
        <f>IFERROR(IF(A160="","",VLOOKUP(A160,CadProd!$A:$C,3,0)),"")</f>
        <v/>
      </c>
      <c r="I160" s="1" t="str">
        <f>IFERROR(IF(A160="","",E160*#REF!),"")</f>
        <v/>
      </c>
    </row>
    <row r="161" spans="2:9" x14ac:dyDescent="0.3">
      <c r="B161" t="str">
        <f>IFERROR(IF(A161="","",VLOOKUP(A161,CadProd!$A:$B,2,0)),"")</f>
        <v/>
      </c>
      <c r="C161" t="str">
        <f>IFERROR(IF(A161="","",VLOOKUP(A161,CadProd!$A:$C,3,0)),"")</f>
        <v/>
      </c>
      <c r="I161" s="1" t="str">
        <f>IFERROR(IF(A161="","",E161*#REF!),"")</f>
        <v/>
      </c>
    </row>
    <row r="162" spans="2:9" x14ac:dyDescent="0.3">
      <c r="B162" t="str">
        <f>IFERROR(IF(A162="","",VLOOKUP(A162,CadProd!$A:$B,2,0)),"")</f>
        <v/>
      </c>
      <c r="C162" t="str">
        <f>IFERROR(IF(A162="","",VLOOKUP(A162,CadProd!$A:$C,3,0)),"")</f>
        <v/>
      </c>
      <c r="I162" s="1" t="str">
        <f>IFERROR(IF(A162="","",E162*#REF!),"")</f>
        <v/>
      </c>
    </row>
    <row r="163" spans="2:9" x14ac:dyDescent="0.3">
      <c r="B163" t="str">
        <f>IFERROR(IF(A163="","",VLOOKUP(A163,CadProd!$A:$B,2,0)),"")</f>
        <v/>
      </c>
      <c r="C163" t="str">
        <f>IFERROR(IF(A163="","",VLOOKUP(A163,CadProd!$A:$C,3,0)),"")</f>
        <v/>
      </c>
      <c r="I163" s="1" t="str">
        <f>IFERROR(IF(A163="","",E163*#REF!),"")</f>
        <v/>
      </c>
    </row>
    <row r="164" spans="2:9" x14ac:dyDescent="0.3">
      <c r="B164" t="str">
        <f>IFERROR(IF(A164="","",VLOOKUP(A164,CadProd!$A:$B,2,0)),"")</f>
        <v/>
      </c>
      <c r="C164" t="str">
        <f>IFERROR(IF(A164="","",VLOOKUP(A164,CadProd!$A:$C,3,0)),"")</f>
        <v/>
      </c>
      <c r="I164" s="1" t="str">
        <f>IFERROR(IF(A164="","",E164*#REF!),"")</f>
        <v/>
      </c>
    </row>
    <row r="165" spans="2:9" x14ac:dyDescent="0.3">
      <c r="B165" t="str">
        <f>IFERROR(IF(A165="","",VLOOKUP(A165,CadProd!$A:$B,2,0)),"")</f>
        <v/>
      </c>
      <c r="C165" t="str">
        <f>IFERROR(IF(A165="","",VLOOKUP(A165,CadProd!$A:$C,3,0)),"")</f>
        <v/>
      </c>
      <c r="I165" s="1" t="str">
        <f>IFERROR(IF(A165="","",E165*#REF!),"")</f>
        <v/>
      </c>
    </row>
    <row r="166" spans="2:9" x14ac:dyDescent="0.3">
      <c r="B166" t="str">
        <f>IFERROR(IF(A166="","",VLOOKUP(A166,CadProd!$A:$B,2,0)),"")</f>
        <v/>
      </c>
      <c r="C166" t="str">
        <f>IFERROR(IF(A166="","",VLOOKUP(A166,CadProd!$A:$C,3,0)),"")</f>
        <v/>
      </c>
      <c r="I166" s="1" t="str">
        <f>IFERROR(IF(A166="","",E166*#REF!),"")</f>
        <v/>
      </c>
    </row>
    <row r="167" spans="2:9" x14ac:dyDescent="0.3">
      <c r="B167" t="str">
        <f>IFERROR(IF(A167="","",VLOOKUP(A167,CadProd!$A:$B,2,0)),"")</f>
        <v/>
      </c>
      <c r="C167" t="str">
        <f>IFERROR(IF(A167="","",VLOOKUP(A167,CadProd!$A:$C,3,0)),"")</f>
        <v/>
      </c>
      <c r="I167" s="1" t="str">
        <f>IFERROR(IF(A167="","",E167*#REF!),"")</f>
        <v/>
      </c>
    </row>
    <row r="168" spans="2:9" x14ac:dyDescent="0.3">
      <c r="B168" t="str">
        <f>IFERROR(IF(A168="","",VLOOKUP(A168,CadProd!$A:$B,2,0)),"")</f>
        <v/>
      </c>
      <c r="C168" t="str">
        <f>IFERROR(IF(A168="","",VLOOKUP(A168,CadProd!$A:$C,3,0)),"")</f>
        <v/>
      </c>
      <c r="I168" s="1" t="str">
        <f>IFERROR(IF(A168="","",E168*#REF!),"")</f>
        <v/>
      </c>
    </row>
    <row r="169" spans="2:9" x14ac:dyDescent="0.3">
      <c r="B169" t="str">
        <f>IFERROR(IF(A169="","",VLOOKUP(A169,CadProd!$A:$B,2,0)),"")</f>
        <v/>
      </c>
      <c r="C169" t="str">
        <f>IFERROR(IF(A169="","",VLOOKUP(A169,CadProd!$A:$C,3,0)),"")</f>
        <v/>
      </c>
      <c r="I169" s="1" t="str">
        <f>IFERROR(IF(A169="","",E169*#REF!),"")</f>
        <v/>
      </c>
    </row>
    <row r="170" spans="2:9" x14ac:dyDescent="0.3">
      <c r="B170" t="str">
        <f>IFERROR(IF(A170="","",VLOOKUP(A170,CadProd!$A:$B,2,0)),"")</f>
        <v/>
      </c>
      <c r="C170" t="str">
        <f>IFERROR(IF(A170="","",VLOOKUP(A170,CadProd!$A:$C,3,0)),"")</f>
        <v/>
      </c>
      <c r="I170" s="1" t="str">
        <f>IFERROR(IF(A170="","",E170*#REF!),"")</f>
        <v/>
      </c>
    </row>
    <row r="171" spans="2:9" x14ac:dyDescent="0.3">
      <c r="B171" t="str">
        <f>IFERROR(IF(A171="","",VLOOKUP(A171,CadProd!$A:$B,2,0)),"")</f>
        <v/>
      </c>
      <c r="C171" t="str">
        <f>IFERROR(IF(A171="","",VLOOKUP(A171,CadProd!$A:$C,3,0)),"")</f>
        <v/>
      </c>
      <c r="I171" s="1" t="str">
        <f>IFERROR(IF(A171="","",E171*#REF!),"")</f>
        <v/>
      </c>
    </row>
    <row r="172" spans="2:9" x14ac:dyDescent="0.3">
      <c r="B172" t="str">
        <f>IFERROR(IF(A172="","",VLOOKUP(A172,CadProd!$A:$B,2,0)),"")</f>
        <v/>
      </c>
      <c r="C172" t="str">
        <f>IFERROR(IF(A172="","",VLOOKUP(A172,CadProd!$A:$C,3,0)),"")</f>
        <v/>
      </c>
      <c r="I172" s="1" t="str">
        <f>IFERROR(IF(A172="","",E172*#REF!),"")</f>
        <v/>
      </c>
    </row>
    <row r="173" spans="2:9" x14ac:dyDescent="0.3">
      <c r="B173" t="str">
        <f>IFERROR(IF(A173="","",VLOOKUP(A173,CadProd!$A:$B,2,0)),"")</f>
        <v/>
      </c>
      <c r="C173" t="str">
        <f>IFERROR(IF(A173="","",VLOOKUP(A173,CadProd!$A:$C,3,0)),"")</f>
        <v/>
      </c>
      <c r="I173" s="1" t="str">
        <f>IFERROR(IF(A173="","",E173*#REF!),"")</f>
        <v/>
      </c>
    </row>
    <row r="174" spans="2:9" x14ac:dyDescent="0.3">
      <c r="B174" t="str">
        <f>IFERROR(IF(A174="","",VLOOKUP(A174,CadProd!$A:$B,2,0)),"")</f>
        <v/>
      </c>
      <c r="C174" t="str">
        <f>IFERROR(IF(A174="","",VLOOKUP(A174,CadProd!$A:$C,3,0)),"")</f>
        <v/>
      </c>
      <c r="I174" s="1" t="str">
        <f>IFERROR(IF(A174="","",E174*#REF!),"")</f>
        <v/>
      </c>
    </row>
    <row r="175" spans="2:9" x14ac:dyDescent="0.3">
      <c r="B175" t="str">
        <f>IFERROR(IF(A175="","",VLOOKUP(A175,CadProd!$A:$B,2,0)),"")</f>
        <v/>
      </c>
      <c r="C175" t="str">
        <f>IFERROR(IF(A175="","",VLOOKUP(A175,CadProd!$A:$C,3,0)),"")</f>
        <v/>
      </c>
      <c r="I175" s="1" t="str">
        <f>IFERROR(IF(A175="","",E175*#REF!),"")</f>
        <v/>
      </c>
    </row>
    <row r="176" spans="2:9" x14ac:dyDescent="0.3">
      <c r="B176" t="str">
        <f>IFERROR(IF(A176="","",VLOOKUP(A176,CadProd!$A:$B,2,0)),"")</f>
        <v/>
      </c>
      <c r="C176" t="str">
        <f>IFERROR(IF(A176="","",VLOOKUP(A176,CadProd!$A:$C,3,0)),"")</f>
        <v/>
      </c>
      <c r="I176" s="1" t="str">
        <f>IFERROR(IF(A176="","",E176*#REF!),"")</f>
        <v/>
      </c>
    </row>
    <row r="177" spans="2:9" x14ac:dyDescent="0.3">
      <c r="B177" t="str">
        <f>IFERROR(IF(A177="","",VLOOKUP(A177,CadProd!$A:$B,2,0)),"")</f>
        <v/>
      </c>
      <c r="C177" t="str">
        <f>IFERROR(IF(A177="","",VLOOKUP(A177,CadProd!$A:$C,3,0)),"")</f>
        <v/>
      </c>
      <c r="I177" s="1" t="str">
        <f>IFERROR(IF(A177="","",E177*#REF!),"")</f>
        <v/>
      </c>
    </row>
    <row r="178" spans="2:9" x14ac:dyDescent="0.3">
      <c r="B178" t="str">
        <f>IFERROR(IF(A178="","",VLOOKUP(A178,CadProd!$A:$B,2,0)),"")</f>
        <v/>
      </c>
      <c r="C178" t="str">
        <f>IFERROR(IF(A178="","",VLOOKUP(A178,CadProd!$A:$C,3,0)),"")</f>
        <v/>
      </c>
      <c r="I178" s="1" t="str">
        <f>IFERROR(IF(A178="","",E178*#REF!),"")</f>
        <v/>
      </c>
    </row>
    <row r="179" spans="2:9" x14ac:dyDescent="0.3">
      <c r="B179" t="str">
        <f>IFERROR(IF(A179="","",VLOOKUP(A179,CadProd!$A:$B,2,0)),"")</f>
        <v/>
      </c>
      <c r="C179" t="str">
        <f>IFERROR(IF(A179="","",VLOOKUP(A179,CadProd!$A:$C,3,0)),"")</f>
        <v/>
      </c>
      <c r="I179" s="1" t="str">
        <f>IFERROR(IF(A179="","",E179*#REF!),"")</f>
        <v/>
      </c>
    </row>
    <row r="180" spans="2:9" x14ac:dyDescent="0.3">
      <c r="B180" t="str">
        <f>IFERROR(IF(A180="","",VLOOKUP(A180,CadProd!$A:$B,2,0)),"")</f>
        <v/>
      </c>
      <c r="C180" t="str">
        <f>IFERROR(IF(A180="","",VLOOKUP(A180,CadProd!$A:$C,3,0)),"")</f>
        <v/>
      </c>
      <c r="I180" s="1" t="str">
        <f>IFERROR(IF(A180="","",E180*#REF!),"")</f>
        <v/>
      </c>
    </row>
    <row r="181" spans="2:9" x14ac:dyDescent="0.3">
      <c r="B181" t="str">
        <f>IFERROR(IF(A181="","",VLOOKUP(A181,CadProd!$A:$B,2,0)),"")</f>
        <v/>
      </c>
      <c r="C181" t="str">
        <f>IFERROR(IF(A181="","",VLOOKUP(A181,CadProd!$A:$C,3,0)),"")</f>
        <v/>
      </c>
      <c r="I181" s="1" t="str">
        <f>IFERROR(IF(A181="","",E181*#REF!),"")</f>
        <v/>
      </c>
    </row>
    <row r="182" spans="2:9" x14ac:dyDescent="0.3">
      <c r="B182" t="str">
        <f>IFERROR(IF(A182="","",VLOOKUP(A182,CadProd!$A:$B,2,0)),"")</f>
        <v/>
      </c>
      <c r="C182" t="str">
        <f>IFERROR(IF(A182="","",VLOOKUP(A182,CadProd!$A:$C,3,0)),"")</f>
        <v/>
      </c>
      <c r="I182" s="1" t="str">
        <f>IFERROR(IF(A182="","",E182*#REF!),"")</f>
        <v/>
      </c>
    </row>
    <row r="183" spans="2:9" x14ac:dyDescent="0.3">
      <c r="B183" t="str">
        <f>IFERROR(IF(A183="","",VLOOKUP(A183,CadProd!$A:$B,2,0)),"")</f>
        <v/>
      </c>
      <c r="C183" t="str">
        <f>IFERROR(IF(A183="","",VLOOKUP(A183,CadProd!$A:$C,3,0)),"")</f>
        <v/>
      </c>
      <c r="I183" s="1" t="str">
        <f>IFERROR(IF(A183="","",E183*#REF!),"")</f>
        <v/>
      </c>
    </row>
    <row r="184" spans="2:9" x14ac:dyDescent="0.3">
      <c r="B184" t="str">
        <f>IFERROR(IF(A184="","",VLOOKUP(A184,CadProd!$A:$B,2,0)),"")</f>
        <v/>
      </c>
      <c r="C184" t="str">
        <f>IFERROR(IF(A184="","",VLOOKUP(A184,CadProd!$A:$C,3,0)),"")</f>
        <v/>
      </c>
      <c r="I184" s="1" t="str">
        <f>IFERROR(IF(A184="","",E184*#REF!),"")</f>
        <v/>
      </c>
    </row>
    <row r="185" spans="2:9" x14ac:dyDescent="0.3">
      <c r="B185" t="str">
        <f>IFERROR(IF(A185="","",VLOOKUP(A185,CadProd!$A:$B,2,0)),"")</f>
        <v/>
      </c>
      <c r="C185" t="str">
        <f>IFERROR(IF(A185="","",VLOOKUP(A185,CadProd!$A:$C,3,0)),"")</f>
        <v/>
      </c>
      <c r="I185" s="1" t="str">
        <f>IFERROR(IF(A185="","",E185*#REF!),"")</f>
        <v/>
      </c>
    </row>
    <row r="186" spans="2:9" x14ac:dyDescent="0.3">
      <c r="B186" t="str">
        <f>IFERROR(IF(A186="","",VLOOKUP(A186,CadProd!$A:$B,2,0)),"")</f>
        <v/>
      </c>
      <c r="C186" t="str">
        <f>IFERROR(IF(A186="","",VLOOKUP(A186,CadProd!$A:$C,3,0)),"")</f>
        <v/>
      </c>
      <c r="I186" s="1" t="str">
        <f>IFERROR(IF(A186="","",E186*#REF!),"")</f>
        <v/>
      </c>
    </row>
    <row r="187" spans="2:9" x14ac:dyDescent="0.3">
      <c r="B187" t="str">
        <f>IFERROR(IF(A187="","",VLOOKUP(A187,CadProd!$A:$B,2,0)),"")</f>
        <v/>
      </c>
      <c r="C187" t="str">
        <f>IFERROR(IF(A187="","",VLOOKUP(A187,CadProd!$A:$C,3,0)),"")</f>
        <v/>
      </c>
      <c r="I187" s="1" t="str">
        <f>IFERROR(IF(A187="","",E187*#REF!),"")</f>
        <v/>
      </c>
    </row>
    <row r="188" spans="2:9" x14ac:dyDescent="0.3">
      <c r="B188" t="str">
        <f>IFERROR(IF(A188="","",VLOOKUP(A188,CadProd!$A:$B,2,0)),"")</f>
        <v/>
      </c>
      <c r="C188" t="str">
        <f>IFERROR(IF(A188="","",VLOOKUP(A188,CadProd!$A:$C,3,0)),"")</f>
        <v/>
      </c>
      <c r="I188" s="1" t="str">
        <f>IFERROR(IF(A188="","",E188*#REF!),"")</f>
        <v/>
      </c>
    </row>
    <row r="189" spans="2:9" x14ac:dyDescent="0.3">
      <c r="B189" t="str">
        <f>IFERROR(IF(A189="","",VLOOKUP(A189,CadProd!$A:$B,2,0)),"")</f>
        <v/>
      </c>
      <c r="C189" t="str">
        <f>IFERROR(IF(A189="","",VLOOKUP(A189,CadProd!$A:$C,3,0)),"")</f>
        <v/>
      </c>
      <c r="I189" s="1" t="str">
        <f>IFERROR(IF(A189="","",E189*#REF!),"")</f>
        <v/>
      </c>
    </row>
    <row r="190" spans="2:9" x14ac:dyDescent="0.3">
      <c r="B190" t="str">
        <f>IFERROR(IF(A190="","",VLOOKUP(A190,CadProd!$A:$B,2,0)),"")</f>
        <v/>
      </c>
      <c r="C190" t="str">
        <f>IFERROR(IF(A190="","",VLOOKUP(A190,CadProd!$A:$C,3,0)),"")</f>
        <v/>
      </c>
      <c r="I190" s="1" t="str">
        <f>IFERROR(IF(A190="","",E190*#REF!),"")</f>
        <v/>
      </c>
    </row>
    <row r="191" spans="2:9" x14ac:dyDescent="0.3">
      <c r="B191" t="str">
        <f>IFERROR(IF(A191="","",VLOOKUP(A191,CadProd!$A:$B,2,0)),"")</f>
        <v/>
      </c>
      <c r="C191" t="str">
        <f>IFERROR(IF(A191="","",VLOOKUP(A191,CadProd!$A:$C,3,0)),"")</f>
        <v/>
      </c>
      <c r="I191" s="1" t="str">
        <f>IFERROR(IF(A191="","",E191*#REF!),"")</f>
        <v/>
      </c>
    </row>
    <row r="192" spans="2:9" x14ac:dyDescent="0.3">
      <c r="B192" t="str">
        <f>IFERROR(IF(A192="","",VLOOKUP(A192,CadProd!$A:$B,2,0)),"")</f>
        <v/>
      </c>
      <c r="C192" t="str">
        <f>IFERROR(IF(A192="","",VLOOKUP(A192,CadProd!$A:$C,3,0)),"")</f>
        <v/>
      </c>
      <c r="I192" s="1" t="str">
        <f>IFERROR(IF(A192="","",E192*#REF!),"")</f>
        <v/>
      </c>
    </row>
    <row r="193" spans="2:9" x14ac:dyDescent="0.3">
      <c r="B193" t="str">
        <f>IFERROR(IF(A193="","",VLOOKUP(A193,CadProd!$A:$B,2,0)),"")</f>
        <v/>
      </c>
      <c r="C193" t="str">
        <f>IFERROR(IF(A193="","",VLOOKUP(A193,CadProd!$A:$C,3,0)),"")</f>
        <v/>
      </c>
      <c r="I193" s="1" t="str">
        <f>IFERROR(IF(A193="","",E193*#REF!),"")</f>
        <v/>
      </c>
    </row>
    <row r="194" spans="2:9" x14ac:dyDescent="0.3">
      <c r="B194" t="str">
        <f>IFERROR(IF(A194="","",VLOOKUP(A194,CadProd!$A:$B,2,0)),"")</f>
        <v/>
      </c>
      <c r="C194" t="str">
        <f>IFERROR(IF(A194="","",VLOOKUP(A194,CadProd!$A:$C,3,0)),"")</f>
        <v/>
      </c>
      <c r="I194" s="1" t="str">
        <f>IFERROR(IF(A194="","",E194*#REF!),"")</f>
        <v/>
      </c>
    </row>
    <row r="195" spans="2:9" x14ac:dyDescent="0.3">
      <c r="B195" t="str">
        <f>IFERROR(IF(A195="","",VLOOKUP(A195,CadProd!$A:$B,2,0)),"")</f>
        <v/>
      </c>
      <c r="C195" t="str">
        <f>IFERROR(IF(A195="","",VLOOKUP(A195,CadProd!$A:$C,3,0)),"")</f>
        <v/>
      </c>
      <c r="I195" s="1" t="str">
        <f>IFERROR(IF(A195="","",E195*#REF!),"")</f>
        <v/>
      </c>
    </row>
    <row r="196" spans="2:9" x14ac:dyDescent="0.3">
      <c r="B196" t="str">
        <f>IFERROR(IF(A196="","",VLOOKUP(A196,CadProd!$A:$B,2,0)),"")</f>
        <v/>
      </c>
      <c r="C196" t="str">
        <f>IFERROR(IF(A196="","",VLOOKUP(A196,CadProd!$A:$C,3,0)),"")</f>
        <v/>
      </c>
      <c r="I196" s="1" t="str">
        <f>IFERROR(IF(A196="","",E196*#REF!),"")</f>
        <v/>
      </c>
    </row>
    <row r="197" spans="2:9" x14ac:dyDescent="0.3">
      <c r="B197" t="str">
        <f>IFERROR(IF(A197="","",VLOOKUP(A197,CadProd!$A:$B,2,0)),"")</f>
        <v/>
      </c>
      <c r="C197" t="str">
        <f>IFERROR(IF(A197="","",VLOOKUP(A197,CadProd!$A:$C,3,0)),"")</f>
        <v/>
      </c>
      <c r="I197" s="1" t="str">
        <f>IFERROR(IF(A197="","",E197*#REF!),"")</f>
        <v/>
      </c>
    </row>
    <row r="198" spans="2:9" x14ac:dyDescent="0.3">
      <c r="B198" t="str">
        <f>IFERROR(IF(A198="","",VLOOKUP(A198,CadProd!$A:$B,2,0)),"")</f>
        <v/>
      </c>
      <c r="C198" t="str">
        <f>IFERROR(IF(A198="","",VLOOKUP(A198,CadProd!$A:$C,3,0)),"")</f>
        <v/>
      </c>
      <c r="I198" s="1" t="str">
        <f>IFERROR(IF(A198="","",E198*#REF!),"")</f>
        <v/>
      </c>
    </row>
    <row r="199" spans="2:9" x14ac:dyDescent="0.3">
      <c r="B199" t="str">
        <f>IFERROR(IF(A199="","",VLOOKUP(A199,CadProd!$A:$B,2,0)),"")</f>
        <v/>
      </c>
      <c r="C199" t="str">
        <f>IFERROR(IF(A199="","",VLOOKUP(A199,CadProd!$A:$C,3,0)),"")</f>
        <v/>
      </c>
      <c r="I199" s="1" t="str">
        <f>IFERROR(IF(A199="","",E199*#REF!),"")</f>
        <v/>
      </c>
    </row>
    <row r="200" spans="2:9" x14ac:dyDescent="0.3">
      <c r="B200" t="str">
        <f>IFERROR(IF(A200="","",VLOOKUP(A200,CadProd!$A:$B,2,0)),"")</f>
        <v/>
      </c>
      <c r="C200" t="str">
        <f>IFERROR(IF(A200="","",VLOOKUP(A200,CadProd!$A:$C,3,0)),"")</f>
        <v/>
      </c>
      <c r="I200" s="1" t="str">
        <f>IFERROR(IF(A200="","",E200*#REF!),"")</f>
        <v/>
      </c>
    </row>
    <row r="201" spans="2:9" x14ac:dyDescent="0.3">
      <c r="B201" t="str">
        <f>IFERROR(IF(A201="","",VLOOKUP(A201,CadProd!$A:$B,2,0)),"")</f>
        <v/>
      </c>
      <c r="C201" t="str">
        <f>IFERROR(IF(A201="","",VLOOKUP(A201,CadProd!$A:$C,3,0)),"")</f>
        <v/>
      </c>
      <c r="I201" s="1" t="str">
        <f>IFERROR(IF(A201="","",E201*#REF!),"")</f>
        <v/>
      </c>
    </row>
    <row r="202" spans="2:9" x14ac:dyDescent="0.3">
      <c r="B202" t="str">
        <f>IFERROR(IF(A202="","",VLOOKUP(A202,CadProd!$A:$B,2,0)),"")</f>
        <v/>
      </c>
      <c r="C202" t="str">
        <f>IFERROR(IF(A202="","",VLOOKUP(A202,CadProd!$A:$C,3,0)),"")</f>
        <v/>
      </c>
      <c r="I202" s="1" t="str">
        <f>IFERROR(IF(A202="","",E202*#REF!),"")</f>
        <v/>
      </c>
    </row>
    <row r="203" spans="2:9" x14ac:dyDescent="0.3">
      <c r="B203" t="str">
        <f>IFERROR(IF(A203="","",VLOOKUP(A203,CadProd!$A:$B,2,0)),"")</f>
        <v/>
      </c>
      <c r="C203" t="str">
        <f>IFERROR(IF(A203="","",VLOOKUP(A203,CadProd!$A:$C,3,0)),"")</f>
        <v/>
      </c>
      <c r="I203" s="1" t="str">
        <f>IFERROR(IF(A203="","",E203*#REF!),"")</f>
        <v/>
      </c>
    </row>
    <row r="204" spans="2:9" x14ac:dyDescent="0.3">
      <c r="B204" t="str">
        <f>IFERROR(IF(A204="","",VLOOKUP(A204,CadProd!$A:$B,2,0)),"")</f>
        <v/>
      </c>
      <c r="C204" t="str">
        <f>IFERROR(IF(A204="","",VLOOKUP(A204,CadProd!$A:$C,3,0)),"")</f>
        <v/>
      </c>
      <c r="I204" s="1" t="str">
        <f>IFERROR(IF(A204="","",E204*#REF!),"")</f>
        <v/>
      </c>
    </row>
    <row r="205" spans="2:9" x14ac:dyDescent="0.3">
      <c r="B205" t="str">
        <f>IFERROR(IF(A205="","",VLOOKUP(A205,CadProd!$A:$B,2,0)),"")</f>
        <v/>
      </c>
      <c r="C205" t="str">
        <f>IFERROR(IF(A205="","",VLOOKUP(A205,CadProd!$A:$C,3,0)),"")</f>
        <v/>
      </c>
      <c r="I205" s="1" t="str">
        <f>IFERROR(IF(A205="","",E205*#REF!),"")</f>
        <v/>
      </c>
    </row>
    <row r="206" spans="2:9" x14ac:dyDescent="0.3">
      <c r="B206" t="str">
        <f>IFERROR(IF(A206="","",VLOOKUP(A206,CadProd!$A:$B,2,0)),"")</f>
        <v/>
      </c>
      <c r="C206" t="str">
        <f>IFERROR(IF(A206="","",VLOOKUP(A206,CadProd!$A:$C,3,0)),"")</f>
        <v/>
      </c>
      <c r="I206" s="1" t="str">
        <f>IFERROR(IF(A206="","",E206*#REF!),"")</f>
        <v/>
      </c>
    </row>
    <row r="207" spans="2:9" x14ac:dyDescent="0.3">
      <c r="B207" t="str">
        <f>IFERROR(IF(A207="","",VLOOKUP(A207,CadProd!$A:$B,2,0)),"")</f>
        <v/>
      </c>
      <c r="C207" t="str">
        <f>IFERROR(IF(A207="","",VLOOKUP(A207,CadProd!$A:$C,3,0)),"")</f>
        <v/>
      </c>
      <c r="I207" s="1" t="str">
        <f>IFERROR(IF(A207="","",E207*#REF!),"")</f>
        <v/>
      </c>
    </row>
    <row r="208" spans="2:9" x14ac:dyDescent="0.3">
      <c r="B208" t="str">
        <f>IFERROR(IF(A208="","",VLOOKUP(A208,CadProd!$A:$B,2,0)),"")</f>
        <v/>
      </c>
      <c r="C208" t="str">
        <f>IFERROR(IF(A208="","",VLOOKUP(A208,CadProd!$A:$C,3,0)),"")</f>
        <v/>
      </c>
      <c r="I208" s="1" t="str">
        <f>IFERROR(IF(A208="","",E208*#REF!),"")</f>
        <v/>
      </c>
    </row>
    <row r="209" spans="2:9" x14ac:dyDescent="0.3">
      <c r="B209" t="str">
        <f>IFERROR(IF(A209="","",VLOOKUP(A209,CadProd!$A:$B,2,0)),"")</f>
        <v/>
      </c>
      <c r="C209" t="str">
        <f>IFERROR(IF(A209="","",VLOOKUP(A209,CadProd!$A:$C,3,0)),"")</f>
        <v/>
      </c>
      <c r="I209" s="1" t="str">
        <f>IFERROR(IF(A209="","",E209*#REF!),"")</f>
        <v/>
      </c>
    </row>
    <row r="210" spans="2:9" x14ac:dyDescent="0.3">
      <c r="B210" t="str">
        <f>IFERROR(IF(A210="","",VLOOKUP(A210,CadProd!$A:$B,2,0)),"")</f>
        <v/>
      </c>
      <c r="C210" t="str">
        <f>IFERROR(IF(A210="","",VLOOKUP(A210,CadProd!$A:$C,3,0)),"")</f>
        <v/>
      </c>
      <c r="I210" s="1" t="str">
        <f>IFERROR(IF(A210="","",E210*#REF!),"")</f>
        <v/>
      </c>
    </row>
    <row r="211" spans="2:9" x14ac:dyDescent="0.3">
      <c r="B211" t="str">
        <f>IFERROR(IF(A211="","",VLOOKUP(A211,CadProd!$A:$B,2,0)),"")</f>
        <v/>
      </c>
      <c r="C211" t="str">
        <f>IFERROR(IF(A211="","",VLOOKUP(A211,CadProd!$A:$C,3,0)),"")</f>
        <v/>
      </c>
      <c r="I211" s="1" t="str">
        <f>IFERROR(IF(A211="","",E211*#REF!),"")</f>
        <v/>
      </c>
    </row>
    <row r="212" spans="2:9" x14ac:dyDescent="0.3">
      <c r="B212" t="str">
        <f>IFERROR(IF(A212="","",VLOOKUP(A212,CadProd!$A:$B,2,0)),"")</f>
        <v/>
      </c>
      <c r="C212" t="str">
        <f>IFERROR(IF(A212="","",VLOOKUP(A212,CadProd!$A:$C,3,0)),"")</f>
        <v/>
      </c>
      <c r="I212" s="1" t="str">
        <f>IFERROR(IF(A212="","",E212*#REF!),"")</f>
        <v/>
      </c>
    </row>
    <row r="213" spans="2:9" x14ac:dyDescent="0.3">
      <c r="B213" t="str">
        <f>IFERROR(IF(A213="","",VLOOKUP(A213,CadProd!$A:$B,2,0)),"")</f>
        <v/>
      </c>
      <c r="C213" t="str">
        <f>IFERROR(IF(A213="","",VLOOKUP(A213,CadProd!$A:$C,3,0)),"")</f>
        <v/>
      </c>
      <c r="I213" s="1" t="str">
        <f>IFERROR(IF(A213="","",E213*#REF!),"")</f>
        <v/>
      </c>
    </row>
    <row r="214" spans="2:9" x14ac:dyDescent="0.3">
      <c r="B214" t="str">
        <f>IFERROR(IF(A214="","",VLOOKUP(A214,CadProd!$A:$B,2,0)),"")</f>
        <v/>
      </c>
      <c r="C214" t="str">
        <f>IFERROR(IF(A214="","",VLOOKUP(A214,CadProd!$A:$C,3,0)),"")</f>
        <v/>
      </c>
      <c r="I214" s="1" t="str">
        <f>IFERROR(IF(A214="","",E214*#REF!),"")</f>
        <v/>
      </c>
    </row>
    <row r="215" spans="2:9" x14ac:dyDescent="0.3">
      <c r="B215" t="str">
        <f>IFERROR(IF(A215="","",VLOOKUP(A215,CadProd!$A:$B,2,0)),"")</f>
        <v/>
      </c>
      <c r="C215" t="str">
        <f>IFERROR(IF(A215="","",VLOOKUP(A215,CadProd!$A:$C,3,0)),"")</f>
        <v/>
      </c>
      <c r="I215" s="1" t="str">
        <f>IFERROR(IF(A215="","",E215*#REF!),"")</f>
        <v/>
      </c>
    </row>
    <row r="216" spans="2:9" x14ac:dyDescent="0.3">
      <c r="B216" t="str">
        <f>IFERROR(IF(A216="","",VLOOKUP(A216,CadProd!$A:$B,2,0)),"")</f>
        <v/>
      </c>
      <c r="C216" t="str">
        <f>IFERROR(IF(A216="","",VLOOKUP(A216,CadProd!$A:$C,3,0)),"")</f>
        <v/>
      </c>
      <c r="I216" s="1" t="str">
        <f>IFERROR(IF(A216="","",E216*#REF!),"")</f>
        <v/>
      </c>
    </row>
    <row r="217" spans="2:9" x14ac:dyDescent="0.3">
      <c r="B217" t="str">
        <f>IFERROR(IF(A217="","",VLOOKUP(A217,CadProd!$A:$B,2,0)),"")</f>
        <v/>
      </c>
      <c r="C217" t="str">
        <f>IFERROR(IF(A217="","",VLOOKUP(A217,CadProd!$A:$C,3,0)),"")</f>
        <v/>
      </c>
      <c r="I217" s="1" t="str">
        <f>IFERROR(IF(A217="","",E217*#REF!),"")</f>
        <v/>
      </c>
    </row>
    <row r="218" spans="2:9" x14ac:dyDescent="0.3">
      <c r="B218" t="str">
        <f>IFERROR(IF(A218="","",VLOOKUP(A218,CadProd!$A:$B,2,0)),"")</f>
        <v/>
      </c>
      <c r="C218" t="str">
        <f>IFERROR(IF(A218="","",VLOOKUP(A218,CadProd!$A:$C,3,0)),"")</f>
        <v/>
      </c>
      <c r="I218" s="1" t="str">
        <f>IFERROR(IF(A218="","",E218*#REF!),"")</f>
        <v/>
      </c>
    </row>
    <row r="219" spans="2:9" x14ac:dyDescent="0.3">
      <c r="B219" t="str">
        <f>IFERROR(IF(A219="","",VLOOKUP(A219,CadProd!$A:$B,2,0)),"")</f>
        <v/>
      </c>
      <c r="C219" t="str">
        <f>IFERROR(IF(A219="","",VLOOKUP(A219,CadProd!$A:$C,3,0)),"")</f>
        <v/>
      </c>
      <c r="I219" s="1" t="str">
        <f>IFERROR(IF(A219="","",E219*#REF!),"")</f>
        <v/>
      </c>
    </row>
    <row r="220" spans="2:9" x14ac:dyDescent="0.3">
      <c r="B220" t="str">
        <f>IFERROR(IF(A220="","",VLOOKUP(A220,CadProd!$A:$B,2,0)),"")</f>
        <v/>
      </c>
      <c r="C220" t="str">
        <f>IFERROR(IF(A220="","",VLOOKUP(A220,CadProd!$A:$C,3,0)),"")</f>
        <v/>
      </c>
      <c r="I220" s="1" t="str">
        <f>IFERROR(IF(A220="","",E220*#REF!),"")</f>
        <v/>
      </c>
    </row>
    <row r="221" spans="2:9" x14ac:dyDescent="0.3">
      <c r="B221" t="str">
        <f>IFERROR(IF(A221="","",VLOOKUP(A221,CadProd!$A:$B,2,0)),"")</f>
        <v/>
      </c>
      <c r="C221" t="str">
        <f>IFERROR(IF(A221="","",VLOOKUP(A221,CadProd!$A:$C,3,0)),"")</f>
        <v/>
      </c>
      <c r="I221" s="1" t="str">
        <f>IFERROR(IF(A221="","",E221*#REF!),"")</f>
        <v/>
      </c>
    </row>
    <row r="222" spans="2:9" x14ac:dyDescent="0.3">
      <c r="B222" t="str">
        <f>IFERROR(IF(A222="","",VLOOKUP(A222,CadProd!$A:$B,2,0)),"")</f>
        <v/>
      </c>
      <c r="C222" t="str">
        <f>IFERROR(IF(A222="","",VLOOKUP(A222,CadProd!$A:$C,3,0)),"")</f>
        <v/>
      </c>
      <c r="I222" s="1" t="str">
        <f>IFERROR(IF(A222="","",E222*#REF!),"")</f>
        <v/>
      </c>
    </row>
    <row r="223" spans="2:9" x14ac:dyDescent="0.3">
      <c r="B223" t="str">
        <f>IFERROR(IF(A223="","",VLOOKUP(A223,CadProd!$A:$B,2,0)),"")</f>
        <v/>
      </c>
      <c r="C223" t="str">
        <f>IFERROR(IF(A223="","",VLOOKUP(A223,CadProd!$A:$C,3,0)),"")</f>
        <v/>
      </c>
      <c r="I223" s="1" t="str">
        <f>IFERROR(IF(A223="","",E223*#REF!),"")</f>
        <v/>
      </c>
    </row>
    <row r="224" spans="2:9" x14ac:dyDescent="0.3">
      <c r="B224" t="str">
        <f>IFERROR(IF(A224="","",VLOOKUP(A224,CadProd!$A:$B,2,0)),"")</f>
        <v/>
      </c>
      <c r="C224" t="str">
        <f>IFERROR(IF(A224="","",VLOOKUP(A224,CadProd!$A:$C,3,0)),"")</f>
        <v/>
      </c>
      <c r="I224" s="1" t="str">
        <f>IFERROR(IF(A224="","",E224*#REF!),"")</f>
        <v/>
      </c>
    </row>
    <row r="225" spans="2:9" x14ac:dyDescent="0.3">
      <c r="B225" t="str">
        <f>IFERROR(IF(A225="","",VLOOKUP(A225,CadProd!$A:$B,2,0)),"")</f>
        <v/>
      </c>
      <c r="C225" t="str">
        <f>IFERROR(IF(A225="","",VLOOKUP(A225,CadProd!$A:$C,3,0)),"")</f>
        <v/>
      </c>
      <c r="I225" s="1" t="str">
        <f>IFERROR(IF(A225="","",E225*#REF!),"")</f>
        <v/>
      </c>
    </row>
    <row r="226" spans="2:9" x14ac:dyDescent="0.3">
      <c r="B226" t="str">
        <f>IFERROR(IF(A226="","",VLOOKUP(A226,CadProd!$A:$B,2,0)),"")</f>
        <v/>
      </c>
      <c r="C226" t="str">
        <f>IFERROR(IF(A226="","",VLOOKUP(A226,CadProd!$A:$C,3,0)),"")</f>
        <v/>
      </c>
      <c r="I226" s="1" t="str">
        <f>IFERROR(IF(A226="","",E226*#REF!),"")</f>
        <v/>
      </c>
    </row>
    <row r="227" spans="2:9" x14ac:dyDescent="0.3">
      <c r="B227" t="str">
        <f>IFERROR(IF(A227="","",VLOOKUP(A227,CadProd!$A:$B,2,0)),"")</f>
        <v/>
      </c>
      <c r="C227" t="str">
        <f>IFERROR(IF(A227="","",VLOOKUP(A227,CadProd!$A:$C,3,0)),"")</f>
        <v/>
      </c>
      <c r="I227" s="1" t="str">
        <f>IFERROR(IF(A227="","",E227*#REF!),"")</f>
        <v/>
      </c>
    </row>
    <row r="228" spans="2:9" x14ac:dyDescent="0.3">
      <c r="B228" t="str">
        <f>IFERROR(IF(A228="","",VLOOKUP(A228,CadProd!$A:$B,2,0)),"")</f>
        <v/>
      </c>
      <c r="C228" t="str">
        <f>IFERROR(IF(A228="","",VLOOKUP(A228,CadProd!$A:$C,3,0)),"")</f>
        <v/>
      </c>
      <c r="I228" s="1" t="str">
        <f>IFERROR(IF(A228="","",E228*#REF!),"")</f>
        <v/>
      </c>
    </row>
    <row r="229" spans="2:9" x14ac:dyDescent="0.3">
      <c r="B229" t="str">
        <f>IFERROR(IF(A229="","",VLOOKUP(A229,CadProd!$A:$B,2,0)),"")</f>
        <v/>
      </c>
      <c r="C229" t="str">
        <f>IFERROR(IF(A229="","",VLOOKUP(A229,CadProd!$A:$C,3,0)),"")</f>
        <v/>
      </c>
      <c r="I229" s="1" t="str">
        <f>IFERROR(IF(A229="","",E229*#REF!),"")</f>
        <v/>
      </c>
    </row>
    <row r="230" spans="2:9" x14ac:dyDescent="0.3">
      <c r="B230" t="str">
        <f>IFERROR(IF(A230="","",VLOOKUP(A230,CadProd!$A:$B,2,0)),"")</f>
        <v/>
      </c>
      <c r="C230" t="str">
        <f>IFERROR(IF(A230="","",VLOOKUP(A230,CadProd!$A:$C,3,0)),"")</f>
        <v/>
      </c>
      <c r="I230" s="1" t="str">
        <f>IFERROR(IF(A230="","",E230*#REF!),"")</f>
        <v/>
      </c>
    </row>
    <row r="231" spans="2:9" x14ac:dyDescent="0.3">
      <c r="B231" t="str">
        <f>IFERROR(IF(A231="","",VLOOKUP(A231,CadProd!$A:$B,2,0)),"")</f>
        <v/>
      </c>
      <c r="C231" t="str">
        <f>IFERROR(IF(A231="","",VLOOKUP(A231,CadProd!$A:$C,3,0)),"")</f>
        <v/>
      </c>
      <c r="I231" s="1" t="str">
        <f>IFERROR(IF(A231="","",E231*#REF!),"")</f>
        <v/>
      </c>
    </row>
    <row r="232" spans="2:9" x14ac:dyDescent="0.3">
      <c r="B232" t="str">
        <f>IFERROR(IF(A232="","",VLOOKUP(A232,CadProd!$A:$B,2,0)),"")</f>
        <v/>
      </c>
      <c r="C232" t="str">
        <f>IFERROR(IF(A232="","",VLOOKUP(A232,CadProd!$A:$C,3,0)),"")</f>
        <v/>
      </c>
      <c r="I232" s="1" t="str">
        <f>IFERROR(IF(A232="","",E232*#REF!),"")</f>
        <v/>
      </c>
    </row>
    <row r="233" spans="2:9" x14ac:dyDescent="0.3">
      <c r="B233" t="str">
        <f>IFERROR(IF(A233="","",VLOOKUP(A233,CadProd!$A:$B,2,0)),"")</f>
        <v/>
      </c>
      <c r="C233" t="str">
        <f>IFERROR(IF(A233="","",VLOOKUP(A233,CadProd!$A:$C,3,0)),"")</f>
        <v/>
      </c>
      <c r="I233" s="1" t="str">
        <f>IFERROR(IF(A233="","",E233*#REF!),"")</f>
        <v/>
      </c>
    </row>
    <row r="234" spans="2:9" x14ac:dyDescent="0.3">
      <c r="B234" t="str">
        <f>IFERROR(IF(A234="","",VLOOKUP(A234,CadProd!$A:$B,2,0)),"")</f>
        <v/>
      </c>
      <c r="C234" t="str">
        <f>IFERROR(IF(A234="","",VLOOKUP(A234,CadProd!$A:$C,3,0)),"")</f>
        <v/>
      </c>
      <c r="I234" s="1" t="str">
        <f>IFERROR(IF(A234="","",E234*#REF!),"")</f>
        <v/>
      </c>
    </row>
    <row r="235" spans="2:9" x14ac:dyDescent="0.3">
      <c r="B235" t="str">
        <f>IFERROR(IF(A235="","",VLOOKUP(A235,CadProd!$A:$B,2,0)),"")</f>
        <v/>
      </c>
      <c r="C235" t="str">
        <f>IFERROR(IF(A235="","",VLOOKUP(A235,CadProd!$A:$C,3,0)),"")</f>
        <v/>
      </c>
      <c r="I235" s="1" t="str">
        <f>IFERROR(IF(A235="","",E235*#REF!),"")</f>
        <v/>
      </c>
    </row>
    <row r="236" spans="2:9" x14ac:dyDescent="0.3">
      <c r="B236" t="str">
        <f>IFERROR(IF(A236="","",VLOOKUP(A236,CadProd!$A:$B,2,0)),"")</f>
        <v/>
      </c>
      <c r="C236" t="str">
        <f>IFERROR(IF(A236="","",VLOOKUP(A236,CadProd!$A:$C,3,0)),"")</f>
        <v/>
      </c>
      <c r="I236" s="1" t="str">
        <f>IFERROR(IF(A236="","",E236*#REF!),"")</f>
        <v/>
      </c>
    </row>
    <row r="237" spans="2:9" x14ac:dyDescent="0.3">
      <c r="B237" t="str">
        <f>IFERROR(IF(A237="","",VLOOKUP(A237,CadProd!$A:$B,2,0)),"")</f>
        <v/>
      </c>
      <c r="C237" t="str">
        <f>IFERROR(IF(A237="","",VLOOKUP(A237,CadProd!$A:$C,3,0)),"")</f>
        <v/>
      </c>
      <c r="I237" s="1" t="str">
        <f>IFERROR(IF(A237="","",E237*#REF!),"")</f>
        <v/>
      </c>
    </row>
    <row r="238" spans="2:9" x14ac:dyDescent="0.3">
      <c r="B238" t="str">
        <f>IFERROR(IF(A238="","",VLOOKUP(A238,CadProd!$A:$B,2,0)),"")</f>
        <v/>
      </c>
      <c r="C238" t="str">
        <f>IFERROR(IF(A238="","",VLOOKUP(A238,CadProd!$A:$C,3,0)),"")</f>
        <v/>
      </c>
      <c r="I238" s="1" t="str">
        <f>IFERROR(IF(A238="","",E238*#REF!),"")</f>
        <v/>
      </c>
    </row>
    <row r="239" spans="2:9" x14ac:dyDescent="0.3">
      <c r="B239" t="str">
        <f>IFERROR(IF(A239="","",VLOOKUP(A239,CadProd!$A:$B,2,0)),"")</f>
        <v/>
      </c>
      <c r="C239" t="str">
        <f>IFERROR(IF(A239="","",VLOOKUP(A239,CadProd!$A:$C,3,0)),"")</f>
        <v/>
      </c>
      <c r="I239" s="1" t="str">
        <f>IFERROR(IF(A239="","",E239*#REF!),"")</f>
        <v/>
      </c>
    </row>
    <row r="240" spans="2:9" x14ac:dyDescent="0.3">
      <c r="B240" t="str">
        <f>IFERROR(IF(A240="","",VLOOKUP(A240,CadProd!$A:$B,2,0)),"")</f>
        <v/>
      </c>
      <c r="C240" t="str">
        <f>IFERROR(IF(A240="","",VLOOKUP(A240,CadProd!$A:$C,3,0)),"")</f>
        <v/>
      </c>
      <c r="I240" s="1" t="str">
        <f>IFERROR(IF(A240="","",E240*#REF!),"")</f>
        <v/>
      </c>
    </row>
    <row r="241" spans="2:9" x14ac:dyDescent="0.3">
      <c r="B241" t="str">
        <f>IFERROR(IF(A241="","",VLOOKUP(A241,CadProd!$A:$B,2,0)),"")</f>
        <v/>
      </c>
      <c r="C241" t="str">
        <f>IFERROR(IF(A241="","",VLOOKUP(A241,CadProd!$A:$C,3,0)),"")</f>
        <v/>
      </c>
      <c r="I241" s="1" t="str">
        <f>IFERROR(IF(A241="","",E241*#REF!),"")</f>
        <v/>
      </c>
    </row>
    <row r="242" spans="2:9" x14ac:dyDescent="0.3">
      <c r="B242" t="str">
        <f>IFERROR(IF(A242="","",VLOOKUP(A242,CadProd!$A:$B,2,0)),"")</f>
        <v/>
      </c>
      <c r="C242" t="str">
        <f>IFERROR(IF(A242="","",VLOOKUP(A242,CadProd!$A:$C,3,0)),"")</f>
        <v/>
      </c>
      <c r="I242" s="1" t="str">
        <f>IFERROR(IF(A242="","",E242*#REF!),"")</f>
        <v/>
      </c>
    </row>
    <row r="243" spans="2:9" x14ac:dyDescent="0.3">
      <c r="B243" t="str">
        <f>IFERROR(IF(A243="","",VLOOKUP(A243,CadProd!$A:$B,2,0)),"")</f>
        <v/>
      </c>
      <c r="C243" t="str">
        <f>IFERROR(IF(A243="","",VLOOKUP(A243,CadProd!$A:$C,3,0)),"")</f>
        <v/>
      </c>
      <c r="I243" s="1" t="str">
        <f>IFERROR(IF(A243="","",E243*#REF!),"")</f>
        <v/>
      </c>
    </row>
    <row r="244" spans="2:9" x14ac:dyDescent="0.3">
      <c r="B244" t="str">
        <f>IFERROR(IF(A244="","",VLOOKUP(A244,CadProd!$A:$B,2,0)),"")</f>
        <v/>
      </c>
      <c r="C244" t="str">
        <f>IFERROR(IF(A244="","",VLOOKUP(A244,CadProd!$A:$C,3,0)),"")</f>
        <v/>
      </c>
      <c r="I244" s="1" t="str">
        <f>IFERROR(IF(A244="","",E244*#REF!),"")</f>
        <v/>
      </c>
    </row>
    <row r="245" spans="2:9" x14ac:dyDescent="0.3">
      <c r="B245" t="str">
        <f>IFERROR(IF(A245="","",VLOOKUP(A245,CadProd!$A:$B,2,0)),"")</f>
        <v/>
      </c>
      <c r="C245" t="str">
        <f>IFERROR(IF(A245="","",VLOOKUP(A245,CadProd!$A:$C,3,0)),"")</f>
        <v/>
      </c>
      <c r="I245" s="1" t="str">
        <f>IFERROR(IF(A245="","",E245*#REF!),"")</f>
        <v/>
      </c>
    </row>
    <row r="246" spans="2:9" x14ac:dyDescent="0.3">
      <c r="B246" t="str">
        <f>IFERROR(IF(A246="","",VLOOKUP(A246,CadProd!$A:$B,2,0)),"")</f>
        <v/>
      </c>
      <c r="C246" t="str">
        <f>IFERROR(IF(A246="","",VLOOKUP(A246,CadProd!$A:$C,3,0)),"")</f>
        <v/>
      </c>
      <c r="I246" s="1" t="str">
        <f>IFERROR(IF(A246="","",E246*#REF!),"")</f>
        <v/>
      </c>
    </row>
    <row r="247" spans="2:9" x14ac:dyDescent="0.3">
      <c r="B247" t="str">
        <f>IFERROR(IF(A247="","",VLOOKUP(A247,CadProd!$A:$B,2,0)),"")</f>
        <v/>
      </c>
      <c r="C247" t="str">
        <f>IFERROR(IF(A247="","",VLOOKUP(A247,CadProd!$A:$C,3,0)),"")</f>
        <v/>
      </c>
      <c r="I247" s="1" t="str">
        <f>IFERROR(IF(A247="","",E247*#REF!),"")</f>
        <v/>
      </c>
    </row>
    <row r="248" spans="2:9" x14ac:dyDescent="0.3">
      <c r="B248" t="str">
        <f>IFERROR(IF(A248="","",VLOOKUP(A248,CadProd!$A:$B,2,0)),"")</f>
        <v/>
      </c>
      <c r="C248" t="str">
        <f>IFERROR(IF(A248="","",VLOOKUP(A248,CadProd!$A:$C,3,0)),"")</f>
        <v/>
      </c>
      <c r="I248" s="1" t="str">
        <f>IFERROR(IF(A248="","",E248*#REF!),"")</f>
        <v/>
      </c>
    </row>
    <row r="249" spans="2:9" x14ac:dyDescent="0.3">
      <c r="B249" t="str">
        <f>IFERROR(IF(A249="","",VLOOKUP(A249,CadProd!$A:$B,2,0)),"")</f>
        <v/>
      </c>
      <c r="C249" t="str">
        <f>IFERROR(IF(A249="","",VLOOKUP(A249,CadProd!$A:$C,3,0)),"")</f>
        <v/>
      </c>
      <c r="I249" s="1" t="str">
        <f>IFERROR(IF(A249="","",E249*#REF!),"")</f>
        <v/>
      </c>
    </row>
    <row r="250" spans="2:9" x14ac:dyDescent="0.3">
      <c r="B250" t="str">
        <f>IFERROR(IF(A250="","",VLOOKUP(A250,CadProd!$A:$B,2,0)),"")</f>
        <v/>
      </c>
      <c r="C250" t="str">
        <f>IFERROR(IF(A250="","",VLOOKUP(A250,CadProd!$A:$C,3,0)),"")</f>
        <v/>
      </c>
      <c r="I250" s="1" t="str">
        <f>IFERROR(IF(A250="","",E250*#REF!),"")</f>
        <v/>
      </c>
    </row>
    <row r="251" spans="2:9" x14ac:dyDescent="0.3">
      <c r="B251" t="str">
        <f>IFERROR(IF(A251="","",VLOOKUP(A251,CadProd!$A:$B,2,0)),"")</f>
        <v/>
      </c>
      <c r="C251" t="str">
        <f>IFERROR(IF(A251="","",VLOOKUP(A251,CadProd!$A:$C,3,0)),"")</f>
        <v/>
      </c>
      <c r="I251" s="1" t="str">
        <f>IFERROR(IF(A251="","",E251*#REF!),"")</f>
        <v/>
      </c>
    </row>
    <row r="252" spans="2:9" x14ac:dyDescent="0.3">
      <c r="B252" t="str">
        <f>IFERROR(IF(A252="","",VLOOKUP(A252,CadProd!$A:$B,2,0)),"")</f>
        <v/>
      </c>
      <c r="C252" t="str">
        <f>IFERROR(IF(A252="","",VLOOKUP(A252,CadProd!$A:$C,3,0)),"")</f>
        <v/>
      </c>
      <c r="I252" s="1" t="str">
        <f>IFERROR(IF(A252="","",E252*#REF!),"")</f>
        <v/>
      </c>
    </row>
    <row r="253" spans="2:9" x14ac:dyDescent="0.3">
      <c r="B253" t="str">
        <f>IFERROR(IF(A253="","",VLOOKUP(A253,CadProd!$A:$B,2,0)),"")</f>
        <v/>
      </c>
      <c r="C253" t="str">
        <f>IFERROR(IF(A253="","",VLOOKUP(A253,CadProd!$A:$C,3,0)),"")</f>
        <v/>
      </c>
      <c r="I253" s="1" t="str">
        <f>IFERROR(IF(A253="","",E253*#REF!),"")</f>
        <v/>
      </c>
    </row>
    <row r="254" spans="2:9" x14ac:dyDescent="0.3">
      <c r="B254" t="str">
        <f>IFERROR(IF(A254="","",VLOOKUP(A254,CadProd!$A:$B,2,0)),"")</f>
        <v/>
      </c>
      <c r="C254" t="str">
        <f>IFERROR(IF(A254="","",VLOOKUP(A254,CadProd!$A:$C,3,0)),"")</f>
        <v/>
      </c>
      <c r="I254" s="1" t="str">
        <f>IFERROR(IF(A254="","",E254*#REF!),"")</f>
        <v/>
      </c>
    </row>
    <row r="255" spans="2:9" x14ac:dyDescent="0.3">
      <c r="B255" t="str">
        <f>IFERROR(IF(A255="","",VLOOKUP(A255,CadProd!$A:$B,2,0)),"")</f>
        <v/>
      </c>
      <c r="C255" t="str">
        <f>IFERROR(IF(A255="","",VLOOKUP(A255,CadProd!$A:$C,3,0)),"")</f>
        <v/>
      </c>
      <c r="I255" s="1" t="str">
        <f>IFERROR(IF(A255="","",E255*#REF!),"")</f>
        <v/>
      </c>
    </row>
    <row r="256" spans="2:9" x14ac:dyDescent="0.3">
      <c r="B256" t="str">
        <f>IFERROR(IF(A256="","",VLOOKUP(A256,CadProd!$A:$B,2,0)),"")</f>
        <v/>
      </c>
      <c r="C256" t="str">
        <f>IFERROR(IF(A256="","",VLOOKUP(A256,CadProd!$A:$C,3,0)),"")</f>
        <v/>
      </c>
      <c r="I256" s="1" t="str">
        <f>IFERROR(IF(A256="","",E256*#REF!),"")</f>
        <v/>
      </c>
    </row>
    <row r="257" spans="2:9" x14ac:dyDescent="0.3">
      <c r="B257" t="str">
        <f>IFERROR(IF(A257="","",VLOOKUP(A257,CadProd!$A:$B,2,0)),"")</f>
        <v/>
      </c>
      <c r="C257" t="str">
        <f>IFERROR(IF(A257="","",VLOOKUP(A257,CadProd!$A:$C,3,0)),"")</f>
        <v/>
      </c>
      <c r="I257" s="1" t="str">
        <f>IFERROR(IF(A257="","",E257*#REF!),"")</f>
        <v/>
      </c>
    </row>
    <row r="258" spans="2:9" x14ac:dyDescent="0.3">
      <c r="B258" t="str">
        <f>IFERROR(IF(A258="","",VLOOKUP(A258,CadProd!$A:$B,2,0)),"")</f>
        <v/>
      </c>
      <c r="C258" t="str">
        <f>IFERROR(IF(A258="","",VLOOKUP(A258,CadProd!$A:$C,3,0)),"")</f>
        <v/>
      </c>
      <c r="I258" s="1" t="str">
        <f>IFERROR(IF(A258="","",E258*#REF!),"")</f>
        <v/>
      </c>
    </row>
    <row r="259" spans="2:9" x14ac:dyDescent="0.3">
      <c r="B259" t="str">
        <f>IFERROR(IF(A259="","",VLOOKUP(A259,CadProd!$A:$B,2,0)),"")</f>
        <v/>
      </c>
      <c r="C259" t="str">
        <f>IFERROR(IF(A259="","",VLOOKUP(A259,CadProd!$A:$C,3,0)),"")</f>
        <v/>
      </c>
      <c r="I259" s="1" t="str">
        <f>IFERROR(IF(A259="","",E259*#REF!),"")</f>
        <v/>
      </c>
    </row>
    <row r="260" spans="2:9" x14ac:dyDescent="0.3">
      <c r="B260" t="str">
        <f>IFERROR(IF(A260="","",VLOOKUP(A260,CadProd!$A:$B,2,0)),"")</f>
        <v/>
      </c>
      <c r="C260" t="str">
        <f>IFERROR(IF(A260="","",VLOOKUP(A260,CadProd!$A:$C,3,0)),"")</f>
        <v/>
      </c>
      <c r="I260" s="1" t="str">
        <f>IFERROR(IF(A260="","",E260*#REF!),"")</f>
        <v/>
      </c>
    </row>
    <row r="261" spans="2:9" x14ac:dyDescent="0.3">
      <c r="B261" t="str">
        <f>IFERROR(IF(A261="","",VLOOKUP(A261,CadProd!$A:$B,2,0)),"")</f>
        <v/>
      </c>
      <c r="C261" t="str">
        <f>IFERROR(IF(A261="","",VLOOKUP(A261,CadProd!$A:$C,3,0)),"")</f>
        <v/>
      </c>
      <c r="I261" s="1" t="str">
        <f>IFERROR(IF(A261="","",E261*#REF!),"")</f>
        <v/>
      </c>
    </row>
    <row r="262" spans="2:9" x14ac:dyDescent="0.3">
      <c r="B262" t="str">
        <f>IFERROR(IF(A262="","",VLOOKUP(A262,CadProd!$A:$B,2,0)),"")</f>
        <v/>
      </c>
      <c r="C262" t="str">
        <f>IFERROR(IF(A262="","",VLOOKUP(A262,CadProd!$A:$C,3,0)),"")</f>
        <v/>
      </c>
      <c r="I262" s="1" t="str">
        <f>IFERROR(IF(A262="","",E262*#REF!),"")</f>
        <v/>
      </c>
    </row>
    <row r="263" spans="2:9" x14ac:dyDescent="0.3">
      <c r="B263" t="str">
        <f>IFERROR(IF(A263="","",VLOOKUP(A263,CadProd!$A:$B,2,0)),"")</f>
        <v/>
      </c>
      <c r="C263" t="str">
        <f>IFERROR(IF(A263="","",VLOOKUP(A263,CadProd!$A:$C,3,0)),"")</f>
        <v/>
      </c>
      <c r="I263" s="1" t="str">
        <f>IFERROR(IF(A263="","",E263*#REF!),"")</f>
        <v/>
      </c>
    </row>
    <row r="264" spans="2:9" x14ac:dyDescent="0.3">
      <c r="B264" t="str">
        <f>IFERROR(IF(A264="","",VLOOKUP(A264,CadProd!$A:$B,2,0)),"")</f>
        <v/>
      </c>
      <c r="C264" t="str">
        <f>IFERROR(IF(A264="","",VLOOKUP(A264,CadProd!$A:$C,3,0)),"")</f>
        <v/>
      </c>
      <c r="I264" s="1" t="str">
        <f>IFERROR(IF(A264="","",E264*#REF!),"")</f>
        <v/>
      </c>
    </row>
    <row r="265" spans="2:9" x14ac:dyDescent="0.3">
      <c r="B265" t="str">
        <f>IFERROR(IF(A265="","",VLOOKUP(A265,CadProd!$A:$B,2,0)),"")</f>
        <v/>
      </c>
      <c r="C265" t="str">
        <f>IFERROR(IF(A265="","",VLOOKUP(A265,CadProd!$A:$C,3,0)),"")</f>
        <v/>
      </c>
      <c r="I265" s="1" t="str">
        <f>IFERROR(IF(A265="","",E265*#REF!),"")</f>
        <v/>
      </c>
    </row>
    <row r="266" spans="2:9" x14ac:dyDescent="0.3">
      <c r="B266" t="str">
        <f>IFERROR(IF(A266="","",VLOOKUP(A266,CadProd!$A:$B,2,0)),"")</f>
        <v/>
      </c>
      <c r="C266" t="str">
        <f>IFERROR(IF(A266="","",VLOOKUP(A266,CadProd!$A:$C,3,0)),"")</f>
        <v/>
      </c>
      <c r="I266" s="1" t="str">
        <f>IFERROR(IF(A266="","",E266*#REF!),"")</f>
        <v/>
      </c>
    </row>
    <row r="267" spans="2:9" x14ac:dyDescent="0.3">
      <c r="B267" t="str">
        <f>IFERROR(IF(A267="","",VLOOKUP(A267,CadProd!$A:$B,2,0)),"")</f>
        <v/>
      </c>
      <c r="C267" t="str">
        <f>IFERROR(IF(A267="","",VLOOKUP(A267,CadProd!$A:$C,3,0)),"")</f>
        <v/>
      </c>
      <c r="I267" s="1" t="str">
        <f>IFERROR(IF(A267="","",E267*#REF!),"")</f>
        <v/>
      </c>
    </row>
    <row r="268" spans="2:9" x14ac:dyDescent="0.3">
      <c r="B268" t="str">
        <f>IFERROR(IF(A268="","",VLOOKUP(A268,CadProd!$A:$B,2,0)),"")</f>
        <v/>
      </c>
      <c r="C268" t="str">
        <f>IFERROR(IF(A268="","",VLOOKUP(A268,CadProd!$A:$C,3,0)),"")</f>
        <v/>
      </c>
      <c r="I268" s="1" t="str">
        <f>IFERROR(IF(A268="","",E268*#REF!),"")</f>
        <v/>
      </c>
    </row>
    <row r="269" spans="2:9" x14ac:dyDescent="0.3">
      <c r="B269" t="str">
        <f>IFERROR(IF(A269="","",VLOOKUP(A269,CadProd!$A:$B,2,0)),"")</f>
        <v/>
      </c>
      <c r="C269" t="str">
        <f>IFERROR(IF(A269="","",VLOOKUP(A269,CadProd!$A:$C,3,0)),"")</f>
        <v/>
      </c>
      <c r="I269" s="1" t="str">
        <f>IFERROR(IF(A269="","",E269*#REF!),"")</f>
        <v/>
      </c>
    </row>
    <row r="270" spans="2:9" x14ac:dyDescent="0.3">
      <c r="B270" t="str">
        <f>IFERROR(IF(A270="","",VLOOKUP(A270,CadProd!$A:$B,2,0)),"")</f>
        <v/>
      </c>
      <c r="C270" t="str">
        <f>IFERROR(IF(A270="","",VLOOKUP(A270,CadProd!$A:$C,3,0)),"")</f>
        <v/>
      </c>
      <c r="I270" s="1" t="str">
        <f>IFERROR(IF(A270="","",E270*#REF!),"")</f>
        <v/>
      </c>
    </row>
    <row r="271" spans="2:9" x14ac:dyDescent="0.3">
      <c r="B271" t="str">
        <f>IFERROR(IF(A271="","",VLOOKUP(A271,CadProd!$A:$B,2,0)),"")</f>
        <v/>
      </c>
      <c r="C271" t="str">
        <f>IFERROR(IF(A271="","",VLOOKUP(A271,CadProd!$A:$C,3,0)),"")</f>
        <v/>
      </c>
      <c r="I271" s="1" t="str">
        <f>IFERROR(IF(A271="","",E271*#REF!),"")</f>
        <v/>
      </c>
    </row>
    <row r="272" spans="2:9" x14ac:dyDescent="0.3">
      <c r="B272" t="str">
        <f>IFERROR(IF(A272="","",VLOOKUP(A272,CadProd!$A:$B,2,0)),"")</f>
        <v/>
      </c>
      <c r="C272" t="str">
        <f>IFERROR(IF(A272="","",VLOOKUP(A272,CadProd!$A:$C,3,0)),"")</f>
        <v/>
      </c>
      <c r="I272" s="1" t="str">
        <f>IFERROR(IF(A272="","",E272*#REF!),"")</f>
        <v/>
      </c>
    </row>
    <row r="273" spans="2:9" x14ac:dyDescent="0.3">
      <c r="B273" t="str">
        <f>IFERROR(IF(A273="","",VLOOKUP(A273,CadProd!$A:$B,2,0)),"")</f>
        <v/>
      </c>
      <c r="C273" t="str">
        <f>IFERROR(IF(A273="","",VLOOKUP(A273,CadProd!$A:$C,3,0)),"")</f>
        <v/>
      </c>
      <c r="I273" s="1" t="str">
        <f>IFERROR(IF(A273="","",E273*#REF!),"")</f>
        <v/>
      </c>
    </row>
    <row r="274" spans="2:9" x14ac:dyDescent="0.3">
      <c r="B274" t="str">
        <f>IFERROR(IF(A274="","",VLOOKUP(A274,CadProd!$A:$B,2,0)),"")</f>
        <v/>
      </c>
      <c r="C274" t="str">
        <f>IFERROR(IF(A274="","",VLOOKUP(A274,CadProd!$A:$C,3,0)),"")</f>
        <v/>
      </c>
      <c r="I274" s="1" t="str">
        <f>IFERROR(IF(A274="","",E274*#REF!),"")</f>
        <v/>
      </c>
    </row>
    <row r="275" spans="2:9" x14ac:dyDescent="0.3">
      <c r="B275" t="str">
        <f>IFERROR(IF(A275="","",VLOOKUP(A275,CadProd!$A:$B,2,0)),"")</f>
        <v/>
      </c>
      <c r="C275" t="str">
        <f>IFERROR(IF(A275="","",VLOOKUP(A275,CadProd!$A:$C,3,0)),"")</f>
        <v/>
      </c>
      <c r="I275" s="1" t="str">
        <f>IFERROR(IF(A275="","",E275*#REF!),"")</f>
        <v/>
      </c>
    </row>
    <row r="276" spans="2:9" x14ac:dyDescent="0.3">
      <c r="B276" t="str">
        <f>IFERROR(IF(A276="","",VLOOKUP(A276,CadProd!$A:$B,2,0)),"")</f>
        <v/>
      </c>
      <c r="C276" t="str">
        <f>IFERROR(IF(A276="","",VLOOKUP(A276,CadProd!$A:$C,3,0)),"")</f>
        <v/>
      </c>
      <c r="I276" s="1" t="str">
        <f>IFERROR(IF(A276="","",E276*#REF!),"")</f>
        <v/>
      </c>
    </row>
    <row r="277" spans="2:9" x14ac:dyDescent="0.3">
      <c r="B277" t="str">
        <f>IFERROR(IF(A277="","",VLOOKUP(A277,CadProd!$A:$B,2,0)),"")</f>
        <v/>
      </c>
      <c r="C277" t="str">
        <f>IFERROR(IF(A277="","",VLOOKUP(A277,CadProd!$A:$C,3,0)),"")</f>
        <v/>
      </c>
      <c r="I277" s="1" t="str">
        <f>IFERROR(IF(A277="","",E277*#REF!),"")</f>
        <v/>
      </c>
    </row>
    <row r="278" spans="2:9" x14ac:dyDescent="0.3">
      <c r="B278" t="str">
        <f>IFERROR(IF(A278="","",VLOOKUP(A278,CadProd!$A:$B,2,0)),"")</f>
        <v/>
      </c>
      <c r="C278" t="str">
        <f>IFERROR(IF(A278="","",VLOOKUP(A278,CadProd!$A:$C,3,0)),"")</f>
        <v/>
      </c>
      <c r="I278" s="1" t="str">
        <f>IFERROR(IF(A278="","",E278*#REF!),"")</f>
        <v/>
      </c>
    </row>
    <row r="279" spans="2:9" x14ac:dyDescent="0.3">
      <c r="B279" t="str">
        <f>IFERROR(IF(A279="","",VLOOKUP(A279,CadProd!$A:$B,2,0)),"")</f>
        <v/>
      </c>
      <c r="C279" t="str">
        <f>IFERROR(IF(A279="","",VLOOKUP(A279,CadProd!$A:$C,3,0)),"")</f>
        <v/>
      </c>
      <c r="I279" s="1" t="str">
        <f>IFERROR(IF(A279="","",E279*#REF!),"")</f>
        <v/>
      </c>
    </row>
    <row r="280" spans="2:9" x14ac:dyDescent="0.3">
      <c r="B280" t="str">
        <f>IFERROR(IF(A280="","",VLOOKUP(A280,CadProd!$A:$B,2,0)),"")</f>
        <v/>
      </c>
      <c r="C280" t="str">
        <f>IFERROR(IF(A280="","",VLOOKUP(A280,CadProd!$A:$C,3,0)),"")</f>
        <v/>
      </c>
      <c r="I280" s="1" t="str">
        <f>IFERROR(IF(A280="","",E280*#REF!),"")</f>
        <v/>
      </c>
    </row>
    <row r="281" spans="2:9" x14ac:dyDescent="0.3">
      <c r="B281" t="str">
        <f>IFERROR(IF(A281="","",VLOOKUP(A281,CadProd!$A:$B,2,0)),"")</f>
        <v/>
      </c>
      <c r="C281" t="str">
        <f>IFERROR(IF(A281="","",VLOOKUP(A281,CadProd!$A:$C,3,0)),"")</f>
        <v/>
      </c>
      <c r="I281" s="1" t="str">
        <f>IFERROR(IF(A281="","",E281*#REF!),"")</f>
        <v/>
      </c>
    </row>
    <row r="282" spans="2:9" x14ac:dyDescent="0.3">
      <c r="B282" t="str">
        <f>IFERROR(IF(A282="","",VLOOKUP(A282,CadProd!$A:$B,2,0)),"")</f>
        <v/>
      </c>
      <c r="C282" t="str">
        <f>IFERROR(IF(A282="","",VLOOKUP(A282,CadProd!$A:$C,3,0)),"")</f>
        <v/>
      </c>
      <c r="I282" s="1" t="str">
        <f>IFERROR(IF(A282="","",E282*#REF!),"")</f>
        <v/>
      </c>
    </row>
    <row r="283" spans="2:9" x14ac:dyDescent="0.3">
      <c r="B283" t="str">
        <f>IFERROR(IF(A283="","",VLOOKUP(A283,CadProd!$A:$B,2,0)),"")</f>
        <v/>
      </c>
      <c r="C283" t="str">
        <f>IFERROR(IF(A283="","",VLOOKUP(A283,CadProd!$A:$C,3,0)),"")</f>
        <v/>
      </c>
      <c r="I283" s="1" t="str">
        <f>IFERROR(IF(A283="","",E283*#REF!),"")</f>
        <v/>
      </c>
    </row>
    <row r="284" spans="2:9" x14ac:dyDescent="0.3">
      <c r="B284" t="str">
        <f>IFERROR(IF(A284="","",VLOOKUP(A284,CadProd!$A:$B,2,0)),"")</f>
        <v/>
      </c>
      <c r="C284" t="str">
        <f>IFERROR(IF(A284="","",VLOOKUP(A284,CadProd!$A:$C,3,0)),"")</f>
        <v/>
      </c>
      <c r="I284" s="1" t="str">
        <f>IFERROR(IF(A284="","",E284*#REF!),"")</f>
        <v/>
      </c>
    </row>
    <row r="285" spans="2:9" x14ac:dyDescent="0.3">
      <c r="B285" t="str">
        <f>IFERROR(IF(A285="","",VLOOKUP(A285,CadProd!$A:$B,2,0)),"")</f>
        <v/>
      </c>
      <c r="C285" t="str">
        <f>IFERROR(IF(A285="","",VLOOKUP(A285,CadProd!$A:$C,3,0)),"")</f>
        <v/>
      </c>
      <c r="I285" s="1" t="str">
        <f>IFERROR(IF(A285="","",E285*#REF!),"")</f>
        <v/>
      </c>
    </row>
    <row r="286" spans="2:9" x14ac:dyDescent="0.3">
      <c r="B286" t="str">
        <f>IFERROR(IF(A286="","",VLOOKUP(A286,CadProd!$A:$B,2,0)),"")</f>
        <v/>
      </c>
      <c r="C286" t="str">
        <f>IFERROR(IF(A286="","",VLOOKUP(A286,CadProd!$A:$C,3,0)),"")</f>
        <v/>
      </c>
      <c r="I286" s="1" t="str">
        <f>IFERROR(IF(A286="","",E286*#REF!),"")</f>
        <v/>
      </c>
    </row>
    <row r="287" spans="2:9" x14ac:dyDescent="0.3">
      <c r="B287" t="str">
        <f>IFERROR(IF(A287="","",VLOOKUP(A287,CadProd!$A:$B,2,0)),"")</f>
        <v/>
      </c>
      <c r="C287" t="str">
        <f>IFERROR(IF(A287="","",VLOOKUP(A287,CadProd!$A:$C,3,0)),"")</f>
        <v/>
      </c>
      <c r="I287" s="1" t="str">
        <f>IFERROR(IF(A287="","",E287*#REF!),"")</f>
        <v/>
      </c>
    </row>
    <row r="288" spans="2:9" x14ac:dyDescent="0.3">
      <c r="B288" t="str">
        <f>IFERROR(IF(A288="","",VLOOKUP(A288,CadProd!$A:$B,2,0)),"")</f>
        <v/>
      </c>
      <c r="C288" t="str">
        <f>IFERROR(IF(A288="","",VLOOKUP(A288,CadProd!$A:$C,3,0)),"")</f>
        <v/>
      </c>
      <c r="I288" s="1" t="str">
        <f>IFERROR(IF(A288="","",E288*#REF!),"")</f>
        <v/>
      </c>
    </row>
    <row r="289" spans="2:9" x14ac:dyDescent="0.3">
      <c r="B289" t="str">
        <f>IFERROR(IF(A289="","",VLOOKUP(A289,CadProd!$A:$B,2,0)),"")</f>
        <v/>
      </c>
      <c r="C289" t="str">
        <f>IFERROR(IF(A289="","",VLOOKUP(A289,CadProd!$A:$C,3,0)),"")</f>
        <v/>
      </c>
      <c r="I289" s="1" t="str">
        <f>IFERROR(IF(A289="","",E289*#REF!),"")</f>
        <v/>
      </c>
    </row>
    <row r="290" spans="2:9" x14ac:dyDescent="0.3">
      <c r="B290" t="str">
        <f>IFERROR(IF(A290="","",VLOOKUP(A290,CadProd!$A:$B,2,0)),"")</f>
        <v/>
      </c>
      <c r="C290" t="str">
        <f>IFERROR(IF(A290="","",VLOOKUP(A290,CadProd!$A:$C,3,0)),"")</f>
        <v/>
      </c>
      <c r="I290" s="1" t="str">
        <f>IFERROR(IF(A290="","",E290*#REF!),"")</f>
        <v/>
      </c>
    </row>
    <row r="291" spans="2:9" x14ac:dyDescent="0.3">
      <c r="B291" t="str">
        <f>IFERROR(IF(A291="","",VLOOKUP(A291,CadProd!$A:$B,2,0)),"")</f>
        <v/>
      </c>
      <c r="C291" t="str">
        <f>IFERROR(IF(A291="","",VLOOKUP(A291,CadProd!$A:$C,3,0)),"")</f>
        <v/>
      </c>
      <c r="I291" s="1" t="str">
        <f>IFERROR(IF(A291="","",E291*#REF!),"")</f>
        <v/>
      </c>
    </row>
    <row r="292" spans="2:9" x14ac:dyDescent="0.3">
      <c r="B292" t="str">
        <f>IFERROR(IF(A292="","",VLOOKUP(A292,CadProd!$A:$B,2,0)),"")</f>
        <v/>
      </c>
      <c r="C292" t="str">
        <f>IFERROR(IF(A292="","",VLOOKUP(A292,CadProd!$A:$C,3,0)),"")</f>
        <v/>
      </c>
      <c r="I292" s="1" t="str">
        <f>IFERROR(IF(A292="","",E292*#REF!),"")</f>
        <v/>
      </c>
    </row>
    <row r="293" spans="2:9" x14ac:dyDescent="0.3">
      <c r="B293" t="str">
        <f>IFERROR(IF(A293="","",VLOOKUP(A293,CadProd!$A:$B,2,0)),"")</f>
        <v/>
      </c>
      <c r="C293" t="str">
        <f>IFERROR(IF(A293="","",VLOOKUP(A293,CadProd!$A:$C,3,0)),"")</f>
        <v/>
      </c>
      <c r="I293" s="1" t="str">
        <f>IFERROR(IF(A293="","",E293*#REF!),"")</f>
        <v/>
      </c>
    </row>
    <row r="294" spans="2:9" x14ac:dyDescent="0.3">
      <c r="B294" t="str">
        <f>IFERROR(IF(A294="","",VLOOKUP(A294,CadProd!$A:$B,2,0)),"")</f>
        <v/>
      </c>
      <c r="C294" t="str">
        <f>IFERROR(IF(A294="","",VLOOKUP(A294,CadProd!$A:$C,3,0)),"")</f>
        <v/>
      </c>
      <c r="I294" s="1" t="str">
        <f>IFERROR(IF(A294="","",E294*#REF!),"")</f>
        <v/>
      </c>
    </row>
    <row r="295" spans="2:9" x14ac:dyDescent="0.3">
      <c r="B295" t="str">
        <f>IFERROR(IF(A295="","",VLOOKUP(A295,CadProd!$A:$B,2,0)),"")</f>
        <v/>
      </c>
      <c r="C295" t="str">
        <f>IFERROR(IF(A295="","",VLOOKUP(A295,CadProd!$A:$C,3,0)),"")</f>
        <v/>
      </c>
      <c r="I295" s="1" t="str">
        <f>IFERROR(IF(A295="","",E295*#REF!),"")</f>
        <v/>
      </c>
    </row>
    <row r="296" spans="2:9" x14ac:dyDescent="0.3">
      <c r="B296" t="str">
        <f>IFERROR(IF(A296="","",VLOOKUP(A296,CadProd!$A:$B,2,0)),"")</f>
        <v/>
      </c>
      <c r="C296" t="str">
        <f>IFERROR(IF(A296="","",VLOOKUP(A296,CadProd!$A:$C,3,0)),"")</f>
        <v/>
      </c>
      <c r="I296" s="1" t="str">
        <f>IFERROR(IF(A296="","",E296*#REF!),"")</f>
        <v/>
      </c>
    </row>
    <row r="297" spans="2:9" x14ac:dyDescent="0.3">
      <c r="B297" t="str">
        <f>IFERROR(IF(A297="","",VLOOKUP(A297,CadProd!$A:$B,2,0)),"")</f>
        <v/>
      </c>
      <c r="C297" t="str">
        <f>IFERROR(IF(A297="","",VLOOKUP(A297,CadProd!$A:$C,3,0)),"")</f>
        <v/>
      </c>
      <c r="I297" s="1" t="str">
        <f>IFERROR(IF(A297="","",E297*#REF!),"")</f>
        <v/>
      </c>
    </row>
    <row r="298" spans="2:9" x14ac:dyDescent="0.3">
      <c r="B298" t="str">
        <f>IFERROR(IF(A298="","",VLOOKUP(A298,CadProd!$A:$B,2,0)),"")</f>
        <v/>
      </c>
      <c r="C298" t="str">
        <f>IFERROR(IF(A298="","",VLOOKUP(A298,CadProd!$A:$C,3,0)),"")</f>
        <v/>
      </c>
      <c r="I298" s="1" t="str">
        <f>IFERROR(IF(A298="","",E298*#REF!),"")</f>
        <v/>
      </c>
    </row>
    <row r="299" spans="2:9" x14ac:dyDescent="0.3">
      <c r="B299" t="str">
        <f>IFERROR(IF(A299="","",VLOOKUP(A299,CadProd!$A:$B,2,0)),"")</f>
        <v/>
      </c>
      <c r="C299" t="str">
        <f>IFERROR(IF(A299="","",VLOOKUP(A299,CadProd!$A:$C,3,0)),"")</f>
        <v/>
      </c>
      <c r="I299" s="1" t="str">
        <f>IFERROR(IF(A299="","",E299*#REF!),"")</f>
        <v/>
      </c>
    </row>
    <row r="300" spans="2:9" x14ac:dyDescent="0.3">
      <c r="B300" t="str">
        <f>IFERROR(IF(A300="","",VLOOKUP(A300,CadProd!$A:$B,2,0)),"")</f>
        <v/>
      </c>
      <c r="C300" t="str">
        <f>IFERROR(IF(A300="","",VLOOKUP(A300,CadProd!$A:$C,3,0)),"")</f>
        <v/>
      </c>
      <c r="I300" s="1" t="str">
        <f>IFERROR(IF(A300="","",E300*#REF!),"")</f>
        <v/>
      </c>
    </row>
    <row r="301" spans="2:9" x14ac:dyDescent="0.3">
      <c r="B301" t="str">
        <f>IFERROR(IF(A301="","",VLOOKUP(A301,CadProd!$A:$B,2,0)),"")</f>
        <v/>
      </c>
      <c r="C301" t="str">
        <f>IFERROR(IF(A301="","",VLOOKUP(A301,CadProd!$A:$C,3,0)),"")</f>
        <v/>
      </c>
      <c r="I301" s="1" t="str">
        <f>IFERROR(IF(A301="","",E301*#REF!),"")</f>
        <v/>
      </c>
    </row>
    <row r="302" spans="2:9" x14ac:dyDescent="0.3">
      <c r="B302" t="str">
        <f>IFERROR(IF(A302="","",VLOOKUP(A302,CadProd!$A:$B,2,0)),"")</f>
        <v/>
      </c>
      <c r="C302" t="str">
        <f>IFERROR(IF(A302="","",VLOOKUP(A302,CadProd!$A:$C,3,0)),"")</f>
        <v/>
      </c>
      <c r="I302" s="1" t="str">
        <f>IFERROR(IF(A302="","",E302*#REF!),"")</f>
        <v/>
      </c>
    </row>
    <row r="303" spans="2:9" x14ac:dyDescent="0.3">
      <c r="B303" t="str">
        <f>IFERROR(IF(A303="","",VLOOKUP(A303,CadProd!$A:$B,2,0)),"")</f>
        <v/>
      </c>
      <c r="C303" t="str">
        <f>IFERROR(IF(A303="","",VLOOKUP(A303,CadProd!$A:$C,3,0)),"")</f>
        <v/>
      </c>
      <c r="I303" s="1" t="str">
        <f>IFERROR(IF(A303="","",E303*#REF!),"")</f>
        <v/>
      </c>
    </row>
    <row r="304" spans="2:9" x14ac:dyDescent="0.3">
      <c r="B304" t="str">
        <f>IFERROR(IF(A304="","",VLOOKUP(A304,CadProd!$A:$B,2,0)),"")</f>
        <v/>
      </c>
      <c r="C304" t="str">
        <f>IFERROR(IF(A304="","",VLOOKUP(A304,CadProd!$A:$C,3,0)),"")</f>
        <v/>
      </c>
      <c r="I304" s="1" t="str">
        <f>IFERROR(IF(A304="","",E304*#REF!),"")</f>
        <v/>
      </c>
    </row>
    <row r="305" spans="2:9" x14ac:dyDescent="0.3">
      <c r="B305" t="str">
        <f>IFERROR(IF(A305="","",VLOOKUP(A305,CadProd!$A:$B,2,0)),"")</f>
        <v/>
      </c>
      <c r="C305" t="str">
        <f>IFERROR(IF(A305="","",VLOOKUP(A305,CadProd!$A:$C,3,0)),"")</f>
        <v/>
      </c>
      <c r="I305" s="1" t="str">
        <f>IFERROR(IF(A305="","",E305*#REF!),"")</f>
        <v/>
      </c>
    </row>
    <row r="306" spans="2:9" x14ac:dyDescent="0.3">
      <c r="B306" t="str">
        <f>IFERROR(IF(A306="","",VLOOKUP(A306,CadProd!$A:$B,2,0)),"")</f>
        <v/>
      </c>
      <c r="C306" t="str">
        <f>IFERROR(IF(A306="","",VLOOKUP(A306,CadProd!$A:$C,3,0)),"")</f>
        <v/>
      </c>
      <c r="I306" s="1" t="str">
        <f>IFERROR(IF(A306="","",E306*#REF!),"")</f>
        <v/>
      </c>
    </row>
    <row r="307" spans="2:9" x14ac:dyDescent="0.3">
      <c r="B307" t="str">
        <f>IFERROR(IF(A307="","",VLOOKUP(A307,CadProd!$A:$B,2,0)),"")</f>
        <v/>
      </c>
      <c r="C307" t="str">
        <f>IFERROR(IF(A307="","",VLOOKUP(A307,CadProd!$A:$C,3,0)),"")</f>
        <v/>
      </c>
      <c r="I307" s="1" t="str">
        <f>IFERROR(IF(A307="","",E307*#REF!),"")</f>
        <v/>
      </c>
    </row>
    <row r="308" spans="2:9" x14ac:dyDescent="0.3">
      <c r="B308" t="str">
        <f>IFERROR(IF(A308="","",VLOOKUP(A308,CadProd!$A:$B,2,0)),"")</f>
        <v/>
      </c>
      <c r="C308" t="str">
        <f>IFERROR(IF(A308="","",VLOOKUP(A308,CadProd!$A:$C,3,0)),"")</f>
        <v/>
      </c>
      <c r="I308" s="1" t="str">
        <f>IFERROR(IF(A308="","",E308*#REF!),"")</f>
        <v/>
      </c>
    </row>
    <row r="309" spans="2:9" x14ac:dyDescent="0.3">
      <c r="B309" t="str">
        <f>IFERROR(IF(A309="","",VLOOKUP(A309,CadProd!$A:$B,2,0)),"")</f>
        <v/>
      </c>
      <c r="C309" t="str">
        <f>IFERROR(IF(A309="","",VLOOKUP(A309,CadProd!$A:$C,3,0)),"")</f>
        <v/>
      </c>
      <c r="I309" s="1" t="str">
        <f>IFERROR(IF(A309="","",E309*#REF!),"")</f>
        <v/>
      </c>
    </row>
    <row r="310" spans="2:9" x14ac:dyDescent="0.3">
      <c r="B310" t="str">
        <f>IFERROR(IF(A310="","",VLOOKUP(A310,CadProd!$A:$B,2,0)),"")</f>
        <v/>
      </c>
      <c r="C310" t="str">
        <f>IFERROR(IF(A310="","",VLOOKUP(A310,CadProd!$A:$C,3,0)),"")</f>
        <v/>
      </c>
      <c r="I310" s="1" t="str">
        <f>IFERROR(IF(A310="","",E310*#REF!),"")</f>
        <v/>
      </c>
    </row>
    <row r="311" spans="2:9" x14ac:dyDescent="0.3">
      <c r="B311" t="str">
        <f>IFERROR(IF(A311="","",VLOOKUP(A311,CadProd!$A:$B,2,0)),"")</f>
        <v/>
      </c>
      <c r="C311" t="str">
        <f>IFERROR(IF(A311="","",VLOOKUP(A311,CadProd!$A:$C,3,0)),"")</f>
        <v/>
      </c>
      <c r="I311" s="1" t="str">
        <f>IFERROR(IF(A311="","",E311*#REF!),"")</f>
        <v/>
      </c>
    </row>
    <row r="312" spans="2:9" x14ac:dyDescent="0.3">
      <c r="B312" t="str">
        <f>IFERROR(IF(A312="","",VLOOKUP(A312,CadProd!$A:$B,2,0)),"")</f>
        <v/>
      </c>
      <c r="C312" t="str">
        <f>IFERROR(IF(A312="","",VLOOKUP(A312,CadProd!$A:$C,3,0)),"")</f>
        <v/>
      </c>
      <c r="I312" s="1" t="str">
        <f>IFERROR(IF(A312="","",E312*#REF!),"")</f>
        <v/>
      </c>
    </row>
    <row r="313" spans="2:9" x14ac:dyDescent="0.3">
      <c r="B313" t="str">
        <f>IFERROR(IF(A313="","",VLOOKUP(A313,CadProd!$A:$B,2,0)),"")</f>
        <v/>
      </c>
      <c r="C313" t="str">
        <f>IFERROR(IF(A313="","",VLOOKUP(A313,CadProd!$A:$C,3,0)),"")</f>
        <v/>
      </c>
      <c r="I313" s="1" t="str">
        <f>IFERROR(IF(A313="","",E313*#REF!),"")</f>
        <v/>
      </c>
    </row>
    <row r="314" spans="2:9" x14ac:dyDescent="0.3">
      <c r="B314" t="str">
        <f>IFERROR(IF(A314="","",VLOOKUP(A314,CadProd!$A:$B,2,0)),"")</f>
        <v/>
      </c>
      <c r="C314" t="str">
        <f>IFERROR(IF(A314="","",VLOOKUP(A314,CadProd!$A:$C,3,0)),"")</f>
        <v/>
      </c>
      <c r="I314" s="1" t="str">
        <f>IFERROR(IF(A314="","",E314*#REF!),"")</f>
        <v/>
      </c>
    </row>
    <row r="315" spans="2:9" x14ac:dyDescent="0.3">
      <c r="B315" t="str">
        <f>IFERROR(IF(A315="","",VLOOKUP(A315,CadProd!$A:$B,2,0)),"")</f>
        <v/>
      </c>
      <c r="C315" t="str">
        <f>IFERROR(IF(A315="","",VLOOKUP(A315,CadProd!$A:$C,3,0)),"")</f>
        <v/>
      </c>
      <c r="I315" s="1" t="str">
        <f>IFERROR(IF(A315="","",E315*#REF!),"")</f>
        <v/>
      </c>
    </row>
    <row r="316" spans="2:9" x14ac:dyDescent="0.3">
      <c r="B316" t="str">
        <f>IFERROR(IF(A316="","",VLOOKUP(A316,CadProd!$A:$B,2,0)),"")</f>
        <v/>
      </c>
      <c r="C316" t="str">
        <f>IFERROR(IF(A316="","",VLOOKUP(A316,CadProd!$A:$C,3,0)),"")</f>
        <v/>
      </c>
      <c r="I316" s="1" t="str">
        <f>IFERROR(IF(A316="","",E316*#REF!),"")</f>
        <v/>
      </c>
    </row>
    <row r="317" spans="2:9" x14ac:dyDescent="0.3">
      <c r="B317" t="str">
        <f>IFERROR(IF(A317="","",VLOOKUP(A317,CadProd!$A:$B,2,0)),"")</f>
        <v/>
      </c>
      <c r="C317" t="str">
        <f>IFERROR(IF(A317="","",VLOOKUP(A317,CadProd!$A:$C,3,0)),"")</f>
        <v/>
      </c>
      <c r="I317" s="1" t="str">
        <f>IFERROR(IF(A317="","",E317*#REF!),"")</f>
        <v/>
      </c>
    </row>
    <row r="318" spans="2:9" x14ac:dyDescent="0.3">
      <c r="B318" t="str">
        <f>IFERROR(IF(A318="","",VLOOKUP(A318,CadProd!$A:$B,2,0)),"")</f>
        <v/>
      </c>
      <c r="C318" t="str">
        <f>IFERROR(IF(A318="","",VLOOKUP(A318,CadProd!$A:$C,3,0)),"")</f>
        <v/>
      </c>
      <c r="I318" s="1" t="str">
        <f>IFERROR(IF(A318="","",E318*#REF!),"")</f>
        <v/>
      </c>
    </row>
    <row r="319" spans="2:9" x14ac:dyDescent="0.3">
      <c r="B319" t="str">
        <f>IFERROR(IF(A319="","",VLOOKUP(A319,CadProd!$A:$B,2,0)),"")</f>
        <v/>
      </c>
      <c r="C319" t="str">
        <f>IFERROR(IF(A319="","",VLOOKUP(A319,CadProd!$A:$C,3,0)),"")</f>
        <v/>
      </c>
      <c r="I319" s="1" t="str">
        <f>IFERROR(IF(A319="","",E319*#REF!),"")</f>
        <v/>
      </c>
    </row>
    <row r="320" spans="2:9" x14ac:dyDescent="0.3">
      <c r="B320" t="str">
        <f>IFERROR(IF(A320="","",VLOOKUP(A320,CadProd!$A:$B,2,0)),"")</f>
        <v/>
      </c>
      <c r="C320" t="str">
        <f>IFERROR(IF(A320="","",VLOOKUP(A320,CadProd!$A:$C,3,0)),"")</f>
        <v/>
      </c>
      <c r="I320" s="1" t="str">
        <f>IFERROR(IF(A320="","",E320*#REF!),"")</f>
        <v/>
      </c>
    </row>
    <row r="321" spans="2:9" x14ac:dyDescent="0.3">
      <c r="B321" t="str">
        <f>IFERROR(IF(A321="","",VLOOKUP(A321,CadProd!$A:$B,2,0)),"")</f>
        <v/>
      </c>
      <c r="C321" t="str">
        <f>IFERROR(IF(A321="","",VLOOKUP(A321,CadProd!$A:$C,3,0)),"")</f>
        <v/>
      </c>
      <c r="I321" s="1" t="str">
        <f>IFERROR(IF(A321="","",E321*#REF!),"")</f>
        <v/>
      </c>
    </row>
    <row r="322" spans="2:9" x14ac:dyDescent="0.3">
      <c r="B322" t="str">
        <f>IFERROR(IF(A322="","",VLOOKUP(A322,CadProd!$A:$B,2,0)),"")</f>
        <v/>
      </c>
      <c r="C322" t="str">
        <f>IFERROR(IF(A322="","",VLOOKUP(A322,CadProd!$A:$C,3,0)),"")</f>
        <v/>
      </c>
      <c r="I322" s="1" t="str">
        <f>IFERROR(IF(A322="","",E322*#REF!),"")</f>
        <v/>
      </c>
    </row>
    <row r="323" spans="2:9" x14ac:dyDescent="0.3">
      <c r="B323" t="str">
        <f>IFERROR(IF(A323="","",VLOOKUP(A323,CadProd!$A:$B,2,0)),"")</f>
        <v/>
      </c>
      <c r="C323" t="str">
        <f>IFERROR(IF(A323="","",VLOOKUP(A323,CadProd!$A:$C,3,0)),"")</f>
        <v/>
      </c>
      <c r="I323" s="1" t="str">
        <f>IFERROR(IF(A323="","",E323*#REF!),"")</f>
        <v/>
      </c>
    </row>
    <row r="324" spans="2:9" x14ac:dyDescent="0.3">
      <c r="B324" t="str">
        <f>IFERROR(IF(A324="","",VLOOKUP(A324,CadProd!$A:$B,2,0)),"")</f>
        <v/>
      </c>
      <c r="C324" t="str">
        <f>IFERROR(IF(A324="","",VLOOKUP(A324,CadProd!$A:$C,3,0)),"")</f>
        <v/>
      </c>
      <c r="I324" s="1" t="str">
        <f>IFERROR(IF(A324="","",E324*#REF!),"")</f>
        <v/>
      </c>
    </row>
    <row r="325" spans="2:9" x14ac:dyDescent="0.3">
      <c r="B325" t="str">
        <f>IFERROR(IF(A325="","",VLOOKUP(A325,CadProd!$A:$B,2,0)),"")</f>
        <v/>
      </c>
      <c r="C325" t="str">
        <f>IFERROR(IF(A325="","",VLOOKUP(A325,CadProd!$A:$C,3,0)),"")</f>
        <v/>
      </c>
      <c r="I325" s="1" t="str">
        <f>IFERROR(IF(A325="","",E325*#REF!),"")</f>
        <v/>
      </c>
    </row>
    <row r="326" spans="2:9" x14ac:dyDescent="0.3">
      <c r="B326" t="str">
        <f>IFERROR(IF(A326="","",VLOOKUP(A326,CadProd!$A:$B,2,0)),"")</f>
        <v/>
      </c>
      <c r="C326" t="str">
        <f>IFERROR(IF(A326="","",VLOOKUP(A326,CadProd!$A:$C,3,0)),"")</f>
        <v/>
      </c>
      <c r="I326" s="1" t="str">
        <f>IFERROR(IF(A326="","",E326*#REF!),"")</f>
        <v/>
      </c>
    </row>
    <row r="327" spans="2:9" x14ac:dyDescent="0.3">
      <c r="B327" t="str">
        <f>IFERROR(IF(A327="","",VLOOKUP(A327,CadProd!$A:$B,2,0)),"")</f>
        <v/>
      </c>
      <c r="C327" t="str">
        <f>IFERROR(IF(A327="","",VLOOKUP(A327,CadProd!$A:$C,3,0)),"")</f>
        <v/>
      </c>
      <c r="I327" s="1" t="str">
        <f>IFERROR(IF(A327="","",E327*#REF!),"")</f>
        <v/>
      </c>
    </row>
    <row r="328" spans="2:9" x14ac:dyDescent="0.3">
      <c r="B328" t="str">
        <f>IFERROR(IF(A328="","",VLOOKUP(A328,CadProd!$A:$B,2,0)),"")</f>
        <v/>
      </c>
      <c r="C328" t="str">
        <f>IFERROR(IF(A328="","",VLOOKUP(A328,CadProd!$A:$C,3,0)),"")</f>
        <v/>
      </c>
      <c r="I328" s="1" t="str">
        <f>IFERROR(IF(A328="","",E328*#REF!),"")</f>
        <v/>
      </c>
    </row>
    <row r="329" spans="2:9" x14ac:dyDescent="0.3">
      <c r="B329" t="str">
        <f>IFERROR(IF(A329="","",VLOOKUP(A329,CadProd!$A:$B,2,0)),"")</f>
        <v/>
      </c>
      <c r="C329" t="str">
        <f>IFERROR(IF(A329="","",VLOOKUP(A329,CadProd!$A:$C,3,0)),"")</f>
        <v/>
      </c>
      <c r="I329" s="1" t="str">
        <f>IFERROR(IF(A329="","",E329*#REF!),"")</f>
        <v/>
      </c>
    </row>
    <row r="330" spans="2:9" x14ac:dyDescent="0.3">
      <c r="B330" t="str">
        <f>IFERROR(IF(A330="","",VLOOKUP(A330,CadProd!$A:$B,2,0)),"")</f>
        <v/>
      </c>
      <c r="C330" t="str">
        <f>IFERROR(IF(A330="","",VLOOKUP(A330,CadProd!$A:$C,3,0)),"")</f>
        <v/>
      </c>
      <c r="I330" s="1" t="str">
        <f>IFERROR(IF(A330="","",E330*#REF!),"")</f>
        <v/>
      </c>
    </row>
    <row r="331" spans="2:9" x14ac:dyDescent="0.3">
      <c r="B331" t="str">
        <f>IFERROR(IF(A331="","",VLOOKUP(A331,CadProd!$A:$B,2,0)),"")</f>
        <v/>
      </c>
      <c r="C331" t="str">
        <f>IFERROR(IF(A331="","",VLOOKUP(A331,CadProd!$A:$C,3,0)),"")</f>
        <v/>
      </c>
      <c r="I331" s="1" t="str">
        <f>IFERROR(IF(A331="","",E331*#REF!),"")</f>
        <v/>
      </c>
    </row>
    <row r="332" spans="2:9" x14ac:dyDescent="0.3">
      <c r="B332" t="str">
        <f>IFERROR(IF(A332="","",VLOOKUP(A332,CadProd!$A:$B,2,0)),"")</f>
        <v/>
      </c>
      <c r="C332" t="str">
        <f>IFERROR(IF(A332="","",VLOOKUP(A332,CadProd!$A:$C,3,0)),"")</f>
        <v/>
      </c>
      <c r="I332" s="1" t="str">
        <f>IFERROR(IF(A332="","",E332*#REF!),"")</f>
        <v/>
      </c>
    </row>
    <row r="333" spans="2:9" x14ac:dyDescent="0.3">
      <c r="B333" t="str">
        <f>IFERROR(IF(A333="","",VLOOKUP(A333,CadProd!$A:$B,2,0)),"")</f>
        <v/>
      </c>
      <c r="C333" t="str">
        <f>IFERROR(IF(A333="","",VLOOKUP(A333,CadProd!$A:$C,3,0)),"")</f>
        <v/>
      </c>
      <c r="I333" s="1" t="str">
        <f>IFERROR(IF(A333="","",E333*#REF!),"")</f>
        <v/>
      </c>
    </row>
    <row r="334" spans="2:9" x14ac:dyDescent="0.3">
      <c r="B334" t="str">
        <f>IFERROR(IF(A334="","",VLOOKUP(A334,CadProd!$A:$B,2,0)),"")</f>
        <v/>
      </c>
      <c r="C334" t="str">
        <f>IFERROR(IF(A334="","",VLOOKUP(A334,CadProd!$A:$C,3,0)),"")</f>
        <v/>
      </c>
      <c r="I334" s="1" t="str">
        <f>IFERROR(IF(A334="","",E334*#REF!),"")</f>
        <v/>
      </c>
    </row>
    <row r="335" spans="2:9" x14ac:dyDescent="0.3">
      <c r="B335" t="str">
        <f>IFERROR(IF(A335="","",VLOOKUP(A335,CadProd!$A:$B,2,0)),"")</f>
        <v/>
      </c>
      <c r="C335" t="str">
        <f>IFERROR(IF(A335="","",VLOOKUP(A335,CadProd!$A:$C,3,0)),"")</f>
        <v/>
      </c>
      <c r="I335" s="1" t="str">
        <f>IFERROR(IF(A335="","",E335*#REF!),"")</f>
        <v/>
      </c>
    </row>
    <row r="336" spans="2:9" x14ac:dyDescent="0.3">
      <c r="B336" t="str">
        <f>IFERROR(IF(A336="","",VLOOKUP(A336,CadProd!$A:$B,2,0)),"")</f>
        <v/>
      </c>
      <c r="C336" t="str">
        <f>IFERROR(IF(A336="","",VLOOKUP(A336,CadProd!$A:$C,3,0)),"")</f>
        <v/>
      </c>
      <c r="I336" s="1" t="str">
        <f>IFERROR(IF(A336="","",E336*#REF!),"")</f>
        <v/>
      </c>
    </row>
    <row r="337" spans="2:9" x14ac:dyDescent="0.3">
      <c r="B337" t="str">
        <f>IFERROR(IF(A337="","",VLOOKUP(A337,CadProd!$A:$B,2,0)),"")</f>
        <v/>
      </c>
      <c r="C337" t="str">
        <f>IFERROR(IF(A337="","",VLOOKUP(A337,CadProd!$A:$C,3,0)),"")</f>
        <v/>
      </c>
      <c r="I337" s="1" t="str">
        <f>IFERROR(IF(A337="","",E337*#REF!),"")</f>
        <v/>
      </c>
    </row>
    <row r="338" spans="2:9" x14ac:dyDescent="0.3">
      <c r="B338" t="str">
        <f>IFERROR(IF(A338="","",VLOOKUP(A338,CadProd!$A:$B,2,0)),"")</f>
        <v/>
      </c>
      <c r="C338" t="str">
        <f>IFERROR(IF(A338="","",VLOOKUP(A338,CadProd!$A:$C,3,0)),"")</f>
        <v/>
      </c>
      <c r="I338" s="1" t="str">
        <f>IFERROR(IF(A338="","",E338*#REF!),"")</f>
        <v/>
      </c>
    </row>
    <row r="339" spans="2:9" x14ac:dyDescent="0.3">
      <c r="B339" t="str">
        <f>IFERROR(IF(A339="","",VLOOKUP(A339,CadProd!$A:$B,2,0)),"")</f>
        <v/>
      </c>
      <c r="C339" t="str">
        <f>IFERROR(IF(A339="","",VLOOKUP(A339,CadProd!$A:$C,3,0)),"")</f>
        <v/>
      </c>
      <c r="I339" s="1" t="str">
        <f>IFERROR(IF(A339="","",E339*#REF!),"")</f>
        <v/>
      </c>
    </row>
    <row r="340" spans="2:9" x14ac:dyDescent="0.3">
      <c r="B340" t="str">
        <f>IFERROR(IF(A340="","",VLOOKUP(A340,CadProd!$A:$B,2,0)),"")</f>
        <v/>
      </c>
      <c r="C340" t="str">
        <f>IFERROR(IF(A340="","",VLOOKUP(A340,CadProd!$A:$C,3,0)),"")</f>
        <v/>
      </c>
      <c r="I340" s="1" t="str">
        <f>IFERROR(IF(A340="","",E340*#REF!),"")</f>
        <v/>
      </c>
    </row>
    <row r="341" spans="2:9" x14ac:dyDescent="0.3">
      <c r="B341" t="str">
        <f>IFERROR(IF(A341="","",VLOOKUP(A341,CadProd!$A:$B,2,0)),"")</f>
        <v/>
      </c>
      <c r="C341" t="str">
        <f>IFERROR(IF(A341="","",VLOOKUP(A341,CadProd!$A:$C,3,0)),"")</f>
        <v/>
      </c>
      <c r="I341" s="1" t="str">
        <f>IFERROR(IF(A341="","",E341*#REF!),"")</f>
        <v/>
      </c>
    </row>
    <row r="342" spans="2:9" x14ac:dyDescent="0.3">
      <c r="B342" t="str">
        <f>IFERROR(IF(A342="","",VLOOKUP(A342,CadProd!$A:$B,2,0)),"")</f>
        <v/>
      </c>
      <c r="C342" t="str">
        <f>IFERROR(IF(A342="","",VLOOKUP(A342,CadProd!$A:$C,3,0)),"")</f>
        <v/>
      </c>
      <c r="I342" s="1" t="str">
        <f>IFERROR(IF(A342="","",E342*#REF!),"")</f>
        <v/>
      </c>
    </row>
    <row r="343" spans="2:9" x14ac:dyDescent="0.3">
      <c r="B343" t="str">
        <f>IFERROR(IF(A343="","",VLOOKUP(A343,CadProd!$A:$B,2,0)),"")</f>
        <v/>
      </c>
      <c r="C343" t="str">
        <f>IFERROR(IF(A343="","",VLOOKUP(A343,CadProd!$A:$C,3,0)),"")</f>
        <v/>
      </c>
      <c r="I343" s="1" t="str">
        <f>IFERROR(IF(A343="","",E343*#REF!),"")</f>
        <v/>
      </c>
    </row>
    <row r="344" spans="2:9" x14ac:dyDescent="0.3">
      <c r="B344" t="str">
        <f>IFERROR(IF(A344="","",VLOOKUP(A344,CadProd!$A:$B,2,0)),"")</f>
        <v/>
      </c>
      <c r="C344" t="str">
        <f>IFERROR(IF(A344="","",VLOOKUP(A344,CadProd!$A:$C,3,0)),"")</f>
        <v/>
      </c>
      <c r="I344" s="1" t="str">
        <f>IFERROR(IF(A344="","",E344*#REF!),"")</f>
        <v/>
      </c>
    </row>
    <row r="345" spans="2:9" x14ac:dyDescent="0.3">
      <c r="B345" t="str">
        <f>IFERROR(IF(A345="","",VLOOKUP(A345,CadProd!$A:$B,2,0)),"")</f>
        <v/>
      </c>
      <c r="C345" t="str">
        <f>IFERROR(IF(A345="","",VLOOKUP(A345,CadProd!$A:$C,3,0)),"")</f>
        <v/>
      </c>
      <c r="I345" s="1" t="str">
        <f>IFERROR(IF(A345="","",E345*#REF!),"")</f>
        <v/>
      </c>
    </row>
    <row r="346" spans="2:9" x14ac:dyDescent="0.3">
      <c r="B346" t="str">
        <f>IFERROR(IF(A346="","",VLOOKUP(A346,CadProd!$A:$B,2,0)),"")</f>
        <v/>
      </c>
      <c r="C346" t="str">
        <f>IFERROR(IF(A346="","",VLOOKUP(A346,CadProd!$A:$C,3,0)),"")</f>
        <v/>
      </c>
      <c r="I346" s="1" t="str">
        <f>IFERROR(IF(A346="","",E346*#REF!),"")</f>
        <v/>
      </c>
    </row>
    <row r="347" spans="2:9" x14ac:dyDescent="0.3">
      <c r="B347" t="str">
        <f>IFERROR(IF(A347="","",VLOOKUP(A347,CadProd!$A:$B,2,0)),"")</f>
        <v/>
      </c>
      <c r="C347" t="str">
        <f>IFERROR(IF(A347="","",VLOOKUP(A347,CadProd!$A:$C,3,0)),"")</f>
        <v/>
      </c>
      <c r="I347" s="1" t="str">
        <f>IFERROR(IF(A347="","",E347*#REF!),"")</f>
        <v/>
      </c>
    </row>
    <row r="348" spans="2:9" x14ac:dyDescent="0.3">
      <c r="B348" t="str">
        <f>IFERROR(IF(A348="","",VLOOKUP(A348,CadProd!$A:$B,2,0)),"")</f>
        <v/>
      </c>
      <c r="C348" t="str">
        <f>IFERROR(IF(A348="","",VLOOKUP(A348,CadProd!$A:$C,3,0)),"")</f>
        <v/>
      </c>
      <c r="I348" s="1" t="str">
        <f>IFERROR(IF(A348="","",E348*#REF!),"")</f>
        <v/>
      </c>
    </row>
    <row r="349" spans="2:9" x14ac:dyDescent="0.3">
      <c r="B349" t="str">
        <f>IFERROR(IF(A349="","",VLOOKUP(A349,CadProd!$A:$B,2,0)),"")</f>
        <v/>
      </c>
      <c r="C349" t="str">
        <f>IFERROR(IF(A349="","",VLOOKUP(A349,CadProd!$A:$C,3,0)),"")</f>
        <v/>
      </c>
      <c r="I349" s="1" t="str">
        <f>IFERROR(IF(A349="","",E349*#REF!),"")</f>
        <v/>
      </c>
    </row>
    <row r="350" spans="2:9" x14ac:dyDescent="0.3">
      <c r="B350" t="str">
        <f>IFERROR(IF(A350="","",VLOOKUP(A350,CadProd!$A:$B,2,0)),"")</f>
        <v/>
      </c>
      <c r="C350" t="str">
        <f>IFERROR(IF(A350="","",VLOOKUP(A350,CadProd!$A:$C,3,0)),"")</f>
        <v/>
      </c>
      <c r="I350" s="1" t="str">
        <f>IFERROR(IF(A350="","",E350*#REF!),"")</f>
        <v/>
      </c>
    </row>
    <row r="351" spans="2:9" x14ac:dyDescent="0.3">
      <c r="B351" t="str">
        <f>IFERROR(IF(A351="","",VLOOKUP(A351,CadProd!$A:$B,2,0)),"")</f>
        <v/>
      </c>
      <c r="C351" t="str">
        <f>IFERROR(IF(A351="","",VLOOKUP(A351,CadProd!$A:$C,3,0)),"")</f>
        <v/>
      </c>
      <c r="I351" s="1" t="str">
        <f>IFERROR(IF(A351="","",E351*#REF!),"")</f>
        <v/>
      </c>
    </row>
    <row r="352" spans="2:9" x14ac:dyDescent="0.3">
      <c r="B352" t="str">
        <f>IFERROR(IF(A352="","",VLOOKUP(A352,CadProd!$A:$B,2,0)),"")</f>
        <v/>
      </c>
      <c r="C352" t="str">
        <f>IFERROR(IF(A352="","",VLOOKUP(A352,CadProd!$A:$C,3,0)),"")</f>
        <v/>
      </c>
      <c r="I352" s="1" t="str">
        <f>IFERROR(IF(A352="","",E352*#REF!),"")</f>
        <v/>
      </c>
    </row>
    <row r="353" spans="2:9" x14ac:dyDescent="0.3">
      <c r="B353" t="str">
        <f>IFERROR(IF(A353="","",VLOOKUP(A353,CadProd!$A:$B,2,0)),"")</f>
        <v/>
      </c>
      <c r="C353" t="str">
        <f>IFERROR(IF(A353="","",VLOOKUP(A353,CadProd!$A:$C,3,0)),"")</f>
        <v/>
      </c>
      <c r="I353" s="1" t="str">
        <f>IFERROR(IF(A353="","",E353*#REF!),"")</f>
        <v/>
      </c>
    </row>
    <row r="354" spans="2:9" x14ac:dyDescent="0.3">
      <c r="B354" t="str">
        <f>IFERROR(IF(A354="","",VLOOKUP(A354,CadProd!$A:$B,2,0)),"")</f>
        <v/>
      </c>
      <c r="C354" t="str">
        <f>IFERROR(IF(A354="","",VLOOKUP(A354,CadProd!$A:$C,3,0)),"")</f>
        <v/>
      </c>
      <c r="I354" s="1" t="str">
        <f>IFERROR(IF(A354="","",E354*#REF!),"")</f>
        <v/>
      </c>
    </row>
    <row r="355" spans="2:9" x14ac:dyDescent="0.3">
      <c r="B355" t="str">
        <f>IFERROR(IF(A355="","",VLOOKUP(A355,CadProd!$A:$B,2,0)),"")</f>
        <v/>
      </c>
      <c r="C355" t="str">
        <f>IFERROR(IF(A355="","",VLOOKUP(A355,CadProd!$A:$C,3,0)),"")</f>
        <v/>
      </c>
      <c r="I355" s="1" t="str">
        <f>IFERROR(IF(A355="","",E355*#REF!),"")</f>
        <v/>
      </c>
    </row>
    <row r="356" spans="2:9" x14ac:dyDescent="0.3">
      <c r="B356" t="str">
        <f>IFERROR(IF(A356="","",VLOOKUP(A356,CadProd!$A:$B,2,0)),"")</f>
        <v/>
      </c>
      <c r="C356" t="str">
        <f>IFERROR(IF(A356="","",VLOOKUP(A356,CadProd!$A:$C,3,0)),"")</f>
        <v/>
      </c>
      <c r="I356" s="1" t="str">
        <f>IFERROR(IF(A356="","",E356*#REF!),"")</f>
        <v/>
      </c>
    </row>
    <row r="357" spans="2:9" x14ac:dyDescent="0.3">
      <c r="B357" t="str">
        <f>IFERROR(IF(A357="","",VLOOKUP(A357,CadProd!$A:$B,2,0)),"")</f>
        <v/>
      </c>
      <c r="C357" t="str">
        <f>IFERROR(IF(A357="","",VLOOKUP(A357,CadProd!$A:$C,3,0)),"")</f>
        <v/>
      </c>
      <c r="I357" s="1" t="str">
        <f>IFERROR(IF(A357="","",E357*#REF!),"")</f>
        <v/>
      </c>
    </row>
    <row r="358" spans="2:9" x14ac:dyDescent="0.3">
      <c r="B358" t="str">
        <f>IFERROR(IF(A358="","",VLOOKUP(A358,CadProd!$A:$B,2,0)),"")</f>
        <v/>
      </c>
      <c r="C358" t="str">
        <f>IFERROR(IF(A358="","",VLOOKUP(A358,CadProd!$A:$C,3,0)),"")</f>
        <v/>
      </c>
      <c r="I358" s="1" t="str">
        <f>IFERROR(IF(A358="","",E358*#REF!),"")</f>
        <v/>
      </c>
    </row>
    <row r="359" spans="2:9" x14ac:dyDescent="0.3">
      <c r="B359" t="str">
        <f>IFERROR(IF(A359="","",VLOOKUP(A359,CadProd!$A:$B,2,0)),"")</f>
        <v/>
      </c>
      <c r="C359" t="str">
        <f>IFERROR(IF(A359="","",VLOOKUP(A359,CadProd!$A:$C,3,0)),"")</f>
        <v/>
      </c>
      <c r="I359" s="1" t="str">
        <f>IFERROR(IF(A359="","",E359*#REF!),"")</f>
        <v/>
      </c>
    </row>
    <row r="360" spans="2:9" x14ac:dyDescent="0.3">
      <c r="B360" t="str">
        <f>IFERROR(IF(A360="","",VLOOKUP(A360,CadProd!$A:$B,2,0)),"")</f>
        <v/>
      </c>
      <c r="C360" t="str">
        <f>IFERROR(IF(A360="","",VLOOKUP(A360,CadProd!$A:$C,3,0)),"")</f>
        <v/>
      </c>
      <c r="I360" s="1" t="str">
        <f>IFERROR(IF(A360="","",E360*#REF!),"")</f>
        <v/>
      </c>
    </row>
    <row r="361" spans="2:9" x14ac:dyDescent="0.3">
      <c r="B361" t="str">
        <f>IFERROR(IF(A361="","",VLOOKUP(A361,CadProd!$A:$B,2,0)),"")</f>
        <v/>
      </c>
      <c r="C361" t="str">
        <f>IFERROR(IF(A361="","",VLOOKUP(A361,CadProd!$A:$C,3,0)),"")</f>
        <v/>
      </c>
      <c r="I361" s="1" t="str">
        <f>IFERROR(IF(A361="","",E361*#REF!),"")</f>
        <v/>
      </c>
    </row>
    <row r="362" spans="2:9" x14ac:dyDescent="0.3">
      <c r="B362" t="str">
        <f>IFERROR(IF(A362="","",VLOOKUP(A362,CadProd!$A:$B,2,0)),"")</f>
        <v/>
      </c>
      <c r="C362" t="str">
        <f>IFERROR(IF(A362="","",VLOOKUP(A362,CadProd!$A:$C,3,0)),"")</f>
        <v/>
      </c>
      <c r="I362" s="1" t="str">
        <f>IFERROR(IF(A362="","",E362*#REF!),"")</f>
        <v/>
      </c>
    </row>
    <row r="363" spans="2:9" x14ac:dyDescent="0.3">
      <c r="B363" t="str">
        <f>IFERROR(IF(A363="","",VLOOKUP(A363,CadProd!$A:$B,2,0)),"")</f>
        <v/>
      </c>
      <c r="C363" t="str">
        <f>IFERROR(IF(A363="","",VLOOKUP(A363,CadProd!$A:$C,3,0)),"")</f>
        <v/>
      </c>
      <c r="I363" s="1" t="str">
        <f>IFERROR(IF(A363="","",E363*#REF!),"")</f>
        <v/>
      </c>
    </row>
    <row r="364" spans="2:9" x14ac:dyDescent="0.3">
      <c r="B364" t="str">
        <f>IFERROR(IF(A364="","",VLOOKUP(A364,CadProd!$A:$B,2,0)),"")</f>
        <v/>
      </c>
      <c r="C364" t="str">
        <f>IFERROR(IF(A364="","",VLOOKUP(A364,CadProd!$A:$C,3,0)),"")</f>
        <v/>
      </c>
      <c r="I364" s="1" t="str">
        <f>IFERROR(IF(A364="","",E364*#REF!),"")</f>
        <v/>
      </c>
    </row>
    <row r="365" spans="2:9" x14ac:dyDescent="0.3">
      <c r="B365" t="str">
        <f>IFERROR(IF(A365="","",VLOOKUP(A365,CadProd!$A:$B,2,0)),"")</f>
        <v/>
      </c>
      <c r="C365" t="str">
        <f>IFERROR(IF(A365="","",VLOOKUP(A365,CadProd!$A:$C,3,0)),"")</f>
        <v/>
      </c>
      <c r="I365" s="1" t="str">
        <f>IFERROR(IF(A365="","",E365*#REF!),"")</f>
        <v/>
      </c>
    </row>
    <row r="366" spans="2:9" x14ac:dyDescent="0.3">
      <c r="B366" t="str">
        <f>IFERROR(IF(A366="","",VLOOKUP(A366,CadProd!$A:$B,2,0)),"")</f>
        <v/>
      </c>
      <c r="C366" t="str">
        <f>IFERROR(IF(A366="","",VLOOKUP(A366,CadProd!$A:$C,3,0)),"")</f>
        <v/>
      </c>
      <c r="I366" s="1" t="str">
        <f>IFERROR(IF(A366="","",E366*#REF!),"")</f>
        <v/>
      </c>
    </row>
    <row r="367" spans="2:9" x14ac:dyDescent="0.3">
      <c r="B367" t="str">
        <f>IFERROR(IF(A367="","",VLOOKUP(A367,CadProd!$A:$B,2,0)),"")</f>
        <v/>
      </c>
      <c r="C367" t="str">
        <f>IFERROR(IF(A367="","",VLOOKUP(A367,CadProd!$A:$C,3,0)),"")</f>
        <v/>
      </c>
      <c r="I367" s="1" t="str">
        <f>IFERROR(IF(A367="","",E367*#REF!),"")</f>
        <v/>
      </c>
    </row>
    <row r="368" spans="2:9" x14ac:dyDescent="0.3">
      <c r="B368" t="str">
        <f>IFERROR(IF(A368="","",VLOOKUP(A368,CadProd!$A:$B,2,0)),"")</f>
        <v/>
      </c>
      <c r="C368" t="str">
        <f>IFERROR(IF(A368="","",VLOOKUP(A368,CadProd!$A:$C,3,0)),"")</f>
        <v/>
      </c>
      <c r="I368" s="1" t="str">
        <f>IFERROR(IF(A368="","",E368*#REF!),"")</f>
        <v/>
      </c>
    </row>
    <row r="369" spans="2:9" x14ac:dyDescent="0.3">
      <c r="B369" t="str">
        <f>IFERROR(IF(A369="","",VLOOKUP(A369,CadProd!$A:$B,2,0)),"")</f>
        <v/>
      </c>
      <c r="C369" t="str">
        <f>IFERROR(IF(A369="","",VLOOKUP(A369,CadProd!$A:$C,3,0)),"")</f>
        <v/>
      </c>
      <c r="I369" s="1" t="str">
        <f>IFERROR(IF(A369="","",E369*#REF!),"")</f>
        <v/>
      </c>
    </row>
    <row r="370" spans="2:9" x14ac:dyDescent="0.3">
      <c r="B370" t="str">
        <f>IFERROR(IF(A370="","",VLOOKUP(A370,CadProd!$A:$B,2,0)),"")</f>
        <v/>
      </c>
      <c r="C370" t="str">
        <f>IFERROR(IF(A370="","",VLOOKUP(A370,CadProd!$A:$C,3,0)),"")</f>
        <v/>
      </c>
      <c r="I370" s="1" t="str">
        <f>IFERROR(IF(A370="","",E370*#REF!),"")</f>
        <v/>
      </c>
    </row>
    <row r="371" spans="2:9" x14ac:dyDescent="0.3">
      <c r="B371" t="str">
        <f>IFERROR(IF(A371="","",VLOOKUP(A371,CadProd!$A:$B,2,0)),"")</f>
        <v/>
      </c>
      <c r="C371" t="str">
        <f>IFERROR(IF(A371="","",VLOOKUP(A371,CadProd!$A:$C,3,0)),"")</f>
        <v/>
      </c>
      <c r="I371" s="1" t="str">
        <f>IFERROR(IF(A371="","",E371*#REF!),"")</f>
        <v/>
      </c>
    </row>
    <row r="372" spans="2:9" x14ac:dyDescent="0.3">
      <c r="B372" t="str">
        <f>IFERROR(IF(A372="","",VLOOKUP(A372,CadProd!$A:$B,2,0)),"")</f>
        <v/>
      </c>
      <c r="C372" t="str">
        <f>IFERROR(IF(A372="","",VLOOKUP(A372,CadProd!$A:$C,3,0)),"")</f>
        <v/>
      </c>
      <c r="I372" s="1" t="str">
        <f>IFERROR(IF(A372="","",E372*#REF!),"")</f>
        <v/>
      </c>
    </row>
    <row r="373" spans="2:9" x14ac:dyDescent="0.3">
      <c r="B373" t="str">
        <f>IFERROR(IF(A373="","",VLOOKUP(A373,CadProd!$A:$B,2,0)),"")</f>
        <v/>
      </c>
      <c r="C373" t="str">
        <f>IFERROR(IF(A373="","",VLOOKUP(A373,CadProd!$A:$C,3,0)),"")</f>
        <v/>
      </c>
      <c r="I373" s="1" t="str">
        <f>IFERROR(IF(A373="","",E373*#REF!),"")</f>
        <v/>
      </c>
    </row>
    <row r="374" spans="2:9" x14ac:dyDescent="0.3">
      <c r="B374" t="str">
        <f>IFERROR(IF(A374="","",VLOOKUP(A374,CadProd!$A:$B,2,0)),"")</f>
        <v/>
      </c>
      <c r="C374" t="str">
        <f>IFERROR(IF(A374="","",VLOOKUP(A374,CadProd!$A:$C,3,0)),"")</f>
        <v/>
      </c>
      <c r="I374" s="1" t="str">
        <f>IFERROR(IF(A374="","",E374*#REF!),"")</f>
        <v/>
      </c>
    </row>
    <row r="375" spans="2:9" x14ac:dyDescent="0.3">
      <c r="B375" t="str">
        <f>IFERROR(IF(A375="","",VLOOKUP(A375,CadProd!$A:$B,2,0)),"")</f>
        <v/>
      </c>
      <c r="C375" t="str">
        <f>IFERROR(IF(A375="","",VLOOKUP(A375,CadProd!$A:$C,3,0)),"")</f>
        <v/>
      </c>
      <c r="I375" s="1" t="str">
        <f>IFERROR(IF(A375="","",E375*#REF!),"")</f>
        <v/>
      </c>
    </row>
    <row r="376" spans="2:9" x14ac:dyDescent="0.3">
      <c r="B376" t="str">
        <f>IFERROR(IF(A376="","",VLOOKUP(A376,CadProd!$A:$B,2,0)),"")</f>
        <v/>
      </c>
      <c r="C376" t="str">
        <f>IFERROR(IF(A376="","",VLOOKUP(A376,CadProd!$A:$C,3,0)),"")</f>
        <v/>
      </c>
      <c r="I376" s="1" t="str">
        <f>IFERROR(IF(A376="","",E376*#REF!),"")</f>
        <v/>
      </c>
    </row>
    <row r="377" spans="2:9" x14ac:dyDescent="0.3">
      <c r="B377" t="str">
        <f>IFERROR(IF(A377="","",VLOOKUP(A377,CadProd!$A:$B,2,0)),"")</f>
        <v/>
      </c>
      <c r="C377" t="str">
        <f>IFERROR(IF(A377="","",VLOOKUP(A377,CadProd!$A:$C,3,0)),"")</f>
        <v/>
      </c>
      <c r="I377" s="1" t="str">
        <f>IFERROR(IF(A377="","",E377*#REF!),"")</f>
        <v/>
      </c>
    </row>
    <row r="378" spans="2:9" x14ac:dyDescent="0.3">
      <c r="B378" t="str">
        <f>IFERROR(IF(A378="","",VLOOKUP(A378,CadProd!$A:$B,2,0)),"")</f>
        <v/>
      </c>
      <c r="C378" t="str">
        <f>IFERROR(IF(A378="","",VLOOKUP(A378,CadProd!$A:$C,3,0)),"")</f>
        <v/>
      </c>
      <c r="I378" s="1" t="str">
        <f>IFERROR(IF(A378="","",E378*#REF!),"")</f>
        <v/>
      </c>
    </row>
    <row r="379" spans="2:9" x14ac:dyDescent="0.3">
      <c r="B379" t="str">
        <f>IFERROR(IF(A379="","",VLOOKUP(A379,CadProd!$A:$B,2,0)),"")</f>
        <v/>
      </c>
      <c r="C379" t="str">
        <f>IFERROR(IF(A379="","",VLOOKUP(A379,CadProd!$A:$C,3,0)),"")</f>
        <v/>
      </c>
      <c r="I379" s="1" t="str">
        <f>IFERROR(IF(A379="","",E379*#REF!),"")</f>
        <v/>
      </c>
    </row>
    <row r="380" spans="2:9" x14ac:dyDescent="0.3">
      <c r="B380" t="str">
        <f>IFERROR(IF(A380="","",VLOOKUP(A380,CadProd!$A:$B,2,0)),"")</f>
        <v/>
      </c>
      <c r="C380" t="str">
        <f>IFERROR(IF(A380="","",VLOOKUP(A380,CadProd!$A:$C,3,0)),"")</f>
        <v/>
      </c>
      <c r="I380" s="1" t="str">
        <f>IFERROR(IF(A380="","",E380*#REF!),"")</f>
        <v/>
      </c>
    </row>
    <row r="381" spans="2:9" x14ac:dyDescent="0.3">
      <c r="B381" t="str">
        <f>IFERROR(IF(A381="","",VLOOKUP(A381,CadProd!$A:$B,2,0)),"")</f>
        <v/>
      </c>
      <c r="C381" t="str">
        <f>IFERROR(IF(A381="","",VLOOKUP(A381,CadProd!$A:$C,3,0)),"")</f>
        <v/>
      </c>
      <c r="I381" s="1" t="str">
        <f>IFERROR(IF(A381="","",E381*#REF!),"")</f>
        <v/>
      </c>
    </row>
    <row r="382" spans="2:9" x14ac:dyDescent="0.3">
      <c r="B382" t="str">
        <f>IFERROR(IF(A382="","",VLOOKUP(A382,CadProd!$A:$B,2,0)),"")</f>
        <v/>
      </c>
      <c r="C382" t="str">
        <f>IFERROR(IF(A382="","",VLOOKUP(A382,CadProd!$A:$C,3,0)),"")</f>
        <v/>
      </c>
      <c r="I382" s="1" t="str">
        <f>IFERROR(IF(A382="","",E382*#REF!),"")</f>
        <v/>
      </c>
    </row>
    <row r="383" spans="2:9" x14ac:dyDescent="0.3">
      <c r="B383" t="str">
        <f>IFERROR(IF(A383="","",VLOOKUP(A383,CadProd!$A:$B,2,0)),"")</f>
        <v/>
      </c>
      <c r="C383" t="str">
        <f>IFERROR(IF(A383="","",VLOOKUP(A383,CadProd!$A:$C,3,0)),"")</f>
        <v/>
      </c>
      <c r="I383" s="1" t="str">
        <f>IFERROR(IF(A383="","",E383*#REF!),"")</f>
        <v/>
      </c>
    </row>
    <row r="384" spans="2:9" x14ac:dyDescent="0.3">
      <c r="B384" t="str">
        <f>IFERROR(IF(A384="","",VLOOKUP(A384,CadProd!$A:$B,2,0)),"")</f>
        <v/>
      </c>
      <c r="C384" t="str">
        <f>IFERROR(IF(A384="","",VLOOKUP(A384,CadProd!$A:$C,3,0)),"")</f>
        <v/>
      </c>
      <c r="I384" s="1" t="str">
        <f>IFERROR(IF(A384="","",E384*#REF!),"")</f>
        <v/>
      </c>
    </row>
    <row r="385" spans="2:9" x14ac:dyDescent="0.3">
      <c r="B385" t="str">
        <f>IFERROR(IF(A385="","",VLOOKUP(A385,CadProd!$A:$B,2,0)),"")</f>
        <v/>
      </c>
      <c r="C385" t="str">
        <f>IFERROR(IF(A385="","",VLOOKUP(A385,CadProd!$A:$C,3,0)),"")</f>
        <v/>
      </c>
      <c r="I385" s="1" t="str">
        <f>IFERROR(IF(A385="","",E385*#REF!),"")</f>
        <v/>
      </c>
    </row>
    <row r="386" spans="2:9" x14ac:dyDescent="0.3">
      <c r="B386" t="str">
        <f>IFERROR(IF(A386="","",VLOOKUP(A386,CadProd!$A:$B,2,0)),"")</f>
        <v/>
      </c>
      <c r="C386" t="str">
        <f>IFERROR(IF(A386="","",VLOOKUP(A386,CadProd!$A:$C,3,0)),"")</f>
        <v/>
      </c>
      <c r="I386" s="1" t="str">
        <f>IFERROR(IF(A386="","",E386*#REF!),"")</f>
        <v/>
      </c>
    </row>
    <row r="387" spans="2:9" x14ac:dyDescent="0.3">
      <c r="B387" t="str">
        <f>IFERROR(IF(A387="","",VLOOKUP(A387,CadProd!$A:$B,2,0)),"")</f>
        <v/>
      </c>
      <c r="C387" t="str">
        <f>IFERROR(IF(A387="","",VLOOKUP(A387,CadProd!$A:$C,3,0)),"")</f>
        <v/>
      </c>
      <c r="I387" s="1" t="str">
        <f>IFERROR(IF(A387="","",E387*#REF!),"")</f>
        <v/>
      </c>
    </row>
    <row r="388" spans="2:9" x14ac:dyDescent="0.3">
      <c r="B388" t="str">
        <f>IFERROR(IF(A388="","",VLOOKUP(A388,CadProd!$A:$B,2,0)),"")</f>
        <v/>
      </c>
      <c r="C388" t="str">
        <f>IFERROR(IF(A388="","",VLOOKUP(A388,CadProd!$A:$C,3,0)),"")</f>
        <v/>
      </c>
      <c r="I388" s="1" t="str">
        <f>IFERROR(IF(A388="","",E388*#REF!),"")</f>
        <v/>
      </c>
    </row>
    <row r="389" spans="2:9" x14ac:dyDescent="0.3">
      <c r="B389" t="str">
        <f>IFERROR(IF(A389="","",VLOOKUP(A389,CadProd!$A:$B,2,0)),"")</f>
        <v/>
      </c>
      <c r="C389" t="str">
        <f>IFERROR(IF(A389="","",VLOOKUP(A389,CadProd!$A:$C,3,0)),"")</f>
        <v/>
      </c>
      <c r="I389" s="1" t="str">
        <f>IFERROR(IF(A389="","",E389*#REF!),"")</f>
        <v/>
      </c>
    </row>
    <row r="390" spans="2:9" x14ac:dyDescent="0.3">
      <c r="B390" t="str">
        <f>IFERROR(IF(A390="","",VLOOKUP(A390,CadProd!$A:$B,2,0)),"")</f>
        <v/>
      </c>
      <c r="C390" t="str">
        <f>IFERROR(IF(A390="","",VLOOKUP(A390,CadProd!$A:$C,3,0)),"")</f>
        <v/>
      </c>
      <c r="I390" s="1" t="str">
        <f>IFERROR(IF(A390="","",E390*#REF!),"")</f>
        <v/>
      </c>
    </row>
    <row r="391" spans="2:9" x14ac:dyDescent="0.3">
      <c r="B391" t="str">
        <f>IFERROR(IF(A391="","",VLOOKUP(A391,CadProd!$A:$B,2,0)),"")</f>
        <v/>
      </c>
      <c r="C391" t="str">
        <f>IFERROR(IF(A391="","",VLOOKUP(A391,CadProd!$A:$C,3,0)),"")</f>
        <v/>
      </c>
      <c r="I391" s="1" t="str">
        <f>IFERROR(IF(A391="","",E391*#REF!),"")</f>
        <v/>
      </c>
    </row>
    <row r="392" spans="2:9" x14ac:dyDescent="0.3">
      <c r="B392" t="str">
        <f>IFERROR(IF(A392="","",VLOOKUP(A392,CadProd!$A:$B,2,0)),"")</f>
        <v/>
      </c>
      <c r="C392" t="str">
        <f>IFERROR(IF(A392="","",VLOOKUP(A392,CadProd!$A:$C,3,0)),"")</f>
        <v/>
      </c>
      <c r="I392" s="1" t="str">
        <f>IFERROR(IF(A392="","",E392*#REF!),"")</f>
        <v/>
      </c>
    </row>
    <row r="393" spans="2:9" x14ac:dyDescent="0.3">
      <c r="B393" t="str">
        <f>IFERROR(IF(A393="","",VLOOKUP(A393,CadProd!$A:$B,2,0)),"")</f>
        <v/>
      </c>
      <c r="C393" t="str">
        <f>IFERROR(IF(A393="","",VLOOKUP(A393,CadProd!$A:$C,3,0)),"")</f>
        <v/>
      </c>
      <c r="I393" s="1" t="str">
        <f>IFERROR(IF(A393="","",E393*#REF!),"")</f>
        <v/>
      </c>
    </row>
    <row r="394" spans="2:9" x14ac:dyDescent="0.3">
      <c r="B394" t="str">
        <f>IFERROR(IF(A394="","",VLOOKUP(A394,CadProd!$A:$B,2,0)),"")</f>
        <v/>
      </c>
      <c r="C394" t="str">
        <f>IFERROR(IF(A394="","",VLOOKUP(A394,CadProd!$A:$C,3,0)),"")</f>
        <v/>
      </c>
      <c r="I394" s="1" t="str">
        <f>IFERROR(IF(A394="","",E394*#REF!),"")</f>
        <v/>
      </c>
    </row>
    <row r="395" spans="2:9" x14ac:dyDescent="0.3">
      <c r="B395" t="str">
        <f>IFERROR(IF(A395="","",VLOOKUP(A395,CadProd!$A:$B,2,0)),"")</f>
        <v/>
      </c>
      <c r="C395" t="str">
        <f>IFERROR(IF(A395="","",VLOOKUP(A395,CadProd!$A:$C,3,0)),"")</f>
        <v/>
      </c>
      <c r="I395" s="1" t="str">
        <f>IFERROR(IF(A395="","",E395*#REF!),"")</f>
        <v/>
      </c>
    </row>
    <row r="396" spans="2:9" x14ac:dyDescent="0.3">
      <c r="B396" t="str">
        <f>IFERROR(IF(A396="","",VLOOKUP(A396,CadProd!$A:$B,2,0)),"")</f>
        <v/>
      </c>
      <c r="C396" t="str">
        <f>IFERROR(IF(A396="","",VLOOKUP(A396,CadProd!$A:$C,3,0)),"")</f>
        <v/>
      </c>
      <c r="I396" s="1" t="str">
        <f>IFERROR(IF(A396="","",E396*#REF!),"")</f>
        <v/>
      </c>
    </row>
    <row r="397" spans="2:9" x14ac:dyDescent="0.3">
      <c r="B397" t="str">
        <f>IFERROR(IF(A397="","",VLOOKUP(A397,CadProd!$A:$B,2,0)),"")</f>
        <v/>
      </c>
      <c r="C397" t="str">
        <f>IFERROR(IF(A397="","",VLOOKUP(A397,CadProd!$A:$C,3,0)),"")</f>
        <v/>
      </c>
      <c r="I397" s="1" t="str">
        <f>IFERROR(IF(A397="","",E397*#REF!),"")</f>
        <v/>
      </c>
    </row>
    <row r="398" spans="2:9" x14ac:dyDescent="0.3">
      <c r="B398" t="str">
        <f>IFERROR(IF(A398="","",VLOOKUP(A398,CadProd!$A:$B,2,0)),"")</f>
        <v/>
      </c>
      <c r="C398" t="str">
        <f>IFERROR(IF(A398="","",VLOOKUP(A398,CadProd!$A:$C,3,0)),"")</f>
        <v/>
      </c>
      <c r="I398" s="1" t="str">
        <f>IFERROR(IF(A398="","",E398*#REF!),"")</f>
        <v/>
      </c>
    </row>
    <row r="399" spans="2:9" x14ac:dyDescent="0.3">
      <c r="B399" t="str">
        <f>IFERROR(IF(A399="","",VLOOKUP(A399,CadProd!$A:$B,2,0)),"")</f>
        <v/>
      </c>
      <c r="C399" t="str">
        <f>IFERROR(IF(A399="","",VLOOKUP(A399,CadProd!$A:$C,3,0)),"")</f>
        <v/>
      </c>
      <c r="I399" s="1" t="str">
        <f>IFERROR(IF(A399="","",E399*#REF!),"")</f>
        <v/>
      </c>
    </row>
    <row r="400" spans="2:9" x14ac:dyDescent="0.3">
      <c r="B400" t="str">
        <f>IFERROR(IF(A400="","",VLOOKUP(A400,CadProd!$A:$B,2,0)),"")</f>
        <v/>
      </c>
      <c r="C400" t="str">
        <f>IFERROR(IF(A400="","",VLOOKUP(A400,CadProd!$A:$C,3,0)),"")</f>
        <v/>
      </c>
      <c r="I400" s="1" t="str">
        <f>IFERROR(IF(A400="","",E400*#REF!),"")</f>
        <v/>
      </c>
    </row>
    <row r="401" spans="2:9" x14ac:dyDescent="0.3">
      <c r="B401" t="str">
        <f>IFERROR(IF(A401="","",VLOOKUP(A401,CadProd!$A:$B,2,0)),"")</f>
        <v/>
      </c>
      <c r="C401" t="str">
        <f>IFERROR(IF(A401="","",VLOOKUP(A401,CadProd!$A:$C,3,0)),"")</f>
        <v/>
      </c>
      <c r="I401" s="1" t="str">
        <f>IFERROR(IF(A401="","",E401*#REF!),"")</f>
        <v/>
      </c>
    </row>
    <row r="402" spans="2:9" x14ac:dyDescent="0.3">
      <c r="B402" t="str">
        <f>IFERROR(IF(A402="","",VLOOKUP(A402,CadProd!$A:$B,2,0)),"")</f>
        <v/>
      </c>
      <c r="C402" t="str">
        <f>IFERROR(IF(A402="","",VLOOKUP(A402,CadProd!$A:$C,3,0)),"")</f>
        <v/>
      </c>
      <c r="I402" s="1" t="str">
        <f>IFERROR(IF(A402="","",E402*#REF!),"")</f>
        <v/>
      </c>
    </row>
    <row r="403" spans="2:9" x14ac:dyDescent="0.3">
      <c r="B403" t="str">
        <f>IFERROR(IF(A403="","",VLOOKUP(A403,CadProd!$A:$B,2,0)),"")</f>
        <v/>
      </c>
      <c r="C403" t="str">
        <f>IFERROR(IF(A403="","",VLOOKUP(A403,CadProd!$A:$C,3,0)),"")</f>
        <v/>
      </c>
      <c r="I403" s="1" t="str">
        <f>IFERROR(IF(A403="","",E403*#REF!),"")</f>
        <v/>
      </c>
    </row>
    <row r="404" spans="2:9" x14ac:dyDescent="0.3">
      <c r="B404" t="str">
        <f>IFERROR(IF(A404="","",VLOOKUP(A404,CadProd!$A:$B,2,0)),"")</f>
        <v/>
      </c>
      <c r="C404" t="str">
        <f>IFERROR(IF(A404="","",VLOOKUP(A404,CadProd!$A:$C,3,0)),"")</f>
        <v/>
      </c>
      <c r="I404" s="1" t="str">
        <f>IFERROR(IF(A404="","",E404*#REF!),"")</f>
        <v/>
      </c>
    </row>
    <row r="405" spans="2:9" x14ac:dyDescent="0.3">
      <c r="B405" t="str">
        <f>IFERROR(IF(A405="","",VLOOKUP(A405,CadProd!$A:$B,2,0)),"")</f>
        <v/>
      </c>
      <c r="C405" t="str">
        <f>IFERROR(IF(A405="","",VLOOKUP(A405,CadProd!$A:$C,3,0)),"")</f>
        <v/>
      </c>
      <c r="I405" s="1" t="str">
        <f>IFERROR(IF(A405="","",E405*#REF!),"")</f>
        <v/>
      </c>
    </row>
    <row r="406" spans="2:9" x14ac:dyDescent="0.3">
      <c r="B406" t="str">
        <f>IFERROR(IF(A406="","",VLOOKUP(A406,CadProd!$A:$B,2,0)),"")</f>
        <v/>
      </c>
      <c r="C406" t="str">
        <f>IFERROR(IF(A406="","",VLOOKUP(A406,CadProd!$A:$C,3,0)),"")</f>
        <v/>
      </c>
      <c r="I406" s="1" t="str">
        <f>IFERROR(IF(A406="","",E406*#REF!),"")</f>
        <v/>
      </c>
    </row>
    <row r="407" spans="2:9" x14ac:dyDescent="0.3">
      <c r="B407" t="str">
        <f>IFERROR(IF(A407="","",VLOOKUP(A407,CadProd!$A:$B,2,0)),"")</f>
        <v/>
      </c>
      <c r="C407" t="str">
        <f>IFERROR(IF(A407="","",VLOOKUP(A407,CadProd!$A:$C,3,0)),"")</f>
        <v/>
      </c>
      <c r="I407" s="1" t="str">
        <f>IFERROR(IF(A407="","",E407*#REF!),"")</f>
        <v/>
      </c>
    </row>
    <row r="408" spans="2:9" x14ac:dyDescent="0.3">
      <c r="B408" t="str">
        <f>IFERROR(IF(A408="","",VLOOKUP(A408,CadProd!$A:$B,2,0)),"")</f>
        <v/>
      </c>
      <c r="C408" t="str">
        <f>IFERROR(IF(A408="","",VLOOKUP(A408,CadProd!$A:$C,3,0)),"")</f>
        <v/>
      </c>
      <c r="I408" s="1" t="str">
        <f>IFERROR(IF(A408="","",E408*#REF!),"")</f>
        <v/>
      </c>
    </row>
    <row r="409" spans="2:9" x14ac:dyDescent="0.3">
      <c r="B409" t="str">
        <f>IFERROR(IF(A409="","",VLOOKUP(A409,CadProd!$A:$B,2,0)),"")</f>
        <v/>
      </c>
      <c r="C409" t="str">
        <f>IFERROR(IF(A409="","",VLOOKUP(A409,CadProd!$A:$C,3,0)),"")</f>
        <v/>
      </c>
      <c r="I409" s="1" t="str">
        <f>IFERROR(IF(A409="","",E409*#REF!),"")</f>
        <v/>
      </c>
    </row>
    <row r="410" spans="2:9" x14ac:dyDescent="0.3">
      <c r="B410" t="str">
        <f>IFERROR(IF(A410="","",VLOOKUP(A410,CadProd!$A:$B,2,0)),"")</f>
        <v/>
      </c>
      <c r="C410" t="str">
        <f>IFERROR(IF(A410="","",VLOOKUP(A410,CadProd!$A:$C,3,0)),"")</f>
        <v/>
      </c>
      <c r="I410" s="1" t="str">
        <f>IFERROR(IF(A410="","",E410*#REF!),"")</f>
        <v/>
      </c>
    </row>
    <row r="411" spans="2:9" x14ac:dyDescent="0.3">
      <c r="B411" t="str">
        <f>IFERROR(IF(A411="","",VLOOKUP(A411,CadProd!$A:$B,2,0)),"")</f>
        <v/>
      </c>
      <c r="C411" t="str">
        <f>IFERROR(IF(A411="","",VLOOKUP(A411,CadProd!$A:$C,3,0)),"")</f>
        <v/>
      </c>
      <c r="I411" s="1" t="str">
        <f>IFERROR(IF(A411="","",E411*#REF!),"")</f>
        <v/>
      </c>
    </row>
    <row r="412" spans="2:9" x14ac:dyDescent="0.3">
      <c r="B412" t="str">
        <f>IFERROR(IF(A412="","",VLOOKUP(A412,CadProd!$A:$B,2,0)),"")</f>
        <v/>
      </c>
      <c r="C412" t="str">
        <f>IFERROR(IF(A412="","",VLOOKUP(A412,CadProd!$A:$C,3,0)),"")</f>
        <v/>
      </c>
      <c r="I412" s="1" t="str">
        <f>IFERROR(IF(A412="","",E412*#REF!),"")</f>
        <v/>
      </c>
    </row>
    <row r="413" spans="2:9" x14ac:dyDescent="0.3">
      <c r="B413" t="str">
        <f>IFERROR(IF(A413="","",VLOOKUP(A413,CadProd!$A:$B,2,0)),"")</f>
        <v/>
      </c>
      <c r="C413" t="str">
        <f>IFERROR(IF(A413="","",VLOOKUP(A413,CadProd!$A:$C,3,0)),"")</f>
        <v/>
      </c>
      <c r="I413" s="1" t="str">
        <f>IFERROR(IF(A413="","",E413*#REF!),"")</f>
        <v/>
      </c>
    </row>
    <row r="414" spans="2:9" x14ac:dyDescent="0.3">
      <c r="B414" t="str">
        <f>IFERROR(IF(A414="","",VLOOKUP(A414,CadProd!$A:$B,2,0)),"")</f>
        <v/>
      </c>
      <c r="C414" t="str">
        <f>IFERROR(IF(A414="","",VLOOKUP(A414,CadProd!$A:$C,3,0)),"")</f>
        <v/>
      </c>
      <c r="I414" s="1" t="str">
        <f>IFERROR(IF(A414="","",E414*#REF!),"")</f>
        <v/>
      </c>
    </row>
    <row r="415" spans="2:9" x14ac:dyDescent="0.3">
      <c r="B415" t="str">
        <f>IFERROR(IF(A415="","",VLOOKUP(A415,CadProd!$A:$B,2,0)),"")</f>
        <v/>
      </c>
      <c r="C415" t="str">
        <f>IFERROR(IF(A415="","",VLOOKUP(A415,CadProd!$A:$C,3,0)),"")</f>
        <v/>
      </c>
      <c r="I415" s="1" t="str">
        <f>IFERROR(IF(A415="","",E415*#REF!),"")</f>
        <v/>
      </c>
    </row>
    <row r="416" spans="2:9" x14ac:dyDescent="0.3">
      <c r="B416" t="str">
        <f>IFERROR(IF(A416="","",VLOOKUP(A416,CadProd!$A:$B,2,0)),"")</f>
        <v/>
      </c>
      <c r="C416" t="str">
        <f>IFERROR(IF(A416="","",VLOOKUP(A416,CadProd!$A:$C,3,0)),"")</f>
        <v/>
      </c>
      <c r="I416" s="1" t="str">
        <f>IFERROR(IF(A416="","",E416*#REF!),"")</f>
        <v/>
      </c>
    </row>
    <row r="417" spans="2:9" x14ac:dyDescent="0.3">
      <c r="B417" t="str">
        <f>IFERROR(IF(A417="","",VLOOKUP(A417,CadProd!$A:$B,2,0)),"")</f>
        <v/>
      </c>
      <c r="C417" t="str">
        <f>IFERROR(IF(A417="","",VLOOKUP(A417,CadProd!$A:$C,3,0)),"")</f>
        <v/>
      </c>
      <c r="I417" s="1" t="str">
        <f>IFERROR(IF(A417="","",E417*#REF!),"")</f>
        <v/>
      </c>
    </row>
    <row r="418" spans="2:9" x14ac:dyDescent="0.3">
      <c r="B418" t="str">
        <f>IFERROR(IF(A418="","",VLOOKUP(A418,CadProd!$A:$B,2,0)),"")</f>
        <v/>
      </c>
      <c r="C418" t="str">
        <f>IFERROR(IF(A418="","",VLOOKUP(A418,CadProd!$A:$C,3,0)),"")</f>
        <v/>
      </c>
      <c r="I418" s="1" t="str">
        <f>IFERROR(IF(A418="","",E418*#REF!),"")</f>
        <v/>
      </c>
    </row>
    <row r="419" spans="2:9" x14ac:dyDescent="0.3">
      <c r="B419" t="str">
        <f>IFERROR(IF(A419="","",VLOOKUP(A419,CadProd!$A:$B,2,0)),"")</f>
        <v/>
      </c>
      <c r="C419" t="str">
        <f>IFERROR(IF(A419="","",VLOOKUP(A419,CadProd!$A:$C,3,0)),"")</f>
        <v/>
      </c>
      <c r="I419" s="1" t="str">
        <f>IFERROR(IF(A419="","",E419*#REF!),"")</f>
        <v/>
      </c>
    </row>
    <row r="420" spans="2:9" x14ac:dyDescent="0.3">
      <c r="B420" t="str">
        <f>IFERROR(IF(A420="","",VLOOKUP(A420,CadProd!$A:$B,2,0)),"")</f>
        <v/>
      </c>
      <c r="C420" t="str">
        <f>IFERROR(IF(A420="","",VLOOKUP(A420,CadProd!$A:$C,3,0)),"")</f>
        <v/>
      </c>
      <c r="I420" s="1" t="str">
        <f>IFERROR(IF(A420="","",E420*#REF!),"")</f>
        <v/>
      </c>
    </row>
    <row r="421" spans="2:9" x14ac:dyDescent="0.3">
      <c r="B421" t="str">
        <f>IFERROR(IF(A421="","",VLOOKUP(A421,CadProd!$A:$B,2,0)),"")</f>
        <v/>
      </c>
      <c r="C421" t="str">
        <f>IFERROR(IF(A421="","",VLOOKUP(A421,CadProd!$A:$C,3,0)),"")</f>
        <v/>
      </c>
      <c r="I421" s="1" t="str">
        <f>IFERROR(IF(A421="","",E421*#REF!),"")</f>
        <v/>
      </c>
    </row>
    <row r="422" spans="2:9" x14ac:dyDescent="0.3">
      <c r="B422" t="str">
        <f>IFERROR(IF(A422="","",VLOOKUP(A422,CadProd!$A:$B,2,0)),"")</f>
        <v/>
      </c>
      <c r="C422" t="str">
        <f>IFERROR(IF(A422="","",VLOOKUP(A422,CadProd!$A:$C,3,0)),"")</f>
        <v/>
      </c>
      <c r="I422" s="1" t="str">
        <f>IFERROR(IF(A422="","",E422*#REF!),"")</f>
        <v/>
      </c>
    </row>
    <row r="423" spans="2:9" x14ac:dyDescent="0.3">
      <c r="B423" t="str">
        <f>IFERROR(IF(A423="","",VLOOKUP(A423,CadProd!$A:$B,2,0)),"")</f>
        <v/>
      </c>
      <c r="C423" t="str">
        <f>IFERROR(IF(A423="","",VLOOKUP(A423,CadProd!$A:$C,3,0)),"")</f>
        <v/>
      </c>
      <c r="I423" s="1" t="str">
        <f>IFERROR(IF(A423="","",E423*#REF!),"")</f>
        <v/>
      </c>
    </row>
    <row r="424" spans="2:9" x14ac:dyDescent="0.3">
      <c r="B424" t="str">
        <f>IFERROR(IF(A424="","",VLOOKUP(A424,CadProd!$A:$B,2,0)),"")</f>
        <v/>
      </c>
      <c r="C424" t="str">
        <f>IFERROR(IF(A424="","",VLOOKUP(A424,CadProd!$A:$C,3,0)),"")</f>
        <v/>
      </c>
      <c r="I424" s="1" t="str">
        <f>IFERROR(IF(A424="","",E424*#REF!),"")</f>
        <v/>
      </c>
    </row>
    <row r="425" spans="2:9" x14ac:dyDescent="0.3">
      <c r="B425" t="str">
        <f>IFERROR(IF(A425="","",VLOOKUP(A425,CadProd!$A:$B,2,0)),"")</f>
        <v/>
      </c>
      <c r="C425" t="str">
        <f>IFERROR(IF(A425="","",VLOOKUP(A425,CadProd!$A:$C,3,0)),"")</f>
        <v/>
      </c>
      <c r="I425" s="1" t="str">
        <f>IFERROR(IF(A425="","",E425*#REF!),"")</f>
        <v/>
      </c>
    </row>
    <row r="426" spans="2:9" x14ac:dyDescent="0.3">
      <c r="B426" t="str">
        <f>IFERROR(IF(A426="","",VLOOKUP(A426,CadProd!$A:$B,2,0)),"")</f>
        <v/>
      </c>
      <c r="C426" t="str">
        <f>IFERROR(IF(A426="","",VLOOKUP(A426,CadProd!$A:$C,3,0)),"")</f>
        <v/>
      </c>
      <c r="I426" s="1" t="str">
        <f>IFERROR(IF(A426="","",E426*#REF!),"")</f>
        <v/>
      </c>
    </row>
    <row r="427" spans="2:9" x14ac:dyDescent="0.3">
      <c r="B427" t="str">
        <f>IFERROR(IF(A427="","",VLOOKUP(A427,CadProd!$A:$B,2,0)),"")</f>
        <v/>
      </c>
      <c r="C427" t="str">
        <f>IFERROR(IF(A427="","",VLOOKUP(A427,CadProd!$A:$C,3,0)),"")</f>
        <v/>
      </c>
      <c r="I427" s="1" t="str">
        <f>IFERROR(IF(A427="","",E427*#REF!),"")</f>
        <v/>
      </c>
    </row>
    <row r="428" spans="2:9" x14ac:dyDescent="0.3">
      <c r="B428" t="str">
        <f>IFERROR(IF(A428="","",VLOOKUP(A428,CadProd!$A:$B,2,0)),"")</f>
        <v/>
      </c>
      <c r="C428" t="str">
        <f>IFERROR(IF(A428="","",VLOOKUP(A428,CadProd!$A:$C,3,0)),"")</f>
        <v/>
      </c>
      <c r="I428" s="1" t="str">
        <f>IFERROR(IF(A428="","",E428*#REF!),"")</f>
        <v/>
      </c>
    </row>
    <row r="429" spans="2:9" x14ac:dyDescent="0.3">
      <c r="B429" t="str">
        <f>IFERROR(IF(A429="","",VLOOKUP(A429,CadProd!$A:$B,2,0)),"")</f>
        <v/>
      </c>
      <c r="C429" t="str">
        <f>IFERROR(IF(A429="","",VLOOKUP(A429,CadProd!$A:$C,3,0)),"")</f>
        <v/>
      </c>
      <c r="I429" s="1" t="str">
        <f>IFERROR(IF(A429="","",E429*#REF!),"")</f>
        <v/>
      </c>
    </row>
    <row r="430" spans="2:9" x14ac:dyDescent="0.3">
      <c r="B430" t="str">
        <f>IFERROR(IF(A430="","",VLOOKUP(A430,CadProd!$A:$B,2,0)),"")</f>
        <v/>
      </c>
      <c r="C430" t="str">
        <f>IFERROR(IF(A430="","",VLOOKUP(A430,CadProd!$A:$C,3,0)),"")</f>
        <v/>
      </c>
      <c r="I430" s="1" t="str">
        <f>IFERROR(IF(A430="","",E430*#REF!),"")</f>
        <v/>
      </c>
    </row>
    <row r="431" spans="2:9" x14ac:dyDescent="0.3">
      <c r="B431" t="str">
        <f>IFERROR(IF(A431="","",VLOOKUP(A431,CadProd!$A:$B,2,0)),"")</f>
        <v/>
      </c>
      <c r="C431" t="str">
        <f>IFERROR(IF(A431="","",VLOOKUP(A431,CadProd!$A:$C,3,0)),"")</f>
        <v/>
      </c>
      <c r="I431" s="1" t="str">
        <f>IFERROR(IF(A431="","",E431*#REF!),"")</f>
        <v/>
      </c>
    </row>
    <row r="432" spans="2:9" x14ac:dyDescent="0.3">
      <c r="B432" t="str">
        <f>IFERROR(IF(A432="","",VLOOKUP(A432,CadProd!$A:$B,2,0)),"")</f>
        <v/>
      </c>
      <c r="C432" t="str">
        <f>IFERROR(IF(A432="","",VLOOKUP(A432,CadProd!$A:$C,3,0)),"")</f>
        <v/>
      </c>
      <c r="I432" s="1" t="str">
        <f>IFERROR(IF(A432="","",E432*#REF!),"")</f>
        <v/>
      </c>
    </row>
    <row r="433" spans="2:9" x14ac:dyDescent="0.3">
      <c r="B433" t="str">
        <f>IFERROR(IF(A433="","",VLOOKUP(A433,CadProd!$A:$B,2,0)),"")</f>
        <v/>
      </c>
      <c r="C433" t="str">
        <f>IFERROR(IF(A433="","",VLOOKUP(A433,CadProd!$A:$C,3,0)),"")</f>
        <v/>
      </c>
      <c r="I433" s="1" t="str">
        <f>IFERROR(IF(A433="","",E433*#REF!),"")</f>
        <v/>
      </c>
    </row>
    <row r="434" spans="2:9" x14ac:dyDescent="0.3">
      <c r="B434" t="str">
        <f>IFERROR(IF(A434="","",VLOOKUP(A434,CadProd!$A:$B,2,0)),"")</f>
        <v/>
      </c>
      <c r="C434" t="str">
        <f>IFERROR(IF(A434="","",VLOOKUP(A434,CadProd!$A:$C,3,0)),"")</f>
        <v/>
      </c>
      <c r="I434" s="1" t="str">
        <f>IFERROR(IF(A434="","",E434*#REF!),"")</f>
        <v/>
      </c>
    </row>
    <row r="435" spans="2:9" x14ac:dyDescent="0.3">
      <c r="B435" t="str">
        <f>IFERROR(IF(A435="","",VLOOKUP(A435,CadProd!$A:$B,2,0)),"")</f>
        <v/>
      </c>
      <c r="C435" t="str">
        <f>IFERROR(IF(A435="","",VLOOKUP(A435,CadProd!$A:$C,3,0)),"")</f>
        <v/>
      </c>
      <c r="I435" s="1" t="str">
        <f>IFERROR(IF(A435="","",E435*#REF!),"")</f>
        <v/>
      </c>
    </row>
    <row r="436" spans="2:9" x14ac:dyDescent="0.3">
      <c r="B436" t="str">
        <f>IFERROR(IF(A436="","",VLOOKUP(A436,CadProd!$A:$B,2,0)),"")</f>
        <v/>
      </c>
      <c r="C436" t="str">
        <f>IFERROR(IF(A436="","",VLOOKUP(A436,CadProd!$A:$C,3,0)),"")</f>
        <v/>
      </c>
      <c r="I436" s="1" t="str">
        <f>IFERROR(IF(A436="","",E436*#REF!),"")</f>
        <v/>
      </c>
    </row>
    <row r="437" spans="2:9" x14ac:dyDescent="0.3">
      <c r="B437" t="str">
        <f>IFERROR(IF(A437="","",VLOOKUP(A437,CadProd!$A:$B,2,0)),"")</f>
        <v/>
      </c>
      <c r="C437" t="str">
        <f>IFERROR(IF(A437="","",VLOOKUP(A437,CadProd!$A:$C,3,0)),"")</f>
        <v/>
      </c>
      <c r="I437" s="1" t="str">
        <f>IFERROR(IF(A437="","",E437*#REF!),"")</f>
        <v/>
      </c>
    </row>
    <row r="438" spans="2:9" x14ac:dyDescent="0.3">
      <c r="B438" t="str">
        <f>IFERROR(IF(A438="","",VLOOKUP(A438,CadProd!$A:$B,2,0)),"")</f>
        <v/>
      </c>
      <c r="C438" t="str">
        <f>IFERROR(IF(A438="","",VLOOKUP(A438,CadProd!$A:$C,3,0)),"")</f>
        <v/>
      </c>
      <c r="I438" s="1" t="str">
        <f>IFERROR(IF(A438="","",E438*#REF!),"")</f>
        <v/>
      </c>
    </row>
    <row r="439" spans="2:9" x14ac:dyDescent="0.3">
      <c r="B439" t="str">
        <f>IFERROR(IF(A439="","",VLOOKUP(A439,CadProd!$A:$B,2,0)),"")</f>
        <v/>
      </c>
      <c r="C439" t="str">
        <f>IFERROR(IF(A439="","",VLOOKUP(A439,CadProd!$A:$C,3,0)),"")</f>
        <v/>
      </c>
      <c r="I439" s="1" t="str">
        <f>IFERROR(IF(A439="","",E439*#REF!),"")</f>
        <v/>
      </c>
    </row>
    <row r="440" spans="2:9" x14ac:dyDescent="0.3">
      <c r="B440" t="str">
        <f>IFERROR(IF(A440="","",VLOOKUP(A440,CadProd!$A:$B,2,0)),"")</f>
        <v/>
      </c>
      <c r="C440" t="str">
        <f>IFERROR(IF(A440="","",VLOOKUP(A440,CadProd!$A:$C,3,0)),"")</f>
        <v/>
      </c>
      <c r="I440" s="1" t="str">
        <f>IFERROR(IF(A440="","",E440*#REF!),"")</f>
        <v/>
      </c>
    </row>
    <row r="441" spans="2:9" x14ac:dyDescent="0.3">
      <c r="B441" t="str">
        <f>IFERROR(IF(A441="","",VLOOKUP(A441,CadProd!$A:$B,2,0)),"")</f>
        <v/>
      </c>
      <c r="C441" t="str">
        <f>IFERROR(IF(A441="","",VLOOKUP(A441,CadProd!$A:$C,3,0)),"")</f>
        <v/>
      </c>
      <c r="I441" s="1" t="str">
        <f>IFERROR(IF(A441="","",E441*#REF!),"")</f>
        <v/>
      </c>
    </row>
    <row r="442" spans="2:9" x14ac:dyDescent="0.3">
      <c r="B442" t="str">
        <f>IFERROR(IF(A442="","",VLOOKUP(A442,CadProd!$A:$B,2,0)),"")</f>
        <v/>
      </c>
      <c r="C442" t="str">
        <f>IFERROR(IF(A442="","",VLOOKUP(A442,CadProd!$A:$C,3,0)),"")</f>
        <v/>
      </c>
      <c r="I442" s="1" t="str">
        <f>IFERROR(IF(A442="","",E442*#REF!),"")</f>
        <v/>
      </c>
    </row>
    <row r="443" spans="2:9" x14ac:dyDescent="0.3">
      <c r="B443" t="str">
        <f>IFERROR(IF(A443="","",VLOOKUP(A443,CadProd!$A:$B,2,0)),"")</f>
        <v/>
      </c>
      <c r="C443" t="str">
        <f>IFERROR(IF(A443="","",VLOOKUP(A443,CadProd!$A:$C,3,0)),"")</f>
        <v/>
      </c>
      <c r="I443" s="1" t="str">
        <f>IFERROR(IF(A443="","",E443*#REF!),"")</f>
        <v/>
      </c>
    </row>
    <row r="444" spans="2:9" x14ac:dyDescent="0.3">
      <c r="B444" t="str">
        <f>IFERROR(IF(A444="","",VLOOKUP(A444,CadProd!$A:$B,2,0)),"")</f>
        <v/>
      </c>
      <c r="C444" t="str">
        <f>IFERROR(IF(A444="","",VLOOKUP(A444,CadProd!$A:$C,3,0)),"")</f>
        <v/>
      </c>
      <c r="I444" s="1" t="str">
        <f>IFERROR(IF(A444="","",E444*#REF!),"")</f>
        <v/>
      </c>
    </row>
    <row r="445" spans="2:9" x14ac:dyDescent="0.3">
      <c r="B445" t="str">
        <f>IFERROR(IF(A445="","",VLOOKUP(A445,CadProd!$A:$B,2,0)),"")</f>
        <v/>
      </c>
      <c r="C445" t="str">
        <f>IFERROR(IF(A445="","",VLOOKUP(A445,CadProd!$A:$C,3,0)),"")</f>
        <v/>
      </c>
      <c r="I445" s="1" t="str">
        <f>IFERROR(IF(A445="","",E445*#REF!),"")</f>
        <v/>
      </c>
    </row>
    <row r="446" spans="2:9" x14ac:dyDescent="0.3">
      <c r="B446" t="str">
        <f>IFERROR(IF(A446="","",VLOOKUP(A446,CadProd!$A:$B,2,0)),"")</f>
        <v/>
      </c>
      <c r="C446" t="str">
        <f>IFERROR(IF(A446="","",VLOOKUP(A446,CadProd!$A:$C,3,0)),"")</f>
        <v/>
      </c>
      <c r="I446" s="1" t="str">
        <f>IFERROR(IF(A446="","",E446*#REF!),"")</f>
        <v/>
      </c>
    </row>
    <row r="447" spans="2:9" x14ac:dyDescent="0.3">
      <c r="B447" t="str">
        <f>IFERROR(IF(A447="","",VLOOKUP(A447,CadProd!$A:$B,2,0)),"")</f>
        <v/>
      </c>
      <c r="C447" t="str">
        <f>IFERROR(IF(A447="","",VLOOKUP(A447,CadProd!$A:$C,3,0)),"")</f>
        <v/>
      </c>
      <c r="I447" s="1" t="str">
        <f>IFERROR(IF(A447="","",E447*#REF!),"")</f>
        <v/>
      </c>
    </row>
    <row r="448" spans="2:9" x14ac:dyDescent="0.3">
      <c r="B448" t="str">
        <f>IFERROR(IF(A448="","",VLOOKUP(A448,CadProd!$A:$B,2,0)),"")</f>
        <v/>
      </c>
      <c r="C448" t="str">
        <f>IFERROR(IF(A448="","",VLOOKUP(A448,CadProd!$A:$C,3,0)),"")</f>
        <v/>
      </c>
      <c r="I448" s="1" t="str">
        <f>IFERROR(IF(A448="","",E448*#REF!),"")</f>
        <v/>
      </c>
    </row>
    <row r="449" spans="2:9" x14ac:dyDescent="0.3">
      <c r="B449" t="str">
        <f>IFERROR(IF(A449="","",VLOOKUP(A449,CadProd!$A:$B,2,0)),"")</f>
        <v/>
      </c>
      <c r="C449" t="str">
        <f>IFERROR(IF(A449="","",VLOOKUP(A449,CadProd!$A:$C,3,0)),"")</f>
        <v/>
      </c>
      <c r="I449" s="1" t="str">
        <f>IFERROR(IF(A449="","",E449*#REF!),"")</f>
        <v/>
      </c>
    </row>
    <row r="450" spans="2:9" x14ac:dyDescent="0.3">
      <c r="B450" t="str">
        <f>IFERROR(IF(A450="","",VLOOKUP(A450,CadProd!$A:$B,2,0)),"")</f>
        <v/>
      </c>
      <c r="C450" t="str">
        <f>IFERROR(IF(A450="","",VLOOKUP(A450,CadProd!$A:$C,3,0)),"")</f>
        <v/>
      </c>
      <c r="I450" s="1" t="str">
        <f>IFERROR(IF(A450="","",E450*#REF!),"")</f>
        <v/>
      </c>
    </row>
    <row r="451" spans="2:9" x14ac:dyDescent="0.3">
      <c r="B451" t="str">
        <f>IFERROR(IF(A451="","",VLOOKUP(A451,CadProd!$A:$B,2,0)),"")</f>
        <v/>
      </c>
      <c r="C451" t="str">
        <f>IFERROR(IF(A451="","",VLOOKUP(A451,CadProd!$A:$C,3,0)),"")</f>
        <v/>
      </c>
      <c r="I451" s="1" t="str">
        <f>IFERROR(IF(A451="","",E451*#REF!),"")</f>
        <v/>
      </c>
    </row>
    <row r="452" spans="2:9" x14ac:dyDescent="0.3">
      <c r="B452" t="str">
        <f>IFERROR(IF(A452="","",VLOOKUP(A452,CadProd!$A:$B,2,0)),"")</f>
        <v/>
      </c>
      <c r="C452" t="str">
        <f>IFERROR(IF(A452="","",VLOOKUP(A452,CadProd!$A:$C,3,0)),"")</f>
        <v/>
      </c>
      <c r="I452" s="1" t="str">
        <f>IFERROR(IF(A452="","",E452*#REF!),"")</f>
        <v/>
      </c>
    </row>
    <row r="453" spans="2:9" x14ac:dyDescent="0.3">
      <c r="B453" t="str">
        <f>IFERROR(IF(A453="","",VLOOKUP(A453,CadProd!$A:$B,2,0)),"")</f>
        <v/>
      </c>
      <c r="C453" t="str">
        <f>IFERROR(IF(A453="","",VLOOKUP(A453,CadProd!$A:$C,3,0)),"")</f>
        <v/>
      </c>
      <c r="I453" s="1" t="str">
        <f>IFERROR(IF(A453="","",E453*#REF!),"")</f>
        <v/>
      </c>
    </row>
    <row r="454" spans="2:9" x14ac:dyDescent="0.3">
      <c r="B454" t="str">
        <f>IFERROR(IF(A454="","",VLOOKUP(A454,CadProd!$A:$B,2,0)),"")</f>
        <v/>
      </c>
      <c r="C454" t="str">
        <f>IFERROR(IF(A454="","",VLOOKUP(A454,CadProd!$A:$C,3,0)),"")</f>
        <v/>
      </c>
      <c r="I454" s="1" t="str">
        <f>IFERROR(IF(A454="","",E454*#REF!),"")</f>
        <v/>
      </c>
    </row>
    <row r="455" spans="2:9" x14ac:dyDescent="0.3">
      <c r="B455" t="str">
        <f>IFERROR(IF(A455="","",VLOOKUP(A455,CadProd!$A:$B,2,0)),"")</f>
        <v/>
      </c>
      <c r="C455" t="str">
        <f>IFERROR(IF(A455="","",VLOOKUP(A455,CadProd!$A:$C,3,0)),"")</f>
        <v/>
      </c>
      <c r="I455" s="1" t="str">
        <f>IFERROR(IF(A455="","",E455*#REF!),"")</f>
        <v/>
      </c>
    </row>
    <row r="456" spans="2:9" x14ac:dyDescent="0.3">
      <c r="B456" t="str">
        <f>IFERROR(IF(A456="","",VLOOKUP(A456,CadProd!$A:$B,2,0)),"")</f>
        <v/>
      </c>
      <c r="C456" t="str">
        <f>IFERROR(IF(A456="","",VLOOKUP(A456,CadProd!$A:$C,3,0)),"")</f>
        <v/>
      </c>
      <c r="I456" s="1" t="str">
        <f>IFERROR(IF(A456="","",E456*#REF!),"")</f>
        <v/>
      </c>
    </row>
    <row r="457" spans="2:9" x14ac:dyDescent="0.3">
      <c r="B457" t="str">
        <f>IFERROR(IF(A457="","",VLOOKUP(A457,CadProd!$A:$B,2,0)),"")</f>
        <v/>
      </c>
      <c r="C457" t="str">
        <f>IFERROR(IF(A457="","",VLOOKUP(A457,CadProd!$A:$C,3,0)),"")</f>
        <v/>
      </c>
      <c r="I457" s="1" t="str">
        <f>IFERROR(IF(A457="","",E457*#REF!),"")</f>
        <v/>
      </c>
    </row>
    <row r="458" spans="2:9" x14ac:dyDescent="0.3">
      <c r="B458" t="str">
        <f>IFERROR(IF(A458="","",VLOOKUP(A458,CadProd!$A:$B,2,0)),"")</f>
        <v/>
      </c>
      <c r="C458" t="str">
        <f>IFERROR(IF(A458="","",VLOOKUP(A458,CadProd!$A:$C,3,0)),"")</f>
        <v/>
      </c>
      <c r="I458" s="1" t="str">
        <f>IFERROR(IF(A458="","",E458*#REF!),"")</f>
        <v/>
      </c>
    </row>
    <row r="459" spans="2:9" x14ac:dyDescent="0.3">
      <c r="B459" t="str">
        <f>IFERROR(IF(A459="","",VLOOKUP(A459,CadProd!$A:$B,2,0)),"")</f>
        <v/>
      </c>
      <c r="C459" t="str">
        <f>IFERROR(IF(A459="","",VLOOKUP(A459,CadProd!$A:$C,3,0)),"")</f>
        <v/>
      </c>
      <c r="I459" s="1" t="str">
        <f>IFERROR(IF(A459="","",E459*#REF!),"")</f>
        <v/>
      </c>
    </row>
    <row r="460" spans="2:9" x14ac:dyDescent="0.3">
      <c r="B460" t="str">
        <f>IFERROR(IF(A460="","",VLOOKUP(A460,CadProd!$A:$B,2,0)),"")</f>
        <v/>
      </c>
      <c r="C460" t="str">
        <f>IFERROR(IF(A460="","",VLOOKUP(A460,CadProd!$A:$C,3,0)),"")</f>
        <v/>
      </c>
      <c r="I460" s="1" t="str">
        <f>IFERROR(IF(A460="","",E460*#REF!),"")</f>
        <v/>
      </c>
    </row>
    <row r="461" spans="2:9" x14ac:dyDescent="0.3">
      <c r="B461" t="str">
        <f>IFERROR(IF(A461="","",VLOOKUP(A461,CadProd!$A:$B,2,0)),"")</f>
        <v/>
      </c>
      <c r="C461" t="str">
        <f>IFERROR(IF(A461="","",VLOOKUP(A461,CadProd!$A:$C,3,0)),"")</f>
        <v/>
      </c>
      <c r="I461" s="1" t="str">
        <f>IFERROR(IF(A461="","",E461*#REF!),"")</f>
        <v/>
      </c>
    </row>
    <row r="462" spans="2:9" x14ac:dyDescent="0.3">
      <c r="B462" t="str">
        <f>IFERROR(IF(A462="","",VLOOKUP(A462,CadProd!$A:$B,2,0)),"")</f>
        <v/>
      </c>
      <c r="C462" t="str">
        <f>IFERROR(IF(A462="","",VLOOKUP(A462,CadProd!$A:$C,3,0)),"")</f>
        <v/>
      </c>
      <c r="I462" s="1" t="str">
        <f>IFERROR(IF(A462="","",E462*#REF!),"")</f>
        <v/>
      </c>
    </row>
    <row r="463" spans="2:9" x14ac:dyDescent="0.3">
      <c r="B463" t="str">
        <f>IFERROR(IF(A463="","",VLOOKUP(A463,CadProd!$A:$B,2,0)),"")</f>
        <v/>
      </c>
      <c r="C463" t="str">
        <f>IFERROR(IF(A463="","",VLOOKUP(A463,CadProd!$A:$C,3,0)),"")</f>
        <v/>
      </c>
      <c r="I463" s="1" t="str">
        <f>IFERROR(IF(A463="","",E463*#REF!),"")</f>
        <v/>
      </c>
    </row>
    <row r="464" spans="2:9" x14ac:dyDescent="0.3">
      <c r="B464" t="str">
        <f>IFERROR(IF(A464="","",VLOOKUP(A464,CadProd!$A:$B,2,0)),"")</f>
        <v/>
      </c>
      <c r="C464" t="str">
        <f>IFERROR(IF(A464="","",VLOOKUP(A464,CadProd!$A:$C,3,0)),"")</f>
        <v/>
      </c>
      <c r="I464" s="1" t="str">
        <f>IFERROR(IF(A464="","",E464*#REF!),"")</f>
        <v/>
      </c>
    </row>
    <row r="465" spans="2:9" x14ac:dyDescent="0.3">
      <c r="B465" t="str">
        <f>IFERROR(IF(A465="","",VLOOKUP(A465,CadProd!$A:$B,2,0)),"")</f>
        <v/>
      </c>
      <c r="C465" t="str">
        <f>IFERROR(IF(A465="","",VLOOKUP(A465,CadProd!$A:$C,3,0)),"")</f>
        <v/>
      </c>
      <c r="I465" s="1" t="str">
        <f>IFERROR(IF(A465="","",E465*#REF!),"")</f>
        <v/>
      </c>
    </row>
    <row r="466" spans="2:9" x14ac:dyDescent="0.3">
      <c r="B466" t="str">
        <f>IFERROR(IF(A466="","",VLOOKUP(A466,CadProd!$A:$B,2,0)),"")</f>
        <v/>
      </c>
      <c r="C466" t="str">
        <f>IFERROR(IF(A466="","",VLOOKUP(A466,CadProd!$A:$C,3,0)),"")</f>
        <v/>
      </c>
      <c r="I466" s="1" t="str">
        <f>IFERROR(IF(A466="","",E466*#REF!),"")</f>
        <v/>
      </c>
    </row>
    <row r="467" spans="2:9" x14ac:dyDescent="0.3">
      <c r="B467" t="str">
        <f>IFERROR(IF(A467="","",VLOOKUP(A467,CadProd!$A:$B,2,0)),"")</f>
        <v/>
      </c>
      <c r="C467" t="str">
        <f>IFERROR(IF(A467="","",VLOOKUP(A467,CadProd!$A:$C,3,0)),"")</f>
        <v/>
      </c>
      <c r="I467" s="1" t="str">
        <f>IFERROR(IF(A467="","",E467*#REF!),"")</f>
        <v/>
      </c>
    </row>
    <row r="468" spans="2:9" x14ac:dyDescent="0.3">
      <c r="B468" t="str">
        <f>IFERROR(IF(A468="","",VLOOKUP(A468,CadProd!$A:$B,2,0)),"")</f>
        <v/>
      </c>
      <c r="C468" t="str">
        <f>IFERROR(IF(A468="","",VLOOKUP(A468,CadProd!$A:$C,3,0)),"")</f>
        <v/>
      </c>
      <c r="I468" s="1" t="str">
        <f>IFERROR(IF(A468="","",E468*#REF!),"")</f>
        <v/>
      </c>
    </row>
    <row r="469" spans="2:9" x14ac:dyDescent="0.3">
      <c r="B469" t="str">
        <f>IFERROR(IF(A469="","",VLOOKUP(A469,CadProd!$A:$B,2,0)),"")</f>
        <v/>
      </c>
      <c r="C469" t="str">
        <f>IFERROR(IF(A469="","",VLOOKUP(A469,CadProd!$A:$C,3,0)),"")</f>
        <v/>
      </c>
      <c r="I469" s="1" t="str">
        <f>IFERROR(IF(A469="","",E469*#REF!),"")</f>
        <v/>
      </c>
    </row>
    <row r="470" spans="2:9" x14ac:dyDescent="0.3">
      <c r="B470" t="str">
        <f>IFERROR(IF(A470="","",VLOOKUP(A470,CadProd!$A:$B,2,0)),"")</f>
        <v/>
      </c>
      <c r="C470" t="str">
        <f>IFERROR(IF(A470="","",VLOOKUP(A470,CadProd!$A:$C,3,0)),"")</f>
        <v/>
      </c>
      <c r="I470" s="1" t="str">
        <f>IFERROR(IF(A470="","",E470*#REF!),"")</f>
        <v/>
      </c>
    </row>
    <row r="471" spans="2:9" x14ac:dyDescent="0.3">
      <c r="B471" t="str">
        <f>IFERROR(IF(A471="","",VLOOKUP(A471,CadProd!$A:$B,2,0)),"")</f>
        <v/>
      </c>
      <c r="C471" t="str">
        <f>IFERROR(IF(A471="","",VLOOKUP(A471,CadProd!$A:$C,3,0)),"")</f>
        <v/>
      </c>
      <c r="I471" s="1" t="str">
        <f>IFERROR(IF(A471="","",E471*#REF!),"")</f>
        <v/>
      </c>
    </row>
    <row r="472" spans="2:9" x14ac:dyDescent="0.3">
      <c r="B472" t="str">
        <f>IFERROR(IF(A472="","",VLOOKUP(A472,CadProd!$A:$B,2,0)),"")</f>
        <v/>
      </c>
      <c r="C472" t="str">
        <f>IFERROR(IF(A472="","",VLOOKUP(A472,CadProd!$A:$C,3,0)),"")</f>
        <v/>
      </c>
      <c r="I472" s="1" t="str">
        <f>IFERROR(IF(A472="","",E472*#REF!),"")</f>
        <v/>
      </c>
    </row>
    <row r="473" spans="2:9" x14ac:dyDescent="0.3">
      <c r="B473" t="str">
        <f>IFERROR(IF(A473="","",VLOOKUP(A473,CadProd!$A:$B,2,0)),"")</f>
        <v/>
      </c>
      <c r="C473" t="str">
        <f>IFERROR(IF(A473="","",VLOOKUP(A473,CadProd!$A:$C,3,0)),"")</f>
        <v/>
      </c>
      <c r="I473" s="1" t="str">
        <f>IFERROR(IF(A473="","",E473*#REF!),"")</f>
        <v/>
      </c>
    </row>
    <row r="474" spans="2:9" x14ac:dyDescent="0.3">
      <c r="B474" t="str">
        <f>IFERROR(IF(A474="","",VLOOKUP(A474,CadProd!$A:$B,2,0)),"")</f>
        <v/>
      </c>
      <c r="C474" t="str">
        <f>IFERROR(IF(A474="","",VLOOKUP(A474,CadProd!$A:$C,3,0)),"")</f>
        <v/>
      </c>
      <c r="I474" s="1" t="str">
        <f>IFERROR(IF(A474="","",E474*#REF!),"")</f>
        <v/>
      </c>
    </row>
    <row r="475" spans="2:9" x14ac:dyDescent="0.3">
      <c r="B475" t="str">
        <f>IFERROR(IF(A475="","",VLOOKUP(A475,CadProd!$A:$B,2,0)),"")</f>
        <v/>
      </c>
      <c r="C475" t="str">
        <f>IFERROR(IF(A475="","",VLOOKUP(A475,CadProd!$A:$C,3,0)),"")</f>
        <v/>
      </c>
      <c r="I475" s="1" t="str">
        <f>IFERROR(IF(A475="","",E475*#REF!),"")</f>
        <v/>
      </c>
    </row>
    <row r="476" spans="2:9" x14ac:dyDescent="0.3">
      <c r="B476" t="str">
        <f>IFERROR(IF(A476="","",VLOOKUP(A476,CadProd!$A:$B,2,0)),"")</f>
        <v/>
      </c>
      <c r="C476" t="str">
        <f>IFERROR(IF(A476="","",VLOOKUP(A476,CadProd!$A:$C,3,0)),"")</f>
        <v/>
      </c>
      <c r="I476" s="1" t="str">
        <f>IFERROR(IF(A476="","",E476*#REF!),"")</f>
        <v/>
      </c>
    </row>
    <row r="477" spans="2:9" x14ac:dyDescent="0.3">
      <c r="B477" t="str">
        <f>IFERROR(IF(A477="","",VLOOKUP(A477,CadProd!$A:$B,2,0)),"")</f>
        <v/>
      </c>
      <c r="C477" t="str">
        <f>IFERROR(IF(A477="","",VLOOKUP(A477,CadProd!$A:$C,3,0)),"")</f>
        <v/>
      </c>
      <c r="I477" s="1" t="str">
        <f>IFERROR(IF(A477="","",E477*#REF!),"")</f>
        <v/>
      </c>
    </row>
    <row r="478" spans="2:9" x14ac:dyDescent="0.3">
      <c r="B478" t="str">
        <f>IFERROR(IF(A478="","",VLOOKUP(A478,CadProd!$A:$B,2,0)),"")</f>
        <v/>
      </c>
      <c r="C478" t="str">
        <f>IFERROR(IF(A478="","",VLOOKUP(A478,CadProd!$A:$C,3,0)),"")</f>
        <v/>
      </c>
      <c r="I478" s="1" t="str">
        <f>IFERROR(IF(A478="","",E478*#REF!),"")</f>
        <v/>
      </c>
    </row>
    <row r="479" spans="2:9" x14ac:dyDescent="0.3">
      <c r="B479" t="str">
        <f>IFERROR(IF(A479="","",VLOOKUP(A479,CadProd!$A:$B,2,0)),"")</f>
        <v/>
      </c>
      <c r="C479" t="str">
        <f>IFERROR(IF(A479="","",VLOOKUP(A479,CadProd!$A:$C,3,0)),"")</f>
        <v/>
      </c>
      <c r="I479" s="1" t="str">
        <f>IFERROR(IF(A479="","",E479*#REF!),"")</f>
        <v/>
      </c>
    </row>
    <row r="480" spans="2:9" x14ac:dyDescent="0.3">
      <c r="B480" t="str">
        <f>IFERROR(IF(A480="","",VLOOKUP(A480,CadProd!$A:$B,2,0)),"")</f>
        <v/>
      </c>
      <c r="C480" t="str">
        <f>IFERROR(IF(A480="","",VLOOKUP(A480,CadProd!$A:$C,3,0)),"")</f>
        <v/>
      </c>
      <c r="I480" s="1" t="str">
        <f>IFERROR(IF(A480="","",E480*#REF!),"")</f>
        <v/>
      </c>
    </row>
    <row r="481" spans="2:9" x14ac:dyDescent="0.3">
      <c r="B481" t="str">
        <f>IFERROR(IF(A481="","",VLOOKUP(A481,CadProd!$A:$B,2,0)),"")</f>
        <v/>
      </c>
      <c r="C481" t="str">
        <f>IFERROR(IF(A481="","",VLOOKUP(A481,CadProd!$A:$C,3,0)),"")</f>
        <v/>
      </c>
      <c r="I481" s="1" t="str">
        <f>IFERROR(IF(A481="","",E481*#REF!),"")</f>
        <v/>
      </c>
    </row>
    <row r="482" spans="2:9" x14ac:dyDescent="0.3">
      <c r="B482" t="str">
        <f>IFERROR(IF(A482="","",VLOOKUP(A482,CadProd!$A:$B,2,0)),"")</f>
        <v/>
      </c>
      <c r="C482" t="str">
        <f>IFERROR(IF(A482="","",VLOOKUP(A482,CadProd!$A:$C,3,0)),"")</f>
        <v/>
      </c>
      <c r="I482" s="1" t="str">
        <f>IFERROR(IF(A482="","",E482*#REF!),"")</f>
        <v/>
      </c>
    </row>
    <row r="483" spans="2:9" x14ac:dyDescent="0.3">
      <c r="B483" t="str">
        <f>IFERROR(IF(A483="","",VLOOKUP(A483,CadProd!$A:$B,2,0)),"")</f>
        <v/>
      </c>
      <c r="C483" t="str">
        <f>IFERROR(IF(A483="","",VLOOKUP(A483,CadProd!$A:$C,3,0)),"")</f>
        <v/>
      </c>
      <c r="I483" s="1" t="str">
        <f>IFERROR(IF(A483="","",E483*#REF!),"")</f>
        <v/>
      </c>
    </row>
    <row r="484" spans="2:9" x14ac:dyDescent="0.3">
      <c r="B484" t="str">
        <f>IFERROR(IF(A484="","",VLOOKUP(A484,CadProd!$A:$B,2,0)),"")</f>
        <v/>
      </c>
      <c r="C484" t="str">
        <f>IFERROR(IF(A484="","",VLOOKUP(A484,CadProd!$A:$C,3,0)),"")</f>
        <v/>
      </c>
      <c r="I484" s="1" t="str">
        <f>IFERROR(IF(A484="","",E484*#REF!),"")</f>
        <v/>
      </c>
    </row>
    <row r="485" spans="2:9" x14ac:dyDescent="0.3">
      <c r="B485" t="str">
        <f>IFERROR(IF(A485="","",VLOOKUP(A485,CadProd!$A:$B,2,0)),"")</f>
        <v/>
      </c>
      <c r="C485" t="str">
        <f>IFERROR(IF(A485="","",VLOOKUP(A485,CadProd!$A:$C,3,0)),"")</f>
        <v/>
      </c>
      <c r="I485" s="1" t="str">
        <f>IFERROR(IF(A485="","",E485*#REF!),"")</f>
        <v/>
      </c>
    </row>
    <row r="486" spans="2:9" x14ac:dyDescent="0.3">
      <c r="B486" t="str">
        <f>IFERROR(IF(A486="","",VLOOKUP(A486,CadProd!$A:$B,2,0)),"")</f>
        <v/>
      </c>
      <c r="C486" t="str">
        <f>IFERROR(IF(A486="","",VLOOKUP(A486,CadProd!$A:$C,3,0)),"")</f>
        <v/>
      </c>
      <c r="I486" s="1" t="str">
        <f>IFERROR(IF(A486="","",E486*#REF!),"")</f>
        <v/>
      </c>
    </row>
    <row r="487" spans="2:9" x14ac:dyDescent="0.3">
      <c r="B487" t="str">
        <f>IFERROR(IF(A487="","",VLOOKUP(A487,CadProd!$A:$B,2,0)),"")</f>
        <v/>
      </c>
      <c r="C487" t="str">
        <f>IFERROR(IF(A487="","",VLOOKUP(A487,CadProd!$A:$C,3,0)),"")</f>
        <v/>
      </c>
      <c r="I487" s="1" t="str">
        <f>IFERROR(IF(A487="","",E487*#REF!),"")</f>
        <v/>
      </c>
    </row>
    <row r="488" spans="2:9" x14ac:dyDescent="0.3">
      <c r="B488" t="str">
        <f>IFERROR(IF(A488="","",VLOOKUP(A488,CadProd!$A:$B,2,0)),"")</f>
        <v/>
      </c>
      <c r="C488" t="str">
        <f>IFERROR(IF(A488="","",VLOOKUP(A488,CadProd!$A:$C,3,0)),"")</f>
        <v/>
      </c>
      <c r="I488" s="1" t="str">
        <f>IFERROR(IF(A488="","",E488*#REF!),"")</f>
        <v/>
      </c>
    </row>
    <row r="489" spans="2:9" x14ac:dyDescent="0.3">
      <c r="B489" t="str">
        <f>IFERROR(IF(A489="","",VLOOKUP(A489,CadProd!$A:$B,2,0)),"")</f>
        <v/>
      </c>
      <c r="C489" t="str">
        <f>IFERROR(IF(A489="","",VLOOKUP(A489,CadProd!$A:$C,3,0)),"")</f>
        <v/>
      </c>
      <c r="I489" s="1" t="str">
        <f>IFERROR(IF(A489="","",E489*#REF!),"")</f>
        <v/>
      </c>
    </row>
    <row r="490" spans="2:9" x14ac:dyDescent="0.3">
      <c r="B490" t="str">
        <f>IFERROR(IF(A490="","",VLOOKUP(A490,CadProd!$A:$B,2,0)),"")</f>
        <v/>
      </c>
      <c r="C490" t="str">
        <f>IFERROR(IF(A490="","",VLOOKUP(A490,CadProd!$A:$C,3,0)),"")</f>
        <v/>
      </c>
      <c r="I490" s="1" t="str">
        <f>IFERROR(IF(A490="","",E490*#REF!),"")</f>
        <v/>
      </c>
    </row>
    <row r="491" spans="2:9" x14ac:dyDescent="0.3">
      <c r="B491" t="str">
        <f>IFERROR(IF(A491="","",VLOOKUP(A491,CadProd!$A:$B,2,0)),"")</f>
        <v/>
      </c>
      <c r="C491" t="str">
        <f>IFERROR(IF(A491="","",VLOOKUP(A491,CadProd!$A:$C,3,0)),"")</f>
        <v/>
      </c>
      <c r="I491" s="1" t="str">
        <f>IFERROR(IF(A491="","",E491*#REF!),"")</f>
        <v/>
      </c>
    </row>
    <row r="492" spans="2:9" x14ac:dyDescent="0.3">
      <c r="B492" t="str">
        <f>IFERROR(IF(A492="","",VLOOKUP(A492,CadProd!$A:$B,2,0)),"")</f>
        <v/>
      </c>
      <c r="C492" t="str">
        <f>IFERROR(IF(A492="","",VLOOKUP(A492,CadProd!$A:$C,3,0)),"")</f>
        <v/>
      </c>
      <c r="I492" s="1" t="str">
        <f>IFERROR(IF(A492="","",E492*#REF!),"")</f>
        <v/>
      </c>
    </row>
    <row r="493" spans="2:9" x14ac:dyDescent="0.3">
      <c r="B493" t="str">
        <f>IFERROR(IF(A493="","",VLOOKUP(A493,CadProd!$A:$B,2,0)),"")</f>
        <v/>
      </c>
      <c r="C493" t="str">
        <f>IFERROR(IF(A493="","",VLOOKUP(A493,CadProd!$A:$C,3,0)),"")</f>
        <v/>
      </c>
      <c r="I493" s="1" t="str">
        <f>IFERROR(IF(A493="","",E493*#REF!),"")</f>
        <v/>
      </c>
    </row>
    <row r="494" spans="2:9" x14ac:dyDescent="0.3">
      <c r="B494" t="str">
        <f>IFERROR(IF(A494="","",VLOOKUP(A494,CadProd!$A:$B,2,0)),"")</f>
        <v/>
      </c>
      <c r="C494" t="str">
        <f>IFERROR(IF(A494="","",VLOOKUP(A494,CadProd!$A:$C,3,0)),"")</f>
        <v/>
      </c>
      <c r="I494" s="1" t="str">
        <f>IFERROR(IF(A494="","",E494*#REF!),"")</f>
        <v/>
      </c>
    </row>
    <row r="495" spans="2:9" x14ac:dyDescent="0.3">
      <c r="B495" t="str">
        <f>IFERROR(IF(A495="","",VLOOKUP(A495,CadProd!$A:$B,2,0)),"")</f>
        <v/>
      </c>
      <c r="C495" t="str">
        <f>IFERROR(IF(A495="","",VLOOKUP(A495,CadProd!$A:$C,3,0)),"")</f>
        <v/>
      </c>
      <c r="I495" s="1" t="str">
        <f>IFERROR(IF(A495="","",E495*#REF!),"")</f>
        <v/>
      </c>
    </row>
    <row r="496" spans="2:9" x14ac:dyDescent="0.3">
      <c r="B496" t="str">
        <f>IFERROR(IF(A496="","",VLOOKUP(A496,CadProd!$A:$B,2,0)),"")</f>
        <v/>
      </c>
      <c r="C496" t="str">
        <f>IFERROR(IF(A496="","",VLOOKUP(A496,CadProd!$A:$C,3,0)),"")</f>
        <v/>
      </c>
      <c r="I496" s="1" t="str">
        <f>IFERROR(IF(A496="","",E496*#REF!),"")</f>
        <v/>
      </c>
    </row>
    <row r="497" spans="2:9" x14ac:dyDescent="0.3">
      <c r="B497" t="str">
        <f>IFERROR(IF(A497="","",VLOOKUP(A497,CadProd!$A:$B,2,0)),"")</f>
        <v/>
      </c>
      <c r="C497" t="str">
        <f>IFERROR(IF(A497="","",VLOOKUP(A497,CadProd!$A:$C,3,0)),"")</f>
        <v/>
      </c>
      <c r="I497" s="1" t="str">
        <f>IFERROR(IF(A497="","",E497*#REF!),"")</f>
        <v/>
      </c>
    </row>
    <row r="498" spans="2:9" x14ac:dyDescent="0.3">
      <c r="B498" t="str">
        <f>IFERROR(IF(A498="","",VLOOKUP(A498,CadProd!$A:$B,2,0)),"")</f>
        <v/>
      </c>
      <c r="C498" t="str">
        <f>IFERROR(IF(A498="","",VLOOKUP(A498,CadProd!$A:$C,3,0)),"")</f>
        <v/>
      </c>
      <c r="I498" s="1" t="str">
        <f>IFERROR(IF(A498="","",E498*#REF!),"")</f>
        <v/>
      </c>
    </row>
    <row r="499" spans="2:9" x14ac:dyDescent="0.3">
      <c r="B499" t="str">
        <f>IFERROR(IF(A499="","",VLOOKUP(A499,CadProd!$A:$B,2,0)),"")</f>
        <v/>
      </c>
      <c r="C499" t="str">
        <f>IFERROR(IF(A499="","",VLOOKUP(A499,CadProd!$A:$C,3,0)),"")</f>
        <v/>
      </c>
      <c r="I499" s="1" t="str">
        <f>IFERROR(IF(A499="","",E499*#REF!),"")</f>
        <v/>
      </c>
    </row>
    <row r="500" spans="2:9" x14ac:dyDescent="0.3">
      <c r="B500" t="str">
        <f>IFERROR(IF(A500="","",VLOOKUP(A500,CadProd!$A:$B,2,0)),"")</f>
        <v/>
      </c>
      <c r="C500" t="str">
        <f>IFERROR(IF(A500="","",VLOOKUP(A500,CadProd!$A:$C,3,0)),"")</f>
        <v/>
      </c>
      <c r="I500" s="1" t="str">
        <f>IFERROR(IF(A500="","",E500*#REF!),"")</f>
        <v/>
      </c>
    </row>
    <row r="501" spans="2:9" x14ac:dyDescent="0.3">
      <c r="B501" t="str">
        <f>IFERROR(IF(A501="","",VLOOKUP(A501,CadProd!$A:$B,2,0)),"")</f>
        <v/>
      </c>
      <c r="C501" t="str">
        <f>IFERROR(IF(A501="","",VLOOKUP(A501,CadProd!$A:$C,3,0)),"")</f>
        <v/>
      </c>
      <c r="I501" s="1" t="str">
        <f>IFERROR(IF(A501="","",E501*#REF!),"")</f>
        <v/>
      </c>
    </row>
    <row r="502" spans="2:9" x14ac:dyDescent="0.3">
      <c r="B502" t="str">
        <f>IFERROR(IF(A502="","",VLOOKUP(A502,CadProd!$A:$B,2,0)),"")</f>
        <v/>
      </c>
      <c r="C502" t="str">
        <f>IFERROR(IF(A502="","",VLOOKUP(A502,CadProd!$A:$C,3,0)),"")</f>
        <v/>
      </c>
      <c r="I502" s="1" t="str">
        <f>IFERROR(IF(A502="","",E502*#REF!),"")</f>
        <v/>
      </c>
    </row>
    <row r="503" spans="2:9" x14ac:dyDescent="0.3">
      <c r="B503" t="str">
        <f>IFERROR(IF(A503="","",VLOOKUP(A503,CadProd!$A:$B,2,0)),"")</f>
        <v/>
      </c>
      <c r="C503" t="str">
        <f>IFERROR(IF(A503="","",VLOOKUP(A503,CadProd!$A:$C,3,0)),"")</f>
        <v/>
      </c>
      <c r="I503" s="1" t="str">
        <f>IFERROR(IF(A503="","",E503*#REF!),"")</f>
        <v/>
      </c>
    </row>
    <row r="504" spans="2:9" x14ac:dyDescent="0.3">
      <c r="B504" t="str">
        <f>IFERROR(IF(A504="","",VLOOKUP(A504,CadProd!$A:$B,2,0)),"")</f>
        <v/>
      </c>
      <c r="C504" t="str">
        <f>IFERROR(IF(A504="","",VLOOKUP(A504,CadProd!$A:$C,3,0)),"")</f>
        <v/>
      </c>
      <c r="I504" s="1" t="str">
        <f>IFERROR(IF(A504="","",E504*#REF!),"")</f>
        <v/>
      </c>
    </row>
    <row r="505" spans="2:9" x14ac:dyDescent="0.3">
      <c r="B505" t="str">
        <f>IFERROR(IF(A505="","",VLOOKUP(A505,CadProd!$A:$B,2,0)),"")</f>
        <v/>
      </c>
      <c r="C505" t="str">
        <f>IFERROR(IF(A505="","",VLOOKUP(A505,CadProd!$A:$C,3,0)),"")</f>
        <v/>
      </c>
      <c r="I505" s="1" t="str">
        <f>IFERROR(IF(A505="","",E505*#REF!),"")</f>
        <v/>
      </c>
    </row>
    <row r="506" spans="2:9" x14ac:dyDescent="0.3">
      <c r="B506" t="str">
        <f>IFERROR(IF(A506="","",VLOOKUP(A506,CadProd!$A:$B,2,0)),"")</f>
        <v/>
      </c>
      <c r="C506" t="str">
        <f>IFERROR(IF(A506="","",VLOOKUP(A506,CadProd!$A:$C,3,0)),"")</f>
        <v/>
      </c>
      <c r="I506" s="1" t="str">
        <f>IFERROR(IF(A506="","",E506*#REF!),"")</f>
        <v/>
      </c>
    </row>
    <row r="507" spans="2:9" x14ac:dyDescent="0.3">
      <c r="B507" t="str">
        <f>IFERROR(IF(A507="","",VLOOKUP(A507,CadProd!$A:$B,2,0)),"")</f>
        <v/>
      </c>
      <c r="C507" t="str">
        <f>IFERROR(IF(A507="","",VLOOKUP(A507,CadProd!$A:$C,3,0)),"")</f>
        <v/>
      </c>
      <c r="I507" s="1" t="str">
        <f>IFERROR(IF(A507="","",E507*#REF!),"")</f>
        <v/>
      </c>
    </row>
    <row r="508" spans="2:9" x14ac:dyDescent="0.3">
      <c r="B508" t="str">
        <f>IFERROR(IF(A508="","",VLOOKUP(A508,CadProd!$A:$B,2,0)),"")</f>
        <v/>
      </c>
      <c r="C508" t="str">
        <f>IFERROR(IF(A508="","",VLOOKUP(A508,CadProd!$A:$C,3,0)),"")</f>
        <v/>
      </c>
      <c r="I508" s="1" t="str">
        <f>IFERROR(IF(A508="","",E508*#REF!),"")</f>
        <v/>
      </c>
    </row>
    <row r="509" spans="2:9" x14ac:dyDescent="0.3">
      <c r="B509" t="str">
        <f>IFERROR(IF(A509="","",VLOOKUP(A509,CadProd!$A:$B,2,0)),"")</f>
        <v/>
      </c>
      <c r="C509" t="str">
        <f>IFERROR(IF(A509="","",VLOOKUP(A509,CadProd!$A:$C,3,0)),"")</f>
        <v/>
      </c>
      <c r="I509" s="1" t="str">
        <f>IFERROR(IF(A509="","",E509*#REF!),"")</f>
        <v/>
      </c>
    </row>
    <row r="510" spans="2:9" x14ac:dyDescent="0.3">
      <c r="B510" t="str">
        <f>IFERROR(IF(A510="","",VLOOKUP(A510,CadProd!$A:$B,2,0)),"")</f>
        <v/>
      </c>
      <c r="C510" t="str">
        <f>IFERROR(IF(A510="","",VLOOKUP(A510,CadProd!$A:$C,3,0)),"")</f>
        <v/>
      </c>
      <c r="I510" s="1" t="str">
        <f>IFERROR(IF(A510="","",E510*#REF!),"")</f>
        <v/>
      </c>
    </row>
    <row r="511" spans="2:9" x14ac:dyDescent="0.3">
      <c r="B511" t="str">
        <f>IFERROR(IF(A511="","",VLOOKUP(A511,CadProd!$A:$B,2,0)),"")</f>
        <v/>
      </c>
      <c r="C511" t="str">
        <f>IFERROR(IF(A511="","",VLOOKUP(A511,CadProd!$A:$C,3,0)),"")</f>
        <v/>
      </c>
      <c r="I511" s="1" t="str">
        <f>IFERROR(IF(A511="","",E511*#REF!),"")</f>
        <v/>
      </c>
    </row>
    <row r="512" spans="2:9" x14ac:dyDescent="0.3">
      <c r="B512" t="str">
        <f>IFERROR(IF(A512="","",VLOOKUP(A512,CadProd!$A:$B,2,0)),"")</f>
        <v/>
      </c>
      <c r="C512" t="str">
        <f>IFERROR(IF(A512="","",VLOOKUP(A512,CadProd!$A:$C,3,0)),"")</f>
        <v/>
      </c>
      <c r="I512" s="1" t="str">
        <f>IFERROR(IF(A512="","",E512*#REF!),"")</f>
        <v/>
      </c>
    </row>
    <row r="513" spans="2:9" x14ac:dyDescent="0.3">
      <c r="B513" t="str">
        <f>IFERROR(IF(A513="","",VLOOKUP(A513,CadProd!$A:$B,2,0)),"")</f>
        <v/>
      </c>
      <c r="C513" t="str">
        <f>IFERROR(IF(A513="","",VLOOKUP(A513,CadProd!$A:$C,3,0)),"")</f>
        <v/>
      </c>
      <c r="I513" s="1" t="str">
        <f>IFERROR(IF(A513="","",E513*#REF!),"")</f>
        <v/>
      </c>
    </row>
    <row r="514" spans="2:9" x14ac:dyDescent="0.3">
      <c r="B514" t="str">
        <f>IFERROR(IF(A514="","",VLOOKUP(A514,CadProd!$A:$B,2,0)),"")</f>
        <v/>
      </c>
      <c r="C514" t="str">
        <f>IFERROR(IF(A514="","",VLOOKUP(A514,CadProd!$A:$C,3,0)),"")</f>
        <v/>
      </c>
      <c r="I514" s="1" t="str">
        <f>IFERROR(IF(A514="","",E514*#REF!),"")</f>
        <v/>
      </c>
    </row>
    <row r="515" spans="2:9" x14ac:dyDescent="0.3">
      <c r="B515" t="str">
        <f>IFERROR(IF(A515="","",VLOOKUP(A515,CadProd!$A:$B,2,0)),"")</f>
        <v/>
      </c>
      <c r="C515" t="str">
        <f>IFERROR(IF(A515="","",VLOOKUP(A515,CadProd!$A:$C,3,0)),"")</f>
        <v/>
      </c>
      <c r="I515" s="1" t="str">
        <f>IFERROR(IF(A515="","",E515*#REF!),"")</f>
        <v/>
      </c>
    </row>
    <row r="516" spans="2:9" x14ac:dyDescent="0.3">
      <c r="B516" t="str">
        <f>IFERROR(IF(A516="","",VLOOKUP(A516,CadProd!$A:$B,2,0)),"")</f>
        <v/>
      </c>
      <c r="C516" t="str">
        <f>IFERROR(IF(A516="","",VLOOKUP(A516,CadProd!$A:$C,3,0)),"")</f>
        <v/>
      </c>
      <c r="I516" s="1" t="str">
        <f>IFERROR(IF(A516="","",E516*#REF!),"")</f>
        <v/>
      </c>
    </row>
    <row r="517" spans="2:9" x14ac:dyDescent="0.3">
      <c r="B517" t="str">
        <f>IFERROR(IF(A517="","",VLOOKUP(A517,CadProd!$A:$B,2,0)),"")</f>
        <v/>
      </c>
      <c r="C517" t="str">
        <f>IFERROR(IF(A517="","",VLOOKUP(A517,CadProd!$A:$C,3,0)),"")</f>
        <v/>
      </c>
      <c r="I517" s="1" t="str">
        <f>IFERROR(IF(A517="","",E517*#REF!),"")</f>
        <v/>
      </c>
    </row>
    <row r="518" spans="2:9" x14ac:dyDescent="0.3">
      <c r="B518" t="str">
        <f>IFERROR(IF(A518="","",VLOOKUP(A518,CadProd!$A:$B,2,0)),"")</f>
        <v/>
      </c>
      <c r="C518" t="str">
        <f>IFERROR(IF(A518="","",VLOOKUP(A518,CadProd!$A:$C,3,0)),"")</f>
        <v/>
      </c>
      <c r="I518" s="1" t="str">
        <f>IFERROR(IF(A518="","",E518*#REF!),"")</f>
        <v/>
      </c>
    </row>
    <row r="519" spans="2:9" x14ac:dyDescent="0.3">
      <c r="B519" t="str">
        <f>IFERROR(IF(A519="","",VLOOKUP(A519,CadProd!$A:$B,2,0)),"")</f>
        <v/>
      </c>
      <c r="C519" t="str">
        <f>IFERROR(IF(A519="","",VLOOKUP(A519,CadProd!$A:$C,3,0)),"")</f>
        <v/>
      </c>
      <c r="I519" s="1" t="str">
        <f>IFERROR(IF(A519="","",E519*#REF!),"")</f>
        <v/>
      </c>
    </row>
    <row r="520" spans="2:9" x14ac:dyDescent="0.3">
      <c r="B520" t="str">
        <f>IFERROR(IF(A520="","",VLOOKUP(A520,CadProd!$A:$B,2,0)),"")</f>
        <v/>
      </c>
      <c r="C520" t="str">
        <f>IFERROR(IF(A520="","",VLOOKUP(A520,CadProd!$A:$C,3,0)),"")</f>
        <v/>
      </c>
      <c r="I520" s="1" t="str">
        <f>IFERROR(IF(A520="","",E520*#REF!),"")</f>
        <v/>
      </c>
    </row>
    <row r="521" spans="2:9" x14ac:dyDescent="0.3">
      <c r="B521" t="str">
        <f>IFERROR(IF(A521="","",VLOOKUP(A521,CadProd!$A:$B,2,0)),"")</f>
        <v/>
      </c>
      <c r="C521" t="str">
        <f>IFERROR(IF(A521="","",VLOOKUP(A521,CadProd!$A:$C,3,0)),"")</f>
        <v/>
      </c>
      <c r="I521" s="1" t="str">
        <f>IFERROR(IF(A521="","",E521*#REF!),"")</f>
        <v/>
      </c>
    </row>
    <row r="522" spans="2:9" x14ac:dyDescent="0.3">
      <c r="B522" t="str">
        <f>IFERROR(IF(A522="","",VLOOKUP(A522,CadProd!$A:$B,2,0)),"")</f>
        <v/>
      </c>
      <c r="C522" t="str">
        <f>IFERROR(IF(A522="","",VLOOKUP(A522,CadProd!$A:$C,3,0)),"")</f>
        <v/>
      </c>
      <c r="I522" s="1" t="str">
        <f>IFERROR(IF(A522="","",E522*#REF!),"")</f>
        <v/>
      </c>
    </row>
    <row r="523" spans="2:9" x14ac:dyDescent="0.3">
      <c r="B523" t="str">
        <f>IFERROR(IF(A523="","",VLOOKUP(A523,CadProd!$A:$B,2,0)),"")</f>
        <v/>
      </c>
      <c r="C523" t="str">
        <f>IFERROR(IF(A523="","",VLOOKUP(A523,CadProd!$A:$C,3,0)),"")</f>
        <v/>
      </c>
      <c r="I523" s="1" t="str">
        <f>IFERROR(IF(A523="","",E523*#REF!),"")</f>
        <v/>
      </c>
    </row>
    <row r="524" spans="2:9" x14ac:dyDescent="0.3">
      <c r="B524" t="str">
        <f>IFERROR(IF(A524="","",VLOOKUP(A524,CadProd!$A:$B,2,0)),"")</f>
        <v/>
      </c>
      <c r="C524" t="str">
        <f>IFERROR(IF(A524="","",VLOOKUP(A524,CadProd!$A:$C,3,0)),"")</f>
        <v/>
      </c>
      <c r="I524" s="1" t="str">
        <f>IFERROR(IF(A524="","",E524*#REF!),"")</f>
        <v/>
      </c>
    </row>
    <row r="525" spans="2:9" x14ac:dyDescent="0.3">
      <c r="B525" t="str">
        <f>IFERROR(IF(A525="","",VLOOKUP(A525,CadProd!$A:$B,2,0)),"")</f>
        <v/>
      </c>
      <c r="C525" t="str">
        <f>IFERROR(IF(A525="","",VLOOKUP(A525,CadProd!$A:$C,3,0)),"")</f>
        <v/>
      </c>
      <c r="I525" s="1" t="str">
        <f>IFERROR(IF(A525="","",E525*#REF!),"")</f>
        <v/>
      </c>
    </row>
    <row r="526" spans="2:9" x14ac:dyDescent="0.3">
      <c r="B526" t="str">
        <f>IFERROR(IF(A526="","",VLOOKUP(A526,CadProd!$A:$B,2,0)),"")</f>
        <v/>
      </c>
      <c r="C526" t="str">
        <f>IFERROR(IF(A526="","",VLOOKUP(A526,CadProd!$A:$C,3,0)),"")</f>
        <v/>
      </c>
      <c r="I526" s="1" t="str">
        <f>IFERROR(IF(A526="","",E526*#REF!),"")</f>
        <v/>
      </c>
    </row>
    <row r="527" spans="2:9" x14ac:dyDescent="0.3">
      <c r="B527" t="str">
        <f>IFERROR(IF(A527="","",VLOOKUP(A527,CadProd!$A:$B,2,0)),"")</f>
        <v/>
      </c>
      <c r="C527" t="str">
        <f>IFERROR(IF(A527="","",VLOOKUP(A527,CadProd!$A:$C,3,0)),"")</f>
        <v/>
      </c>
      <c r="I527" s="1" t="str">
        <f>IFERROR(IF(A527="","",E527*#REF!),"")</f>
        <v/>
      </c>
    </row>
    <row r="528" spans="2:9" x14ac:dyDescent="0.3">
      <c r="B528" t="str">
        <f>IFERROR(IF(A528="","",VLOOKUP(A528,CadProd!$A:$B,2,0)),"")</f>
        <v/>
      </c>
      <c r="C528" t="str">
        <f>IFERROR(IF(A528="","",VLOOKUP(A528,CadProd!$A:$C,3,0)),"")</f>
        <v/>
      </c>
      <c r="I528" s="1" t="str">
        <f>IFERROR(IF(A528="","",E528*#REF!),"")</f>
        <v/>
      </c>
    </row>
    <row r="529" spans="2:9" x14ac:dyDescent="0.3">
      <c r="B529" t="str">
        <f>IFERROR(IF(A529="","",VLOOKUP(A529,CadProd!$A:$B,2,0)),"")</f>
        <v/>
      </c>
      <c r="C529" t="str">
        <f>IFERROR(IF(A529="","",VLOOKUP(A529,CadProd!$A:$C,3,0)),"")</f>
        <v/>
      </c>
      <c r="I529" s="1" t="str">
        <f>IFERROR(IF(A529="","",E529*#REF!),"")</f>
        <v/>
      </c>
    </row>
    <row r="530" spans="2:9" x14ac:dyDescent="0.3">
      <c r="B530" t="str">
        <f>IFERROR(IF(A530="","",VLOOKUP(A530,CadProd!$A:$B,2,0)),"")</f>
        <v/>
      </c>
      <c r="C530" t="str">
        <f>IFERROR(IF(A530="","",VLOOKUP(A530,CadProd!$A:$C,3,0)),"")</f>
        <v/>
      </c>
      <c r="I530" s="1" t="str">
        <f>IFERROR(IF(A530="","",E530*#REF!),"")</f>
        <v/>
      </c>
    </row>
    <row r="531" spans="2:9" x14ac:dyDescent="0.3">
      <c r="B531" t="str">
        <f>IFERROR(IF(A531="","",VLOOKUP(A531,CadProd!$A:$B,2,0)),"")</f>
        <v/>
      </c>
      <c r="C531" t="str">
        <f>IFERROR(IF(A531="","",VLOOKUP(A531,CadProd!$A:$C,3,0)),"")</f>
        <v/>
      </c>
      <c r="I531" s="1" t="str">
        <f>IFERROR(IF(A531="","",E531*#REF!),"")</f>
        <v/>
      </c>
    </row>
    <row r="532" spans="2:9" x14ac:dyDescent="0.3">
      <c r="B532" t="str">
        <f>IFERROR(IF(A532="","",VLOOKUP(A532,CadProd!$A:$B,2,0)),"")</f>
        <v/>
      </c>
      <c r="C532" t="str">
        <f>IFERROR(IF(A532="","",VLOOKUP(A532,CadProd!$A:$C,3,0)),"")</f>
        <v/>
      </c>
      <c r="I532" s="1" t="str">
        <f>IFERROR(IF(A532="","",E532*#REF!),"")</f>
        <v/>
      </c>
    </row>
    <row r="533" spans="2:9" x14ac:dyDescent="0.3">
      <c r="B533" t="str">
        <f>IFERROR(IF(A533="","",VLOOKUP(A533,CadProd!$A:$B,2,0)),"")</f>
        <v/>
      </c>
      <c r="C533" t="str">
        <f>IFERROR(IF(A533="","",VLOOKUP(A533,CadProd!$A:$C,3,0)),"")</f>
        <v/>
      </c>
      <c r="I533" s="1" t="str">
        <f>IFERROR(IF(A533="","",E533*#REF!),"")</f>
        <v/>
      </c>
    </row>
    <row r="534" spans="2:9" x14ac:dyDescent="0.3">
      <c r="B534" t="str">
        <f>IFERROR(IF(A534="","",VLOOKUP(A534,CadProd!$A:$B,2,0)),"")</f>
        <v/>
      </c>
      <c r="C534" t="str">
        <f>IFERROR(IF(A534="","",VLOOKUP(A534,CadProd!$A:$C,3,0)),"")</f>
        <v/>
      </c>
      <c r="I534" s="1" t="str">
        <f>IFERROR(IF(A534="","",E534*#REF!),"")</f>
        <v/>
      </c>
    </row>
    <row r="535" spans="2:9" x14ac:dyDescent="0.3">
      <c r="B535" t="str">
        <f>IFERROR(IF(A535="","",VLOOKUP(A535,CadProd!$A:$B,2,0)),"")</f>
        <v/>
      </c>
      <c r="C535" t="str">
        <f>IFERROR(IF(A535="","",VLOOKUP(A535,CadProd!$A:$C,3,0)),"")</f>
        <v/>
      </c>
      <c r="I535" s="1" t="str">
        <f>IFERROR(IF(A535="","",E535*#REF!),"")</f>
        <v/>
      </c>
    </row>
    <row r="536" spans="2:9" x14ac:dyDescent="0.3">
      <c r="B536" t="str">
        <f>IFERROR(IF(A536="","",VLOOKUP(A536,CadProd!$A:$B,2,0)),"")</f>
        <v/>
      </c>
      <c r="C536" t="str">
        <f>IFERROR(IF(A536="","",VLOOKUP(A536,CadProd!$A:$C,3,0)),"")</f>
        <v/>
      </c>
      <c r="I536" s="1" t="str">
        <f>IFERROR(IF(A536="","",E536*#REF!),"")</f>
        <v/>
      </c>
    </row>
    <row r="537" spans="2:9" x14ac:dyDescent="0.3">
      <c r="B537" t="str">
        <f>IFERROR(IF(A537="","",VLOOKUP(A537,CadProd!$A:$B,2,0)),"")</f>
        <v/>
      </c>
      <c r="C537" t="str">
        <f>IFERROR(IF(A537="","",VLOOKUP(A537,CadProd!$A:$C,3,0)),"")</f>
        <v/>
      </c>
      <c r="I537" s="1" t="str">
        <f>IFERROR(IF(A537="","",E537*#REF!),"")</f>
        <v/>
      </c>
    </row>
    <row r="538" spans="2:9" x14ac:dyDescent="0.3">
      <c r="B538" t="str">
        <f>IFERROR(IF(A538="","",VLOOKUP(A538,CadProd!$A:$B,2,0)),"")</f>
        <v/>
      </c>
      <c r="C538" t="str">
        <f>IFERROR(IF(A538="","",VLOOKUP(A538,CadProd!$A:$C,3,0)),"")</f>
        <v/>
      </c>
      <c r="I538" s="1" t="str">
        <f>IFERROR(IF(A538="","",E538*#REF!),"")</f>
        <v/>
      </c>
    </row>
    <row r="539" spans="2:9" x14ac:dyDescent="0.3">
      <c r="B539" t="str">
        <f>IFERROR(IF(A539="","",VLOOKUP(A539,CadProd!$A:$B,2,0)),"")</f>
        <v/>
      </c>
      <c r="C539" t="str">
        <f>IFERROR(IF(A539="","",VLOOKUP(A539,CadProd!$A:$C,3,0)),"")</f>
        <v/>
      </c>
      <c r="I539" s="1" t="str">
        <f>IFERROR(IF(A539="","",E539*#REF!),"")</f>
        <v/>
      </c>
    </row>
    <row r="540" spans="2:9" x14ac:dyDescent="0.3">
      <c r="B540" t="str">
        <f>IFERROR(IF(A540="","",VLOOKUP(A540,CadProd!$A:$B,2,0)),"")</f>
        <v/>
      </c>
      <c r="C540" t="str">
        <f>IFERROR(IF(A540="","",VLOOKUP(A540,CadProd!$A:$C,3,0)),"")</f>
        <v/>
      </c>
      <c r="I540" s="1" t="str">
        <f>IFERROR(IF(A540="","",E540*#REF!),"")</f>
        <v/>
      </c>
    </row>
    <row r="541" spans="2:9" x14ac:dyDescent="0.3">
      <c r="B541" t="str">
        <f>IFERROR(IF(A541="","",VLOOKUP(A541,CadProd!$A:$B,2,0)),"")</f>
        <v/>
      </c>
      <c r="C541" t="str">
        <f>IFERROR(IF(A541="","",VLOOKUP(A541,CadProd!$A:$C,3,0)),"")</f>
        <v/>
      </c>
      <c r="I541" s="1" t="str">
        <f>IFERROR(IF(A541="","",E541*#REF!),"")</f>
        <v/>
      </c>
    </row>
    <row r="542" spans="2:9" x14ac:dyDescent="0.3">
      <c r="B542" t="str">
        <f>IFERROR(IF(A542="","",VLOOKUP(A542,CadProd!$A:$B,2,0)),"")</f>
        <v/>
      </c>
      <c r="C542" t="str">
        <f>IFERROR(IF(A542="","",VLOOKUP(A542,CadProd!$A:$C,3,0)),"")</f>
        <v/>
      </c>
      <c r="I542" s="1" t="str">
        <f>IFERROR(IF(A542="","",E542*#REF!),"")</f>
        <v/>
      </c>
    </row>
    <row r="543" spans="2:9" x14ac:dyDescent="0.3">
      <c r="B543" t="str">
        <f>IFERROR(IF(A543="","",VLOOKUP(A543,CadProd!$A:$B,2,0)),"")</f>
        <v/>
      </c>
      <c r="C543" t="str">
        <f>IFERROR(IF(A543="","",VLOOKUP(A543,CadProd!$A:$C,3,0)),"")</f>
        <v/>
      </c>
      <c r="I543" s="1" t="str">
        <f>IFERROR(IF(A543="","",E543*#REF!),"")</f>
        <v/>
      </c>
    </row>
    <row r="544" spans="2:9" x14ac:dyDescent="0.3">
      <c r="B544" t="str">
        <f>IFERROR(IF(A544="","",VLOOKUP(A544,CadProd!$A:$B,2,0)),"")</f>
        <v/>
      </c>
      <c r="C544" t="str">
        <f>IFERROR(IF(A544="","",VLOOKUP(A544,CadProd!$A:$C,3,0)),"")</f>
        <v/>
      </c>
      <c r="I544" s="1" t="str">
        <f>IFERROR(IF(A544="","",E544*#REF!),"")</f>
        <v/>
      </c>
    </row>
    <row r="545" spans="2:9" x14ac:dyDescent="0.3">
      <c r="B545" t="str">
        <f>IFERROR(IF(A545="","",VLOOKUP(A545,CadProd!$A:$B,2,0)),"")</f>
        <v/>
      </c>
      <c r="C545" t="str">
        <f>IFERROR(IF(A545="","",VLOOKUP(A545,CadProd!$A:$C,3,0)),"")</f>
        <v/>
      </c>
      <c r="I545" s="1" t="str">
        <f>IFERROR(IF(A545="","",E545*#REF!),"")</f>
        <v/>
      </c>
    </row>
    <row r="546" spans="2:9" x14ac:dyDescent="0.3">
      <c r="B546" t="str">
        <f>IFERROR(IF(A546="","",VLOOKUP(A546,CadProd!$A:$B,2,0)),"")</f>
        <v/>
      </c>
      <c r="C546" t="str">
        <f>IFERROR(IF(A546="","",VLOOKUP(A546,CadProd!$A:$C,3,0)),"")</f>
        <v/>
      </c>
      <c r="I546" s="1" t="str">
        <f>IFERROR(IF(A546="","",E546*#REF!),"")</f>
        <v/>
      </c>
    </row>
    <row r="547" spans="2:9" x14ac:dyDescent="0.3">
      <c r="B547" t="str">
        <f>IFERROR(IF(A547="","",VLOOKUP(A547,CadProd!$A:$B,2,0)),"")</f>
        <v/>
      </c>
      <c r="C547" t="str">
        <f>IFERROR(IF(A547="","",VLOOKUP(A547,CadProd!$A:$C,3,0)),"")</f>
        <v/>
      </c>
      <c r="I547" s="1" t="str">
        <f>IFERROR(IF(A547="","",E547*#REF!),"")</f>
        <v/>
      </c>
    </row>
    <row r="548" spans="2:9" x14ac:dyDescent="0.3">
      <c r="B548" t="str">
        <f>IFERROR(IF(A548="","",VLOOKUP(A548,CadProd!$A:$B,2,0)),"")</f>
        <v/>
      </c>
      <c r="C548" t="str">
        <f>IFERROR(IF(A548="","",VLOOKUP(A548,CadProd!$A:$C,3,0)),"")</f>
        <v/>
      </c>
      <c r="I548" s="1" t="str">
        <f>IFERROR(IF(A548="","",E548*#REF!),"")</f>
        <v/>
      </c>
    </row>
    <row r="549" spans="2:9" x14ac:dyDescent="0.3">
      <c r="B549" t="str">
        <f>IFERROR(IF(A549="","",VLOOKUP(A549,CadProd!$A:$B,2,0)),"")</f>
        <v/>
      </c>
      <c r="C549" t="str">
        <f>IFERROR(IF(A549="","",VLOOKUP(A549,CadProd!$A:$C,3,0)),"")</f>
        <v/>
      </c>
      <c r="I549" s="1" t="str">
        <f>IFERROR(IF(A549="","",E549*#REF!),"")</f>
        <v/>
      </c>
    </row>
    <row r="550" spans="2:9" x14ac:dyDescent="0.3">
      <c r="B550" t="str">
        <f>IFERROR(IF(A550="","",VLOOKUP(A550,CadProd!$A:$B,2,0)),"")</f>
        <v/>
      </c>
      <c r="C550" t="str">
        <f>IFERROR(IF(A550="","",VLOOKUP(A550,CadProd!$A:$C,3,0)),"")</f>
        <v/>
      </c>
      <c r="I550" s="1" t="str">
        <f>IFERROR(IF(A550="","",E550*#REF!),"")</f>
        <v/>
      </c>
    </row>
    <row r="551" spans="2:9" x14ac:dyDescent="0.3">
      <c r="B551" t="str">
        <f>IFERROR(IF(A551="","",VLOOKUP(A551,CadProd!$A:$B,2,0)),"")</f>
        <v/>
      </c>
      <c r="C551" t="str">
        <f>IFERROR(IF(A551="","",VLOOKUP(A551,CadProd!$A:$C,3,0)),"")</f>
        <v/>
      </c>
      <c r="I551" s="1" t="str">
        <f>IFERROR(IF(A551="","",E551*#REF!),"")</f>
        <v/>
      </c>
    </row>
    <row r="552" spans="2:9" x14ac:dyDescent="0.3">
      <c r="B552" t="str">
        <f>IFERROR(IF(A552="","",VLOOKUP(A552,CadProd!$A:$B,2,0)),"")</f>
        <v/>
      </c>
      <c r="C552" t="str">
        <f>IFERROR(IF(A552="","",VLOOKUP(A552,CadProd!$A:$C,3,0)),"")</f>
        <v/>
      </c>
      <c r="I552" s="1" t="str">
        <f>IFERROR(IF(A552="","",E552*#REF!),"")</f>
        <v/>
      </c>
    </row>
    <row r="553" spans="2:9" x14ac:dyDescent="0.3">
      <c r="B553" t="str">
        <f>IFERROR(IF(A553="","",VLOOKUP(A553,CadProd!$A:$B,2,0)),"")</f>
        <v/>
      </c>
      <c r="C553" t="str">
        <f>IFERROR(IF(A553="","",VLOOKUP(A553,CadProd!$A:$C,3,0)),"")</f>
        <v/>
      </c>
      <c r="I553" s="1" t="str">
        <f>IFERROR(IF(A553="","",E553*#REF!),"")</f>
        <v/>
      </c>
    </row>
    <row r="554" spans="2:9" x14ac:dyDescent="0.3">
      <c r="B554" t="str">
        <f>IFERROR(IF(A554="","",VLOOKUP(A554,CadProd!$A:$B,2,0)),"")</f>
        <v/>
      </c>
      <c r="C554" t="str">
        <f>IFERROR(IF(A554="","",VLOOKUP(A554,CadProd!$A:$C,3,0)),"")</f>
        <v/>
      </c>
      <c r="I554" s="1" t="str">
        <f>IFERROR(IF(A554="","",E554*#REF!),"")</f>
        <v/>
      </c>
    </row>
    <row r="555" spans="2:9" x14ac:dyDescent="0.3">
      <c r="B555" t="str">
        <f>IFERROR(IF(A555="","",VLOOKUP(A555,CadProd!$A:$B,2,0)),"")</f>
        <v/>
      </c>
      <c r="C555" t="str">
        <f>IFERROR(IF(A555="","",VLOOKUP(A555,CadProd!$A:$C,3,0)),"")</f>
        <v/>
      </c>
      <c r="I555" s="1" t="str">
        <f>IFERROR(IF(A555="","",E555*#REF!),"")</f>
        <v/>
      </c>
    </row>
    <row r="556" spans="2:9" x14ac:dyDescent="0.3">
      <c r="B556" t="str">
        <f>IFERROR(IF(A556="","",VLOOKUP(A556,CadProd!$A:$B,2,0)),"")</f>
        <v/>
      </c>
      <c r="C556" t="str">
        <f>IFERROR(IF(A556="","",VLOOKUP(A556,CadProd!$A:$C,3,0)),"")</f>
        <v/>
      </c>
      <c r="I556" s="1" t="str">
        <f>IFERROR(IF(A556="","",E556*#REF!),"")</f>
        <v/>
      </c>
    </row>
    <row r="557" spans="2:9" x14ac:dyDescent="0.3">
      <c r="B557" t="str">
        <f>IFERROR(IF(A557="","",VLOOKUP(A557,CadProd!$A:$B,2,0)),"")</f>
        <v/>
      </c>
      <c r="C557" t="str">
        <f>IFERROR(IF(A557="","",VLOOKUP(A557,CadProd!$A:$C,3,0)),"")</f>
        <v/>
      </c>
      <c r="I557" s="1" t="str">
        <f>IFERROR(IF(A557="","",E557*#REF!),"")</f>
        <v/>
      </c>
    </row>
    <row r="558" spans="2:9" x14ac:dyDescent="0.3">
      <c r="B558" t="str">
        <f>IFERROR(IF(A558="","",VLOOKUP(A558,CadProd!$A:$B,2,0)),"")</f>
        <v/>
      </c>
      <c r="C558" t="str">
        <f>IFERROR(IF(A558="","",VLOOKUP(A558,CadProd!$A:$C,3,0)),"")</f>
        <v/>
      </c>
      <c r="I558" s="1" t="str">
        <f>IFERROR(IF(A558="","",E558*#REF!),"")</f>
        <v/>
      </c>
    </row>
    <row r="559" spans="2:9" x14ac:dyDescent="0.3">
      <c r="B559" t="str">
        <f>IFERROR(IF(A559="","",VLOOKUP(A559,CadProd!$A:$B,2,0)),"")</f>
        <v/>
      </c>
      <c r="C559" t="str">
        <f>IFERROR(IF(A559="","",VLOOKUP(A559,CadProd!$A:$C,3,0)),"")</f>
        <v/>
      </c>
      <c r="I559" s="1" t="str">
        <f>IFERROR(IF(A559="","",E559*#REF!),"")</f>
        <v/>
      </c>
    </row>
    <row r="560" spans="2:9" x14ac:dyDescent="0.3">
      <c r="B560" t="str">
        <f>IFERROR(IF(A560="","",VLOOKUP(A560,CadProd!$A:$B,2,0)),"")</f>
        <v/>
      </c>
      <c r="C560" t="str">
        <f>IFERROR(IF(A560="","",VLOOKUP(A560,CadProd!$A:$C,3,0)),"")</f>
        <v/>
      </c>
      <c r="I560" s="1" t="str">
        <f>IFERROR(IF(A560="","",E560*#REF!),"")</f>
        <v/>
      </c>
    </row>
    <row r="561" spans="2:9" x14ac:dyDescent="0.3">
      <c r="B561" t="str">
        <f>IFERROR(IF(A561="","",VLOOKUP(A561,CadProd!$A:$B,2,0)),"")</f>
        <v/>
      </c>
      <c r="C561" t="str">
        <f>IFERROR(IF(A561="","",VLOOKUP(A561,CadProd!$A:$C,3,0)),"")</f>
        <v/>
      </c>
      <c r="I561" s="1" t="str">
        <f>IFERROR(IF(A561="","",E561*#REF!),"")</f>
        <v/>
      </c>
    </row>
    <row r="562" spans="2:9" x14ac:dyDescent="0.3">
      <c r="B562" t="str">
        <f>IFERROR(IF(A562="","",VLOOKUP(A562,CadProd!$A:$B,2,0)),"")</f>
        <v/>
      </c>
      <c r="C562" t="str">
        <f>IFERROR(IF(A562="","",VLOOKUP(A562,CadProd!$A:$C,3,0)),"")</f>
        <v/>
      </c>
      <c r="I562" s="1" t="str">
        <f>IFERROR(IF(A562="","",E562*#REF!),"")</f>
        <v/>
      </c>
    </row>
    <row r="563" spans="2:9" x14ac:dyDescent="0.3">
      <c r="B563" t="str">
        <f>IFERROR(IF(A563="","",VLOOKUP(A563,CadProd!$A:$B,2,0)),"")</f>
        <v/>
      </c>
      <c r="C563" t="str">
        <f>IFERROR(IF(A563="","",VLOOKUP(A563,CadProd!$A:$C,3,0)),"")</f>
        <v/>
      </c>
      <c r="I563" s="1" t="str">
        <f>IFERROR(IF(A563="","",E563*#REF!),"")</f>
        <v/>
      </c>
    </row>
    <row r="564" spans="2:9" x14ac:dyDescent="0.3">
      <c r="B564" t="str">
        <f>IFERROR(IF(A564="","",VLOOKUP(A564,CadProd!$A:$B,2,0)),"")</f>
        <v/>
      </c>
      <c r="C564" t="str">
        <f>IFERROR(IF(A564="","",VLOOKUP(A564,CadProd!$A:$C,3,0)),"")</f>
        <v/>
      </c>
      <c r="I564" s="1" t="str">
        <f>IFERROR(IF(A564="","",E564*#REF!),"")</f>
        <v/>
      </c>
    </row>
    <row r="565" spans="2:9" x14ac:dyDescent="0.3">
      <c r="B565" t="str">
        <f>IFERROR(IF(A565="","",VLOOKUP(A565,CadProd!$A:$B,2,0)),"")</f>
        <v/>
      </c>
      <c r="C565" t="str">
        <f>IFERROR(IF(A565="","",VLOOKUP(A565,CadProd!$A:$C,3,0)),"")</f>
        <v/>
      </c>
      <c r="I565" s="1" t="str">
        <f>IFERROR(IF(A565="","",E565*#REF!),"")</f>
        <v/>
      </c>
    </row>
    <row r="566" spans="2:9" x14ac:dyDescent="0.3">
      <c r="B566" t="str">
        <f>IFERROR(IF(A566="","",VLOOKUP(A566,CadProd!$A:$B,2,0)),"")</f>
        <v/>
      </c>
      <c r="C566" t="str">
        <f>IFERROR(IF(A566="","",VLOOKUP(A566,CadProd!$A:$C,3,0)),"")</f>
        <v/>
      </c>
      <c r="I566" s="1" t="str">
        <f>IFERROR(IF(A566="","",E566*#REF!),"")</f>
        <v/>
      </c>
    </row>
    <row r="567" spans="2:9" x14ac:dyDescent="0.3">
      <c r="B567" t="str">
        <f>IFERROR(IF(A567="","",VLOOKUP(A567,CadProd!$A:$B,2,0)),"")</f>
        <v/>
      </c>
      <c r="C567" t="str">
        <f>IFERROR(IF(A567="","",VLOOKUP(A567,CadProd!$A:$C,3,0)),"")</f>
        <v/>
      </c>
      <c r="I567" s="1" t="str">
        <f>IFERROR(IF(A567="","",E567*#REF!),"")</f>
        <v/>
      </c>
    </row>
    <row r="568" spans="2:9" x14ac:dyDescent="0.3">
      <c r="B568" t="str">
        <f>IFERROR(IF(A568="","",VLOOKUP(A568,CadProd!$A:$B,2,0)),"")</f>
        <v/>
      </c>
      <c r="C568" t="str">
        <f>IFERROR(IF(A568="","",VLOOKUP(A568,CadProd!$A:$C,3,0)),"")</f>
        <v/>
      </c>
      <c r="I568" s="1" t="str">
        <f>IFERROR(IF(A568="","",E568*#REF!),"")</f>
        <v/>
      </c>
    </row>
    <row r="569" spans="2:9" x14ac:dyDescent="0.3">
      <c r="B569" t="str">
        <f>IFERROR(IF(A569="","",VLOOKUP(A569,CadProd!$A:$B,2,0)),"")</f>
        <v/>
      </c>
      <c r="C569" t="str">
        <f>IFERROR(IF(A569="","",VLOOKUP(A569,CadProd!$A:$C,3,0)),"")</f>
        <v/>
      </c>
      <c r="I569" s="1" t="str">
        <f>IFERROR(IF(A569="","",E569*#REF!),"")</f>
        <v/>
      </c>
    </row>
    <row r="570" spans="2:9" x14ac:dyDescent="0.3">
      <c r="B570" t="str">
        <f>IFERROR(IF(A570="","",VLOOKUP(A570,CadProd!$A:$B,2,0)),"")</f>
        <v/>
      </c>
      <c r="C570" t="str">
        <f>IFERROR(IF(A570="","",VLOOKUP(A570,CadProd!$A:$C,3,0)),"")</f>
        <v/>
      </c>
      <c r="I570" s="1" t="str">
        <f>IFERROR(IF(A570="","",E570*#REF!),"")</f>
        <v/>
      </c>
    </row>
    <row r="571" spans="2:9" x14ac:dyDescent="0.3">
      <c r="B571" t="str">
        <f>IFERROR(IF(A571="","",VLOOKUP(A571,CadProd!$A:$B,2,0)),"")</f>
        <v/>
      </c>
      <c r="C571" t="str">
        <f>IFERROR(IF(A571="","",VLOOKUP(A571,CadProd!$A:$C,3,0)),"")</f>
        <v/>
      </c>
      <c r="I571" s="1" t="str">
        <f>IFERROR(IF(A571="","",E571*#REF!),"")</f>
        <v/>
      </c>
    </row>
    <row r="572" spans="2:9" x14ac:dyDescent="0.3">
      <c r="B572" t="str">
        <f>IFERROR(IF(A572="","",VLOOKUP(A572,CadProd!$A:$B,2,0)),"")</f>
        <v/>
      </c>
      <c r="C572" t="str">
        <f>IFERROR(IF(A572="","",VLOOKUP(A572,CadProd!$A:$C,3,0)),"")</f>
        <v/>
      </c>
      <c r="I572" s="1" t="str">
        <f>IFERROR(IF(A572="","",E572*#REF!),"")</f>
        <v/>
      </c>
    </row>
    <row r="573" spans="2:9" x14ac:dyDescent="0.3">
      <c r="B573" t="str">
        <f>IFERROR(IF(A573="","",VLOOKUP(A573,CadProd!$A:$B,2,0)),"")</f>
        <v/>
      </c>
      <c r="C573" t="str">
        <f>IFERROR(IF(A573="","",VLOOKUP(A573,CadProd!$A:$C,3,0)),"")</f>
        <v/>
      </c>
      <c r="I573" s="1" t="str">
        <f>IFERROR(IF(A573="","",E573*#REF!),"")</f>
        <v/>
      </c>
    </row>
    <row r="574" spans="2:9" x14ac:dyDescent="0.3">
      <c r="B574" t="str">
        <f>IFERROR(IF(A574="","",VLOOKUP(A574,CadProd!$A:$B,2,0)),"")</f>
        <v/>
      </c>
      <c r="C574" t="str">
        <f>IFERROR(IF(A574="","",VLOOKUP(A574,CadProd!$A:$C,3,0)),"")</f>
        <v/>
      </c>
      <c r="I574" s="1" t="str">
        <f>IFERROR(IF(A574="","",E574*#REF!),"")</f>
        <v/>
      </c>
    </row>
    <row r="575" spans="2:9" x14ac:dyDescent="0.3">
      <c r="B575" t="str">
        <f>IFERROR(IF(A575="","",VLOOKUP(A575,CadProd!$A:$B,2,0)),"")</f>
        <v/>
      </c>
      <c r="C575" t="str">
        <f>IFERROR(IF(A575="","",VLOOKUP(A575,CadProd!$A:$C,3,0)),"")</f>
        <v/>
      </c>
      <c r="I575" s="1" t="str">
        <f>IFERROR(IF(A575="","",E575*#REF!),"")</f>
        <v/>
      </c>
    </row>
    <row r="576" spans="2:9" x14ac:dyDescent="0.3">
      <c r="B576" t="str">
        <f>IFERROR(IF(A576="","",VLOOKUP(A576,CadProd!$A:$B,2,0)),"")</f>
        <v/>
      </c>
      <c r="C576" t="str">
        <f>IFERROR(IF(A576="","",VLOOKUP(A576,CadProd!$A:$C,3,0)),"")</f>
        <v/>
      </c>
      <c r="I576" s="1" t="str">
        <f>IFERROR(IF(A576="","",E576*#REF!),"")</f>
        <v/>
      </c>
    </row>
    <row r="577" spans="2:9" x14ac:dyDescent="0.3">
      <c r="B577" t="str">
        <f>IFERROR(IF(A577="","",VLOOKUP(A577,CadProd!$A:$B,2,0)),"")</f>
        <v/>
      </c>
      <c r="C577" t="str">
        <f>IFERROR(IF(A577="","",VLOOKUP(A577,CadProd!$A:$C,3,0)),"")</f>
        <v/>
      </c>
      <c r="I577" s="1" t="str">
        <f>IFERROR(IF(A577="","",E577*#REF!),"")</f>
        <v/>
      </c>
    </row>
    <row r="578" spans="2:9" x14ac:dyDescent="0.3">
      <c r="B578" t="str">
        <f>IFERROR(IF(A578="","",VLOOKUP(A578,CadProd!$A:$B,2,0)),"")</f>
        <v/>
      </c>
      <c r="C578" t="str">
        <f>IFERROR(IF(A578="","",VLOOKUP(A578,CadProd!$A:$C,3,0)),"")</f>
        <v/>
      </c>
      <c r="I578" s="1" t="str">
        <f>IFERROR(IF(A578="","",E578*#REF!),"")</f>
        <v/>
      </c>
    </row>
    <row r="579" spans="2:9" x14ac:dyDescent="0.3">
      <c r="B579" t="str">
        <f>IFERROR(IF(A579="","",VLOOKUP(A579,CadProd!$A:$B,2,0)),"")</f>
        <v/>
      </c>
      <c r="C579" t="str">
        <f>IFERROR(IF(A579="","",VLOOKUP(A579,CadProd!$A:$C,3,0)),"")</f>
        <v/>
      </c>
      <c r="I579" s="1" t="str">
        <f>IFERROR(IF(A579="","",E579*#REF!),"")</f>
        <v/>
      </c>
    </row>
    <row r="580" spans="2:9" x14ac:dyDescent="0.3">
      <c r="B580" t="str">
        <f>IFERROR(IF(A580="","",VLOOKUP(A580,CadProd!$A:$B,2,0)),"")</f>
        <v/>
      </c>
      <c r="C580" t="str">
        <f>IFERROR(IF(A580="","",VLOOKUP(A580,CadProd!$A:$C,3,0)),"")</f>
        <v/>
      </c>
      <c r="I580" s="1" t="str">
        <f>IFERROR(IF(A580="","",E580*#REF!),"")</f>
        <v/>
      </c>
    </row>
    <row r="581" spans="2:9" x14ac:dyDescent="0.3">
      <c r="B581" t="str">
        <f>IFERROR(IF(A581="","",VLOOKUP(A581,CadProd!$A:$B,2,0)),"")</f>
        <v/>
      </c>
      <c r="C581" t="str">
        <f>IFERROR(IF(A581="","",VLOOKUP(A581,CadProd!$A:$C,3,0)),"")</f>
        <v/>
      </c>
      <c r="I581" s="1" t="str">
        <f>IFERROR(IF(A581="","",E581*#REF!),"")</f>
        <v/>
      </c>
    </row>
    <row r="582" spans="2:9" x14ac:dyDescent="0.3">
      <c r="B582" t="str">
        <f>IFERROR(IF(A582="","",VLOOKUP(A582,CadProd!$A:$B,2,0)),"")</f>
        <v/>
      </c>
      <c r="C582" t="str">
        <f>IFERROR(IF(A582="","",VLOOKUP(A582,CadProd!$A:$C,3,0)),"")</f>
        <v/>
      </c>
      <c r="I582" s="1" t="str">
        <f>IFERROR(IF(A582="","",E582*#REF!),"")</f>
        <v/>
      </c>
    </row>
    <row r="583" spans="2:9" x14ac:dyDescent="0.3">
      <c r="B583" t="str">
        <f>IFERROR(IF(A583="","",VLOOKUP(A583,CadProd!$A:$B,2,0)),"")</f>
        <v/>
      </c>
      <c r="C583" t="str">
        <f>IFERROR(IF(A583="","",VLOOKUP(A583,CadProd!$A:$C,3,0)),"")</f>
        <v/>
      </c>
      <c r="I583" s="1" t="str">
        <f>IFERROR(IF(A583="","",E583*#REF!),"")</f>
        <v/>
      </c>
    </row>
    <row r="584" spans="2:9" x14ac:dyDescent="0.3">
      <c r="B584" t="str">
        <f>IFERROR(IF(A584="","",VLOOKUP(A584,CadProd!$A:$B,2,0)),"")</f>
        <v/>
      </c>
      <c r="C584" t="str">
        <f>IFERROR(IF(A584="","",VLOOKUP(A584,CadProd!$A:$C,3,0)),"")</f>
        <v/>
      </c>
      <c r="I584" s="1" t="str">
        <f>IFERROR(IF(A584="","",E584*#REF!),"")</f>
        <v/>
      </c>
    </row>
    <row r="585" spans="2:9" x14ac:dyDescent="0.3">
      <c r="B585" t="str">
        <f>IFERROR(IF(A585="","",VLOOKUP(A585,CadProd!$A:$B,2,0)),"")</f>
        <v/>
      </c>
      <c r="C585" t="str">
        <f>IFERROR(IF(A585="","",VLOOKUP(A585,CadProd!$A:$C,3,0)),"")</f>
        <v/>
      </c>
      <c r="I585" s="1" t="str">
        <f>IFERROR(IF(A585="","",E585*#REF!),"")</f>
        <v/>
      </c>
    </row>
    <row r="586" spans="2:9" x14ac:dyDescent="0.3">
      <c r="B586" t="str">
        <f>IFERROR(IF(A586="","",VLOOKUP(A586,CadProd!$A:$B,2,0)),"")</f>
        <v/>
      </c>
      <c r="C586" t="str">
        <f>IFERROR(IF(A586="","",VLOOKUP(A586,CadProd!$A:$C,3,0)),"")</f>
        <v/>
      </c>
      <c r="I586" s="1" t="str">
        <f>IFERROR(IF(A586="","",E586*#REF!),"")</f>
        <v/>
      </c>
    </row>
    <row r="587" spans="2:9" x14ac:dyDescent="0.3">
      <c r="B587" t="str">
        <f>IFERROR(IF(A587="","",VLOOKUP(A587,CadProd!$A:$B,2,0)),"")</f>
        <v/>
      </c>
      <c r="C587" t="str">
        <f>IFERROR(IF(A587="","",VLOOKUP(A587,CadProd!$A:$C,3,0)),"")</f>
        <v/>
      </c>
      <c r="I587" s="1" t="str">
        <f>IFERROR(IF(A587="","",E587*#REF!),"")</f>
        <v/>
      </c>
    </row>
    <row r="588" spans="2:9" x14ac:dyDescent="0.3">
      <c r="B588" t="str">
        <f>IFERROR(IF(A588="","",VLOOKUP(A588,CadProd!$A:$B,2,0)),"")</f>
        <v/>
      </c>
      <c r="C588" t="str">
        <f>IFERROR(IF(A588="","",VLOOKUP(A588,CadProd!$A:$C,3,0)),"")</f>
        <v/>
      </c>
      <c r="I588" s="1" t="str">
        <f>IFERROR(IF(A588="","",E588*#REF!),"")</f>
        <v/>
      </c>
    </row>
    <row r="589" spans="2:9" x14ac:dyDescent="0.3">
      <c r="B589" t="str">
        <f>IFERROR(IF(A589="","",VLOOKUP(A589,CadProd!$A:$B,2,0)),"")</f>
        <v/>
      </c>
      <c r="C589" t="str">
        <f>IFERROR(IF(A589="","",VLOOKUP(A589,CadProd!$A:$C,3,0)),"")</f>
        <v/>
      </c>
      <c r="I589" s="1" t="str">
        <f>IFERROR(IF(A589="","",E589*#REF!),"")</f>
        <v/>
      </c>
    </row>
    <row r="590" spans="2:9" x14ac:dyDescent="0.3">
      <c r="B590" t="str">
        <f>IFERROR(IF(A590="","",VLOOKUP(A590,CadProd!$A:$B,2,0)),"")</f>
        <v/>
      </c>
      <c r="C590" t="str">
        <f>IFERROR(IF(A590="","",VLOOKUP(A590,CadProd!$A:$C,3,0)),"")</f>
        <v/>
      </c>
      <c r="I590" s="1" t="str">
        <f>IFERROR(IF(A590="","",E590*#REF!),"")</f>
        <v/>
      </c>
    </row>
    <row r="591" spans="2:9" x14ac:dyDescent="0.3">
      <c r="B591" t="str">
        <f>IFERROR(IF(A591="","",VLOOKUP(A591,CadProd!$A:$B,2,0)),"")</f>
        <v/>
      </c>
      <c r="C591" t="str">
        <f>IFERROR(IF(A591="","",VLOOKUP(A591,CadProd!$A:$C,3,0)),"")</f>
        <v/>
      </c>
      <c r="I591" s="1" t="str">
        <f>IFERROR(IF(A591="","",E591*#REF!),"")</f>
        <v/>
      </c>
    </row>
    <row r="592" spans="2:9" x14ac:dyDescent="0.3">
      <c r="B592" t="str">
        <f>IFERROR(IF(A592="","",VLOOKUP(A592,CadProd!$A:$B,2,0)),"")</f>
        <v/>
      </c>
      <c r="C592" t="str">
        <f>IFERROR(IF(A592="","",VLOOKUP(A592,CadProd!$A:$C,3,0)),"")</f>
        <v/>
      </c>
      <c r="I592" s="1" t="str">
        <f>IFERROR(IF(A592="","",E592*#REF!),"")</f>
        <v/>
      </c>
    </row>
    <row r="593" spans="2:9" x14ac:dyDescent="0.3">
      <c r="B593" t="str">
        <f>IFERROR(IF(A593="","",VLOOKUP(A593,CadProd!$A:$B,2,0)),"")</f>
        <v/>
      </c>
      <c r="C593" t="str">
        <f>IFERROR(IF(A593="","",VLOOKUP(A593,CadProd!$A:$C,3,0)),"")</f>
        <v/>
      </c>
      <c r="I593" s="1" t="str">
        <f>IFERROR(IF(A593="","",E593*#REF!),"")</f>
        <v/>
      </c>
    </row>
    <row r="594" spans="2:9" x14ac:dyDescent="0.3">
      <c r="B594" t="str">
        <f>IFERROR(IF(A594="","",VLOOKUP(A594,CadProd!$A:$B,2,0)),"")</f>
        <v/>
      </c>
      <c r="C594" t="str">
        <f>IFERROR(IF(A594="","",VLOOKUP(A594,CadProd!$A:$C,3,0)),"")</f>
        <v/>
      </c>
      <c r="I594" s="1" t="str">
        <f>IFERROR(IF(A594="","",E594*#REF!),"")</f>
        <v/>
      </c>
    </row>
    <row r="595" spans="2:9" x14ac:dyDescent="0.3">
      <c r="B595" t="str">
        <f>IFERROR(IF(A595="","",VLOOKUP(A595,CadProd!$A:$B,2,0)),"")</f>
        <v/>
      </c>
      <c r="C595" t="str">
        <f>IFERROR(IF(A595="","",VLOOKUP(A595,CadProd!$A:$C,3,0)),"")</f>
        <v/>
      </c>
      <c r="I595" s="1" t="str">
        <f>IFERROR(IF(A595="","",E595*#REF!),"")</f>
        <v/>
      </c>
    </row>
    <row r="596" spans="2:9" x14ac:dyDescent="0.3">
      <c r="B596" t="str">
        <f>IFERROR(IF(A596="","",VLOOKUP(A596,CadProd!$A:$B,2,0)),"")</f>
        <v/>
      </c>
      <c r="C596" t="str">
        <f>IFERROR(IF(A596="","",VLOOKUP(A596,CadProd!$A:$C,3,0)),"")</f>
        <v/>
      </c>
      <c r="I596" s="1" t="str">
        <f>IFERROR(IF(A596="","",E596*#REF!),"")</f>
        <v/>
      </c>
    </row>
    <row r="597" spans="2:9" x14ac:dyDescent="0.3">
      <c r="B597" t="str">
        <f>IFERROR(IF(A597="","",VLOOKUP(A597,CadProd!$A:$B,2,0)),"")</f>
        <v/>
      </c>
      <c r="C597" t="str">
        <f>IFERROR(IF(A597="","",VLOOKUP(A597,CadProd!$A:$C,3,0)),"")</f>
        <v/>
      </c>
      <c r="I597" s="1" t="str">
        <f>IFERROR(IF(A597="","",E597*#REF!),"")</f>
        <v/>
      </c>
    </row>
    <row r="598" spans="2:9" x14ac:dyDescent="0.3">
      <c r="B598" t="str">
        <f>IFERROR(IF(A598="","",VLOOKUP(A598,CadProd!$A:$B,2,0)),"")</f>
        <v/>
      </c>
      <c r="C598" t="str">
        <f>IFERROR(IF(A598="","",VLOOKUP(A598,CadProd!$A:$C,3,0)),"")</f>
        <v/>
      </c>
      <c r="I598" s="1" t="str">
        <f>IFERROR(IF(A598="","",E598*#REF!),"")</f>
        <v/>
      </c>
    </row>
    <row r="599" spans="2:9" x14ac:dyDescent="0.3">
      <c r="B599" t="str">
        <f>IFERROR(IF(A599="","",VLOOKUP(A599,CadProd!$A:$B,2,0)),"")</f>
        <v/>
      </c>
      <c r="C599" t="str">
        <f>IFERROR(IF(A599="","",VLOOKUP(A599,CadProd!$A:$C,3,0)),"")</f>
        <v/>
      </c>
      <c r="I599" s="1" t="str">
        <f>IFERROR(IF(A599="","",E599*#REF!),"")</f>
        <v/>
      </c>
    </row>
    <row r="600" spans="2:9" x14ac:dyDescent="0.3">
      <c r="B600" t="str">
        <f>IFERROR(IF(A600="","",VLOOKUP(A600,CadProd!$A:$B,2,0)),"")</f>
        <v/>
      </c>
      <c r="C600" t="str">
        <f>IFERROR(IF(A600="","",VLOOKUP(A600,CadProd!$A:$C,3,0)),"")</f>
        <v/>
      </c>
      <c r="I600" s="1" t="str">
        <f>IFERROR(IF(A600="","",E600*#REF!),"")</f>
        <v/>
      </c>
    </row>
    <row r="601" spans="2:9" x14ac:dyDescent="0.3">
      <c r="B601" t="str">
        <f>IFERROR(IF(A601="","",VLOOKUP(A601,CadProd!$A:$B,2,0)),"")</f>
        <v/>
      </c>
      <c r="C601" t="str">
        <f>IFERROR(IF(A601="","",VLOOKUP(A601,CadProd!$A:$C,3,0)),"")</f>
        <v/>
      </c>
      <c r="I601" s="1" t="str">
        <f>IFERROR(IF(A601="","",E601*#REF!),"")</f>
        <v/>
      </c>
    </row>
    <row r="602" spans="2:9" x14ac:dyDescent="0.3">
      <c r="B602" t="str">
        <f>IFERROR(IF(A602="","",VLOOKUP(A602,CadProd!$A:$B,2,0)),"")</f>
        <v/>
      </c>
      <c r="C602" t="str">
        <f>IFERROR(IF(A602="","",VLOOKUP(A602,CadProd!$A:$C,3,0)),"")</f>
        <v/>
      </c>
      <c r="I602" s="1" t="str">
        <f>IFERROR(IF(A602="","",E602*#REF!),"")</f>
        <v/>
      </c>
    </row>
    <row r="603" spans="2:9" x14ac:dyDescent="0.3">
      <c r="B603" t="str">
        <f>IFERROR(IF(A603="","",VLOOKUP(A603,CadProd!$A:$B,2,0)),"")</f>
        <v/>
      </c>
      <c r="C603" t="str">
        <f>IFERROR(IF(A603="","",VLOOKUP(A603,CadProd!$A:$C,3,0)),"")</f>
        <v/>
      </c>
      <c r="I603" s="1" t="str">
        <f>IFERROR(IF(A603="","",E603*#REF!),"")</f>
        <v/>
      </c>
    </row>
    <row r="604" spans="2:9" x14ac:dyDescent="0.3">
      <c r="B604" t="str">
        <f>IFERROR(IF(A604="","",VLOOKUP(A604,CadProd!$A:$B,2,0)),"")</f>
        <v/>
      </c>
      <c r="C604" t="str">
        <f>IFERROR(IF(A604="","",VLOOKUP(A604,CadProd!$A:$C,3,0)),"")</f>
        <v/>
      </c>
      <c r="I604" s="1" t="str">
        <f>IFERROR(IF(A604="","",E604*#REF!),"")</f>
        <v/>
      </c>
    </row>
    <row r="605" spans="2:9" x14ac:dyDescent="0.3">
      <c r="B605" t="str">
        <f>IFERROR(IF(A605="","",VLOOKUP(A605,CadProd!$A:$B,2,0)),"")</f>
        <v/>
      </c>
      <c r="C605" t="str">
        <f>IFERROR(IF(A605="","",VLOOKUP(A605,CadProd!$A:$C,3,0)),"")</f>
        <v/>
      </c>
      <c r="I605" s="1" t="str">
        <f>IFERROR(IF(A605="","",E605*#REF!),"")</f>
        <v/>
      </c>
    </row>
    <row r="606" spans="2:9" x14ac:dyDescent="0.3">
      <c r="B606" t="str">
        <f>IFERROR(IF(A606="","",VLOOKUP(A606,CadProd!$A:$B,2,0)),"")</f>
        <v/>
      </c>
      <c r="C606" t="str">
        <f>IFERROR(IF(A606="","",VLOOKUP(A606,CadProd!$A:$C,3,0)),"")</f>
        <v/>
      </c>
      <c r="I606" s="1" t="str">
        <f>IFERROR(IF(A606="","",E606*#REF!),"")</f>
        <v/>
      </c>
    </row>
    <row r="607" spans="2:9" x14ac:dyDescent="0.3">
      <c r="B607" t="str">
        <f>IFERROR(IF(A607="","",VLOOKUP(A607,CadProd!$A:$B,2,0)),"")</f>
        <v/>
      </c>
      <c r="C607" t="str">
        <f>IFERROR(IF(A607="","",VLOOKUP(A607,CadProd!$A:$C,3,0)),"")</f>
        <v/>
      </c>
      <c r="I607" s="1" t="str">
        <f>IFERROR(IF(A607="","",E607*#REF!),"")</f>
        <v/>
      </c>
    </row>
    <row r="608" spans="2:9" x14ac:dyDescent="0.3">
      <c r="B608" t="str">
        <f>IFERROR(IF(A608="","",VLOOKUP(A608,CadProd!$A:$B,2,0)),"")</f>
        <v/>
      </c>
      <c r="C608" t="str">
        <f>IFERROR(IF(A608="","",VLOOKUP(A608,CadProd!$A:$C,3,0)),"")</f>
        <v/>
      </c>
      <c r="I608" s="1" t="str">
        <f>IFERROR(IF(A608="","",E608*#REF!),"")</f>
        <v/>
      </c>
    </row>
    <row r="609" spans="2:9" x14ac:dyDescent="0.3">
      <c r="B609" t="str">
        <f>IFERROR(IF(A609="","",VLOOKUP(A609,CadProd!$A:$B,2,0)),"")</f>
        <v/>
      </c>
      <c r="C609" t="str">
        <f>IFERROR(IF(A609="","",VLOOKUP(A609,CadProd!$A:$C,3,0)),"")</f>
        <v/>
      </c>
      <c r="I609" s="1" t="str">
        <f>IFERROR(IF(A609="","",E609*#REF!),"")</f>
        <v/>
      </c>
    </row>
    <row r="610" spans="2:9" x14ac:dyDescent="0.3">
      <c r="B610" t="str">
        <f>IFERROR(IF(A610="","",VLOOKUP(A610,CadProd!$A:$B,2,0)),"")</f>
        <v/>
      </c>
      <c r="C610" t="str">
        <f>IFERROR(IF(A610="","",VLOOKUP(A610,CadProd!$A:$C,3,0)),"")</f>
        <v/>
      </c>
      <c r="I610" s="1" t="str">
        <f>IFERROR(IF(A610="","",E610*#REF!),"")</f>
        <v/>
      </c>
    </row>
    <row r="611" spans="2:9" x14ac:dyDescent="0.3">
      <c r="B611" t="str">
        <f>IFERROR(IF(A611="","",VLOOKUP(A611,CadProd!$A:$B,2,0)),"")</f>
        <v/>
      </c>
      <c r="C611" t="str">
        <f>IFERROR(IF(A611="","",VLOOKUP(A611,CadProd!$A:$C,3,0)),"")</f>
        <v/>
      </c>
      <c r="I611" s="1" t="str">
        <f>IFERROR(IF(A611="","",E611*#REF!),"")</f>
        <v/>
      </c>
    </row>
    <row r="612" spans="2:9" x14ac:dyDescent="0.3">
      <c r="B612" t="str">
        <f>IFERROR(IF(A612="","",VLOOKUP(A612,CadProd!$A:$B,2,0)),"")</f>
        <v/>
      </c>
      <c r="C612" t="str">
        <f>IFERROR(IF(A612="","",VLOOKUP(A612,CadProd!$A:$C,3,0)),"")</f>
        <v/>
      </c>
      <c r="I612" s="1" t="str">
        <f>IFERROR(IF(A612="","",E612*#REF!),"")</f>
        <v/>
      </c>
    </row>
    <row r="613" spans="2:9" x14ac:dyDescent="0.3">
      <c r="B613" t="str">
        <f>IFERROR(IF(A613="","",VLOOKUP(A613,CadProd!$A:$B,2,0)),"")</f>
        <v/>
      </c>
      <c r="C613" t="str">
        <f>IFERROR(IF(A613="","",VLOOKUP(A613,CadProd!$A:$C,3,0)),"")</f>
        <v/>
      </c>
      <c r="I613" s="1" t="str">
        <f>IFERROR(IF(A613="","",E613*#REF!),"")</f>
        <v/>
      </c>
    </row>
    <row r="614" spans="2:9" x14ac:dyDescent="0.3">
      <c r="B614" t="str">
        <f>IFERROR(IF(A614="","",VLOOKUP(A614,CadProd!$A:$B,2,0)),"")</f>
        <v/>
      </c>
      <c r="C614" t="str">
        <f>IFERROR(IF(A614="","",VLOOKUP(A614,CadProd!$A:$C,3,0)),"")</f>
        <v/>
      </c>
      <c r="I614" s="1" t="str">
        <f>IFERROR(IF(A614="","",E614*#REF!),"")</f>
        <v/>
      </c>
    </row>
    <row r="615" spans="2:9" x14ac:dyDescent="0.3">
      <c r="B615" t="str">
        <f>IFERROR(IF(A615="","",VLOOKUP(A615,CadProd!$A:$B,2,0)),"")</f>
        <v/>
      </c>
      <c r="C615" t="str">
        <f>IFERROR(IF(A615="","",VLOOKUP(A615,CadProd!$A:$C,3,0)),"")</f>
        <v/>
      </c>
      <c r="I615" s="1" t="str">
        <f>IFERROR(IF(A615="","",E615*#REF!),"")</f>
        <v/>
      </c>
    </row>
    <row r="616" spans="2:9" x14ac:dyDescent="0.3">
      <c r="B616" t="str">
        <f>IFERROR(IF(A616="","",VLOOKUP(A616,CadProd!$A:$B,2,0)),"")</f>
        <v/>
      </c>
      <c r="C616" t="str">
        <f>IFERROR(IF(A616="","",VLOOKUP(A616,CadProd!$A:$C,3,0)),"")</f>
        <v/>
      </c>
      <c r="I616" s="1" t="str">
        <f>IFERROR(IF(A616="","",E616*#REF!),"")</f>
        <v/>
      </c>
    </row>
    <row r="617" spans="2:9" x14ac:dyDescent="0.3">
      <c r="B617" t="str">
        <f>IFERROR(IF(A617="","",VLOOKUP(A617,CadProd!$A:$B,2,0)),"")</f>
        <v/>
      </c>
      <c r="C617" t="str">
        <f>IFERROR(IF(A617="","",VLOOKUP(A617,CadProd!$A:$C,3,0)),"")</f>
        <v/>
      </c>
      <c r="I617" s="1" t="str">
        <f>IFERROR(IF(A617="","",E617*#REF!),"")</f>
        <v/>
      </c>
    </row>
    <row r="618" spans="2:9" x14ac:dyDescent="0.3">
      <c r="B618" t="str">
        <f>IFERROR(IF(A618="","",VLOOKUP(A618,CadProd!$A:$B,2,0)),"")</f>
        <v/>
      </c>
      <c r="C618" t="str">
        <f>IFERROR(IF(A618="","",VLOOKUP(A618,CadProd!$A:$C,3,0)),"")</f>
        <v/>
      </c>
      <c r="I618" s="1" t="str">
        <f>IFERROR(IF(A618="","",E618*#REF!),"")</f>
        <v/>
      </c>
    </row>
    <row r="619" spans="2:9" x14ac:dyDescent="0.3">
      <c r="B619" t="str">
        <f>IFERROR(IF(A619="","",VLOOKUP(A619,CadProd!$A:$B,2,0)),"")</f>
        <v/>
      </c>
      <c r="C619" t="str">
        <f>IFERROR(IF(A619="","",VLOOKUP(A619,CadProd!$A:$C,3,0)),"")</f>
        <v/>
      </c>
      <c r="I619" s="1" t="str">
        <f>IFERROR(IF(A619="","",E619*#REF!),"")</f>
        <v/>
      </c>
    </row>
    <row r="620" spans="2:9" x14ac:dyDescent="0.3">
      <c r="B620" t="str">
        <f>IFERROR(IF(A620="","",VLOOKUP(A620,CadProd!$A:$B,2,0)),"")</f>
        <v/>
      </c>
      <c r="C620" t="str">
        <f>IFERROR(IF(A620="","",VLOOKUP(A620,CadProd!$A:$C,3,0)),"")</f>
        <v/>
      </c>
      <c r="I620" s="1" t="str">
        <f>IFERROR(IF(A620="","",E620*#REF!),"")</f>
        <v/>
      </c>
    </row>
    <row r="621" spans="2:9" x14ac:dyDescent="0.3">
      <c r="B621" t="str">
        <f>IFERROR(IF(A621="","",VLOOKUP(A621,CadProd!$A:$B,2,0)),"")</f>
        <v/>
      </c>
      <c r="C621" t="str">
        <f>IFERROR(IF(A621="","",VLOOKUP(A621,CadProd!$A:$C,3,0)),"")</f>
        <v/>
      </c>
      <c r="I621" s="1" t="str">
        <f>IFERROR(IF(A621="","",E621*#REF!),"")</f>
        <v/>
      </c>
    </row>
    <row r="622" spans="2:9" x14ac:dyDescent="0.3">
      <c r="B622" t="str">
        <f>IFERROR(IF(A622="","",VLOOKUP(A622,CadProd!$A:$B,2,0)),"")</f>
        <v/>
      </c>
      <c r="C622" t="str">
        <f>IFERROR(IF(A622="","",VLOOKUP(A622,CadProd!$A:$C,3,0)),"")</f>
        <v/>
      </c>
      <c r="I622" s="1" t="str">
        <f>IFERROR(IF(A622="","",E622*#REF!),"")</f>
        <v/>
      </c>
    </row>
    <row r="623" spans="2:9" x14ac:dyDescent="0.3">
      <c r="B623" t="str">
        <f>IFERROR(IF(A623="","",VLOOKUP(A623,CadProd!$A:$B,2,0)),"")</f>
        <v/>
      </c>
      <c r="C623" t="str">
        <f>IFERROR(IF(A623="","",VLOOKUP(A623,CadProd!$A:$C,3,0)),"")</f>
        <v/>
      </c>
      <c r="I623" s="1" t="str">
        <f>IFERROR(IF(A623="","",E623*#REF!),"")</f>
        <v/>
      </c>
    </row>
    <row r="624" spans="2:9" x14ac:dyDescent="0.3">
      <c r="B624" t="str">
        <f>IFERROR(IF(A624="","",VLOOKUP(A624,CadProd!$A:$B,2,0)),"")</f>
        <v/>
      </c>
      <c r="C624" t="str">
        <f>IFERROR(IF(A624="","",VLOOKUP(A624,CadProd!$A:$C,3,0)),"")</f>
        <v/>
      </c>
      <c r="I624" s="1" t="str">
        <f>IFERROR(IF(A624="","",E624*#REF!),"")</f>
        <v/>
      </c>
    </row>
    <row r="625" spans="2:9" x14ac:dyDescent="0.3">
      <c r="B625" t="str">
        <f>IFERROR(IF(A625="","",VLOOKUP(A625,CadProd!$A:$B,2,0)),"")</f>
        <v/>
      </c>
      <c r="C625" t="str">
        <f>IFERROR(IF(A625="","",VLOOKUP(A625,CadProd!$A:$C,3,0)),"")</f>
        <v/>
      </c>
      <c r="I625" s="1" t="str">
        <f>IFERROR(IF(A625="","",E625*#REF!),"")</f>
        <v/>
      </c>
    </row>
    <row r="626" spans="2:9" x14ac:dyDescent="0.3">
      <c r="B626" t="str">
        <f>IFERROR(IF(A626="","",VLOOKUP(A626,CadProd!$A:$B,2,0)),"")</f>
        <v/>
      </c>
      <c r="C626" t="str">
        <f>IFERROR(IF(A626="","",VLOOKUP(A626,CadProd!$A:$C,3,0)),"")</f>
        <v/>
      </c>
      <c r="I626" s="1" t="str">
        <f>IFERROR(IF(A626="","",E626*#REF!),"")</f>
        <v/>
      </c>
    </row>
    <row r="627" spans="2:9" x14ac:dyDescent="0.3">
      <c r="B627" t="str">
        <f>IFERROR(IF(A627="","",VLOOKUP(A627,CadProd!$A:$B,2,0)),"")</f>
        <v/>
      </c>
      <c r="C627" t="str">
        <f>IFERROR(IF(A627="","",VLOOKUP(A627,CadProd!$A:$C,3,0)),"")</f>
        <v/>
      </c>
      <c r="I627" s="1" t="str">
        <f>IFERROR(IF(A627="","",E627*#REF!),"")</f>
        <v/>
      </c>
    </row>
    <row r="628" spans="2:9" x14ac:dyDescent="0.3">
      <c r="B628" t="str">
        <f>IFERROR(IF(A628="","",VLOOKUP(A628,CadProd!$A:$B,2,0)),"")</f>
        <v/>
      </c>
      <c r="C628" t="str">
        <f>IFERROR(IF(A628="","",VLOOKUP(A628,CadProd!$A:$C,3,0)),"")</f>
        <v/>
      </c>
      <c r="I628" s="1" t="str">
        <f>IFERROR(IF(A628="","",E628*#REF!),"")</f>
        <v/>
      </c>
    </row>
    <row r="629" spans="2:9" x14ac:dyDescent="0.3">
      <c r="B629" t="str">
        <f>IFERROR(IF(A629="","",VLOOKUP(A629,CadProd!$A:$B,2,0)),"")</f>
        <v/>
      </c>
      <c r="C629" t="str">
        <f>IFERROR(IF(A629="","",VLOOKUP(A629,CadProd!$A:$C,3,0)),"")</f>
        <v/>
      </c>
      <c r="I629" s="1" t="str">
        <f>IFERROR(IF(A629="","",E629*#REF!),"")</f>
        <v/>
      </c>
    </row>
    <row r="630" spans="2:9" x14ac:dyDescent="0.3">
      <c r="B630" t="str">
        <f>IFERROR(IF(A630="","",VLOOKUP(A630,CadProd!$A:$B,2,0)),"")</f>
        <v/>
      </c>
      <c r="C630" t="str">
        <f>IFERROR(IF(A630="","",VLOOKUP(A630,CadProd!$A:$C,3,0)),"")</f>
        <v/>
      </c>
      <c r="I630" s="1" t="str">
        <f>IFERROR(IF(A630="","",E630*#REF!),"")</f>
        <v/>
      </c>
    </row>
    <row r="631" spans="2:9" x14ac:dyDescent="0.3">
      <c r="B631" t="str">
        <f>IFERROR(IF(A631="","",VLOOKUP(A631,CadProd!$A:$B,2,0)),"")</f>
        <v/>
      </c>
      <c r="C631" t="str">
        <f>IFERROR(IF(A631="","",VLOOKUP(A631,CadProd!$A:$C,3,0)),"")</f>
        <v/>
      </c>
      <c r="I631" s="1" t="str">
        <f>IFERROR(IF(A631="","",E631*#REF!),"")</f>
        <v/>
      </c>
    </row>
    <row r="632" spans="2:9" x14ac:dyDescent="0.3">
      <c r="B632" t="str">
        <f>IFERROR(IF(A632="","",VLOOKUP(A632,CadProd!$A:$B,2,0)),"")</f>
        <v/>
      </c>
      <c r="C632" t="str">
        <f>IFERROR(IF(A632="","",VLOOKUP(A632,CadProd!$A:$C,3,0)),"")</f>
        <v/>
      </c>
      <c r="I632" s="1" t="str">
        <f>IFERROR(IF(A632="","",E632*#REF!),"")</f>
        <v/>
      </c>
    </row>
    <row r="633" spans="2:9" x14ac:dyDescent="0.3">
      <c r="B633" t="str">
        <f>IFERROR(IF(A633="","",VLOOKUP(A633,CadProd!$A:$B,2,0)),"")</f>
        <v/>
      </c>
      <c r="C633" t="str">
        <f>IFERROR(IF(A633="","",VLOOKUP(A633,CadProd!$A:$C,3,0)),"")</f>
        <v/>
      </c>
      <c r="I633" s="1" t="str">
        <f>IFERROR(IF(A633="","",E633*#REF!),"")</f>
        <v/>
      </c>
    </row>
    <row r="634" spans="2:9" x14ac:dyDescent="0.3">
      <c r="B634" t="str">
        <f>IFERROR(IF(A634="","",VLOOKUP(A634,CadProd!$A:$B,2,0)),"")</f>
        <v/>
      </c>
      <c r="C634" t="str">
        <f>IFERROR(IF(A634="","",VLOOKUP(A634,CadProd!$A:$C,3,0)),"")</f>
        <v/>
      </c>
      <c r="I634" s="1" t="str">
        <f>IFERROR(IF(A634="","",E634*#REF!),"")</f>
        <v/>
      </c>
    </row>
    <row r="635" spans="2:9" x14ac:dyDescent="0.3">
      <c r="B635" t="str">
        <f>IFERROR(IF(A635="","",VLOOKUP(A635,CadProd!$A:$B,2,0)),"")</f>
        <v/>
      </c>
      <c r="C635" t="str">
        <f>IFERROR(IF(A635="","",VLOOKUP(A635,CadProd!$A:$C,3,0)),"")</f>
        <v/>
      </c>
      <c r="I635" s="1" t="str">
        <f>IFERROR(IF(A635="","",E635*#REF!),"")</f>
        <v/>
      </c>
    </row>
    <row r="636" spans="2:9" x14ac:dyDescent="0.3">
      <c r="B636" t="str">
        <f>IFERROR(IF(A636="","",VLOOKUP(A636,CadProd!$A:$B,2,0)),"")</f>
        <v/>
      </c>
      <c r="C636" t="str">
        <f>IFERROR(IF(A636="","",VLOOKUP(A636,CadProd!$A:$C,3,0)),"")</f>
        <v/>
      </c>
      <c r="I636" s="1" t="str">
        <f>IFERROR(IF(A636="","",E636*#REF!),"")</f>
        <v/>
      </c>
    </row>
    <row r="637" spans="2:9" x14ac:dyDescent="0.3">
      <c r="B637" t="str">
        <f>IFERROR(IF(A637="","",VLOOKUP(A637,CadProd!$A:$B,2,0)),"")</f>
        <v/>
      </c>
      <c r="C637" t="str">
        <f>IFERROR(IF(A637="","",VLOOKUP(A637,CadProd!$A:$C,3,0)),"")</f>
        <v/>
      </c>
      <c r="I637" s="1" t="str">
        <f>IFERROR(IF(A637="","",E637*#REF!),"")</f>
        <v/>
      </c>
    </row>
    <row r="638" spans="2:9" x14ac:dyDescent="0.3">
      <c r="B638" t="str">
        <f>IFERROR(IF(A638="","",VLOOKUP(A638,CadProd!$A:$B,2,0)),"")</f>
        <v/>
      </c>
      <c r="C638" t="str">
        <f>IFERROR(IF(A638="","",VLOOKUP(A638,CadProd!$A:$C,3,0)),"")</f>
        <v/>
      </c>
      <c r="I638" s="1" t="str">
        <f>IFERROR(IF(A638="","",E638*#REF!),"")</f>
        <v/>
      </c>
    </row>
    <row r="639" spans="2:9" x14ac:dyDescent="0.3">
      <c r="B639" t="str">
        <f>IFERROR(IF(A639="","",VLOOKUP(A639,CadProd!$A:$B,2,0)),"")</f>
        <v/>
      </c>
      <c r="C639" t="str">
        <f>IFERROR(IF(A639="","",VLOOKUP(A639,CadProd!$A:$C,3,0)),"")</f>
        <v/>
      </c>
      <c r="I639" s="1" t="str">
        <f>IFERROR(IF(A639="","",E639*#REF!),"")</f>
        <v/>
      </c>
    </row>
    <row r="640" spans="2:9" x14ac:dyDescent="0.3">
      <c r="B640" t="str">
        <f>IFERROR(IF(A640="","",VLOOKUP(A640,CadProd!$A:$B,2,0)),"")</f>
        <v/>
      </c>
      <c r="C640" t="str">
        <f>IFERROR(IF(A640="","",VLOOKUP(A640,CadProd!$A:$C,3,0)),"")</f>
        <v/>
      </c>
      <c r="I640" s="1" t="str">
        <f>IFERROR(IF(A640="","",E640*#REF!),"")</f>
        <v/>
      </c>
    </row>
    <row r="641" spans="2:9" x14ac:dyDescent="0.3">
      <c r="B641" t="str">
        <f>IFERROR(IF(A641="","",VLOOKUP(A641,CadProd!$A:$B,2,0)),"")</f>
        <v/>
      </c>
      <c r="C641" t="str">
        <f>IFERROR(IF(A641="","",VLOOKUP(A641,CadProd!$A:$C,3,0)),"")</f>
        <v/>
      </c>
      <c r="I641" s="1" t="str">
        <f>IFERROR(IF(A641="","",E641*#REF!),"")</f>
        <v/>
      </c>
    </row>
    <row r="642" spans="2:9" x14ac:dyDescent="0.3">
      <c r="B642" t="str">
        <f>IFERROR(IF(A642="","",VLOOKUP(A642,CadProd!$A:$B,2,0)),"")</f>
        <v/>
      </c>
      <c r="C642" t="str">
        <f>IFERROR(IF(A642="","",VLOOKUP(A642,CadProd!$A:$C,3,0)),"")</f>
        <v/>
      </c>
      <c r="I642" s="1" t="str">
        <f>IFERROR(IF(A642="","",E642*#REF!),"")</f>
        <v/>
      </c>
    </row>
    <row r="643" spans="2:9" x14ac:dyDescent="0.3">
      <c r="B643" t="str">
        <f>IFERROR(IF(A643="","",VLOOKUP(A643,CadProd!$A:$B,2,0)),"")</f>
        <v/>
      </c>
      <c r="C643" t="str">
        <f>IFERROR(IF(A643="","",VLOOKUP(A643,CadProd!$A:$C,3,0)),"")</f>
        <v/>
      </c>
      <c r="I643" s="1" t="str">
        <f>IFERROR(IF(A643="","",E643*#REF!),"")</f>
        <v/>
      </c>
    </row>
    <row r="644" spans="2:9" x14ac:dyDescent="0.3">
      <c r="B644" t="str">
        <f>IFERROR(IF(A644="","",VLOOKUP(A644,CadProd!$A:$B,2,0)),"")</f>
        <v/>
      </c>
      <c r="C644" t="str">
        <f>IFERROR(IF(A644="","",VLOOKUP(A644,CadProd!$A:$C,3,0)),"")</f>
        <v/>
      </c>
      <c r="I644" s="1" t="str">
        <f>IFERROR(IF(A644="","",E644*#REF!),"")</f>
        <v/>
      </c>
    </row>
    <row r="645" spans="2:9" x14ac:dyDescent="0.3">
      <c r="B645" t="str">
        <f>IFERROR(IF(A645="","",VLOOKUP(A645,CadProd!$A:$B,2,0)),"")</f>
        <v/>
      </c>
      <c r="C645" t="str">
        <f>IFERROR(IF(A645="","",VLOOKUP(A645,CadProd!$A:$C,3,0)),"")</f>
        <v/>
      </c>
      <c r="I645" s="1" t="str">
        <f>IFERROR(IF(A645="","",E645*#REF!),"")</f>
        <v/>
      </c>
    </row>
    <row r="646" spans="2:9" x14ac:dyDescent="0.3">
      <c r="B646" t="str">
        <f>IFERROR(IF(A646="","",VLOOKUP(A646,CadProd!$A:$B,2,0)),"")</f>
        <v/>
      </c>
      <c r="C646" t="str">
        <f>IFERROR(IF(A646="","",VLOOKUP(A646,CadProd!$A:$C,3,0)),"")</f>
        <v/>
      </c>
      <c r="I646" s="1" t="str">
        <f>IFERROR(IF(A646="","",E646*#REF!),"")</f>
        <v/>
      </c>
    </row>
    <row r="647" spans="2:9" x14ac:dyDescent="0.3">
      <c r="B647" t="str">
        <f>IFERROR(IF(A647="","",VLOOKUP(A647,CadProd!$A:$B,2,0)),"")</f>
        <v/>
      </c>
      <c r="C647" t="str">
        <f>IFERROR(IF(A647="","",VLOOKUP(A647,CadProd!$A:$C,3,0)),"")</f>
        <v/>
      </c>
      <c r="I647" s="1" t="str">
        <f>IFERROR(IF(A647="","",E647*#REF!),"")</f>
        <v/>
      </c>
    </row>
    <row r="648" spans="2:9" x14ac:dyDescent="0.3">
      <c r="B648" t="str">
        <f>IFERROR(IF(A648="","",VLOOKUP(A648,CadProd!$A:$B,2,0)),"")</f>
        <v/>
      </c>
      <c r="C648" t="str">
        <f>IFERROR(IF(A648="","",VLOOKUP(A648,CadProd!$A:$C,3,0)),"")</f>
        <v/>
      </c>
      <c r="I648" s="1" t="str">
        <f>IFERROR(IF(A648="","",E648*#REF!),"")</f>
        <v/>
      </c>
    </row>
    <row r="649" spans="2:9" x14ac:dyDescent="0.3">
      <c r="B649" t="str">
        <f>IFERROR(IF(A649="","",VLOOKUP(A649,CadProd!$A:$B,2,0)),"")</f>
        <v/>
      </c>
      <c r="C649" t="str">
        <f>IFERROR(IF(A649="","",VLOOKUP(A649,CadProd!$A:$C,3,0)),"")</f>
        <v/>
      </c>
      <c r="I649" s="1" t="str">
        <f>IFERROR(IF(A649="","",E649*#REF!),"")</f>
        <v/>
      </c>
    </row>
    <row r="650" spans="2:9" x14ac:dyDescent="0.3">
      <c r="B650" t="str">
        <f>IFERROR(IF(A650="","",VLOOKUP(A650,CadProd!$A:$B,2,0)),"")</f>
        <v/>
      </c>
      <c r="C650" t="str">
        <f>IFERROR(IF(A650="","",VLOOKUP(A650,CadProd!$A:$C,3,0)),"")</f>
        <v/>
      </c>
      <c r="I650" s="1" t="str">
        <f>IFERROR(IF(A650="","",E650*#REF!),"")</f>
        <v/>
      </c>
    </row>
    <row r="651" spans="2:9" x14ac:dyDescent="0.3">
      <c r="B651" t="str">
        <f>IFERROR(IF(A651="","",VLOOKUP(A651,CadProd!$A:$B,2,0)),"")</f>
        <v/>
      </c>
      <c r="C651" t="str">
        <f>IFERROR(IF(A651="","",VLOOKUP(A651,CadProd!$A:$C,3,0)),"")</f>
        <v/>
      </c>
      <c r="I651" s="1" t="str">
        <f>IFERROR(IF(A651="","",E651*#REF!),"")</f>
        <v/>
      </c>
    </row>
    <row r="652" spans="2:9" x14ac:dyDescent="0.3">
      <c r="B652" t="str">
        <f>IFERROR(IF(A652="","",VLOOKUP(A652,CadProd!$A:$B,2,0)),"")</f>
        <v/>
      </c>
      <c r="C652" t="str">
        <f>IFERROR(IF(A652="","",VLOOKUP(A652,CadProd!$A:$C,3,0)),"")</f>
        <v/>
      </c>
      <c r="I652" s="1" t="str">
        <f>IFERROR(IF(A652="","",E652*#REF!),"")</f>
        <v/>
      </c>
    </row>
    <row r="653" spans="2:9" x14ac:dyDescent="0.3">
      <c r="B653" t="str">
        <f>IFERROR(IF(A653="","",VLOOKUP(A653,CadProd!$A:$B,2,0)),"")</f>
        <v/>
      </c>
      <c r="C653" t="str">
        <f>IFERROR(IF(A653="","",VLOOKUP(A653,CadProd!$A:$C,3,0)),"")</f>
        <v/>
      </c>
      <c r="I653" s="1" t="str">
        <f>IFERROR(IF(A653="","",E653*#REF!),"")</f>
        <v/>
      </c>
    </row>
    <row r="654" spans="2:9" x14ac:dyDescent="0.3">
      <c r="B654" t="str">
        <f>IFERROR(IF(A654="","",VLOOKUP(A654,CadProd!$A:$B,2,0)),"")</f>
        <v/>
      </c>
      <c r="C654" t="str">
        <f>IFERROR(IF(A654="","",VLOOKUP(A654,CadProd!$A:$C,3,0)),"")</f>
        <v/>
      </c>
      <c r="I654" s="1" t="str">
        <f>IFERROR(IF(A654="","",E654*#REF!),"")</f>
        <v/>
      </c>
    </row>
    <row r="655" spans="2:9" x14ac:dyDescent="0.3">
      <c r="B655" t="str">
        <f>IFERROR(IF(A655="","",VLOOKUP(A655,CadProd!$A:$B,2,0)),"")</f>
        <v/>
      </c>
      <c r="C655" t="str">
        <f>IFERROR(IF(A655="","",VLOOKUP(A655,CadProd!$A:$C,3,0)),"")</f>
        <v/>
      </c>
      <c r="I655" s="1" t="str">
        <f>IFERROR(IF(A655="","",E655*#REF!),"")</f>
        <v/>
      </c>
    </row>
    <row r="656" spans="2:9" x14ac:dyDescent="0.3">
      <c r="B656" t="str">
        <f>IFERROR(IF(A656="","",VLOOKUP(A656,CadProd!$A:$B,2,0)),"")</f>
        <v/>
      </c>
      <c r="C656" t="str">
        <f>IFERROR(IF(A656="","",VLOOKUP(A656,CadProd!$A:$C,3,0)),"")</f>
        <v/>
      </c>
      <c r="I656" s="1" t="str">
        <f>IFERROR(IF(A656="","",E656*#REF!),"")</f>
        <v/>
      </c>
    </row>
    <row r="657" spans="2:9" x14ac:dyDescent="0.3">
      <c r="B657" t="str">
        <f>IFERROR(IF(A657="","",VLOOKUP(A657,CadProd!$A:$B,2,0)),"")</f>
        <v/>
      </c>
      <c r="C657" t="str">
        <f>IFERROR(IF(A657="","",VLOOKUP(A657,CadProd!$A:$C,3,0)),"")</f>
        <v/>
      </c>
      <c r="I657" s="1" t="str">
        <f>IFERROR(IF(A657="","",E657*#REF!),"")</f>
        <v/>
      </c>
    </row>
    <row r="658" spans="2:9" x14ac:dyDescent="0.3">
      <c r="B658" t="str">
        <f>IFERROR(IF(A658="","",VLOOKUP(A658,CadProd!$A:$B,2,0)),"")</f>
        <v/>
      </c>
      <c r="C658" t="str">
        <f>IFERROR(IF(A658="","",VLOOKUP(A658,CadProd!$A:$C,3,0)),"")</f>
        <v/>
      </c>
      <c r="I658" s="1" t="str">
        <f>IFERROR(IF(A658="","",E658*#REF!),"")</f>
        <v/>
      </c>
    </row>
    <row r="659" spans="2:9" x14ac:dyDescent="0.3">
      <c r="B659" t="str">
        <f>IFERROR(IF(A659="","",VLOOKUP(A659,CadProd!$A:$B,2,0)),"")</f>
        <v/>
      </c>
      <c r="C659" t="str">
        <f>IFERROR(IF(A659="","",VLOOKUP(A659,CadProd!$A:$C,3,0)),"")</f>
        <v/>
      </c>
      <c r="I659" s="1" t="str">
        <f>IFERROR(IF(A659="","",E659*#REF!),"")</f>
        <v/>
      </c>
    </row>
    <row r="660" spans="2:9" x14ac:dyDescent="0.3">
      <c r="B660" t="str">
        <f>IFERROR(IF(A660="","",VLOOKUP(A660,CadProd!$A:$B,2,0)),"")</f>
        <v/>
      </c>
      <c r="C660" t="str">
        <f>IFERROR(IF(A660="","",VLOOKUP(A660,CadProd!$A:$C,3,0)),"")</f>
        <v/>
      </c>
      <c r="I660" s="1" t="str">
        <f>IFERROR(IF(A660="","",E660*#REF!),"")</f>
        <v/>
      </c>
    </row>
    <row r="661" spans="2:9" x14ac:dyDescent="0.3">
      <c r="B661" t="str">
        <f>IFERROR(IF(A661="","",VLOOKUP(A661,CadProd!$A:$B,2,0)),"")</f>
        <v/>
      </c>
      <c r="C661" t="str">
        <f>IFERROR(IF(A661="","",VLOOKUP(A661,CadProd!$A:$C,3,0)),"")</f>
        <v/>
      </c>
      <c r="I661" s="1" t="str">
        <f>IFERROR(IF(A661="","",E661*#REF!),"")</f>
        <v/>
      </c>
    </row>
    <row r="662" spans="2:9" x14ac:dyDescent="0.3">
      <c r="B662" t="str">
        <f>IFERROR(IF(A662="","",VLOOKUP(A662,CadProd!$A:$B,2,0)),"")</f>
        <v/>
      </c>
      <c r="C662" t="str">
        <f>IFERROR(IF(A662="","",VLOOKUP(A662,CadProd!$A:$C,3,0)),"")</f>
        <v/>
      </c>
      <c r="I662" s="1" t="str">
        <f>IFERROR(IF(A662="","",E662*#REF!),"")</f>
        <v/>
      </c>
    </row>
    <row r="663" spans="2:9" x14ac:dyDescent="0.3">
      <c r="B663" t="str">
        <f>IFERROR(IF(A663="","",VLOOKUP(A663,CadProd!$A:$B,2,0)),"")</f>
        <v/>
      </c>
      <c r="C663" t="str">
        <f>IFERROR(IF(A663="","",VLOOKUP(A663,CadProd!$A:$C,3,0)),"")</f>
        <v/>
      </c>
      <c r="I663" s="1" t="str">
        <f>IFERROR(IF(A663="","",E663*#REF!),"")</f>
        <v/>
      </c>
    </row>
    <row r="664" spans="2:9" x14ac:dyDescent="0.3">
      <c r="B664" t="str">
        <f>IFERROR(IF(A664="","",VLOOKUP(A664,CadProd!$A:$B,2,0)),"")</f>
        <v/>
      </c>
      <c r="C664" t="str">
        <f>IFERROR(IF(A664="","",VLOOKUP(A664,CadProd!$A:$C,3,0)),"")</f>
        <v/>
      </c>
      <c r="I664" s="1" t="str">
        <f>IFERROR(IF(A664="","",E664*#REF!),"")</f>
        <v/>
      </c>
    </row>
    <row r="665" spans="2:9" x14ac:dyDescent="0.3">
      <c r="B665" t="str">
        <f>IFERROR(IF(A665="","",VLOOKUP(A665,CadProd!$A:$B,2,0)),"")</f>
        <v/>
      </c>
      <c r="C665" t="str">
        <f>IFERROR(IF(A665="","",VLOOKUP(A665,CadProd!$A:$C,3,0)),"")</f>
        <v/>
      </c>
      <c r="I665" s="1" t="str">
        <f>IFERROR(IF(A665="","",E665*#REF!),"")</f>
        <v/>
      </c>
    </row>
    <row r="666" spans="2:9" x14ac:dyDescent="0.3">
      <c r="B666" t="str">
        <f>IFERROR(IF(A666="","",VLOOKUP(A666,CadProd!$A:$B,2,0)),"")</f>
        <v/>
      </c>
      <c r="C666" t="str">
        <f>IFERROR(IF(A666="","",VLOOKUP(A666,CadProd!$A:$C,3,0)),"")</f>
        <v/>
      </c>
      <c r="I666" s="1" t="str">
        <f>IFERROR(IF(A666="","",E666*#REF!),"")</f>
        <v/>
      </c>
    </row>
    <row r="667" spans="2:9" x14ac:dyDescent="0.3">
      <c r="B667" t="str">
        <f>IFERROR(IF(A667="","",VLOOKUP(A667,CadProd!$A:$B,2,0)),"")</f>
        <v/>
      </c>
      <c r="C667" t="str">
        <f>IFERROR(IF(A667="","",VLOOKUP(A667,CadProd!$A:$C,3,0)),"")</f>
        <v/>
      </c>
      <c r="I667" s="1" t="str">
        <f>IFERROR(IF(A667="","",E667*#REF!),"")</f>
        <v/>
      </c>
    </row>
    <row r="668" spans="2:9" x14ac:dyDescent="0.3">
      <c r="B668" t="str">
        <f>IFERROR(IF(A668="","",VLOOKUP(A668,CadProd!$A:$B,2,0)),"")</f>
        <v/>
      </c>
      <c r="C668" t="str">
        <f>IFERROR(IF(A668="","",VLOOKUP(A668,CadProd!$A:$C,3,0)),"")</f>
        <v/>
      </c>
      <c r="I668" s="1" t="str">
        <f>IFERROR(IF(A668="","",E668*#REF!),"")</f>
        <v/>
      </c>
    </row>
    <row r="669" spans="2:9" x14ac:dyDescent="0.3">
      <c r="B669" t="str">
        <f>IFERROR(IF(A669="","",VLOOKUP(A669,CadProd!$A:$B,2,0)),"")</f>
        <v/>
      </c>
      <c r="C669" t="str">
        <f>IFERROR(IF(A669="","",VLOOKUP(A669,CadProd!$A:$C,3,0)),"")</f>
        <v/>
      </c>
      <c r="I669" s="1" t="str">
        <f>IFERROR(IF(A669="","",E669*#REF!),"")</f>
        <v/>
      </c>
    </row>
    <row r="670" spans="2:9" x14ac:dyDescent="0.3">
      <c r="B670" t="str">
        <f>IFERROR(IF(A670="","",VLOOKUP(A670,CadProd!$A:$B,2,0)),"")</f>
        <v/>
      </c>
      <c r="C670" t="str">
        <f>IFERROR(IF(A670="","",VLOOKUP(A670,CadProd!$A:$C,3,0)),"")</f>
        <v/>
      </c>
      <c r="I670" s="1" t="str">
        <f>IFERROR(IF(A670="","",E670*#REF!),"")</f>
        <v/>
      </c>
    </row>
    <row r="671" spans="2:9" x14ac:dyDescent="0.3">
      <c r="B671" t="str">
        <f>IFERROR(IF(A671="","",VLOOKUP(A671,CadProd!$A:$B,2,0)),"")</f>
        <v/>
      </c>
      <c r="C671" t="str">
        <f>IFERROR(IF(A671="","",VLOOKUP(A671,CadProd!$A:$C,3,0)),"")</f>
        <v/>
      </c>
      <c r="I671" s="1" t="str">
        <f>IFERROR(IF(A671="","",E671*#REF!),"")</f>
        <v/>
      </c>
    </row>
    <row r="672" spans="2:9" x14ac:dyDescent="0.3">
      <c r="B672" t="str">
        <f>IFERROR(IF(A672="","",VLOOKUP(A672,CadProd!$A:$B,2,0)),"")</f>
        <v/>
      </c>
      <c r="C672" t="str">
        <f>IFERROR(IF(A672="","",VLOOKUP(A672,CadProd!$A:$C,3,0)),"")</f>
        <v/>
      </c>
      <c r="I672" s="1" t="str">
        <f>IFERROR(IF(A672="","",E672*#REF!),"")</f>
        <v/>
      </c>
    </row>
    <row r="673" spans="2:9" x14ac:dyDescent="0.3">
      <c r="B673" t="str">
        <f>IFERROR(IF(A673="","",VLOOKUP(A673,CadProd!$A:$B,2,0)),"")</f>
        <v/>
      </c>
      <c r="C673" t="str">
        <f>IFERROR(IF(A673="","",VLOOKUP(A673,CadProd!$A:$C,3,0)),"")</f>
        <v/>
      </c>
      <c r="I673" s="1" t="str">
        <f>IFERROR(IF(A673="","",E673*#REF!),"")</f>
        <v/>
      </c>
    </row>
    <row r="674" spans="2:9" x14ac:dyDescent="0.3">
      <c r="B674" t="str">
        <f>IFERROR(IF(A674="","",VLOOKUP(A674,CadProd!$A:$B,2,0)),"")</f>
        <v/>
      </c>
      <c r="C674" t="str">
        <f>IFERROR(IF(A674="","",VLOOKUP(A674,CadProd!$A:$C,3,0)),"")</f>
        <v/>
      </c>
      <c r="I674" s="1" t="str">
        <f>IFERROR(IF(A674="","",E674*#REF!),"")</f>
        <v/>
      </c>
    </row>
    <row r="675" spans="2:9" x14ac:dyDescent="0.3">
      <c r="B675" t="str">
        <f>IFERROR(IF(A675="","",VLOOKUP(A675,CadProd!$A:$B,2,0)),"")</f>
        <v/>
      </c>
      <c r="C675" t="str">
        <f>IFERROR(IF(A675="","",VLOOKUP(A675,CadProd!$A:$C,3,0)),"")</f>
        <v/>
      </c>
      <c r="I675" s="1" t="str">
        <f>IFERROR(IF(A675="","",E675*#REF!),"")</f>
        <v/>
      </c>
    </row>
    <row r="676" spans="2:9" x14ac:dyDescent="0.3">
      <c r="B676" t="str">
        <f>IFERROR(IF(A676="","",VLOOKUP(A676,CadProd!$A:$B,2,0)),"")</f>
        <v/>
      </c>
      <c r="C676" t="str">
        <f>IFERROR(IF(A676="","",VLOOKUP(A676,CadProd!$A:$C,3,0)),"")</f>
        <v/>
      </c>
      <c r="I676" s="1" t="str">
        <f>IFERROR(IF(A676="","",E676*#REF!),"")</f>
        <v/>
      </c>
    </row>
    <row r="677" spans="2:9" x14ac:dyDescent="0.3">
      <c r="B677" t="str">
        <f>IFERROR(IF(A677="","",VLOOKUP(A677,CadProd!$A:$B,2,0)),"")</f>
        <v/>
      </c>
      <c r="C677" t="str">
        <f>IFERROR(IF(A677="","",VLOOKUP(A677,CadProd!$A:$C,3,0)),"")</f>
        <v/>
      </c>
      <c r="I677" s="1" t="str">
        <f>IFERROR(IF(A677="","",E677*#REF!),"")</f>
        <v/>
      </c>
    </row>
    <row r="678" spans="2:9" x14ac:dyDescent="0.3">
      <c r="B678" t="str">
        <f>IFERROR(IF(A678="","",VLOOKUP(A678,CadProd!$A:$B,2,0)),"")</f>
        <v/>
      </c>
      <c r="C678" t="str">
        <f>IFERROR(IF(A678="","",VLOOKUP(A678,CadProd!$A:$C,3,0)),"")</f>
        <v/>
      </c>
      <c r="I678" s="1" t="str">
        <f>IFERROR(IF(A678="","",E678*#REF!),"")</f>
        <v/>
      </c>
    </row>
    <row r="679" spans="2:9" x14ac:dyDescent="0.3">
      <c r="B679" t="str">
        <f>IFERROR(IF(A679="","",VLOOKUP(A679,CadProd!$A:$B,2,0)),"")</f>
        <v/>
      </c>
      <c r="C679" t="str">
        <f>IFERROR(IF(A679="","",VLOOKUP(A679,CadProd!$A:$C,3,0)),"")</f>
        <v/>
      </c>
      <c r="I679" s="1" t="str">
        <f>IFERROR(IF(A679="","",E679*#REF!),"")</f>
        <v/>
      </c>
    </row>
    <row r="680" spans="2:9" x14ac:dyDescent="0.3">
      <c r="B680" t="str">
        <f>IFERROR(IF(A680="","",VLOOKUP(A680,CadProd!$A:$B,2,0)),"")</f>
        <v/>
      </c>
      <c r="C680" t="str">
        <f>IFERROR(IF(A680="","",VLOOKUP(A680,CadProd!$A:$C,3,0)),"")</f>
        <v/>
      </c>
      <c r="I680" s="1" t="str">
        <f>IFERROR(IF(A680="","",E680*#REF!),"")</f>
        <v/>
      </c>
    </row>
    <row r="681" spans="2:9" x14ac:dyDescent="0.3">
      <c r="B681" t="str">
        <f>IFERROR(IF(A681="","",VLOOKUP(A681,CadProd!$A:$B,2,0)),"")</f>
        <v/>
      </c>
      <c r="C681" t="str">
        <f>IFERROR(IF(A681="","",VLOOKUP(A681,CadProd!$A:$C,3,0)),"")</f>
        <v/>
      </c>
      <c r="I681" s="1" t="str">
        <f>IFERROR(IF(A681="","",E681*#REF!),"")</f>
        <v/>
      </c>
    </row>
    <row r="682" spans="2:9" x14ac:dyDescent="0.3">
      <c r="B682" t="str">
        <f>IFERROR(IF(A682="","",VLOOKUP(A682,CadProd!$A:$B,2,0)),"")</f>
        <v/>
      </c>
      <c r="C682" t="str">
        <f>IFERROR(IF(A682="","",VLOOKUP(A682,CadProd!$A:$C,3,0)),"")</f>
        <v/>
      </c>
      <c r="I682" s="1" t="str">
        <f>IFERROR(IF(A682="","",E682*#REF!),"")</f>
        <v/>
      </c>
    </row>
    <row r="683" spans="2:9" x14ac:dyDescent="0.3">
      <c r="B683" t="str">
        <f>IFERROR(IF(A683="","",VLOOKUP(A683,CadProd!$A:$B,2,0)),"")</f>
        <v/>
      </c>
      <c r="C683" t="str">
        <f>IFERROR(IF(A683="","",VLOOKUP(A683,CadProd!$A:$C,3,0)),"")</f>
        <v/>
      </c>
      <c r="I683" s="1" t="str">
        <f>IFERROR(IF(A683="","",E683*#REF!),"")</f>
        <v/>
      </c>
    </row>
    <row r="684" spans="2:9" x14ac:dyDescent="0.3">
      <c r="B684" t="str">
        <f>IFERROR(IF(A684="","",VLOOKUP(A684,CadProd!$A:$B,2,0)),"")</f>
        <v/>
      </c>
      <c r="C684" t="str">
        <f>IFERROR(IF(A684="","",VLOOKUP(A684,CadProd!$A:$C,3,0)),"")</f>
        <v/>
      </c>
      <c r="I684" s="1" t="str">
        <f>IFERROR(IF(A684="","",E684*#REF!),"")</f>
        <v/>
      </c>
    </row>
    <row r="685" spans="2:9" x14ac:dyDescent="0.3">
      <c r="B685" t="str">
        <f>IFERROR(IF(A685="","",VLOOKUP(A685,CadProd!$A:$B,2,0)),"")</f>
        <v/>
      </c>
      <c r="C685" t="str">
        <f>IFERROR(IF(A685="","",VLOOKUP(A685,CadProd!$A:$C,3,0)),"")</f>
        <v/>
      </c>
      <c r="I685" s="1" t="str">
        <f>IFERROR(IF(A685="","",E685*#REF!),"")</f>
        <v/>
      </c>
    </row>
    <row r="686" spans="2:9" x14ac:dyDescent="0.3">
      <c r="B686" t="str">
        <f>IFERROR(IF(A686="","",VLOOKUP(A686,CadProd!$A:$B,2,0)),"")</f>
        <v/>
      </c>
      <c r="C686" t="str">
        <f>IFERROR(IF(A686="","",VLOOKUP(A686,CadProd!$A:$C,3,0)),"")</f>
        <v/>
      </c>
      <c r="I686" s="1" t="str">
        <f>IFERROR(IF(A686="","",E686*#REF!),"")</f>
        <v/>
      </c>
    </row>
    <row r="687" spans="2:9" x14ac:dyDescent="0.3">
      <c r="B687" t="str">
        <f>IFERROR(IF(A687="","",VLOOKUP(A687,CadProd!$A:$B,2,0)),"")</f>
        <v/>
      </c>
      <c r="C687" t="str">
        <f>IFERROR(IF(A687="","",VLOOKUP(A687,CadProd!$A:$C,3,0)),"")</f>
        <v/>
      </c>
      <c r="I687" s="1" t="str">
        <f>IFERROR(IF(A687="","",E687*#REF!),"")</f>
        <v/>
      </c>
    </row>
    <row r="688" spans="2:9" x14ac:dyDescent="0.3">
      <c r="B688" t="str">
        <f>IFERROR(IF(A688="","",VLOOKUP(A688,CadProd!$A:$B,2,0)),"")</f>
        <v/>
      </c>
      <c r="C688" t="str">
        <f>IFERROR(IF(A688="","",VLOOKUP(A688,CadProd!$A:$C,3,0)),"")</f>
        <v/>
      </c>
      <c r="I688" s="1" t="str">
        <f>IFERROR(IF(A688="","",E688*#REF!),"")</f>
        <v/>
      </c>
    </row>
    <row r="689" spans="2:9" x14ac:dyDescent="0.3">
      <c r="B689" t="str">
        <f>IFERROR(IF(A689="","",VLOOKUP(A689,CadProd!$A:$B,2,0)),"")</f>
        <v/>
      </c>
      <c r="C689" t="str">
        <f>IFERROR(IF(A689="","",VLOOKUP(A689,CadProd!$A:$C,3,0)),"")</f>
        <v/>
      </c>
      <c r="I689" s="1" t="str">
        <f>IFERROR(IF(A689="","",E689*#REF!),"")</f>
        <v/>
      </c>
    </row>
    <row r="690" spans="2:9" x14ac:dyDescent="0.3">
      <c r="B690" t="str">
        <f>IFERROR(IF(A690="","",VLOOKUP(A690,CadProd!$A:$B,2,0)),"")</f>
        <v/>
      </c>
      <c r="C690" t="str">
        <f>IFERROR(IF(A690="","",VLOOKUP(A690,CadProd!$A:$C,3,0)),"")</f>
        <v/>
      </c>
      <c r="I690" s="1" t="str">
        <f>IFERROR(IF(A690="","",E690*#REF!),"")</f>
        <v/>
      </c>
    </row>
    <row r="691" spans="2:9" x14ac:dyDescent="0.3">
      <c r="B691" t="str">
        <f>IFERROR(IF(A691="","",VLOOKUP(A691,CadProd!$A:$B,2,0)),"")</f>
        <v/>
      </c>
      <c r="C691" t="str">
        <f>IFERROR(IF(A691="","",VLOOKUP(A691,CadProd!$A:$C,3,0)),"")</f>
        <v/>
      </c>
      <c r="I691" s="1" t="str">
        <f>IFERROR(IF(A691="","",E691*#REF!),"")</f>
        <v/>
      </c>
    </row>
    <row r="692" spans="2:9" x14ac:dyDescent="0.3">
      <c r="B692" t="str">
        <f>IFERROR(IF(A692="","",VLOOKUP(A692,CadProd!$A:$B,2,0)),"")</f>
        <v/>
      </c>
      <c r="C692" t="str">
        <f>IFERROR(IF(A692="","",VLOOKUP(A692,CadProd!$A:$C,3,0)),"")</f>
        <v/>
      </c>
      <c r="I692" s="1" t="str">
        <f>IFERROR(IF(A692="","",E692*#REF!),"")</f>
        <v/>
      </c>
    </row>
    <row r="693" spans="2:9" x14ac:dyDescent="0.3">
      <c r="B693" t="str">
        <f>IFERROR(IF(A693="","",VLOOKUP(A693,CadProd!$A:$B,2,0)),"")</f>
        <v/>
      </c>
      <c r="C693" t="str">
        <f>IFERROR(IF(A693="","",VLOOKUP(A693,CadProd!$A:$C,3,0)),"")</f>
        <v/>
      </c>
      <c r="I693" s="1" t="str">
        <f>IFERROR(IF(A693="","",E693*#REF!),"")</f>
        <v/>
      </c>
    </row>
    <row r="694" spans="2:9" x14ac:dyDescent="0.3">
      <c r="B694" t="str">
        <f>IFERROR(IF(A694="","",VLOOKUP(A694,CadProd!$A:$B,2,0)),"")</f>
        <v/>
      </c>
      <c r="C694" t="str">
        <f>IFERROR(IF(A694="","",VLOOKUP(A694,CadProd!$A:$C,3,0)),"")</f>
        <v/>
      </c>
      <c r="I694" s="1" t="str">
        <f>IFERROR(IF(A694="","",E694*#REF!),"")</f>
        <v/>
      </c>
    </row>
    <row r="695" spans="2:9" x14ac:dyDescent="0.3">
      <c r="B695" t="str">
        <f>IFERROR(IF(A695="","",VLOOKUP(A695,CadProd!$A:$B,2,0)),"")</f>
        <v/>
      </c>
      <c r="C695" t="str">
        <f>IFERROR(IF(A695="","",VLOOKUP(A695,CadProd!$A:$C,3,0)),"")</f>
        <v/>
      </c>
      <c r="I695" s="1" t="str">
        <f>IFERROR(IF(A695="","",E695*#REF!),"")</f>
        <v/>
      </c>
    </row>
    <row r="696" spans="2:9" x14ac:dyDescent="0.3">
      <c r="B696" t="str">
        <f>IFERROR(IF(A696="","",VLOOKUP(A696,CadProd!$A:$B,2,0)),"")</f>
        <v/>
      </c>
      <c r="C696" t="str">
        <f>IFERROR(IF(A696="","",VLOOKUP(A696,CadProd!$A:$C,3,0)),"")</f>
        <v/>
      </c>
      <c r="I696" s="1" t="str">
        <f>IFERROR(IF(A696="","",E696*#REF!),"")</f>
        <v/>
      </c>
    </row>
    <row r="697" spans="2:9" x14ac:dyDescent="0.3">
      <c r="B697" t="str">
        <f>IFERROR(IF(A697="","",VLOOKUP(A697,CadProd!$A:$B,2,0)),"")</f>
        <v/>
      </c>
      <c r="C697" t="str">
        <f>IFERROR(IF(A697="","",VLOOKUP(A697,CadProd!$A:$C,3,0)),"")</f>
        <v/>
      </c>
      <c r="I697" s="1" t="str">
        <f>IFERROR(IF(A697="","",E697*#REF!),"")</f>
        <v/>
      </c>
    </row>
    <row r="698" spans="2:9" x14ac:dyDescent="0.3">
      <c r="B698" t="str">
        <f>IFERROR(IF(A698="","",VLOOKUP(A698,CadProd!$A:$B,2,0)),"")</f>
        <v/>
      </c>
      <c r="C698" t="str">
        <f>IFERROR(IF(A698="","",VLOOKUP(A698,CadProd!$A:$C,3,0)),"")</f>
        <v/>
      </c>
      <c r="I698" s="1" t="str">
        <f>IFERROR(IF(A698="","",E698*#REF!),"")</f>
        <v/>
      </c>
    </row>
    <row r="699" spans="2:9" x14ac:dyDescent="0.3">
      <c r="B699" t="str">
        <f>IFERROR(IF(A699="","",VLOOKUP(A699,CadProd!$A:$B,2,0)),"")</f>
        <v/>
      </c>
      <c r="C699" t="str">
        <f>IFERROR(IF(A699="","",VLOOKUP(A699,CadProd!$A:$C,3,0)),"")</f>
        <v/>
      </c>
      <c r="I699" s="1" t="str">
        <f>IFERROR(IF(A699="","",E699*#REF!),"")</f>
        <v/>
      </c>
    </row>
    <row r="700" spans="2:9" x14ac:dyDescent="0.3">
      <c r="B700" t="str">
        <f>IFERROR(IF(A700="","",VLOOKUP(A700,CadProd!$A:$B,2,0)),"")</f>
        <v/>
      </c>
      <c r="C700" t="str">
        <f>IFERROR(IF(A700="","",VLOOKUP(A700,CadProd!$A:$C,3,0)),"")</f>
        <v/>
      </c>
      <c r="I700" s="1" t="str">
        <f>IFERROR(IF(A700="","",E700*#REF!),"")</f>
        <v/>
      </c>
    </row>
    <row r="701" spans="2:9" x14ac:dyDescent="0.3">
      <c r="B701" t="str">
        <f>IFERROR(IF(A701="","",VLOOKUP(A701,CadProd!$A:$B,2,0)),"")</f>
        <v/>
      </c>
      <c r="C701" t="str">
        <f>IFERROR(IF(A701="","",VLOOKUP(A701,CadProd!$A:$C,3,0)),"")</f>
        <v/>
      </c>
      <c r="I701" s="1" t="str">
        <f>IFERROR(IF(A701="","",E701*#REF!),"")</f>
        <v/>
      </c>
    </row>
    <row r="702" spans="2:9" x14ac:dyDescent="0.3">
      <c r="B702" t="str">
        <f>IFERROR(IF(A702="","",VLOOKUP(A702,CadProd!$A:$B,2,0)),"")</f>
        <v/>
      </c>
      <c r="C702" t="str">
        <f>IFERROR(IF(A702="","",VLOOKUP(A702,CadProd!$A:$C,3,0)),"")</f>
        <v/>
      </c>
      <c r="I702" s="1" t="str">
        <f>IFERROR(IF(A702="","",E702*#REF!),"")</f>
        <v/>
      </c>
    </row>
    <row r="703" spans="2:9" x14ac:dyDescent="0.3">
      <c r="B703" t="str">
        <f>IFERROR(IF(A703="","",VLOOKUP(A703,CadProd!$A:$B,2,0)),"")</f>
        <v/>
      </c>
      <c r="C703" t="str">
        <f>IFERROR(IF(A703="","",VLOOKUP(A703,CadProd!$A:$C,3,0)),"")</f>
        <v/>
      </c>
      <c r="I703" s="1" t="str">
        <f>IFERROR(IF(A703="","",E703*#REF!),"")</f>
        <v/>
      </c>
    </row>
    <row r="704" spans="2:9" x14ac:dyDescent="0.3">
      <c r="B704" t="str">
        <f>IFERROR(IF(A704="","",VLOOKUP(A704,CadProd!$A:$B,2,0)),"")</f>
        <v/>
      </c>
      <c r="C704" t="str">
        <f>IFERROR(IF(A704="","",VLOOKUP(A704,CadProd!$A:$C,3,0)),"")</f>
        <v/>
      </c>
      <c r="I704" s="1" t="str">
        <f>IFERROR(IF(A704="","",E704*#REF!),"")</f>
        <v/>
      </c>
    </row>
    <row r="705" spans="2:9" x14ac:dyDescent="0.3">
      <c r="B705" t="str">
        <f>IFERROR(IF(A705="","",VLOOKUP(A705,CadProd!$A:$B,2,0)),"")</f>
        <v/>
      </c>
      <c r="C705" t="str">
        <f>IFERROR(IF(A705="","",VLOOKUP(A705,CadProd!$A:$C,3,0)),"")</f>
        <v/>
      </c>
      <c r="I705" s="1" t="str">
        <f>IFERROR(IF(A705="","",E705*#REF!),"")</f>
        <v/>
      </c>
    </row>
    <row r="706" spans="2:9" x14ac:dyDescent="0.3">
      <c r="B706" t="str">
        <f>IFERROR(IF(A706="","",VLOOKUP(A706,CadProd!$A:$B,2,0)),"")</f>
        <v/>
      </c>
      <c r="C706" t="str">
        <f>IFERROR(IF(A706="","",VLOOKUP(A706,CadProd!$A:$C,3,0)),"")</f>
        <v/>
      </c>
      <c r="I706" s="1" t="str">
        <f>IFERROR(IF(A706="","",E706*#REF!),"")</f>
        <v/>
      </c>
    </row>
    <row r="707" spans="2:9" x14ac:dyDescent="0.3">
      <c r="B707" t="str">
        <f>IFERROR(IF(A707="","",VLOOKUP(A707,CadProd!$A:$B,2,0)),"")</f>
        <v/>
      </c>
      <c r="C707" t="str">
        <f>IFERROR(IF(A707="","",VLOOKUP(A707,CadProd!$A:$C,3,0)),"")</f>
        <v/>
      </c>
      <c r="I707" s="1" t="str">
        <f>IFERROR(IF(A707="","",E707*#REF!),"")</f>
        <v/>
      </c>
    </row>
    <row r="708" spans="2:9" x14ac:dyDescent="0.3">
      <c r="B708" t="str">
        <f>IFERROR(IF(A708="","",VLOOKUP(A708,CadProd!$A:$B,2,0)),"")</f>
        <v/>
      </c>
      <c r="C708" t="str">
        <f>IFERROR(IF(A708="","",VLOOKUP(A708,CadProd!$A:$C,3,0)),"")</f>
        <v/>
      </c>
      <c r="I708" s="1" t="str">
        <f>IFERROR(IF(A708="","",E708*#REF!),"")</f>
        <v/>
      </c>
    </row>
    <row r="709" spans="2:9" x14ac:dyDescent="0.3">
      <c r="B709" t="str">
        <f>IFERROR(IF(A709="","",VLOOKUP(A709,CadProd!$A:$B,2,0)),"")</f>
        <v/>
      </c>
      <c r="C709" t="str">
        <f>IFERROR(IF(A709="","",VLOOKUP(A709,CadProd!$A:$C,3,0)),"")</f>
        <v/>
      </c>
      <c r="I709" s="1" t="str">
        <f>IFERROR(IF(A709="","",E709*#REF!),"")</f>
        <v/>
      </c>
    </row>
    <row r="710" spans="2:9" x14ac:dyDescent="0.3">
      <c r="B710" t="str">
        <f>IFERROR(IF(A710="","",VLOOKUP(A710,CadProd!$A:$B,2,0)),"")</f>
        <v/>
      </c>
      <c r="C710" t="str">
        <f>IFERROR(IF(A710="","",VLOOKUP(A710,CadProd!$A:$C,3,0)),"")</f>
        <v/>
      </c>
      <c r="I710" s="1" t="str">
        <f>IFERROR(IF(A710="","",E710*#REF!),"")</f>
        <v/>
      </c>
    </row>
    <row r="711" spans="2:9" x14ac:dyDescent="0.3">
      <c r="B711" t="str">
        <f>IFERROR(IF(A711="","",VLOOKUP(A711,CadProd!$A:$B,2,0)),"")</f>
        <v/>
      </c>
      <c r="C711" t="str">
        <f>IFERROR(IF(A711="","",VLOOKUP(A711,CadProd!$A:$C,3,0)),"")</f>
        <v/>
      </c>
      <c r="I711" s="1" t="str">
        <f>IFERROR(IF(A711="","",E711*#REF!),"")</f>
        <v/>
      </c>
    </row>
    <row r="712" spans="2:9" x14ac:dyDescent="0.3">
      <c r="B712" t="str">
        <f>IFERROR(IF(A712="","",VLOOKUP(A712,CadProd!$A:$B,2,0)),"")</f>
        <v/>
      </c>
      <c r="C712" t="str">
        <f>IFERROR(IF(A712="","",VLOOKUP(A712,CadProd!$A:$C,3,0)),"")</f>
        <v/>
      </c>
      <c r="I712" s="1" t="str">
        <f>IFERROR(IF(A712="","",E712*#REF!),"")</f>
        <v/>
      </c>
    </row>
    <row r="713" spans="2:9" x14ac:dyDescent="0.3">
      <c r="B713" t="str">
        <f>IFERROR(IF(A713="","",VLOOKUP(A713,CadProd!$A:$B,2,0)),"")</f>
        <v/>
      </c>
      <c r="C713" t="str">
        <f>IFERROR(IF(A713="","",VLOOKUP(A713,CadProd!$A:$C,3,0)),"")</f>
        <v/>
      </c>
      <c r="I713" s="1" t="str">
        <f>IFERROR(IF(A713="","",E713*#REF!),"")</f>
        <v/>
      </c>
    </row>
    <row r="714" spans="2:9" x14ac:dyDescent="0.3">
      <c r="B714" t="str">
        <f>IFERROR(IF(A714="","",VLOOKUP(A714,CadProd!$A:$B,2,0)),"")</f>
        <v/>
      </c>
      <c r="C714" t="str">
        <f>IFERROR(IF(A714="","",VLOOKUP(A714,CadProd!$A:$C,3,0)),"")</f>
        <v/>
      </c>
      <c r="I714" s="1" t="str">
        <f>IFERROR(IF(A714="","",E714*#REF!),"")</f>
        <v/>
      </c>
    </row>
    <row r="715" spans="2:9" x14ac:dyDescent="0.3">
      <c r="B715" t="str">
        <f>IFERROR(IF(A715="","",VLOOKUP(A715,CadProd!$A:$B,2,0)),"")</f>
        <v/>
      </c>
      <c r="C715" t="str">
        <f>IFERROR(IF(A715="","",VLOOKUP(A715,CadProd!$A:$C,3,0)),"")</f>
        <v/>
      </c>
      <c r="I715" s="1" t="str">
        <f>IFERROR(IF(A715="","",E715*#REF!),"")</f>
        <v/>
      </c>
    </row>
    <row r="716" spans="2:9" x14ac:dyDescent="0.3">
      <c r="B716" t="str">
        <f>IFERROR(IF(A716="","",VLOOKUP(A716,CadProd!$A:$B,2,0)),"")</f>
        <v/>
      </c>
      <c r="C716" t="str">
        <f>IFERROR(IF(A716="","",VLOOKUP(A716,CadProd!$A:$C,3,0)),"")</f>
        <v/>
      </c>
      <c r="I716" s="1" t="str">
        <f>IFERROR(IF(A716="","",E716*#REF!),"")</f>
        <v/>
      </c>
    </row>
    <row r="717" spans="2:9" x14ac:dyDescent="0.3">
      <c r="B717" t="str">
        <f>IFERROR(IF(A717="","",VLOOKUP(A717,CadProd!$A:$B,2,0)),"")</f>
        <v/>
      </c>
      <c r="C717" t="str">
        <f>IFERROR(IF(A717="","",VLOOKUP(A717,CadProd!$A:$C,3,0)),"")</f>
        <v/>
      </c>
      <c r="I717" s="1" t="str">
        <f>IFERROR(IF(A717="","",E717*#REF!),"")</f>
        <v/>
      </c>
    </row>
    <row r="718" spans="2:9" x14ac:dyDescent="0.3">
      <c r="B718" t="str">
        <f>IFERROR(IF(A718="","",VLOOKUP(A718,CadProd!$A:$B,2,0)),"")</f>
        <v/>
      </c>
      <c r="C718" t="str">
        <f>IFERROR(IF(A718="","",VLOOKUP(A718,CadProd!$A:$C,3,0)),"")</f>
        <v/>
      </c>
      <c r="I718" s="1" t="str">
        <f>IFERROR(IF(A718="","",E718*#REF!),"")</f>
        <v/>
      </c>
    </row>
    <row r="719" spans="2:9" x14ac:dyDescent="0.3">
      <c r="B719" t="str">
        <f>IFERROR(IF(A719="","",VLOOKUP(A719,CadProd!$A:$B,2,0)),"")</f>
        <v/>
      </c>
      <c r="C719" t="str">
        <f>IFERROR(IF(A719="","",VLOOKUP(A719,CadProd!$A:$C,3,0)),"")</f>
        <v/>
      </c>
      <c r="I719" s="1" t="str">
        <f>IFERROR(IF(A719="","",E719*#REF!),"")</f>
        <v/>
      </c>
    </row>
    <row r="720" spans="2:9" x14ac:dyDescent="0.3">
      <c r="B720" t="str">
        <f>IFERROR(IF(A720="","",VLOOKUP(A720,CadProd!$A:$B,2,0)),"")</f>
        <v/>
      </c>
      <c r="C720" t="str">
        <f>IFERROR(IF(A720="","",VLOOKUP(A720,CadProd!$A:$C,3,0)),"")</f>
        <v/>
      </c>
      <c r="I720" s="1" t="str">
        <f>IFERROR(IF(A720="","",E720*#REF!),"")</f>
        <v/>
      </c>
    </row>
    <row r="721" spans="2:9" x14ac:dyDescent="0.3">
      <c r="B721" t="str">
        <f>IFERROR(IF(A721="","",VLOOKUP(A721,CadProd!$A:$B,2,0)),"")</f>
        <v/>
      </c>
      <c r="C721" t="str">
        <f>IFERROR(IF(A721="","",VLOOKUP(A721,CadProd!$A:$C,3,0)),"")</f>
        <v/>
      </c>
      <c r="I721" s="1" t="str">
        <f>IFERROR(IF(A721="","",E721*#REF!),"")</f>
        <v/>
      </c>
    </row>
    <row r="722" spans="2:9" x14ac:dyDescent="0.3">
      <c r="B722" t="str">
        <f>IFERROR(IF(A722="","",VLOOKUP(A722,CadProd!$A:$B,2,0)),"")</f>
        <v/>
      </c>
      <c r="C722" t="str">
        <f>IFERROR(IF(A722="","",VLOOKUP(A722,CadProd!$A:$C,3,0)),"")</f>
        <v/>
      </c>
      <c r="I722" s="1" t="str">
        <f>IFERROR(IF(A722="","",E722*#REF!),"")</f>
        <v/>
      </c>
    </row>
    <row r="723" spans="2:9" x14ac:dyDescent="0.3">
      <c r="B723" t="str">
        <f>IFERROR(IF(A723="","",VLOOKUP(A723,CadProd!$A:$B,2,0)),"")</f>
        <v/>
      </c>
      <c r="C723" t="str">
        <f>IFERROR(IF(A723="","",VLOOKUP(A723,CadProd!$A:$C,3,0)),"")</f>
        <v/>
      </c>
      <c r="I723" s="1" t="str">
        <f>IFERROR(IF(A723="","",E723*#REF!),"")</f>
        <v/>
      </c>
    </row>
    <row r="724" spans="2:9" x14ac:dyDescent="0.3">
      <c r="B724" t="str">
        <f>IFERROR(IF(A724="","",VLOOKUP(A724,CadProd!$A:$B,2,0)),"")</f>
        <v/>
      </c>
      <c r="C724" t="str">
        <f>IFERROR(IF(A724="","",VLOOKUP(A724,CadProd!$A:$C,3,0)),"")</f>
        <v/>
      </c>
      <c r="I724" s="1" t="str">
        <f>IFERROR(IF(A724="","",E724*#REF!),"")</f>
        <v/>
      </c>
    </row>
    <row r="725" spans="2:9" x14ac:dyDescent="0.3">
      <c r="B725" t="str">
        <f>IFERROR(IF(A725="","",VLOOKUP(A725,CadProd!$A:$B,2,0)),"")</f>
        <v/>
      </c>
      <c r="C725" t="str">
        <f>IFERROR(IF(A725="","",VLOOKUP(A725,CadProd!$A:$C,3,0)),"")</f>
        <v/>
      </c>
      <c r="I725" s="1" t="str">
        <f>IFERROR(IF(A725="","",E725*#REF!),"")</f>
        <v/>
      </c>
    </row>
    <row r="726" spans="2:9" x14ac:dyDescent="0.3">
      <c r="B726" t="str">
        <f>IFERROR(IF(A726="","",VLOOKUP(A726,CadProd!$A:$B,2,0)),"")</f>
        <v/>
      </c>
      <c r="C726" t="str">
        <f>IFERROR(IF(A726="","",VLOOKUP(A726,CadProd!$A:$C,3,0)),"")</f>
        <v/>
      </c>
      <c r="I726" s="1" t="str">
        <f>IFERROR(IF(A726="","",E726*#REF!),"")</f>
        <v/>
      </c>
    </row>
    <row r="727" spans="2:9" x14ac:dyDescent="0.3">
      <c r="B727" t="str">
        <f>IFERROR(IF(A727="","",VLOOKUP(A727,CadProd!$A:$B,2,0)),"")</f>
        <v/>
      </c>
      <c r="C727" t="str">
        <f>IFERROR(IF(A727="","",VLOOKUP(A727,CadProd!$A:$C,3,0)),"")</f>
        <v/>
      </c>
      <c r="I727" s="1" t="str">
        <f>IFERROR(IF(A727="","",E727*#REF!),"")</f>
        <v/>
      </c>
    </row>
    <row r="728" spans="2:9" x14ac:dyDescent="0.3">
      <c r="B728" t="str">
        <f>IFERROR(IF(A728="","",VLOOKUP(A728,CadProd!$A:$B,2,0)),"")</f>
        <v/>
      </c>
      <c r="C728" t="str">
        <f>IFERROR(IF(A728="","",VLOOKUP(A728,CadProd!$A:$C,3,0)),"")</f>
        <v/>
      </c>
      <c r="I728" s="1" t="str">
        <f>IFERROR(IF(A728="","",E728*#REF!),"")</f>
        <v/>
      </c>
    </row>
    <row r="729" spans="2:9" x14ac:dyDescent="0.3">
      <c r="B729" t="str">
        <f>IFERROR(IF(A729="","",VLOOKUP(A729,CadProd!$A:$B,2,0)),"")</f>
        <v/>
      </c>
      <c r="C729" t="str">
        <f>IFERROR(IF(A729="","",VLOOKUP(A729,CadProd!$A:$C,3,0)),"")</f>
        <v/>
      </c>
      <c r="I729" s="1" t="str">
        <f>IFERROR(IF(A729="","",E729*#REF!),"")</f>
        <v/>
      </c>
    </row>
    <row r="730" spans="2:9" x14ac:dyDescent="0.3">
      <c r="B730" t="str">
        <f>IFERROR(IF(A730="","",VLOOKUP(A730,CadProd!$A:$B,2,0)),"")</f>
        <v/>
      </c>
      <c r="C730" t="str">
        <f>IFERROR(IF(A730="","",VLOOKUP(A730,CadProd!$A:$C,3,0)),"")</f>
        <v/>
      </c>
      <c r="I730" s="1" t="str">
        <f>IFERROR(IF(A730="","",E730*#REF!),"")</f>
        <v/>
      </c>
    </row>
    <row r="731" spans="2:9" x14ac:dyDescent="0.3">
      <c r="B731" t="str">
        <f>IFERROR(IF(A731="","",VLOOKUP(A731,CadProd!$A:$B,2,0)),"")</f>
        <v/>
      </c>
      <c r="C731" t="str">
        <f>IFERROR(IF(A731="","",VLOOKUP(A731,CadProd!$A:$C,3,0)),"")</f>
        <v/>
      </c>
      <c r="I731" s="1" t="str">
        <f>IFERROR(IF(A731="","",E731*#REF!),"")</f>
        <v/>
      </c>
    </row>
    <row r="732" spans="2:9" x14ac:dyDescent="0.3">
      <c r="B732" t="str">
        <f>IFERROR(IF(A732="","",VLOOKUP(A732,CadProd!$A:$B,2,0)),"")</f>
        <v/>
      </c>
      <c r="C732" t="str">
        <f>IFERROR(IF(A732="","",VLOOKUP(A732,CadProd!$A:$C,3,0)),"")</f>
        <v/>
      </c>
      <c r="I732" s="1" t="str">
        <f>IFERROR(IF(A732="","",E732*#REF!),"")</f>
        <v/>
      </c>
    </row>
    <row r="733" spans="2:9" x14ac:dyDescent="0.3">
      <c r="B733" t="str">
        <f>IFERROR(IF(A733="","",VLOOKUP(A733,CadProd!$A:$B,2,0)),"")</f>
        <v/>
      </c>
      <c r="C733" t="str">
        <f>IFERROR(IF(A733="","",VLOOKUP(A733,CadProd!$A:$C,3,0)),"")</f>
        <v/>
      </c>
      <c r="I733" s="1" t="str">
        <f>IFERROR(IF(A733="","",E733*#REF!),"")</f>
        <v/>
      </c>
    </row>
    <row r="734" spans="2:9" x14ac:dyDescent="0.3">
      <c r="B734" t="str">
        <f>IFERROR(IF(A734="","",VLOOKUP(A734,CadProd!$A:$B,2,0)),"")</f>
        <v/>
      </c>
      <c r="C734" t="str">
        <f>IFERROR(IF(A734="","",VLOOKUP(A734,CadProd!$A:$C,3,0)),"")</f>
        <v/>
      </c>
      <c r="I734" s="1" t="str">
        <f>IFERROR(IF(A734="","",E734*#REF!),"")</f>
        <v/>
      </c>
    </row>
    <row r="735" spans="2:9" x14ac:dyDescent="0.3">
      <c r="B735" t="str">
        <f>IFERROR(IF(A735="","",VLOOKUP(A735,CadProd!$A:$B,2,0)),"")</f>
        <v/>
      </c>
      <c r="C735" t="str">
        <f>IFERROR(IF(A735="","",VLOOKUP(A735,CadProd!$A:$C,3,0)),"")</f>
        <v/>
      </c>
      <c r="I735" s="1" t="str">
        <f>IFERROR(IF(A735="","",E735*#REF!),"")</f>
        <v/>
      </c>
    </row>
    <row r="736" spans="2:9" x14ac:dyDescent="0.3">
      <c r="B736" t="str">
        <f>IFERROR(IF(A736="","",VLOOKUP(A736,CadProd!$A:$B,2,0)),"")</f>
        <v/>
      </c>
      <c r="C736" t="str">
        <f>IFERROR(IF(A736="","",VLOOKUP(A736,CadProd!$A:$C,3,0)),"")</f>
        <v/>
      </c>
      <c r="I736" s="1" t="str">
        <f>IFERROR(IF(A736="","",E736*#REF!),"")</f>
        <v/>
      </c>
    </row>
    <row r="737" spans="2:9" x14ac:dyDescent="0.3">
      <c r="B737" t="str">
        <f>IFERROR(IF(A737="","",VLOOKUP(A737,CadProd!$A:$B,2,0)),"")</f>
        <v/>
      </c>
      <c r="C737" t="str">
        <f>IFERROR(IF(A737="","",VLOOKUP(A737,CadProd!$A:$C,3,0)),"")</f>
        <v/>
      </c>
      <c r="I737" s="1" t="str">
        <f>IFERROR(IF(A737="","",E737*#REF!),"")</f>
        <v/>
      </c>
    </row>
    <row r="738" spans="2:9" x14ac:dyDescent="0.3">
      <c r="B738" t="str">
        <f>IFERROR(IF(A738="","",VLOOKUP(A738,CadProd!$A:$B,2,0)),"")</f>
        <v/>
      </c>
      <c r="C738" t="str">
        <f>IFERROR(IF(A738="","",VLOOKUP(A738,CadProd!$A:$C,3,0)),"")</f>
        <v/>
      </c>
      <c r="I738" s="1" t="str">
        <f>IFERROR(IF(A738="","",E738*#REF!),"")</f>
        <v/>
      </c>
    </row>
    <row r="739" spans="2:9" x14ac:dyDescent="0.3">
      <c r="B739" t="str">
        <f>IFERROR(IF(A739="","",VLOOKUP(A739,CadProd!$A:$B,2,0)),"")</f>
        <v/>
      </c>
      <c r="C739" t="str">
        <f>IFERROR(IF(A739="","",VLOOKUP(A739,CadProd!$A:$C,3,0)),"")</f>
        <v/>
      </c>
      <c r="I739" s="1" t="str">
        <f>IFERROR(IF(A739="","",E739*#REF!),"")</f>
        <v/>
      </c>
    </row>
    <row r="740" spans="2:9" x14ac:dyDescent="0.3">
      <c r="B740" t="str">
        <f>IFERROR(IF(A740="","",VLOOKUP(A740,CadProd!$A:$B,2,0)),"")</f>
        <v/>
      </c>
      <c r="C740" t="str">
        <f>IFERROR(IF(A740="","",VLOOKUP(A740,CadProd!$A:$C,3,0)),"")</f>
        <v/>
      </c>
      <c r="I740" s="1" t="str">
        <f>IFERROR(IF(A740="","",E740*#REF!),"")</f>
        <v/>
      </c>
    </row>
    <row r="741" spans="2:9" x14ac:dyDescent="0.3">
      <c r="B741" t="str">
        <f>IFERROR(IF(A741="","",VLOOKUP(A741,CadProd!$A:$B,2,0)),"")</f>
        <v/>
      </c>
      <c r="C741" t="str">
        <f>IFERROR(IF(A741="","",VLOOKUP(A741,CadProd!$A:$C,3,0)),"")</f>
        <v/>
      </c>
      <c r="I741" s="1" t="str">
        <f>IFERROR(IF(A741="","",E741*#REF!),"")</f>
        <v/>
      </c>
    </row>
    <row r="742" spans="2:9" x14ac:dyDescent="0.3">
      <c r="B742" t="str">
        <f>IFERROR(IF(A742="","",VLOOKUP(A742,CadProd!$A:$B,2,0)),"")</f>
        <v/>
      </c>
      <c r="C742" t="str">
        <f>IFERROR(IF(A742="","",VLOOKUP(A742,CadProd!$A:$C,3,0)),"")</f>
        <v/>
      </c>
      <c r="I742" s="1" t="str">
        <f>IFERROR(IF(A742="","",E742*#REF!),"")</f>
        <v/>
      </c>
    </row>
    <row r="743" spans="2:9" x14ac:dyDescent="0.3">
      <c r="B743" t="str">
        <f>IFERROR(IF(A743="","",VLOOKUP(A743,CadProd!$A:$B,2,0)),"")</f>
        <v/>
      </c>
      <c r="C743" t="str">
        <f>IFERROR(IF(A743="","",VLOOKUP(A743,CadProd!$A:$C,3,0)),"")</f>
        <v/>
      </c>
      <c r="I743" s="1" t="str">
        <f>IFERROR(IF(A743="","",E743*#REF!),"")</f>
        <v/>
      </c>
    </row>
    <row r="744" spans="2:9" x14ac:dyDescent="0.3">
      <c r="B744" t="str">
        <f>IFERROR(IF(A744="","",VLOOKUP(A744,CadProd!$A:$B,2,0)),"")</f>
        <v/>
      </c>
      <c r="C744" t="str">
        <f>IFERROR(IF(A744="","",VLOOKUP(A744,CadProd!$A:$C,3,0)),"")</f>
        <v/>
      </c>
      <c r="I744" s="1" t="str">
        <f>IFERROR(IF(A744="","",E744*#REF!),"")</f>
        <v/>
      </c>
    </row>
    <row r="745" spans="2:9" x14ac:dyDescent="0.3">
      <c r="B745" t="str">
        <f>IFERROR(IF(A745="","",VLOOKUP(A745,CadProd!$A:$B,2,0)),"")</f>
        <v/>
      </c>
      <c r="C745" t="str">
        <f>IFERROR(IF(A745="","",VLOOKUP(A745,CadProd!$A:$C,3,0)),"")</f>
        <v/>
      </c>
      <c r="I745" s="1" t="str">
        <f>IFERROR(IF(A745="","",E745*#REF!),"")</f>
        <v/>
      </c>
    </row>
    <row r="746" spans="2:9" x14ac:dyDescent="0.3">
      <c r="B746" t="str">
        <f>IFERROR(IF(A746="","",VLOOKUP(A746,CadProd!$A:$B,2,0)),"")</f>
        <v/>
      </c>
      <c r="C746" t="str">
        <f>IFERROR(IF(A746="","",VLOOKUP(A746,CadProd!$A:$C,3,0)),"")</f>
        <v/>
      </c>
      <c r="I746" s="1" t="str">
        <f>IFERROR(IF(A746="","",E746*#REF!),"")</f>
        <v/>
      </c>
    </row>
    <row r="747" spans="2:9" x14ac:dyDescent="0.3">
      <c r="B747" t="str">
        <f>IFERROR(IF(A747="","",VLOOKUP(A747,CadProd!$A:$B,2,0)),"")</f>
        <v/>
      </c>
      <c r="C747" t="str">
        <f>IFERROR(IF(A747="","",VLOOKUP(A747,CadProd!$A:$C,3,0)),"")</f>
        <v/>
      </c>
      <c r="I747" s="1" t="str">
        <f>IFERROR(IF(A747="","",E747*#REF!),"")</f>
        <v/>
      </c>
    </row>
    <row r="748" spans="2:9" x14ac:dyDescent="0.3">
      <c r="B748" t="str">
        <f>IFERROR(IF(A748="","",VLOOKUP(A748,CadProd!$A:$B,2,0)),"")</f>
        <v/>
      </c>
      <c r="C748" t="str">
        <f>IFERROR(IF(A748="","",VLOOKUP(A748,CadProd!$A:$C,3,0)),"")</f>
        <v/>
      </c>
      <c r="I748" s="1" t="str">
        <f>IFERROR(IF(A748="","",E748*#REF!),"")</f>
        <v/>
      </c>
    </row>
    <row r="749" spans="2:9" x14ac:dyDescent="0.3">
      <c r="B749" t="str">
        <f>IFERROR(IF(A749="","",VLOOKUP(A749,CadProd!$A:$B,2,0)),"")</f>
        <v/>
      </c>
      <c r="C749" t="str">
        <f>IFERROR(IF(A749="","",VLOOKUP(A749,CadProd!$A:$C,3,0)),"")</f>
        <v/>
      </c>
      <c r="I749" s="1" t="str">
        <f>IFERROR(IF(A749="","",E749*#REF!),"")</f>
        <v/>
      </c>
    </row>
    <row r="750" spans="2:9" x14ac:dyDescent="0.3">
      <c r="B750" t="str">
        <f>IFERROR(IF(A750="","",VLOOKUP(A750,CadProd!$A:$B,2,0)),"")</f>
        <v/>
      </c>
      <c r="C750" t="str">
        <f>IFERROR(IF(A750="","",VLOOKUP(A750,CadProd!$A:$C,3,0)),"")</f>
        <v/>
      </c>
      <c r="I750" s="1" t="str">
        <f>IFERROR(IF(A750="","",E750*#REF!),"")</f>
        <v/>
      </c>
    </row>
    <row r="751" spans="2:9" x14ac:dyDescent="0.3">
      <c r="B751" t="str">
        <f>IFERROR(IF(A751="","",VLOOKUP(A751,CadProd!$A:$B,2,0)),"")</f>
        <v/>
      </c>
      <c r="C751" t="str">
        <f>IFERROR(IF(A751="","",VLOOKUP(A751,CadProd!$A:$C,3,0)),"")</f>
        <v/>
      </c>
      <c r="I751" s="1" t="str">
        <f>IFERROR(IF(A751="","",E751*#REF!),"")</f>
        <v/>
      </c>
    </row>
    <row r="752" spans="2:9" x14ac:dyDescent="0.3">
      <c r="B752" t="str">
        <f>IFERROR(IF(A752="","",VLOOKUP(A752,CadProd!$A:$B,2,0)),"")</f>
        <v/>
      </c>
      <c r="C752" t="str">
        <f>IFERROR(IF(A752="","",VLOOKUP(A752,CadProd!$A:$C,3,0)),"")</f>
        <v/>
      </c>
      <c r="I752" s="1" t="str">
        <f>IFERROR(IF(A752="","",E752*#REF!),"")</f>
        <v/>
      </c>
    </row>
    <row r="753" spans="2:9" x14ac:dyDescent="0.3">
      <c r="B753" t="str">
        <f>IFERROR(IF(A753="","",VLOOKUP(A753,CadProd!$A:$B,2,0)),"")</f>
        <v/>
      </c>
      <c r="C753" t="str">
        <f>IFERROR(IF(A753="","",VLOOKUP(A753,CadProd!$A:$C,3,0)),"")</f>
        <v/>
      </c>
      <c r="I753" s="1" t="str">
        <f>IFERROR(IF(A753="","",E753*#REF!),"")</f>
        <v/>
      </c>
    </row>
    <row r="754" spans="2:9" x14ac:dyDescent="0.3">
      <c r="B754" t="str">
        <f>IFERROR(IF(A754="","",VLOOKUP(A754,CadProd!$A:$B,2,0)),"")</f>
        <v/>
      </c>
      <c r="C754" t="str">
        <f>IFERROR(IF(A754="","",VLOOKUP(A754,CadProd!$A:$C,3,0)),"")</f>
        <v/>
      </c>
      <c r="I754" s="1" t="str">
        <f>IFERROR(IF(A754="","",E754*#REF!),"")</f>
        <v/>
      </c>
    </row>
    <row r="755" spans="2:9" x14ac:dyDescent="0.3">
      <c r="B755" t="str">
        <f>IFERROR(IF(A755="","",VLOOKUP(A755,CadProd!$A:$B,2,0)),"")</f>
        <v/>
      </c>
      <c r="C755" t="str">
        <f>IFERROR(IF(A755="","",VLOOKUP(A755,CadProd!$A:$C,3,0)),"")</f>
        <v/>
      </c>
      <c r="I755" s="1" t="str">
        <f>IFERROR(IF(A755="","",E755*#REF!),"")</f>
        <v/>
      </c>
    </row>
    <row r="756" spans="2:9" x14ac:dyDescent="0.3">
      <c r="B756" t="str">
        <f>IFERROR(IF(A756="","",VLOOKUP(A756,CadProd!$A:$B,2,0)),"")</f>
        <v/>
      </c>
      <c r="C756" t="str">
        <f>IFERROR(IF(A756="","",VLOOKUP(A756,CadProd!$A:$C,3,0)),"")</f>
        <v/>
      </c>
      <c r="I756" s="1" t="str">
        <f>IFERROR(IF(A756="","",E756*#REF!),"")</f>
        <v/>
      </c>
    </row>
    <row r="757" spans="2:9" x14ac:dyDescent="0.3">
      <c r="B757" t="str">
        <f>IFERROR(IF(A757="","",VLOOKUP(A757,CadProd!$A:$B,2,0)),"")</f>
        <v/>
      </c>
      <c r="C757" t="str">
        <f>IFERROR(IF(A757="","",VLOOKUP(A757,CadProd!$A:$C,3,0)),"")</f>
        <v/>
      </c>
      <c r="I757" s="1" t="str">
        <f>IFERROR(IF(A757="","",E757*#REF!),"")</f>
        <v/>
      </c>
    </row>
    <row r="758" spans="2:9" x14ac:dyDescent="0.3">
      <c r="B758" t="str">
        <f>IFERROR(IF(A758="","",VLOOKUP(A758,CadProd!$A:$B,2,0)),"")</f>
        <v/>
      </c>
      <c r="C758" t="str">
        <f>IFERROR(IF(A758="","",VLOOKUP(A758,CadProd!$A:$C,3,0)),"")</f>
        <v/>
      </c>
      <c r="I758" s="1" t="str">
        <f>IFERROR(IF(A758="","",E758*#REF!),"")</f>
        <v/>
      </c>
    </row>
    <row r="759" spans="2:9" x14ac:dyDescent="0.3">
      <c r="B759" t="str">
        <f>IFERROR(IF(A759="","",VLOOKUP(A759,CadProd!$A:$B,2,0)),"")</f>
        <v/>
      </c>
      <c r="C759" t="str">
        <f>IFERROR(IF(A759="","",VLOOKUP(A759,CadProd!$A:$C,3,0)),"")</f>
        <v/>
      </c>
      <c r="I759" s="1" t="str">
        <f>IFERROR(IF(A759="","",E759*#REF!),"")</f>
        <v/>
      </c>
    </row>
    <row r="760" spans="2:9" x14ac:dyDescent="0.3">
      <c r="B760" t="str">
        <f>IFERROR(IF(A760="","",VLOOKUP(A760,CadProd!$A:$B,2,0)),"")</f>
        <v/>
      </c>
      <c r="C760" t="str">
        <f>IFERROR(IF(A760="","",VLOOKUP(A760,CadProd!$A:$C,3,0)),"")</f>
        <v/>
      </c>
      <c r="I760" s="1" t="str">
        <f>IFERROR(IF(A760="","",E760*#REF!),"")</f>
        <v/>
      </c>
    </row>
    <row r="761" spans="2:9" x14ac:dyDescent="0.3">
      <c r="B761" t="str">
        <f>IFERROR(IF(A761="","",VLOOKUP(A761,CadProd!$A:$B,2,0)),"")</f>
        <v/>
      </c>
      <c r="C761" t="str">
        <f>IFERROR(IF(A761="","",VLOOKUP(A761,CadProd!$A:$C,3,0)),"")</f>
        <v/>
      </c>
      <c r="I761" s="1" t="str">
        <f>IFERROR(IF(A761="","",E761*#REF!),"")</f>
        <v/>
      </c>
    </row>
    <row r="762" spans="2:9" x14ac:dyDescent="0.3">
      <c r="B762" t="str">
        <f>IFERROR(IF(A762="","",VLOOKUP(A762,CadProd!$A:$B,2,0)),"")</f>
        <v/>
      </c>
      <c r="C762" t="str">
        <f>IFERROR(IF(A762="","",VLOOKUP(A762,CadProd!$A:$C,3,0)),"")</f>
        <v/>
      </c>
      <c r="I762" s="1" t="str">
        <f>IFERROR(IF(A762="","",E762*#REF!),"")</f>
        <v/>
      </c>
    </row>
    <row r="763" spans="2:9" x14ac:dyDescent="0.3">
      <c r="B763" t="str">
        <f>IFERROR(IF(A763="","",VLOOKUP(A763,CadProd!$A:$B,2,0)),"")</f>
        <v/>
      </c>
      <c r="C763" t="str">
        <f>IFERROR(IF(A763="","",VLOOKUP(A763,CadProd!$A:$C,3,0)),"")</f>
        <v/>
      </c>
      <c r="I763" s="1" t="str">
        <f>IFERROR(IF(A763="","",E763*#REF!),"")</f>
        <v/>
      </c>
    </row>
    <row r="764" spans="2:9" x14ac:dyDescent="0.3">
      <c r="B764" t="str">
        <f>IFERROR(IF(A764="","",VLOOKUP(A764,CadProd!$A:$B,2,0)),"")</f>
        <v/>
      </c>
      <c r="C764" t="str">
        <f>IFERROR(IF(A764="","",VLOOKUP(A764,CadProd!$A:$C,3,0)),"")</f>
        <v/>
      </c>
      <c r="I764" s="1" t="str">
        <f>IFERROR(IF(A764="","",E764*#REF!),"")</f>
        <v/>
      </c>
    </row>
    <row r="765" spans="2:9" x14ac:dyDescent="0.3">
      <c r="B765" t="str">
        <f>IFERROR(IF(A765="","",VLOOKUP(A765,CadProd!$A:$B,2,0)),"")</f>
        <v/>
      </c>
      <c r="C765" t="str">
        <f>IFERROR(IF(A765="","",VLOOKUP(A765,CadProd!$A:$C,3,0)),"")</f>
        <v/>
      </c>
      <c r="I765" s="1" t="str">
        <f>IFERROR(IF(A765="","",E765*#REF!),"")</f>
        <v/>
      </c>
    </row>
    <row r="766" spans="2:9" x14ac:dyDescent="0.3">
      <c r="B766" t="str">
        <f>IFERROR(IF(A766="","",VLOOKUP(A766,CadProd!$A:$B,2,0)),"")</f>
        <v/>
      </c>
      <c r="C766" t="str">
        <f>IFERROR(IF(A766="","",VLOOKUP(A766,CadProd!$A:$C,3,0)),"")</f>
        <v/>
      </c>
      <c r="I766" s="1" t="str">
        <f>IFERROR(IF(A766="","",E766*#REF!),"")</f>
        <v/>
      </c>
    </row>
    <row r="767" spans="2:9" x14ac:dyDescent="0.3">
      <c r="B767" t="str">
        <f>IFERROR(IF(A767="","",VLOOKUP(A767,CadProd!$A:$B,2,0)),"")</f>
        <v/>
      </c>
      <c r="C767" t="str">
        <f>IFERROR(IF(A767="","",VLOOKUP(A767,CadProd!$A:$C,3,0)),"")</f>
        <v/>
      </c>
      <c r="I767" s="1" t="str">
        <f>IFERROR(IF(A767="","",E767*#REF!),"")</f>
        <v/>
      </c>
    </row>
    <row r="768" spans="2:9" x14ac:dyDescent="0.3">
      <c r="B768" t="str">
        <f>IFERROR(IF(A768="","",VLOOKUP(A768,CadProd!$A:$B,2,0)),"")</f>
        <v/>
      </c>
      <c r="C768" t="str">
        <f>IFERROR(IF(A768="","",VLOOKUP(A768,CadProd!$A:$C,3,0)),"")</f>
        <v/>
      </c>
      <c r="I768" s="1" t="str">
        <f>IFERROR(IF(A768="","",E768*#REF!),"")</f>
        <v/>
      </c>
    </row>
    <row r="769" spans="2:9" x14ac:dyDescent="0.3">
      <c r="B769" t="str">
        <f>IFERROR(IF(A769="","",VLOOKUP(A769,CadProd!$A:$B,2,0)),"")</f>
        <v/>
      </c>
      <c r="C769" t="str">
        <f>IFERROR(IF(A769="","",VLOOKUP(A769,CadProd!$A:$C,3,0)),"")</f>
        <v/>
      </c>
      <c r="I769" s="1" t="str">
        <f>IFERROR(IF(A769="","",E769*#REF!),"")</f>
        <v/>
      </c>
    </row>
    <row r="770" spans="2:9" x14ac:dyDescent="0.3">
      <c r="B770" t="str">
        <f>IFERROR(IF(A770="","",VLOOKUP(A770,CadProd!$A:$B,2,0)),"")</f>
        <v/>
      </c>
      <c r="C770" t="str">
        <f>IFERROR(IF(A770="","",VLOOKUP(A770,CadProd!$A:$C,3,0)),"")</f>
        <v/>
      </c>
      <c r="I770" s="1" t="str">
        <f>IFERROR(IF(A770="","",E770*#REF!),"")</f>
        <v/>
      </c>
    </row>
    <row r="771" spans="2:9" x14ac:dyDescent="0.3">
      <c r="B771" t="str">
        <f>IFERROR(IF(A771="","",VLOOKUP(A771,CadProd!$A:$B,2,0)),"")</f>
        <v/>
      </c>
      <c r="C771" t="str">
        <f>IFERROR(IF(A771="","",VLOOKUP(A771,CadProd!$A:$C,3,0)),"")</f>
        <v/>
      </c>
      <c r="I771" s="1" t="str">
        <f>IFERROR(IF(A771="","",E771*#REF!),"")</f>
        <v/>
      </c>
    </row>
    <row r="772" spans="2:9" x14ac:dyDescent="0.3">
      <c r="B772" t="str">
        <f>IFERROR(IF(A772="","",VLOOKUP(A772,CadProd!$A:$B,2,0)),"")</f>
        <v/>
      </c>
      <c r="C772" t="str">
        <f>IFERROR(IF(A772="","",VLOOKUP(A772,CadProd!$A:$C,3,0)),"")</f>
        <v/>
      </c>
      <c r="I772" s="1" t="str">
        <f>IFERROR(IF(A772="","",E772*#REF!),"")</f>
        <v/>
      </c>
    </row>
    <row r="773" spans="2:9" x14ac:dyDescent="0.3">
      <c r="B773" t="str">
        <f>IFERROR(IF(A773="","",VLOOKUP(A773,CadProd!$A:$B,2,0)),"")</f>
        <v/>
      </c>
      <c r="C773" t="str">
        <f>IFERROR(IF(A773="","",VLOOKUP(A773,CadProd!$A:$C,3,0)),"")</f>
        <v/>
      </c>
      <c r="I773" s="1" t="str">
        <f>IFERROR(IF(A773="","",E773*#REF!),"")</f>
        <v/>
      </c>
    </row>
    <row r="774" spans="2:9" x14ac:dyDescent="0.3">
      <c r="B774" t="str">
        <f>IFERROR(IF(A774="","",VLOOKUP(A774,CadProd!$A:$B,2,0)),"")</f>
        <v/>
      </c>
      <c r="C774" t="str">
        <f>IFERROR(IF(A774="","",VLOOKUP(A774,CadProd!$A:$C,3,0)),"")</f>
        <v/>
      </c>
      <c r="I774" s="1" t="str">
        <f>IFERROR(IF(A774="","",E774*#REF!),"")</f>
        <v/>
      </c>
    </row>
    <row r="775" spans="2:9" x14ac:dyDescent="0.3">
      <c r="B775" t="str">
        <f>IFERROR(IF(A775="","",VLOOKUP(A775,CadProd!$A:$B,2,0)),"")</f>
        <v/>
      </c>
      <c r="C775" t="str">
        <f>IFERROR(IF(A775="","",VLOOKUP(A775,CadProd!$A:$C,3,0)),"")</f>
        <v/>
      </c>
      <c r="I775" s="1" t="str">
        <f>IFERROR(IF(A775="","",E775*#REF!),"")</f>
        <v/>
      </c>
    </row>
    <row r="776" spans="2:9" x14ac:dyDescent="0.3">
      <c r="B776" t="str">
        <f>IFERROR(IF(A776="","",VLOOKUP(A776,CadProd!$A:$B,2,0)),"")</f>
        <v/>
      </c>
      <c r="C776" t="str">
        <f>IFERROR(IF(A776="","",VLOOKUP(A776,CadProd!$A:$C,3,0)),"")</f>
        <v/>
      </c>
      <c r="I776" s="1" t="str">
        <f>IFERROR(IF(A776="","",E776*#REF!),"")</f>
        <v/>
      </c>
    </row>
    <row r="777" spans="2:9" x14ac:dyDescent="0.3">
      <c r="B777" t="str">
        <f>IFERROR(IF(A777="","",VLOOKUP(A777,CadProd!$A:$B,2,0)),"")</f>
        <v/>
      </c>
      <c r="C777" t="str">
        <f>IFERROR(IF(A777="","",VLOOKUP(A777,CadProd!$A:$C,3,0)),"")</f>
        <v/>
      </c>
      <c r="I777" s="1" t="str">
        <f>IFERROR(IF(A777="","",E777*#REF!),"")</f>
        <v/>
      </c>
    </row>
    <row r="778" spans="2:9" x14ac:dyDescent="0.3">
      <c r="B778" t="str">
        <f>IFERROR(IF(A778="","",VLOOKUP(A778,CadProd!$A:$B,2,0)),"")</f>
        <v/>
      </c>
      <c r="C778" t="str">
        <f>IFERROR(IF(A778="","",VLOOKUP(A778,CadProd!$A:$C,3,0)),"")</f>
        <v/>
      </c>
      <c r="I778" s="1" t="str">
        <f>IFERROR(IF(A778="","",E778*#REF!),"")</f>
        <v/>
      </c>
    </row>
    <row r="779" spans="2:9" x14ac:dyDescent="0.3">
      <c r="B779" t="str">
        <f>IFERROR(IF(A779="","",VLOOKUP(A779,CadProd!$A:$B,2,0)),"")</f>
        <v/>
      </c>
      <c r="C779" t="str">
        <f>IFERROR(IF(A779="","",VLOOKUP(A779,CadProd!$A:$C,3,0)),"")</f>
        <v/>
      </c>
      <c r="I779" s="1" t="str">
        <f>IFERROR(IF(A779="","",E779*#REF!),"")</f>
        <v/>
      </c>
    </row>
    <row r="780" spans="2:9" x14ac:dyDescent="0.3">
      <c r="B780" t="str">
        <f>IFERROR(IF(A780="","",VLOOKUP(A780,CadProd!$A:$B,2,0)),"")</f>
        <v/>
      </c>
      <c r="C780" t="str">
        <f>IFERROR(IF(A780="","",VLOOKUP(A780,CadProd!$A:$C,3,0)),"")</f>
        <v/>
      </c>
      <c r="I780" s="1" t="str">
        <f>IFERROR(IF(A780="","",E780*#REF!),"")</f>
        <v/>
      </c>
    </row>
    <row r="781" spans="2:9" x14ac:dyDescent="0.3">
      <c r="B781" t="str">
        <f>IFERROR(IF(A781="","",VLOOKUP(A781,CadProd!$A:$B,2,0)),"")</f>
        <v/>
      </c>
      <c r="C781" t="str">
        <f>IFERROR(IF(A781="","",VLOOKUP(A781,CadProd!$A:$C,3,0)),"")</f>
        <v/>
      </c>
      <c r="I781" s="1" t="str">
        <f>IFERROR(IF(A781="","",E781*#REF!),"")</f>
        <v/>
      </c>
    </row>
    <row r="782" spans="2:9" x14ac:dyDescent="0.3">
      <c r="B782" t="str">
        <f>IFERROR(IF(A782="","",VLOOKUP(A782,CadProd!$A:$B,2,0)),"")</f>
        <v/>
      </c>
      <c r="C782" t="str">
        <f>IFERROR(IF(A782="","",VLOOKUP(A782,CadProd!$A:$C,3,0)),"")</f>
        <v/>
      </c>
      <c r="I782" s="1" t="str">
        <f>IFERROR(IF(A782="","",E782*#REF!),"")</f>
        <v/>
      </c>
    </row>
    <row r="783" spans="2:9" x14ac:dyDescent="0.3">
      <c r="B783" t="str">
        <f>IFERROR(IF(A783="","",VLOOKUP(A783,CadProd!$A:$B,2,0)),"")</f>
        <v/>
      </c>
      <c r="C783" t="str">
        <f>IFERROR(IF(A783="","",VLOOKUP(A783,CadProd!$A:$C,3,0)),"")</f>
        <v/>
      </c>
      <c r="I783" s="1" t="str">
        <f>IFERROR(IF(A783="","",E783*#REF!),"")</f>
        <v/>
      </c>
    </row>
    <row r="784" spans="2:9" x14ac:dyDescent="0.3">
      <c r="B784" t="str">
        <f>IFERROR(IF(A784="","",VLOOKUP(A784,CadProd!$A:$B,2,0)),"")</f>
        <v/>
      </c>
      <c r="C784" t="str">
        <f>IFERROR(IF(A784="","",VLOOKUP(A784,CadProd!$A:$C,3,0)),"")</f>
        <v/>
      </c>
      <c r="I784" s="1" t="str">
        <f>IFERROR(IF(A784="","",E784*#REF!),"")</f>
        <v/>
      </c>
    </row>
    <row r="785" spans="2:9" x14ac:dyDescent="0.3">
      <c r="B785" t="str">
        <f>IFERROR(IF(A785="","",VLOOKUP(A785,CadProd!$A:$B,2,0)),"")</f>
        <v/>
      </c>
      <c r="C785" t="str">
        <f>IFERROR(IF(A785="","",VLOOKUP(A785,CadProd!$A:$C,3,0)),"")</f>
        <v/>
      </c>
      <c r="I785" s="1" t="str">
        <f>IFERROR(IF(A785="","",E785*#REF!),"")</f>
        <v/>
      </c>
    </row>
    <row r="786" spans="2:9" x14ac:dyDescent="0.3">
      <c r="B786" t="str">
        <f>IFERROR(IF(A786="","",VLOOKUP(A786,CadProd!$A:$B,2,0)),"")</f>
        <v/>
      </c>
      <c r="C786" t="str">
        <f>IFERROR(IF(A786="","",VLOOKUP(A786,CadProd!$A:$C,3,0)),"")</f>
        <v/>
      </c>
      <c r="I786" s="1" t="str">
        <f>IFERROR(IF(A786="","",E786*#REF!),"")</f>
        <v/>
      </c>
    </row>
    <row r="787" spans="2:9" x14ac:dyDescent="0.3">
      <c r="B787" t="str">
        <f>IFERROR(IF(A787="","",VLOOKUP(A787,CadProd!$A:$B,2,0)),"")</f>
        <v/>
      </c>
      <c r="C787" t="str">
        <f>IFERROR(IF(A787="","",VLOOKUP(A787,CadProd!$A:$C,3,0)),"")</f>
        <v/>
      </c>
      <c r="I787" s="1" t="str">
        <f>IFERROR(IF(A787="","",E787*#REF!),"")</f>
        <v/>
      </c>
    </row>
    <row r="788" spans="2:9" x14ac:dyDescent="0.3">
      <c r="B788" t="str">
        <f>IFERROR(IF(A788="","",VLOOKUP(A788,CadProd!$A:$B,2,0)),"")</f>
        <v/>
      </c>
      <c r="C788" t="str">
        <f>IFERROR(IF(A788="","",VLOOKUP(A788,CadProd!$A:$C,3,0)),"")</f>
        <v/>
      </c>
      <c r="I788" s="1" t="str">
        <f>IFERROR(IF(A788="","",E788*#REF!),"")</f>
        <v/>
      </c>
    </row>
    <row r="789" spans="2:9" x14ac:dyDescent="0.3">
      <c r="B789" t="str">
        <f>IFERROR(IF(A789="","",VLOOKUP(A789,CadProd!$A:$B,2,0)),"")</f>
        <v/>
      </c>
      <c r="C789" t="str">
        <f>IFERROR(IF(A789="","",VLOOKUP(A789,CadProd!$A:$C,3,0)),"")</f>
        <v/>
      </c>
      <c r="I789" s="1" t="str">
        <f>IFERROR(IF(A789="","",E789*#REF!),"")</f>
        <v/>
      </c>
    </row>
    <row r="790" spans="2:9" x14ac:dyDescent="0.3">
      <c r="B790" t="str">
        <f>IFERROR(IF(A790="","",VLOOKUP(A790,CadProd!$A:$B,2,0)),"")</f>
        <v/>
      </c>
      <c r="C790" t="str">
        <f>IFERROR(IF(A790="","",VLOOKUP(A790,CadProd!$A:$C,3,0)),"")</f>
        <v/>
      </c>
      <c r="I790" s="1" t="str">
        <f>IFERROR(IF(A790="","",E790*#REF!),"")</f>
        <v/>
      </c>
    </row>
    <row r="791" spans="2:9" x14ac:dyDescent="0.3">
      <c r="B791" t="str">
        <f>IFERROR(IF(A791="","",VLOOKUP(A791,CadProd!$A:$B,2,0)),"")</f>
        <v/>
      </c>
      <c r="C791" t="str">
        <f>IFERROR(IF(A791="","",VLOOKUP(A791,CadProd!$A:$C,3,0)),"")</f>
        <v/>
      </c>
      <c r="I791" s="1" t="str">
        <f>IFERROR(IF(A791="","",E791*#REF!),"")</f>
        <v/>
      </c>
    </row>
    <row r="792" spans="2:9" x14ac:dyDescent="0.3">
      <c r="B792" t="str">
        <f>IFERROR(IF(A792="","",VLOOKUP(A792,CadProd!$A:$B,2,0)),"")</f>
        <v/>
      </c>
      <c r="C792" t="str">
        <f>IFERROR(IF(A792="","",VLOOKUP(A792,CadProd!$A:$C,3,0)),"")</f>
        <v/>
      </c>
      <c r="I792" s="1" t="str">
        <f>IFERROR(IF(A792="","",E792*#REF!),"")</f>
        <v/>
      </c>
    </row>
    <row r="793" spans="2:9" x14ac:dyDescent="0.3">
      <c r="B793" t="str">
        <f>IFERROR(IF(A793="","",VLOOKUP(A793,CadProd!$A:$B,2,0)),"")</f>
        <v/>
      </c>
      <c r="C793" t="str">
        <f>IFERROR(IF(A793="","",VLOOKUP(A793,CadProd!$A:$C,3,0)),"")</f>
        <v/>
      </c>
      <c r="I793" s="1" t="str">
        <f>IFERROR(IF(A793="","",E793*#REF!),"")</f>
        <v/>
      </c>
    </row>
    <row r="794" spans="2:9" x14ac:dyDescent="0.3">
      <c r="B794" t="str">
        <f>IFERROR(IF(A794="","",VLOOKUP(A794,CadProd!$A:$B,2,0)),"")</f>
        <v/>
      </c>
      <c r="C794" t="str">
        <f>IFERROR(IF(A794="","",VLOOKUP(A794,CadProd!$A:$C,3,0)),"")</f>
        <v/>
      </c>
      <c r="I794" s="1" t="str">
        <f>IFERROR(IF(A794="","",E794*#REF!),"")</f>
        <v/>
      </c>
    </row>
    <row r="795" spans="2:9" x14ac:dyDescent="0.3">
      <c r="B795" t="str">
        <f>IFERROR(IF(A795="","",VLOOKUP(A795,CadProd!$A:$B,2,0)),"")</f>
        <v/>
      </c>
      <c r="C795" t="str">
        <f>IFERROR(IF(A795="","",VLOOKUP(A795,CadProd!$A:$C,3,0)),"")</f>
        <v/>
      </c>
      <c r="I795" s="1" t="str">
        <f>IFERROR(IF(A795="","",E795*#REF!),"")</f>
        <v/>
      </c>
    </row>
    <row r="796" spans="2:9" x14ac:dyDescent="0.3">
      <c r="B796" t="str">
        <f>IFERROR(IF(A796="","",VLOOKUP(A796,CadProd!$A:$B,2,0)),"")</f>
        <v/>
      </c>
      <c r="C796" t="str">
        <f>IFERROR(IF(A796="","",VLOOKUP(A796,CadProd!$A:$C,3,0)),"")</f>
        <v/>
      </c>
      <c r="I796" s="1" t="str">
        <f>IFERROR(IF(A796="","",E796*#REF!),"")</f>
        <v/>
      </c>
    </row>
    <row r="797" spans="2:9" x14ac:dyDescent="0.3">
      <c r="B797" t="str">
        <f>IFERROR(IF(A797="","",VLOOKUP(A797,CadProd!$A:$B,2,0)),"")</f>
        <v/>
      </c>
      <c r="C797" t="str">
        <f>IFERROR(IF(A797="","",VLOOKUP(A797,CadProd!$A:$C,3,0)),"")</f>
        <v/>
      </c>
      <c r="I797" s="1" t="str">
        <f>IFERROR(IF(A797="","",E797*#REF!),"")</f>
        <v/>
      </c>
    </row>
    <row r="798" spans="2:9" x14ac:dyDescent="0.3">
      <c r="B798" t="str">
        <f>IFERROR(IF(A798="","",VLOOKUP(A798,CadProd!$A:$B,2,0)),"")</f>
        <v/>
      </c>
      <c r="C798" t="str">
        <f>IFERROR(IF(A798="","",VLOOKUP(A798,CadProd!$A:$C,3,0)),"")</f>
        <v/>
      </c>
      <c r="I798" s="1" t="str">
        <f>IFERROR(IF(A798="","",E798*#REF!),"")</f>
        <v/>
      </c>
    </row>
    <row r="799" spans="2:9" x14ac:dyDescent="0.3">
      <c r="B799" t="str">
        <f>IFERROR(IF(A799="","",VLOOKUP(A799,CadProd!$A:$B,2,0)),"")</f>
        <v/>
      </c>
      <c r="C799" t="str">
        <f>IFERROR(IF(A799="","",VLOOKUP(A799,CadProd!$A:$C,3,0)),"")</f>
        <v/>
      </c>
      <c r="I799" s="1" t="str">
        <f>IFERROR(IF(A799="","",E799*#REF!),"")</f>
        <v/>
      </c>
    </row>
    <row r="800" spans="2:9" x14ac:dyDescent="0.3">
      <c r="B800" t="str">
        <f>IFERROR(IF(A800="","",VLOOKUP(A800,CadProd!$A:$B,2,0)),"")</f>
        <v/>
      </c>
      <c r="C800" t="str">
        <f>IFERROR(IF(A800="","",VLOOKUP(A800,CadProd!$A:$C,3,0)),"")</f>
        <v/>
      </c>
      <c r="I800" s="1" t="str">
        <f>IFERROR(IF(A800="","",E800*#REF!),"")</f>
        <v/>
      </c>
    </row>
    <row r="801" spans="2:9" x14ac:dyDescent="0.3">
      <c r="B801" t="str">
        <f>IFERROR(IF(A801="","",VLOOKUP(A801,CadProd!$A:$B,2,0)),"")</f>
        <v/>
      </c>
      <c r="C801" t="str">
        <f>IFERROR(IF(A801="","",VLOOKUP(A801,CadProd!$A:$C,3,0)),"")</f>
        <v/>
      </c>
      <c r="I801" s="1" t="str">
        <f>IFERROR(IF(A801="","",E801*#REF!),"")</f>
        <v/>
      </c>
    </row>
    <row r="802" spans="2:9" x14ac:dyDescent="0.3">
      <c r="B802" t="str">
        <f>IFERROR(IF(A802="","",VLOOKUP(A802,CadProd!$A:$B,2,0)),"")</f>
        <v/>
      </c>
      <c r="C802" t="str">
        <f>IFERROR(IF(A802="","",VLOOKUP(A802,CadProd!$A:$C,3,0)),"")</f>
        <v/>
      </c>
      <c r="I802" s="1" t="str">
        <f>IFERROR(IF(A802="","",E802*#REF!),"")</f>
        <v/>
      </c>
    </row>
    <row r="803" spans="2:9" x14ac:dyDescent="0.3">
      <c r="B803" t="str">
        <f>IFERROR(IF(A803="","",VLOOKUP(A803,CadProd!$A:$B,2,0)),"")</f>
        <v/>
      </c>
      <c r="C803" t="str">
        <f>IFERROR(IF(A803="","",VLOOKUP(A803,CadProd!$A:$C,3,0)),"")</f>
        <v/>
      </c>
      <c r="I803" s="1" t="str">
        <f>IFERROR(IF(A803="","",E803*#REF!),"")</f>
        <v/>
      </c>
    </row>
    <row r="804" spans="2:9" x14ac:dyDescent="0.3">
      <c r="B804" t="str">
        <f>IFERROR(IF(A804="","",VLOOKUP(A804,CadProd!$A:$B,2,0)),"")</f>
        <v/>
      </c>
      <c r="C804" t="str">
        <f>IFERROR(IF(A804="","",VLOOKUP(A804,CadProd!$A:$C,3,0)),"")</f>
        <v/>
      </c>
      <c r="I804" s="1" t="str">
        <f>IFERROR(IF(A804="","",E804*#REF!),"")</f>
        <v/>
      </c>
    </row>
    <row r="805" spans="2:9" x14ac:dyDescent="0.3">
      <c r="B805" t="str">
        <f>IFERROR(IF(A805="","",VLOOKUP(A805,CadProd!$A:$B,2,0)),"")</f>
        <v/>
      </c>
      <c r="C805" t="str">
        <f>IFERROR(IF(A805="","",VLOOKUP(A805,CadProd!$A:$C,3,0)),"")</f>
        <v/>
      </c>
      <c r="I805" s="1" t="str">
        <f>IFERROR(IF(A805="","",E805*#REF!),"")</f>
        <v/>
      </c>
    </row>
    <row r="806" spans="2:9" x14ac:dyDescent="0.3">
      <c r="B806" t="str">
        <f>IFERROR(IF(A806="","",VLOOKUP(A806,CadProd!$A:$B,2,0)),"")</f>
        <v/>
      </c>
      <c r="C806" t="str">
        <f>IFERROR(IF(A806="","",VLOOKUP(A806,CadProd!$A:$C,3,0)),"")</f>
        <v/>
      </c>
      <c r="I806" s="1" t="str">
        <f>IFERROR(IF(A806="","",E806*#REF!),"")</f>
        <v/>
      </c>
    </row>
    <row r="807" spans="2:9" x14ac:dyDescent="0.3">
      <c r="B807" t="str">
        <f>IFERROR(IF(A807="","",VLOOKUP(A807,CadProd!$A:$B,2,0)),"")</f>
        <v/>
      </c>
      <c r="C807" t="str">
        <f>IFERROR(IF(A807="","",VLOOKUP(A807,CadProd!$A:$C,3,0)),"")</f>
        <v/>
      </c>
      <c r="I807" s="1" t="str">
        <f>IFERROR(IF(A807="","",E807*#REF!),"")</f>
        <v/>
      </c>
    </row>
    <row r="808" spans="2:9" x14ac:dyDescent="0.3">
      <c r="B808" t="str">
        <f>IFERROR(IF(A808="","",VLOOKUP(A808,CadProd!$A:$B,2,0)),"")</f>
        <v/>
      </c>
      <c r="C808" t="str">
        <f>IFERROR(IF(A808="","",VLOOKUP(A808,CadProd!$A:$C,3,0)),"")</f>
        <v/>
      </c>
      <c r="I808" s="1" t="str">
        <f>IFERROR(IF(A808="","",E808*#REF!),"")</f>
        <v/>
      </c>
    </row>
    <row r="809" spans="2:9" x14ac:dyDescent="0.3">
      <c r="B809" t="str">
        <f>IFERROR(IF(A809="","",VLOOKUP(A809,CadProd!$A:$B,2,0)),"")</f>
        <v/>
      </c>
      <c r="C809" t="str">
        <f>IFERROR(IF(A809="","",VLOOKUP(A809,CadProd!$A:$C,3,0)),"")</f>
        <v/>
      </c>
      <c r="I809" s="1" t="str">
        <f>IFERROR(IF(A809="","",E809*#REF!),"")</f>
        <v/>
      </c>
    </row>
    <row r="810" spans="2:9" x14ac:dyDescent="0.3">
      <c r="B810" t="str">
        <f>IFERROR(IF(A810="","",VLOOKUP(A810,CadProd!$A:$B,2,0)),"")</f>
        <v/>
      </c>
      <c r="C810" t="str">
        <f>IFERROR(IF(A810="","",VLOOKUP(A810,CadProd!$A:$C,3,0)),"")</f>
        <v/>
      </c>
      <c r="I810" s="1" t="str">
        <f>IFERROR(IF(A810="","",E810*#REF!),"")</f>
        <v/>
      </c>
    </row>
    <row r="811" spans="2:9" x14ac:dyDescent="0.3">
      <c r="B811" t="str">
        <f>IFERROR(IF(A811="","",VLOOKUP(A811,CadProd!$A:$B,2,0)),"")</f>
        <v/>
      </c>
      <c r="C811" t="str">
        <f>IFERROR(IF(A811="","",VLOOKUP(A811,CadProd!$A:$C,3,0)),"")</f>
        <v/>
      </c>
      <c r="I811" s="1" t="str">
        <f>IFERROR(IF(A811="","",E811*#REF!),"")</f>
        <v/>
      </c>
    </row>
    <row r="812" spans="2:9" x14ac:dyDescent="0.3">
      <c r="B812" t="str">
        <f>IFERROR(IF(A812="","",VLOOKUP(A812,CadProd!$A:$B,2,0)),"")</f>
        <v/>
      </c>
      <c r="C812" t="str">
        <f>IFERROR(IF(A812="","",VLOOKUP(A812,CadProd!$A:$C,3,0)),"")</f>
        <v/>
      </c>
      <c r="I812" s="1" t="str">
        <f>IFERROR(IF(A812="","",E812*#REF!),"")</f>
        <v/>
      </c>
    </row>
    <row r="813" spans="2:9" x14ac:dyDescent="0.3">
      <c r="B813" t="str">
        <f>IFERROR(IF(A813="","",VLOOKUP(A813,CadProd!$A:$B,2,0)),"")</f>
        <v/>
      </c>
      <c r="C813" t="str">
        <f>IFERROR(IF(A813="","",VLOOKUP(A813,CadProd!$A:$C,3,0)),"")</f>
        <v/>
      </c>
      <c r="I813" s="1" t="str">
        <f>IFERROR(IF(A813="","",E813*#REF!),"")</f>
        <v/>
      </c>
    </row>
    <row r="814" spans="2:9" x14ac:dyDescent="0.3">
      <c r="B814" t="str">
        <f>IFERROR(IF(A814="","",VLOOKUP(A814,CadProd!$A:$B,2,0)),"")</f>
        <v/>
      </c>
      <c r="C814" t="str">
        <f>IFERROR(IF(A814="","",VLOOKUP(A814,CadProd!$A:$C,3,0)),"")</f>
        <v/>
      </c>
      <c r="I814" s="1" t="str">
        <f>IFERROR(IF(A814="","",E814*#REF!),"")</f>
        <v/>
      </c>
    </row>
    <row r="815" spans="2:9" x14ac:dyDescent="0.3">
      <c r="B815" t="str">
        <f>IFERROR(IF(A815="","",VLOOKUP(A815,CadProd!$A:$B,2,0)),"")</f>
        <v/>
      </c>
      <c r="C815" t="str">
        <f>IFERROR(IF(A815="","",VLOOKUP(A815,CadProd!$A:$C,3,0)),"")</f>
        <v/>
      </c>
      <c r="I815" s="1" t="str">
        <f>IFERROR(IF(A815="","",E815*#REF!),"")</f>
        <v/>
      </c>
    </row>
    <row r="816" spans="2:9" x14ac:dyDescent="0.3">
      <c r="B816" t="str">
        <f>IFERROR(IF(A816="","",VLOOKUP(A816,CadProd!$A:$B,2,0)),"")</f>
        <v/>
      </c>
      <c r="C816" t="str">
        <f>IFERROR(IF(A816="","",VLOOKUP(A816,CadProd!$A:$C,3,0)),"")</f>
        <v/>
      </c>
      <c r="I816" s="1" t="str">
        <f>IFERROR(IF(A816="","",E816*#REF!),"")</f>
        <v/>
      </c>
    </row>
    <row r="817" spans="2:9" x14ac:dyDescent="0.3">
      <c r="B817" t="str">
        <f>IFERROR(IF(A817="","",VLOOKUP(A817,CadProd!$A:$B,2,0)),"")</f>
        <v/>
      </c>
      <c r="C817" t="str">
        <f>IFERROR(IF(A817="","",VLOOKUP(A817,CadProd!$A:$C,3,0)),"")</f>
        <v/>
      </c>
      <c r="I817" s="1" t="str">
        <f>IFERROR(IF(A817="","",E817*#REF!),"")</f>
        <v/>
      </c>
    </row>
    <row r="818" spans="2:9" x14ac:dyDescent="0.3">
      <c r="B818" t="str">
        <f>IFERROR(IF(A818="","",VLOOKUP(A818,CadProd!$A:$B,2,0)),"")</f>
        <v/>
      </c>
      <c r="C818" t="str">
        <f>IFERROR(IF(A818="","",VLOOKUP(A818,CadProd!$A:$C,3,0)),"")</f>
        <v/>
      </c>
      <c r="I818" s="1" t="str">
        <f>IFERROR(IF(A818="","",E818*#REF!),"")</f>
        <v/>
      </c>
    </row>
    <row r="819" spans="2:9" x14ac:dyDescent="0.3">
      <c r="B819" t="str">
        <f>IFERROR(IF(A819="","",VLOOKUP(A819,CadProd!$A:$B,2,0)),"")</f>
        <v/>
      </c>
      <c r="C819" t="str">
        <f>IFERROR(IF(A819="","",VLOOKUP(A819,CadProd!$A:$C,3,0)),"")</f>
        <v/>
      </c>
      <c r="I819" s="1" t="str">
        <f>IFERROR(IF(A819="","",E819*#REF!),"")</f>
        <v/>
      </c>
    </row>
    <row r="820" spans="2:9" x14ac:dyDescent="0.3">
      <c r="B820" t="str">
        <f>IFERROR(IF(A820="","",VLOOKUP(A820,CadProd!$A:$B,2,0)),"")</f>
        <v/>
      </c>
      <c r="C820" t="str">
        <f>IFERROR(IF(A820="","",VLOOKUP(A820,CadProd!$A:$C,3,0)),"")</f>
        <v/>
      </c>
      <c r="I820" s="1" t="str">
        <f>IFERROR(IF(A820="","",E820*#REF!),"")</f>
        <v/>
      </c>
    </row>
    <row r="821" spans="2:9" x14ac:dyDescent="0.3">
      <c r="B821" t="str">
        <f>IFERROR(IF(A821="","",VLOOKUP(A821,CadProd!$A:$B,2,0)),"")</f>
        <v/>
      </c>
      <c r="C821" t="str">
        <f>IFERROR(IF(A821="","",VLOOKUP(A821,CadProd!$A:$C,3,0)),"")</f>
        <v/>
      </c>
      <c r="I821" s="1" t="str">
        <f>IFERROR(IF(A821="","",E821*#REF!),"")</f>
        <v/>
      </c>
    </row>
    <row r="822" spans="2:9" x14ac:dyDescent="0.3">
      <c r="B822" t="str">
        <f>IFERROR(IF(A822="","",VLOOKUP(A822,CadProd!$A:$B,2,0)),"")</f>
        <v/>
      </c>
      <c r="C822" t="str">
        <f>IFERROR(IF(A822="","",VLOOKUP(A822,CadProd!$A:$C,3,0)),"")</f>
        <v/>
      </c>
      <c r="I822" s="1" t="str">
        <f>IFERROR(IF(A822="","",E822*#REF!),"")</f>
        <v/>
      </c>
    </row>
    <row r="823" spans="2:9" x14ac:dyDescent="0.3">
      <c r="B823" t="str">
        <f>IFERROR(IF(A823="","",VLOOKUP(A823,CadProd!$A:$B,2,0)),"")</f>
        <v/>
      </c>
      <c r="C823" t="str">
        <f>IFERROR(IF(A823="","",VLOOKUP(A823,CadProd!$A:$C,3,0)),"")</f>
        <v/>
      </c>
      <c r="I823" s="1" t="str">
        <f>IFERROR(IF(A823="","",E823*#REF!),"")</f>
        <v/>
      </c>
    </row>
    <row r="824" spans="2:9" x14ac:dyDescent="0.3">
      <c r="B824" t="str">
        <f>IFERROR(IF(A824="","",VLOOKUP(A824,CadProd!$A:$B,2,0)),"")</f>
        <v/>
      </c>
      <c r="C824" t="str">
        <f>IFERROR(IF(A824="","",VLOOKUP(A824,CadProd!$A:$C,3,0)),"")</f>
        <v/>
      </c>
      <c r="I824" s="1" t="str">
        <f>IFERROR(IF(A824="","",E824*#REF!),"")</f>
        <v/>
      </c>
    </row>
    <row r="825" spans="2:9" x14ac:dyDescent="0.3">
      <c r="B825" t="str">
        <f>IFERROR(IF(A825="","",VLOOKUP(A825,CadProd!$A:$B,2,0)),"")</f>
        <v/>
      </c>
      <c r="C825" t="str">
        <f>IFERROR(IF(A825="","",VLOOKUP(A825,CadProd!$A:$C,3,0)),"")</f>
        <v/>
      </c>
      <c r="I825" s="1" t="str">
        <f>IFERROR(IF(A825="","",E825*#REF!),"")</f>
        <v/>
      </c>
    </row>
    <row r="826" spans="2:9" x14ac:dyDescent="0.3">
      <c r="B826" t="str">
        <f>IFERROR(IF(A826="","",VLOOKUP(A826,CadProd!$A:$B,2,0)),"")</f>
        <v/>
      </c>
      <c r="C826" t="str">
        <f>IFERROR(IF(A826="","",VLOOKUP(A826,CadProd!$A:$C,3,0)),"")</f>
        <v/>
      </c>
      <c r="I826" s="1" t="str">
        <f>IFERROR(IF(A826="","",E826*#REF!),"")</f>
        <v/>
      </c>
    </row>
    <row r="827" spans="2:9" x14ac:dyDescent="0.3">
      <c r="B827" t="str">
        <f>IFERROR(IF(A827="","",VLOOKUP(A827,CadProd!$A:$B,2,0)),"")</f>
        <v/>
      </c>
      <c r="C827" t="str">
        <f>IFERROR(IF(A827="","",VLOOKUP(A827,CadProd!$A:$C,3,0)),"")</f>
        <v/>
      </c>
      <c r="I827" s="1" t="str">
        <f>IFERROR(IF(A827="","",E827*#REF!),"")</f>
        <v/>
      </c>
    </row>
    <row r="828" spans="2:9" x14ac:dyDescent="0.3">
      <c r="B828" t="str">
        <f>IFERROR(IF(A828="","",VLOOKUP(A828,CadProd!$A:$B,2,0)),"")</f>
        <v/>
      </c>
      <c r="C828" t="str">
        <f>IFERROR(IF(A828="","",VLOOKUP(A828,CadProd!$A:$C,3,0)),"")</f>
        <v/>
      </c>
      <c r="I828" s="1" t="str">
        <f>IFERROR(IF(A828="","",E828*#REF!),"")</f>
        <v/>
      </c>
    </row>
    <row r="829" spans="2:9" x14ac:dyDescent="0.3">
      <c r="B829" t="str">
        <f>IFERROR(IF(A829="","",VLOOKUP(A829,CadProd!$A:$B,2,0)),"")</f>
        <v/>
      </c>
      <c r="C829" t="str">
        <f>IFERROR(IF(A829="","",VLOOKUP(A829,CadProd!$A:$C,3,0)),"")</f>
        <v/>
      </c>
      <c r="I829" s="1" t="str">
        <f>IFERROR(IF(A829="","",E829*#REF!),"")</f>
        <v/>
      </c>
    </row>
    <row r="830" spans="2:9" x14ac:dyDescent="0.3">
      <c r="B830" t="str">
        <f>IFERROR(IF(A830="","",VLOOKUP(A830,CadProd!$A:$B,2,0)),"")</f>
        <v/>
      </c>
      <c r="C830" t="str">
        <f>IFERROR(IF(A830="","",VLOOKUP(A830,CadProd!$A:$C,3,0)),"")</f>
        <v/>
      </c>
      <c r="I830" s="1" t="str">
        <f>IFERROR(IF(A830="","",E830*#REF!),"")</f>
        <v/>
      </c>
    </row>
    <row r="831" spans="2:9" x14ac:dyDescent="0.3">
      <c r="B831" t="str">
        <f>IFERROR(IF(A831="","",VLOOKUP(A831,CadProd!$A:$B,2,0)),"")</f>
        <v/>
      </c>
      <c r="C831" t="str">
        <f>IFERROR(IF(A831="","",VLOOKUP(A831,CadProd!$A:$C,3,0)),"")</f>
        <v/>
      </c>
      <c r="I831" s="1" t="str">
        <f>IFERROR(IF(A831="","",E831*#REF!),"")</f>
        <v/>
      </c>
    </row>
    <row r="832" spans="2:9" x14ac:dyDescent="0.3">
      <c r="B832" t="str">
        <f>IFERROR(IF(A832="","",VLOOKUP(A832,CadProd!$A:$B,2,0)),"")</f>
        <v/>
      </c>
      <c r="C832" t="str">
        <f>IFERROR(IF(A832="","",VLOOKUP(A832,CadProd!$A:$C,3,0)),"")</f>
        <v/>
      </c>
      <c r="I832" s="1" t="str">
        <f>IFERROR(IF(A832="","",E832*#REF!),"")</f>
        <v/>
      </c>
    </row>
    <row r="833" spans="2:9" x14ac:dyDescent="0.3">
      <c r="B833" t="str">
        <f>IFERROR(IF(A833="","",VLOOKUP(A833,CadProd!$A:$B,2,0)),"")</f>
        <v/>
      </c>
      <c r="C833" t="str">
        <f>IFERROR(IF(A833="","",VLOOKUP(A833,CadProd!$A:$C,3,0)),"")</f>
        <v/>
      </c>
      <c r="I833" s="1" t="str">
        <f>IFERROR(IF(A833="","",E833*#REF!),"")</f>
        <v/>
      </c>
    </row>
    <row r="834" spans="2:9" x14ac:dyDescent="0.3">
      <c r="B834" t="str">
        <f>IFERROR(IF(A834="","",VLOOKUP(A834,CadProd!$A:$B,2,0)),"")</f>
        <v/>
      </c>
      <c r="C834" t="str">
        <f>IFERROR(IF(A834="","",VLOOKUP(A834,CadProd!$A:$C,3,0)),"")</f>
        <v/>
      </c>
      <c r="I834" s="1" t="str">
        <f>IFERROR(IF(A834="","",E834*#REF!),"")</f>
        <v/>
      </c>
    </row>
    <row r="835" spans="2:9" x14ac:dyDescent="0.3">
      <c r="B835" t="str">
        <f>IFERROR(IF(A835="","",VLOOKUP(A835,CadProd!$A:$B,2,0)),"")</f>
        <v/>
      </c>
      <c r="C835" t="str">
        <f>IFERROR(IF(A835="","",VLOOKUP(A835,CadProd!$A:$C,3,0)),"")</f>
        <v/>
      </c>
      <c r="I835" s="1" t="str">
        <f>IFERROR(IF(A835="","",E835*#REF!),"")</f>
        <v/>
      </c>
    </row>
    <row r="836" spans="2:9" x14ac:dyDescent="0.3">
      <c r="B836" t="str">
        <f>IFERROR(IF(A836="","",VLOOKUP(A836,CadProd!$A:$B,2,0)),"")</f>
        <v/>
      </c>
      <c r="C836" t="str">
        <f>IFERROR(IF(A836="","",VLOOKUP(A836,CadProd!$A:$C,3,0)),"")</f>
        <v/>
      </c>
      <c r="I836" s="1" t="str">
        <f>IFERROR(IF(A836="","",E836*#REF!),"")</f>
        <v/>
      </c>
    </row>
    <row r="837" spans="2:9" x14ac:dyDescent="0.3">
      <c r="B837" t="str">
        <f>IFERROR(IF(A837="","",VLOOKUP(A837,CadProd!$A:$B,2,0)),"")</f>
        <v/>
      </c>
      <c r="C837" t="str">
        <f>IFERROR(IF(A837="","",VLOOKUP(A837,CadProd!$A:$C,3,0)),"")</f>
        <v/>
      </c>
      <c r="I837" s="1" t="str">
        <f>IFERROR(IF(A837="","",E837*#REF!),"")</f>
        <v/>
      </c>
    </row>
    <row r="838" spans="2:9" x14ac:dyDescent="0.3">
      <c r="B838" t="str">
        <f>IFERROR(IF(A838="","",VLOOKUP(A838,CadProd!$A:$B,2,0)),"")</f>
        <v/>
      </c>
      <c r="C838" t="str">
        <f>IFERROR(IF(A838="","",VLOOKUP(A838,CadProd!$A:$C,3,0)),"")</f>
        <v/>
      </c>
      <c r="I838" s="1" t="str">
        <f>IFERROR(IF(A838="","",E838*#REF!),"")</f>
        <v/>
      </c>
    </row>
    <row r="839" spans="2:9" x14ac:dyDescent="0.3">
      <c r="B839" t="str">
        <f>IFERROR(IF(A839="","",VLOOKUP(A839,CadProd!$A:$B,2,0)),"")</f>
        <v/>
      </c>
      <c r="C839" t="str">
        <f>IFERROR(IF(A839="","",VLOOKUP(A839,CadProd!$A:$C,3,0)),"")</f>
        <v/>
      </c>
      <c r="I839" s="1" t="str">
        <f>IFERROR(IF(A839="","",E839*#REF!),"")</f>
        <v/>
      </c>
    </row>
    <row r="840" spans="2:9" x14ac:dyDescent="0.3">
      <c r="B840" t="str">
        <f>IFERROR(IF(A840="","",VLOOKUP(A840,CadProd!$A:$B,2,0)),"")</f>
        <v/>
      </c>
      <c r="C840" t="str">
        <f>IFERROR(IF(A840="","",VLOOKUP(A840,CadProd!$A:$C,3,0)),"")</f>
        <v/>
      </c>
      <c r="I840" s="1" t="str">
        <f>IFERROR(IF(A840="","",E840*#REF!),"")</f>
        <v/>
      </c>
    </row>
    <row r="841" spans="2:9" x14ac:dyDescent="0.3">
      <c r="B841" t="str">
        <f>IFERROR(IF(A841="","",VLOOKUP(A841,CadProd!$A:$B,2,0)),"")</f>
        <v/>
      </c>
      <c r="C841" t="str">
        <f>IFERROR(IF(A841="","",VLOOKUP(A841,CadProd!$A:$C,3,0)),"")</f>
        <v/>
      </c>
      <c r="I841" s="1" t="str">
        <f>IFERROR(IF(A841="","",E841*#REF!),"")</f>
        <v/>
      </c>
    </row>
    <row r="842" spans="2:9" x14ac:dyDescent="0.3">
      <c r="B842" t="str">
        <f>IFERROR(IF(A842="","",VLOOKUP(A842,CadProd!$A:$B,2,0)),"")</f>
        <v/>
      </c>
      <c r="C842" t="str">
        <f>IFERROR(IF(A842="","",VLOOKUP(A842,CadProd!$A:$C,3,0)),"")</f>
        <v/>
      </c>
      <c r="I842" s="1" t="str">
        <f>IFERROR(IF(A842="","",E842*#REF!),"")</f>
        <v/>
      </c>
    </row>
    <row r="843" spans="2:9" x14ac:dyDescent="0.3">
      <c r="B843" t="str">
        <f>IFERROR(IF(A843="","",VLOOKUP(A843,CadProd!$A:$B,2,0)),"")</f>
        <v/>
      </c>
      <c r="C843" t="str">
        <f>IFERROR(IF(A843="","",VLOOKUP(A843,CadProd!$A:$C,3,0)),"")</f>
        <v/>
      </c>
      <c r="I843" s="1" t="str">
        <f>IFERROR(IF(A843="","",E843*#REF!),"")</f>
        <v/>
      </c>
    </row>
    <row r="844" spans="2:9" x14ac:dyDescent="0.3">
      <c r="B844" t="str">
        <f>IFERROR(IF(A844="","",VLOOKUP(A844,CadProd!$A:$B,2,0)),"")</f>
        <v/>
      </c>
      <c r="C844" t="str">
        <f>IFERROR(IF(A844="","",VLOOKUP(A844,CadProd!$A:$C,3,0)),"")</f>
        <v/>
      </c>
      <c r="I844" s="1" t="str">
        <f>IFERROR(IF(A844="","",E844*#REF!),"")</f>
        <v/>
      </c>
    </row>
    <row r="845" spans="2:9" x14ac:dyDescent="0.3">
      <c r="B845" t="str">
        <f>IFERROR(IF(A845="","",VLOOKUP(A845,CadProd!$A:$B,2,0)),"")</f>
        <v/>
      </c>
      <c r="C845" t="str">
        <f>IFERROR(IF(A845="","",VLOOKUP(A845,CadProd!$A:$C,3,0)),"")</f>
        <v/>
      </c>
      <c r="I845" s="1" t="str">
        <f>IFERROR(IF(A845="","",E845*#REF!),"")</f>
        <v/>
      </c>
    </row>
    <row r="846" spans="2:9" x14ac:dyDescent="0.3">
      <c r="B846" t="str">
        <f>IFERROR(IF(A846="","",VLOOKUP(A846,CadProd!$A:$B,2,0)),"")</f>
        <v/>
      </c>
      <c r="C846" t="str">
        <f>IFERROR(IF(A846="","",VLOOKUP(A846,CadProd!$A:$C,3,0)),"")</f>
        <v/>
      </c>
      <c r="I846" s="1" t="str">
        <f>IFERROR(IF(A846="","",E846*#REF!),"")</f>
        <v/>
      </c>
    </row>
    <row r="847" spans="2:9" x14ac:dyDescent="0.3">
      <c r="B847" t="str">
        <f>IFERROR(IF(A847="","",VLOOKUP(A847,CadProd!$A:$B,2,0)),"")</f>
        <v/>
      </c>
      <c r="C847" t="str">
        <f>IFERROR(IF(A847="","",VLOOKUP(A847,CadProd!$A:$C,3,0)),"")</f>
        <v/>
      </c>
      <c r="I847" s="1" t="str">
        <f>IFERROR(IF(A847="","",E847*#REF!),"")</f>
        <v/>
      </c>
    </row>
    <row r="848" spans="2:9" x14ac:dyDescent="0.3">
      <c r="B848" t="str">
        <f>IFERROR(IF(A848="","",VLOOKUP(A848,CadProd!$A:$B,2,0)),"")</f>
        <v/>
      </c>
      <c r="C848" t="str">
        <f>IFERROR(IF(A848="","",VLOOKUP(A848,CadProd!$A:$C,3,0)),"")</f>
        <v/>
      </c>
      <c r="I848" s="1" t="str">
        <f>IFERROR(IF(A848="","",E848*#REF!),"")</f>
        <v/>
      </c>
    </row>
    <row r="849" spans="2:9" x14ac:dyDescent="0.3">
      <c r="B849" t="str">
        <f>IFERROR(IF(A849="","",VLOOKUP(A849,CadProd!$A:$B,2,0)),"")</f>
        <v/>
      </c>
      <c r="C849" t="str">
        <f>IFERROR(IF(A849="","",VLOOKUP(A849,CadProd!$A:$C,3,0)),"")</f>
        <v/>
      </c>
      <c r="I849" s="1" t="str">
        <f>IFERROR(IF(A849="","",E849*#REF!),"")</f>
        <v/>
      </c>
    </row>
    <row r="850" spans="2:9" x14ac:dyDescent="0.3">
      <c r="B850" t="str">
        <f>IFERROR(IF(A850="","",VLOOKUP(A850,CadProd!$A:$B,2,0)),"")</f>
        <v/>
      </c>
      <c r="C850" t="str">
        <f>IFERROR(IF(A850="","",VLOOKUP(A850,CadProd!$A:$C,3,0)),"")</f>
        <v/>
      </c>
      <c r="I850" s="1" t="str">
        <f>IFERROR(IF(A850="","",E850*#REF!),"")</f>
        <v/>
      </c>
    </row>
    <row r="851" spans="2:9" x14ac:dyDescent="0.3">
      <c r="B851" t="str">
        <f>IFERROR(IF(A851="","",VLOOKUP(A851,CadProd!$A:$B,2,0)),"")</f>
        <v/>
      </c>
      <c r="C851" t="str">
        <f>IFERROR(IF(A851="","",VLOOKUP(A851,CadProd!$A:$C,3,0)),"")</f>
        <v/>
      </c>
      <c r="I851" s="1" t="str">
        <f>IFERROR(IF(A851="","",E851*#REF!),"")</f>
        <v/>
      </c>
    </row>
    <row r="852" spans="2:9" x14ac:dyDescent="0.3">
      <c r="B852" t="str">
        <f>IFERROR(IF(A852="","",VLOOKUP(A852,CadProd!$A:$B,2,0)),"")</f>
        <v/>
      </c>
      <c r="C852" t="str">
        <f>IFERROR(IF(A852="","",VLOOKUP(A852,CadProd!$A:$C,3,0)),"")</f>
        <v/>
      </c>
      <c r="I852" s="1" t="str">
        <f>IFERROR(IF(A852="","",E852*#REF!),"")</f>
        <v/>
      </c>
    </row>
    <row r="853" spans="2:9" x14ac:dyDescent="0.3">
      <c r="B853" t="str">
        <f>IFERROR(IF(A853="","",VLOOKUP(A853,CadProd!$A:$B,2,0)),"")</f>
        <v/>
      </c>
      <c r="C853" t="str">
        <f>IFERROR(IF(A853="","",VLOOKUP(A853,CadProd!$A:$C,3,0)),"")</f>
        <v/>
      </c>
      <c r="I853" s="1" t="str">
        <f>IFERROR(IF(A853="","",E853*#REF!),"")</f>
        <v/>
      </c>
    </row>
    <row r="854" spans="2:9" x14ac:dyDescent="0.3">
      <c r="B854" t="str">
        <f>IFERROR(IF(A854="","",VLOOKUP(A854,CadProd!$A:$B,2,0)),"")</f>
        <v/>
      </c>
      <c r="C854" t="str">
        <f>IFERROR(IF(A854="","",VLOOKUP(A854,CadProd!$A:$C,3,0)),"")</f>
        <v/>
      </c>
      <c r="I854" s="1" t="str">
        <f>IFERROR(IF(A854="","",E854*#REF!),"")</f>
        <v/>
      </c>
    </row>
    <row r="855" spans="2:9" x14ac:dyDescent="0.3">
      <c r="B855" t="str">
        <f>IFERROR(IF(A855="","",VLOOKUP(A855,CadProd!$A:$B,2,0)),"")</f>
        <v/>
      </c>
      <c r="C855" t="str">
        <f>IFERROR(IF(A855="","",VLOOKUP(A855,CadProd!$A:$C,3,0)),"")</f>
        <v/>
      </c>
      <c r="I855" s="1" t="str">
        <f>IFERROR(IF(A855="","",E855*#REF!),"")</f>
        <v/>
      </c>
    </row>
    <row r="856" spans="2:9" x14ac:dyDescent="0.3">
      <c r="B856" t="str">
        <f>IFERROR(IF(A856="","",VLOOKUP(A856,CadProd!$A:$B,2,0)),"")</f>
        <v/>
      </c>
      <c r="C856" t="str">
        <f>IFERROR(IF(A856="","",VLOOKUP(A856,CadProd!$A:$C,3,0)),"")</f>
        <v/>
      </c>
      <c r="I856" s="1" t="str">
        <f>IFERROR(IF(A856="","",E856*#REF!),"")</f>
        <v/>
      </c>
    </row>
    <row r="857" spans="2:9" x14ac:dyDescent="0.3">
      <c r="B857" t="str">
        <f>IFERROR(IF(A857="","",VLOOKUP(A857,CadProd!$A:$B,2,0)),"")</f>
        <v/>
      </c>
      <c r="C857" t="str">
        <f>IFERROR(IF(A857="","",VLOOKUP(A857,CadProd!$A:$C,3,0)),"")</f>
        <v/>
      </c>
      <c r="I857" s="1" t="str">
        <f>IFERROR(IF(A857="","",E857*#REF!),"")</f>
        <v/>
      </c>
    </row>
    <row r="858" spans="2:9" x14ac:dyDescent="0.3">
      <c r="B858" t="str">
        <f>IFERROR(IF(A858="","",VLOOKUP(A858,CadProd!$A:$B,2,0)),"")</f>
        <v/>
      </c>
      <c r="C858" t="str">
        <f>IFERROR(IF(A858="","",VLOOKUP(A858,CadProd!$A:$C,3,0)),"")</f>
        <v/>
      </c>
      <c r="I858" s="1" t="str">
        <f>IFERROR(IF(A858="","",E858*#REF!),"")</f>
        <v/>
      </c>
    </row>
    <row r="859" spans="2:9" x14ac:dyDescent="0.3">
      <c r="B859" t="str">
        <f>IFERROR(IF(A859="","",VLOOKUP(A859,CadProd!$A:$B,2,0)),"")</f>
        <v/>
      </c>
      <c r="C859" t="str">
        <f>IFERROR(IF(A859="","",VLOOKUP(A859,CadProd!$A:$C,3,0)),"")</f>
        <v/>
      </c>
      <c r="I859" s="1" t="str">
        <f>IFERROR(IF(A859="","",E859*#REF!),"")</f>
        <v/>
      </c>
    </row>
    <row r="860" spans="2:9" x14ac:dyDescent="0.3">
      <c r="B860" t="str">
        <f>IFERROR(IF(A860="","",VLOOKUP(A860,CadProd!$A:$B,2,0)),"")</f>
        <v/>
      </c>
      <c r="C860" t="str">
        <f>IFERROR(IF(A860="","",VLOOKUP(A860,CadProd!$A:$C,3,0)),"")</f>
        <v/>
      </c>
      <c r="I860" s="1" t="str">
        <f>IFERROR(IF(A860="","",E860*#REF!),"")</f>
        <v/>
      </c>
    </row>
    <row r="861" spans="2:9" x14ac:dyDescent="0.3">
      <c r="B861" t="str">
        <f>IFERROR(IF(A861="","",VLOOKUP(A861,CadProd!$A:$B,2,0)),"")</f>
        <v/>
      </c>
      <c r="C861" t="str">
        <f>IFERROR(IF(A861="","",VLOOKUP(A861,CadProd!$A:$C,3,0)),"")</f>
        <v/>
      </c>
      <c r="I861" s="1" t="str">
        <f>IFERROR(IF(A861="","",E861*#REF!),"")</f>
        <v/>
      </c>
    </row>
    <row r="862" spans="2:9" x14ac:dyDescent="0.3">
      <c r="B862" t="str">
        <f>IFERROR(IF(A862="","",VLOOKUP(A862,CadProd!$A:$B,2,0)),"")</f>
        <v/>
      </c>
      <c r="C862" t="str">
        <f>IFERROR(IF(A862="","",VLOOKUP(A862,CadProd!$A:$C,3,0)),"")</f>
        <v/>
      </c>
      <c r="I862" s="1" t="str">
        <f>IFERROR(IF(A862="","",E862*#REF!),"")</f>
        <v/>
      </c>
    </row>
    <row r="863" spans="2:9" x14ac:dyDescent="0.3">
      <c r="B863" t="str">
        <f>IFERROR(IF(A863="","",VLOOKUP(A863,CadProd!$A:$B,2,0)),"")</f>
        <v/>
      </c>
      <c r="C863" t="str">
        <f>IFERROR(IF(A863="","",VLOOKUP(A863,CadProd!$A:$C,3,0)),"")</f>
        <v/>
      </c>
      <c r="I863" s="1" t="str">
        <f>IFERROR(IF(A863="","",E863*#REF!),"")</f>
        <v/>
      </c>
    </row>
    <row r="864" spans="2:9" x14ac:dyDescent="0.3">
      <c r="B864" t="str">
        <f>IFERROR(IF(A864="","",VLOOKUP(A864,CadProd!$A:$B,2,0)),"")</f>
        <v/>
      </c>
      <c r="C864" t="str">
        <f>IFERROR(IF(A864="","",VLOOKUP(A864,CadProd!$A:$C,3,0)),"")</f>
        <v/>
      </c>
      <c r="I864" s="1" t="str">
        <f>IFERROR(IF(A864="","",E864*#REF!),"")</f>
        <v/>
      </c>
    </row>
    <row r="865" spans="2:9" x14ac:dyDescent="0.3">
      <c r="B865" t="str">
        <f>IFERROR(IF(A865="","",VLOOKUP(A865,CadProd!$A:$B,2,0)),"")</f>
        <v/>
      </c>
      <c r="C865" t="str">
        <f>IFERROR(IF(A865="","",VLOOKUP(A865,CadProd!$A:$C,3,0)),"")</f>
        <v/>
      </c>
      <c r="I865" s="1" t="str">
        <f>IFERROR(IF(A865="","",E865*#REF!),"")</f>
        <v/>
      </c>
    </row>
    <row r="866" spans="2:9" x14ac:dyDescent="0.3">
      <c r="B866" t="str">
        <f>IFERROR(IF(A866="","",VLOOKUP(A866,CadProd!$A:$B,2,0)),"")</f>
        <v/>
      </c>
      <c r="C866" t="str">
        <f>IFERROR(IF(A866="","",VLOOKUP(A866,CadProd!$A:$C,3,0)),"")</f>
        <v/>
      </c>
      <c r="I866" s="1" t="str">
        <f>IFERROR(IF(A866="","",E866*#REF!),"")</f>
        <v/>
      </c>
    </row>
    <row r="867" spans="2:9" x14ac:dyDescent="0.3">
      <c r="B867" t="str">
        <f>IFERROR(IF(A867="","",VLOOKUP(A867,CadProd!$A:$B,2,0)),"")</f>
        <v/>
      </c>
      <c r="C867" t="str">
        <f>IFERROR(IF(A867="","",VLOOKUP(A867,CadProd!$A:$C,3,0)),"")</f>
        <v/>
      </c>
      <c r="I867" s="1" t="str">
        <f>IFERROR(IF(A867="","",E867*#REF!),"")</f>
        <v/>
      </c>
    </row>
    <row r="868" spans="2:9" x14ac:dyDescent="0.3">
      <c r="B868" t="str">
        <f>IFERROR(IF(A868="","",VLOOKUP(A868,CadProd!$A:$B,2,0)),"")</f>
        <v/>
      </c>
      <c r="C868" t="str">
        <f>IFERROR(IF(A868="","",VLOOKUP(A868,CadProd!$A:$C,3,0)),"")</f>
        <v/>
      </c>
      <c r="I868" s="1" t="str">
        <f>IFERROR(IF(A868="","",E868*#REF!),"")</f>
        <v/>
      </c>
    </row>
    <row r="869" spans="2:9" x14ac:dyDescent="0.3">
      <c r="B869" t="str">
        <f>IFERROR(IF(A869="","",VLOOKUP(A869,CadProd!$A:$B,2,0)),"")</f>
        <v/>
      </c>
      <c r="C869" t="str">
        <f>IFERROR(IF(A869="","",VLOOKUP(A869,CadProd!$A:$C,3,0)),"")</f>
        <v/>
      </c>
      <c r="I869" s="1" t="str">
        <f>IFERROR(IF(A869="","",E869*#REF!),"")</f>
        <v/>
      </c>
    </row>
    <row r="870" spans="2:9" x14ac:dyDescent="0.3">
      <c r="B870" t="str">
        <f>IFERROR(IF(A870="","",VLOOKUP(A870,CadProd!$A:$B,2,0)),"")</f>
        <v/>
      </c>
      <c r="C870" t="str">
        <f>IFERROR(IF(A870="","",VLOOKUP(A870,CadProd!$A:$C,3,0)),"")</f>
        <v/>
      </c>
      <c r="I870" s="1" t="str">
        <f>IFERROR(IF(A870="","",E870*#REF!),"")</f>
        <v/>
      </c>
    </row>
    <row r="871" spans="2:9" x14ac:dyDescent="0.3">
      <c r="B871" t="str">
        <f>IFERROR(IF(A871="","",VLOOKUP(A871,CadProd!$A:$B,2,0)),"")</f>
        <v/>
      </c>
      <c r="C871" t="str">
        <f>IFERROR(IF(A871="","",VLOOKUP(A871,CadProd!$A:$C,3,0)),"")</f>
        <v/>
      </c>
      <c r="I871" s="1" t="str">
        <f>IFERROR(IF(A871="","",E871*#REF!),"")</f>
        <v/>
      </c>
    </row>
    <row r="872" spans="2:9" x14ac:dyDescent="0.3">
      <c r="B872" t="str">
        <f>IFERROR(IF(A872="","",VLOOKUP(A872,CadProd!$A:$B,2,0)),"")</f>
        <v/>
      </c>
      <c r="C872" t="str">
        <f>IFERROR(IF(A872="","",VLOOKUP(A872,CadProd!$A:$C,3,0)),"")</f>
        <v/>
      </c>
      <c r="I872" s="1" t="str">
        <f>IFERROR(IF(A872="","",E872*#REF!),"")</f>
        <v/>
      </c>
    </row>
    <row r="873" spans="2:9" x14ac:dyDescent="0.3">
      <c r="B873" t="str">
        <f>IFERROR(IF(A873="","",VLOOKUP(A873,CadProd!$A:$B,2,0)),"")</f>
        <v/>
      </c>
      <c r="C873" t="str">
        <f>IFERROR(IF(A873="","",VLOOKUP(A873,CadProd!$A:$C,3,0)),"")</f>
        <v/>
      </c>
      <c r="I873" s="1" t="str">
        <f>IFERROR(IF(A873="","",E873*#REF!),"")</f>
        <v/>
      </c>
    </row>
    <row r="874" spans="2:9" x14ac:dyDescent="0.3">
      <c r="B874" t="str">
        <f>IFERROR(IF(A874="","",VLOOKUP(A874,CadProd!$A:$B,2,0)),"")</f>
        <v/>
      </c>
      <c r="C874" t="str">
        <f>IFERROR(IF(A874="","",VLOOKUP(A874,CadProd!$A:$C,3,0)),"")</f>
        <v/>
      </c>
      <c r="I874" s="1" t="str">
        <f>IFERROR(IF(A874="","",E874*#REF!),"")</f>
        <v/>
      </c>
    </row>
    <row r="875" spans="2:9" x14ac:dyDescent="0.3">
      <c r="B875" t="str">
        <f>IFERROR(IF(A875="","",VLOOKUP(A875,CadProd!$A:$B,2,0)),"")</f>
        <v/>
      </c>
      <c r="C875" t="str">
        <f>IFERROR(IF(A875="","",VLOOKUP(A875,CadProd!$A:$C,3,0)),"")</f>
        <v/>
      </c>
      <c r="I875" s="1" t="str">
        <f>IFERROR(IF(A875="","",E875*#REF!),"")</f>
        <v/>
      </c>
    </row>
    <row r="876" spans="2:9" x14ac:dyDescent="0.3">
      <c r="B876" t="str">
        <f>IFERROR(IF(A876="","",VLOOKUP(A876,CadProd!$A:$B,2,0)),"")</f>
        <v/>
      </c>
      <c r="C876" t="str">
        <f>IFERROR(IF(A876="","",VLOOKUP(A876,CadProd!$A:$C,3,0)),"")</f>
        <v/>
      </c>
      <c r="I876" s="1" t="str">
        <f>IFERROR(IF(A876="","",E876*#REF!),"")</f>
        <v/>
      </c>
    </row>
    <row r="877" spans="2:9" x14ac:dyDescent="0.3">
      <c r="B877" t="str">
        <f>IFERROR(IF(A877="","",VLOOKUP(A877,CadProd!$A:$B,2,0)),"")</f>
        <v/>
      </c>
      <c r="C877" t="str">
        <f>IFERROR(IF(A877="","",VLOOKUP(A877,CadProd!$A:$C,3,0)),"")</f>
        <v/>
      </c>
      <c r="I877" s="1" t="str">
        <f>IFERROR(IF(A877="","",E877*#REF!),"")</f>
        <v/>
      </c>
    </row>
    <row r="878" spans="2:9" x14ac:dyDescent="0.3">
      <c r="B878" t="str">
        <f>IFERROR(IF(A878="","",VLOOKUP(A878,CadProd!$A:$B,2,0)),"")</f>
        <v/>
      </c>
      <c r="C878" t="str">
        <f>IFERROR(IF(A878="","",VLOOKUP(A878,CadProd!$A:$C,3,0)),"")</f>
        <v/>
      </c>
      <c r="I878" s="1" t="str">
        <f>IFERROR(IF(A878="","",E878*#REF!),"")</f>
        <v/>
      </c>
    </row>
    <row r="879" spans="2:9" x14ac:dyDescent="0.3">
      <c r="B879" t="str">
        <f>IFERROR(IF(A879="","",VLOOKUP(A879,CadProd!$A:$B,2,0)),"")</f>
        <v/>
      </c>
      <c r="C879" t="str">
        <f>IFERROR(IF(A879="","",VLOOKUP(A879,CadProd!$A:$C,3,0)),"")</f>
        <v/>
      </c>
      <c r="I879" s="1" t="str">
        <f>IFERROR(IF(A879="","",E879*#REF!),"")</f>
        <v/>
      </c>
    </row>
    <row r="880" spans="2:9" x14ac:dyDescent="0.3">
      <c r="B880" t="str">
        <f>IFERROR(IF(A880="","",VLOOKUP(A880,CadProd!$A:$B,2,0)),"")</f>
        <v/>
      </c>
      <c r="C880" t="str">
        <f>IFERROR(IF(A880="","",VLOOKUP(A880,CadProd!$A:$C,3,0)),"")</f>
        <v/>
      </c>
      <c r="I880" s="1" t="str">
        <f>IFERROR(IF(A880="","",E880*#REF!),"")</f>
        <v/>
      </c>
    </row>
    <row r="881" spans="2:9" x14ac:dyDescent="0.3">
      <c r="B881" t="str">
        <f>IFERROR(IF(A881="","",VLOOKUP(A881,CadProd!$A:$B,2,0)),"")</f>
        <v/>
      </c>
      <c r="C881" t="str">
        <f>IFERROR(IF(A881="","",VLOOKUP(A881,CadProd!$A:$C,3,0)),"")</f>
        <v/>
      </c>
      <c r="I881" s="1" t="str">
        <f>IFERROR(IF(A881="","",E881*#REF!),"")</f>
        <v/>
      </c>
    </row>
    <row r="882" spans="2:9" x14ac:dyDescent="0.3">
      <c r="B882" t="str">
        <f>IFERROR(IF(A882="","",VLOOKUP(A882,CadProd!$A:$B,2,0)),"")</f>
        <v/>
      </c>
      <c r="C882" t="str">
        <f>IFERROR(IF(A882="","",VLOOKUP(A882,CadProd!$A:$C,3,0)),"")</f>
        <v/>
      </c>
      <c r="I882" s="1" t="str">
        <f>IFERROR(IF(A882="","",E882*#REF!),"")</f>
        <v/>
      </c>
    </row>
    <row r="883" spans="2:9" x14ac:dyDescent="0.3">
      <c r="B883" t="str">
        <f>IFERROR(IF(A883="","",VLOOKUP(A883,CadProd!$A:$B,2,0)),"")</f>
        <v/>
      </c>
      <c r="C883" t="str">
        <f>IFERROR(IF(A883="","",VLOOKUP(A883,CadProd!$A:$C,3,0)),"")</f>
        <v/>
      </c>
      <c r="I883" s="1" t="str">
        <f>IFERROR(IF(A883="","",E883*#REF!),"")</f>
        <v/>
      </c>
    </row>
    <row r="884" spans="2:9" x14ac:dyDescent="0.3">
      <c r="B884" t="str">
        <f>IFERROR(IF(A884="","",VLOOKUP(A884,CadProd!$A:$B,2,0)),"")</f>
        <v/>
      </c>
      <c r="C884" t="str">
        <f>IFERROR(IF(A884="","",VLOOKUP(A884,CadProd!$A:$C,3,0)),"")</f>
        <v/>
      </c>
      <c r="I884" s="1" t="str">
        <f>IFERROR(IF(A884="","",E884*#REF!),"")</f>
        <v/>
      </c>
    </row>
    <row r="885" spans="2:9" x14ac:dyDescent="0.3">
      <c r="B885" t="str">
        <f>IFERROR(IF(A885="","",VLOOKUP(A885,CadProd!$A:$B,2,0)),"")</f>
        <v/>
      </c>
      <c r="C885" t="str">
        <f>IFERROR(IF(A885="","",VLOOKUP(A885,CadProd!$A:$C,3,0)),"")</f>
        <v/>
      </c>
      <c r="I885" s="1" t="str">
        <f>IFERROR(IF(A885="","",E885*#REF!),"")</f>
        <v/>
      </c>
    </row>
    <row r="886" spans="2:9" x14ac:dyDescent="0.3">
      <c r="B886" t="str">
        <f>IFERROR(IF(A886="","",VLOOKUP(A886,CadProd!$A:$B,2,0)),"")</f>
        <v/>
      </c>
      <c r="C886" t="str">
        <f>IFERROR(IF(A886="","",VLOOKUP(A886,CadProd!$A:$C,3,0)),"")</f>
        <v/>
      </c>
      <c r="I886" s="1" t="str">
        <f>IFERROR(IF(A886="","",E886*#REF!),"")</f>
        <v/>
      </c>
    </row>
    <row r="887" spans="2:9" x14ac:dyDescent="0.3">
      <c r="B887" t="str">
        <f>IFERROR(IF(A887="","",VLOOKUP(A887,CadProd!$A:$B,2,0)),"")</f>
        <v/>
      </c>
      <c r="C887" t="str">
        <f>IFERROR(IF(A887="","",VLOOKUP(A887,CadProd!$A:$C,3,0)),"")</f>
        <v/>
      </c>
      <c r="I887" s="1" t="str">
        <f>IFERROR(IF(A887="","",E887*#REF!),"")</f>
        <v/>
      </c>
    </row>
    <row r="888" spans="2:9" x14ac:dyDescent="0.3">
      <c r="B888" t="str">
        <f>IFERROR(IF(A888="","",VLOOKUP(A888,CadProd!$A:$B,2,0)),"")</f>
        <v/>
      </c>
      <c r="C888" t="str">
        <f>IFERROR(IF(A888="","",VLOOKUP(A888,CadProd!$A:$C,3,0)),"")</f>
        <v/>
      </c>
      <c r="I888" s="1" t="str">
        <f>IFERROR(IF(A888="","",E888*#REF!),"")</f>
        <v/>
      </c>
    </row>
    <row r="889" spans="2:9" x14ac:dyDescent="0.3">
      <c r="B889" t="str">
        <f>IFERROR(IF(A889="","",VLOOKUP(A889,CadProd!$A:$B,2,0)),"")</f>
        <v/>
      </c>
      <c r="C889" t="str">
        <f>IFERROR(IF(A889="","",VLOOKUP(A889,CadProd!$A:$C,3,0)),"")</f>
        <v/>
      </c>
      <c r="I889" s="1" t="str">
        <f>IFERROR(IF(A889="","",E889*#REF!),"")</f>
        <v/>
      </c>
    </row>
    <row r="890" spans="2:9" x14ac:dyDescent="0.3">
      <c r="B890" t="str">
        <f>IFERROR(IF(A890="","",VLOOKUP(A890,CadProd!$A:$B,2,0)),"")</f>
        <v/>
      </c>
      <c r="C890" t="str">
        <f>IFERROR(IF(A890="","",VLOOKUP(A890,CadProd!$A:$C,3,0)),"")</f>
        <v/>
      </c>
      <c r="I890" s="1" t="str">
        <f>IFERROR(IF(A890="","",E890*#REF!),"")</f>
        <v/>
      </c>
    </row>
    <row r="891" spans="2:9" x14ac:dyDescent="0.3">
      <c r="B891" t="str">
        <f>IFERROR(IF(A891="","",VLOOKUP(A891,CadProd!$A:$B,2,0)),"")</f>
        <v/>
      </c>
      <c r="C891" t="str">
        <f>IFERROR(IF(A891="","",VLOOKUP(A891,CadProd!$A:$C,3,0)),"")</f>
        <v/>
      </c>
      <c r="I891" s="1" t="str">
        <f>IFERROR(IF(A891="","",E891*#REF!),"")</f>
        <v/>
      </c>
    </row>
    <row r="892" spans="2:9" x14ac:dyDescent="0.3">
      <c r="B892" t="str">
        <f>IFERROR(IF(A892="","",VLOOKUP(A892,CadProd!$A:$B,2,0)),"")</f>
        <v/>
      </c>
      <c r="C892" t="str">
        <f>IFERROR(IF(A892="","",VLOOKUP(A892,CadProd!$A:$C,3,0)),"")</f>
        <v/>
      </c>
      <c r="I892" s="1" t="str">
        <f>IFERROR(IF(A892="","",E892*#REF!),"")</f>
        <v/>
      </c>
    </row>
    <row r="893" spans="2:9" x14ac:dyDescent="0.3">
      <c r="B893" t="str">
        <f>IFERROR(IF(A893="","",VLOOKUP(A893,CadProd!$A:$B,2,0)),"")</f>
        <v/>
      </c>
      <c r="C893" t="str">
        <f>IFERROR(IF(A893="","",VLOOKUP(A893,CadProd!$A:$C,3,0)),"")</f>
        <v/>
      </c>
      <c r="I893" s="1" t="str">
        <f>IFERROR(IF(A893="","",E893*#REF!),"")</f>
        <v/>
      </c>
    </row>
    <row r="894" spans="2:9" x14ac:dyDescent="0.3">
      <c r="B894" t="str">
        <f>IFERROR(IF(A894="","",VLOOKUP(A894,CadProd!$A:$B,2,0)),"")</f>
        <v/>
      </c>
      <c r="C894" t="str">
        <f>IFERROR(IF(A894="","",VLOOKUP(A894,CadProd!$A:$C,3,0)),"")</f>
        <v/>
      </c>
      <c r="I894" s="1" t="str">
        <f>IFERROR(IF(A894="","",E894*#REF!),"")</f>
        <v/>
      </c>
    </row>
    <row r="895" spans="2:9" x14ac:dyDescent="0.3">
      <c r="B895" t="str">
        <f>IFERROR(IF(A895="","",VLOOKUP(A895,CadProd!$A:$B,2,0)),"")</f>
        <v/>
      </c>
      <c r="C895" t="str">
        <f>IFERROR(IF(A895="","",VLOOKUP(A895,CadProd!$A:$C,3,0)),"")</f>
        <v/>
      </c>
      <c r="I895" s="1" t="str">
        <f>IFERROR(IF(A895="","",E895*#REF!),"")</f>
        <v/>
      </c>
    </row>
    <row r="896" spans="2:9" x14ac:dyDescent="0.3">
      <c r="B896" t="str">
        <f>IFERROR(IF(A896="","",VLOOKUP(A896,CadProd!$A:$B,2,0)),"")</f>
        <v/>
      </c>
      <c r="C896" t="str">
        <f>IFERROR(IF(A896="","",VLOOKUP(A896,CadProd!$A:$C,3,0)),"")</f>
        <v/>
      </c>
      <c r="I896" s="1" t="str">
        <f>IFERROR(IF(A896="","",E896*#REF!),"")</f>
        <v/>
      </c>
    </row>
    <row r="897" spans="2:9" x14ac:dyDescent="0.3">
      <c r="B897" t="str">
        <f>IFERROR(IF(A897="","",VLOOKUP(A897,CadProd!$A:$B,2,0)),"")</f>
        <v/>
      </c>
      <c r="C897" t="str">
        <f>IFERROR(IF(A897="","",VLOOKUP(A897,CadProd!$A:$C,3,0)),"")</f>
        <v/>
      </c>
      <c r="I897" s="1" t="str">
        <f>IFERROR(IF(A897="","",E897*#REF!),"")</f>
        <v/>
      </c>
    </row>
    <row r="898" spans="2:9" x14ac:dyDescent="0.3">
      <c r="B898" t="str">
        <f>IFERROR(IF(A898="","",VLOOKUP(A898,CadProd!$A:$B,2,0)),"")</f>
        <v/>
      </c>
      <c r="C898" t="str">
        <f>IFERROR(IF(A898="","",VLOOKUP(A898,CadProd!$A:$C,3,0)),"")</f>
        <v/>
      </c>
      <c r="I898" s="1" t="str">
        <f>IFERROR(IF(A898="","",E898*#REF!),"")</f>
        <v/>
      </c>
    </row>
    <row r="899" spans="2:9" x14ac:dyDescent="0.3">
      <c r="B899" t="str">
        <f>IFERROR(IF(A899="","",VLOOKUP(A899,CadProd!$A:$B,2,0)),"")</f>
        <v/>
      </c>
      <c r="C899" t="str">
        <f>IFERROR(IF(A899="","",VLOOKUP(A899,CadProd!$A:$C,3,0)),"")</f>
        <v/>
      </c>
      <c r="I899" s="1" t="str">
        <f>IFERROR(IF(A899="","",E899*#REF!),"")</f>
        <v/>
      </c>
    </row>
    <row r="900" spans="2:9" x14ac:dyDescent="0.3">
      <c r="B900" t="str">
        <f>IFERROR(IF(A900="","",VLOOKUP(A900,CadProd!$A:$B,2,0)),"")</f>
        <v/>
      </c>
      <c r="C900" t="str">
        <f>IFERROR(IF(A900="","",VLOOKUP(A900,CadProd!$A:$C,3,0)),"")</f>
        <v/>
      </c>
      <c r="I900" s="1" t="str">
        <f>IFERROR(IF(A900="","",E900*#REF!),"")</f>
        <v/>
      </c>
    </row>
    <row r="901" spans="2:9" x14ac:dyDescent="0.3">
      <c r="B901" t="str">
        <f>IFERROR(IF(A901="","",VLOOKUP(A901,CadProd!$A:$B,2,0)),"")</f>
        <v/>
      </c>
      <c r="C901" t="str">
        <f>IFERROR(IF(A901="","",VLOOKUP(A901,CadProd!$A:$C,3,0)),"")</f>
        <v/>
      </c>
      <c r="I901" s="1" t="str">
        <f>IFERROR(IF(A901="","",E901*#REF!),"")</f>
        <v/>
      </c>
    </row>
    <row r="902" spans="2:9" x14ac:dyDescent="0.3">
      <c r="B902" t="str">
        <f>IFERROR(IF(A902="","",VLOOKUP(A902,CadProd!$A:$B,2,0)),"")</f>
        <v/>
      </c>
      <c r="C902" t="str">
        <f>IFERROR(IF(A902="","",VLOOKUP(A902,CadProd!$A:$C,3,0)),"")</f>
        <v/>
      </c>
      <c r="I902" s="1" t="str">
        <f>IFERROR(IF(A902="","",E902*#REF!),"")</f>
        <v/>
      </c>
    </row>
    <row r="903" spans="2:9" x14ac:dyDescent="0.3">
      <c r="B903" t="str">
        <f>IFERROR(IF(A903="","",VLOOKUP(A903,CadProd!$A:$B,2,0)),"")</f>
        <v/>
      </c>
      <c r="C903" t="str">
        <f>IFERROR(IF(A903="","",VLOOKUP(A903,CadProd!$A:$C,3,0)),"")</f>
        <v/>
      </c>
      <c r="I903" s="1" t="str">
        <f>IFERROR(IF(A903="","",E903*#REF!),"")</f>
        <v/>
      </c>
    </row>
    <row r="904" spans="2:9" x14ac:dyDescent="0.3">
      <c r="B904" t="str">
        <f>IFERROR(IF(A904="","",VLOOKUP(A904,CadProd!$A:$B,2,0)),"")</f>
        <v/>
      </c>
      <c r="C904" t="str">
        <f>IFERROR(IF(A904="","",VLOOKUP(A904,CadProd!$A:$C,3,0)),"")</f>
        <v/>
      </c>
      <c r="I904" s="1" t="str">
        <f>IFERROR(IF(A904="","",E904*#REF!),"")</f>
        <v/>
      </c>
    </row>
    <row r="905" spans="2:9" x14ac:dyDescent="0.3">
      <c r="B905" t="str">
        <f>IFERROR(IF(A905="","",VLOOKUP(A905,CadProd!$A:$B,2,0)),"")</f>
        <v/>
      </c>
      <c r="C905" t="str">
        <f>IFERROR(IF(A905="","",VLOOKUP(A905,CadProd!$A:$C,3,0)),"")</f>
        <v/>
      </c>
      <c r="I905" s="1" t="str">
        <f>IFERROR(IF(A905="","",E905*#REF!),"")</f>
        <v/>
      </c>
    </row>
    <row r="906" spans="2:9" x14ac:dyDescent="0.3">
      <c r="B906" t="str">
        <f>IFERROR(IF(A906="","",VLOOKUP(A906,CadProd!$A:$B,2,0)),"")</f>
        <v/>
      </c>
      <c r="C906" t="str">
        <f>IFERROR(IF(A906="","",VLOOKUP(A906,CadProd!$A:$C,3,0)),"")</f>
        <v/>
      </c>
      <c r="I906" s="1" t="str">
        <f>IFERROR(IF(A906="","",E906*#REF!),"")</f>
        <v/>
      </c>
    </row>
    <row r="907" spans="2:9" x14ac:dyDescent="0.3">
      <c r="B907" t="str">
        <f>IFERROR(IF(A907="","",VLOOKUP(A907,CadProd!$A:$B,2,0)),"")</f>
        <v/>
      </c>
      <c r="C907" t="str">
        <f>IFERROR(IF(A907="","",VLOOKUP(A907,CadProd!$A:$C,3,0)),"")</f>
        <v/>
      </c>
      <c r="I907" s="1" t="str">
        <f>IFERROR(IF(A907="","",E907*#REF!),"")</f>
        <v/>
      </c>
    </row>
    <row r="908" spans="2:9" x14ac:dyDescent="0.3">
      <c r="B908" t="str">
        <f>IFERROR(IF(A908="","",VLOOKUP(A908,CadProd!$A:$B,2,0)),"")</f>
        <v/>
      </c>
      <c r="C908" t="str">
        <f>IFERROR(IF(A908="","",VLOOKUP(A908,CadProd!$A:$C,3,0)),"")</f>
        <v/>
      </c>
      <c r="I908" s="1" t="str">
        <f>IFERROR(IF(A908="","",E908*#REF!),"")</f>
        <v/>
      </c>
    </row>
    <row r="909" spans="2:9" x14ac:dyDescent="0.3">
      <c r="B909" t="str">
        <f>IFERROR(IF(A909="","",VLOOKUP(A909,CadProd!$A:$B,2,0)),"")</f>
        <v/>
      </c>
      <c r="C909" t="str">
        <f>IFERROR(IF(A909="","",VLOOKUP(A909,CadProd!$A:$C,3,0)),"")</f>
        <v/>
      </c>
      <c r="I909" s="1" t="str">
        <f>IFERROR(IF(A909="","",E909*#REF!),"")</f>
        <v/>
      </c>
    </row>
    <row r="910" spans="2:9" x14ac:dyDescent="0.3">
      <c r="B910" t="str">
        <f>IFERROR(IF(A910="","",VLOOKUP(A910,CadProd!$A:$B,2,0)),"")</f>
        <v/>
      </c>
      <c r="C910" t="str">
        <f>IFERROR(IF(A910="","",VLOOKUP(A910,CadProd!$A:$C,3,0)),"")</f>
        <v/>
      </c>
      <c r="I910" s="1" t="str">
        <f>IFERROR(IF(A910="","",E910*#REF!),"")</f>
        <v/>
      </c>
    </row>
    <row r="911" spans="2:9" x14ac:dyDescent="0.3">
      <c r="B911" t="str">
        <f>IFERROR(IF(A911="","",VLOOKUP(A911,CadProd!$A:$B,2,0)),"")</f>
        <v/>
      </c>
      <c r="C911" t="str">
        <f>IFERROR(IF(A911="","",VLOOKUP(A911,CadProd!$A:$C,3,0)),"")</f>
        <v/>
      </c>
      <c r="I911" s="1" t="str">
        <f>IFERROR(IF(A911="","",E911*#REF!),"")</f>
        <v/>
      </c>
    </row>
    <row r="912" spans="2:9" x14ac:dyDescent="0.3">
      <c r="B912" t="str">
        <f>IFERROR(IF(A912="","",VLOOKUP(A912,CadProd!$A:$B,2,0)),"")</f>
        <v/>
      </c>
      <c r="C912" t="str">
        <f>IFERROR(IF(A912="","",VLOOKUP(A912,CadProd!$A:$C,3,0)),"")</f>
        <v/>
      </c>
      <c r="I912" s="1" t="str">
        <f>IFERROR(IF(A912="","",E912*#REF!),"")</f>
        <v/>
      </c>
    </row>
    <row r="913" spans="2:9" x14ac:dyDescent="0.3">
      <c r="B913" t="str">
        <f>IFERROR(IF(A913="","",VLOOKUP(A913,CadProd!$A:$B,2,0)),"")</f>
        <v/>
      </c>
      <c r="C913" t="str">
        <f>IFERROR(IF(A913="","",VLOOKUP(A913,CadProd!$A:$C,3,0)),"")</f>
        <v/>
      </c>
      <c r="I913" s="1" t="str">
        <f>IFERROR(IF(A913="","",E913*#REF!),"")</f>
        <v/>
      </c>
    </row>
    <row r="914" spans="2:9" x14ac:dyDescent="0.3">
      <c r="B914" t="str">
        <f>IFERROR(IF(A914="","",VLOOKUP(A914,CadProd!$A:$B,2,0)),"")</f>
        <v/>
      </c>
      <c r="C914" t="str">
        <f>IFERROR(IF(A914="","",VLOOKUP(A914,CadProd!$A:$C,3,0)),"")</f>
        <v/>
      </c>
      <c r="I914" s="1" t="str">
        <f>IFERROR(IF(A914="","",E914*#REF!),"")</f>
        <v/>
      </c>
    </row>
    <row r="915" spans="2:9" x14ac:dyDescent="0.3">
      <c r="B915" t="str">
        <f>IFERROR(IF(A915="","",VLOOKUP(A915,CadProd!$A:$B,2,0)),"")</f>
        <v/>
      </c>
      <c r="C915" t="str">
        <f>IFERROR(IF(A915="","",VLOOKUP(A915,CadProd!$A:$C,3,0)),"")</f>
        <v/>
      </c>
      <c r="I915" s="1" t="str">
        <f>IFERROR(IF(A915="","",E915*#REF!),"")</f>
        <v/>
      </c>
    </row>
    <row r="916" spans="2:9" x14ac:dyDescent="0.3">
      <c r="B916" t="str">
        <f>IFERROR(IF(A916="","",VLOOKUP(A916,CadProd!$A:$B,2,0)),"")</f>
        <v/>
      </c>
      <c r="C916" t="str">
        <f>IFERROR(IF(A916="","",VLOOKUP(A916,CadProd!$A:$C,3,0)),"")</f>
        <v/>
      </c>
      <c r="I916" s="1" t="str">
        <f>IFERROR(IF(A916="","",E916*#REF!),"")</f>
        <v/>
      </c>
    </row>
    <row r="917" spans="2:9" x14ac:dyDescent="0.3">
      <c r="B917" t="str">
        <f>IFERROR(IF(A917="","",VLOOKUP(A917,CadProd!$A:$B,2,0)),"")</f>
        <v/>
      </c>
      <c r="C917" t="str">
        <f>IFERROR(IF(A917="","",VLOOKUP(A917,CadProd!$A:$C,3,0)),"")</f>
        <v/>
      </c>
      <c r="I917" s="1" t="str">
        <f>IFERROR(IF(A917="","",E917*#REF!),"")</f>
        <v/>
      </c>
    </row>
    <row r="918" spans="2:9" x14ac:dyDescent="0.3">
      <c r="B918" t="str">
        <f>IFERROR(IF(A918="","",VLOOKUP(A918,CadProd!$A:$B,2,0)),"")</f>
        <v/>
      </c>
      <c r="C918" t="str">
        <f>IFERROR(IF(A918="","",VLOOKUP(A918,CadProd!$A:$C,3,0)),"")</f>
        <v/>
      </c>
      <c r="I918" s="1" t="str">
        <f>IFERROR(IF(A918="","",E918*#REF!),"")</f>
        <v/>
      </c>
    </row>
    <row r="919" spans="2:9" x14ac:dyDescent="0.3">
      <c r="B919" t="str">
        <f>IFERROR(IF(A919="","",VLOOKUP(A919,CadProd!$A:$B,2,0)),"")</f>
        <v/>
      </c>
      <c r="C919" t="str">
        <f>IFERROR(IF(A919="","",VLOOKUP(A919,CadProd!$A:$C,3,0)),"")</f>
        <v/>
      </c>
      <c r="I919" s="1" t="str">
        <f>IFERROR(IF(A919="","",E919*#REF!),"")</f>
        <v/>
      </c>
    </row>
    <row r="920" spans="2:9" x14ac:dyDescent="0.3">
      <c r="B920" t="str">
        <f>IFERROR(IF(A920="","",VLOOKUP(A920,CadProd!$A:$B,2,0)),"")</f>
        <v/>
      </c>
      <c r="C920" t="str">
        <f>IFERROR(IF(A920="","",VLOOKUP(A920,CadProd!$A:$C,3,0)),"")</f>
        <v/>
      </c>
      <c r="I920" s="1" t="str">
        <f>IFERROR(IF(A920="","",E920*#REF!),"")</f>
        <v/>
      </c>
    </row>
    <row r="921" spans="2:9" x14ac:dyDescent="0.3">
      <c r="B921" t="str">
        <f>IFERROR(IF(A921="","",VLOOKUP(A921,CadProd!$A:$B,2,0)),"")</f>
        <v/>
      </c>
      <c r="C921" t="str">
        <f>IFERROR(IF(A921="","",VLOOKUP(A921,CadProd!$A:$C,3,0)),"")</f>
        <v/>
      </c>
      <c r="I921" s="1" t="str">
        <f>IFERROR(IF(A921="","",E921*#REF!),"")</f>
        <v/>
      </c>
    </row>
    <row r="922" spans="2:9" x14ac:dyDescent="0.3">
      <c r="B922" t="str">
        <f>IFERROR(IF(A922="","",VLOOKUP(A922,CadProd!$A:$B,2,0)),"")</f>
        <v/>
      </c>
      <c r="C922" t="str">
        <f>IFERROR(IF(A922="","",VLOOKUP(A922,CadProd!$A:$C,3,0)),"")</f>
        <v/>
      </c>
      <c r="I922" s="1" t="str">
        <f>IFERROR(IF(A922="","",E922*#REF!),"")</f>
        <v/>
      </c>
    </row>
    <row r="923" spans="2:9" x14ac:dyDescent="0.3">
      <c r="B923" t="str">
        <f>IFERROR(IF(A923="","",VLOOKUP(A923,CadProd!$A:$B,2,0)),"")</f>
        <v/>
      </c>
      <c r="C923" t="str">
        <f>IFERROR(IF(A923="","",VLOOKUP(A923,CadProd!$A:$C,3,0)),"")</f>
        <v/>
      </c>
      <c r="I923" s="1" t="str">
        <f>IFERROR(IF(A923="","",E923*#REF!),"")</f>
        <v/>
      </c>
    </row>
    <row r="924" spans="2:9" x14ac:dyDescent="0.3">
      <c r="B924" t="str">
        <f>IFERROR(IF(A924="","",VLOOKUP(A924,CadProd!$A:$B,2,0)),"")</f>
        <v/>
      </c>
      <c r="C924" t="str">
        <f>IFERROR(IF(A924="","",VLOOKUP(A924,CadProd!$A:$C,3,0)),"")</f>
        <v/>
      </c>
      <c r="I924" s="1" t="str">
        <f>IFERROR(IF(A924="","",E924*#REF!),"")</f>
        <v/>
      </c>
    </row>
    <row r="925" spans="2:9" x14ac:dyDescent="0.3">
      <c r="B925" t="str">
        <f>IFERROR(IF(A925="","",VLOOKUP(A925,CadProd!$A:$B,2,0)),"")</f>
        <v/>
      </c>
      <c r="C925" t="str">
        <f>IFERROR(IF(A925="","",VLOOKUP(A925,CadProd!$A:$C,3,0)),"")</f>
        <v/>
      </c>
      <c r="I925" s="1" t="str">
        <f>IFERROR(IF(A925="","",E925*#REF!),"")</f>
        <v/>
      </c>
    </row>
    <row r="926" spans="2:9" x14ac:dyDescent="0.3">
      <c r="B926" t="str">
        <f>IFERROR(IF(A926="","",VLOOKUP(A926,CadProd!$A:$B,2,0)),"")</f>
        <v/>
      </c>
      <c r="C926" t="str">
        <f>IFERROR(IF(A926="","",VLOOKUP(A926,CadProd!$A:$C,3,0)),"")</f>
        <v/>
      </c>
      <c r="I926" s="1" t="str">
        <f>IFERROR(IF(A926="","",E926*#REF!),"")</f>
        <v/>
      </c>
    </row>
    <row r="927" spans="2:9" x14ac:dyDescent="0.3">
      <c r="B927" t="str">
        <f>IFERROR(IF(A927="","",VLOOKUP(A927,CadProd!$A:$B,2,0)),"")</f>
        <v/>
      </c>
      <c r="C927" t="str">
        <f>IFERROR(IF(A927="","",VLOOKUP(A927,CadProd!$A:$C,3,0)),"")</f>
        <v/>
      </c>
      <c r="I927" s="1" t="str">
        <f>IFERROR(IF(A927="","",E927*#REF!),"")</f>
        <v/>
      </c>
    </row>
    <row r="928" spans="2:9" x14ac:dyDescent="0.3">
      <c r="B928" t="str">
        <f>IFERROR(IF(A928="","",VLOOKUP(A928,CadProd!$A:$B,2,0)),"")</f>
        <v/>
      </c>
      <c r="C928" t="str">
        <f>IFERROR(IF(A928="","",VLOOKUP(A928,CadProd!$A:$C,3,0)),"")</f>
        <v/>
      </c>
      <c r="I928" s="1" t="str">
        <f>IFERROR(IF(A928="","",E928*#REF!),"")</f>
        <v/>
      </c>
    </row>
    <row r="929" spans="2:9" x14ac:dyDescent="0.3">
      <c r="B929" t="str">
        <f>IFERROR(IF(A929="","",VLOOKUP(A929,CadProd!$A:$B,2,0)),"")</f>
        <v/>
      </c>
      <c r="C929" t="str">
        <f>IFERROR(IF(A929="","",VLOOKUP(A929,CadProd!$A:$C,3,0)),"")</f>
        <v/>
      </c>
      <c r="I929" s="1" t="str">
        <f>IFERROR(IF(A929="","",E929*#REF!),"")</f>
        <v/>
      </c>
    </row>
    <row r="930" spans="2:9" x14ac:dyDescent="0.3">
      <c r="B930" t="str">
        <f>IFERROR(IF(A930="","",VLOOKUP(A930,CadProd!$A:$B,2,0)),"")</f>
        <v/>
      </c>
      <c r="C930" t="str">
        <f>IFERROR(IF(A930="","",VLOOKUP(A930,CadProd!$A:$C,3,0)),"")</f>
        <v/>
      </c>
      <c r="I930" s="1" t="str">
        <f>IFERROR(IF(A930="","",E930*#REF!),"")</f>
        <v/>
      </c>
    </row>
    <row r="931" spans="2:9" x14ac:dyDescent="0.3">
      <c r="B931" t="str">
        <f>IFERROR(IF(A931="","",VLOOKUP(A931,CadProd!$A:$B,2,0)),"")</f>
        <v/>
      </c>
      <c r="C931" t="str">
        <f>IFERROR(IF(A931="","",VLOOKUP(A931,CadProd!$A:$C,3,0)),"")</f>
        <v/>
      </c>
      <c r="I931" s="1" t="str">
        <f>IFERROR(IF(A931="","",E931*#REF!),"")</f>
        <v/>
      </c>
    </row>
    <row r="932" spans="2:9" x14ac:dyDescent="0.3">
      <c r="B932" t="str">
        <f>IFERROR(IF(A932="","",VLOOKUP(A932,CadProd!$A:$B,2,0)),"")</f>
        <v/>
      </c>
      <c r="C932" t="str">
        <f>IFERROR(IF(A932="","",VLOOKUP(A932,CadProd!$A:$C,3,0)),"")</f>
        <v/>
      </c>
      <c r="I932" s="1" t="str">
        <f>IFERROR(IF(A932="","",E932*#REF!),"")</f>
        <v/>
      </c>
    </row>
    <row r="933" spans="2:9" x14ac:dyDescent="0.3">
      <c r="B933" t="str">
        <f>IFERROR(IF(A933="","",VLOOKUP(A933,CadProd!$A:$B,2,0)),"")</f>
        <v/>
      </c>
      <c r="C933" t="str">
        <f>IFERROR(IF(A933="","",VLOOKUP(A933,CadProd!$A:$C,3,0)),"")</f>
        <v/>
      </c>
      <c r="I933" s="1" t="str">
        <f>IFERROR(IF(A933="","",E933*#REF!),"")</f>
        <v/>
      </c>
    </row>
    <row r="934" spans="2:9" x14ac:dyDescent="0.3">
      <c r="B934" t="str">
        <f>IFERROR(IF(A934="","",VLOOKUP(A934,CadProd!$A:$B,2,0)),"")</f>
        <v/>
      </c>
      <c r="C934" t="str">
        <f>IFERROR(IF(A934="","",VLOOKUP(A934,CadProd!$A:$C,3,0)),"")</f>
        <v/>
      </c>
      <c r="I934" s="1" t="str">
        <f>IFERROR(IF(A934="","",E934*#REF!),"")</f>
        <v/>
      </c>
    </row>
    <row r="935" spans="2:9" x14ac:dyDescent="0.3">
      <c r="B935" t="str">
        <f>IFERROR(IF(A935="","",VLOOKUP(A935,CadProd!$A:$B,2,0)),"")</f>
        <v/>
      </c>
      <c r="C935" t="str">
        <f>IFERROR(IF(A935="","",VLOOKUP(A935,CadProd!$A:$C,3,0)),"")</f>
        <v/>
      </c>
      <c r="I935" s="1" t="str">
        <f>IFERROR(IF(A935="","",E935*#REF!),"")</f>
        <v/>
      </c>
    </row>
    <row r="936" spans="2:9" x14ac:dyDescent="0.3">
      <c r="B936" t="str">
        <f>IFERROR(IF(A936="","",VLOOKUP(A936,CadProd!$A:$B,2,0)),"")</f>
        <v/>
      </c>
      <c r="C936" t="str">
        <f>IFERROR(IF(A936="","",VLOOKUP(A936,CadProd!$A:$C,3,0)),"")</f>
        <v/>
      </c>
      <c r="I936" s="1" t="str">
        <f>IFERROR(IF(A936="","",E936*#REF!),"")</f>
        <v/>
      </c>
    </row>
    <row r="937" spans="2:9" x14ac:dyDescent="0.3">
      <c r="B937" t="str">
        <f>IFERROR(IF(A937="","",VLOOKUP(A937,CadProd!$A:$B,2,0)),"")</f>
        <v/>
      </c>
      <c r="C937" t="str">
        <f>IFERROR(IF(A937="","",VLOOKUP(A937,CadProd!$A:$C,3,0)),"")</f>
        <v/>
      </c>
      <c r="I937" s="1" t="str">
        <f>IFERROR(IF(A937="","",E937*#REF!),"")</f>
        <v/>
      </c>
    </row>
    <row r="938" spans="2:9" x14ac:dyDescent="0.3">
      <c r="B938" t="str">
        <f>IFERROR(IF(A938="","",VLOOKUP(A938,CadProd!$A:$B,2,0)),"")</f>
        <v/>
      </c>
      <c r="C938" t="str">
        <f>IFERROR(IF(A938="","",VLOOKUP(A938,CadProd!$A:$C,3,0)),"")</f>
        <v/>
      </c>
      <c r="I938" s="1" t="str">
        <f>IFERROR(IF(A938="","",E938*#REF!),"")</f>
        <v/>
      </c>
    </row>
    <row r="939" spans="2:9" x14ac:dyDescent="0.3">
      <c r="B939" t="str">
        <f>IFERROR(IF(A939="","",VLOOKUP(A939,CadProd!$A:$B,2,0)),"")</f>
        <v/>
      </c>
      <c r="C939" t="str">
        <f>IFERROR(IF(A939="","",VLOOKUP(A939,CadProd!$A:$C,3,0)),"")</f>
        <v/>
      </c>
      <c r="I939" s="1" t="str">
        <f>IFERROR(IF(A939="","",E939*#REF!),"")</f>
        <v/>
      </c>
    </row>
    <row r="940" spans="2:9" x14ac:dyDescent="0.3">
      <c r="B940" t="str">
        <f>IFERROR(IF(A940="","",VLOOKUP(A940,CadProd!$A:$B,2,0)),"")</f>
        <v/>
      </c>
      <c r="C940" t="str">
        <f>IFERROR(IF(A940="","",VLOOKUP(A940,CadProd!$A:$C,3,0)),"")</f>
        <v/>
      </c>
      <c r="I940" s="1" t="str">
        <f>IFERROR(IF(A940="","",E940*#REF!),"")</f>
        <v/>
      </c>
    </row>
    <row r="941" spans="2:9" x14ac:dyDescent="0.3">
      <c r="B941" t="str">
        <f>IFERROR(IF(A941="","",VLOOKUP(A941,CadProd!$A:$B,2,0)),"")</f>
        <v/>
      </c>
      <c r="C941" t="str">
        <f>IFERROR(IF(A941="","",VLOOKUP(A941,CadProd!$A:$C,3,0)),"")</f>
        <v/>
      </c>
      <c r="I941" s="1" t="str">
        <f>IFERROR(IF(A941="","",E941*#REF!),"")</f>
        <v/>
      </c>
    </row>
    <row r="942" spans="2:9" x14ac:dyDescent="0.3">
      <c r="B942" t="str">
        <f>IFERROR(IF(A942="","",VLOOKUP(A942,CadProd!$A:$B,2,0)),"")</f>
        <v/>
      </c>
      <c r="C942" t="str">
        <f>IFERROR(IF(A942="","",VLOOKUP(A942,CadProd!$A:$C,3,0)),"")</f>
        <v/>
      </c>
      <c r="I942" s="1" t="str">
        <f>IFERROR(IF(A942="","",E942*#REF!),"")</f>
        <v/>
      </c>
    </row>
    <row r="943" spans="2:9" x14ac:dyDescent="0.3">
      <c r="B943" t="str">
        <f>IFERROR(IF(A943="","",VLOOKUP(A943,CadProd!$A:$B,2,0)),"")</f>
        <v/>
      </c>
      <c r="C943" t="str">
        <f>IFERROR(IF(A943="","",VLOOKUP(A943,CadProd!$A:$C,3,0)),"")</f>
        <v/>
      </c>
      <c r="I943" s="1" t="str">
        <f>IFERROR(IF(A943="","",E943*#REF!),"")</f>
        <v/>
      </c>
    </row>
    <row r="944" spans="2:9" x14ac:dyDescent="0.3">
      <c r="B944" t="str">
        <f>IFERROR(IF(A944="","",VLOOKUP(A944,CadProd!$A:$B,2,0)),"")</f>
        <v/>
      </c>
      <c r="C944" t="str">
        <f>IFERROR(IF(A944="","",VLOOKUP(A944,CadProd!$A:$C,3,0)),"")</f>
        <v/>
      </c>
      <c r="I944" s="1" t="str">
        <f>IFERROR(IF(A944="","",E944*#REF!),"")</f>
        <v/>
      </c>
    </row>
    <row r="945" spans="2:9" x14ac:dyDescent="0.3">
      <c r="B945" t="str">
        <f>IFERROR(IF(A945="","",VLOOKUP(A945,CadProd!$A:$B,2,0)),"")</f>
        <v/>
      </c>
      <c r="C945" t="str">
        <f>IFERROR(IF(A945="","",VLOOKUP(A945,CadProd!$A:$C,3,0)),"")</f>
        <v/>
      </c>
      <c r="I945" s="1" t="str">
        <f>IFERROR(IF(A945="","",E945*#REF!),"")</f>
        <v/>
      </c>
    </row>
    <row r="946" spans="2:9" x14ac:dyDescent="0.3">
      <c r="B946" t="str">
        <f>IFERROR(IF(A946="","",VLOOKUP(A946,CadProd!$A:$B,2,0)),"")</f>
        <v/>
      </c>
      <c r="C946" t="str">
        <f>IFERROR(IF(A946="","",VLOOKUP(A946,CadProd!$A:$C,3,0)),"")</f>
        <v/>
      </c>
      <c r="I946" s="1" t="str">
        <f>IFERROR(IF(A946="","",E946*#REF!),"")</f>
        <v/>
      </c>
    </row>
    <row r="947" spans="2:9" x14ac:dyDescent="0.3">
      <c r="B947" t="str">
        <f>IFERROR(IF(A947="","",VLOOKUP(A947,CadProd!$A:$B,2,0)),"")</f>
        <v/>
      </c>
      <c r="C947" t="str">
        <f>IFERROR(IF(A947="","",VLOOKUP(A947,CadProd!$A:$C,3,0)),"")</f>
        <v/>
      </c>
      <c r="I947" s="1" t="str">
        <f>IFERROR(IF(A947="","",E947*#REF!),"")</f>
        <v/>
      </c>
    </row>
    <row r="948" spans="2:9" x14ac:dyDescent="0.3">
      <c r="B948" t="str">
        <f>IFERROR(IF(A948="","",VLOOKUP(A948,CadProd!$A:$B,2,0)),"")</f>
        <v/>
      </c>
      <c r="C948" t="str">
        <f>IFERROR(IF(A948="","",VLOOKUP(A948,CadProd!$A:$C,3,0)),"")</f>
        <v/>
      </c>
      <c r="I948" s="1" t="str">
        <f>IFERROR(IF(A948="","",E948*#REF!),"")</f>
        <v/>
      </c>
    </row>
    <row r="949" spans="2:9" x14ac:dyDescent="0.3">
      <c r="B949" t="str">
        <f>IFERROR(IF(A949="","",VLOOKUP(A949,CadProd!$A:$B,2,0)),"")</f>
        <v/>
      </c>
      <c r="C949" t="str">
        <f>IFERROR(IF(A949="","",VLOOKUP(A949,CadProd!$A:$C,3,0)),"")</f>
        <v/>
      </c>
      <c r="I949" s="1" t="str">
        <f>IFERROR(IF(A949="","",E949*#REF!),"")</f>
        <v/>
      </c>
    </row>
    <row r="950" spans="2:9" x14ac:dyDescent="0.3">
      <c r="B950" t="str">
        <f>IFERROR(IF(A950="","",VLOOKUP(A950,CadProd!$A:$B,2,0)),"")</f>
        <v/>
      </c>
      <c r="C950" t="str">
        <f>IFERROR(IF(A950="","",VLOOKUP(A950,CadProd!$A:$C,3,0)),"")</f>
        <v/>
      </c>
      <c r="I950" s="1" t="str">
        <f>IFERROR(IF(A950="","",E950*#REF!),"")</f>
        <v/>
      </c>
    </row>
    <row r="951" spans="2:9" x14ac:dyDescent="0.3">
      <c r="B951" t="str">
        <f>IFERROR(IF(A951="","",VLOOKUP(A951,CadProd!$A:$B,2,0)),"")</f>
        <v/>
      </c>
      <c r="C951" t="str">
        <f>IFERROR(IF(A951="","",VLOOKUP(A951,CadProd!$A:$C,3,0)),"")</f>
        <v/>
      </c>
      <c r="I951" s="1" t="str">
        <f>IFERROR(IF(A951="","",E951*#REF!),"")</f>
        <v/>
      </c>
    </row>
    <row r="952" spans="2:9" x14ac:dyDescent="0.3">
      <c r="B952" t="str">
        <f>IFERROR(IF(A952="","",VLOOKUP(A952,CadProd!$A:$B,2,0)),"")</f>
        <v/>
      </c>
      <c r="C952" t="str">
        <f>IFERROR(IF(A952="","",VLOOKUP(A952,CadProd!$A:$C,3,0)),"")</f>
        <v/>
      </c>
      <c r="I952" s="1" t="str">
        <f>IFERROR(IF(A952="","",E952*#REF!),"")</f>
        <v/>
      </c>
    </row>
    <row r="953" spans="2:9" x14ac:dyDescent="0.3">
      <c r="B953" t="str">
        <f>IFERROR(IF(A953="","",VLOOKUP(A953,CadProd!$A:$B,2,0)),"")</f>
        <v/>
      </c>
      <c r="C953" t="str">
        <f>IFERROR(IF(A953="","",VLOOKUP(A953,CadProd!$A:$C,3,0)),"")</f>
        <v/>
      </c>
      <c r="I953" s="1" t="str">
        <f>IFERROR(IF(A953="","",E953*#REF!),"")</f>
        <v/>
      </c>
    </row>
    <row r="954" spans="2:9" x14ac:dyDescent="0.3">
      <c r="B954" t="str">
        <f>IFERROR(IF(A954="","",VLOOKUP(A954,CadProd!$A:$B,2,0)),"")</f>
        <v/>
      </c>
      <c r="C954" t="str">
        <f>IFERROR(IF(A954="","",VLOOKUP(A954,CadProd!$A:$C,3,0)),"")</f>
        <v/>
      </c>
      <c r="I954" s="1" t="str">
        <f>IFERROR(IF(A954="","",E954*#REF!),"")</f>
        <v/>
      </c>
    </row>
    <row r="955" spans="2:9" x14ac:dyDescent="0.3">
      <c r="B955" t="str">
        <f>IFERROR(IF(A955="","",VLOOKUP(A955,CadProd!$A:$B,2,0)),"")</f>
        <v/>
      </c>
      <c r="C955" t="str">
        <f>IFERROR(IF(A955="","",VLOOKUP(A955,CadProd!$A:$C,3,0)),"")</f>
        <v/>
      </c>
      <c r="I955" s="1" t="str">
        <f>IFERROR(IF(A955="","",E955*#REF!),"")</f>
        <v/>
      </c>
    </row>
    <row r="956" spans="2:9" x14ac:dyDescent="0.3">
      <c r="B956" t="str">
        <f>IFERROR(IF(A956="","",VLOOKUP(A956,CadProd!$A:$B,2,0)),"")</f>
        <v/>
      </c>
      <c r="C956" t="str">
        <f>IFERROR(IF(A956="","",VLOOKUP(A956,CadProd!$A:$C,3,0)),"")</f>
        <v/>
      </c>
      <c r="I956" s="1" t="str">
        <f>IFERROR(IF(A956="","",E956*#REF!),"")</f>
        <v/>
      </c>
    </row>
    <row r="957" spans="2:9" x14ac:dyDescent="0.3">
      <c r="B957" t="str">
        <f>IFERROR(IF(A957="","",VLOOKUP(A957,CadProd!$A:$B,2,0)),"")</f>
        <v/>
      </c>
      <c r="C957" t="str">
        <f>IFERROR(IF(A957="","",VLOOKUP(A957,CadProd!$A:$C,3,0)),"")</f>
        <v/>
      </c>
      <c r="I957" s="1" t="str">
        <f>IFERROR(IF(A957="","",E957*#REF!),"")</f>
        <v/>
      </c>
    </row>
    <row r="958" spans="2:9" x14ac:dyDescent="0.3">
      <c r="B958" t="str">
        <f>IFERROR(IF(A958="","",VLOOKUP(A958,CadProd!$A:$B,2,0)),"")</f>
        <v/>
      </c>
      <c r="C958" t="str">
        <f>IFERROR(IF(A958="","",VLOOKUP(A958,CadProd!$A:$C,3,0)),"")</f>
        <v/>
      </c>
      <c r="I958" s="1" t="str">
        <f>IFERROR(IF(A958="","",E958*#REF!),"")</f>
        <v/>
      </c>
    </row>
    <row r="959" spans="2:9" x14ac:dyDescent="0.3">
      <c r="B959" t="str">
        <f>IFERROR(IF(A959="","",VLOOKUP(A959,CadProd!$A:$B,2,0)),"")</f>
        <v/>
      </c>
      <c r="C959" t="str">
        <f>IFERROR(IF(A959="","",VLOOKUP(A959,CadProd!$A:$C,3,0)),"")</f>
        <v/>
      </c>
      <c r="I959" s="1" t="str">
        <f>IFERROR(IF(A959="","",E959*#REF!),"")</f>
        <v/>
      </c>
    </row>
    <row r="960" spans="2:9" x14ac:dyDescent="0.3">
      <c r="B960" t="str">
        <f>IFERROR(IF(A960="","",VLOOKUP(A960,CadProd!$A:$B,2,0)),"")</f>
        <v/>
      </c>
      <c r="C960" t="str">
        <f>IFERROR(IF(A960="","",VLOOKUP(A960,CadProd!$A:$C,3,0)),"")</f>
        <v/>
      </c>
      <c r="I960" s="1" t="str">
        <f>IFERROR(IF(A960="","",E960*#REF!),"")</f>
        <v/>
      </c>
    </row>
    <row r="961" spans="2:9" x14ac:dyDescent="0.3">
      <c r="B961" t="str">
        <f>IFERROR(IF(A961="","",VLOOKUP(A961,CadProd!$A:$B,2,0)),"")</f>
        <v/>
      </c>
      <c r="C961" t="str">
        <f>IFERROR(IF(A961="","",VLOOKUP(A961,CadProd!$A:$C,3,0)),"")</f>
        <v/>
      </c>
      <c r="I961" s="1" t="str">
        <f>IFERROR(IF(A961="","",E961*#REF!),"")</f>
        <v/>
      </c>
    </row>
    <row r="962" spans="2:9" x14ac:dyDescent="0.3">
      <c r="B962" t="str">
        <f>IFERROR(IF(A962="","",VLOOKUP(A962,CadProd!$A:$B,2,0)),"")</f>
        <v/>
      </c>
      <c r="C962" t="str">
        <f>IFERROR(IF(A962="","",VLOOKUP(A962,CadProd!$A:$C,3,0)),"")</f>
        <v/>
      </c>
      <c r="I962" s="1" t="str">
        <f>IFERROR(IF(A962="","",E962*#REF!),"")</f>
        <v/>
      </c>
    </row>
    <row r="963" spans="2:9" x14ac:dyDescent="0.3">
      <c r="B963" t="str">
        <f>IFERROR(IF(A963="","",VLOOKUP(A963,CadProd!$A:$B,2,0)),"")</f>
        <v/>
      </c>
      <c r="C963" t="str">
        <f>IFERROR(IF(A963="","",VLOOKUP(A963,CadProd!$A:$C,3,0)),"")</f>
        <v/>
      </c>
      <c r="I963" s="1" t="str">
        <f>IFERROR(IF(A963="","",E963*#REF!),"")</f>
        <v/>
      </c>
    </row>
    <row r="964" spans="2:9" x14ac:dyDescent="0.3">
      <c r="B964" t="str">
        <f>IFERROR(IF(A964="","",VLOOKUP(A964,CadProd!$A:$B,2,0)),"")</f>
        <v/>
      </c>
      <c r="C964" t="str">
        <f>IFERROR(IF(A964="","",VLOOKUP(A964,CadProd!$A:$C,3,0)),"")</f>
        <v/>
      </c>
      <c r="I964" s="1" t="str">
        <f>IFERROR(IF(A964="","",E964*#REF!),"")</f>
        <v/>
      </c>
    </row>
    <row r="965" spans="2:9" x14ac:dyDescent="0.3">
      <c r="B965" t="str">
        <f>IFERROR(IF(A965="","",VLOOKUP(A965,CadProd!$A:$B,2,0)),"")</f>
        <v/>
      </c>
      <c r="C965" t="str">
        <f>IFERROR(IF(A965="","",VLOOKUP(A965,CadProd!$A:$C,3,0)),"")</f>
        <v/>
      </c>
      <c r="I965" s="1" t="str">
        <f>IFERROR(IF(A965="","",E965*#REF!),"")</f>
        <v/>
      </c>
    </row>
    <row r="966" spans="2:9" x14ac:dyDescent="0.3">
      <c r="B966" t="str">
        <f>IFERROR(IF(A966="","",VLOOKUP(A966,CadProd!$A:$B,2,0)),"")</f>
        <v/>
      </c>
      <c r="C966" t="str">
        <f>IFERROR(IF(A966="","",VLOOKUP(A966,CadProd!$A:$C,3,0)),"")</f>
        <v/>
      </c>
      <c r="I966" s="1" t="str">
        <f>IFERROR(IF(A966="","",E966*#REF!),"")</f>
        <v/>
      </c>
    </row>
    <row r="967" spans="2:9" x14ac:dyDescent="0.3">
      <c r="B967" t="str">
        <f>IFERROR(IF(A967="","",VLOOKUP(A967,CadProd!$A:$B,2,0)),"")</f>
        <v/>
      </c>
      <c r="C967" t="str">
        <f>IFERROR(IF(A967="","",VLOOKUP(A967,CadProd!$A:$C,3,0)),"")</f>
        <v/>
      </c>
      <c r="I967" s="1" t="str">
        <f>IFERROR(IF(A967="","",E967*#REF!),"")</f>
        <v/>
      </c>
    </row>
    <row r="968" spans="2:9" x14ac:dyDescent="0.3">
      <c r="B968" t="str">
        <f>IFERROR(IF(A968="","",VLOOKUP(A968,CadProd!$A:$B,2,0)),"")</f>
        <v/>
      </c>
      <c r="C968" t="str">
        <f>IFERROR(IF(A968="","",VLOOKUP(A968,CadProd!$A:$C,3,0)),"")</f>
        <v/>
      </c>
      <c r="I968" s="1" t="str">
        <f>IFERROR(IF(A968="","",E968*#REF!),"")</f>
        <v/>
      </c>
    </row>
    <row r="969" spans="2:9" x14ac:dyDescent="0.3">
      <c r="B969" t="str">
        <f>IFERROR(IF(A969="","",VLOOKUP(A969,CadProd!$A:$B,2,0)),"")</f>
        <v/>
      </c>
      <c r="C969" t="str">
        <f>IFERROR(IF(A969="","",VLOOKUP(A969,CadProd!$A:$C,3,0)),"")</f>
        <v/>
      </c>
      <c r="I969" s="1" t="str">
        <f>IFERROR(IF(A969="","",E969*#REF!),"")</f>
        <v/>
      </c>
    </row>
    <row r="970" spans="2:9" x14ac:dyDescent="0.3">
      <c r="B970" t="str">
        <f>IFERROR(IF(A970="","",VLOOKUP(A970,CadProd!$A:$B,2,0)),"")</f>
        <v/>
      </c>
      <c r="C970" t="str">
        <f>IFERROR(IF(A970="","",VLOOKUP(A970,CadProd!$A:$C,3,0)),"")</f>
        <v/>
      </c>
      <c r="I970" s="1" t="str">
        <f>IFERROR(IF(A970="","",E970*#REF!),"")</f>
        <v/>
      </c>
    </row>
    <row r="971" spans="2:9" x14ac:dyDescent="0.3">
      <c r="B971" t="str">
        <f>IFERROR(IF(A971="","",VLOOKUP(A971,CadProd!$A:$B,2,0)),"")</f>
        <v/>
      </c>
      <c r="C971" t="str">
        <f>IFERROR(IF(A971="","",VLOOKUP(A971,CadProd!$A:$C,3,0)),"")</f>
        <v/>
      </c>
      <c r="I971" s="1" t="str">
        <f>IFERROR(IF(A971="","",E971*#REF!),"")</f>
        <v/>
      </c>
    </row>
    <row r="972" spans="2:9" x14ac:dyDescent="0.3">
      <c r="B972" t="str">
        <f>IFERROR(IF(A972="","",VLOOKUP(A972,CadProd!$A:$B,2,0)),"")</f>
        <v/>
      </c>
      <c r="C972" t="str">
        <f>IFERROR(IF(A972="","",VLOOKUP(A972,CadProd!$A:$C,3,0)),"")</f>
        <v/>
      </c>
      <c r="I972" s="1" t="str">
        <f>IFERROR(IF(A972="","",E972*#REF!),"")</f>
        <v/>
      </c>
    </row>
    <row r="973" spans="2:9" x14ac:dyDescent="0.3">
      <c r="B973" t="str">
        <f>IFERROR(IF(A973="","",VLOOKUP(A973,CadProd!$A:$B,2,0)),"")</f>
        <v/>
      </c>
      <c r="C973" t="str">
        <f>IFERROR(IF(A973="","",VLOOKUP(A973,CadProd!$A:$C,3,0)),"")</f>
        <v/>
      </c>
      <c r="I973" s="1" t="str">
        <f>IFERROR(IF(A973="","",E973*#REF!),"")</f>
        <v/>
      </c>
    </row>
    <row r="974" spans="2:9" x14ac:dyDescent="0.3">
      <c r="B974" t="str">
        <f>IFERROR(IF(A974="","",VLOOKUP(A974,CadProd!$A:$B,2,0)),"")</f>
        <v/>
      </c>
      <c r="C974" t="str">
        <f>IFERROR(IF(A974="","",VLOOKUP(A974,CadProd!$A:$C,3,0)),"")</f>
        <v/>
      </c>
      <c r="I974" s="1" t="str">
        <f>IFERROR(IF(A974="","",E974*#REF!),"")</f>
        <v/>
      </c>
    </row>
    <row r="975" spans="2:9" x14ac:dyDescent="0.3">
      <c r="B975" t="str">
        <f>IFERROR(IF(A975="","",VLOOKUP(A975,CadProd!$A:$B,2,0)),"")</f>
        <v/>
      </c>
      <c r="C975" t="str">
        <f>IFERROR(IF(A975="","",VLOOKUP(A975,CadProd!$A:$C,3,0)),"")</f>
        <v/>
      </c>
      <c r="I975" s="1" t="str">
        <f>IFERROR(IF(A975="","",E975*#REF!),"")</f>
        <v/>
      </c>
    </row>
    <row r="976" spans="2:9" x14ac:dyDescent="0.3">
      <c r="B976" t="str">
        <f>IFERROR(IF(A976="","",VLOOKUP(A976,CadProd!$A:$B,2,0)),"")</f>
        <v/>
      </c>
      <c r="C976" t="str">
        <f>IFERROR(IF(A976="","",VLOOKUP(A976,CadProd!$A:$C,3,0)),"")</f>
        <v/>
      </c>
      <c r="I976" s="1" t="str">
        <f>IFERROR(IF(A976="","",E976*#REF!),"")</f>
        <v/>
      </c>
    </row>
    <row r="977" spans="2:9" x14ac:dyDescent="0.3">
      <c r="B977" t="str">
        <f>IFERROR(IF(A977="","",VLOOKUP(A977,CadProd!$A:$B,2,0)),"")</f>
        <v/>
      </c>
      <c r="C977" t="str">
        <f>IFERROR(IF(A977="","",VLOOKUP(A977,CadProd!$A:$C,3,0)),"")</f>
        <v/>
      </c>
      <c r="I977" s="1" t="str">
        <f>IFERROR(IF(A977="","",E977*#REF!),"")</f>
        <v/>
      </c>
    </row>
    <row r="978" spans="2:9" x14ac:dyDescent="0.3">
      <c r="B978" t="str">
        <f>IFERROR(IF(A978="","",VLOOKUP(A978,CadProd!$A:$B,2,0)),"")</f>
        <v/>
      </c>
      <c r="C978" t="str">
        <f>IFERROR(IF(A978="","",VLOOKUP(A978,CadProd!$A:$C,3,0)),"")</f>
        <v/>
      </c>
      <c r="I978" s="1" t="str">
        <f>IFERROR(IF(A978="","",E978*#REF!),"")</f>
        <v/>
      </c>
    </row>
    <row r="979" spans="2:9" x14ac:dyDescent="0.3">
      <c r="B979" t="str">
        <f>IFERROR(IF(A979="","",VLOOKUP(A979,CadProd!$A:$B,2,0)),"")</f>
        <v/>
      </c>
      <c r="C979" t="str">
        <f>IFERROR(IF(A979="","",VLOOKUP(A979,CadProd!$A:$C,3,0)),"")</f>
        <v/>
      </c>
      <c r="I979" s="1" t="str">
        <f>IFERROR(IF(A979="","",E979*#REF!),"")</f>
        <v/>
      </c>
    </row>
    <row r="980" spans="2:9" x14ac:dyDescent="0.3">
      <c r="B980" t="str">
        <f>IFERROR(IF(A980="","",VLOOKUP(A980,CadProd!$A:$B,2,0)),"")</f>
        <v/>
      </c>
      <c r="C980" t="str">
        <f>IFERROR(IF(A980="","",VLOOKUP(A980,CadProd!$A:$C,3,0)),"")</f>
        <v/>
      </c>
      <c r="I980" s="1" t="str">
        <f>IFERROR(IF(A980="","",E980*#REF!),"")</f>
        <v/>
      </c>
    </row>
    <row r="981" spans="2:9" x14ac:dyDescent="0.3">
      <c r="B981" t="str">
        <f>IFERROR(IF(A981="","",VLOOKUP(A981,CadProd!$A:$B,2,0)),"")</f>
        <v/>
      </c>
      <c r="C981" t="str">
        <f>IFERROR(IF(A981="","",VLOOKUP(A981,CadProd!$A:$C,3,0)),"")</f>
        <v/>
      </c>
      <c r="I981" s="1" t="str">
        <f>IFERROR(IF(A981="","",E981*#REF!),"")</f>
        <v/>
      </c>
    </row>
    <row r="982" spans="2:9" x14ac:dyDescent="0.3">
      <c r="B982" t="str">
        <f>IFERROR(IF(A982="","",VLOOKUP(A982,CadProd!$A:$B,2,0)),"")</f>
        <v/>
      </c>
      <c r="C982" t="str">
        <f>IFERROR(IF(A982="","",VLOOKUP(A982,CadProd!$A:$C,3,0)),"")</f>
        <v/>
      </c>
      <c r="I982" s="1" t="str">
        <f>IFERROR(IF(A982="","",E982*#REF!),"")</f>
        <v/>
      </c>
    </row>
    <row r="983" spans="2:9" x14ac:dyDescent="0.3">
      <c r="B983" t="str">
        <f>IFERROR(IF(A983="","",VLOOKUP(A983,CadProd!$A:$B,2,0)),"")</f>
        <v/>
      </c>
      <c r="C983" t="str">
        <f>IFERROR(IF(A983="","",VLOOKUP(A983,CadProd!$A:$C,3,0)),"")</f>
        <v/>
      </c>
      <c r="I983" s="1" t="str">
        <f>IFERROR(IF(A983="","",E983*#REF!),"")</f>
        <v/>
      </c>
    </row>
    <row r="984" spans="2:9" x14ac:dyDescent="0.3">
      <c r="B984" t="str">
        <f>IFERROR(IF(A984="","",VLOOKUP(A984,CadProd!$A:$B,2,0)),"")</f>
        <v/>
      </c>
      <c r="C984" t="str">
        <f>IFERROR(IF(A984="","",VLOOKUP(A984,CadProd!$A:$C,3,0)),"")</f>
        <v/>
      </c>
      <c r="I984" s="1" t="str">
        <f>IFERROR(IF(A984="","",E984*#REF!),"")</f>
        <v/>
      </c>
    </row>
    <row r="985" spans="2:9" x14ac:dyDescent="0.3">
      <c r="B985" t="str">
        <f>IFERROR(IF(A985="","",VLOOKUP(A985,CadProd!$A:$B,2,0)),"")</f>
        <v/>
      </c>
      <c r="C985" t="str">
        <f>IFERROR(IF(A985="","",VLOOKUP(A985,CadProd!$A:$C,3,0)),"")</f>
        <v/>
      </c>
      <c r="I985" s="1" t="str">
        <f>IFERROR(IF(A985="","",E985*#REF!),"")</f>
        <v/>
      </c>
    </row>
    <row r="986" spans="2:9" x14ac:dyDescent="0.3">
      <c r="B986" t="str">
        <f>IFERROR(IF(A986="","",VLOOKUP(A986,CadProd!$A:$B,2,0)),"")</f>
        <v/>
      </c>
      <c r="C986" t="str">
        <f>IFERROR(IF(A986="","",VLOOKUP(A986,CadProd!$A:$C,3,0)),"")</f>
        <v/>
      </c>
      <c r="I986" s="1" t="str">
        <f>IFERROR(IF(A986="","",E986*#REF!),"")</f>
        <v/>
      </c>
    </row>
    <row r="987" spans="2:9" x14ac:dyDescent="0.3">
      <c r="B987" t="str">
        <f>IFERROR(IF(A987="","",VLOOKUP(A987,CadProd!$A:$B,2,0)),"")</f>
        <v/>
      </c>
      <c r="C987" t="str">
        <f>IFERROR(IF(A987="","",VLOOKUP(A987,CadProd!$A:$C,3,0)),"")</f>
        <v/>
      </c>
      <c r="I987" s="1" t="str">
        <f>IFERROR(IF(A987="","",E987*#REF!),"")</f>
        <v/>
      </c>
    </row>
    <row r="988" spans="2:9" x14ac:dyDescent="0.3">
      <c r="B988" t="str">
        <f>IFERROR(IF(A988="","",VLOOKUP(A988,CadProd!$A:$B,2,0)),"")</f>
        <v/>
      </c>
      <c r="C988" t="str">
        <f>IFERROR(IF(A988="","",VLOOKUP(A988,CadProd!$A:$C,3,0)),"")</f>
        <v/>
      </c>
      <c r="I988" s="1" t="str">
        <f>IFERROR(IF(A988="","",E988*#REF!),"")</f>
        <v/>
      </c>
    </row>
    <row r="989" spans="2:9" x14ac:dyDescent="0.3">
      <c r="B989" t="str">
        <f>IFERROR(IF(A989="","",VLOOKUP(A989,CadProd!$A:$B,2,0)),"")</f>
        <v/>
      </c>
      <c r="C989" t="str">
        <f>IFERROR(IF(A989="","",VLOOKUP(A989,CadProd!$A:$C,3,0)),"")</f>
        <v/>
      </c>
      <c r="I989" s="1" t="str">
        <f>IFERROR(IF(A989="","",E989*#REF!),"")</f>
        <v/>
      </c>
    </row>
    <row r="990" spans="2:9" x14ac:dyDescent="0.3">
      <c r="B990" t="str">
        <f>IFERROR(IF(A990="","",VLOOKUP(A990,CadProd!$A:$B,2,0)),"")</f>
        <v/>
      </c>
      <c r="C990" t="str">
        <f>IFERROR(IF(A990="","",VLOOKUP(A990,CadProd!$A:$C,3,0)),"")</f>
        <v/>
      </c>
      <c r="I990" s="1" t="str">
        <f>IFERROR(IF(A990="","",E990*#REF!),"")</f>
        <v/>
      </c>
    </row>
    <row r="991" spans="2:9" x14ac:dyDescent="0.3">
      <c r="B991" t="str">
        <f>IFERROR(IF(A991="","",VLOOKUP(A991,CadProd!$A:$B,2,0)),"")</f>
        <v/>
      </c>
      <c r="C991" t="str">
        <f>IFERROR(IF(A991="","",VLOOKUP(A991,CadProd!$A:$C,3,0)),"")</f>
        <v/>
      </c>
      <c r="I991" s="1" t="str">
        <f>IFERROR(IF(A991="","",E991*#REF!),"")</f>
        <v/>
      </c>
    </row>
    <row r="992" spans="2:9" x14ac:dyDescent="0.3">
      <c r="B992" t="str">
        <f>IFERROR(IF(A992="","",VLOOKUP(A992,CadProd!$A:$B,2,0)),"")</f>
        <v/>
      </c>
      <c r="C992" t="str">
        <f>IFERROR(IF(A992="","",VLOOKUP(A992,CadProd!$A:$C,3,0)),"")</f>
        <v/>
      </c>
      <c r="I992" s="1" t="str">
        <f>IFERROR(IF(A992="","",E992*#REF!),"")</f>
        <v/>
      </c>
    </row>
    <row r="993" spans="2:9" x14ac:dyDescent="0.3">
      <c r="B993" t="str">
        <f>IFERROR(IF(A993="","",VLOOKUP(A993,CadProd!$A:$B,2,0)),"")</f>
        <v/>
      </c>
      <c r="C993" t="str">
        <f>IFERROR(IF(A993="","",VLOOKUP(A993,CadProd!$A:$C,3,0)),"")</f>
        <v/>
      </c>
      <c r="I993" s="1" t="str">
        <f>IFERROR(IF(A993="","",E993*#REF!),"")</f>
        <v/>
      </c>
    </row>
    <row r="994" spans="2:9" x14ac:dyDescent="0.3">
      <c r="B994" t="str">
        <f>IFERROR(IF(A994="","",VLOOKUP(A994,CadProd!$A:$B,2,0)),"")</f>
        <v/>
      </c>
      <c r="C994" t="str">
        <f>IFERROR(IF(A994="","",VLOOKUP(A994,CadProd!$A:$C,3,0)),"")</f>
        <v/>
      </c>
      <c r="I994" s="1" t="str">
        <f>IFERROR(IF(A994="","",E994*#REF!),"")</f>
        <v/>
      </c>
    </row>
    <row r="995" spans="2:9" x14ac:dyDescent="0.3">
      <c r="B995" t="str">
        <f>IFERROR(IF(A995="","",VLOOKUP(A995,CadProd!$A:$B,2,0)),"")</f>
        <v/>
      </c>
      <c r="C995" t="str">
        <f>IFERROR(IF(A995="","",VLOOKUP(A995,CadProd!$A:$C,3,0)),"")</f>
        <v/>
      </c>
      <c r="I995" s="1" t="str">
        <f>IFERROR(IF(A995="","",E995*#REF!),"")</f>
        <v/>
      </c>
    </row>
    <row r="996" spans="2:9" x14ac:dyDescent="0.3">
      <c r="B996" t="str">
        <f>IFERROR(IF(A996="","",VLOOKUP(A996,CadProd!$A:$B,2,0)),"")</f>
        <v/>
      </c>
      <c r="C996" t="str">
        <f>IFERROR(IF(A996="","",VLOOKUP(A996,CadProd!$A:$C,3,0)),"")</f>
        <v/>
      </c>
      <c r="I996" s="1" t="str">
        <f>IFERROR(IF(A996="","",E996*#REF!),"")</f>
        <v/>
      </c>
    </row>
    <row r="997" spans="2:9" x14ac:dyDescent="0.3">
      <c r="B997" t="str">
        <f>IFERROR(IF(A997="","",VLOOKUP(A997,CadProd!$A:$B,2,0)),"")</f>
        <v/>
      </c>
      <c r="C997" t="str">
        <f>IFERROR(IF(A997="","",VLOOKUP(A997,CadProd!$A:$C,3,0)),"")</f>
        <v/>
      </c>
      <c r="I997" s="1" t="str">
        <f>IFERROR(IF(A997="","",E997*#REF!),"")</f>
        <v/>
      </c>
    </row>
    <row r="998" spans="2:9" x14ac:dyDescent="0.3">
      <c r="B998" t="str">
        <f>IFERROR(IF(A998="","",VLOOKUP(A998,CadProd!$A:$B,2,0)),"")</f>
        <v/>
      </c>
      <c r="C998" t="str">
        <f>IFERROR(IF(A998="","",VLOOKUP(A998,CadProd!$A:$C,3,0)),"")</f>
        <v/>
      </c>
      <c r="I998" s="1" t="str">
        <f>IFERROR(IF(A998="","",E998*#REF!),"")</f>
        <v/>
      </c>
    </row>
    <row r="999" spans="2:9" x14ac:dyDescent="0.3">
      <c r="B999" t="str">
        <f>IFERROR(IF(A999="","",VLOOKUP(A999,CadProd!$A:$B,2,0)),"")</f>
        <v/>
      </c>
      <c r="C999" t="str">
        <f>IFERROR(IF(A999="","",VLOOKUP(A999,CadProd!$A:$C,3,0)),"")</f>
        <v/>
      </c>
      <c r="I999" s="1" t="str">
        <f>IFERROR(IF(A999="","",E999*#REF!),"")</f>
        <v/>
      </c>
    </row>
    <row r="1000" spans="2:9" x14ac:dyDescent="0.3">
      <c r="B1000" t="str">
        <f>IFERROR(IF(A1000="","",VLOOKUP(A1000,CadProd!$A:$B,2,0)),"")</f>
        <v/>
      </c>
      <c r="C1000" t="str">
        <f>IFERROR(IF(A1000="","",VLOOKUP(A1000,CadProd!$A:$C,3,0)),"")</f>
        <v/>
      </c>
      <c r="I1000" s="1" t="str">
        <f>IFERROR(IF(A1000="","",E1000*#REF!),"")</f>
        <v/>
      </c>
    </row>
    <row r="1001" spans="2:9" x14ac:dyDescent="0.3">
      <c r="B1001" t="str">
        <f>IFERROR(IF(A1001="","",VLOOKUP(A1001,CadProd!$A:$B,2,0)),"")</f>
        <v/>
      </c>
      <c r="C1001" t="str">
        <f>IFERROR(IF(A1001="","",VLOOKUP(A1001,CadProd!$A:$C,3,0)),"")</f>
        <v/>
      </c>
      <c r="I1001" s="1" t="str">
        <f>IFERROR(IF(A1001="","",E1001*#REF!),"")</f>
        <v/>
      </c>
    </row>
    <row r="1002" spans="2:9" x14ac:dyDescent="0.3">
      <c r="B1002" t="str">
        <f>IFERROR(IF(A1002="","",VLOOKUP(A1002,CadProd!$A:$B,2,0)),"")</f>
        <v/>
      </c>
      <c r="C1002" t="str">
        <f>IFERROR(IF(A1002="","",VLOOKUP(A1002,CadProd!$A:$C,3,0)),"")</f>
        <v/>
      </c>
      <c r="I1002" s="1" t="str">
        <f>IFERROR(IF(A1002="","",E1002*#REF!),"")</f>
        <v/>
      </c>
    </row>
    <row r="1003" spans="2:9" x14ac:dyDescent="0.3">
      <c r="B1003" t="str">
        <f>IFERROR(IF(A1003="","",VLOOKUP(A1003,CadProd!$A:$B,2,0)),"")</f>
        <v/>
      </c>
      <c r="C1003" t="str">
        <f>IFERROR(IF(A1003="","",VLOOKUP(A1003,CadProd!$A:$C,3,0)),"")</f>
        <v/>
      </c>
      <c r="I1003" s="1" t="str">
        <f>IFERROR(IF(A1003="","",E1003*#REF!),"")</f>
        <v/>
      </c>
    </row>
    <row r="1004" spans="2:9" x14ac:dyDescent="0.3">
      <c r="B1004" t="str">
        <f>IFERROR(IF(A1004="","",VLOOKUP(A1004,CadProd!$A:$B,2,0)),"")</f>
        <v/>
      </c>
      <c r="C1004" t="str">
        <f>IFERROR(IF(A1004="","",VLOOKUP(A1004,CadProd!$A:$C,3,0)),"")</f>
        <v/>
      </c>
      <c r="I1004" s="1" t="str">
        <f>IFERROR(IF(A1004="","",E1004*#REF!),"")</f>
        <v/>
      </c>
    </row>
    <row r="1005" spans="2:9" x14ac:dyDescent="0.3">
      <c r="B1005" t="str">
        <f>IFERROR(IF(A1005="","",VLOOKUP(A1005,CadProd!$A:$B,2,0)),"")</f>
        <v/>
      </c>
      <c r="C1005" t="str">
        <f>IFERROR(IF(A1005="","",VLOOKUP(A1005,CadProd!$A:$C,3,0)),"")</f>
        <v/>
      </c>
      <c r="I1005" s="1" t="str">
        <f>IFERROR(IF(A1005="","",E1005*#REF!),"")</f>
        <v/>
      </c>
    </row>
    <row r="1006" spans="2:9" x14ac:dyDescent="0.3">
      <c r="B1006" t="str">
        <f>IFERROR(IF(A1006="","",VLOOKUP(A1006,CadProd!$A:$B,2,0)),"")</f>
        <v/>
      </c>
      <c r="C1006" t="str">
        <f>IFERROR(IF(A1006="","",VLOOKUP(A1006,CadProd!$A:$C,3,0)),"")</f>
        <v/>
      </c>
      <c r="I1006" s="1" t="str">
        <f>IFERROR(IF(A1006="","",E1006*#REF!),"")</f>
        <v/>
      </c>
    </row>
    <row r="1007" spans="2:9" x14ac:dyDescent="0.3">
      <c r="B1007" t="str">
        <f>IFERROR(IF(A1007="","",VLOOKUP(A1007,CadProd!$A:$B,2,0)),"")</f>
        <v/>
      </c>
      <c r="C1007" t="str">
        <f>IFERROR(IF(A1007="","",VLOOKUP(A1007,CadProd!$A:$C,3,0)),"")</f>
        <v/>
      </c>
      <c r="I1007" s="1" t="str">
        <f>IFERROR(IF(A1007="","",E1007*#REF!),"")</f>
        <v/>
      </c>
    </row>
    <row r="1008" spans="2:9" x14ac:dyDescent="0.3">
      <c r="B1008" t="str">
        <f>IFERROR(IF(A1008="","",VLOOKUP(A1008,CadProd!$A:$B,2,0)),"")</f>
        <v/>
      </c>
      <c r="C1008" t="str">
        <f>IFERROR(IF(A1008="","",VLOOKUP(A1008,CadProd!$A:$C,3,0)),"")</f>
        <v/>
      </c>
      <c r="I1008" s="1" t="str">
        <f>IFERROR(IF(A1008="","",E1008*#REF!),"")</f>
        <v/>
      </c>
    </row>
    <row r="1009" spans="2:9" x14ac:dyDescent="0.3">
      <c r="B1009" t="str">
        <f>IFERROR(IF(A1009="","",VLOOKUP(A1009,CadProd!$A:$B,2,0)),"")</f>
        <v/>
      </c>
      <c r="C1009" t="str">
        <f>IFERROR(IF(A1009="","",VLOOKUP(A1009,CadProd!$A:$C,3,0)),"")</f>
        <v/>
      </c>
      <c r="I1009" s="1" t="str">
        <f>IFERROR(IF(A1009="","",E1009*#REF!),"")</f>
        <v/>
      </c>
    </row>
    <row r="1010" spans="2:9" x14ac:dyDescent="0.3">
      <c r="B1010" t="str">
        <f>IFERROR(IF(A1010="","",VLOOKUP(A1010,CadProd!$A:$B,2,0)),"")</f>
        <v/>
      </c>
      <c r="C1010" t="str">
        <f>IFERROR(IF(A1010="","",VLOOKUP(A1010,CadProd!$A:$C,3,0)),"")</f>
        <v/>
      </c>
      <c r="I1010" s="1" t="str">
        <f>IFERROR(IF(A1010="","",E1010*#REF!),"")</f>
        <v/>
      </c>
    </row>
    <row r="1011" spans="2:9" x14ac:dyDescent="0.3">
      <c r="B1011" t="str">
        <f>IFERROR(IF(A1011="","",VLOOKUP(A1011,CadProd!$A:$B,2,0)),"")</f>
        <v/>
      </c>
      <c r="C1011" t="str">
        <f>IFERROR(IF(A1011="","",VLOOKUP(A1011,CadProd!$A:$C,3,0)),"")</f>
        <v/>
      </c>
      <c r="I1011" s="1" t="str">
        <f>IFERROR(IF(A1011="","",E1011*#REF!),"")</f>
        <v/>
      </c>
    </row>
    <row r="1012" spans="2:9" x14ac:dyDescent="0.3">
      <c r="B1012" t="str">
        <f>IFERROR(IF(A1012="","",VLOOKUP(A1012,CadProd!$A:$B,2,0)),"")</f>
        <v/>
      </c>
      <c r="C1012" t="str">
        <f>IFERROR(IF(A1012="","",VLOOKUP(A1012,CadProd!$A:$C,3,0)),"")</f>
        <v/>
      </c>
      <c r="I1012" s="1" t="str">
        <f>IFERROR(IF(A1012="","",E1012*#REF!),"")</f>
        <v/>
      </c>
    </row>
    <row r="1013" spans="2:9" x14ac:dyDescent="0.3">
      <c r="B1013" t="str">
        <f>IFERROR(IF(A1013="","",VLOOKUP(A1013,CadProd!$A:$B,2,0)),"")</f>
        <v/>
      </c>
      <c r="C1013" t="str">
        <f>IFERROR(IF(A1013="","",VLOOKUP(A1013,CadProd!$A:$C,3,0)),"")</f>
        <v/>
      </c>
      <c r="I1013" s="1" t="str">
        <f>IFERROR(IF(A1013="","",E1013*#REF!),"")</f>
        <v/>
      </c>
    </row>
    <row r="1014" spans="2:9" x14ac:dyDescent="0.3">
      <c r="B1014" t="str">
        <f>IFERROR(IF(A1014="","",VLOOKUP(A1014,CadProd!$A:$B,2,0)),"")</f>
        <v/>
      </c>
      <c r="C1014" t="str">
        <f>IFERROR(IF(A1014="","",VLOOKUP(A1014,CadProd!$A:$C,3,0)),"")</f>
        <v/>
      </c>
      <c r="I1014" s="1" t="str">
        <f>IFERROR(IF(A1014="","",E1014*#REF!),"")</f>
        <v/>
      </c>
    </row>
    <row r="1015" spans="2:9" x14ac:dyDescent="0.3">
      <c r="B1015" t="str">
        <f>IFERROR(IF(A1015="","",VLOOKUP(A1015,CadProd!$A:$B,2,0)),"")</f>
        <v/>
      </c>
      <c r="C1015" t="str">
        <f>IFERROR(IF(A1015="","",VLOOKUP(A1015,CadProd!$A:$C,3,0)),"")</f>
        <v/>
      </c>
      <c r="I1015" s="1" t="str">
        <f>IFERROR(IF(A1015="","",E1015*#REF!),"")</f>
        <v/>
      </c>
    </row>
    <row r="1016" spans="2:9" x14ac:dyDescent="0.3">
      <c r="B1016" t="str">
        <f>IFERROR(IF(A1016="","",VLOOKUP(A1016,CadProd!$A:$B,2,0)),"")</f>
        <v/>
      </c>
      <c r="C1016" t="str">
        <f>IFERROR(IF(A1016="","",VLOOKUP(A1016,CadProd!$A:$C,3,0)),"")</f>
        <v/>
      </c>
      <c r="I1016" s="1" t="str">
        <f>IFERROR(IF(A1016="","",E1016*#REF!),"")</f>
        <v/>
      </c>
    </row>
    <row r="1017" spans="2:9" x14ac:dyDescent="0.3">
      <c r="B1017" t="str">
        <f>IFERROR(IF(A1017="","",VLOOKUP(A1017,CadProd!$A:$B,2,0)),"")</f>
        <v/>
      </c>
      <c r="C1017" t="str">
        <f>IFERROR(IF(A1017="","",VLOOKUP(A1017,CadProd!$A:$C,3,0)),"")</f>
        <v/>
      </c>
      <c r="I1017" s="1" t="str">
        <f>IFERROR(IF(A1017="","",E1017*#REF!),"")</f>
        <v/>
      </c>
    </row>
    <row r="1018" spans="2:9" x14ac:dyDescent="0.3">
      <c r="B1018" t="str">
        <f>IFERROR(IF(A1018="","",VLOOKUP(A1018,CadProd!$A:$B,2,0)),"")</f>
        <v/>
      </c>
      <c r="C1018" t="str">
        <f>IFERROR(IF(A1018="","",VLOOKUP(A1018,CadProd!$A:$C,3,0)),"")</f>
        <v/>
      </c>
      <c r="I1018" s="1" t="str">
        <f>IFERROR(IF(A1018="","",E1018*#REF!),"")</f>
        <v/>
      </c>
    </row>
    <row r="1019" spans="2:9" x14ac:dyDescent="0.3">
      <c r="B1019" t="str">
        <f>IFERROR(IF(A1019="","",VLOOKUP(A1019,CadProd!$A:$B,2,0)),"")</f>
        <v/>
      </c>
      <c r="C1019" t="str">
        <f>IFERROR(IF(A1019="","",VLOOKUP(A1019,CadProd!$A:$C,3,0)),"")</f>
        <v/>
      </c>
      <c r="I1019" s="1" t="str">
        <f>IFERROR(IF(A1019="","",E1019*#REF!),"")</f>
        <v/>
      </c>
    </row>
    <row r="1020" spans="2:9" x14ac:dyDescent="0.3">
      <c r="B1020" t="str">
        <f>IFERROR(IF(A1020="","",VLOOKUP(A1020,CadProd!$A:$B,2,0)),"")</f>
        <v/>
      </c>
      <c r="C1020" t="str">
        <f>IFERROR(IF(A1020="","",VLOOKUP(A1020,CadProd!$A:$C,3,0)),"")</f>
        <v/>
      </c>
      <c r="I1020" s="1" t="str">
        <f>IFERROR(IF(A1020="","",E1020*#REF!),"")</f>
        <v/>
      </c>
    </row>
    <row r="1021" spans="2:9" x14ac:dyDescent="0.3">
      <c r="B1021" t="str">
        <f>IFERROR(IF(A1021="","",VLOOKUP(A1021,CadProd!$A:$B,2,0)),"")</f>
        <v/>
      </c>
      <c r="C1021" t="str">
        <f>IFERROR(IF(A1021="","",VLOOKUP(A1021,CadProd!$A:$C,3,0)),"")</f>
        <v/>
      </c>
      <c r="I1021" s="1" t="str">
        <f>IFERROR(IF(A1021="","",E1021*#REF!),"")</f>
        <v/>
      </c>
    </row>
    <row r="1022" spans="2:9" x14ac:dyDescent="0.3">
      <c r="B1022" t="str">
        <f>IFERROR(IF(A1022="","",VLOOKUP(A1022,CadProd!$A:$B,2,0)),"")</f>
        <v/>
      </c>
      <c r="C1022" t="str">
        <f>IFERROR(IF(A1022="","",VLOOKUP(A1022,CadProd!$A:$C,3,0)),"")</f>
        <v/>
      </c>
      <c r="I1022" s="1" t="str">
        <f>IFERROR(IF(A1022="","",E1022*#REF!),"")</f>
        <v/>
      </c>
    </row>
    <row r="1023" spans="2:9" x14ac:dyDescent="0.3">
      <c r="B1023" t="str">
        <f>IFERROR(IF(A1023="","",VLOOKUP(A1023,CadProd!$A:$B,2,0)),"")</f>
        <v/>
      </c>
      <c r="C1023" t="str">
        <f>IFERROR(IF(A1023="","",VLOOKUP(A1023,CadProd!$A:$C,3,0)),"")</f>
        <v/>
      </c>
      <c r="I1023" s="1" t="str">
        <f>IFERROR(IF(A1023="","",E1023*#REF!),"")</f>
        <v/>
      </c>
    </row>
    <row r="1024" spans="2:9" x14ac:dyDescent="0.3">
      <c r="B1024" t="str">
        <f>IFERROR(IF(A1024="","",VLOOKUP(A1024,CadProd!$A:$B,2,0)),"")</f>
        <v/>
      </c>
      <c r="C1024" t="str">
        <f>IFERROR(IF(A1024="","",VLOOKUP(A1024,CadProd!$A:$C,3,0)),"")</f>
        <v/>
      </c>
      <c r="I1024" s="1" t="str">
        <f>IFERROR(IF(A1024="","",E1024*#REF!),"")</f>
        <v/>
      </c>
    </row>
    <row r="1025" spans="2:9" x14ac:dyDescent="0.3">
      <c r="B1025" t="str">
        <f>IFERROR(IF(A1025="","",VLOOKUP(A1025,CadProd!$A:$B,2,0)),"")</f>
        <v/>
      </c>
      <c r="C1025" t="str">
        <f>IFERROR(IF(A1025="","",VLOOKUP(A1025,CadProd!$A:$C,3,0)),"")</f>
        <v/>
      </c>
      <c r="I1025" s="1" t="str">
        <f>IFERROR(IF(A1025="","",E1025*#REF!),"")</f>
        <v/>
      </c>
    </row>
    <row r="1026" spans="2:9" x14ac:dyDescent="0.3">
      <c r="B1026" t="str">
        <f>IFERROR(IF(A1026="","",VLOOKUP(A1026,CadProd!$A:$B,2,0)),"")</f>
        <v/>
      </c>
      <c r="C1026" t="str">
        <f>IFERROR(IF(A1026="","",VLOOKUP(A1026,CadProd!$A:$C,3,0)),"")</f>
        <v/>
      </c>
      <c r="I1026" s="1" t="str">
        <f>IFERROR(IF(A1026="","",E1026*#REF!),"")</f>
        <v/>
      </c>
    </row>
    <row r="1027" spans="2:9" x14ac:dyDescent="0.3">
      <c r="B1027" t="str">
        <f>IFERROR(IF(A1027="","",VLOOKUP(A1027,CadProd!$A:$B,2,0)),"")</f>
        <v/>
      </c>
      <c r="C1027" t="str">
        <f>IFERROR(IF(A1027="","",VLOOKUP(A1027,CadProd!$A:$C,3,0)),"")</f>
        <v/>
      </c>
      <c r="I1027" s="1" t="str">
        <f>IFERROR(IF(A1027="","",E1027*#REF!),"")</f>
        <v/>
      </c>
    </row>
    <row r="1028" spans="2:9" x14ac:dyDescent="0.3">
      <c r="B1028" t="str">
        <f>IFERROR(IF(A1028="","",VLOOKUP(A1028,CadProd!$A:$B,2,0)),"")</f>
        <v/>
      </c>
      <c r="C1028" t="str">
        <f>IFERROR(IF(A1028="","",VLOOKUP(A1028,CadProd!$A:$C,3,0)),"")</f>
        <v/>
      </c>
      <c r="I1028" s="1" t="str">
        <f>IFERROR(IF(A1028="","",E1028*#REF!),"")</f>
        <v/>
      </c>
    </row>
    <row r="1029" spans="2:9" x14ac:dyDescent="0.3">
      <c r="B1029" t="str">
        <f>IFERROR(IF(A1029="","",VLOOKUP(A1029,CadProd!$A:$B,2,0)),"")</f>
        <v/>
      </c>
      <c r="C1029" t="str">
        <f>IFERROR(IF(A1029="","",VLOOKUP(A1029,CadProd!$A:$C,3,0)),"")</f>
        <v/>
      </c>
      <c r="I1029" s="1" t="str">
        <f>IFERROR(IF(A1029="","",E1029*#REF!),"")</f>
        <v/>
      </c>
    </row>
    <row r="1030" spans="2:9" x14ac:dyDescent="0.3">
      <c r="B1030" t="str">
        <f>IFERROR(IF(A1030="","",VLOOKUP(A1030,CadProd!$A:$B,2,0)),"")</f>
        <v/>
      </c>
      <c r="C1030" t="str">
        <f>IFERROR(IF(A1030="","",VLOOKUP(A1030,CadProd!$A:$C,3,0)),"")</f>
        <v/>
      </c>
      <c r="I1030" s="1" t="str">
        <f>IFERROR(IF(A1030="","",E1030*#REF!),"")</f>
        <v/>
      </c>
    </row>
    <row r="1031" spans="2:9" x14ac:dyDescent="0.3">
      <c r="B1031" t="str">
        <f>IFERROR(IF(A1031="","",VLOOKUP(A1031,CadProd!$A:$B,2,0)),"")</f>
        <v/>
      </c>
      <c r="C1031" t="str">
        <f>IFERROR(IF(A1031="","",VLOOKUP(A1031,CadProd!$A:$C,3,0)),"")</f>
        <v/>
      </c>
      <c r="I1031" s="1" t="str">
        <f>IFERROR(IF(A1031="","",E1031*#REF!),"")</f>
        <v/>
      </c>
    </row>
    <row r="1032" spans="2:9" x14ac:dyDescent="0.3">
      <c r="B1032" t="str">
        <f>IFERROR(IF(A1032="","",VLOOKUP(A1032,CadProd!$A:$B,2,0)),"")</f>
        <v/>
      </c>
      <c r="C1032" t="str">
        <f>IFERROR(IF(A1032="","",VLOOKUP(A1032,CadProd!$A:$C,3,0)),"")</f>
        <v/>
      </c>
      <c r="I1032" s="1" t="str">
        <f>IFERROR(IF(A1032="","",E1032*#REF!),"")</f>
        <v/>
      </c>
    </row>
    <row r="1033" spans="2:9" x14ac:dyDescent="0.3">
      <c r="B1033" t="str">
        <f>IFERROR(IF(A1033="","",VLOOKUP(A1033,CadProd!$A:$B,2,0)),"")</f>
        <v/>
      </c>
      <c r="C1033" t="str">
        <f>IFERROR(IF(A1033="","",VLOOKUP(A1033,CadProd!$A:$C,3,0)),"")</f>
        <v/>
      </c>
      <c r="I1033" s="1" t="str">
        <f>IFERROR(IF(A1033="","",E1033*#REF!),"")</f>
        <v/>
      </c>
    </row>
    <row r="1034" spans="2:9" x14ac:dyDescent="0.3">
      <c r="B1034" t="str">
        <f>IFERROR(IF(A1034="","",VLOOKUP(A1034,CadProd!$A:$B,2,0)),"")</f>
        <v/>
      </c>
      <c r="C1034" t="str">
        <f>IFERROR(IF(A1034="","",VLOOKUP(A1034,CadProd!$A:$C,3,0)),"")</f>
        <v/>
      </c>
      <c r="I1034" s="1" t="str">
        <f>IFERROR(IF(A1034="","",E1034*#REF!),"")</f>
        <v/>
      </c>
    </row>
    <row r="1035" spans="2:9" x14ac:dyDescent="0.3">
      <c r="B1035" t="str">
        <f>IFERROR(IF(A1035="","",VLOOKUP(A1035,CadProd!$A:$B,2,0)),"")</f>
        <v/>
      </c>
      <c r="C1035" t="str">
        <f>IFERROR(IF(A1035="","",VLOOKUP(A1035,CadProd!$A:$C,3,0)),"")</f>
        <v/>
      </c>
      <c r="I1035" s="1" t="str">
        <f>IFERROR(IF(A1035="","",E1035*#REF!),"")</f>
        <v/>
      </c>
    </row>
    <row r="1036" spans="2:9" x14ac:dyDescent="0.3">
      <c r="B1036" t="str">
        <f>IFERROR(IF(A1036="","",VLOOKUP(A1036,CadProd!$A:$B,2,0)),"")</f>
        <v/>
      </c>
      <c r="C1036" t="str">
        <f>IFERROR(IF(A1036="","",VLOOKUP(A1036,CadProd!$A:$C,3,0)),"")</f>
        <v/>
      </c>
      <c r="I1036" s="1" t="str">
        <f>IFERROR(IF(A1036="","",E1036*#REF!),"")</f>
        <v/>
      </c>
    </row>
    <row r="1037" spans="2:9" x14ac:dyDescent="0.3">
      <c r="B1037" t="str">
        <f>IFERROR(IF(A1037="","",VLOOKUP(A1037,CadProd!$A:$B,2,0)),"")</f>
        <v/>
      </c>
      <c r="C1037" t="str">
        <f>IFERROR(IF(A1037="","",VLOOKUP(A1037,CadProd!$A:$C,3,0)),"")</f>
        <v/>
      </c>
      <c r="I1037" s="1" t="str">
        <f>IFERROR(IF(A1037="","",E1037*#REF!),"")</f>
        <v/>
      </c>
    </row>
    <row r="1038" spans="2:9" x14ac:dyDescent="0.3">
      <c r="B1038" t="str">
        <f>IFERROR(IF(A1038="","",VLOOKUP(A1038,CadProd!$A:$B,2,0)),"")</f>
        <v/>
      </c>
      <c r="C1038" t="str">
        <f>IFERROR(IF(A1038="","",VLOOKUP(A1038,CadProd!$A:$C,3,0)),"")</f>
        <v/>
      </c>
      <c r="I1038" s="1" t="str">
        <f>IFERROR(IF(A1038="","",E1038*#REF!),"")</f>
        <v/>
      </c>
    </row>
    <row r="1039" spans="2:9" x14ac:dyDescent="0.3">
      <c r="B1039" t="str">
        <f>IFERROR(IF(A1039="","",VLOOKUP(A1039,CadProd!$A:$B,2,0)),"")</f>
        <v/>
      </c>
      <c r="C1039" t="str">
        <f>IFERROR(IF(A1039="","",VLOOKUP(A1039,CadProd!$A:$C,3,0)),"")</f>
        <v/>
      </c>
      <c r="I1039" s="1" t="str">
        <f>IFERROR(IF(A1039="","",E1039*#REF!),"")</f>
        <v/>
      </c>
    </row>
    <row r="1040" spans="2:9" x14ac:dyDescent="0.3">
      <c r="B1040" t="str">
        <f>IFERROR(IF(A1040="","",VLOOKUP(A1040,CadProd!$A:$B,2,0)),"")</f>
        <v/>
      </c>
      <c r="C1040" t="str">
        <f>IFERROR(IF(A1040="","",VLOOKUP(A1040,CadProd!$A:$C,3,0)),"")</f>
        <v/>
      </c>
      <c r="I1040" s="1" t="str">
        <f>IFERROR(IF(A1040="","",E1040*#REF!),"")</f>
        <v/>
      </c>
    </row>
    <row r="1041" spans="2:9" x14ac:dyDescent="0.3">
      <c r="B1041" t="str">
        <f>IFERROR(IF(A1041="","",VLOOKUP(A1041,CadProd!$A:$B,2,0)),"")</f>
        <v/>
      </c>
      <c r="C1041" t="str">
        <f>IFERROR(IF(A1041="","",VLOOKUP(A1041,CadProd!$A:$C,3,0)),"")</f>
        <v/>
      </c>
      <c r="I1041" s="1" t="str">
        <f>IFERROR(IF(A1041="","",E1041*#REF!),"")</f>
        <v/>
      </c>
    </row>
    <row r="1042" spans="2:9" x14ac:dyDescent="0.3">
      <c r="B1042" t="str">
        <f>IFERROR(IF(A1042="","",VLOOKUP(A1042,CadProd!$A:$B,2,0)),"")</f>
        <v/>
      </c>
      <c r="C1042" t="str">
        <f>IFERROR(IF(A1042="","",VLOOKUP(A1042,CadProd!$A:$C,3,0)),"")</f>
        <v/>
      </c>
      <c r="I1042" s="1" t="str">
        <f>IFERROR(IF(A1042="","",E1042*#REF!),"")</f>
        <v/>
      </c>
    </row>
    <row r="1043" spans="2:9" x14ac:dyDescent="0.3">
      <c r="B1043" t="str">
        <f>IFERROR(IF(A1043="","",VLOOKUP(A1043,CadProd!$A:$B,2,0)),"")</f>
        <v/>
      </c>
      <c r="C1043" t="str">
        <f>IFERROR(IF(A1043="","",VLOOKUP(A1043,CadProd!$A:$C,3,0)),"")</f>
        <v/>
      </c>
      <c r="I1043" s="1" t="str">
        <f>IFERROR(IF(A1043="","",E1043*#REF!),"")</f>
        <v/>
      </c>
    </row>
    <row r="1044" spans="2:9" x14ac:dyDescent="0.3">
      <c r="B1044" t="str">
        <f>IFERROR(IF(A1044="","",VLOOKUP(A1044,CadProd!$A:$B,2,0)),"")</f>
        <v/>
      </c>
      <c r="C1044" t="str">
        <f>IFERROR(IF(A1044="","",VLOOKUP(A1044,CadProd!$A:$C,3,0)),"")</f>
        <v/>
      </c>
      <c r="I1044" s="1" t="str">
        <f>IFERROR(IF(A1044="","",E1044*#REF!),"")</f>
        <v/>
      </c>
    </row>
    <row r="1045" spans="2:9" x14ac:dyDescent="0.3">
      <c r="B1045" t="str">
        <f>IFERROR(IF(A1045="","",VLOOKUP(A1045,CadProd!$A:$B,2,0)),"")</f>
        <v/>
      </c>
      <c r="C1045" t="str">
        <f>IFERROR(IF(A1045="","",VLOOKUP(A1045,CadProd!$A:$C,3,0)),"")</f>
        <v/>
      </c>
      <c r="I1045" s="1" t="str">
        <f>IFERROR(IF(A1045="","",E1045*#REF!),"")</f>
        <v/>
      </c>
    </row>
    <row r="1046" spans="2:9" x14ac:dyDescent="0.3">
      <c r="B1046" t="str">
        <f>IFERROR(IF(A1046="","",VLOOKUP(A1046,CadProd!$A:$B,2,0)),"")</f>
        <v/>
      </c>
      <c r="C1046" t="str">
        <f>IFERROR(IF(A1046="","",VLOOKUP(A1046,CadProd!$A:$C,3,0)),"")</f>
        <v/>
      </c>
      <c r="I1046" s="1" t="str">
        <f>IFERROR(IF(A1046="","",E1046*#REF!),"")</f>
        <v/>
      </c>
    </row>
    <row r="1047" spans="2:9" x14ac:dyDescent="0.3">
      <c r="B1047" t="str">
        <f>IFERROR(IF(A1047="","",VLOOKUP(A1047,CadProd!$A:$B,2,0)),"")</f>
        <v/>
      </c>
      <c r="C1047" t="str">
        <f>IFERROR(IF(A1047="","",VLOOKUP(A1047,CadProd!$A:$C,3,0)),"")</f>
        <v/>
      </c>
      <c r="I1047" s="1" t="str">
        <f>IFERROR(IF(A1047="","",E1047*#REF!),"")</f>
        <v/>
      </c>
    </row>
    <row r="1048" spans="2:9" x14ac:dyDescent="0.3">
      <c r="B1048" t="str">
        <f>IFERROR(IF(A1048="","",VLOOKUP(A1048,CadProd!$A:$B,2,0)),"")</f>
        <v/>
      </c>
      <c r="C1048" t="str">
        <f>IFERROR(IF(A1048="","",VLOOKUP(A1048,CadProd!$A:$C,3,0)),"")</f>
        <v/>
      </c>
      <c r="I1048" s="1" t="str">
        <f>IFERROR(IF(A1048="","",E1048*#REF!),"")</f>
        <v/>
      </c>
    </row>
    <row r="1049" spans="2:9" x14ac:dyDescent="0.3">
      <c r="B1049" t="str">
        <f>IFERROR(IF(A1049="","",VLOOKUP(A1049,CadProd!$A:$B,2,0)),"")</f>
        <v/>
      </c>
      <c r="C1049" t="str">
        <f>IFERROR(IF(A1049="","",VLOOKUP(A1049,CadProd!$A:$C,3,0)),"")</f>
        <v/>
      </c>
      <c r="I1049" s="1" t="str">
        <f>IFERROR(IF(A1049="","",E1049*#REF!),"")</f>
        <v/>
      </c>
    </row>
    <row r="1050" spans="2:9" x14ac:dyDescent="0.3">
      <c r="B1050" t="str">
        <f>IFERROR(IF(A1050="","",VLOOKUP(A1050,CadProd!$A:$B,2,0)),"")</f>
        <v/>
      </c>
      <c r="C1050" t="str">
        <f>IFERROR(IF(A1050="","",VLOOKUP(A1050,CadProd!$A:$C,3,0)),"")</f>
        <v/>
      </c>
      <c r="I1050" s="1" t="str">
        <f>IFERROR(IF(A1050="","",E1050*#REF!),"")</f>
        <v/>
      </c>
    </row>
    <row r="1051" spans="2:9" x14ac:dyDescent="0.3">
      <c r="B1051" t="str">
        <f>IFERROR(IF(A1051="","",VLOOKUP(A1051,CadProd!$A:$B,2,0)),"")</f>
        <v/>
      </c>
      <c r="C1051" t="str">
        <f>IFERROR(IF(A1051="","",VLOOKUP(A1051,CadProd!$A:$C,3,0)),"")</f>
        <v/>
      </c>
      <c r="I1051" s="1" t="str">
        <f>IFERROR(IF(A1051="","",E1051*#REF!),"")</f>
        <v/>
      </c>
    </row>
    <row r="1052" spans="2:9" x14ac:dyDescent="0.3">
      <c r="B1052" t="str">
        <f>IFERROR(IF(A1052="","",VLOOKUP(A1052,CadProd!$A:$B,2,0)),"")</f>
        <v/>
      </c>
      <c r="C1052" t="str">
        <f>IFERROR(IF(A1052="","",VLOOKUP(A1052,CadProd!$A:$C,3,0)),"")</f>
        <v/>
      </c>
      <c r="I1052" s="1" t="str">
        <f>IFERROR(IF(A1052="","",E1052*#REF!),"")</f>
        <v/>
      </c>
    </row>
    <row r="1053" spans="2:9" x14ac:dyDescent="0.3">
      <c r="B1053" t="str">
        <f>IFERROR(IF(A1053="","",VLOOKUP(A1053,CadProd!$A:$B,2,0)),"")</f>
        <v/>
      </c>
      <c r="C1053" t="str">
        <f>IFERROR(IF(A1053="","",VLOOKUP(A1053,CadProd!$A:$C,3,0)),"")</f>
        <v/>
      </c>
      <c r="I1053" s="1" t="str">
        <f>IFERROR(IF(A1053="","",E1053*#REF!),"")</f>
        <v/>
      </c>
    </row>
    <row r="1054" spans="2:9" x14ac:dyDescent="0.3">
      <c r="B1054" t="str">
        <f>IFERROR(IF(A1054="","",VLOOKUP(A1054,CadProd!$A:$B,2,0)),"")</f>
        <v/>
      </c>
      <c r="C1054" t="str">
        <f>IFERROR(IF(A1054="","",VLOOKUP(A1054,CadProd!$A:$C,3,0)),"")</f>
        <v/>
      </c>
      <c r="I1054" s="1" t="str">
        <f>IFERROR(IF(A1054="","",E1054*#REF!),"")</f>
        <v/>
      </c>
    </row>
    <row r="1055" spans="2:9" x14ac:dyDescent="0.3">
      <c r="B1055" t="str">
        <f>IFERROR(IF(A1055="","",VLOOKUP(A1055,CadProd!$A:$B,2,0)),"")</f>
        <v/>
      </c>
      <c r="C1055" t="str">
        <f>IFERROR(IF(A1055="","",VLOOKUP(A1055,CadProd!$A:$C,3,0)),"")</f>
        <v/>
      </c>
      <c r="I1055" s="1" t="str">
        <f>IFERROR(IF(A1055="","",E1055*#REF!),"")</f>
        <v/>
      </c>
    </row>
    <row r="1056" spans="2:9" x14ac:dyDescent="0.3">
      <c r="B1056" t="str">
        <f>IFERROR(IF(A1056="","",VLOOKUP(A1056,CadProd!$A:$B,2,0)),"")</f>
        <v/>
      </c>
      <c r="C1056" t="str">
        <f>IFERROR(IF(A1056="","",VLOOKUP(A1056,CadProd!$A:$C,3,0)),"")</f>
        <v/>
      </c>
      <c r="I1056" s="1" t="str">
        <f>IFERROR(IF(A1056="","",E1056*#REF!),"")</f>
        <v/>
      </c>
    </row>
    <row r="1057" spans="2:9" x14ac:dyDescent="0.3">
      <c r="B1057" t="str">
        <f>IFERROR(IF(A1057="","",VLOOKUP(A1057,CadProd!$A:$B,2,0)),"")</f>
        <v/>
      </c>
      <c r="C1057" t="str">
        <f>IFERROR(IF(A1057="","",VLOOKUP(A1057,CadProd!$A:$C,3,0)),"")</f>
        <v/>
      </c>
      <c r="I1057" s="1" t="str">
        <f>IFERROR(IF(A1057="","",E1057*#REF!),"")</f>
        <v/>
      </c>
    </row>
    <row r="1058" spans="2:9" x14ac:dyDescent="0.3">
      <c r="B1058" t="str">
        <f>IFERROR(IF(A1058="","",VLOOKUP(A1058,CadProd!$A:$B,2,0)),"")</f>
        <v/>
      </c>
      <c r="C1058" t="str">
        <f>IFERROR(IF(A1058="","",VLOOKUP(A1058,CadProd!$A:$C,3,0)),"")</f>
        <v/>
      </c>
      <c r="I1058" s="1" t="str">
        <f>IFERROR(IF(A1058="","",E1058*#REF!),"")</f>
        <v/>
      </c>
    </row>
    <row r="1059" spans="2:9" x14ac:dyDescent="0.3">
      <c r="B1059" t="str">
        <f>IFERROR(IF(A1059="","",VLOOKUP(A1059,CadProd!$A:$B,2,0)),"")</f>
        <v/>
      </c>
      <c r="C1059" t="str">
        <f>IFERROR(IF(A1059="","",VLOOKUP(A1059,CadProd!$A:$C,3,0)),"")</f>
        <v/>
      </c>
      <c r="I1059" s="1" t="str">
        <f>IFERROR(IF(A1059="","",E1059*#REF!),"")</f>
        <v/>
      </c>
    </row>
    <row r="1060" spans="2:9" x14ac:dyDescent="0.3">
      <c r="B1060" t="str">
        <f>IFERROR(IF(A1060="","",VLOOKUP(A1060,CadProd!$A:$B,2,0)),"")</f>
        <v/>
      </c>
      <c r="C1060" t="str">
        <f>IFERROR(IF(A1060="","",VLOOKUP(A1060,CadProd!$A:$C,3,0)),"")</f>
        <v/>
      </c>
      <c r="I1060" s="1" t="str">
        <f>IFERROR(IF(A1060="","",E1060*#REF!),"")</f>
        <v/>
      </c>
    </row>
    <row r="1061" spans="2:9" x14ac:dyDescent="0.3">
      <c r="B1061" t="str">
        <f>IFERROR(IF(A1061="","",VLOOKUP(A1061,CadProd!$A:$B,2,0)),"")</f>
        <v/>
      </c>
      <c r="C1061" t="str">
        <f>IFERROR(IF(A1061="","",VLOOKUP(A1061,CadProd!$A:$C,3,0)),"")</f>
        <v/>
      </c>
      <c r="I1061" s="1" t="str">
        <f>IFERROR(IF(A1061="","",E1061*#REF!),"")</f>
        <v/>
      </c>
    </row>
    <row r="1062" spans="2:9" x14ac:dyDescent="0.3">
      <c r="B1062" t="str">
        <f>IFERROR(IF(A1062="","",VLOOKUP(A1062,CadProd!$A:$B,2,0)),"")</f>
        <v/>
      </c>
      <c r="C1062" t="str">
        <f>IFERROR(IF(A1062="","",VLOOKUP(A1062,CadProd!$A:$C,3,0)),"")</f>
        <v/>
      </c>
      <c r="I1062" s="1" t="str">
        <f>IFERROR(IF(A1062="","",E1062*#REF!),"")</f>
        <v/>
      </c>
    </row>
    <row r="1063" spans="2:9" x14ac:dyDescent="0.3">
      <c r="B1063" t="str">
        <f>IFERROR(IF(A1063="","",VLOOKUP(A1063,CadProd!$A:$B,2,0)),"")</f>
        <v/>
      </c>
      <c r="C1063" t="str">
        <f>IFERROR(IF(A1063="","",VLOOKUP(A1063,CadProd!$A:$C,3,0)),"")</f>
        <v/>
      </c>
      <c r="I1063" s="1" t="str">
        <f>IFERROR(IF(A1063="","",E1063*#REF!),"")</f>
        <v/>
      </c>
    </row>
    <row r="1064" spans="2:9" x14ac:dyDescent="0.3">
      <c r="B1064" t="str">
        <f>IFERROR(IF(A1064="","",VLOOKUP(A1064,CadProd!$A:$B,2,0)),"")</f>
        <v/>
      </c>
      <c r="C1064" t="str">
        <f>IFERROR(IF(A1064="","",VLOOKUP(A1064,CadProd!$A:$C,3,0)),"")</f>
        <v/>
      </c>
      <c r="I1064" s="1" t="str">
        <f>IFERROR(IF(A1064="","",E1064*#REF!),"")</f>
        <v/>
      </c>
    </row>
    <row r="1065" spans="2:9" x14ac:dyDescent="0.3">
      <c r="B1065" t="str">
        <f>IFERROR(IF(A1065="","",VLOOKUP(A1065,CadProd!$A:$B,2,0)),"")</f>
        <v/>
      </c>
      <c r="C1065" t="str">
        <f>IFERROR(IF(A1065="","",VLOOKUP(A1065,CadProd!$A:$C,3,0)),"")</f>
        <v/>
      </c>
      <c r="I1065" s="1" t="str">
        <f>IFERROR(IF(A1065="","",E1065*#REF!),"")</f>
        <v/>
      </c>
    </row>
    <row r="1066" spans="2:9" x14ac:dyDescent="0.3">
      <c r="B1066" t="str">
        <f>IFERROR(IF(A1066="","",VLOOKUP(A1066,CadProd!$A:$B,2,0)),"")</f>
        <v/>
      </c>
      <c r="C1066" t="str">
        <f>IFERROR(IF(A1066="","",VLOOKUP(A1066,CadProd!$A:$C,3,0)),"")</f>
        <v/>
      </c>
      <c r="I1066" s="1" t="str">
        <f>IFERROR(IF(A1066="","",E1066*#REF!),"")</f>
        <v/>
      </c>
    </row>
    <row r="1067" spans="2:9" x14ac:dyDescent="0.3">
      <c r="B1067" t="str">
        <f>IFERROR(IF(A1067="","",VLOOKUP(A1067,CadProd!$A:$B,2,0)),"")</f>
        <v/>
      </c>
      <c r="C1067" t="str">
        <f>IFERROR(IF(A1067="","",VLOOKUP(A1067,CadProd!$A:$C,3,0)),"")</f>
        <v/>
      </c>
      <c r="I1067" s="1" t="str">
        <f>IFERROR(IF(A1067="","",E1067*#REF!),"")</f>
        <v/>
      </c>
    </row>
    <row r="1068" spans="2:9" x14ac:dyDescent="0.3">
      <c r="B1068" t="str">
        <f>IFERROR(IF(A1068="","",VLOOKUP(A1068,CadProd!$A:$B,2,0)),"")</f>
        <v/>
      </c>
      <c r="C1068" t="str">
        <f>IFERROR(IF(A1068="","",VLOOKUP(A1068,CadProd!$A:$C,3,0)),"")</f>
        <v/>
      </c>
      <c r="I1068" s="1" t="str">
        <f>IFERROR(IF(A1068="","",E1068*#REF!),"")</f>
        <v/>
      </c>
    </row>
    <row r="1069" spans="2:9" x14ac:dyDescent="0.3">
      <c r="B1069" t="str">
        <f>IFERROR(IF(A1069="","",VLOOKUP(A1069,CadProd!$A:$B,2,0)),"")</f>
        <v/>
      </c>
      <c r="C1069" t="str">
        <f>IFERROR(IF(A1069="","",VLOOKUP(A1069,CadProd!$A:$C,3,0)),"")</f>
        <v/>
      </c>
      <c r="I1069" s="1" t="str">
        <f>IFERROR(IF(A1069="","",E1069*#REF!),"")</f>
        <v/>
      </c>
    </row>
    <row r="1070" spans="2:9" x14ac:dyDescent="0.3">
      <c r="B1070" t="str">
        <f>IFERROR(IF(A1070="","",VLOOKUP(A1070,CadProd!$A:$B,2,0)),"")</f>
        <v/>
      </c>
      <c r="C1070" t="str">
        <f>IFERROR(IF(A1070="","",VLOOKUP(A1070,CadProd!$A:$C,3,0)),"")</f>
        <v/>
      </c>
      <c r="I1070" s="1" t="str">
        <f>IFERROR(IF(A1070="","",E1070*#REF!),"")</f>
        <v/>
      </c>
    </row>
    <row r="1071" spans="2:9" x14ac:dyDescent="0.3">
      <c r="B1071" t="str">
        <f>IFERROR(IF(A1071="","",VLOOKUP(A1071,CadProd!$A:$B,2,0)),"")</f>
        <v/>
      </c>
      <c r="C1071" t="str">
        <f>IFERROR(IF(A1071="","",VLOOKUP(A1071,CadProd!$A:$C,3,0)),"")</f>
        <v/>
      </c>
      <c r="I1071" s="1" t="str">
        <f>IFERROR(IF(A1071="","",E1071*#REF!),"")</f>
        <v/>
      </c>
    </row>
    <row r="1072" spans="2:9" x14ac:dyDescent="0.3">
      <c r="B1072" t="str">
        <f>IFERROR(IF(A1072="","",VLOOKUP(A1072,CadProd!$A:$B,2,0)),"")</f>
        <v/>
      </c>
      <c r="C1072" t="str">
        <f>IFERROR(IF(A1072="","",VLOOKUP(A1072,CadProd!$A:$C,3,0)),"")</f>
        <v/>
      </c>
      <c r="I1072" s="1" t="str">
        <f>IFERROR(IF(A1072="","",E1072*#REF!),"")</f>
        <v/>
      </c>
    </row>
    <row r="1073" spans="2:9" x14ac:dyDescent="0.3">
      <c r="B1073" t="str">
        <f>IFERROR(IF(A1073="","",VLOOKUP(A1073,CadProd!$A:$B,2,0)),"")</f>
        <v/>
      </c>
      <c r="C1073" t="str">
        <f>IFERROR(IF(A1073="","",VLOOKUP(A1073,CadProd!$A:$C,3,0)),"")</f>
        <v/>
      </c>
      <c r="I1073" s="1" t="str">
        <f>IFERROR(IF(A1073="","",E1073*#REF!),"")</f>
        <v/>
      </c>
    </row>
    <row r="1074" spans="2:9" x14ac:dyDescent="0.3">
      <c r="B1074" t="str">
        <f>IFERROR(IF(A1074="","",VLOOKUP(A1074,CadProd!$A:$B,2,0)),"")</f>
        <v/>
      </c>
      <c r="C1074" t="str">
        <f>IFERROR(IF(A1074="","",VLOOKUP(A1074,CadProd!$A:$C,3,0)),"")</f>
        <v/>
      </c>
      <c r="I1074" s="1" t="str">
        <f>IFERROR(IF(A1074="","",E1074*#REF!),"")</f>
        <v/>
      </c>
    </row>
    <row r="1075" spans="2:9" x14ac:dyDescent="0.3">
      <c r="B1075" t="str">
        <f>IFERROR(IF(A1075="","",VLOOKUP(A1075,CadProd!$A:$B,2,0)),"")</f>
        <v/>
      </c>
      <c r="C1075" t="str">
        <f>IFERROR(IF(A1075="","",VLOOKUP(A1075,CadProd!$A:$C,3,0)),"")</f>
        <v/>
      </c>
      <c r="I1075" s="1" t="str">
        <f>IFERROR(IF(A1075="","",E1075*#REF!),"")</f>
        <v/>
      </c>
    </row>
    <row r="1076" spans="2:9" x14ac:dyDescent="0.3">
      <c r="B1076" t="str">
        <f>IFERROR(IF(A1076="","",VLOOKUP(A1076,CadProd!$A:$B,2,0)),"")</f>
        <v/>
      </c>
      <c r="C1076" t="str">
        <f>IFERROR(IF(A1076="","",VLOOKUP(A1076,CadProd!$A:$C,3,0)),"")</f>
        <v/>
      </c>
      <c r="I1076" s="1" t="str">
        <f>IFERROR(IF(A1076="","",E1076*#REF!),"")</f>
        <v/>
      </c>
    </row>
    <row r="1077" spans="2:9" x14ac:dyDescent="0.3">
      <c r="B1077" t="str">
        <f>IFERROR(IF(A1077="","",VLOOKUP(A1077,CadProd!$A:$B,2,0)),"")</f>
        <v/>
      </c>
      <c r="C1077" t="str">
        <f>IFERROR(IF(A1077="","",VLOOKUP(A1077,CadProd!$A:$C,3,0)),"")</f>
        <v/>
      </c>
      <c r="I1077" s="1" t="str">
        <f>IFERROR(IF(A1077="","",E1077*#REF!),"")</f>
        <v/>
      </c>
    </row>
    <row r="1078" spans="2:9" x14ac:dyDescent="0.3">
      <c r="B1078" t="str">
        <f>IFERROR(IF(A1078="","",VLOOKUP(A1078,CadProd!$A:$B,2,0)),"")</f>
        <v/>
      </c>
      <c r="C1078" t="str">
        <f>IFERROR(IF(A1078="","",VLOOKUP(A1078,CadProd!$A:$C,3,0)),"")</f>
        <v/>
      </c>
      <c r="I1078" s="1" t="str">
        <f>IFERROR(IF(A1078="","",E1078*#REF!),"")</f>
        <v/>
      </c>
    </row>
    <row r="1079" spans="2:9" x14ac:dyDescent="0.3">
      <c r="B1079" t="str">
        <f>IFERROR(IF(A1079="","",VLOOKUP(A1079,CadProd!$A:$B,2,0)),"")</f>
        <v/>
      </c>
      <c r="C1079" t="str">
        <f>IFERROR(IF(A1079="","",VLOOKUP(A1079,CadProd!$A:$C,3,0)),"")</f>
        <v/>
      </c>
      <c r="I1079" s="1" t="str">
        <f>IFERROR(IF(A1079="","",E1079*#REF!),"")</f>
        <v/>
      </c>
    </row>
    <row r="1080" spans="2:9" x14ac:dyDescent="0.3">
      <c r="B1080" t="str">
        <f>IFERROR(IF(A1080="","",VLOOKUP(A1080,CadProd!$A:$B,2,0)),"")</f>
        <v/>
      </c>
      <c r="C1080" t="str">
        <f>IFERROR(IF(A1080="","",VLOOKUP(A1080,CadProd!$A:$C,3,0)),"")</f>
        <v/>
      </c>
      <c r="I1080" s="1" t="str">
        <f>IFERROR(IF(A1080="","",E1080*#REF!),"")</f>
        <v/>
      </c>
    </row>
    <row r="1081" spans="2:9" x14ac:dyDescent="0.3">
      <c r="B1081" t="str">
        <f>IFERROR(IF(A1081="","",VLOOKUP(A1081,CadProd!$A:$B,2,0)),"")</f>
        <v/>
      </c>
      <c r="C1081" t="str">
        <f>IFERROR(IF(A1081="","",VLOOKUP(A1081,CadProd!$A:$C,3,0)),"")</f>
        <v/>
      </c>
      <c r="I1081" s="1" t="str">
        <f>IFERROR(IF(A1081="","",E1081*#REF!),"")</f>
        <v/>
      </c>
    </row>
    <row r="1082" spans="2:9" x14ac:dyDescent="0.3">
      <c r="B1082" t="str">
        <f>IFERROR(IF(A1082="","",VLOOKUP(A1082,CadProd!$A:$B,2,0)),"")</f>
        <v/>
      </c>
      <c r="C1082" t="str">
        <f>IFERROR(IF(A1082="","",VLOOKUP(A1082,CadProd!$A:$C,3,0)),"")</f>
        <v/>
      </c>
      <c r="I1082" s="1" t="str">
        <f>IFERROR(IF(A1082="","",E1082*#REF!),"")</f>
        <v/>
      </c>
    </row>
    <row r="1083" spans="2:9" x14ac:dyDescent="0.3">
      <c r="B1083" t="str">
        <f>IFERROR(IF(A1083="","",VLOOKUP(A1083,CadProd!$A:$B,2,0)),"")</f>
        <v/>
      </c>
      <c r="C1083" t="str">
        <f>IFERROR(IF(A1083="","",VLOOKUP(A1083,CadProd!$A:$C,3,0)),"")</f>
        <v/>
      </c>
      <c r="I1083" s="1" t="str">
        <f>IFERROR(IF(A1083="","",E1083*#REF!),"")</f>
        <v/>
      </c>
    </row>
    <row r="1084" spans="2:9" x14ac:dyDescent="0.3">
      <c r="B1084" t="str">
        <f>IFERROR(IF(A1084="","",VLOOKUP(A1084,CadProd!$A:$B,2,0)),"")</f>
        <v/>
      </c>
      <c r="C1084" t="str">
        <f>IFERROR(IF(A1084="","",VLOOKUP(A1084,CadProd!$A:$C,3,0)),"")</f>
        <v/>
      </c>
      <c r="I1084" s="1" t="str">
        <f>IFERROR(IF(A1084="","",E1084*#REF!),"")</f>
        <v/>
      </c>
    </row>
    <row r="1085" spans="2:9" x14ac:dyDescent="0.3">
      <c r="B1085" t="str">
        <f>IFERROR(IF(A1085="","",VLOOKUP(A1085,CadProd!$A:$B,2,0)),"")</f>
        <v/>
      </c>
      <c r="C1085" t="str">
        <f>IFERROR(IF(A1085="","",VLOOKUP(A1085,CadProd!$A:$C,3,0)),"")</f>
        <v/>
      </c>
      <c r="I1085" s="1" t="str">
        <f>IFERROR(IF(A1085="","",E1085*#REF!),"")</f>
        <v/>
      </c>
    </row>
    <row r="1086" spans="2:9" x14ac:dyDescent="0.3">
      <c r="B1086" t="str">
        <f>IFERROR(IF(A1086="","",VLOOKUP(A1086,CadProd!$A:$B,2,0)),"")</f>
        <v/>
      </c>
      <c r="C1086" t="str">
        <f>IFERROR(IF(A1086="","",VLOOKUP(A1086,CadProd!$A:$C,3,0)),"")</f>
        <v/>
      </c>
      <c r="I1086" s="1" t="str">
        <f>IFERROR(IF(A1086="","",E1086*#REF!),"")</f>
        <v/>
      </c>
    </row>
    <row r="1087" spans="2:9" x14ac:dyDescent="0.3">
      <c r="B1087" t="str">
        <f>IFERROR(IF(A1087="","",VLOOKUP(A1087,CadProd!$A:$B,2,0)),"")</f>
        <v/>
      </c>
      <c r="C1087" t="str">
        <f>IFERROR(IF(A1087="","",VLOOKUP(A1087,CadProd!$A:$C,3,0)),"")</f>
        <v/>
      </c>
      <c r="I1087" s="1" t="str">
        <f>IFERROR(IF(A1087="","",E1087*#REF!),"")</f>
        <v/>
      </c>
    </row>
    <row r="1088" spans="2:9" x14ac:dyDescent="0.3">
      <c r="B1088" t="str">
        <f>IFERROR(IF(A1088="","",VLOOKUP(A1088,CadProd!$A:$B,2,0)),"")</f>
        <v/>
      </c>
      <c r="C1088" t="str">
        <f>IFERROR(IF(A1088="","",VLOOKUP(A1088,CadProd!$A:$C,3,0)),"")</f>
        <v/>
      </c>
      <c r="I1088" s="1" t="str">
        <f>IFERROR(IF(A1088="","",E1088*#REF!),"")</f>
        <v/>
      </c>
    </row>
    <row r="1089" spans="2:9" x14ac:dyDescent="0.3">
      <c r="B1089" t="str">
        <f>IFERROR(IF(A1089="","",VLOOKUP(A1089,CadProd!$A:$B,2,0)),"")</f>
        <v/>
      </c>
      <c r="C1089" t="str">
        <f>IFERROR(IF(A1089="","",VLOOKUP(A1089,CadProd!$A:$C,3,0)),"")</f>
        <v/>
      </c>
      <c r="I1089" s="1" t="str">
        <f>IFERROR(IF(A1089="","",E1089*#REF!),"")</f>
        <v/>
      </c>
    </row>
    <row r="1090" spans="2:9" x14ac:dyDescent="0.3">
      <c r="B1090" t="str">
        <f>IFERROR(IF(A1090="","",VLOOKUP(A1090,CadProd!$A:$B,2,0)),"")</f>
        <v/>
      </c>
      <c r="C1090" t="str">
        <f>IFERROR(IF(A1090="","",VLOOKUP(A1090,CadProd!$A:$C,3,0)),"")</f>
        <v/>
      </c>
      <c r="I1090" s="1" t="str">
        <f>IFERROR(IF(A1090="","",E1090*#REF!),"")</f>
        <v/>
      </c>
    </row>
    <row r="1091" spans="2:9" x14ac:dyDescent="0.3">
      <c r="B1091" t="str">
        <f>IFERROR(IF(A1091="","",VLOOKUP(A1091,CadProd!$A:$B,2,0)),"")</f>
        <v/>
      </c>
      <c r="C1091" t="str">
        <f>IFERROR(IF(A1091="","",VLOOKUP(A1091,CadProd!$A:$C,3,0)),"")</f>
        <v/>
      </c>
      <c r="I1091" s="1" t="str">
        <f>IFERROR(IF(A1091="","",E1091*#REF!),"")</f>
        <v/>
      </c>
    </row>
    <row r="1092" spans="2:9" x14ac:dyDescent="0.3">
      <c r="B1092" t="str">
        <f>IFERROR(IF(A1092="","",VLOOKUP(A1092,CadProd!$A:$B,2,0)),"")</f>
        <v/>
      </c>
      <c r="C1092" t="str">
        <f>IFERROR(IF(A1092="","",VLOOKUP(A1092,CadProd!$A:$C,3,0)),"")</f>
        <v/>
      </c>
      <c r="I1092" s="1" t="str">
        <f>IFERROR(IF(A1092="","",E1092*#REF!),"")</f>
        <v/>
      </c>
    </row>
    <row r="1093" spans="2:9" x14ac:dyDescent="0.3">
      <c r="B1093" t="str">
        <f>IFERROR(IF(A1093="","",VLOOKUP(A1093,CadProd!$A:$B,2,0)),"")</f>
        <v/>
      </c>
      <c r="C1093" t="str">
        <f>IFERROR(IF(A1093="","",VLOOKUP(A1093,CadProd!$A:$C,3,0)),"")</f>
        <v/>
      </c>
      <c r="I1093" s="1" t="str">
        <f>IFERROR(IF(A1093="","",E1093*#REF!),"")</f>
        <v/>
      </c>
    </row>
    <row r="1094" spans="2:9" x14ac:dyDescent="0.3">
      <c r="B1094" t="str">
        <f>IFERROR(IF(A1094="","",VLOOKUP(A1094,CadProd!$A:$B,2,0)),"")</f>
        <v/>
      </c>
      <c r="C1094" t="str">
        <f>IFERROR(IF(A1094="","",VLOOKUP(A1094,CadProd!$A:$C,3,0)),"")</f>
        <v/>
      </c>
      <c r="I1094" s="1" t="str">
        <f>IFERROR(IF(A1094="","",E1094*#REF!),"")</f>
        <v/>
      </c>
    </row>
    <row r="1095" spans="2:9" x14ac:dyDescent="0.3">
      <c r="B1095" t="str">
        <f>IFERROR(IF(A1095="","",VLOOKUP(A1095,CadProd!$A:$B,2,0)),"")</f>
        <v/>
      </c>
      <c r="C1095" t="str">
        <f>IFERROR(IF(A1095="","",VLOOKUP(A1095,CadProd!$A:$C,3,0)),"")</f>
        <v/>
      </c>
      <c r="I1095" s="1" t="str">
        <f>IFERROR(IF(A1095="","",E1095*#REF!),"")</f>
        <v/>
      </c>
    </row>
    <row r="1096" spans="2:9" x14ac:dyDescent="0.3">
      <c r="B1096" t="str">
        <f>IFERROR(IF(A1096="","",VLOOKUP(A1096,CadProd!$A:$B,2,0)),"")</f>
        <v/>
      </c>
      <c r="C1096" t="str">
        <f>IFERROR(IF(A1096="","",VLOOKUP(A1096,CadProd!$A:$C,3,0)),"")</f>
        <v/>
      </c>
      <c r="I1096" s="1" t="str">
        <f>IFERROR(IF(A1096="","",E1096*#REF!),"")</f>
        <v/>
      </c>
    </row>
    <row r="1097" spans="2:9" x14ac:dyDescent="0.3">
      <c r="B1097" t="str">
        <f>IFERROR(IF(A1097="","",VLOOKUP(A1097,CadProd!$A:$B,2,0)),"")</f>
        <v/>
      </c>
      <c r="C1097" t="str">
        <f>IFERROR(IF(A1097="","",VLOOKUP(A1097,CadProd!$A:$C,3,0)),"")</f>
        <v/>
      </c>
      <c r="I1097" s="1" t="str">
        <f>IFERROR(IF(A1097="","",E1097*#REF!),"")</f>
        <v/>
      </c>
    </row>
    <row r="1098" spans="2:9" x14ac:dyDescent="0.3">
      <c r="B1098" t="str">
        <f>IFERROR(IF(A1098="","",VLOOKUP(A1098,CadProd!$A:$B,2,0)),"")</f>
        <v/>
      </c>
      <c r="C1098" t="str">
        <f>IFERROR(IF(A1098="","",VLOOKUP(A1098,CadProd!$A:$C,3,0)),"")</f>
        <v/>
      </c>
      <c r="I1098" s="1" t="str">
        <f>IFERROR(IF(A1098="","",E1098*#REF!),"")</f>
        <v/>
      </c>
    </row>
    <row r="1099" spans="2:9" x14ac:dyDescent="0.3">
      <c r="B1099" t="str">
        <f>IFERROR(IF(A1099="","",VLOOKUP(A1099,CadProd!$A:$B,2,0)),"")</f>
        <v/>
      </c>
      <c r="C1099" t="str">
        <f>IFERROR(IF(A1099="","",VLOOKUP(A1099,CadProd!$A:$C,3,0)),"")</f>
        <v/>
      </c>
      <c r="I1099" s="1" t="str">
        <f>IFERROR(IF(A1099="","",E1099*#REF!),"")</f>
        <v/>
      </c>
    </row>
    <row r="1100" spans="2:9" x14ac:dyDescent="0.3">
      <c r="B1100" t="str">
        <f>IFERROR(IF(A1100="","",VLOOKUP(A1100,CadProd!$A:$B,2,0)),"")</f>
        <v/>
      </c>
      <c r="C1100" t="str">
        <f>IFERROR(IF(A1100="","",VLOOKUP(A1100,CadProd!$A:$C,3,0)),"")</f>
        <v/>
      </c>
      <c r="I1100" s="1" t="str">
        <f>IFERROR(IF(A1100="","",E1100*#REF!),"")</f>
        <v/>
      </c>
    </row>
    <row r="1101" spans="2:9" x14ac:dyDescent="0.3">
      <c r="B1101" t="str">
        <f>IFERROR(IF(A1101="","",VLOOKUP(A1101,CadProd!$A:$B,2,0)),"")</f>
        <v/>
      </c>
      <c r="C1101" t="str">
        <f>IFERROR(IF(A1101="","",VLOOKUP(A1101,CadProd!$A:$C,3,0)),"")</f>
        <v/>
      </c>
      <c r="I1101" s="1" t="str">
        <f>IFERROR(IF(A1101="","",E1101*#REF!),"")</f>
        <v/>
      </c>
    </row>
    <row r="1102" spans="2:9" x14ac:dyDescent="0.3">
      <c r="B1102" t="str">
        <f>IFERROR(IF(A1102="","",VLOOKUP(A1102,CadProd!$A:$B,2,0)),"")</f>
        <v/>
      </c>
      <c r="C1102" t="str">
        <f>IFERROR(IF(A1102="","",VLOOKUP(A1102,CadProd!$A:$C,3,0)),"")</f>
        <v/>
      </c>
      <c r="I1102" s="1" t="str">
        <f>IFERROR(IF(A1102="","",E1102*#REF!),"")</f>
        <v/>
      </c>
    </row>
    <row r="1103" spans="2:9" x14ac:dyDescent="0.3">
      <c r="B1103" t="str">
        <f>IFERROR(IF(A1103="","",VLOOKUP(A1103,CadProd!$A:$B,2,0)),"")</f>
        <v/>
      </c>
      <c r="C1103" t="str">
        <f>IFERROR(IF(A1103="","",VLOOKUP(A1103,CadProd!$A:$C,3,0)),"")</f>
        <v/>
      </c>
      <c r="I1103" s="1" t="str">
        <f>IFERROR(IF(A1103="","",E1103*#REF!),"")</f>
        <v/>
      </c>
    </row>
    <row r="1104" spans="2:9" x14ac:dyDescent="0.3">
      <c r="B1104" t="str">
        <f>IFERROR(IF(A1104="","",VLOOKUP(A1104,CadProd!$A:$B,2,0)),"")</f>
        <v/>
      </c>
      <c r="C1104" t="str">
        <f>IFERROR(IF(A1104="","",VLOOKUP(A1104,CadProd!$A:$C,3,0)),"")</f>
        <v/>
      </c>
      <c r="I1104" s="1" t="str">
        <f>IFERROR(IF(A1104="","",E1104*#REF!),"")</f>
        <v/>
      </c>
    </row>
    <row r="1105" spans="2:9" x14ac:dyDescent="0.3">
      <c r="B1105" t="str">
        <f>IFERROR(IF(A1105="","",VLOOKUP(A1105,CadProd!$A:$B,2,0)),"")</f>
        <v/>
      </c>
      <c r="C1105" t="str">
        <f>IFERROR(IF(A1105="","",VLOOKUP(A1105,CadProd!$A:$C,3,0)),"")</f>
        <v/>
      </c>
      <c r="I1105" s="1" t="str">
        <f>IFERROR(IF(A1105="","",E1105*#REF!),"")</f>
        <v/>
      </c>
    </row>
    <row r="1106" spans="2:9" x14ac:dyDescent="0.3">
      <c r="B1106" t="str">
        <f>IFERROR(IF(A1106="","",VLOOKUP(A1106,CadProd!$A:$B,2,0)),"")</f>
        <v/>
      </c>
      <c r="C1106" t="str">
        <f>IFERROR(IF(A1106="","",VLOOKUP(A1106,CadProd!$A:$C,3,0)),"")</f>
        <v/>
      </c>
      <c r="I1106" s="1" t="str">
        <f>IFERROR(IF(A1106="","",E1106*#REF!),"")</f>
        <v/>
      </c>
    </row>
    <row r="1107" spans="2:9" x14ac:dyDescent="0.3">
      <c r="B1107" t="str">
        <f>IFERROR(IF(A1107="","",VLOOKUP(A1107,CadProd!$A:$B,2,0)),"")</f>
        <v/>
      </c>
      <c r="C1107" t="str">
        <f>IFERROR(IF(A1107="","",VLOOKUP(A1107,CadProd!$A:$C,3,0)),"")</f>
        <v/>
      </c>
      <c r="I1107" s="1" t="str">
        <f>IFERROR(IF(A1107="","",E1107*#REF!),"")</f>
        <v/>
      </c>
    </row>
    <row r="1108" spans="2:9" x14ac:dyDescent="0.3">
      <c r="B1108" t="str">
        <f>IFERROR(IF(A1108="","",VLOOKUP(A1108,CadProd!$A:$B,2,0)),"")</f>
        <v/>
      </c>
      <c r="C1108" t="str">
        <f>IFERROR(IF(A1108="","",VLOOKUP(A1108,CadProd!$A:$C,3,0)),"")</f>
        <v/>
      </c>
      <c r="I1108" s="1" t="str">
        <f>IFERROR(IF(A1108="","",E1108*#REF!),"")</f>
        <v/>
      </c>
    </row>
    <row r="1109" spans="2:9" x14ac:dyDescent="0.3">
      <c r="B1109" t="str">
        <f>IFERROR(IF(A1109="","",VLOOKUP(A1109,CadProd!$A:$B,2,0)),"")</f>
        <v/>
      </c>
      <c r="C1109" t="str">
        <f>IFERROR(IF(A1109="","",VLOOKUP(A1109,CadProd!$A:$C,3,0)),"")</f>
        <v/>
      </c>
      <c r="I1109" s="1" t="str">
        <f>IFERROR(IF(A1109="","",E1109*#REF!),"")</f>
        <v/>
      </c>
    </row>
    <row r="1110" spans="2:9" x14ac:dyDescent="0.3">
      <c r="B1110" t="str">
        <f>IFERROR(IF(A1110="","",VLOOKUP(A1110,CadProd!$A:$B,2,0)),"")</f>
        <v/>
      </c>
      <c r="C1110" t="str">
        <f>IFERROR(IF(A1110="","",VLOOKUP(A1110,CadProd!$A:$C,3,0)),"")</f>
        <v/>
      </c>
      <c r="I1110" s="1" t="str">
        <f>IFERROR(IF(A1110="","",E1110*#REF!),"")</f>
        <v/>
      </c>
    </row>
    <row r="1111" spans="2:9" x14ac:dyDescent="0.3">
      <c r="B1111" t="str">
        <f>IFERROR(IF(A1111="","",VLOOKUP(A1111,CadProd!$A:$B,2,0)),"")</f>
        <v/>
      </c>
      <c r="C1111" t="str">
        <f>IFERROR(IF(A1111="","",VLOOKUP(A1111,CadProd!$A:$C,3,0)),"")</f>
        <v/>
      </c>
      <c r="I1111" s="1" t="str">
        <f>IFERROR(IF(A1111="","",E1111*#REF!),"")</f>
        <v/>
      </c>
    </row>
    <row r="1112" spans="2:9" x14ac:dyDescent="0.3">
      <c r="B1112" t="str">
        <f>IFERROR(IF(A1112="","",VLOOKUP(A1112,CadProd!$A:$B,2,0)),"")</f>
        <v/>
      </c>
      <c r="C1112" t="str">
        <f>IFERROR(IF(A1112="","",VLOOKUP(A1112,CadProd!$A:$C,3,0)),"")</f>
        <v/>
      </c>
      <c r="I1112" s="1" t="str">
        <f>IFERROR(IF(A1112="","",E1112*#REF!),"")</f>
        <v/>
      </c>
    </row>
    <row r="1113" spans="2:9" x14ac:dyDescent="0.3">
      <c r="B1113" t="str">
        <f>IFERROR(IF(A1113="","",VLOOKUP(A1113,CadProd!$A:$B,2,0)),"")</f>
        <v/>
      </c>
      <c r="C1113" t="str">
        <f>IFERROR(IF(A1113="","",VLOOKUP(A1113,CadProd!$A:$C,3,0)),"")</f>
        <v/>
      </c>
      <c r="I1113" s="1" t="str">
        <f>IFERROR(IF(A1113="","",E1113*#REF!),"")</f>
        <v/>
      </c>
    </row>
    <row r="1114" spans="2:9" x14ac:dyDescent="0.3">
      <c r="B1114" t="str">
        <f>IFERROR(IF(A1114="","",VLOOKUP(A1114,CadProd!$A:$B,2,0)),"")</f>
        <v/>
      </c>
      <c r="C1114" t="str">
        <f>IFERROR(IF(A1114="","",VLOOKUP(A1114,CadProd!$A:$C,3,0)),"")</f>
        <v/>
      </c>
      <c r="I1114" s="1" t="str">
        <f>IFERROR(IF(A1114="","",E1114*#REF!),"")</f>
        <v/>
      </c>
    </row>
    <row r="1115" spans="2:9" x14ac:dyDescent="0.3">
      <c r="B1115" t="str">
        <f>IFERROR(IF(A1115="","",VLOOKUP(A1115,CadProd!$A:$B,2,0)),"")</f>
        <v/>
      </c>
      <c r="C1115" t="str">
        <f>IFERROR(IF(A1115="","",VLOOKUP(A1115,CadProd!$A:$C,3,0)),"")</f>
        <v/>
      </c>
      <c r="I1115" s="1" t="str">
        <f>IFERROR(IF(A1115="","",E1115*#REF!),"")</f>
        <v/>
      </c>
    </row>
    <row r="1116" spans="2:9" x14ac:dyDescent="0.3">
      <c r="B1116" t="str">
        <f>IFERROR(IF(A1116="","",VLOOKUP(A1116,CadProd!$A:$B,2,0)),"")</f>
        <v/>
      </c>
      <c r="C1116" t="str">
        <f>IFERROR(IF(A1116="","",VLOOKUP(A1116,CadProd!$A:$C,3,0)),"")</f>
        <v/>
      </c>
      <c r="I1116" s="1" t="str">
        <f>IFERROR(IF(A1116="","",E1116*#REF!),"")</f>
        <v/>
      </c>
    </row>
    <row r="1117" spans="2:9" x14ac:dyDescent="0.3">
      <c r="B1117" t="str">
        <f>IFERROR(IF(A1117="","",VLOOKUP(A1117,CadProd!$A:$B,2,0)),"")</f>
        <v/>
      </c>
      <c r="C1117" t="str">
        <f>IFERROR(IF(A1117="","",VLOOKUP(A1117,CadProd!$A:$C,3,0)),"")</f>
        <v/>
      </c>
      <c r="I1117" s="1" t="str">
        <f>IFERROR(IF(A1117="","",E1117*#REF!),"")</f>
        <v/>
      </c>
    </row>
    <row r="1118" spans="2:9" x14ac:dyDescent="0.3">
      <c r="B1118" t="str">
        <f>IFERROR(IF(A1118="","",VLOOKUP(A1118,CadProd!$A:$B,2,0)),"")</f>
        <v/>
      </c>
      <c r="C1118" t="str">
        <f>IFERROR(IF(A1118="","",VLOOKUP(A1118,CadProd!$A:$C,3,0)),"")</f>
        <v/>
      </c>
      <c r="I1118" s="1" t="str">
        <f>IFERROR(IF(A1118="","",E1118*#REF!),"")</f>
        <v/>
      </c>
    </row>
    <row r="1119" spans="2:9" x14ac:dyDescent="0.3">
      <c r="B1119" t="str">
        <f>IFERROR(IF(A1119="","",VLOOKUP(A1119,CadProd!$A:$B,2,0)),"")</f>
        <v/>
      </c>
      <c r="C1119" t="str">
        <f>IFERROR(IF(A1119="","",VLOOKUP(A1119,CadProd!$A:$C,3,0)),"")</f>
        <v/>
      </c>
      <c r="I1119" s="1" t="str">
        <f>IFERROR(IF(A1119="","",E1119*#REF!),"")</f>
        <v/>
      </c>
    </row>
    <row r="1120" spans="2:9" x14ac:dyDescent="0.3">
      <c r="B1120" t="str">
        <f>IFERROR(IF(A1120="","",VLOOKUP(A1120,CadProd!$A:$B,2,0)),"")</f>
        <v/>
      </c>
      <c r="C1120" t="str">
        <f>IFERROR(IF(A1120="","",VLOOKUP(A1120,CadProd!$A:$C,3,0)),"")</f>
        <v/>
      </c>
      <c r="I1120" s="1" t="str">
        <f>IFERROR(IF(A1120="","",E1120*#REF!),"")</f>
        <v/>
      </c>
    </row>
    <row r="1121" spans="2:9" x14ac:dyDescent="0.3">
      <c r="B1121" t="str">
        <f>IFERROR(IF(A1121="","",VLOOKUP(A1121,CadProd!$A:$B,2,0)),"")</f>
        <v/>
      </c>
      <c r="C1121" t="str">
        <f>IFERROR(IF(A1121="","",VLOOKUP(A1121,CadProd!$A:$C,3,0)),"")</f>
        <v/>
      </c>
      <c r="I1121" s="1" t="str">
        <f>IFERROR(IF(A1121="","",E1121*#REF!),"")</f>
        <v/>
      </c>
    </row>
    <row r="1122" spans="2:9" x14ac:dyDescent="0.3">
      <c r="B1122" t="str">
        <f>IFERROR(IF(A1122="","",VLOOKUP(A1122,CadProd!$A:$B,2,0)),"")</f>
        <v/>
      </c>
      <c r="C1122" t="str">
        <f>IFERROR(IF(A1122="","",VLOOKUP(A1122,CadProd!$A:$C,3,0)),"")</f>
        <v/>
      </c>
      <c r="I1122" s="1" t="str">
        <f>IFERROR(IF(A1122="","",E1122*#REF!),"")</f>
        <v/>
      </c>
    </row>
    <row r="1123" spans="2:9" x14ac:dyDescent="0.3">
      <c r="B1123" t="str">
        <f>IFERROR(IF(A1123="","",VLOOKUP(A1123,CadProd!$A:$B,2,0)),"")</f>
        <v/>
      </c>
      <c r="C1123" t="str">
        <f>IFERROR(IF(A1123="","",VLOOKUP(A1123,CadProd!$A:$C,3,0)),"")</f>
        <v/>
      </c>
      <c r="I1123" s="1" t="str">
        <f>IFERROR(IF(A1123="","",E1123*#REF!),"")</f>
        <v/>
      </c>
    </row>
    <row r="1124" spans="2:9" x14ac:dyDescent="0.3">
      <c r="B1124" t="str">
        <f>IFERROR(IF(A1124="","",VLOOKUP(A1124,CadProd!$A:$B,2,0)),"")</f>
        <v/>
      </c>
      <c r="C1124" t="str">
        <f>IFERROR(IF(A1124="","",VLOOKUP(A1124,CadProd!$A:$C,3,0)),"")</f>
        <v/>
      </c>
      <c r="I1124" s="1" t="str">
        <f>IFERROR(IF(A1124="","",E1124*#REF!),"")</f>
        <v/>
      </c>
    </row>
    <row r="1125" spans="2:9" x14ac:dyDescent="0.3">
      <c r="B1125" t="str">
        <f>IFERROR(IF(A1125="","",VLOOKUP(A1125,CadProd!$A:$B,2,0)),"")</f>
        <v/>
      </c>
      <c r="C1125" t="str">
        <f>IFERROR(IF(A1125="","",VLOOKUP(A1125,CadProd!$A:$C,3,0)),"")</f>
        <v/>
      </c>
      <c r="I1125" s="1" t="str">
        <f>IFERROR(IF(A1125="","",E1125*#REF!),"")</f>
        <v/>
      </c>
    </row>
    <row r="1126" spans="2:9" x14ac:dyDescent="0.3">
      <c r="B1126" t="str">
        <f>IFERROR(IF(A1126="","",VLOOKUP(A1126,CadProd!$A:$B,2,0)),"")</f>
        <v/>
      </c>
      <c r="C1126" t="str">
        <f>IFERROR(IF(A1126="","",VLOOKUP(A1126,CadProd!$A:$C,3,0)),"")</f>
        <v/>
      </c>
      <c r="I1126" s="1" t="str">
        <f>IFERROR(IF(A1126="","",E1126*#REF!),"")</f>
        <v/>
      </c>
    </row>
    <row r="1127" spans="2:9" x14ac:dyDescent="0.3">
      <c r="B1127" t="str">
        <f>IFERROR(IF(A1127="","",VLOOKUP(A1127,CadProd!$A:$B,2,0)),"")</f>
        <v/>
      </c>
      <c r="C1127" t="str">
        <f>IFERROR(IF(A1127="","",VLOOKUP(A1127,CadProd!$A:$C,3,0)),"")</f>
        <v/>
      </c>
      <c r="I1127" s="1" t="str">
        <f>IFERROR(IF(A1127="","",E1127*#REF!),"")</f>
        <v/>
      </c>
    </row>
    <row r="1128" spans="2:9" x14ac:dyDescent="0.3">
      <c r="B1128" t="str">
        <f>IFERROR(IF(A1128="","",VLOOKUP(A1128,CadProd!$A:$B,2,0)),"")</f>
        <v/>
      </c>
      <c r="C1128" t="str">
        <f>IFERROR(IF(A1128="","",VLOOKUP(A1128,CadProd!$A:$C,3,0)),"")</f>
        <v/>
      </c>
      <c r="I1128" s="1" t="str">
        <f>IFERROR(IF(A1128="","",E1128*#REF!),"")</f>
        <v/>
      </c>
    </row>
    <row r="1129" spans="2:9" x14ac:dyDescent="0.3">
      <c r="B1129" t="str">
        <f>IFERROR(IF(A1129="","",VLOOKUP(A1129,CadProd!$A:$B,2,0)),"")</f>
        <v/>
      </c>
      <c r="C1129" t="str">
        <f>IFERROR(IF(A1129="","",VLOOKUP(A1129,CadProd!$A:$C,3,0)),"")</f>
        <v/>
      </c>
      <c r="I1129" s="1" t="str">
        <f>IFERROR(IF(A1129="","",E1129*#REF!),"")</f>
        <v/>
      </c>
    </row>
    <row r="1130" spans="2:9" x14ac:dyDescent="0.3">
      <c r="B1130" t="str">
        <f>IFERROR(IF(A1130="","",VLOOKUP(A1130,CadProd!$A:$B,2,0)),"")</f>
        <v/>
      </c>
      <c r="C1130" t="str">
        <f>IFERROR(IF(A1130="","",VLOOKUP(A1130,CadProd!$A:$C,3,0)),"")</f>
        <v/>
      </c>
      <c r="I1130" s="1" t="str">
        <f>IFERROR(IF(A1130="","",E1130*#REF!),"")</f>
        <v/>
      </c>
    </row>
    <row r="1131" spans="2:9" x14ac:dyDescent="0.3">
      <c r="B1131" t="str">
        <f>IFERROR(IF(A1131="","",VLOOKUP(A1131,CadProd!$A:$B,2,0)),"")</f>
        <v/>
      </c>
      <c r="C1131" t="str">
        <f>IFERROR(IF(A1131="","",VLOOKUP(A1131,CadProd!$A:$C,3,0)),"")</f>
        <v/>
      </c>
      <c r="I1131" s="1" t="str">
        <f>IFERROR(IF(A1131="","",E1131*#REF!),"")</f>
        <v/>
      </c>
    </row>
    <row r="1132" spans="2:9" x14ac:dyDescent="0.3">
      <c r="B1132" t="str">
        <f>IFERROR(IF(A1132="","",VLOOKUP(A1132,CadProd!$A:$B,2,0)),"")</f>
        <v/>
      </c>
      <c r="C1132" t="str">
        <f>IFERROR(IF(A1132="","",VLOOKUP(A1132,CadProd!$A:$C,3,0)),"")</f>
        <v/>
      </c>
      <c r="I1132" s="1" t="str">
        <f>IFERROR(IF(A1132="","",E1132*#REF!),"")</f>
        <v/>
      </c>
    </row>
    <row r="1133" spans="2:9" x14ac:dyDescent="0.3">
      <c r="B1133" t="str">
        <f>IFERROR(IF(A1133="","",VLOOKUP(A1133,CadProd!$A:$B,2,0)),"")</f>
        <v/>
      </c>
      <c r="C1133" t="str">
        <f>IFERROR(IF(A1133="","",VLOOKUP(A1133,CadProd!$A:$C,3,0)),"")</f>
        <v/>
      </c>
      <c r="I1133" s="1" t="str">
        <f>IFERROR(IF(A1133="","",E1133*#REF!),"")</f>
        <v/>
      </c>
    </row>
    <row r="1134" spans="2:9" x14ac:dyDescent="0.3">
      <c r="B1134" t="str">
        <f>IFERROR(IF(A1134="","",VLOOKUP(A1134,CadProd!$A:$B,2,0)),"")</f>
        <v/>
      </c>
      <c r="C1134" t="str">
        <f>IFERROR(IF(A1134="","",VLOOKUP(A1134,CadProd!$A:$C,3,0)),"")</f>
        <v/>
      </c>
      <c r="I1134" s="1" t="str">
        <f>IFERROR(IF(A1134="","",E1134*#REF!),"")</f>
        <v/>
      </c>
    </row>
    <row r="1135" spans="2:9" x14ac:dyDescent="0.3">
      <c r="B1135" t="str">
        <f>IFERROR(IF(A1135="","",VLOOKUP(A1135,CadProd!$A:$B,2,0)),"")</f>
        <v/>
      </c>
      <c r="C1135" t="str">
        <f>IFERROR(IF(A1135="","",VLOOKUP(A1135,CadProd!$A:$C,3,0)),"")</f>
        <v/>
      </c>
      <c r="I1135" s="1" t="str">
        <f>IFERROR(IF(A1135="","",E1135*#REF!),"")</f>
        <v/>
      </c>
    </row>
    <row r="1136" spans="2:9" x14ac:dyDescent="0.3">
      <c r="B1136" t="str">
        <f>IFERROR(IF(A1136="","",VLOOKUP(A1136,CadProd!$A:$B,2,0)),"")</f>
        <v/>
      </c>
      <c r="C1136" t="str">
        <f>IFERROR(IF(A1136="","",VLOOKUP(A1136,CadProd!$A:$C,3,0)),"")</f>
        <v/>
      </c>
      <c r="I1136" s="1" t="str">
        <f>IFERROR(IF(A1136="","",E1136*#REF!),"")</f>
        <v/>
      </c>
    </row>
    <row r="1137" spans="2:9" x14ac:dyDescent="0.3">
      <c r="B1137" t="str">
        <f>IFERROR(IF(A1137="","",VLOOKUP(A1137,CadProd!$A:$B,2,0)),"")</f>
        <v/>
      </c>
      <c r="C1137" t="str">
        <f>IFERROR(IF(A1137="","",VLOOKUP(A1137,CadProd!$A:$C,3,0)),"")</f>
        <v/>
      </c>
      <c r="I1137" s="1" t="str">
        <f>IFERROR(IF(A1137="","",E1137*#REF!),"")</f>
        <v/>
      </c>
    </row>
    <row r="1138" spans="2:9" x14ac:dyDescent="0.3">
      <c r="B1138" t="str">
        <f>IFERROR(IF(A1138="","",VLOOKUP(A1138,CadProd!$A:$B,2,0)),"")</f>
        <v/>
      </c>
      <c r="C1138" t="str">
        <f>IFERROR(IF(A1138="","",VLOOKUP(A1138,CadProd!$A:$C,3,0)),"")</f>
        <v/>
      </c>
      <c r="I1138" s="1" t="str">
        <f>IFERROR(IF(A1138="","",E1138*#REF!),"")</f>
        <v/>
      </c>
    </row>
    <row r="1139" spans="2:9" x14ac:dyDescent="0.3">
      <c r="B1139" t="str">
        <f>IFERROR(IF(A1139="","",VLOOKUP(A1139,CadProd!$A:$B,2,0)),"")</f>
        <v/>
      </c>
      <c r="C1139" t="str">
        <f>IFERROR(IF(A1139="","",VLOOKUP(A1139,CadProd!$A:$C,3,0)),"")</f>
        <v/>
      </c>
      <c r="I1139" s="1" t="str">
        <f>IFERROR(IF(A1139="","",E1139*#REF!),"")</f>
        <v/>
      </c>
    </row>
    <row r="1140" spans="2:9" x14ac:dyDescent="0.3">
      <c r="B1140" t="str">
        <f>IFERROR(IF(A1140="","",VLOOKUP(A1140,CadProd!$A:$B,2,0)),"")</f>
        <v/>
      </c>
      <c r="C1140" t="str">
        <f>IFERROR(IF(A1140="","",VLOOKUP(A1140,CadProd!$A:$C,3,0)),"")</f>
        <v/>
      </c>
      <c r="I1140" s="1" t="str">
        <f>IFERROR(IF(A1140="","",E1140*#REF!),"")</f>
        <v/>
      </c>
    </row>
    <row r="1141" spans="2:9" x14ac:dyDescent="0.3">
      <c r="B1141" t="str">
        <f>IFERROR(IF(A1141="","",VLOOKUP(A1141,CadProd!$A:$B,2,0)),"")</f>
        <v/>
      </c>
      <c r="C1141" t="str">
        <f>IFERROR(IF(A1141="","",VLOOKUP(A1141,CadProd!$A:$C,3,0)),"")</f>
        <v/>
      </c>
      <c r="I1141" s="1" t="str">
        <f>IFERROR(IF(A1141="","",E1141*#REF!),"")</f>
        <v/>
      </c>
    </row>
    <row r="1142" spans="2:9" x14ac:dyDescent="0.3">
      <c r="B1142" t="str">
        <f>IFERROR(IF(A1142="","",VLOOKUP(A1142,CadProd!$A:$B,2,0)),"")</f>
        <v/>
      </c>
      <c r="C1142" t="str">
        <f>IFERROR(IF(A1142="","",VLOOKUP(A1142,CadProd!$A:$C,3,0)),"")</f>
        <v/>
      </c>
      <c r="I1142" s="1" t="str">
        <f>IFERROR(IF(A1142="","",E1142*#REF!),"")</f>
        <v/>
      </c>
    </row>
    <row r="1143" spans="2:9" x14ac:dyDescent="0.3">
      <c r="B1143" t="str">
        <f>IFERROR(IF(A1143="","",VLOOKUP(A1143,CadProd!$A:$B,2,0)),"")</f>
        <v/>
      </c>
      <c r="C1143" t="str">
        <f>IFERROR(IF(A1143="","",VLOOKUP(A1143,CadProd!$A:$C,3,0)),"")</f>
        <v/>
      </c>
      <c r="I1143" s="1" t="str">
        <f>IFERROR(IF(A1143="","",E1143*#REF!),"")</f>
        <v/>
      </c>
    </row>
    <row r="1144" spans="2:9" x14ac:dyDescent="0.3">
      <c r="B1144" t="str">
        <f>IFERROR(IF(A1144="","",VLOOKUP(A1144,CadProd!$A:$B,2,0)),"")</f>
        <v/>
      </c>
      <c r="C1144" t="str">
        <f>IFERROR(IF(A1144="","",VLOOKUP(A1144,CadProd!$A:$C,3,0)),"")</f>
        <v/>
      </c>
      <c r="I1144" s="1" t="str">
        <f>IFERROR(IF(A1144="","",E1144*#REF!),"")</f>
        <v/>
      </c>
    </row>
    <row r="1145" spans="2:9" x14ac:dyDescent="0.3">
      <c r="B1145" t="str">
        <f>IFERROR(IF(A1145="","",VLOOKUP(A1145,CadProd!$A:$B,2,0)),"")</f>
        <v/>
      </c>
      <c r="C1145" t="str">
        <f>IFERROR(IF(A1145="","",VLOOKUP(A1145,CadProd!$A:$C,3,0)),"")</f>
        <v/>
      </c>
      <c r="I1145" s="1" t="str">
        <f>IFERROR(IF(A1145="","",E1145*#REF!),"")</f>
        <v/>
      </c>
    </row>
    <row r="1146" spans="2:9" x14ac:dyDescent="0.3">
      <c r="B1146" t="str">
        <f>IFERROR(IF(A1146="","",VLOOKUP(A1146,CadProd!$A:$B,2,0)),"")</f>
        <v/>
      </c>
      <c r="C1146" t="str">
        <f>IFERROR(IF(A1146="","",VLOOKUP(A1146,CadProd!$A:$C,3,0)),"")</f>
        <v/>
      </c>
      <c r="I1146" s="1" t="str">
        <f>IFERROR(IF(A1146="","",E1146*#REF!),"")</f>
        <v/>
      </c>
    </row>
    <row r="1147" spans="2:9" x14ac:dyDescent="0.3">
      <c r="B1147" t="str">
        <f>IFERROR(IF(A1147="","",VLOOKUP(A1147,CadProd!$A:$B,2,0)),"")</f>
        <v/>
      </c>
      <c r="C1147" t="str">
        <f>IFERROR(IF(A1147="","",VLOOKUP(A1147,CadProd!$A:$C,3,0)),"")</f>
        <v/>
      </c>
      <c r="I1147" s="1" t="str">
        <f>IFERROR(IF(A1147="","",E1147*#REF!),"")</f>
        <v/>
      </c>
    </row>
    <row r="1148" spans="2:9" x14ac:dyDescent="0.3">
      <c r="B1148" t="str">
        <f>IFERROR(IF(A1148="","",VLOOKUP(A1148,CadProd!$A:$B,2,0)),"")</f>
        <v/>
      </c>
      <c r="C1148" t="str">
        <f>IFERROR(IF(A1148="","",VLOOKUP(A1148,CadProd!$A:$C,3,0)),"")</f>
        <v/>
      </c>
      <c r="I1148" s="1" t="str">
        <f>IFERROR(IF(A1148="","",E1148*#REF!),"")</f>
        <v/>
      </c>
    </row>
    <row r="1149" spans="2:9" x14ac:dyDescent="0.3">
      <c r="B1149" t="str">
        <f>IFERROR(IF(A1149="","",VLOOKUP(A1149,CadProd!$A:$B,2,0)),"")</f>
        <v/>
      </c>
      <c r="C1149" t="str">
        <f>IFERROR(IF(A1149="","",VLOOKUP(A1149,CadProd!$A:$C,3,0)),"")</f>
        <v/>
      </c>
      <c r="I1149" s="1" t="str">
        <f>IFERROR(IF(A1149="","",E1149*#REF!),"")</f>
        <v/>
      </c>
    </row>
    <row r="1150" spans="2:9" x14ac:dyDescent="0.3">
      <c r="B1150" t="str">
        <f>IFERROR(IF(A1150="","",VLOOKUP(A1150,CadProd!$A:$B,2,0)),"")</f>
        <v/>
      </c>
      <c r="C1150" t="str">
        <f>IFERROR(IF(A1150="","",VLOOKUP(A1150,CadProd!$A:$C,3,0)),"")</f>
        <v/>
      </c>
      <c r="I1150" s="1" t="str">
        <f>IFERROR(IF(A1150="","",E1150*#REF!),"")</f>
        <v/>
      </c>
    </row>
    <row r="1151" spans="2:9" x14ac:dyDescent="0.3">
      <c r="B1151" t="str">
        <f>IFERROR(IF(A1151="","",VLOOKUP(A1151,CadProd!$A:$B,2,0)),"")</f>
        <v/>
      </c>
      <c r="C1151" t="str">
        <f>IFERROR(IF(A1151="","",VLOOKUP(A1151,CadProd!$A:$C,3,0)),"")</f>
        <v/>
      </c>
      <c r="I1151" s="1" t="str">
        <f>IFERROR(IF(A1151="","",E1151*#REF!),"")</f>
        <v/>
      </c>
    </row>
    <row r="1152" spans="2:9" x14ac:dyDescent="0.3">
      <c r="B1152" t="str">
        <f>IFERROR(IF(A1152="","",VLOOKUP(A1152,CadProd!$A:$B,2,0)),"")</f>
        <v/>
      </c>
      <c r="C1152" t="str">
        <f>IFERROR(IF(A1152="","",VLOOKUP(A1152,CadProd!$A:$C,3,0)),"")</f>
        <v/>
      </c>
      <c r="I1152" s="1" t="str">
        <f>IFERROR(IF(A1152="","",E1152*#REF!),"")</f>
        <v/>
      </c>
    </row>
    <row r="1153" spans="2:9" x14ac:dyDescent="0.3">
      <c r="B1153" t="str">
        <f>IFERROR(IF(A1153="","",VLOOKUP(A1153,CadProd!$A:$B,2,0)),"")</f>
        <v/>
      </c>
      <c r="C1153" t="str">
        <f>IFERROR(IF(A1153="","",VLOOKUP(A1153,CadProd!$A:$C,3,0)),"")</f>
        <v/>
      </c>
      <c r="I1153" s="1" t="str">
        <f>IFERROR(IF(A1153="","",E1153*#REF!),"")</f>
        <v/>
      </c>
    </row>
    <row r="1154" spans="2:9" x14ac:dyDescent="0.3">
      <c r="B1154" t="str">
        <f>IFERROR(IF(A1154="","",VLOOKUP(A1154,CadProd!$A:$B,2,0)),"")</f>
        <v/>
      </c>
      <c r="C1154" t="str">
        <f>IFERROR(IF(A1154="","",VLOOKUP(A1154,CadProd!$A:$C,3,0)),"")</f>
        <v/>
      </c>
      <c r="I1154" s="1" t="str">
        <f>IFERROR(IF(A1154="","",E1154*#REF!),"")</f>
        <v/>
      </c>
    </row>
    <row r="1155" spans="2:9" x14ac:dyDescent="0.3">
      <c r="B1155" t="str">
        <f>IFERROR(IF(A1155="","",VLOOKUP(A1155,CadProd!$A:$B,2,0)),"")</f>
        <v/>
      </c>
      <c r="C1155" t="str">
        <f>IFERROR(IF(A1155="","",VLOOKUP(A1155,CadProd!$A:$C,3,0)),"")</f>
        <v/>
      </c>
      <c r="I1155" s="1" t="str">
        <f>IFERROR(IF(A1155="","",E1155*#REF!),"")</f>
        <v/>
      </c>
    </row>
    <row r="1156" spans="2:9" x14ac:dyDescent="0.3">
      <c r="B1156" t="str">
        <f>IFERROR(IF(A1156="","",VLOOKUP(A1156,CadProd!$A:$B,2,0)),"")</f>
        <v/>
      </c>
      <c r="C1156" t="str">
        <f>IFERROR(IF(A1156="","",VLOOKUP(A1156,CadProd!$A:$C,3,0)),"")</f>
        <v/>
      </c>
      <c r="I1156" s="1" t="str">
        <f>IFERROR(IF(A1156="","",E1156*#REF!),"")</f>
        <v/>
      </c>
    </row>
    <row r="1157" spans="2:9" x14ac:dyDescent="0.3">
      <c r="B1157" t="str">
        <f>IFERROR(IF(A1157="","",VLOOKUP(A1157,CadProd!$A:$B,2,0)),"")</f>
        <v/>
      </c>
      <c r="C1157" t="str">
        <f>IFERROR(IF(A1157="","",VLOOKUP(A1157,CadProd!$A:$C,3,0)),"")</f>
        <v/>
      </c>
      <c r="I1157" s="1" t="str">
        <f>IFERROR(IF(A1157="","",E1157*#REF!),"")</f>
        <v/>
      </c>
    </row>
    <row r="1158" spans="2:9" x14ac:dyDescent="0.3">
      <c r="B1158" t="str">
        <f>IFERROR(IF(A1158="","",VLOOKUP(A1158,CadProd!$A:$B,2,0)),"")</f>
        <v/>
      </c>
      <c r="C1158" t="str">
        <f>IFERROR(IF(A1158="","",VLOOKUP(A1158,CadProd!$A:$C,3,0)),"")</f>
        <v/>
      </c>
      <c r="I1158" s="1" t="str">
        <f>IFERROR(IF(A1158="","",E1158*#REF!),"")</f>
        <v/>
      </c>
    </row>
    <row r="1159" spans="2:9" x14ac:dyDescent="0.3">
      <c r="B1159" t="str">
        <f>IFERROR(IF(A1159="","",VLOOKUP(A1159,CadProd!$A:$B,2,0)),"")</f>
        <v/>
      </c>
      <c r="C1159" t="str">
        <f>IFERROR(IF(A1159="","",VLOOKUP(A1159,CadProd!$A:$C,3,0)),"")</f>
        <v/>
      </c>
      <c r="I1159" s="1" t="str">
        <f>IFERROR(IF(A1159="","",E1159*#REF!),"")</f>
        <v/>
      </c>
    </row>
    <row r="1160" spans="2:9" x14ac:dyDescent="0.3">
      <c r="B1160" t="str">
        <f>IFERROR(IF(A1160="","",VLOOKUP(A1160,CadProd!$A:$B,2,0)),"")</f>
        <v/>
      </c>
      <c r="C1160" t="str">
        <f>IFERROR(IF(A1160="","",VLOOKUP(A1160,CadProd!$A:$C,3,0)),"")</f>
        <v/>
      </c>
      <c r="I1160" s="1" t="str">
        <f>IFERROR(IF(A1160="","",E1160*#REF!),"")</f>
        <v/>
      </c>
    </row>
    <row r="1161" spans="2:9" x14ac:dyDescent="0.3">
      <c r="B1161" t="str">
        <f>IFERROR(IF(A1161="","",VLOOKUP(A1161,CadProd!$A:$B,2,0)),"")</f>
        <v/>
      </c>
      <c r="C1161" t="str">
        <f>IFERROR(IF(A1161="","",VLOOKUP(A1161,CadProd!$A:$C,3,0)),"")</f>
        <v/>
      </c>
      <c r="I1161" s="1" t="str">
        <f>IFERROR(IF(A1161="","",E1161*#REF!),"")</f>
        <v/>
      </c>
    </row>
    <row r="1162" spans="2:9" x14ac:dyDescent="0.3">
      <c r="B1162" t="str">
        <f>IFERROR(IF(A1162="","",VLOOKUP(A1162,CadProd!$A:$B,2,0)),"")</f>
        <v/>
      </c>
      <c r="C1162" t="str">
        <f>IFERROR(IF(A1162="","",VLOOKUP(A1162,CadProd!$A:$C,3,0)),"")</f>
        <v/>
      </c>
      <c r="I1162" s="1" t="str">
        <f>IFERROR(IF(A1162="","",E1162*#REF!),"")</f>
        <v/>
      </c>
    </row>
    <row r="1163" spans="2:9" x14ac:dyDescent="0.3">
      <c r="B1163" t="str">
        <f>IFERROR(IF(A1163="","",VLOOKUP(A1163,CadProd!$A:$B,2,0)),"")</f>
        <v/>
      </c>
      <c r="C1163" t="str">
        <f>IFERROR(IF(A1163="","",VLOOKUP(A1163,CadProd!$A:$C,3,0)),"")</f>
        <v/>
      </c>
      <c r="I1163" s="1" t="str">
        <f>IFERROR(IF(A1163="","",E1163*#REF!),"")</f>
        <v/>
      </c>
    </row>
    <row r="1164" spans="2:9" x14ac:dyDescent="0.3">
      <c r="B1164" t="str">
        <f>IFERROR(IF(A1164="","",VLOOKUP(A1164,CadProd!$A:$B,2,0)),"")</f>
        <v/>
      </c>
      <c r="C1164" t="str">
        <f>IFERROR(IF(A1164="","",VLOOKUP(A1164,CadProd!$A:$C,3,0)),"")</f>
        <v/>
      </c>
      <c r="I1164" s="1" t="str">
        <f>IFERROR(IF(A1164="","",E1164*#REF!),"")</f>
        <v/>
      </c>
    </row>
    <row r="1165" spans="2:9" x14ac:dyDescent="0.3">
      <c r="B1165" t="str">
        <f>IFERROR(IF(A1165="","",VLOOKUP(A1165,CadProd!$A:$B,2,0)),"")</f>
        <v/>
      </c>
      <c r="C1165" t="str">
        <f>IFERROR(IF(A1165="","",VLOOKUP(A1165,CadProd!$A:$C,3,0)),"")</f>
        <v/>
      </c>
      <c r="I1165" s="1" t="str">
        <f>IFERROR(IF(A1165="","",E1165*#REF!),"")</f>
        <v/>
      </c>
    </row>
    <row r="1166" spans="2:9" x14ac:dyDescent="0.3">
      <c r="B1166" t="str">
        <f>IFERROR(IF(A1166="","",VLOOKUP(A1166,CadProd!$A:$B,2,0)),"")</f>
        <v/>
      </c>
      <c r="C1166" t="str">
        <f>IFERROR(IF(A1166="","",VLOOKUP(A1166,CadProd!$A:$C,3,0)),"")</f>
        <v/>
      </c>
      <c r="I1166" s="1" t="str">
        <f>IFERROR(IF(A1166="","",E1166*#REF!),"")</f>
        <v/>
      </c>
    </row>
    <row r="1167" spans="2:9" x14ac:dyDescent="0.3">
      <c r="B1167" t="str">
        <f>IFERROR(IF(A1167="","",VLOOKUP(A1167,CadProd!$A:$B,2,0)),"")</f>
        <v/>
      </c>
      <c r="C1167" t="str">
        <f>IFERROR(IF(A1167="","",VLOOKUP(A1167,CadProd!$A:$C,3,0)),"")</f>
        <v/>
      </c>
      <c r="I1167" s="1" t="str">
        <f>IFERROR(IF(A1167="","",E1167*#REF!),"")</f>
        <v/>
      </c>
    </row>
    <row r="1168" spans="2:9" x14ac:dyDescent="0.3">
      <c r="B1168" t="str">
        <f>IFERROR(IF(A1168="","",VLOOKUP(A1168,CadProd!$A:$B,2,0)),"")</f>
        <v/>
      </c>
      <c r="C1168" t="str">
        <f>IFERROR(IF(A1168="","",VLOOKUP(A1168,CadProd!$A:$C,3,0)),"")</f>
        <v/>
      </c>
      <c r="I1168" s="1" t="str">
        <f>IFERROR(IF(A1168="","",E1168*#REF!),"")</f>
        <v/>
      </c>
    </row>
    <row r="1169" spans="2:9" x14ac:dyDescent="0.3">
      <c r="B1169" t="str">
        <f>IFERROR(IF(A1169="","",VLOOKUP(A1169,CadProd!$A:$B,2,0)),"")</f>
        <v/>
      </c>
      <c r="C1169" t="str">
        <f>IFERROR(IF(A1169="","",VLOOKUP(A1169,CadProd!$A:$C,3,0)),"")</f>
        <v/>
      </c>
      <c r="I1169" s="1" t="str">
        <f>IFERROR(IF(A1169="","",E1169*#REF!),"")</f>
        <v/>
      </c>
    </row>
    <row r="1170" spans="2:9" x14ac:dyDescent="0.3">
      <c r="B1170" t="str">
        <f>IFERROR(IF(A1170="","",VLOOKUP(A1170,CadProd!$A:$B,2,0)),"")</f>
        <v/>
      </c>
      <c r="C1170" t="str">
        <f>IFERROR(IF(A1170="","",VLOOKUP(A1170,CadProd!$A:$C,3,0)),"")</f>
        <v/>
      </c>
      <c r="I1170" s="1" t="str">
        <f>IFERROR(IF(A1170="","",E1170*#REF!),"")</f>
        <v/>
      </c>
    </row>
    <row r="1171" spans="2:9" x14ac:dyDescent="0.3">
      <c r="B1171" t="str">
        <f>IFERROR(IF(A1171="","",VLOOKUP(A1171,CadProd!$A:$B,2,0)),"")</f>
        <v/>
      </c>
      <c r="C1171" t="str">
        <f>IFERROR(IF(A1171="","",VLOOKUP(A1171,CadProd!$A:$C,3,0)),"")</f>
        <v/>
      </c>
      <c r="I1171" s="1" t="str">
        <f>IFERROR(IF(A1171="","",E1171*#REF!),"")</f>
        <v/>
      </c>
    </row>
    <row r="1172" spans="2:9" x14ac:dyDescent="0.3">
      <c r="B1172" t="str">
        <f>IFERROR(IF(A1172="","",VLOOKUP(A1172,CadProd!$A:$B,2,0)),"")</f>
        <v/>
      </c>
      <c r="C1172" t="str">
        <f>IFERROR(IF(A1172="","",VLOOKUP(A1172,CadProd!$A:$C,3,0)),"")</f>
        <v/>
      </c>
      <c r="I1172" s="1" t="str">
        <f>IFERROR(IF(A1172="","",E1172*#REF!),"")</f>
        <v/>
      </c>
    </row>
    <row r="1173" spans="2:9" x14ac:dyDescent="0.3">
      <c r="B1173" t="str">
        <f>IFERROR(IF(A1173="","",VLOOKUP(A1173,CadProd!$A:$B,2,0)),"")</f>
        <v/>
      </c>
      <c r="C1173" t="str">
        <f>IFERROR(IF(A1173="","",VLOOKUP(A1173,CadProd!$A:$C,3,0)),"")</f>
        <v/>
      </c>
      <c r="I1173" s="1" t="str">
        <f>IFERROR(IF(A1173="","",E1173*#REF!),"")</f>
        <v/>
      </c>
    </row>
    <row r="1174" spans="2:9" x14ac:dyDescent="0.3">
      <c r="B1174" t="str">
        <f>IFERROR(IF(A1174="","",VLOOKUP(A1174,CadProd!$A:$B,2,0)),"")</f>
        <v/>
      </c>
      <c r="C1174" t="str">
        <f>IFERROR(IF(A1174="","",VLOOKUP(A1174,CadProd!$A:$C,3,0)),"")</f>
        <v/>
      </c>
      <c r="I1174" s="1" t="str">
        <f>IFERROR(IF(A1174="","",E1174*#REF!),"")</f>
        <v/>
      </c>
    </row>
    <row r="1175" spans="2:9" x14ac:dyDescent="0.3">
      <c r="B1175" t="str">
        <f>IFERROR(IF(A1175="","",VLOOKUP(A1175,CadProd!$A:$B,2,0)),"")</f>
        <v/>
      </c>
      <c r="C1175" t="str">
        <f>IFERROR(IF(A1175="","",VLOOKUP(A1175,CadProd!$A:$C,3,0)),"")</f>
        <v/>
      </c>
      <c r="I1175" s="1" t="str">
        <f>IFERROR(IF(A1175="","",E1175*#REF!),"")</f>
        <v/>
      </c>
    </row>
    <row r="1176" spans="2:9" x14ac:dyDescent="0.3">
      <c r="B1176" t="str">
        <f>IFERROR(IF(A1176="","",VLOOKUP(A1176,CadProd!$A:$B,2,0)),"")</f>
        <v/>
      </c>
      <c r="C1176" t="str">
        <f>IFERROR(IF(A1176="","",VLOOKUP(A1176,CadProd!$A:$C,3,0)),"")</f>
        <v/>
      </c>
      <c r="I1176" s="1" t="str">
        <f>IFERROR(IF(A1176="","",E1176*#REF!),"")</f>
        <v/>
      </c>
    </row>
    <row r="1177" spans="2:9" x14ac:dyDescent="0.3">
      <c r="B1177" t="str">
        <f>IFERROR(IF(A1177="","",VLOOKUP(A1177,CadProd!$A:$B,2,0)),"")</f>
        <v/>
      </c>
      <c r="C1177" t="str">
        <f>IFERROR(IF(A1177="","",VLOOKUP(A1177,CadProd!$A:$C,3,0)),"")</f>
        <v/>
      </c>
      <c r="I1177" s="1" t="str">
        <f>IFERROR(IF(A1177="","",E1177*#REF!),"")</f>
        <v/>
      </c>
    </row>
    <row r="1178" spans="2:9" x14ac:dyDescent="0.3">
      <c r="B1178" t="str">
        <f>IFERROR(IF(A1178="","",VLOOKUP(A1178,CadProd!$A:$B,2,0)),"")</f>
        <v/>
      </c>
      <c r="C1178" t="str">
        <f>IFERROR(IF(A1178="","",VLOOKUP(A1178,CadProd!$A:$C,3,0)),"")</f>
        <v/>
      </c>
      <c r="I1178" s="1" t="str">
        <f>IFERROR(IF(A1178="","",E1178*#REF!),"")</f>
        <v/>
      </c>
    </row>
    <row r="1179" spans="2:9" x14ac:dyDescent="0.3">
      <c r="B1179" t="str">
        <f>IFERROR(IF(A1179="","",VLOOKUP(A1179,CadProd!$A:$B,2,0)),"")</f>
        <v/>
      </c>
      <c r="C1179" t="str">
        <f>IFERROR(IF(A1179="","",VLOOKUP(A1179,CadProd!$A:$C,3,0)),"")</f>
        <v/>
      </c>
      <c r="I1179" s="1" t="str">
        <f>IFERROR(IF(A1179="","",E1179*#REF!),"")</f>
        <v/>
      </c>
    </row>
    <row r="1180" spans="2:9" x14ac:dyDescent="0.3">
      <c r="B1180" t="str">
        <f>IFERROR(IF(A1180="","",VLOOKUP(A1180,CadProd!$A:$B,2,0)),"")</f>
        <v/>
      </c>
      <c r="C1180" t="str">
        <f>IFERROR(IF(A1180="","",VLOOKUP(A1180,CadProd!$A:$C,3,0)),"")</f>
        <v/>
      </c>
      <c r="I1180" s="1" t="str">
        <f>IFERROR(IF(A1180="","",E1180*#REF!),"")</f>
        <v/>
      </c>
    </row>
    <row r="1181" spans="2:9" x14ac:dyDescent="0.3">
      <c r="B1181" t="str">
        <f>IFERROR(IF(A1181="","",VLOOKUP(A1181,CadProd!$A:$B,2,0)),"")</f>
        <v/>
      </c>
      <c r="C1181" t="str">
        <f>IFERROR(IF(A1181="","",VLOOKUP(A1181,CadProd!$A:$C,3,0)),"")</f>
        <v/>
      </c>
      <c r="I1181" s="1" t="str">
        <f>IFERROR(IF(A1181="","",E1181*#REF!),"")</f>
        <v/>
      </c>
    </row>
    <row r="1182" spans="2:9" x14ac:dyDescent="0.3">
      <c r="B1182" t="str">
        <f>IFERROR(IF(A1182="","",VLOOKUP(A1182,CadProd!$A:$B,2,0)),"")</f>
        <v/>
      </c>
      <c r="C1182" t="str">
        <f>IFERROR(IF(A1182="","",VLOOKUP(A1182,CadProd!$A:$C,3,0)),"")</f>
        <v/>
      </c>
      <c r="I1182" s="1" t="str">
        <f>IFERROR(IF(A1182="","",E1182*#REF!),"")</f>
        <v/>
      </c>
    </row>
    <row r="1183" spans="2:9" x14ac:dyDescent="0.3">
      <c r="B1183" t="str">
        <f>IFERROR(IF(A1183="","",VLOOKUP(A1183,CadProd!$A:$B,2,0)),"")</f>
        <v/>
      </c>
      <c r="C1183" t="str">
        <f>IFERROR(IF(A1183="","",VLOOKUP(A1183,CadProd!$A:$C,3,0)),"")</f>
        <v/>
      </c>
      <c r="I1183" s="1" t="str">
        <f>IFERROR(IF(A1183="","",E1183*#REF!),"")</f>
        <v/>
      </c>
    </row>
    <row r="1184" spans="2:9" x14ac:dyDescent="0.3">
      <c r="B1184" t="str">
        <f>IFERROR(IF(A1184="","",VLOOKUP(A1184,CadProd!$A:$B,2,0)),"")</f>
        <v/>
      </c>
      <c r="C1184" t="str">
        <f>IFERROR(IF(A1184="","",VLOOKUP(A1184,CadProd!$A:$C,3,0)),"")</f>
        <v/>
      </c>
      <c r="I1184" s="1" t="str">
        <f>IFERROR(IF(A1184="","",E1184*#REF!),"")</f>
        <v/>
      </c>
    </row>
    <row r="1185" spans="2:9" x14ac:dyDescent="0.3">
      <c r="B1185" t="str">
        <f>IFERROR(IF(A1185="","",VLOOKUP(A1185,CadProd!$A:$B,2,0)),"")</f>
        <v/>
      </c>
      <c r="C1185" t="str">
        <f>IFERROR(IF(A1185="","",VLOOKUP(A1185,CadProd!$A:$C,3,0)),"")</f>
        <v/>
      </c>
      <c r="I1185" s="1" t="str">
        <f>IFERROR(IF(A1185="","",E1185*#REF!),"")</f>
        <v/>
      </c>
    </row>
    <row r="1186" spans="2:9" x14ac:dyDescent="0.3">
      <c r="B1186" t="str">
        <f>IFERROR(IF(A1186="","",VLOOKUP(A1186,CadProd!$A:$B,2,0)),"")</f>
        <v/>
      </c>
      <c r="C1186" t="str">
        <f>IFERROR(IF(A1186="","",VLOOKUP(A1186,CadProd!$A:$C,3,0)),"")</f>
        <v/>
      </c>
      <c r="I1186" s="1" t="str">
        <f>IFERROR(IF(A1186="","",E1186*#REF!),"")</f>
        <v/>
      </c>
    </row>
    <row r="1187" spans="2:9" x14ac:dyDescent="0.3">
      <c r="B1187" t="str">
        <f>IFERROR(IF(A1187="","",VLOOKUP(A1187,CadProd!$A:$B,2,0)),"")</f>
        <v/>
      </c>
      <c r="C1187" t="str">
        <f>IFERROR(IF(A1187="","",VLOOKUP(A1187,CadProd!$A:$C,3,0)),"")</f>
        <v/>
      </c>
      <c r="I1187" s="1" t="str">
        <f>IFERROR(IF(A1187="","",E1187*#REF!),"")</f>
        <v/>
      </c>
    </row>
    <row r="1188" spans="2:9" x14ac:dyDescent="0.3">
      <c r="B1188" t="str">
        <f>IFERROR(IF(A1188="","",VLOOKUP(A1188,CadProd!$A:$B,2,0)),"")</f>
        <v/>
      </c>
      <c r="C1188" t="str">
        <f>IFERROR(IF(A1188="","",VLOOKUP(A1188,CadProd!$A:$C,3,0)),"")</f>
        <v/>
      </c>
      <c r="I1188" s="1" t="str">
        <f>IFERROR(IF(A1188="","",E1188*#REF!),"")</f>
        <v/>
      </c>
    </row>
    <row r="1189" spans="2:9" x14ac:dyDescent="0.3">
      <c r="B1189" t="str">
        <f>IFERROR(IF(A1189="","",VLOOKUP(A1189,CadProd!$A:$B,2,0)),"")</f>
        <v/>
      </c>
      <c r="C1189" t="str">
        <f>IFERROR(IF(A1189="","",VLOOKUP(A1189,CadProd!$A:$C,3,0)),"")</f>
        <v/>
      </c>
      <c r="I1189" s="1" t="str">
        <f>IFERROR(IF(A1189="","",E1189*#REF!),"")</f>
        <v/>
      </c>
    </row>
    <row r="1190" spans="2:9" x14ac:dyDescent="0.3">
      <c r="B1190" t="str">
        <f>IFERROR(IF(A1190="","",VLOOKUP(A1190,CadProd!$A:$B,2,0)),"")</f>
        <v/>
      </c>
      <c r="C1190" t="str">
        <f>IFERROR(IF(A1190="","",VLOOKUP(A1190,CadProd!$A:$C,3,0)),"")</f>
        <v/>
      </c>
      <c r="I1190" s="1" t="str">
        <f>IFERROR(IF(A1190="","",E1190*#REF!),"")</f>
        <v/>
      </c>
    </row>
    <row r="1191" spans="2:9" x14ac:dyDescent="0.3">
      <c r="B1191" t="str">
        <f>IFERROR(IF(A1191="","",VLOOKUP(A1191,CadProd!$A:$B,2,0)),"")</f>
        <v/>
      </c>
      <c r="C1191" t="str">
        <f>IFERROR(IF(A1191="","",VLOOKUP(A1191,CadProd!$A:$C,3,0)),"")</f>
        <v/>
      </c>
      <c r="I1191" s="1" t="str">
        <f>IFERROR(IF(A1191="","",E1191*#REF!),"")</f>
        <v/>
      </c>
    </row>
    <row r="1192" spans="2:9" x14ac:dyDescent="0.3">
      <c r="B1192" t="str">
        <f>IFERROR(IF(A1192="","",VLOOKUP(A1192,CadProd!$A:$B,2,0)),"")</f>
        <v/>
      </c>
      <c r="C1192" t="str">
        <f>IFERROR(IF(A1192="","",VLOOKUP(A1192,CadProd!$A:$C,3,0)),"")</f>
        <v/>
      </c>
      <c r="I1192" s="1" t="str">
        <f>IFERROR(IF(A1192="","",E1192*#REF!),"")</f>
        <v/>
      </c>
    </row>
    <row r="1193" spans="2:9" x14ac:dyDescent="0.3">
      <c r="B1193" t="str">
        <f>IFERROR(IF(A1193="","",VLOOKUP(A1193,CadProd!$A:$B,2,0)),"")</f>
        <v/>
      </c>
      <c r="C1193" t="str">
        <f>IFERROR(IF(A1193="","",VLOOKUP(A1193,CadProd!$A:$C,3,0)),"")</f>
        <v/>
      </c>
      <c r="I1193" s="1" t="str">
        <f>IFERROR(IF(A1193="","",E1193*#REF!),"")</f>
        <v/>
      </c>
    </row>
    <row r="1194" spans="2:9" x14ac:dyDescent="0.3">
      <c r="B1194" t="str">
        <f>IFERROR(IF(A1194="","",VLOOKUP(A1194,CadProd!$A:$B,2,0)),"")</f>
        <v/>
      </c>
      <c r="C1194" t="str">
        <f>IFERROR(IF(A1194="","",VLOOKUP(A1194,CadProd!$A:$C,3,0)),"")</f>
        <v/>
      </c>
      <c r="I1194" s="1" t="str">
        <f>IFERROR(IF(A1194="","",E1194*#REF!),"")</f>
        <v/>
      </c>
    </row>
    <row r="1195" spans="2:9" x14ac:dyDescent="0.3">
      <c r="B1195" t="str">
        <f>IFERROR(IF(A1195="","",VLOOKUP(A1195,CadProd!$A:$B,2,0)),"")</f>
        <v/>
      </c>
      <c r="C1195" t="str">
        <f>IFERROR(IF(A1195="","",VLOOKUP(A1195,CadProd!$A:$C,3,0)),"")</f>
        <v/>
      </c>
      <c r="I1195" s="1" t="str">
        <f>IFERROR(IF(A1195="","",E1195*#REF!),"")</f>
        <v/>
      </c>
    </row>
    <row r="1196" spans="2:9" x14ac:dyDescent="0.3">
      <c r="B1196" t="str">
        <f>IFERROR(IF(A1196="","",VLOOKUP(A1196,CadProd!$A:$B,2,0)),"")</f>
        <v/>
      </c>
      <c r="C1196" t="str">
        <f>IFERROR(IF(A1196="","",VLOOKUP(A1196,CadProd!$A:$C,3,0)),"")</f>
        <v/>
      </c>
      <c r="I1196" s="1" t="str">
        <f>IFERROR(IF(A1196="","",E1196*#REF!),"")</f>
        <v/>
      </c>
    </row>
    <row r="1197" spans="2:9" x14ac:dyDescent="0.3">
      <c r="B1197" t="str">
        <f>IFERROR(IF(A1197="","",VLOOKUP(A1197,CadProd!$A:$B,2,0)),"")</f>
        <v/>
      </c>
      <c r="C1197" t="str">
        <f>IFERROR(IF(A1197="","",VLOOKUP(A1197,CadProd!$A:$C,3,0)),"")</f>
        <v/>
      </c>
      <c r="I1197" s="1" t="str">
        <f>IFERROR(IF(A1197="","",E1197*#REF!),"")</f>
        <v/>
      </c>
    </row>
    <row r="1198" spans="2:9" x14ac:dyDescent="0.3">
      <c r="B1198" t="str">
        <f>IFERROR(IF(A1198="","",VLOOKUP(A1198,CadProd!$A:$B,2,0)),"")</f>
        <v/>
      </c>
      <c r="C1198" t="str">
        <f>IFERROR(IF(A1198="","",VLOOKUP(A1198,CadProd!$A:$C,3,0)),"")</f>
        <v/>
      </c>
      <c r="I1198" s="1" t="str">
        <f>IFERROR(IF(A1198="","",E1198*#REF!),"")</f>
        <v/>
      </c>
    </row>
    <row r="1199" spans="2:9" x14ac:dyDescent="0.3">
      <c r="B1199" t="str">
        <f>IFERROR(IF(A1199="","",VLOOKUP(A1199,CadProd!$A:$B,2,0)),"")</f>
        <v/>
      </c>
      <c r="C1199" t="str">
        <f>IFERROR(IF(A1199="","",VLOOKUP(A1199,CadProd!$A:$C,3,0)),"")</f>
        <v/>
      </c>
      <c r="I1199" s="1" t="str">
        <f>IFERROR(IF(A1199="","",E1199*#REF!),"")</f>
        <v/>
      </c>
    </row>
    <row r="1200" spans="2:9" x14ac:dyDescent="0.3">
      <c r="B1200" t="str">
        <f>IFERROR(IF(A1200="","",VLOOKUP(A1200,CadProd!$A:$B,2,0)),"")</f>
        <v/>
      </c>
      <c r="C1200" t="str">
        <f>IFERROR(IF(A1200="","",VLOOKUP(A1200,CadProd!$A:$C,3,0)),"")</f>
        <v/>
      </c>
      <c r="I1200" s="1" t="str">
        <f>IFERROR(IF(A1200="","",E1200*#REF!),"")</f>
        <v/>
      </c>
    </row>
    <row r="1201" spans="2:9" x14ac:dyDescent="0.3">
      <c r="B1201" t="str">
        <f>IFERROR(IF(A1201="","",VLOOKUP(A1201,CadProd!$A:$B,2,0)),"")</f>
        <v/>
      </c>
      <c r="C1201" t="str">
        <f>IFERROR(IF(A1201="","",VLOOKUP(A1201,CadProd!$A:$C,3,0)),"")</f>
        <v/>
      </c>
      <c r="I1201" s="1" t="str">
        <f>IFERROR(IF(A1201="","",E1201*#REF!),"")</f>
        <v/>
      </c>
    </row>
    <row r="1202" spans="2:9" x14ac:dyDescent="0.3">
      <c r="B1202" t="str">
        <f>IFERROR(IF(A1202="","",VLOOKUP(A1202,CadProd!$A:$B,2,0)),"")</f>
        <v/>
      </c>
      <c r="C1202" t="str">
        <f>IFERROR(IF(A1202="","",VLOOKUP(A1202,CadProd!$A:$C,3,0)),"")</f>
        <v/>
      </c>
      <c r="I1202" s="1" t="str">
        <f>IFERROR(IF(A1202="","",E1202*#REF!),"")</f>
        <v/>
      </c>
    </row>
    <row r="1203" spans="2:9" x14ac:dyDescent="0.3">
      <c r="B1203" t="str">
        <f>IFERROR(IF(A1203="","",VLOOKUP(A1203,CadProd!$A:$B,2,0)),"")</f>
        <v/>
      </c>
      <c r="C1203" t="str">
        <f>IFERROR(IF(A1203="","",VLOOKUP(A1203,CadProd!$A:$C,3,0)),"")</f>
        <v/>
      </c>
      <c r="I1203" s="1" t="str">
        <f>IFERROR(IF(A1203="","",E1203*#REF!),"")</f>
        <v/>
      </c>
    </row>
    <row r="1204" spans="2:9" x14ac:dyDescent="0.3">
      <c r="B1204" t="str">
        <f>IFERROR(IF(A1204="","",VLOOKUP(A1204,CadProd!$A:$B,2,0)),"")</f>
        <v/>
      </c>
      <c r="C1204" t="str">
        <f>IFERROR(IF(A1204="","",VLOOKUP(A1204,CadProd!$A:$C,3,0)),"")</f>
        <v/>
      </c>
      <c r="I1204" s="1" t="str">
        <f>IFERROR(IF(A1204="","",E1204*#REF!),"")</f>
        <v/>
      </c>
    </row>
    <row r="1205" spans="2:9" x14ac:dyDescent="0.3">
      <c r="B1205" t="str">
        <f>IFERROR(IF(A1205="","",VLOOKUP(A1205,CadProd!$A:$B,2,0)),"")</f>
        <v/>
      </c>
      <c r="C1205" t="str">
        <f>IFERROR(IF(A1205="","",VLOOKUP(A1205,CadProd!$A:$C,3,0)),"")</f>
        <v/>
      </c>
      <c r="I1205" s="1" t="str">
        <f>IFERROR(IF(A1205="","",E1205*#REF!),"")</f>
        <v/>
      </c>
    </row>
    <row r="1206" spans="2:9" x14ac:dyDescent="0.3">
      <c r="B1206" t="str">
        <f>IFERROR(IF(A1206="","",VLOOKUP(A1206,CadProd!$A:$B,2,0)),"")</f>
        <v/>
      </c>
      <c r="C1206" t="str">
        <f>IFERROR(IF(A1206="","",VLOOKUP(A1206,CadProd!$A:$C,3,0)),"")</f>
        <v/>
      </c>
      <c r="I1206" s="1" t="str">
        <f>IFERROR(IF(A1206="","",E1206*#REF!),"")</f>
        <v/>
      </c>
    </row>
    <row r="1207" spans="2:9" x14ac:dyDescent="0.3">
      <c r="B1207" t="str">
        <f>IFERROR(IF(A1207="","",VLOOKUP(A1207,CadProd!$A:$B,2,0)),"")</f>
        <v/>
      </c>
      <c r="C1207" t="str">
        <f>IFERROR(IF(A1207="","",VLOOKUP(A1207,CadProd!$A:$C,3,0)),"")</f>
        <v/>
      </c>
      <c r="I1207" s="1" t="str">
        <f>IFERROR(IF(A1207="","",E1207*#REF!),"")</f>
        <v/>
      </c>
    </row>
    <row r="1208" spans="2:9" x14ac:dyDescent="0.3">
      <c r="B1208" t="str">
        <f>IFERROR(IF(A1208="","",VLOOKUP(A1208,CadProd!$A:$B,2,0)),"")</f>
        <v/>
      </c>
      <c r="C1208" t="str">
        <f>IFERROR(IF(A1208="","",VLOOKUP(A1208,CadProd!$A:$C,3,0)),"")</f>
        <v/>
      </c>
      <c r="I1208" s="1" t="str">
        <f>IFERROR(IF(A1208="","",E1208*#REF!),"")</f>
        <v/>
      </c>
    </row>
    <row r="1209" spans="2:9" x14ac:dyDescent="0.3">
      <c r="B1209" t="str">
        <f>IFERROR(IF(A1209="","",VLOOKUP(A1209,CadProd!$A:$B,2,0)),"")</f>
        <v/>
      </c>
      <c r="C1209" t="str">
        <f>IFERROR(IF(A1209="","",VLOOKUP(A1209,CadProd!$A:$C,3,0)),"")</f>
        <v/>
      </c>
      <c r="I1209" s="1" t="str">
        <f>IFERROR(IF(A1209="","",E1209*#REF!),"")</f>
        <v/>
      </c>
    </row>
    <row r="1210" spans="2:9" x14ac:dyDescent="0.3">
      <c r="B1210" t="str">
        <f>IFERROR(IF(A1210="","",VLOOKUP(A1210,CadProd!$A:$B,2,0)),"")</f>
        <v/>
      </c>
      <c r="C1210" t="str">
        <f>IFERROR(IF(A1210="","",VLOOKUP(A1210,CadProd!$A:$C,3,0)),"")</f>
        <v/>
      </c>
      <c r="I1210" s="1" t="str">
        <f>IFERROR(IF(A1210="","",E1210*#REF!),"")</f>
        <v/>
      </c>
    </row>
    <row r="1211" spans="2:9" x14ac:dyDescent="0.3">
      <c r="B1211" t="str">
        <f>IFERROR(IF(A1211="","",VLOOKUP(A1211,CadProd!$A:$B,2,0)),"")</f>
        <v/>
      </c>
      <c r="C1211" t="str">
        <f>IFERROR(IF(A1211="","",VLOOKUP(A1211,CadProd!$A:$C,3,0)),"")</f>
        <v/>
      </c>
      <c r="I1211" s="1" t="str">
        <f>IFERROR(IF(A1211="","",E1211*#REF!),"")</f>
        <v/>
      </c>
    </row>
    <row r="1212" spans="2:9" x14ac:dyDescent="0.3">
      <c r="B1212" t="str">
        <f>IFERROR(IF(A1212="","",VLOOKUP(A1212,CadProd!$A:$B,2,0)),"")</f>
        <v/>
      </c>
      <c r="C1212" t="str">
        <f>IFERROR(IF(A1212="","",VLOOKUP(A1212,CadProd!$A:$C,3,0)),"")</f>
        <v/>
      </c>
      <c r="I1212" s="1" t="str">
        <f>IFERROR(IF(A1212="","",E1212*#REF!),"")</f>
        <v/>
      </c>
    </row>
    <row r="1213" spans="2:9" x14ac:dyDescent="0.3">
      <c r="B1213" t="str">
        <f>IFERROR(IF(A1213="","",VLOOKUP(A1213,CadProd!$A:$B,2,0)),"")</f>
        <v/>
      </c>
      <c r="C1213" t="str">
        <f>IFERROR(IF(A1213="","",VLOOKUP(A1213,CadProd!$A:$C,3,0)),"")</f>
        <v/>
      </c>
      <c r="I1213" s="1" t="str">
        <f>IFERROR(IF(A1213="","",E1213*#REF!),"")</f>
        <v/>
      </c>
    </row>
    <row r="1214" spans="2:9" x14ac:dyDescent="0.3">
      <c r="B1214" t="str">
        <f>IFERROR(IF(A1214="","",VLOOKUP(A1214,CadProd!$A:$B,2,0)),"")</f>
        <v/>
      </c>
      <c r="C1214" t="str">
        <f>IFERROR(IF(A1214="","",VLOOKUP(A1214,CadProd!$A:$C,3,0)),"")</f>
        <v/>
      </c>
      <c r="I1214" s="1" t="str">
        <f>IFERROR(IF(A1214="","",E1214*#REF!),"")</f>
        <v/>
      </c>
    </row>
    <row r="1215" spans="2:9" x14ac:dyDescent="0.3">
      <c r="B1215" t="str">
        <f>IFERROR(IF(A1215="","",VLOOKUP(A1215,CadProd!$A:$B,2,0)),"")</f>
        <v/>
      </c>
      <c r="C1215" t="str">
        <f>IFERROR(IF(A1215="","",VLOOKUP(A1215,CadProd!$A:$C,3,0)),"")</f>
        <v/>
      </c>
      <c r="I1215" s="1" t="str">
        <f>IFERROR(IF(A1215="","",E1215*#REF!),"")</f>
        <v/>
      </c>
    </row>
    <row r="1216" spans="2:9" x14ac:dyDescent="0.3">
      <c r="B1216" t="str">
        <f>IFERROR(IF(A1216="","",VLOOKUP(A1216,CadProd!$A:$B,2,0)),"")</f>
        <v/>
      </c>
      <c r="C1216" t="str">
        <f>IFERROR(IF(A1216="","",VLOOKUP(A1216,CadProd!$A:$C,3,0)),"")</f>
        <v/>
      </c>
      <c r="I1216" s="1" t="str">
        <f>IFERROR(IF(A1216="","",E1216*#REF!),"")</f>
        <v/>
      </c>
    </row>
    <row r="1217" spans="2:9" x14ac:dyDescent="0.3">
      <c r="B1217" t="str">
        <f>IFERROR(IF(A1217="","",VLOOKUP(A1217,CadProd!$A:$B,2,0)),"")</f>
        <v/>
      </c>
      <c r="C1217" t="str">
        <f>IFERROR(IF(A1217="","",VLOOKUP(A1217,CadProd!$A:$C,3,0)),"")</f>
        <v/>
      </c>
      <c r="I1217" s="1" t="str">
        <f>IFERROR(IF(A1217="","",E1217*#REF!),"")</f>
        <v/>
      </c>
    </row>
    <row r="1218" spans="2:9" x14ac:dyDescent="0.3">
      <c r="B1218" t="str">
        <f>IFERROR(IF(A1218="","",VLOOKUP(A1218,CadProd!$A:$B,2,0)),"")</f>
        <v/>
      </c>
      <c r="C1218" t="str">
        <f>IFERROR(IF(A1218="","",VLOOKUP(A1218,CadProd!$A:$C,3,0)),"")</f>
        <v/>
      </c>
      <c r="I1218" s="1" t="str">
        <f>IFERROR(IF(A1218="","",E1218*#REF!),"")</f>
        <v/>
      </c>
    </row>
    <row r="1219" spans="2:9" x14ac:dyDescent="0.3">
      <c r="B1219" t="str">
        <f>IFERROR(IF(A1219="","",VLOOKUP(A1219,CadProd!$A:$B,2,0)),"")</f>
        <v/>
      </c>
      <c r="C1219" t="str">
        <f>IFERROR(IF(A1219="","",VLOOKUP(A1219,CadProd!$A:$C,3,0)),"")</f>
        <v/>
      </c>
      <c r="I1219" s="1" t="str">
        <f>IFERROR(IF(A1219="","",E1219*#REF!),"")</f>
        <v/>
      </c>
    </row>
    <row r="1220" spans="2:9" x14ac:dyDescent="0.3">
      <c r="B1220" t="str">
        <f>IFERROR(IF(A1220="","",VLOOKUP(A1220,CadProd!$A:$B,2,0)),"")</f>
        <v/>
      </c>
      <c r="C1220" t="str">
        <f>IFERROR(IF(A1220="","",VLOOKUP(A1220,CadProd!$A:$C,3,0)),"")</f>
        <v/>
      </c>
      <c r="I1220" s="1" t="str">
        <f>IFERROR(IF(A1220="","",E1220*#REF!),"")</f>
        <v/>
      </c>
    </row>
    <row r="1221" spans="2:9" x14ac:dyDescent="0.3">
      <c r="B1221" t="str">
        <f>IFERROR(IF(A1221="","",VLOOKUP(A1221,CadProd!$A:$B,2,0)),"")</f>
        <v/>
      </c>
      <c r="C1221" t="str">
        <f>IFERROR(IF(A1221="","",VLOOKUP(A1221,CadProd!$A:$C,3,0)),"")</f>
        <v/>
      </c>
      <c r="I1221" s="1" t="str">
        <f>IFERROR(IF(A1221="","",E1221*#REF!),"")</f>
        <v/>
      </c>
    </row>
    <row r="1222" spans="2:9" x14ac:dyDescent="0.3">
      <c r="B1222" t="str">
        <f>IFERROR(IF(A1222="","",VLOOKUP(A1222,CadProd!$A:$B,2,0)),"")</f>
        <v/>
      </c>
      <c r="C1222" t="str">
        <f>IFERROR(IF(A1222="","",VLOOKUP(A1222,CadProd!$A:$C,3,0)),"")</f>
        <v/>
      </c>
      <c r="I1222" s="1" t="str">
        <f>IFERROR(IF(A1222="","",E1222*#REF!),"")</f>
        <v/>
      </c>
    </row>
    <row r="1223" spans="2:9" x14ac:dyDescent="0.3">
      <c r="B1223" t="str">
        <f>IFERROR(IF(A1223="","",VLOOKUP(A1223,CadProd!$A:$B,2,0)),"")</f>
        <v/>
      </c>
      <c r="C1223" t="str">
        <f>IFERROR(IF(A1223="","",VLOOKUP(A1223,CadProd!$A:$C,3,0)),"")</f>
        <v/>
      </c>
      <c r="I1223" s="1" t="str">
        <f>IFERROR(IF(A1223="","",E1223*#REF!),"")</f>
        <v/>
      </c>
    </row>
    <row r="1224" spans="2:9" x14ac:dyDescent="0.3">
      <c r="B1224" t="str">
        <f>IFERROR(IF(A1224="","",VLOOKUP(A1224,CadProd!$A:$B,2,0)),"")</f>
        <v/>
      </c>
      <c r="C1224" t="str">
        <f>IFERROR(IF(A1224="","",VLOOKUP(A1224,CadProd!$A:$C,3,0)),"")</f>
        <v/>
      </c>
      <c r="I1224" s="1" t="str">
        <f>IFERROR(IF(A1224="","",E1224*#REF!),"")</f>
        <v/>
      </c>
    </row>
    <row r="1225" spans="2:9" x14ac:dyDescent="0.3">
      <c r="B1225" t="str">
        <f>IFERROR(IF(A1225="","",VLOOKUP(A1225,CadProd!$A:$B,2,0)),"")</f>
        <v/>
      </c>
      <c r="C1225" t="str">
        <f>IFERROR(IF(A1225="","",VLOOKUP(A1225,CadProd!$A:$C,3,0)),"")</f>
        <v/>
      </c>
      <c r="I1225" s="1" t="str">
        <f>IFERROR(IF(A1225="","",E1225*#REF!),"")</f>
        <v/>
      </c>
    </row>
    <row r="1226" spans="2:9" x14ac:dyDescent="0.3">
      <c r="B1226" t="str">
        <f>IFERROR(IF(A1226="","",VLOOKUP(A1226,CadProd!$A:$B,2,0)),"")</f>
        <v/>
      </c>
      <c r="C1226" t="str">
        <f>IFERROR(IF(A1226="","",VLOOKUP(A1226,CadProd!$A:$C,3,0)),"")</f>
        <v/>
      </c>
      <c r="I1226" s="1" t="str">
        <f>IFERROR(IF(A1226="","",E1226*#REF!),"")</f>
        <v/>
      </c>
    </row>
    <row r="1227" spans="2:9" x14ac:dyDescent="0.3">
      <c r="B1227" t="str">
        <f>IFERROR(IF(A1227="","",VLOOKUP(A1227,CadProd!$A:$B,2,0)),"")</f>
        <v/>
      </c>
      <c r="C1227" t="str">
        <f>IFERROR(IF(A1227="","",VLOOKUP(A1227,CadProd!$A:$C,3,0)),"")</f>
        <v/>
      </c>
      <c r="I1227" s="1" t="str">
        <f>IFERROR(IF(A1227="","",E1227*#REF!),"")</f>
        <v/>
      </c>
    </row>
    <row r="1228" spans="2:9" x14ac:dyDescent="0.3">
      <c r="B1228" t="str">
        <f>IFERROR(IF(A1228="","",VLOOKUP(A1228,CadProd!$A:$B,2,0)),"")</f>
        <v/>
      </c>
      <c r="C1228" t="str">
        <f>IFERROR(IF(A1228="","",VLOOKUP(A1228,CadProd!$A:$C,3,0)),"")</f>
        <v/>
      </c>
      <c r="I1228" s="1" t="str">
        <f>IFERROR(IF(A1228="","",E1228*#REF!),"")</f>
        <v/>
      </c>
    </row>
    <row r="1229" spans="2:9" x14ac:dyDescent="0.3">
      <c r="B1229" t="str">
        <f>IFERROR(IF(A1229="","",VLOOKUP(A1229,CadProd!$A:$B,2,0)),"")</f>
        <v/>
      </c>
      <c r="C1229" t="str">
        <f>IFERROR(IF(A1229="","",VLOOKUP(A1229,CadProd!$A:$C,3,0)),"")</f>
        <v/>
      </c>
      <c r="I1229" s="1" t="str">
        <f>IFERROR(IF(A1229="","",E1229*#REF!),"")</f>
        <v/>
      </c>
    </row>
    <row r="1230" spans="2:9" x14ac:dyDescent="0.3">
      <c r="B1230" t="str">
        <f>IFERROR(IF(A1230="","",VLOOKUP(A1230,CadProd!$A:$B,2,0)),"")</f>
        <v/>
      </c>
      <c r="C1230" t="str">
        <f>IFERROR(IF(A1230="","",VLOOKUP(A1230,CadProd!$A:$C,3,0)),"")</f>
        <v/>
      </c>
      <c r="I1230" s="1" t="str">
        <f>IFERROR(IF(A1230="","",E1230*#REF!),"")</f>
        <v/>
      </c>
    </row>
    <row r="1231" spans="2:9" x14ac:dyDescent="0.3">
      <c r="B1231" t="str">
        <f>IFERROR(IF(A1231="","",VLOOKUP(A1231,CadProd!$A:$B,2,0)),"")</f>
        <v/>
      </c>
      <c r="C1231" t="str">
        <f>IFERROR(IF(A1231="","",VLOOKUP(A1231,CadProd!$A:$C,3,0)),"")</f>
        <v/>
      </c>
      <c r="I1231" s="1" t="str">
        <f>IFERROR(IF(A1231="","",E1231*#REF!),"")</f>
        <v/>
      </c>
    </row>
    <row r="1232" spans="2:9" x14ac:dyDescent="0.3">
      <c r="B1232" t="str">
        <f>IFERROR(IF(A1232="","",VLOOKUP(A1232,CadProd!$A:$B,2,0)),"")</f>
        <v/>
      </c>
      <c r="C1232" t="str">
        <f>IFERROR(IF(A1232="","",VLOOKUP(A1232,CadProd!$A:$C,3,0)),"")</f>
        <v/>
      </c>
      <c r="I1232" s="1" t="str">
        <f>IFERROR(IF(A1232="","",E1232*#REF!),"")</f>
        <v/>
      </c>
    </row>
    <row r="1233" spans="2:9" x14ac:dyDescent="0.3">
      <c r="B1233" t="str">
        <f>IFERROR(IF(A1233="","",VLOOKUP(A1233,CadProd!$A:$B,2,0)),"")</f>
        <v/>
      </c>
      <c r="C1233" t="str">
        <f>IFERROR(IF(A1233="","",VLOOKUP(A1233,CadProd!$A:$C,3,0)),"")</f>
        <v/>
      </c>
      <c r="I1233" s="1" t="str">
        <f>IFERROR(IF(A1233="","",E1233*#REF!),"")</f>
        <v/>
      </c>
    </row>
    <row r="1234" spans="2:9" x14ac:dyDescent="0.3">
      <c r="B1234" t="str">
        <f>IFERROR(IF(A1234="","",VLOOKUP(A1234,CadProd!$A:$B,2,0)),"")</f>
        <v/>
      </c>
      <c r="C1234" t="str">
        <f>IFERROR(IF(A1234="","",VLOOKUP(A1234,CadProd!$A:$C,3,0)),"")</f>
        <v/>
      </c>
      <c r="I1234" s="1" t="str">
        <f>IFERROR(IF(A1234="","",E1234*#REF!),"")</f>
        <v/>
      </c>
    </row>
    <row r="1235" spans="2:9" x14ac:dyDescent="0.3">
      <c r="B1235" t="str">
        <f>IFERROR(IF(A1235="","",VLOOKUP(A1235,CadProd!$A:$B,2,0)),"")</f>
        <v/>
      </c>
      <c r="C1235" t="str">
        <f>IFERROR(IF(A1235="","",VLOOKUP(A1235,CadProd!$A:$C,3,0)),"")</f>
        <v/>
      </c>
      <c r="I1235" s="1" t="str">
        <f>IFERROR(IF(A1235="","",E1235*#REF!),"")</f>
        <v/>
      </c>
    </row>
    <row r="1236" spans="2:9" x14ac:dyDescent="0.3">
      <c r="B1236" t="str">
        <f>IFERROR(IF(A1236="","",VLOOKUP(A1236,CadProd!$A:$B,2,0)),"")</f>
        <v/>
      </c>
      <c r="C1236" t="str">
        <f>IFERROR(IF(A1236="","",VLOOKUP(A1236,CadProd!$A:$C,3,0)),"")</f>
        <v/>
      </c>
      <c r="I1236" s="1" t="str">
        <f>IFERROR(IF(A1236="","",E1236*#REF!),"")</f>
        <v/>
      </c>
    </row>
    <row r="1237" spans="2:9" x14ac:dyDescent="0.3">
      <c r="B1237" t="str">
        <f>IFERROR(IF(A1237="","",VLOOKUP(A1237,CadProd!$A:$B,2,0)),"")</f>
        <v/>
      </c>
      <c r="C1237" t="str">
        <f>IFERROR(IF(A1237="","",VLOOKUP(A1237,CadProd!$A:$C,3,0)),"")</f>
        <v/>
      </c>
      <c r="I1237" s="1" t="str">
        <f>IFERROR(IF(A1237="","",E1237*#REF!),"")</f>
        <v/>
      </c>
    </row>
    <row r="1238" spans="2:9" x14ac:dyDescent="0.3">
      <c r="B1238" t="str">
        <f>IFERROR(IF(A1238="","",VLOOKUP(A1238,CadProd!$A:$B,2,0)),"")</f>
        <v/>
      </c>
      <c r="C1238" t="str">
        <f>IFERROR(IF(A1238="","",VLOOKUP(A1238,CadProd!$A:$C,3,0)),"")</f>
        <v/>
      </c>
      <c r="I1238" s="1" t="str">
        <f>IFERROR(IF(A1238="","",E1238*#REF!),"")</f>
        <v/>
      </c>
    </row>
    <row r="1239" spans="2:9" x14ac:dyDescent="0.3">
      <c r="B1239" t="str">
        <f>IFERROR(IF(A1239="","",VLOOKUP(A1239,CadProd!$A:$B,2,0)),"")</f>
        <v/>
      </c>
      <c r="C1239" t="str">
        <f>IFERROR(IF(A1239="","",VLOOKUP(A1239,CadProd!$A:$C,3,0)),"")</f>
        <v/>
      </c>
      <c r="I1239" s="1" t="str">
        <f>IFERROR(IF(A1239="","",E1239*#REF!),"")</f>
        <v/>
      </c>
    </row>
    <row r="1240" spans="2:9" x14ac:dyDescent="0.3">
      <c r="B1240" t="str">
        <f>IFERROR(IF(A1240="","",VLOOKUP(A1240,CadProd!$A:$B,2,0)),"")</f>
        <v/>
      </c>
      <c r="C1240" t="str">
        <f>IFERROR(IF(A1240="","",VLOOKUP(A1240,CadProd!$A:$C,3,0)),"")</f>
        <v/>
      </c>
      <c r="I1240" s="1" t="str">
        <f>IFERROR(IF(A1240="","",E1240*#REF!),"")</f>
        <v/>
      </c>
    </row>
    <row r="1241" spans="2:9" x14ac:dyDescent="0.3">
      <c r="B1241" t="str">
        <f>IFERROR(IF(A1241="","",VLOOKUP(A1241,CadProd!$A:$B,2,0)),"")</f>
        <v/>
      </c>
      <c r="C1241" t="str">
        <f>IFERROR(IF(A1241="","",VLOOKUP(A1241,CadProd!$A:$C,3,0)),"")</f>
        <v/>
      </c>
      <c r="I1241" s="1" t="str">
        <f>IFERROR(IF(A1241="","",E1241*#REF!),"")</f>
        <v/>
      </c>
    </row>
    <row r="1242" spans="2:9" x14ac:dyDescent="0.3">
      <c r="B1242" t="str">
        <f>IFERROR(IF(A1242="","",VLOOKUP(A1242,CadProd!$A:$B,2,0)),"")</f>
        <v/>
      </c>
      <c r="C1242" t="str">
        <f>IFERROR(IF(A1242="","",VLOOKUP(A1242,CadProd!$A:$C,3,0)),"")</f>
        <v/>
      </c>
      <c r="I1242" s="1" t="str">
        <f>IFERROR(IF(A1242="","",E1242*#REF!),"")</f>
        <v/>
      </c>
    </row>
    <row r="1243" spans="2:9" x14ac:dyDescent="0.3">
      <c r="B1243" t="str">
        <f>IFERROR(IF(A1243="","",VLOOKUP(A1243,CadProd!$A:$B,2,0)),"")</f>
        <v/>
      </c>
      <c r="C1243" t="str">
        <f>IFERROR(IF(A1243="","",VLOOKUP(A1243,CadProd!$A:$C,3,0)),"")</f>
        <v/>
      </c>
      <c r="I1243" s="1" t="str">
        <f>IFERROR(IF(A1243="","",E1243*#REF!),"")</f>
        <v/>
      </c>
    </row>
    <row r="1244" spans="2:9" x14ac:dyDescent="0.3">
      <c r="B1244" t="str">
        <f>IFERROR(IF(A1244="","",VLOOKUP(A1244,CadProd!$A:$B,2,0)),"")</f>
        <v/>
      </c>
      <c r="C1244" t="str">
        <f>IFERROR(IF(A1244="","",VLOOKUP(A1244,CadProd!$A:$C,3,0)),"")</f>
        <v/>
      </c>
      <c r="I1244" s="1" t="str">
        <f>IFERROR(IF(A1244="","",E1244*#REF!),"")</f>
        <v/>
      </c>
    </row>
    <row r="1245" spans="2:9" x14ac:dyDescent="0.3">
      <c r="B1245" t="str">
        <f>IFERROR(IF(A1245="","",VLOOKUP(A1245,CadProd!$A:$B,2,0)),"")</f>
        <v/>
      </c>
      <c r="C1245" t="str">
        <f>IFERROR(IF(A1245="","",VLOOKUP(A1245,CadProd!$A:$C,3,0)),"")</f>
        <v/>
      </c>
      <c r="I1245" s="1" t="str">
        <f>IFERROR(IF(A1245="","",E1245*#REF!),"")</f>
        <v/>
      </c>
    </row>
    <row r="1246" spans="2:9" x14ac:dyDescent="0.3">
      <c r="B1246" t="str">
        <f>IFERROR(IF(A1246="","",VLOOKUP(A1246,CadProd!$A:$B,2,0)),"")</f>
        <v/>
      </c>
      <c r="C1246" t="str">
        <f>IFERROR(IF(A1246="","",VLOOKUP(A1246,CadProd!$A:$C,3,0)),"")</f>
        <v/>
      </c>
      <c r="I1246" s="1" t="str">
        <f>IFERROR(IF(A1246="","",E1246*#REF!),"")</f>
        <v/>
      </c>
    </row>
    <row r="1247" spans="2:9" x14ac:dyDescent="0.3">
      <c r="B1247" t="str">
        <f>IFERROR(IF(A1247="","",VLOOKUP(A1247,CadProd!$A:$B,2,0)),"")</f>
        <v/>
      </c>
      <c r="C1247" t="str">
        <f>IFERROR(IF(A1247="","",VLOOKUP(A1247,CadProd!$A:$C,3,0)),"")</f>
        <v/>
      </c>
      <c r="I1247" s="1" t="str">
        <f>IFERROR(IF(A1247="","",E1247*#REF!),"")</f>
        <v/>
      </c>
    </row>
    <row r="1248" spans="2:9" x14ac:dyDescent="0.3">
      <c r="B1248" t="str">
        <f>IFERROR(IF(A1248="","",VLOOKUP(A1248,CadProd!$A:$B,2,0)),"")</f>
        <v/>
      </c>
      <c r="C1248" t="str">
        <f>IFERROR(IF(A1248="","",VLOOKUP(A1248,CadProd!$A:$C,3,0)),"")</f>
        <v/>
      </c>
      <c r="I1248" s="1" t="str">
        <f>IFERROR(IF(A1248="","",E1248*#REF!),"")</f>
        <v/>
      </c>
    </row>
    <row r="1249" spans="2:9" x14ac:dyDescent="0.3">
      <c r="B1249" t="str">
        <f>IFERROR(IF(A1249="","",VLOOKUP(A1249,CadProd!$A:$B,2,0)),"")</f>
        <v/>
      </c>
      <c r="C1249" t="str">
        <f>IFERROR(IF(A1249="","",VLOOKUP(A1249,CadProd!$A:$C,3,0)),"")</f>
        <v/>
      </c>
      <c r="I1249" s="1" t="str">
        <f>IFERROR(IF(A1249="","",E1249*#REF!),"")</f>
        <v/>
      </c>
    </row>
    <row r="1250" spans="2:9" x14ac:dyDescent="0.3">
      <c r="B1250" t="str">
        <f>IFERROR(IF(A1250="","",VLOOKUP(A1250,CadProd!$A:$B,2,0)),"")</f>
        <v/>
      </c>
      <c r="C1250" t="str">
        <f>IFERROR(IF(A1250="","",VLOOKUP(A1250,CadProd!$A:$C,3,0)),"")</f>
        <v/>
      </c>
      <c r="I1250" s="1" t="str">
        <f>IFERROR(IF(A1250="","",E1250*#REF!),"")</f>
        <v/>
      </c>
    </row>
    <row r="1251" spans="2:9" x14ac:dyDescent="0.3">
      <c r="B1251" t="str">
        <f>IFERROR(IF(A1251="","",VLOOKUP(A1251,CadProd!$A:$B,2,0)),"")</f>
        <v/>
      </c>
      <c r="C1251" t="str">
        <f>IFERROR(IF(A1251="","",VLOOKUP(A1251,CadProd!$A:$C,3,0)),"")</f>
        <v/>
      </c>
      <c r="I1251" s="1" t="str">
        <f>IFERROR(IF(A1251="","",E1251*#REF!),"")</f>
        <v/>
      </c>
    </row>
    <row r="1252" spans="2:9" x14ac:dyDescent="0.3">
      <c r="B1252" t="str">
        <f>IFERROR(IF(A1252="","",VLOOKUP(A1252,CadProd!$A:$B,2,0)),"")</f>
        <v/>
      </c>
      <c r="C1252" t="str">
        <f>IFERROR(IF(A1252="","",VLOOKUP(A1252,CadProd!$A:$C,3,0)),"")</f>
        <v/>
      </c>
      <c r="I1252" s="1" t="str">
        <f>IFERROR(IF(A1252="","",E1252*#REF!),"")</f>
        <v/>
      </c>
    </row>
    <row r="1253" spans="2:9" x14ac:dyDescent="0.3">
      <c r="B1253" t="str">
        <f>IFERROR(IF(A1253="","",VLOOKUP(A1253,CadProd!$A:$B,2,0)),"")</f>
        <v/>
      </c>
      <c r="C1253" t="str">
        <f>IFERROR(IF(A1253="","",VLOOKUP(A1253,CadProd!$A:$C,3,0)),"")</f>
        <v/>
      </c>
      <c r="I1253" s="1" t="str">
        <f>IFERROR(IF(A1253="","",E1253*#REF!),"")</f>
        <v/>
      </c>
    </row>
    <row r="1254" spans="2:9" x14ac:dyDescent="0.3">
      <c r="B1254" t="str">
        <f>IFERROR(IF(A1254="","",VLOOKUP(A1254,CadProd!$A:$B,2,0)),"")</f>
        <v/>
      </c>
      <c r="C1254" t="str">
        <f>IFERROR(IF(A1254="","",VLOOKUP(A1254,CadProd!$A:$C,3,0)),"")</f>
        <v/>
      </c>
      <c r="I1254" s="1" t="str">
        <f>IFERROR(IF(A1254="","",E1254*#REF!),"")</f>
        <v/>
      </c>
    </row>
    <row r="1255" spans="2:9" x14ac:dyDescent="0.3">
      <c r="B1255" t="str">
        <f>IFERROR(IF(A1255="","",VLOOKUP(A1255,CadProd!$A:$B,2,0)),"")</f>
        <v/>
      </c>
      <c r="C1255" t="str">
        <f>IFERROR(IF(A1255="","",VLOOKUP(A1255,CadProd!$A:$C,3,0)),"")</f>
        <v/>
      </c>
      <c r="I1255" s="1" t="str">
        <f>IFERROR(IF(A1255="","",E1255*#REF!),"")</f>
        <v/>
      </c>
    </row>
    <row r="1256" spans="2:9" x14ac:dyDescent="0.3">
      <c r="B1256" t="str">
        <f>IFERROR(IF(A1256="","",VLOOKUP(A1256,CadProd!$A:$B,2,0)),"")</f>
        <v/>
      </c>
      <c r="C1256" t="str">
        <f>IFERROR(IF(A1256="","",VLOOKUP(A1256,CadProd!$A:$C,3,0)),"")</f>
        <v/>
      </c>
      <c r="I1256" s="1" t="str">
        <f>IFERROR(IF(A1256="","",E1256*#REF!),"")</f>
        <v/>
      </c>
    </row>
    <row r="1257" spans="2:9" x14ac:dyDescent="0.3">
      <c r="B1257" t="str">
        <f>IFERROR(IF(A1257="","",VLOOKUP(A1257,CadProd!$A:$B,2,0)),"")</f>
        <v/>
      </c>
      <c r="C1257" t="str">
        <f>IFERROR(IF(A1257="","",VLOOKUP(A1257,CadProd!$A:$C,3,0)),"")</f>
        <v/>
      </c>
      <c r="I1257" s="1" t="str">
        <f>IFERROR(IF(A1257="","",E1257*#REF!),"")</f>
        <v/>
      </c>
    </row>
    <row r="1258" spans="2:9" x14ac:dyDescent="0.3">
      <c r="B1258" t="str">
        <f>IFERROR(IF(A1258="","",VLOOKUP(A1258,CadProd!$A:$B,2,0)),"")</f>
        <v/>
      </c>
      <c r="C1258" t="str">
        <f>IFERROR(IF(A1258="","",VLOOKUP(A1258,CadProd!$A:$C,3,0)),"")</f>
        <v/>
      </c>
      <c r="I1258" s="1" t="str">
        <f>IFERROR(IF(A1258="","",E1258*#REF!),"")</f>
        <v/>
      </c>
    </row>
    <row r="1259" spans="2:9" x14ac:dyDescent="0.3">
      <c r="B1259" t="str">
        <f>IFERROR(IF(A1259="","",VLOOKUP(A1259,CadProd!$A:$B,2,0)),"")</f>
        <v/>
      </c>
      <c r="C1259" t="str">
        <f>IFERROR(IF(A1259="","",VLOOKUP(A1259,CadProd!$A:$C,3,0)),"")</f>
        <v/>
      </c>
      <c r="I1259" s="1" t="str">
        <f>IFERROR(IF(A1259="","",E1259*#REF!),"")</f>
        <v/>
      </c>
    </row>
    <row r="1260" spans="2:9" x14ac:dyDescent="0.3">
      <c r="B1260" t="str">
        <f>IFERROR(IF(A1260="","",VLOOKUP(A1260,CadProd!$A:$B,2,0)),"")</f>
        <v/>
      </c>
      <c r="C1260" t="str">
        <f>IFERROR(IF(A1260="","",VLOOKUP(A1260,CadProd!$A:$C,3,0)),"")</f>
        <v/>
      </c>
      <c r="I1260" s="1" t="str">
        <f>IFERROR(IF(A1260="","",E1260*#REF!),"")</f>
        <v/>
      </c>
    </row>
    <row r="1261" spans="2:9" x14ac:dyDescent="0.3">
      <c r="B1261" t="str">
        <f>IFERROR(IF(A1261="","",VLOOKUP(A1261,CadProd!$A:$B,2,0)),"")</f>
        <v/>
      </c>
      <c r="C1261" t="str">
        <f>IFERROR(IF(A1261="","",VLOOKUP(A1261,CadProd!$A:$C,3,0)),"")</f>
        <v/>
      </c>
      <c r="I1261" s="1" t="str">
        <f>IFERROR(IF(A1261="","",E1261*#REF!),"")</f>
        <v/>
      </c>
    </row>
    <row r="1262" spans="2:9" x14ac:dyDescent="0.3">
      <c r="B1262" t="str">
        <f>IFERROR(IF(A1262="","",VLOOKUP(A1262,CadProd!$A:$B,2,0)),"")</f>
        <v/>
      </c>
      <c r="C1262" t="str">
        <f>IFERROR(IF(A1262="","",VLOOKUP(A1262,CadProd!$A:$C,3,0)),"")</f>
        <v/>
      </c>
      <c r="I1262" s="1" t="str">
        <f>IFERROR(IF(A1262="","",E1262*#REF!),"")</f>
        <v/>
      </c>
    </row>
    <row r="1263" spans="2:9" x14ac:dyDescent="0.3">
      <c r="B1263" t="str">
        <f>IFERROR(IF(A1263="","",VLOOKUP(A1263,CadProd!$A:$B,2,0)),"")</f>
        <v/>
      </c>
      <c r="C1263" t="str">
        <f>IFERROR(IF(A1263="","",VLOOKUP(A1263,CadProd!$A:$C,3,0)),"")</f>
        <v/>
      </c>
      <c r="I1263" s="1" t="str">
        <f>IFERROR(IF(A1263="","",E1263*#REF!),"")</f>
        <v/>
      </c>
    </row>
    <row r="1264" spans="2:9" x14ac:dyDescent="0.3">
      <c r="B1264" t="str">
        <f>IFERROR(IF(A1264="","",VLOOKUP(A1264,CadProd!$A:$B,2,0)),"")</f>
        <v/>
      </c>
      <c r="C1264" t="str">
        <f>IFERROR(IF(A1264="","",VLOOKUP(A1264,CadProd!$A:$C,3,0)),"")</f>
        <v/>
      </c>
      <c r="I1264" s="1" t="str">
        <f>IFERROR(IF(A1264="","",E1264*#REF!),"")</f>
        <v/>
      </c>
    </row>
    <row r="1265" spans="2:9" x14ac:dyDescent="0.3">
      <c r="B1265" t="str">
        <f>IFERROR(IF(A1265="","",VLOOKUP(A1265,CadProd!$A:$B,2,0)),"")</f>
        <v/>
      </c>
      <c r="C1265" t="str">
        <f>IFERROR(IF(A1265="","",VLOOKUP(A1265,CadProd!$A:$C,3,0)),"")</f>
        <v/>
      </c>
      <c r="I1265" s="1" t="str">
        <f>IFERROR(IF(A1265="","",E1265*#REF!),"")</f>
        <v/>
      </c>
    </row>
    <row r="1266" spans="2:9" x14ac:dyDescent="0.3">
      <c r="B1266" t="str">
        <f>IFERROR(IF(A1266="","",VLOOKUP(A1266,CadProd!$A:$B,2,0)),"")</f>
        <v/>
      </c>
      <c r="C1266" t="str">
        <f>IFERROR(IF(A1266="","",VLOOKUP(A1266,CadProd!$A:$C,3,0)),"")</f>
        <v/>
      </c>
      <c r="I1266" s="1" t="str">
        <f>IFERROR(IF(A1266="","",E1266*#REF!),"")</f>
        <v/>
      </c>
    </row>
    <row r="1267" spans="2:9" x14ac:dyDescent="0.3">
      <c r="B1267" t="str">
        <f>IFERROR(IF(A1267="","",VLOOKUP(A1267,CadProd!$A:$B,2,0)),"")</f>
        <v/>
      </c>
      <c r="C1267" t="str">
        <f>IFERROR(IF(A1267="","",VLOOKUP(A1267,CadProd!$A:$C,3,0)),"")</f>
        <v/>
      </c>
      <c r="I1267" s="1" t="str">
        <f>IFERROR(IF(A1267="","",E1267*#REF!),"")</f>
        <v/>
      </c>
    </row>
    <row r="1268" spans="2:9" x14ac:dyDescent="0.3">
      <c r="B1268" t="str">
        <f>IFERROR(IF(A1268="","",VLOOKUP(A1268,CadProd!$A:$B,2,0)),"")</f>
        <v/>
      </c>
      <c r="C1268" t="str">
        <f>IFERROR(IF(A1268="","",VLOOKUP(A1268,CadProd!$A:$C,3,0)),"")</f>
        <v/>
      </c>
      <c r="I1268" s="1" t="str">
        <f>IFERROR(IF(A1268="","",E1268*#REF!),"")</f>
        <v/>
      </c>
    </row>
    <row r="1269" spans="2:9" x14ac:dyDescent="0.3">
      <c r="B1269" t="str">
        <f>IFERROR(IF(A1269="","",VLOOKUP(A1269,CadProd!$A:$B,2,0)),"")</f>
        <v/>
      </c>
      <c r="C1269" t="str">
        <f>IFERROR(IF(A1269="","",VLOOKUP(A1269,CadProd!$A:$C,3,0)),"")</f>
        <v/>
      </c>
      <c r="I1269" s="1" t="str">
        <f>IFERROR(IF(A1269="","",E1269*#REF!),"")</f>
        <v/>
      </c>
    </row>
    <row r="1270" spans="2:9" x14ac:dyDescent="0.3">
      <c r="B1270" t="str">
        <f>IFERROR(IF(A1270="","",VLOOKUP(A1270,CadProd!$A:$B,2,0)),"")</f>
        <v/>
      </c>
      <c r="C1270" t="str">
        <f>IFERROR(IF(A1270="","",VLOOKUP(A1270,CadProd!$A:$C,3,0)),"")</f>
        <v/>
      </c>
      <c r="I1270" s="1" t="str">
        <f>IFERROR(IF(A1270="","",E1270*#REF!),"")</f>
        <v/>
      </c>
    </row>
    <row r="1271" spans="2:9" x14ac:dyDescent="0.3">
      <c r="B1271" t="str">
        <f>IFERROR(IF(A1271="","",VLOOKUP(A1271,CadProd!$A:$B,2,0)),"")</f>
        <v/>
      </c>
      <c r="C1271" t="str">
        <f>IFERROR(IF(A1271="","",VLOOKUP(A1271,CadProd!$A:$C,3,0)),"")</f>
        <v/>
      </c>
      <c r="I1271" s="1" t="str">
        <f>IFERROR(IF(A1271="","",E1271*#REF!),"")</f>
        <v/>
      </c>
    </row>
    <row r="1272" spans="2:9" x14ac:dyDescent="0.3">
      <c r="B1272" t="str">
        <f>IFERROR(IF(A1272="","",VLOOKUP(A1272,CadProd!$A:$B,2,0)),"")</f>
        <v/>
      </c>
      <c r="C1272" t="str">
        <f>IFERROR(IF(A1272="","",VLOOKUP(A1272,CadProd!$A:$C,3,0)),"")</f>
        <v/>
      </c>
      <c r="I1272" s="1" t="str">
        <f>IFERROR(IF(A1272="","",E1272*#REF!),"")</f>
        <v/>
      </c>
    </row>
    <row r="1273" spans="2:9" x14ac:dyDescent="0.3">
      <c r="B1273" t="str">
        <f>IFERROR(IF(A1273="","",VLOOKUP(A1273,CadProd!$A:$B,2,0)),"")</f>
        <v/>
      </c>
      <c r="C1273" t="str">
        <f>IFERROR(IF(A1273="","",VLOOKUP(A1273,CadProd!$A:$C,3,0)),"")</f>
        <v/>
      </c>
      <c r="I1273" s="1" t="str">
        <f>IFERROR(IF(A1273="","",E1273*#REF!),"")</f>
        <v/>
      </c>
    </row>
    <row r="1274" spans="2:9" x14ac:dyDescent="0.3">
      <c r="B1274" t="str">
        <f>IFERROR(IF(A1274="","",VLOOKUP(A1274,CadProd!$A:$B,2,0)),"")</f>
        <v/>
      </c>
      <c r="C1274" t="str">
        <f>IFERROR(IF(A1274="","",VLOOKUP(A1274,CadProd!$A:$C,3,0)),"")</f>
        <v/>
      </c>
      <c r="I1274" s="1" t="str">
        <f>IFERROR(IF(A1274="","",E1274*#REF!),"")</f>
        <v/>
      </c>
    </row>
    <row r="1275" spans="2:9" x14ac:dyDescent="0.3">
      <c r="B1275" t="str">
        <f>IFERROR(IF(A1275="","",VLOOKUP(A1275,CadProd!$A:$B,2,0)),"")</f>
        <v/>
      </c>
      <c r="C1275" t="str">
        <f>IFERROR(IF(A1275="","",VLOOKUP(A1275,CadProd!$A:$C,3,0)),"")</f>
        <v/>
      </c>
      <c r="I1275" s="1" t="str">
        <f>IFERROR(IF(A1275="","",E1275*#REF!),"")</f>
        <v/>
      </c>
    </row>
    <row r="1276" spans="2:9" x14ac:dyDescent="0.3">
      <c r="B1276" t="str">
        <f>IFERROR(IF(A1276="","",VLOOKUP(A1276,CadProd!$A:$B,2,0)),"")</f>
        <v/>
      </c>
      <c r="C1276" t="str">
        <f>IFERROR(IF(A1276="","",VLOOKUP(A1276,CadProd!$A:$C,3,0)),"")</f>
        <v/>
      </c>
      <c r="I1276" s="1" t="str">
        <f>IFERROR(IF(A1276="","",E1276*#REF!),"")</f>
        <v/>
      </c>
    </row>
    <row r="1277" spans="2:9" x14ac:dyDescent="0.3">
      <c r="B1277" t="str">
        <f>IFERROR(IF(A1277="","",VLOOKUP(A1277,CadProd!$A:$B,2,0)),"")</f>
        <v/>
      </c>
      <c r="C1277" t="str">
        <f>IFERROR(IF(A1277="","",VLOOKUP(A1277,CadProd!$A:$C,3,0)),"")</f>
        <v/>
      </c>
      <c r="I1277" s="1" t="str">
        <f>IFERROR(IF(A1277="","",E1277*#REF!),"")</f>
        <v/>
      </c>
    </row>
    <row r="1278" spans="2:9" x14ac:dyDescent="0.3">
      <c r="B1278" t="str">
        <f>IFERROR(IF(A1278="","",VLOOKUP(A1278,CadProd!$A:$B,2,0)),"")</f>
        <v/>
      </c>
      <c r="C1278" t="str">
        <f>IFERROR(IF(A1278="","",VLOOKUP(A1278,CadProd!$A:$C,3,0)),"")</f>
        <v/>
      </c>
      <c r="I1278" s="1" t="str">
        <f>IFERROR(IF(A1278="","",E1278*#REF!),"")</f>
        <v/>
      </c>
    </row>
    <row r="1279" spans="2:9" x14ac:dyDescent="0.3">
      <c r="B1279" t="str">
        <f>IFERROR(IF(A1279="","",VLOOKUP(A1279,CadProd!$A:$B,2,0)),"")</f>
        <v/>
      </c>
      <c r="C1279" t="str">
        <f>IFERROR(IF(A1279="","",VLOOKUP(A1279,CadProd!$A:$C,3,0)),"")</f>
        <v/>
      </c>
      <c r="I1279" s="1" t="str">
        <f>IFERROR(IF(A1279="","",E1279*#REF!),"")</f>
        <v/>
      </c>
    </row>
    <row r="1280" spans="2:9" x14ac:dyDescent="0.3">
      <c r="B1280" t="str">
        <f>IFERROR(IF(A1280="","",VLOOKUP(A1280,CadProd!$A:$B,2,0)),"")</f>
        <v/>
      </c>
      <c r="C1280" t="str">
        <f>IFERROR(IF(A1280="","",VLOOKUP(A1280,CadProd!$A:$C,3,0)),"")</f>
        <v/>
      </c>
      <c r="I1280" s="1" t="str">
        <f>IFERROR(IF(A1280="","",E1280*#REF!),"")</f>
        <v/>
      </c>
    </row>
    <row r="1281" spans="2:9" x14ac:dyDescent="0.3">
      <c r="B1281" t="str">
        <f>IFERROR(IF(A1281="","",VLOOKUP(A1281,CadProd!$A:$B,2,0)),"")</f>
        <v/>
      </c>
      <c r="C1281" t="str">
        <f>IFERROR(IF(A1281="","",VLOOKUP(A1281,CadProd!$A:$C,3,0)),"")</f>
        <v/>
      </c>
      <c r="I1281" s="1" t="str">
        <f>IFERROR(IF(A1281="","",E1281*#REF!),"")</f>
        <v/>
      </c>
    </row>
    <row r="1282" spans="2:9" x14ac:dyDescent="0.3">
      <c r="B1282" t="str">
        <f>IFERROR(IF(A1282="","",VLOOKUP(A1282,CadProd!$A:$B,2,0)),"")</f>
        <v/>
      </c>
      <c r="C1282" t="str">
        <f>IFERROR(IF(A1282="","",VLOOKUP(A1282,CadProd!$A:$C,3,0)),"")</f>
        <v/>
      </c>
      <c r="I1282" s="1" t="str">
        <f>IFERROR(IF(A1282="","",E1282*#REF!),"")</f>
        <v/>
      </c>
    </row>
    <row r="1283" spans="2:9" x14ac:dyDescent="0.3">
      <c r="B1283" t="str">
        <f>IFERROR(IF(A1283="","",VLOOKUP(A1283,CadProd!$A:$B,2,0)),"")</f>
        <v/>
      </c>
      <c r="C1283" t="str">
        <f>IFERROR(IF(A1283="","",VLOOKUP(A1283,CadProd!$A:$C,3,0)),"")</f>
        <v/>
      </c>
      <c r="I1283" s="1" t="str">
        <f>IFERROR(IF(A1283="","",E1283*#REF!),"")</f>
        <v/>
      </c>
    </row>
    <row r="1284" spans="2:9" x14ac:dyDescent="0.3">
      <c r="B1284" t="str">
        <f>IFERROR(IF(A1284="","",VLOOKUP(A1284,CadProd!$A:$B,2,0)),"")</f>
        <v/>
      </c>
      <c r="C1284" t="str">
        <f>IFERROR(IF(A1284="","",VLOOKUP(A1284,CadProd!$A:$C,3,0)),"")</f>
        <v/>
      </c>
      <c r="I1284" s="1" t="str">
        <f>IFERROR(IF(A1284="","",E1284*#REF!),"")</f>
        <v/>
      </c>
    </row>
    <row r="1285" spans="2:9" x14ac:dyDescent="0.3">
      <c r="B1285" t="str">
        <f>IFERROR(IF(A1285="","",VLOOKUP(A1285,CadProd!$A:$B,2,0)),"")</f>
        <v/>
      </c>
      <c r="C1285" t="str">
        <f>IFERROR(IF(A1285="","",VLOOKUP(A1285,CadProd!$A:$C,3,0)),"")</f>
        <v/>
      </c>
      <c r="I1285" s="1" t="str">
        <f>IFERROR(IF(A1285="","",E1285*#REF!),"")</f>
        <v/>
      </c>
    </row>
    <row r="1286" spans="2:9" x14ac:dyDescent="0.3">
      <c r="B1286" t="str">
        <f>IFERROR(IF(A1286="","",VLOOKUP(A1286,CadProd!$A:$B,2,0)),"")</f>
        <v/>
      </c>
      <c r="C1286" t="str">
        <f>IFERROR(IF(A1286="","",VLOOKUP(A1286,CadProd!$A:$C,3,0)),"")</f>
        <v/>
      </c>
      <c r="I1286" s="1" t="str">
        <f>IFERROR(IF(A1286="","",E1286*#REF!),"")</f>
        <v/>
      </c>
    </row>
    <row r="1287" spans="2:9" x14ac:dyDescent="0.3">
      <c r="B1287" t="str">
        <f>IFERROR(IF(A1287="","",VLOOKUP(A1287,CadProd!$A:$B,2,0)),"")</f>
        <v/>
      </c>
      <c r="C1287" t="str">
        <f>IFERROR(IF(A1287="","",VLOOKUP(A1287,CadProd!$A:$C,3,0)),"")</f>
        <v/>
      </c>
      <c r="I1287" s="1" t="str">
        <f>IFERROR(IF(A1287="","",E1287*#REF!),"")</f>
        <v/>
      </c>
    </row>
    <row r="1288" spans="2:9" x14ac:dyDescent="0.3">
      <c r="B1288" t="str">
        <f>IFERROR(IF(A1288="","",VLOOKUP(A1288,CadProd!$A:$B,2,0)),"")</f>
        <v/>
      </c>
      <c r="C1288" t="str">
        <f>IFERROR(IF(A1288="","",VLOOKUP(A1288,CadProd!$A:$C,3,0)),"")</f>
        <v/>
      </c>
      <c r="I1288" s="1" t="str">
        <f>IFERROR(IF(A1288="","",E1288*#REF!),"")</f>
        <v/>
      </c>
    </row>
    <row r="1289" spans="2:9" x14ac:dyDescent="0.3">
      <c r="B1289" t="str">
        <f>IFERROR(IF(A1289="","",VLOOKUP(A1289,CadProd!$A:$B,2,0)),"")</f>
        <v/>
      </c>
      <c r="C1289" t="str">
        <f>IFERROR(IF(A1289="","",VLOOKUP(A1289,CadProd!$A:$C,3,0)),"")</f>
        <v/>
      </c>
      <c r="I1289" s="1" t="str">
        <f>IFERROR(IF(A1289="","",E1289*#REF!),"")</f>
        <v/>
      </c>
    </row>
    <row r="1290" spans="2:9" x14ac:dyDescent="0.3">
      <c r="B1290" t="str">
        <f>IFERROR(IF(A1290="","",VLOOKUP(A1290,CadProd!$A:$B,2,0)),"")</f>
        <v/>
      </c>
      <c r="C1290" t="str">
        <f>IFERROR(IF(A1290="","",VLOOKUP(A1290,CadProd!$A:$C,3,0)),"")</f>
        <v/>
      </c>
      <c r="I1290" s="1" t="str">
        <f>IFERROR(IF(A1290="","",E1290*#REF!),"")</f>
        <v/>
      </c>
    </row>
    <row r="1291" spans="2:9" x14ac:dyDescent="0.3">
      <c r="B1291" t="str">
        <f>IFERROR(IF(A1291="","",VLOOKUP(A1291,CadProd!$A:$B,2,0)),"")</f>
        <v/>
      </c>
      <c r="C1291" t="str">
        <f>IFERROR(IF(A1291="","",VLOOKUP(A1291,CadProd!$A:$C,3,0)),"")</f>
        <v/>
      </c>
      <c r="I1291" s="1" t="str">
        <f>IFERROR(IF(A1291="","",E1291*#REF!),"")</f>
        <v/>
      </c>
    </row>
    <row r="1292" spans="2:9" x14ac:dyDescent="0.3">
      <c r="B1292" t="str">
        <f>IFERROR(IF(A1292="","",VLOOKUP(A1292,CadProd!$A:$B,2,0)),"")</f>
        <v/>
      </c>
      <c r="C1292" t="str">
        <f>IFERROR(IF(A1292="","",VLOOKUP(A1292,CadProd!$A:$C,3,0)),"")</f>
        <v/>
      </c>
      <c r="I1292" s="1" t="str">
        <f>IFERROR(IF(A1292="","",E1292*#REF!),"")</f>
        <v/>
      </c>
    </row>
    <row r="1293" spans="2:9" x14ac:dyDescent="0.3">
      <c r="B1293" t="str">
        <f>IFERROR(IF(A1293="","",VLOOKUP(A1293,CadProd!$A:$B,2,0)),"")</f>
        <v/>
      </c>
      <c r="C1293" t="str">
        <f>IFERROR(IF(A1293="","",VLOOKUP(A1293,CadProd!$A:$C,3,0)),"")</f>
        <v/>
      </c>
      <c r="I1293" s="1" t="str">
        <f>IFERROR(IF(A1293="","",E1293*#REF!),"")</f>
        <v/>
      </c>
    </row>
    <row r="1294" spans="2:9" x14ac:dyDescent="0.3">
      <c r="B1294" t="str">
        <f>IFERROR(IF(A1294="","",VLOOKUP(A1294,CadProd!$A:$B,2,0)),"")</f>
        <v/>
      </c>
      <c r="C1294" t="str">
        <f>IFERROR(IF(A1294="","",VLOOKUP(A1294,CadProd!$A:$C,3,0)),"")</f>
        <v/>
      </c>
      <c r="I1294" s="1" t="str">
        <f>IFERROR(IF(A1294="","",E1294*#REF!),"")</f>
        <v/>
      </c>
    </row>
    <row r="1295" spans="2:9" x14ac:dyDescent="0.3">
      <c r="B1295" t="str">
        <f>IFERROR(IF(A1295="","",VLOOKUP(A1295,CadProd!$A:$B,2,0)),"")</f>
        <v/>
      </c>
      <c r="C1295" t="str">
        <f>IFERROR(IF(A1295="","",VLOOKUP(A1295,CadProd!$A:$C,3,0)),"")</f>
        <v/>
      </c>
      <c r="I1295" s="1" t="str">
        <f>IFERROR(IF(A1295="","",E1295*#REF!),"")</f>
        <v/>
      </c>
    </row>
    <row r="1296" spans="2:9" x14ac:dyDescent="0.3">
      <c r="B1296" t="str">
        <f>IFERROR(IF(A1296="","",VLOOKUP(A1296,CadProd!$A:$B,2,0)),"")</f>
        <v/>
      </c>
      <c r="C1296" t="str">
        <f>IFERROR(IF(A1296="","",VLOOKUP(A1296,CadProd!$A:$C,3,0)),"")</f>
        <v/>
      </c>
      <c r="I1296" s="1" t="str">
        <f>IFERROR(IF(A1296="","",E1296*#REF!),"")</f>
        <v/>
      </c>
    </row>
    <row r="1297" spans="2:9" x14ac:dyDescent="0.3">
      <c r="B1297" t="str">
        <f>IFERROR(IF(A1297="","",VLOOKUP(A1297,CadProd!$A:$B,2,0)),"")</f>
        <v/>
      </c>
      <c r="C1297" t="str">
        <f>IFERROR(IF(A1297="","",VLOOKUP(A1297,CadProd!$A:$C,3,0)),"")</f>
        <v/>
      </c>
      <c r="I1297" s="1" t="str">
        <f>IFERROR(IF(A1297="","",E1297*#REF!),"")</f>
        <v/>
      </c>
    </row>
    <row r="1298" spans="2:9" x14ac:dyDescent="0.3">
      <c r="B1298" t="str">
        <f>IFERROR(IF(A1298="","",VLOOKUP(A1298,CadProd!$A:$B,2,0)),"")</f>
        <v/>
      </c>
      <c r="C1298" t="str">
        <f>IFERROR(IF(A1298="","",VLOOKUP(A1298,CadProd!$A:$C,3,0)),"")</f>
        <v/>
      </c>
      <c r="I1298" s="1" t="str">
        <f>IFERROR(IF(A1298="","",E1298*#REF!),"")</f>
        <v/>
      </c>
    </row>
    <row r="1299" spans="2:9" x14ac:dyDescent="0.3">
      <c r="B1299" t="str">
        <f>IFERROR(IF(A1299="","",VLOOKUP(A1299,CadProd!$A:$B,2,0)),"")</f>
        <v/>
      </c>
      <c r="C1299" t="str">
        <f>IFERROR(IF(A1299="","",VLOOKUP(A1299,CadProd!$A:$C,3,0)),"")</f>
        <v/>
      </c>
      <c r="I1299" s="1" t="str">
        <f>IFERROR(IF(A1299="","",E1299*#REF!),"")</f>
        <v/>
      </c>
    </row>
    <row r="1300" spans="2:9" x14ac:dyDescent="0.3">
      <c r="B1300" t="str">
        <f>IFERROR(IF(A1300="","",VLOOKUP(A1300,CadProd!$A:$B,2,0)),"")</f>
        <v/>
      </c>
      <c r="C1300" t="str">
        <f>IFERROR(IF(A1300="","",VLOOKUP(A1300,CadProd!$A:$C,3,0)),"")</f>
        <v/>
      </c>
      <c r="I1300" s="1" t="str">
        <f>IFERROR(IF(A1300="","",E1300*#REF!),"")</f>
        <v/>
      </c>
    </row>
    <row r="1301" spans="2:9" x14ac:dyDescent="0.3">
      <c r="B1301" t="str">
        <f>IFERROR(IF(A1301="","",VLOOKUP(A1301,CadProd!$A:$B,2,0)),"")</f>
        <v/>
      </c>
      <c r="C1301" t="str">
        <f>IFERROR(IF(A1301="","",VLOOKUP(A1301,CadProd!$A:$C,3,0)),"")</f>
        <v/>
      </c>
      <c r="I1301" s="1" t="str">
        <f>IFERROR(IF(A1301="","",E1301*#REF!),"")</f>
        <v/>
      </c>
    </row>
    <row r="1302" spans="2:9" x14ac:dyDescent="0.3">
      <c r="B1302" t="str">
        <f>IFERROR(IF(A1302="","",VLOOKUP(A1302,CadProd!$A:$B,2,0)),"")</f>
        <v/>
      </c>
      <c r="C1302" t="str">
        <f>IFERROR(IF(A1302="","",VLOOKUP(A1302,CadProd!$A:$C,3,0)),"")</f>
        <v/>
      </c>
      <c r="I1302" s="1" t="str">
        <f>IFERROR(IF(A1302="","",E1302*#REF!),"")</f>
        <v/>
      </c>
    </row>
    <row r="1303" spans="2:9" x14ac:dyDescent="0.3">
      <c r="B1303" t="str">
        <f>IFERROR(IF(A1303="","",VLOOKUP(A1303,CadProd!$A:$B,2,0)),"")</f>
        <v/>
      </c>
      <c r="C1303" t="str">
        <f>IFERROR(IF(A1303="","",VLOOKUP(A1303,CadProd!$A:$C,3,0)),"")</f>
        <v/>
      </c>
      <c r="I1303" s="1" t="str">
        <f>IFERROR(IF(A1303="","",E1303*#REF!),"")</f>
        <v/>
      </c>
    </row>
    <row r="1304" spans="2:9" x14ac:dyDescent="0.3">
      <c r="B1304" t="str">
        <f>IFERROR(IF(A1304="","",VLOOKUP(A1304,CadProd!$A:$B,2,0)),"")</f>
        <v/>
      </c>
      <c r="C1304" t="str">
        <f>IFERROR(IF(A1304="","",VLOOKUP(A1304,CadProd!$A:$C,3,0)),"")</f>
        <v/>
      </c>
      <c r="I1304" s="1" t="str">
        <f>IFERROR(IF(A1304="","",E1304*#REF!),"")</f>
        <v/>
      </c>
    </row>
    <row r="1305" spans="2:9" x14ac:dyDescent="0.3">
      <c r="B1305" t="str">
        <f>IFERROR(IF(A1305="","",VLOOKUP(A1305,CadProd!$A:$B,2,0)),"")</f>
        <v/>
      </c>
      <c r="C1305" t="str">
        <f>IFERROR(IF(A1305="","",VLOOKUP(A1305,CadProd!$A:$C,3,0)),"")</f>
        <v/>
      </c>
      <c r="I1305" s="1" t="str">
        <f>IFERROR(IF(A1305="","",E1305*#REF!),"")</f>
        <v/>
      </c>
    </row>
    <row r="1306" spans="2:9" x14ac:dyDescent="0.3">
      <c r="B1306" t="str">
        <f>IFERROR(IF(A1306="","",VLOOKUP(A1306,CadProd!$A:$B,2,0)),"")</f>
        <v/>
      </c>
      <c r="C1306" t="str">
        <f>IFERROR(IF(A1306="","",VLOOKUP(A1306,CadProd!$A:$C,3,0)),"")</f>
        <v/>
      </c>
      <c r="I1306" s="1" t="str">
        <f>IFERROR(IF(A1306="","",E1306*#REF!),"")</f>
        <v/>
      </c>
    </row>
    <row r="1307" spans="2:9" x14ac:dyDescent="0.3">
      <c r="B1307" t="str">
        <f>IFERROR(IF(A1307="","",VLOOKUP(A1307,CadProd!$A:$B,2,0)),"")</f>
        <v/>
      </c>
      <c r="C1307" t="str">
        <f>IFERROR(IF(A1307="","",VLOOKUP(A1307,CadProd!$A:$C,3,0)),"")</f>
        <v/>
      </c>
      <c r="I1307" s="1" t="str">
        <f>IFERROR(IF(A1307="","",E1307*#REF!),"")</f>
        <v/>
      </c>
    </row>
    <row r="1308" spans="2:9" x14ac:dyDescent="0.3">
      <c r="B1308" t="str">
        <f>IFERROR(IF(A1308="","",VLOOKUP(A1308,CadProd!$A:$B,2,0)),"")</f>
        <v/>
      </c>
      <c r="C1308" t="str">
        <f>IFERROR(IF(A1308="","",VLOOKUP(A1308,CadProd!$A:$C,3,0)),"")</f>
        <v/>
      </c>
      <c r="I1308" s="1" t="str">
        <f>IFERROR(IF(A1308="","",E1308*#REF!),"")</f>
        <v/>
      </c>
    </row>
    <row r="1309" spans="2:9" x14ac:dyDescent="0.3">
      <c r="B1309" t="str">
        <f>IFERROR(IF(A1309="","",VLOOKUP(A1309,CadProd!$A:$B,2,0)),"")</f>
        <v/>
      </c>
      <c r="C1309" t="str">
        <f>IFERROR(IF(A1309="","",VLOOKUP(A1309,CadProd!$A:$C,3,0)),"")</f>
        <v/>
      </c>
      <c r="I1309" s="1" t="str">
        <f>IFERROR(IF(A1309="","",E1309*#REF!),"")</f>
        <v/>
      </c>
    </row>
    <row r="1310" spans="2:9" x14ac:dyDescent="0.3">
      <c r="B1310" t="str">
        <f>IFERROR(IF(A1310="","",VLOOKUP(A1310,CadProd!$A:$B,2,0)),"")</f>
        <v/>
      </c>
      <c r="C1310" t="str">
        <f>IFERROR(IF(A1310="","",VLOOKUP(A1310,CadProd!$A:$C,3,0)),"")</f>
        <v/>
      </c>
      <c r="I1310" s="1" t="str">
        <f>IFERROR(IF(A1310="","",E1310*#REF!),"")</f>
        <v/>
      </c>
    </row>
    <row r="1311" spans="2:9" x14ac:dyDescent="0.3">
      <c r="B1311" t="str">
        <f>IFERROR(IF(A1311="","",VLOOKUP(A1311,CadProd!$A:$B,2,0)),"")</f>
        <v/>
      </c>
      <c r="C1311" t="str">
        <f>IFERROR(IF(A1311="","",VLOOKUP(A1311,CadProd!$A:$C,3,0)),"")</f>
        <v/>
      </c>
      <c r="I1311" s="1" t="str">
        <f>IFERROR(IF(A1311="","",E1311*#REF!),"")</f>
        <v/>
      </c>
    </row>
    <row r="1312" spans="2:9" x14ac:dyDescent="0.3">
      <c r="B1312" t="str">
        <f>IFERROR(IF(A1312="","",VLOOKUP(A1312,CadProd!$A:$B,2,0)),"")</f>
        <v/>
      </c>
      <c r="C1312" t="str">
        <f>IFERROR(IF(A1312="","",VLOOKUP(A1312,CadProd!$A:$C,3,0)),"")</f>
        <v/>
      </c>
      <c r="I1312" s="1" t="str">
        <f>IFERROR(IF(A1312="","",E1312*#REF!),"")</f>
        <v/>
      </c>
    </row>
    <row r="1313" spans="2:9" x14ac:dyDescent="0.3">
      <c r="B1313" t="str">
        <f>IFERROR(IF(A1313="","",VLOOKUP(A1313,CadProd!$A:$B,2,0)),"")</f>
        <v/>
      </c>
      <c r="C1313" t="str">
        <f>IFERROR(IF(A1313="","",VLOOKUP(A1313,CadProd!$A:$C,3,0)),"")</f>
        <v/>
      </c>
      <c r="I1313" s="1" t="str">
        <f>IFERROR(IF(A1313="","",E1313*#REF!),"")</f>
        <v/>
      </c>
    </row>
    <row r="1314" spans="2:9" x14ac:dyDescent="0.3">
      <c r="B1314" t="str">
        <f>IFERROR(IF(A1314="","",VLOOKUP(A1314,CadProd!$A:$B,2,0)),"")</f>
        <v/>
      </c>
      <c r="C1314" t="str">
        <f>IFERROR(IF(A1314="","",VLOOKUP(A1314,CadProd!$A:$C,3,0)),"")</f>
        <v/>
      </c>
      <c r="I1314" s="1" t="str">
        <f>IFERROR(IF(A1314="","",E1314*#REF!),"")</f>
        <v/>
      </c>
    </row>
    <row r="1315" spans="2:9" x14ac:dyDescent="0.3">
      <c r="B1315" t="str">
        <f>IFERROR(IF(A1315="","",VLOOKUP(A1315,CadProd!$A:$B,2,0)),"")</f>
        <v/>
      </c>
      <c r="C1315" t="str">
        <f>IFERROR(IF(A1315="","",VLOOKUP(A1315,CadProd!$A:$C,3,0)),"")</f>
        <v/>
      </c>
      <c r="I1315" s="1" t="str">
        <f>IFERROR(IF(A1315="","",E1315*#REF!),"")</f>
        <v/>
      </c>
    </row>
    <row r="1316" spans="2:9" x14ac:dyDescent="0.3">
      <c r="B1316" t="str">
        <f>IFERROR(IF(A1316="","",VLOOKUP(A1316,CadProd!$A:$B,2,0)),"")</f>
        <v/>
      </c>
      <c r="C1316" t="str">
        <f>IFERROR(IF(A1316="","",VLOOKUP(A1316,CadProd!$A:$C,3,0)),"")</f>
        <v/>
      </c>
      <c r="I1316" s="1" t="str">
        <f>IFERROR(IF(A1316="","",E1316*#REF!),"")</f>
        <v/>
      </c>
    </row>
    <row r="1317" spans="2:9" x14ac:dyDescent="0.3">
      <c r="B1317" t="str">
        <f>IFERROR(IF(A1317="","",VLOOKUP(A1317,CadProd!$A:$B,2,0)),"")</f>
        <v/>
      </c>
      <c r="C1317" t="str">
        <f>IFERROR(IF(A1317="","",VLOOKUP(A1317,CadProd!$A:$C,3,0)),"")</f>
        <v/>
      </c>
      <c r="I1317" s="1" t="str">
        <f>IFERROR(IF(A1317="","",E1317*#REF!),"")</f>
        <v/>
      </c>
    </row>
    <row r="1318" spans="2:9" x14ac:dyDescent="0.3">
      <c r="B1318" t="str">
        <f>IFERROR(IF(A1318="","",VLOOKUP(A1318,CadProd!$A:$B,2,0)),"")</f>
        <v/>
      </c>
      <c r="C1318" t="str">
        <f>IFERROR(IF(A1318="","",VLOOKUP(A1318,CadProd!$A:$C,3,0)),"")</f>
        <v/>
      </c>
      <c r="I1318" s="1" t="str">
        <f>IFERROR(IF(A1318="","",E1318*#REF!),"")</f>
        <v/>
      </c>
    </row>
    <row r="1319" spans="2:9" x14ac:dyDescent="0.3">
      <c r="B1319" t="str">
        <f>IFERROR(IF(A1319="","",VLOOKUP(A1319,CadProd!$A:$B,2,0)),"")</f>
        <v/>
      </c>
      <c r="C1319" t="str">
        <f>IFERROR(IF(A1319="","",VLOOKUP(A1319,CadProd!$A:$C,3,0)),"")</f>
        <v/>
      </c>
      <c r="I1319" s="1" t="str">
        <f>IFERROR(IF(A1319="","",E1319*#REF!),"")</f>
        <v/>
      </c>
    </row>
    <row r="1320" spans="2:9" x14ac:dyDescent="0.3">
      <c r="B1320" t="str">
        <f>IFERROR(IF(A1320="","",VLOOKUP(A1320,CadProd!$A:$B,2,0)),"")</f>
        <v/>
      </c>
      <c r="C1320" t="str">
        <f>IFERROR(IF(A1320="","",VLOOKUP(A1320,CadProd!$A:$C,3,0)),"")</f>
        <v/>
      </c>
      <c r="I1320" s="1" t="str">
        <f>IFERROR(IF(A1320="","",E1320*#REF!),"")</f>
        <v/>
      </c>
    </row>
    <row r="1321" spans="2:9" x14ac:dyDescent="0.3">
      <c r="B1321" t="str">
        <f>IFERROR(IF(A1321="","",VLOOKUP(A1321,CadProd!$A:$B,2,0)),"")</f>
        <v/>
      </c>
      <c r="C1321" t="str">
        <f>IFERROR(IF(A1321="","",VLOOKUP(A1321,CadProd!$A:$C,3,0)),"")</f>
        <v/>
      </c>
      <c r="I1321" s="1" t="str">
        <f>IFERROR(IF(A1321="","",E1321*#REF!),"")</f>
        <v/>
      </c>
    </row>
    <row r="1322" spans="2:9" x14ac:dyDescent="0.3">
      <c r="B1322" t="str">
        <f>IFERROR(IF(A1322="","",VLOOKUP(A1322,CadProd!$A:$B,2,0)),"")</f>
        <v/>
      </c>
      <c r="C1322" t="str">
        <f>IFERROR(IF(A1322="","",VLOOKUP(A1322,CadProd!$A:$C,3,0)),"")</f>
        <v/>
      </c>
      <c r="I1322" s="1" t="str">
        <f>IFERROR(IF(A1322="","",E1322*#REF!),"")</f>
        <v/>
      </c>
    </row>
    <row r="1323" spans="2:9" x14ac:dyDescent="0.3">
      <c r="B1323" t="str">
        <f>IFERROR(IF(A1323="","",VLOOKUP(A1323,CadProd!$A:$B,2,0)),"")</f>
        <v/>
      </c>
      <c r="C1323" t="str">
        <f>IFERROR(IF(A1323="","",VLOOKUP(A1323,CadProd!$A:$C,3,0)),"")</f>
        <v/>
      </c>
      <c r="I1323" s="1" t="str">
        <f>IFERROR(IF(A1323="","",E1323*#REF!),"")</f>
        <v/>
      </c>
    </row>
    <row r="1324" spans="2:9" x14ac:dyDescent="0.3">
      <c r="B1324" t="str">
        <f>IFERROR(IF(A1324="","",VLOOKUP(A1324,CadProd!$A:$B,2,0)),"")</f>
        <v/>
      </c>
      <c r="C1324" t="str">
        <f>IFERROR(IF(A1324="","",VLOOKUP(A1324,CadProd!$A:$C,3,0)),"")</f>
        <v/>
      </c>
      <c r="I1324" s="1" t="str">
        <f>IFERROR(IF(A1324="","",E1324*#REF!),"")</f>
        <v/>
      </c>
    </row>
    <row r="1325" spans="2:9" x14ac:dyDescent="0.3">
      <c r="B1325" t="str">
        <f>IFERROR(IF(A1325="","",VLOOKUP(A1325,CadProd!$A:$B,2,0)),"")</f>
        <v/>
      </c>
      <c r="C1325" t="str">
        <f>IFERROR(IF(A1325="","",VLOOKUP(A1325,CadProd!$A:$C,3,0)),"")</f>
        <v/>
      </c>
      <c r="I1325" s="1" t="str">
        <f>IFERROR(IF(A1325="","",E1325*#REF!),"")</f>
        <v/>
      </c>
    </row>
    <row r="1326" spans="2:9" x14ac:dyDescent="0.3">
      <c r="B1326" t="str">
        <f>IFERROR(IF(A1326="","",VLOOKUP(A1326,CadProd!$A:$B,2,0)),"")</f>
        <v/>
      </c>
      <c r="C1326" t="str">
        <f>IFERROR(IF(A1326="","",VLOOKUP(A1326,CadProd!$A:$C,3,0)),"")</f>
        <v/>
      </c>
      <c r="I1326" s="1" t="str">
        <f>IFERROR(IF(A1326="","",E1326*#REF!),"")</f>
        <v/>
      </c>
    </row>
    <row r="1327" spans="2:9" x14ac:dyDescent="0.3">
      <c r="B1327" t="str">
        <f>IFERROR(IF(A1327="","",VLOOKUP(A1327,CadProd!$A:$B,2,0)),"")</f>
        <v/>
      </c>
      <c r="C1327" t="str">
        <f>IFERROR(IF(A1327="","",VLOOKUP(A1327,CadProd!$A:$C,3,0)),"")</f>
        <v/>
      </c>
      <c r="I1327" s="1" t="str">
        <f>IFERROR(IF(A1327="","",E1327*#REF!),"")</f>
        <v/>
      </c>
    </row>
    <row r="1328" spans="2:9" x14ac:dyDescent="0.3">
      <c r="B1328" t="str">
        <f>IFERROR(IF(A1328="","",VLOOKUP(A1328,CadProd!$A:$B,2,0)),"")</f>
        <v/>
      </c>
      <c r="C1328" t="str">
        <f>IFERROR(IF(A1328="","",VLOOKUP(A1328,CadProd!$A:$C,3,0)),"")</f>
        <v/>
      </c>
      <c r="I1328" s="1" t="str">
        <f>IFERROR(IF(A1328="","",E1328*#REF!),"")</f>
        <v/>
      </c>
    </row>
    <row r="1329" spans="2:9" x14ac:dyDescent="0.3">
      <c r="B1329" t="str">
        <f>IFERROR(IF(A1329="","",VLOOKUP(A1329,CadProd!$A:$B,2,0)),"")</f>
        <v/>
      </c>
      <c r="C1329" t="str">
        <f>IFERROR(IF(A1329="","",VLOOKUP(A1329,CadProd!$A:$C,3,0)),"")</f>
        <v/>
      </c>
      <c r="I1329" s="1" t="str">
        <f>IFERROR(IF(A1329="","",E1329*#REF!),"")</f>
        <v/>
      </c>
    </row>
    <row r="1330" spans="2:9" x14ac:dyDescent="0.3">
      <c r="B1330" t="str">
        <f>IFERROR(IF(A1330="","",VLOOKUP(A1330,CadProd!$A:$B,2,0)),"")</f>
        <v/>
      </c>
      <c r="C1330" t="str">
        <f>IFERROR(IF(A1330="","",VLOOKUP(A1330,CadProd!$A:$C,3,0)),"")</f>
        <v/>
      </c>
      <c r="I1330" s="1" t="str">
        <f>IFERROR(IF(A1330="","",E1330*#REF!),"")</f>
        <v/>
      </c>
    </row>
    <row r="1331" spans="2:9" x14ac:dyDescent="0.3">
      <c r="B1331" t="str">
        <f>IFERROR(IF(A1331="","",VLOOKUP(A1331,CadProd!$A:$B,2,0)),"")</f>
        <v/>
      </c>
      <c r="C1331" t="str">
        <f>IFERROR(IF(A1331="","",VLOOKUP(A1331,CadProd!$A:$C,3,0)),"")</f>
        <v/>
      </c>
      <c r="I1331" s="1" t="str">
        <f>IFERROR(IF(A1331="","",E1331*#REF!),"")</f>
        <v/>
      </c>
    </row>
    <row r="1332" spans="2:9" x14ac:dyDescent="0.3">
      <c r="B1332" t="str">
        <f>IFERROR(IF(A1332="","",VLOOKUP(A1332,CadProd!$A:$B,2,0)),"")</f>
        <v/>
      </c>
      <c r="C1332" t="str">
        <f>IFERROR(IF(A1332="","",VLOOKUP(A1332,CadProd!$A:$C,3,0)),"")</f>
        <v/>
      </c>
      <c r="I1332" s="1" t="str">
        <f>IFERROR(IF(A1332="","",E1332*#REF!),"")</f>
        <v/>
      </c>
    </row>
    <row r="1333" spans="2:9" x14ac:dyDescent="0.3">
      <c r="B1333" t="str">
        <f>IFERROR(IF(A1333="","",VLOOKUP(A1333,CadProd!$A:$B,2,0)),"")</f>
        <v/>
      </c>
      <c r="C1333" t="str">
        <f>IFERROR(IF(A1333="","",VLOOKUP(A1333,CadProd!$A:$C,3,0)),"")</f>
        <v/>
      </c>
      <c r="I1333" s="1" t="str">
        <f>IFERROR(IF(A1333="","",E1333*#REF!),"")</f>
        <v/>
      </c>
    </row>
    <row r="1334" spans="2:9" x14ac:dyDescent="0.3">
      <c r="B1334" t="str">
        <f>IFERROR(IF(A1334="","",VLOOKUP(A1334,CadProd!$A:$B,2,0)),"")</f>
        <v/>
      </c>
      <c r="C1334" t="str">
        <f>IFERROR(IF(A1334="","",VLOOKUP(A1334,CadProd!$A:$C,3,0)),"")</f>
        <v/>
      </c>
      <c r="I1334" s="1" t="str">
        <f>IFERROR(IF(A1334="","",E1334*#REF!),"")</f>
        <v/>
      </c>
    </row>
    <row r="1335" spans="2:9" x14ac:dyDescent="0.3">
      <c r="B1335" t="str">
        <f>IFERROR(IF(A1335="","",VLOOKUP(A1335,CadProd!$A:$B,2,0)),"")</f>
        <v/>
      </c>
      <c r="C1335" t="str">
        <f>IFERROR(IF(A1335="","",VLOOKUP(A1335,CadProd!$A:$C,3,0)),"")</f>
        <v/>
      </c>
      <c r="I1335" s="1" t="str">
        <f>IFERROR(IF(A1335="","",E1335*#REF!),"")</f>
        <v/>
      </c>
    </row>
    <row r="1336" spans="2:9" x14ac:dyDescent="0.3">
      <c r="B1336" t="str">
        <f>IFERROR(IF(A1336="","",VLOOKUP(A1336,CadProd!$A:$B,2,0)),"")</f>
        <v/>
      </c>
      <c r="C1336" t="str">
        <f>IFERROR(IF(A1336="","",VLOOKUP(A1336,CadProd!$A:$C,3,0)),"")</f>
        <v/>
      </c>
      <c r="I1336" s="1" t="str">
        <f>IFERROR(IF(A1336="","",E1336*#REF!),"")</f>
        <v/>
      </c>
    </row>
    <row r="1337" spans="2:9" x14ac:dyDescent="0.3">
      <c r="B1337" t="str">
        <f>IFERROR(IF(A1337="","",VLOOKUP(A1337,CadProd!$A:$B,2,0)),"")</f>
        <v/>
      </c>
      <c r="C1337" t="str">
        <f>IFERROR(IF(A1337="","",VLOOKUP(A1337,CadProd!$A:$C,3,0)),"")</f>
        <v/>
      </c>
      <c r="I1337" s="1" t="str">
        <f>IFERROR(IF(A1337="","",E1337*#REF!),"")</f>
        <v/>
      </c>
    </row>
    <row r="1338" spans="2:9" x14ac:dyDescent="0.3">
      <c r="B1338" t="str">
        <f>IFERROR(IF(A1338="","",VLOOKUP(A1338,CadProd!$A:$B,2,0)),"")</f>
        <v/>
      </c>
      <c r="C1338" t="str">
        <f>IFERROR(IF(A1338="","",VLOOKUP(A1338,CadProd!$A:$C,3,0)),"")</f>
        <v/>
      </c>
      <c r="I1338" s="1" t="str">
        <f>IFERROR(IF(A1338="","",E1338*#REF!),"")</f>
        <v/>
      </c>
    </row>
    <row r="1339" spans="2:9" x14ac:dyDescent="0.3">
      <c r="B1339" t="str">
        <f>IFERROR(IF(A1339="","",VLOOKUP(A1339,CadProd!$A:$B,2,0)),"")</f>
        <v/>
      </c>
      <c r="C1339" t="str">
        <f>IFERROR(IF(A1339="","",VLOOKUP(A1339,CadProd!$A:$C,3,0)),"")</f>
        <v/>
      </c>
      <c r="I1339" s="1" t="str">
        <f>IFERROR(IF(A1339="","",E1339*#REF!),"")</f>
        <v/>
      </c>
    </row>
    <row r="1340" spans="2:9" x14ac:dyDescent="0.3">
      <c r="B1340" t="str">
        <f>IFERROR(IF(A1340="","",VLOOKUP(A1340,CadProd!$A:$B,2,0)),"")</f>
        <v/>
      </c>
      <c r="C1340" t="str">
        <f>IFERROR(IF(A1340="","",VLOOKUP(A1340,CadProd!$A:$C,3,0)),"")</f>
        <v/>
      </c>
      <c r="I1340" s="1" t="str">
        <f>IFERROR(IF(A1340="","",E1340*#REF!),"")</f>
        <v/>
      </c>
    </row>
    <row r="1341" spans="2:9" x14ac:dyDescent="0.3">
      <c r="B1341" t="str">
        <f>IFERROR(IF(A1341="","",VLOOKUP(A1341,CadProd!$A:$B,2,0)),"")</f>
        <v/>
      </c>
      <c r="C1341" t="str">
        <f>IFERROR(IF(A1341="","",VLOOKUP(A1341,CadProd!$A:$C,3,0)),"")</f>
        <v/>
      </c>
      <c r="I1341" s="1" t="str">
        <f>IFERROR(IF(A1341="","",E1341*#REF!),"")</f>
        <v/>
      </c>
    </row>
    <row r="1342" spans="2:9" x14ac:dyDescent="0.3">
      <c r="B1342" t="str">
        <f>IFERROR(IF(A1342="","",VLOOKUP(A1342,CadProd!$A:$B,2,0)),"")</f>
        <v/>
      </c>
      <c r="C1342" t="str">
        <f>IFERROR(IF(A1342="","",VLOOKUP(A1342,CadProd!$A:$C,3,0)),"")</f>
        <v/>
      </c>
      <c r="I1342" s="1" t="str">
        <f>IFERROR(IF(A1342="","",E1342*#REF!),"")</f>
        <v/>
      </c>
    </row>
    <row r="1343" spans="2:9" x14ac:dyDescent="0.3">
      <c r="B1343" t="str">
        <f>IFERROR(IF(A1343="","",VLOOKUP(A1343,CadProd!$A:$B,2,0)),"")</f>
        <v/>
      </c>
      <c r="C1343" t="str">
        <f>IFERROR(IF(A1343="","",VLOOKUP(A1343,CadProd!$A:$C,3,0)),"")</f>
        <v/>
      </c>
      <c r="I1343" s="1" t="str">
        <f>IFERROR(IF(A1343="","",E1343*#REF!),"")</f>
        <v/>
      </c>
    </row>
    <row r="1344" spans="2:9" x14ac:dyDescent="0.3">
      <c r="B1344" t="str">
        <f>IFERROR(IF(A1344="","",VLOOKUP(A1344,CadProd!$A:$B,2,0)),"")</f>
        <v/>
      </c>
      <c r="C1344" t="str">
        <f>IFERROR(IF(A1344="","",VLOOKUP(A1344,CadProd!$A:$C,3,0)),"")</f>
        <v/>
      </c>
      <c r="I1344" s="1" t="str">
        <f>IFERROR(IF(A1344="","",E1344*#REF!),"")</f>
        <v/>
      </c>
    </row>
    <row r="1345" spans="2:9" x14ac:dyDescent="0.3">
      <c r="B1345" t="str">
        <f>IFERROR(IF(A1345="","",VLOOKUP(A1345,CadProd!$A:$B,2,0)),"")</f>
        <v/>
      </c>
      <c r="C1345" t="str">
        <f>IFERROR(IF(A1345="","",VLOOKUP(A1345,CadProd!$A:$C,3,0)),"")</f>
        <v/>
      </c>
      <c r="I1345" s="1" t="str">
        <f>IFERROR(IF(A1345="","",E1345*#REF!),"")</f>
        <v/>
      </c>
    </row>
    <row r="1346" spans="2:9" x14ac:dyDescent="0.3">
      <c r="B1346" t="str">
        <f>IFERROR(IF(A1346="","",VLOOKUP(A1346,CadProd!$A:$B,2,0)),"")</f>
        <v/>
      </c>
      <c r="C1346" t="str">
        <f>IFERROR(IF(A1346="","",VLOOKUP(A1346,CadProd!$A:$C,3,0)),"")</f>
        <v/>
      </c>
      <c r="I1346" s="1" t="str">
        <f>IFERROR(IF(A1346="","",E1346*#REF!),"")</f>
        <v/>
      </c>
    </row>
    <row r="1347" spans="2:9" x14ac:dyDescent="0.3">
      <c r="B1347" t="str">
        <f>IFERROR(IF(A1347="","",VLOOKUP(A1347,CadProd!$A:$B,2,0)),"")</f>
        <v/>
      </c>
      <c r="C1347" t="str">
        <f>IFERROR(IF(A1347="","",VLOOKUP(A1347,CadProd!$A:$C,3,0)),"")</f>
        <v/>
      </c>
      <c r="I1347" s="1" t="str">
        <f>IFERROR(IF(A1347="","",E1347*#REF!),"")</f>
        <v/>
      </c>
    </row>
    <row r="1348" spans="2:9" x14ac:dyDescent="0.3">
      <c r="B1348" t="str">
        <f>IFERROR(IF(A1348="","",VLOOKUP(A1348,CadProd!$A:$B,2,0)),"")</f>
        <v/>
      </c>
      <c r="C1348" t="str">
        <f>IFERROR(IF(A1348="","",VLOOKUP(A1348,CadProd!$A:$C,3,0)),"")</f>
        <v/>
      </c>
      <c r="I1348" s="1" t="str">
        <f>IFERROR(IF(A1348="","",E1348*#REF!),"")</f>
        <v/>
      </c>
    </row>
    <row r="1349" spans="2:9" x14ac:dyDescent="0.3">
      <c r="B1349" t="str">
        <f>IFERROR(IF(A1349="","",VLOOKUP(A1349,CadProd!$A:$B,2,0)),"")</f>
        <v/>
      </c>
      <c r="C1349" t="str">
        <f>IFERROR(IF(A1349="","",VLOOKUP(A1349,CadProd!$A:$C,3,0)),"")</f>
        <v/>
      </c>
      <c r="I1349" s="1" t="str">
        <f>IFERROR(IF(A1349="","",E1349*#REF!),"")</f>
        <v/>
      </c>
    </row>
    <row r="1350" spans="2:9" x14ac:dyDescent="0.3">
      <c r="B1350" t="str">
        <f>IFERROR(IF(A1350="","",VLOOKUP(A1350,CadProd!$A:$B,2,0)),"")</f>
        <v/>
      </c>
      <c r="C1350" t="str">
        <f>IFERROR(IF(A1350="","",VLOOKUP(A1350,CadProd!$A:$C,3,0)),"")</f>
        <v/>
      </c>
      <c r="I1350" s="1" t="str">
        <f>IFERROR(IF(A1350="","",E1350*#REF!),"")</f>
        <v/>
      </c>
    </row>
    <row r="1351" spans="2:9" x14ac:dyDescent="0.3">
      <c r="B1351" t="str">
        <f>IFERROR(IF(A1351="","",VLOOKUP(A1351,CadProd!$A:$B,2,0)),"")</f>
        <v/>
      </c>
      <c r="C1351" t="str">
        <f>IFERROR(IF(A1351="","",VLOOKUP(A1351,CadProd!$A:$C,3,0)),"")</f>
        <v/>
      </c>
      <c r="I1351" s="1" t="str">
        <f>IFERROR(IF(A1351="","",E1351*#REF!),"")</f>
        <v/>
      </c>
    </row>
    <row r="1352" spans="2:9" x14ac:dyDescent="0.3">
      <c r="B1352" t="str">
        <f>IFERROR(IF(A1352="","",VLOOKUP(A1352,CadProd!$A:$B,2,0)),"")</f>
        <v/>
      </c>
      <c r="C1352" t="str">
        <f>IFERROR(IF(A1352="","",VLOOKUP(A1352,CadProd!$A:$C,3,0)),"")</f>
        <v/>
      </c>
      <c r="I1352" s="1" t="str">
        <f>IFERROR(IF(A1352="","",E1352*#REF!),"")</f>
        <v/>
      </c>
    </row>
    <row r="1353" spans="2:9" x14ac:dyDescent="0.3">
      <c r="B1353" t="str">
        <f>IFERROR(IF(A1353="","",VLOOKUP(A1353,CadProd!$A:$B,2,0)),"")</f>
        <v/>
      </c>
      <c r="C1353" t="str">
        <f>IFERROR(IF(A1353="","",VLOOKUP(A1353,CadProd!$A:$C,3,0)),"")</f>
        <v/>
      </c>
      <c r="I1353" s="1" t="str">
        <f>IFERROR(IF(A1353="","",E1353*#REF!),"")</f>
        <v/>
      </c>
    </row>
    <row r="1354" spans="2:9" x14ac:dyDescent="0.3">
      <c r="B1354" t="str">
        <f>IFERROR(IF(A1354="","",VLOOKUP(A1354,CadProd!$A:$B,2,0)),"")</f>
        <v/>
      </c>
      <c r="C1354" t="str">
        <f>IFERROR(IF(A1354="","",VLOOKUP(A1354,CadProd!$A:$C,3,0)),"")</f>
        <v/>
      </c>
      <c r="I1354" s="1" t="str">
        <f>IFERROR(IF(A1354="","",E1354*#REF!),"")</f>
        <v/>
      </c>
    </row>
    <row r="1355" spans="2:9" x14ac:dyDescent="0.3">
      <c r="B1355" t="str">
        <f>IFERROR(IF(A1355="","",VLOOKUP(A1355,CadProd!$A:$B,2,0)),"")</f>
        <v/>
      </c>
      <c r="C1355" t="str">
        <f>IFERROR(IF(A1355="","",VLOOKUP(A1355,CadProd!$A:$C,3,0)),"")</f>
        <v/>
      </c>
      <c r="I1355" s="1" t="str">
        <f>IFERROR(IF(A1355="","",E1355*#REF!),"")</f>
        <v/>
      </c>
    </row>
    <row r="1356" spans="2:9" x14ac:dyDescent="0.3">
      <c r="B1356" t="str">
        <f>IFERROR(IF(A1356="","",VLOOKUP(A1356,CadProd!$A:$B,2,0)),"")</f>
        <v/>
      </c>
      <c r="C1356" t="str">
        <f>IFERROR(IF(A1356="","",VLOOKUP(A1356,CadProd!$A:$C,3,0)),"")</f>
        <v/>
      </c>
      <c r="I1356" s="1" t="str">
        <f>IFERROR(IF(A1356="","",E1356*#REF!),"")</f>
        <v/>
      </c>
    </row>
    <row r="1357" spans="2:9" x14ac:dyDescent="0.3">
      <c r="B1357" t="str">
        <f>IFERROR(IF(A1357="","",VLOOKUP(A1357,CadProd!$A:$B,2,0)),"")</f>
        <v/>
      </c>
      <c r="C1357" t="str">
        <f>IFERROR(IF(A1357="","",VLOOKUP(A1357,CadProd!$A:$C,3,0)),"")</f>
        <v/>
      </c>
      <c r="I1357" s="1" t="str">
        <f>IFERROR(IF(A1357="","",E1357*#REF!),"")</f>
        <v/>
      </c>
    </row>
    <row r="1358" spans="2:9" x14ac:dyDescent="0.3">
      <c r="B1358" t="str">
        <f>IFERROR(IF(A1358="","",VLOOKUP(A1358,CadProd!$A:$B,2,0)),"")</f>
        <v/>
      </c>
      <c r="C1358" t="str">
        <f>IFERROR(IF(A1358="","",VLOOKUP(A1358,CadProd!$A:$C,3,0)),"")</f>
        <v/>
      </c>
      <c r="I1358" s="1" t="str">
        <f>IFERROR(IF(A1358="","",E1358*#REF!),"")</f>
        <v/>
      </c>
    </row>
    <row r="1359" spans="2:9" x14ac:dyDescent="0.3">
      <c r="B1359" t="str">
        <f>IFERROR(IF(A1359="","",VLOOKUP(A1359,CadProd!$A:$B,2,0)),"")</f>
        <v/>
      </c>
      <c r="C1359" t="str">
        <f>IFERROR(IF(A1359="","",VLOOKUP(A1359,CadProd!$A:$C,3,0)),"")</f>
        <v/>
      </c>
      <c r="I1359" s="1" t="str">
        <f>IFERROR(IF(A1359="","",E1359*#REF!),"")</f>
        <v/>
      </c>
    </row>
    <row r="1360" spans="2:9" x14ac:dyDescent="0.3">
      <c r="B1360" t="str">
        <f>IFERROR(IF(A1360="","",VLOOKUP(A1360,CadProd!$A:$B,2,0)),"")</f>
        <v/>
      </c>
      <c r="C1360" t="str">
        <f>IFERROR(IF(A1360="","",VLOOKUP(A1360,CadProd!$A:$C,3,0)),"")</f>
        <v/>
      </c>
      <c r="I1360" s="1" t="str">
        <f>IFERROR(IF(A1360="","",E1360*#REF!),"")</f>
        <v/>
      </c>
    </row>
    <row r="1361" spans="2:9" x14ac:dyDescent="0.3">
      <c r="B1361" t="str">
        <f>IFERROR(IF(A1361="","",VLOOKUP(A1361,CadProd!$A:$B,2,0)),"")</f>
        <v/>
      </c>
      <c r="C1361" t="str">
        <f>IFERROR(IF(A1361="","",VLOOKUP(A1361,CadProd!$A:$C,3,0)),"")</f>
        <v/>
      </c>
      <c r="I1361" s="1" t="str">
        <f>IFERROR(IF(A1361="","",E1361*#REF!),"")</f>
        <v/>
      </c>
    </row>
    <row r="1362" spans="2:9" x14ac:dyDescent="0.3">
      <c r="B1362" t="str">
        <f>IFERROR(IF(A1362="","",VLOOKUP(A1362,CadProd!$A:$B,2,0)),"")</f>
        <v/>
      </c>
      <c r="C1362" t="str">
        <f>IFERROR(IF(A1362="","",VLOOKUP(A1362,CadProd!$A:$C,3,0)),"")</f>
        <v/>
      </c>
      <c r="I1362" s="1" t="str">
        <f>IFERROR(IF(A1362="","",E1362*#REF!),"")</f>
        <v/>
      </c>
    </row>
    <row r="1363" spans="2:9" x14ac:dyDescent="0.3">
      <c r="B1363" t="str">
        <f>IFERROR(IF(A1363="","",VLOOKUP(A1363,CadProd!$A:$B,2,0)),"")</f>
        <v/>
      </c>
      <c r="C1363" t="str">
        <f>IFERROR(IF(A1363="","",VLOOKUP(A1363,CadProd!$A:$C,3,0)),"")</f>
        <v/>
      </c>
      <c r="I1363" s="1" t="str">
        <f>IFERROR(IF(A1363="","",E1363*#REF!),"")</f>
        <v/>
      </c>
    </row>
    <row r="1364" spans="2:9" x14ac:dyDescent="0.3">
      <c r="B1364" t="str">
        <f>IFERROR(IF(A1364="","",VLOOKUP(A1364,CadProd!$A:$B,2,0)),"")</f>
        <v/>
      </c>
      <c r="C1364" t="str">
        <f>IFERROR(IF(A1364="","",VLOOKUP(A1364,CadProd!$A:$C,3,0)),"")</f>
        <v/>
      </c>
      <c r="I1364" s="1" t="str">
        <f>IFERROR(IF(A1364="","",E1364*#REF!),"")</f>
        <v/>
      </c>
    </row>
    <row r="1365" spans="2:9" x14ac:dyDescent="0.3">
      <c r="B1365" t="str">
        <f>IFERROR(IF(A1365="","",VLOOKUP(A1365,CadProd!$A:$B,2,0)),"")</f>
        <v/>
      </c>
      <c r="C1365" t="str">
        <f>IFERROR(IF(A1365="","",VLOOKUP(A1365,CadProd!$A:$C,3,0)),"")</f>
        <v/>
      </c>
      <c r="I1365" s="1" t="str">
        <f>IFERROR(IF(A1365="","",E1365*#REF!),"")</f>
        <v/>
      </c>
    </row>
    <row r="1366" spans="2:9" x14ac:dyDescent="0.3">
      <c r="B1366" t="str">
        <f>IFERROR(IF(A1366="","",VLOOKUP(A1366,CadProd!$A:$B,2,0)),"")</f>
        <v/>
      </c>
      <c r="C1366" t="str">
        <f>IFERROR(IF(A1366="","",VLOOKUP(A1366,CadProd!$A:$C,3,0)),"")</f>
        <v/>
      </c>
      <c r="I1366" s="1" t="str">
        <f>IFERROR(IF(A1366="","",E1366*#REF!),"")</f>
        <v/>
      </c>
    </row>
    <row r="1367" spans="2:9" x14ac:dyDescent="0.3">
      <c r="B1367" t="str">
        <f>IFERROR(IF(A1367="","",VLOOKUP(A1367,CadProd!$A:$B,2,0)),"")</f>
        <v/>
      </c>
      <c r="C1367" t="str">
        <f>IFERROR(IF(A1367="","",VLOOKUP(A1367,CadProd!$A:$C,3,0)),"")</f>
        <v/>
      </c>
      <c r="I1367" s="1" t="str">
        <f>IFERROR(IF(A1367="","",E1367*#REF!),"")</f>
        <v/>
      </c>
    </row>
    <row r="1368" spans="2:9" x14ac:dyDescent="0.3">
      <c r="B1368" t="str">
        <f>IFERROR(IF(A1368="","",VLOOKUP(A1368,CadProd!$A:$B,2,0)),"")</f>
        <v/>
      </c>
      <c r="C1368" t="str">
        <f>IFERROR(IF(A1368="","",VLOOKUP(A1368,CadProd!$A:$C,3,0)),"")</f>
        <v/>
      </c>
      <c r="I1368" s="1" t="str">
        <f>IFERROR(IF(A1368="","",E1368*#REF!),"")</f>
        <v/>
      </c>
    </row>
    <row r="1369" spans="2:9" x14ac:dyDescent="0.3">
      <c r="B1369" t="str">
        <f>IFERROR(IF(A1369="","",VLOOKUP(A1369,CadProd!$A:$B,2,0)),"")</f>
        <v/>
      </c>
      <c r="C1369" t="str">
        <f>IFERROR(IF(A1369="","",VLOOKUP(A1369,CadProd!$A:$C,3,0)),"")</f>
        <v/>
      </c>
      <c r="I1369" s="1" t="str">
        <f>IFERROR(IF(A1369="","",E1369*#REF!),"")</f>
        <v/>
      </c>
    </row>
    <row r="1370" spans="2:9" x14ac:dyDescent="0.3">
      <c r="B1370" t="str">
        <f>IFERROR(IF(A1370="","",VLOOKUP(A1370,CadProd!$A:$B,2,0)),"")</f>
        <v/>
      </c>
      <c r="C1370" t="str">
        <f>IFERROR(IF(A1370="","",VLOOKUP(A1370,CadProd!$A:$C,3,0)),"")</f>
        <v/>
      </c>
      <c r="I1370" s="1" t="str">
        <f>IFERROR(IF(A1370="","",E1370*#REF!),"")</f>
        <v/>
      </c>
    </row>
    <row r="1371" spans="2:9" x14ac:dyDescent="0.3">
      <c r="B1371" t="str">
        <f>IFERROR(IF(A1371="","",VLOOKUP(A1371,CadProd!$A:$B,2,0)),"")</f>
        <v/>
      </c>
      <c r="C1371" t="str">
        <f>IFERROR(IF(A1371="","",VLOOKUP(A1371,CadProd!$A:$C,3,0)),"")</f>
        <v/>
      </c>
      <c r="I1371" s="1" t="str">
        <f>IFERROR(IF(A1371="","",E1371*#REF!),"")</f>
        <v/>
      </c>
    </row>
    <row r="1372" spans="2:9" x14ac:dyDescent="0.3">
      <c r="B1372" t="str">
        <f>IFERROR(IF(A1372="","",VLOOKUP(A1372,CadProd!$A:$B,2,0)),"")</f>
        <v/>
      </c>
      <c r="C1372" t="str">
        <f>IFERROR(IF(A1372="","",VLOOKUP(A1372,CadProd!$A:$C,3,0)),"")</f>
        <v/>
      </c>
      <c r="I1372" s="1" t="str">
        <f>IFERROR(IF(A1372="","",E1372*#REF!),"")</f>
        <v/>
      </c>
    </row>
    <row r="1373" spans="2:9" x14ac:dyDescent="0.3">
      <c r="B1373" t="str">
        <f>IFERROR(IF(A1373="","",VLOOKUP(A1373,CadProd!$A:$B,2,0)),"")</f>
        <v/>
      </c>
      <c r="C1373" t="str">
        <f>IFERROR(IF(A1373="","",VLOOKUP(A1373,CadProd!$A:$C,3,0)),"")</f>
        <v/>
      </c>
      <c r="I1373" s="1" t="str">
        <f>IFERROR(IF(A1373="","",E1373*#REF!),"")</f>
        <v/>
      </c>
    </row>
    <row r="1374" spans="2:9" x14ac:dyDescent="0.3">
      <c r="B1374" t="str">
        <f>IFERROR(IF(A1374="","",VLOOKUP(A1374,CadProd!$A:$B,2,0)),"")</f>
        <v/>
      </c>
      <c r="C1374" t="str">
        <f>IFERROR(IF(A1374="","",VLOOKUP(A1374,CadProd!$A:$C,3,0)),"")</f>
        <v/>
      </c>
      <c r="I1374" s="1" t="str">
        <f>IFERROR(IF(A1374="","",E1374*#REF!),"")</f>
        <v/>
      </c>
    </row>
    <row r="1375" spans="2:9" x14ac:dyDescent="0.3">
      <c r="B1375" t="str">
        <f>IFERROR(IF(A1375="","",VLOOKUP(A1375,CadProd!$A:$B,2,0)),"")</f>
        <v/>
      </c>
      <c r="C1375" t="str">
        <f>IFERROR(IF(A1375="","",VLOOKUP(A1375,CadProd!$A:$C,3,0)),"")</f>
        <v/>
      </c>
      <c r="I1375" s="1" t="str">
        <f>IFERROR(IF(A1375="","",E1375*#REF!),"")</f>
        <v/>
      </c>
    </row>
    <row r="1376" spans="2:9" x14ac:dyDescent="0.3">
      <c r="B1376" t="str">
        <f>IFERROR(IF(A1376="","",VLOOKUP(A1376,CadProd!$A:$B,2,0)),"")</f>
        <v/>
      </c>
      <c r="C1376" t="str">
        <f>IFERROR(IF(A1376="","",VLOOKUP(A1376,CadProd!$A:$C,3,0)),"")</f>
        <v/>
      </c>
      <c r="I1376" s="1" t="str">
        <f>IFERROR(IF(A1376="","",E1376*#REF!),"")</f>
        <v/>
      </c>
    </row>
    <row r="1377" spans="2:9" x14ac:dyDescent="0.3">
      <c r="B1377" t="str">
        <f>IFERROR(IF(A1377="","",VLOOKUP(A1377,CadProd!$A:$B,2,0)),"")</f>
        <v/>
      </c>
      <c r="C1377" t="str">
        <f>IFERROR(IF(A1377="","",VLOOKUP(A1377,CadProd!$A:$C,3,0)),"")</f>
        <v/>
      </c>
      <c r="I1377" s="1" t="str">
        <f>IFERROR(IF(A1377="","",E1377*#REF!),"")</f>
        <v/>
      </c>
    </row>
    <row r="1378" spans="2:9" x14ac:dyDescent="0.3">
      <c r="B1378" t="str">
        <f>IFERROR(IF(A1378="","",VLOOKUP(A1378,CadProd!$A:$B,2,0)),"")</f>
        <v/>
      </c>
      <c r="C1378" t="str">
        <f>IFERROR(IF(A1378="","",VLOOKUP(A1378,CadProd!$A:$C,3,0)),"")</f>
        <v/>
      </c>
      <c r="I1378" s="1" t="str">
        <f>IFERROR(IF(A1378="","",E1378*#REF!),"")</f>
        <v/>
      </c>
    </row>
    <row r="1379" spans="2:9" x14ac:dyDescent="0.3">
      <c r="B1379" t="str">
        <f>IFERROR(IF(A1379="","",VLOOKUP(A1379,CadProd!$A:$B,2,0)),"")</f>
        <v/>
      </c>
      <c r="C1379" t="str">
        <f>IFERROR(IF(A1379="","",VLOOKUP(A1379,CadProd!$A:$C,3,0)),"")</f>
        <v/>
      </c>
      <c r="I1379" s="1" t="str">
        <f>IFERROR(IF(A1379="","",E1379*#REF!),"")</f>
        <v/>
      </c>
    </row>
    <row r="1380" spans="2:9" x14ac:dyDescent="0.3">
      <c r="B1380" t="str">
        <f>IFERROR(IF(A1380="","",VLOOKUP(A1380,CadProd!$A:$B,2,0)),"")</f>
        <v/>
      </c>
      <c r="C1380" t="str">
        <f>IFERROR(IF(A1380="","",VLOOKUP(A1380,CadProd!$A:$C,3,0)),"")</f>
        <v/>
      </c>
      <c r="I1380" s="1" t="str">
        <f>IFERROR(IF(A1380="","",E1380*#REF!),"")</f>
        <v/>
      </c>
    </row>
    <row r="1381" spans="2:9" x14ac:dyDescent="0.3">
      <c r="B1381" t="str">
        <f>IFERROR(IF(A1381="","",VLOOKUP(A1381,CadProd!$A:$B,2,0)),"")</f>
        <v/>
      </c>
      <c r="C1381" t="str">
        <f>IFERROR(IF(A1381="","",VLOOKUP(A1381,CadProd!$A:$C,3,0)),"")</f>
        <v/>
      </c>
      <c r="I1381" s="1" t="str">
        <f>IFERROR(IF(A1381="","",E1381*#REF!),"")</f>
        <v/>
      </c>
    </row>
    <row r="1382" spans="2:9" x14ac:dyDescent="0.3">
      <c r="B1382" t="str">
        <f>IFERROR(IF(A1382="","",VLOOKUP(A1382,CadProd!$A:$B,2,0)),"")</f>
        <v/>
      </c>
      <c r="C1382" t="str">
        <f>IFERROR(IF(A1382="","",VLOOKUP(A1382,CadProd!$A:$C,3,0)),"")</f>
        <v/>
      </c>
      <c r="I1382" s="1" t="str">
        <f>IFERROR(IF(A1382="","",E1382*#REF!),"")</f>
        <v/>
      </c>
    </row>
    <row r="1383" spans="2:9" x14ac:dyDescent="0.3">
      <c r="B1383" t="str">
        <f>IFERROR(IF(A1383="","",VLOOKUP(A1383,CadProd!$A:$B,2,0)),"")</f>
        <v/>
      </c>
      <c r="C1383" t="str">
        <f>IFERROR(IF(A1383="","",VLOOKUP(A1383,CadProd!$A:$C,3,0)),"")</f>
        <v/>
      </c>
      <c r="I1383" s="1" t="str">
        <f>IFERROR(IF(A1383="","",E1383*#REF!),"")</f>
        <v/>
      </c>
    </row>
    <row r="1384" spans="2:9" x14ac:dyDescent="0.3">
      <c r="B1384" t="str">
        <f>IFERROR(IF(A1384="","",VLOOKUP(A1384,CadProd!$A:$B,2,0)),"")</f>
        <v/>
      </c>
      <c r="C1384" t="str">
        <f>IFERROR(IF(A1384="","",VLOOKUP(A1384,CadProd!$A:$C,3,0)),"")</f>
        <v/>
      </c>
      <c r="I1384" s="1" t="str">
        <f>IFERROR(IF(A1384="","",E1384*#REF!),"")</f>
        <v/>
      </c>
    </row>
    <row r="1385" spans="2:9" x14ac:dyDescent="0.3">
      <c r="B1385" t="str">
        <f>IFERROR(IF(A1385="","",VLOOKUP(A1385,CadProd!$A:$B,2,0)),"")</f>
        <v/>
      </c>
      <c r="C1385" t="str">
        <f>IFERROR(IF(A1385="","",VLOOKUP(A1385,CadProd!$A:$C,3,0)),"")</f>
        <v/>
      </c>
      <c r="I1385" s="1" t="str">
        <f>IFERROR(IF(A1385="","",E1385*#REF!),"")</f>
        <v/>
      </c>
    </row>
    <row r="1386" spans="2:9" x14ac:dyDescent="0.3">
      <c r="B1386" t="str">
        <f>IFERROR(IF(A1386="","",VLOOKUP(A1386,CadProd!$A:$B,2,0)),"")</f>
        <v/>
      </c>
      <c r="C1386" t="str">
        <f>IFERROR(IF(A1386="","",VLOOKUP(A1386,CadProd!$A:$C,3,0)),"")</f>
        <v/>
      </c>
      <c r="I1386" s="1" t="str">
        <f>IFERROR(IF(A1386="","",E1386*#REF!),"")</f>
        <v/>
      </c>
    </row>
    <row r="1387" spans="2:9" x14ac:dyDescent="0.3">
      <c r="B1387" t="str">
        <f>IFERROR(IF(A1387="","",VLOOKUP(A1387,CadProd!$A:$B,2,0)),"")</f>
        <v/>
      </c>
      <c r="C1387" t="str">
        <f>IFERROR(IF(A1387="","",VLOOKUP(A1387,CadProd!$A:$C,3,0)),"")</f>
        <v/>
      </c>
      <c r="I1387" s="1" t="str">
        <f>IFERROR(IF(A1387="","",E1387*#REF!),"")</f>
        <v/>
      </c>
    </row>
    <row r="1388" spans="2:9" x14ac:dyDescent="0.3">
      <c r="B1388" t="str">
        <f>IFERROR(IF(A1388="","",VLOOKUP(A1388,CadProd!$A:$B,2,0)),"")</f>
        <v/>
      </c>
      <c r="C1388" t="str">
        <f>IFERROR(IF(A1388="","",VLOOKUP(A1388,CadProd!$A:$C,3,0)),"")</f>
        <v/>
      </c>
      <c r="I1388" s="1" t="str">
        <f>IFERROR(IF(A1388="","",E1388*#REF!),"")</f>
        <v/>
      </c>
    </row>
    <row r="1389" spans="2:9" x14ac:dyDescent="0.3">
      <c r="B1389" t="str">
        <f>IFERROR(IF(A1389="","",VLOOKUP(A1389,CadProd!$A:$B,2,0)),"")</f>
        <v/>
      </c>
      <c r="C1389" t="str">
        <f>IFERROR(IF(A1389="","",VLOOKUP(A1389,CadProd!$A:$C,3,0)),"")</f>
        <v/>
      </c>
      <c r="I1389" s="1" t="str">
        <f>IFERROR(IF(A1389="","",E1389*#REF!),"")</f>
        <v/>
      </c>
    </row>
    <row r="1390" spans="2:9" x14ac:dyDescent="0.3">
      <c r="B1390" t="str">
        <f>IFERROR(IF(A1390="","",VLOOKUP(A1390,CadProd!$A:$B,2,0)),"")</f>
        <v/>
      </c>
      <c r="C1390" t="str">
        <f>IFERROR(IF(A1390="","",VLOOKUP(A1390,CadProd!$A:$C,3,0)),"")</f>
        <v/>
      </c>
      <c r="I1390" s="1" t="str">
        <f>IFERROR(IF(A1390="","",E1390*#REF!),"")</f>
        <v/>
      </c>
    </row>
    <row r="1391" spans="2:9" x14ac:dyDescent="0.3">
      <c r="B1391" t="str">
        <f>IFERROR(IF(A1391="","",VLOOKUP(A1391,CadProd!$A:$B,2,0)),"")</f>
        <v/>
      </c>
      <c r="C1391" t="str">
        <f>IFERROR(IF(A1391="","",VLOOKUP(A1391,CadProd!$A:$C,3,0)),"")</f>
        <v/>
      </c>
      <c r="I1391" s="1" t="str">
        <f>IFERROR(IF(A1391="","",E1391*#REF!),"")</f>
        <v/>
      </c>
    </row>
    <row r="1392" spans="2:9" x14ac:dyDescent="0.3">
      <c r="B1392" t="str">
        <f>IFERROR(IF(A1392="","",VLOOKUP(A1392,CadProd!$A:$B,2,0)),"")</f>
        <v/>
      </c>
      <c r="C1392" t="str">
        <f>IFERROR(IF(A1392="","",VLOOKUP(A1392,CadProd!$A:$C,3,0)),"")</f>
        <v/>
      </c>
      <c r="I1392" s="1" t="str">
        <f>IFERROR(IF(A1392="","",E1392*#REF!),"")</f>
        <v/>
      </c>
    </row>
    <row r="1393" spans="2:9" x14ac:dyDescent="0.3">
      <c r="B1393" t="str">
        <f>IFERROR(IF(A1393="","",VLOOKUP(A1393,CadProd!$A:$B,2,0)),"")</f>
        <v/>
      </c>
      <c r="C1393" t="str">
        <f>IFERROR(IF(A1393="","",VLOOKUP(A1393,CadProd!$A:$C,3,0)),"")</f>
        <v/>
      </c>
      <c r="I1393" s="1" t="str">
        <f>IFERROR(IF(A1393="","",E1393*#REF!),"")</f>
        <v/>
      </c>
    </row>
    <row r="1394" spans="2:9" x14ac:dyDescent="0.3">
      <c r="B1394" t="str">
        <f>IFERROR(IF(A1394="","",VLOOKUP(A1394,CadProd!$A:$B,2,0)),"")</f>
        <v/>
      </c>
      <c r="C1394" t="str">
        <f>IFERROR(IF(A1394="","",VLOOKUP(A1394,CadProd!$A:$C,3,0)),"")</f>
        <v/>
      </c>
      <c r="I1394" s="1" t="str">
        <f>IFERROR(IF(A1394="","",E1394*#REF!),"")</f>
        <v/>
      </c>
    </row>
    <row r="1395" spans="2:9" x14ac:dyDescent="0.3">
      <c r="B1395" t="str">
        <f>IFERROR(IF(A1395="","",VLOOKUP(A1395,CadProd!$A:$B,2,0)),"")</f>
        <v/>
      </c>
      <c r="C1395" t="str">
        <f>IFERROR(IF(A1395="","",VLOOKUP(A1395,CadProd!$A:$C,3,0)),"")</f>
        <v/>
      </c>
      <c r="I1395" s="1" t="str">
        <f>IFERROR(IF(A1395="","",E1395*#REF!),"")</f>
        <v/>
      </c>
    </row>
    <row r="1396" spans="2:9" x14ac:dyDescent="0.3">
      <c r="B1396" t="str">
        <f>IFERROR(IF(A1396="","",VLOOKUP(A1396,CadProd!$A:$B,2,0)),"")</f>
        <v/>
      </c>
      <c r="C1396" t="str">
        <f>IFERROR(IF(A1396="","",VLOOKUP(A1396,CadProd!$A:$C,3,0)),"")</f>
        <v/>
      </c>
      <c r="I1396" s="1" t="str">
        <f>IFERROR(IF(A1396="","",E1396*#REF!),"")</f>
        <v/>
      </c>
    </row>
    <row r="1397" spans="2:9" x14ac:dyDescent="0.3">
      <c r="B1397" t="str">
        <f>IFERROR(IF(A1397="","",VLOOKUP(A1397,CadProd!$A:$B,2,0)),"")</f>
        <v/>
      </c>
      <c r="C1397" t="str">
        <f>IFERROR(IF(A1397="","",VLOOKUP(A1397,CadProd!$A:$C,3,0)),"")</f>
        <v/>
      </c>
      <c r="I1397" s="1" t="str">
        <f>IFERROR(IF(A1397="","",E1397*#REF!),"")</f>
        <v/>
      </c>
    </row>
    <row r="1398" spans="2:9" x14ac:dyDescent="0.3">
      <c r="B1398" t="str">
        <f>IFERROR(IF(A1398="","",VLOOKUP(A1398,CadProd!$A:$B,2,0)),"")</f>
        <v/>
      </c>
      <c r="C1398" t="str">
        <f>IFERROR(IF(A1398="","",VLOOKUP(A1398,CadProd!$A:$C,3,0)),"")</f>
        <v/>
      </c>
      <c r="I1398" s="1" t="str">
        <f>IFERROR(IF(A1398="","",E1398*#REF!),"")</f>
        <v/>
      </c>
    </row>
    <row r="1399" spans="2:9" x14ac:dyDescent="0.3">
      <c r="B1399" t="str">
        <f>IFERROR(IF(A1399="","",VLOOKUP(A1399,CadProd!$A:$B,2,0)),"")</f>
        <v/>
      </c>
      <c r="C1399" t="str">
        <f>IFERROR(IF(A1399="","",VLOOKUP(A1399,CadProd!$A:$C,3,0)),"")</f>
        <v/>
      </c>
      <c r="I1399" s="1" t="str">
        <f>IFERROR(IF(A1399="","",E1399*#REF!),"")</f>
        <v/>
      </c>
    </row>
    <row r="1400" spans="2:9" x14ac:dyDescent="0.3">
      <c r="B1400" t="str">
        <f>IFERROR(IF(A1400="","",VLOOKUP(A1400,CadProd!$A:$B,2,0)),"")</f>
        <v/>
      </c>
      <c r="C1400" t="str">
        <f>IFERROR(IF(A1400="","",VLOOKUP(A1400,CadProd!$A:$C,3,0)),"")</f>
        <v/>
      </c>
      <c r="I1400" s="1" t="str">
        <f>IFERROR(IF(A1400="","",E1400*#REF!),"")</f>
        <v/>
      </c>
    </row>
    <row r="1401" spans="2:9" x14ac:dyDescent="0.3">
      <c r="B1401" t="str">
        <f>IFERROR(IF(A1401="","",VLOOKUP(A1401,CadProd!$A:$B,2,0)),"")</f>
        <v/>
      </c>
      <c r="C1401" t="str">
        <f>IFERROR(IF(A1401="","",VLOOKUP(A1401,CadProd!$A:$C,3,0)),"")</f>
        <v/>
      </c>
      <c r="I1401" s="1" t="str">
        <f>IFERROR(IF(A1401="","",E1401*#REF!),"")</f>
        <v/>
      </c>
    </row>
    <row r="1402" spans="2:9" x14ac:dyDescent="0.3">
      <c r="B1402" t="str">
        <f>IFERROR(IF(A1402="","",VLOOKUP(A1402,CadProd!$A:$B,2,0)),"")</f>
        <v/>
      </c>
      <c r="C1402" t="str">
        <f>IFERROR(IF(A1402="","",VLOOKUP(A1402,CadProd!$A:$C,3,0)),"")</f>
        <v/>
      </c>
      <c r="I1402" s="1" t="str">
        <f>IFERROR(IF(A1402="","",E1402*#REF!),"")</f>
        <v/>
      </c>
    </row>
    <row r="1403" spans="2:9" x14ac:dyDescent="0.3">
      <c r="B1403" t="str">
        <f>IFERROR(IF(A1403="","",VLOOKUP(A1403,CadProd!$A:$B,2,0)),"")</f>
        <v/>
      </c>
      <c r="C1403" t="str">
        <f>IFERROR(IF(A1403="","",VLOOKUP(A1403,CadProd!$A:$C,3,0)),"")</f>
        <v/>
      </c>
      <c r="I1403" s="1" t="str">
        <f>IFERROR(IF(A1403="","",E1403*#REF!),"")</f>
        <v/>
      </c>
    </row>
    <row r="1404" spans="2:9" x14ac:dyDescent="0.3">
      <c r="B1404" t="str">
        <f>IFERROR(IF(A1404="","",VLOOKUP(A1404,CadProd!$A:$B,2,0)),"")</f>
        <v/>
      </c>
      <c r="C1404" t="str">
        <f>IFERROR(IF(A1404="","",VLOOKUP(A1404,CadProd!$A:$C,3,0)),"")</f>
        <v/>
      </c>
      <c r="I1404" s="1" t="str">
        <f>IFERROR(IF(A1404="","",E1404*#REF!),"")</f>
        <v/>
      </c>
    </row>
    <row r="1405" spans="2:9" x14ac:dyDescent="0.3">
      <c r="B1405" t="str">
        <f>IFERROR(IF(A1405="","",VLOOKUP(A1405,CadProd!$A:$B,2,0)),"")</f>
        <v/>
      </c>
      <c r="C1405" t="str">
        <f>IFERROR(IF(A1405="","",VLOOKUP(A1405,CadProd!$A:$C,3,0)),"")</f>
        <v/>
      </c>
      <c r="I1405" s="1" t="str">
        <f>IFERROR(IF(A1405="","",E1405*#REF!),"")</f>
        <v/>
      </c>
    </row>
    <row r="1406" spans="2:9" x14ac:dyDescent="0.3">
      <c r="B1406" t="str">
        <f>IFERROR(IF(A1406="","",VLOOKUP(A1406,CadProd!$A:$B,2,0)),"")</f>
        <v/>
      </c>
      <c r="C1406" t="str">
        <f>IFERROR(IF(A1406="","",VLOOKUP(A1406,CadProd!$A:$C,3,0)),"")</f>
        <v/>
      </c>
      <c r="I1406" s="1" t="str">
        <f>IFERROR(IF(A1406="","",E1406*#REF!),"")</f>
        <v/>
      </c>
    </row>
    <row r="1407" spans="2:9" x14ac:dyDescent="0.3">
      <c r="B1407" t="str">
        <f>IFERROR(IF(A1407="","",VLOOKUP(A1407,CadProd!$A:$B,2,0)),"")</f>
        <v/>
      </c>
      <c r="C1407" t="str">
        <f>IFERROR(IF(A1407="","",VLOOKUP(A1407,CadProd!$A:$C,3,0)),"")</f>
        <v/>
      </c>
      <c r="I1407" s="1" t="str">
        <f>IFERROR(IF(A1407="","",E1407*#REF!),"")</f>
        <v/>
      </c>
    </row>
    <row r="1408" spans="2:9" x14ac:dyDescent="0.3">
      <c r="B1408" t="str">
        <f>IFERROR(IF(A1408="","",VLOOKUP(A1408,CadProd!$A:$B,2,0)),"")</f>
        <v/>
      </c>
      <c r="C1408" t="str">
        <f>IFERROR(IF(A1408="","",VLOOKUP(A1408,CadProd!$A:$C,3,0)),"")</f>
        <v/>
      </c>
      <c r="I1408" s="1" t="str">
        <f>IFERROR(IF(A1408="","",E1408*#REF!),"")</f>
        <v/>
      </c>
    </row>
    <row r="1409" spans="2:9" x14ac:dyDescent="0.3">
      <c r="B1409" t="str">
        <f>IFERROR(IF(A1409="","",VLOOKUP(A1409,CadProd!$A:$B,2,0)),"")</f>
        <v/>
      </c>
      <c r="C1409" t="str">
        <f>IFERROR(IF(A1409="","",VLOOKUP(A1409,CadProd!$A:$C,3,0)),"")</f>
        <v/>
      </c>
      <c r="I1409" s="1" t="str">
        <f>IFERROR(IF(A1409="","",E1409*#REF!),"")</f>
        <v/>
      </c>
    </row>
    <row r="1410" spans="2:9" x14ac:dyDescent="0.3">
      <c r="B1410" t="str">
        <f>IFERROR(IF(A1410="","",VLOOKUP(A1410,CadProd!$A:$B,2,0)),"")</f>
        <v/>
      </c>
      <c r="C1410" t="str">
        <f>IFERROR(IF(A1410="","",VLOOKUP(A1410,CadProd!$A:$C,3,0)),"")</f>
        <v/>
      </c>
      <c r="I1410" s="1" t="str">
        <f>IFERROR(IF(A1410="","",E1410*#REF!),"")</f>
        <v/>
      </c>
    </row>
    <row r="1411" spans="2:9" x14ac:dyDescent="0.3">
      <c r="B1411" t="str">
        <f>IFERROR(IF(A1411="","",VLOOKUP(A1411,CadProd!$A:$B,2,0)),"")</f>
        <v/>
      </c>
      <c r="C1411" t="str">
        <f>IFERROR(IF(A1411="","",VLOOKUP(A1411,CadProd!$A:$C,3,0)),"")</f>
        <v/>
      </c>
      <c r="I1411" s="1" t="str">
        <f>IFERROR(IF(A1411="","",E1411*#REF!),"")</f>
        <v/>
      </c>
    </row>
    <row r="1412" spans="2:9" x14ac:dyDescent="0.3">
      <c r="B1412" t="str">
        <f>IFERROR(IF(A1412="","",VLOOKUP(A1412,CadProd!$A:$B,2,0)),"")</f>
        <v/>
      </c>
      <c r="C1412" t="str">
        <f>IFERROR(IF(A1412="","",VLOOKUP(A1412,CadProd!$A:$C,3,0)),"")</f>
        <v/>
      </c>
      <c r="I1412" s="1" t="str">
        <f>IFERROR(IF(A1412="","",E1412*#REF!),"")</f>
        <v/>
      </c>
    </row>
    <row r="1413" spans="2:9" x14ac:dyDescent="0.3">
      <c r="B1413" t="str">
        <f>IFERROR(IF(A1413="","",VLOOKUP(A1413,CadProd!$A:$B,2,0)),"")</f>
        <v/>
      </c>
      <c r="C1413" t="str">
        <f>IFERROR(IF(A1413="","",VLOOKUP(A1413,CadProd!$A:$C,3,0)),"")</f>
        <v/>
      </c>
      <c r="I1413" s="1" t="str">
        <f>IFERROR(IF(A1413="","",E1413*#REF!),"")</f>
        <v/>
      </c>
    </row>
    <row r="1414" spans="2:9" x14ac:dyDescent="0.3">
      <c r="B1414" t="str">
        <f>IFERROR(IF(A1414="","",VLOOKUP(A1414,CadProd!$A:$B,2,0)),"")</f>
        <v/>
      </c>
      <c r="C1414" t="str">
        <f>IFERROR(IF(A1414="","",VLOOKUP(A1414,CadProd!$A:$C,3,0)),"")</f>
        <v/>
      </c>
      <c r="I1414" s="1" t="str">
        <f>IFERROR(IF(A1414="","",E1414*#REF!),"")</f>
        <v/>
      </c>
    </row>
    <row r="1415" spans="2:9" x14ac:dyDescent="0.3">
      <c r="B1415" t="str">
        <f>IFERROR(IF(A1415="","",VLOOKUP(A1415,CadProd!$A:$B,2,0)),"")</f>
        <v/>
      </c>
      <c r="C1415" t="str">
        <f>IFERROR(IF(A1415="","",VLOOKUP(A1415,CadProd!$A:$C,3,0)),"")</f>
        <v/>
      </c>
      <c r="I1415" s="1" t="str">
        <f>IFERROR(IF(A1415="","",E1415*#REF!),"")</f>
        <v/>
      </c>
    </row>
    <row r="1416" spans="2:9" x14ac:dyDescent="0.3">
      <c r="B1416" t="str">
        <f>IFERROR(IF(A1416="","",VLOOKUP(A1416,CadProd!$A:$B,2,0)),"")</f>
        <v/>
      </c>
      <c r="C1416" t="str">
        <f>IFERROR(IF(A1416="","",VLOOKUP(A1416,CadProd!$A:$C,3,0)),"")</f>
        <v/>
      </c>
      <c r="I1416" s="1" t="str">
        <f>IFERROR(IF(A1416="","",E1416*#REF!),"")</f>
        <v/>
      </c>
    </row>
    <row r="1417" spans="2:9" x14ac:dyDescent="0.3">
      <c r="B1417" t="str">
        <f>IFERROR(IF(A1417="","",VLOOKUP(A1417,CadProd!$A:$B,2,0)),"")</f>
        <v/>
      </c>
      <c r="C1417" t="str">
        <f>IFERROR(IF(A1417="","",VLOOKUP(A1417,CadProd!$A:$C,3,0)),"")</f>
        <v/>
      </c>
      <c r="I1417" s="1" t="str">
        <f>IFERROR(IF(A1417="","",E1417*#REF!),"")</f>
        <v/>
      </c>
    </row>
    <row r="1418" spans="2:9" x14ac:dyDescent="0.3">
      <c r="B1418" t="str">
        <f>IFERROR(IF(A1418="","",VLOOKUP(A1418,CadProd!$A:$B,2,0)),"")</f>
        <v/>
      </c>
      <c r="C1418" t="str">
        <f>IFERROR(IF(A1418="","",VLOOKUP(A1418,CadProd!$A:$C,3,0)),"")</f>
        <v/>
      </c>
      <c r="I1418" s="1" t="str">
        <f>IFERROR(IF(A1418="","",E1418*#REF!),"")</f>
        <v/>
      </c>
    </row>
    <row r="1419" spans="2:9" x14ac:dyDescent="0.3">
      <c r="B1419" t="str">
        <f>IFERROR(IF(A1419="","",VLOOKUP(A1419,CadProd!$A:$B,2,0)),"")</f>
        <v/>
      </c>
      <c r="C1419" t="str">
        <f>IFERROR(IF(A1419="","",VLOOKUP(A1419,CadProd!$A:$C,3,0)),"")</f>
        <v/>
      </c>
      <c r="I1419" s="1" t="str">
        <f>IFERROR(IF(A1419="","",E1419*#REF!),"")</f>
        <v/>
      </c>
    </row>
    <row r="1420" spans="2:9" x14ac:dyDescent="0.3">
      <c r="B1420" t="str">
        <f>IFERROR(IF(A1420="","",VLOOKUP(A1420,CadProd!$A:$B,2,0)),"")</f>
        <v/>
      </c>
      <c r="C1420" t="str">
        <f>IFERROR(IF(A1420="","",VLOOKUP(A1420,CadProd!$A:$C,3,0)),"")</f>
        <v/>
      </c>
      <c r="I1420" s="1" t="str">
        <f>IFERROR(IF(A1420="","",E1420*#REF!),"")</f>
        <v/>
      </c>
    </row>
    <row r="1421" spans="2:9" x14ac:dyDescent="0.3">
      <c r="B1421" t="str">
        <f>IFERROR(IF(A1421="","",VLOOKUP(A1421,CadProd!$A:$B,2,0)),"")</f>
        <v/>
      </c>
      <c r="C1421" t="str">
        <f>IFERROR(IF(A1421="","",VLOOKUP(A1421,CadProd!$A:$C,3,0)),"")</f>
        <v/>
      </c>
      <c r="I1421" s="1" t="str">
        <f>IFERROR(IF(A1421="","",E1421*#REF!),"")</f>
        <v/>
      </c>
    </row>
    <row r="1422" spans="2:9" x14ac:dyDescent="0.3">
      <c r="B1422" t="str">
        <f>IFERROR(IF(A1422="","",VLOOKUP(A1422,CadProd!$A:$B,2,0)),"")</f>
        <v/>
      </c>
      <c r="C1422" t="str">
        <f>IFERROR(IF(A1422="","",VLOOKUP(A1422,CadProd!$A:$C,3,0)),"")</f>
        <v/>
      </c>
      <c r="I1422" s="1" t="str">
        <f>IFERROR(IF(A1422="","",E1422*#REF!),"")</f>
        <v/>
      </c>
    </row>
    <row r="1423" spans="2:9" x14ac:dyDescent="0.3">
      <c r="B1423" t="str">
        <f>IFERROR(IF(A1423="","",VLOOKUP(A1423,CadProd!$A:$B,2,0)),"")</f>
        <v/>
      </c>
      <c r="C1423" t="str">
        <f>IFERROR(IF(A1423="","",VLOOKUP(A1423,CadProd!$A:$C,3,0)),"")</f>
        <v/>
      </c>
      <c r="I1423" s="1" t="str">
        <f>IFERROR(IF(A1423="","",E1423*#REF!),"")</f>
        <v/>
      </c>
    </row>
    <row r="1424" spans="2:9" x14ac:dyDescent="0.3">
      <c r="B1424" t="str">
        <f>IFERROR(IF(A1424="","",VLOOKUP(A1424,CadProd!$A:$B,2,0)),"")</f>
        <v/>
      </c>
      <c r="C1424" t="str">
        <f>IFERROR(IF(A1424="","",VLOOKUP(A1424,CadProd!$A:$C,3,0)),"")</f>
        <v/>
      </c>
      <c r="I1424" s="1" t="str">
        <f>IFERROR(IF(A1424="","",E1424*#REF!),"")</f>
        <v/>
      </c>
    </row>
    <row r="1425" spans="2:9" x14ac:dyDescent="0.3">
      <c r="B1425" t="str">
        <f>IFERROR(IF(A1425="","",VLOOKUP(A1425,CadProd!$A:$B,2,0)),"")</f>
        <v/>
      </c>
      <c r="C1425" t="str">
        <f>IFERROR(IF(A1425="","",VLOOKUP(A1425,CadProd!$A:$C,3,0)),"")</f>
        <v/>
      </c>
      <c r="I1425" s="1" t="str">
        <f>IFERROR(IF(A1425="","",E1425*#REF!),"")</f>
        <v/>
      </c>
    </row>
    <row r="1426" spans="2:9" x14ac:dyDescent="0.3">
      <c r="B1426" t="str">
        <f>IFERROR(IF(A1426="","",VLOOKUP(A1426,CadProd!$A:$B,2,0)),"")</f>
        <v/>
      </c>
      <c r="C1426" t="str">
        <f>IFERROR(IF(A1426="","",VLOOKUP(A1426,CadProd!$A:$C,3,0)),"")</f>
        <v/>
      </c>
      <c r="I1426" s="1" t="str">
        <f>IFERROR(IF(A1426="","",E1426*#REF!),"")</f>
        <v/>
      </c>
    </row>
    <row r="1427" spans="2:9" x14ac:dyDescent="0.3">
      <c r="B1427" t="str">
        <f>IFERROR(IF(A1427="","",VLOOKUP(A1427,CadProd!$A:$B,2,0)),"")</f>
        <v/>
      </c>
      <c r="C1427" t="str">
        <f>IFERROR(IF(A1427="","",VLOOKUP(A1427,CadProd!$A:$C,3,0)),"")</f>
        <v/>
      </c>
      <c r="I1427" s="1" t="str">
        <f>IFERROR(IF(A1427="","",E1427*#REF!),"")</f>
        <v/>
      </c>
    </row>
    <row r="1428" spans="2:9" x14ac:dyDescent="0.3">
      <c r="B1428" t="str">
        <f>IFERROR(IF(A1428="","",VLOOKUP(A1428,CadProd!$A:$B,2,0)),"")</f>
        <v/>
      </c>
      <c r="C1428" t="str">
        <f>IFERROR(IF(A1428="","",VLOOKUP(A1428,CadProd!$A:$C,3,0)),"")</f>
        <v/>
      </c>
      <c r="I1428" s="1" t="str">
        <f>IFERROR(IF(A1428="","",E1428*#REF!),"")</f>
        <v/>
      </c>
    </row>
    <row r="1429" spans="2:9" x14ac:dyDescent="0.3">
      <c r="B1429" t="str">
        <f>IFERROR(IF(A1429="","",VLOOKUP(A1429,CadProd!$A:$B,2,0)),"")</f>
        <v/>
      </c>
      <c r="C1429" t="str">
        <f>IFERROR(IF(A1429="","",VLOOKUP(A1429,CadProd!$A:$C,3,0)),"")</f>
        <v/>
      </c>
      <c r="I1429" s="1" t="str">
        <f>IFERROR(IF(A1429="","",E1429*#REF!),"")</f>
        <v/>
      </c>
    </row>
    <row r="1430" spans="2:9" x14ac:dyDescent="0.3">
      <c r="B1430" t="str">
        <f>IFERROR(IF(A1430="","",VLOOKUP(A1430,CadProd!$A:$B,2,0)),"")</f>
        <v/>
      </c>
      <c r="C1430" t="str">
        <f>IFERROR(IF(A1430="","",VLOOKUP(A1430,CadProd!$A:$C,3,0)),"")</f>
        <v/>
      </c>
      <c r="I1430" s="1" t="str">
        <f>IFERROR(IF(A1430="","",E1430*#REF!),"")</f>
        <v/>
      </c>
    </row>
    <row r="1431" spans="2:9" x14ac:dyDescent="0.3">
      <c r="B1431" t="str">
        <f>IFERROR(IF(A1431="","",VLOOKUP(A1431,CadProd!$A:$B,2,0)),"")</f>
        <v/>
      </c>
      <c r="C1431" t="str">
        <f>IFERROR(IF(A1431="","",VLOOKUP(A1431,CadProd!$A:$C,3,0)),"")</f>
        <v/>
      </c>
      <c r="I1431" s="1" t="str">
        <f>IFERROR(IF(A1431="","",E1431*#REF!),"")</f>
        <v/>
      </c>
    </row>
    <row r="1432" spans="2:9" x14ac:dyDescent="0.3">
      <c r="B1432" t="str">
        <f>IFERROR(IF(A1432="","",VLOOKUP(A1432,CadProd!$A:$B,2,0)),"")</f>
        <v/>
      </c>
      <c r="C1432" t="str">
        <f>IFERROR(IF(A1432="","",VLOOKUP(A1432,CadProd!$A:$C,3,0)),"")</f>
        <v/>
      </c>
      <c r="I1432" s="1" t="str">
        <f>IFERROR(IF(A1432="","",E1432*#REF!),"")</f>
        <v/>
      </c>
    </row>
    <row r="1433" spans="2:9" x14ac:dyDescent="0.3">
      <c r="B1433" t="str">
        <f>IFERROR(IF(A1433="","",VLOOKUP(A1433,CadProd!$A:$B,2,0)),"")</f>
        <v/>
      </c>
      <c r="C1433" t="str">
        <f>IFERROR(IF(A1433="","",VLOOKUP(A1433,CadProd!$A:$C,3,0)),"")</f>
        <v/>
      </c>
      <c r="I1433" s="1" t="str">
        <f>IFERROR(IF(A1433="","",E1433*#REF!),"")</f>
        <v/>
      </c>
    </row>
    <row r="1434" spans="2:9" x14ac:dyDescent="0.3">
      <c r="B1434" t="str">
        <f>IFERROR(IF(A1434="","",VLOOKUP(A1434,CadProd!$A:$B,2,0)),"")</f>
        <v/>
      </c>
      <c r="C1434" t="str">
        <f>IFERROR(IF(A1434="","",VLOOKUP(A1434,CadProd!$A:$C,3,0)),"")</f>
        <v/>
      </c>
      <c r="I1434" s="1" t="str">
        <f>IFERROR(IF(A1434="","",E1434*#REF!),"")</f>
        <v/>
      </c>
    </row>
    <row r="1435" spans="2:9" x14ac:dyDescent="0.3">
      <c r="B1435" t="str">
        <f>IFERROR(IF(A1435="","",VLOOKUP(A1435,CadProd!$A:$B,2,0)),"")</f>
        <v/>
      </c>
      <c r="C1435" t="str">
        <f>IFERROR(IF(A1435="","",VLOOKUP(A1435,CadProd!$A:$C,3,0)),"")</f>
        <v/>
      </c>
      <c r="I1435" s="1" t="str">
        <f>IFERROR(IF(A1435="","",E1435*#REF!),"")</f>
        <v/>
      </c>
    </row>
    <row r="1436" spans="2:9" x14ac:dyDescent="0.3">
      <c r="B1436" t="str">
        <f>IFERROR(IF(A1436="","",VLOOKUP(A1436,CadProd!$A:$B,2,0)),"")</f>
        <v/>
      </c>
      <c r="C1436" t="str">
        <f>IFERROR(IF(A1436="","",VLOOKUP(A1436,CadProd!$A:$C,3,0)),"")</f>
        <v/>
      </c>
      <c r="I1436" s="1" t="str">
        <f>IFERROR(IF(A1436="","",E1436*#REF!),"")</f>
        <v/>
      </c>
    </row>
    <row r="1437" spans="2:9" x14ac:dyDescent="0.3">
      <c r="B1437" t="str">
        <f>IFERROR(IF(A1437="","",VLOOKUP(A1437,CadProd!$A:$B,2,0)),"")</f>
        <v/>
      </c>
      <c r="C1437" t="str">
        <f>IFERROR(IF(A1437="","",VLOOKUP(A1437,CadProd!$A:$C,3,0)),"")</f>
        <v/>
      </c>
      <c r="I1437" s="1" t="str">
        <f>IFERROR(IF(A1437="","",E1437*#REF!),"")</f>
        <v/>
      </c>
    </row>
    <row r="1438" spans="2:9" x14ac:dyDescent="0.3">
      <c r="B1438" t="str">
        <f>IFERROR(IF(A1438="","",VLOOKUP(A1438,CadProd!$A:$B,2,0)),"")</f>
        <v/>
      </c>
      <c r="C1438" t="str">
        <f>IFERROR(IF(A1438="","",VLOOKUP(A1438,CadProd!$A:$C,3,0)),"")</f>
        <v/>
      </c>
      <c r="I1438" s="1" t="str">
        <f>IFERROR(IF(A1438="","",E1438*#REF!),"")</f>
        <v/>
      </c>
    </row>
    <row r="1439" spans="2:9" x14ac:dyDescent="0.3">
      <c r="B1439" t="str">
        <f>IFERROR(IF(A1439="","",VLOOKUP(A1439,CadProd!$A:$B,2,0)),"")</f>
        <v/>
      </c>
      <c r="C1439" t="str">
        <f>IFERROR(IF(A1439="","",VLOOKUP(A1439,CadProd!$A:$C,3,0)),"")</f>
        <v/>
      </c>
      <c r="I1439" s="1" t="str">
        <f>IFERROR(IF(A1439="","",E1439*#REF!),"")</f>
        <v/>
      </c>
    </row>
    <row r="1440" spans="2:9" x14ac:dyDescent="0.3">
      <c r="B1440" t="str">
        <f>IFERROR(IF(A1440="","",VLOOKUP(A1440,CadProd!$A:$B,2,0)),"")</f>
        <v/>
      </c>
      <c r="C1440" t="str">
        <f>IFERROR(IF(A1440="","",VLOOKUP(A1440,CadProd!$A:$C,3,0)),"")</f>
        <v/>
      </c>
      <c r="I1440" s="1" t="str">
        <f>IFERROR(IF(A1440="","",E1440*#REF!),"")</f>
        <v/>
      </c>
    </row>
    <row r="1441" spans="2:9" x14ac:dyDescent="0.3">
      <c r="B1441" t="str">
        <f>IFERROR(IF(A1441="","",VLOOKUP(A1441,CadProd!$A:$B,2,0)),"")</f>
        <v/>
      </c>
      <c r="C1441" t="str">
        <f>IFERROR(IF(A1441="","",VLOOKUP(A1441,CadProd!$A:$C,3,0)),"")</f>
        <v/>
      </c>
      <c r="I1441" s="1" t="str">
        <f>IFERROR(IF(A1441="","",E1441*#REF!),"")</f>
        <v/>
      </c>
    </row>
    <row r="1442" spans="2:9" x14ac:dyDescent="0.3">
      <c r="B1442" t="str">
        <f>IFERROR(IF(A1442="","",VLOOKUP(A1442,CadProd!$A:$B,2,0)),"")</f>
        <v/>
      </c>
      <c r="C1442" t="str">
        <f>IFERROR(IF(A1442="","",VLOOKUP(A1442,CadProd!$A:$C,3,0)),"")</f>
        <v/>
      </c>
      <c r="I1442" s="1" t="str">
        <f>IFERROR(IF(A1442="","",E1442*#REF!),"")</f>
        <v/>
      </c>
    </row>
    <row r="1443" spans="2:9" x14ac:dyDescent="0.3">
      <c r="B1443" t="str">
        <f>IFERROR(IF(A1443="","",VLOOKUP(A1443,CadProd!$A:$B,2,0)),"")</f>
        <v/>
      </c>
      <c r="C1443" t="str">
        <f>IFERROR(IF(A1443="","",VLOOKUP(A1443,CadProd!$A:$C,3,0)),"")</f>
        <v/>
      </c>
      <c r="I1443" s="1" t="str">
        <f>IFERROR(IF(A1443="","",E1443*#REF!),"")</f>
        <v/>
      </c>
    </row>
    <row r="1444" spans="2:9" x14ac:dyDescent="0.3">
      <c r="B1444" t="str">
        <f>IFERROR(IF(A1444="","",VLOOKUP(A1444,CadProd!$A:$B,2,0)),"")</f>
        <v/>
      </c>
      <c r="C1444" t="str">
        <f>IFERROR(IF(A1444="","",VLOOKUP(A1444,CadProd!$A:$C,3,0)),"")</f>
        <v/>
      </c>
      <c r="I1444" s="1" t="str">
        <f>IFERROR(IF(A1444="","",E1444*#REF!),"")</f>
        <v/>
      </c>
    </row>
    <row r="1445" spans="2:9" x14ac:dyDescent="0.3">
      <c r="B1445" t="str">
        <f>IFERROR(IF(A1445="","",VLOOKUP(A1445,CadProd!$A:$B,2,0)),"")</f>
        <v/>
      </c>
      <c r="C1445" t="str">
        <f>IFERROR(IF(A1445="","",VLOOKUP(A1445,CadProd!$A:$C,3,0)),"")</f>
        <v/>
      </c>
      <c r="I1445" s="1" t="str">
        <f>IFERROR(IF(A1445="","",E1445*#REF!),"")</f>
        <v/>
      </c>
    </row>
    <row r="1446" spans="2:9" x14ac:dyDescent="0.3">
      <c r="B1446" t="str">
        <f>IFERROR(IF(A1446="","",VLOOKUP(A1446,CadProd!$A:$B,2,0)),"")</f>
        <v/>
      </c>
      <c r="C1446" t="str">
        <f>IFERROR(IF(A1446="","",VLOOKUP(A1446,CadProd!$A:$C,3,0)),"")</f>
        <v/>
      </c>
      <c r="I1446" s="1" t="str">
        <f>IFERROR(IF(A1446="","",E1446*#REF!),"")</f>
        <v/>
      </c>
    </row>
    <row r="1447" spans="2:9" x14ac:dyDescent="0.3">
      <c r="B1447" t="str">
        <f>IFERROR(IF(A1447="","",VLOOKUP(A1447,CadProd!$A:$B,2,0)),"")</f>
        <v/>
      </c>
      <c r="C1447" t="str">
        <f>IFERROR(IF(A1447="","",VLOOKUP(A1447,CadProd!$A:$C,3,0)),"")</f>
        <v/>
      </c>
      <c r="I1447" s="1" t="str">
        <f>IFERROR(IF(A1447="","",E1447*#REF!),"")</f>
        <v/>
      </c>
    </row>
    <row r="1448" spans="2:9" x14ac:dyDescent="0.3">
      <c r="B1448" t="str">
        <f>IFERROR(IF(A1448="","",VLOOKUP(A1448,CadProd!$A:$B,2,0)),"")</f>
        <v/>
      </c>
      <c r="C1448" t="str">
        <f>IFERROR(IF(A1448="","",VLOOKUP(A1448,CadProd!$A:$C,3,0)),"")</f>
        <v/>
      </c>
      <c r="I1448" s="1" t="str">
        <f>IFERROR(IF(A1448="","",E1448*#REF!),"")</f>
        <v/>
      </c>
    </row>
    <row r="1449" spans="2:9" x14ac:dyDescent="0.3">
      <c r="B1449" t="str">
        <f>IFERROR(IF(A1449="","",VLOOKUP(A1449,CadProd!$A:$B,2,0)),"")</f>
        <v/>
      </c>
      <c r="C1449" t="str">
        <f>IFERROR(IF(A1449="","",VLOOKUP(A1449,CadProd!$A:$C,3,0)),"")</f>
        <v/>
      </c>
      <c r="I1449" s="1" t="str">
        <f>IFERROR(IF(A1449="","",E1449*#REF!),"")</f>
        <v/>
      </c>
    </row>
    <row r="1450" spans="2:9" x14ac:dyDescent="0.3">
      <c r="B1450" t="str">
        <f>IFERROR(IF(A1450="","",VLOOKUP(A1450,CadProd!$A:$B,2,0)),"")</f>
        <v/>
      </c>
      <c r="C1450" t="str">
        <f>IFERROR(IF(A1450="","",VLOOKUP(A1450,CadProd!$A:$C,3,0)),"")</f>
        <v/>
      </c>
      <c r="I1450" s="1" t="str">
        <f>IFERROR(IF(A1450="","",E1450*#REF!),"")</f>
        <v/>
      </c>
    </row>
    <row r="1451" spans="2:9" x14ac:dyDescent="0.3">
      <c r="B1451" t="str">
        <f>IFERROR(IF(A1451="","",VLOOKUP(A1451,CadProd!$A:$B,2,0)),"")</f>
        <v/>
      </c>
      <c r="C1451" t="str">
        <f>IFERROR(IF(A1451="","",VLOOKUP(A1451,CadProd!$A:$C,3,0)),"")</f>
        <v/>
      </c>
      <c r="I1451" s="1" t="str">
        <f>IFERROR(IF(A1451="","",E1451*#REF!),"")</f>
        <v/>
      </c>
    </row>
    <row r="1452" spans="2:9" x14ac:dyDescent="0.3">
      <c r="B1452" t="str">
        <f>IFERROR(IF(A1452="","",VLOOKUP(A1452,CadProd!$A:$B,2,0)),"")</f>
        <v/>
      </c>
      <c r="C1452" t="str">
        <f>IFERROR(IF(A1452="","",VLOOKUP(A1452,CadProd!$A:$C,3,0)),"")</f>
        <v/>
      </c>
      <c r="I1452" s="1" t="str">
        <f>IFERROR(IF(A1452="","",E1452*#REF!),"")</f>
        <v/>
      </c>
    </row>
    <row r="1453" spans="2:9" x14ac:dyDescent="0.3">
      <c r="B1453" t="str">
        <f>IFERROR(IF(A1453="","",VLOOKUP(A1453,CadProd!$A:$B,2,0)),"")</f>
        <v/>
      </c>
      <c r="C1453" t="str">
        <f>IFERROR(IF(A1453="","",VLOOKUP(A1453,CadProd!$A:$C,3,0)),"")</f>
        <v/>
      </c>
      <c r="I1453" s="1" t="str">
        <f>IFERROR(IF(A1453="","",E1453*#REF!),"")</f>
        <v/>
      </c>
    </row>
    <row r="1454" spans="2:9" x14ac:dyDescent="0.3">
      <c r="B1454" t="str">
        <f>IFERROR(IF(A1454="","",VLOOKUP(A1454,CadProd!$A:$B,2,0)),"")</f>
        <v/>
      </c>
      <c r="C1454" t="str">
        <f>IFERROR(IF(A1454="","",VLOOKUP(A1454,CadProd!$A:$C,3,0)),"")</f>
        <v/>
      </c>
      <c r="I1454" s="1" t="str">
        <f>IFERROR(IF(A1454="","",E1454*#REF!),"")</f>
        <v/>
      </c>
    </row>
    <row r="1455" spans="2:9" x14ac:dyDescent="0.3">
      <c r="B1455" t="str">
        <f>IFERROR(IF(A1455="","",VLOOKUP(A1455,CadProd!$A:$B,2,0)),"")</f>
        <v/>
      </c>
      <c r="C1455" t="str">
        <f>IFERROR(IF(A1455="","",VLOOKUP(A1455,CadProd!$A:$C,3,0)),"")</f>
        <v/>
      </c>
      <c r="I1455" s="1" t="str">
        <f>IFERROR(IF(A1455="","",E1455*#REF!),"")</f>
        <v/>
      </c>
    </row>
    <row r="1456" spans="2:9" x14ac:dyDescent="0.3">
      <c r="B1456" t="str">
        <f>IFERROR(IF(A1456="","",VLOOKUP(A1456,CadProd!$A:$B,2,0)),"")</f>
        <v/>
      </c>
      <c r="C1456" t="str">
        <f>IFERROR(IF(A1456="","",VLOOKUP(A1456,CadProd!$A:$C,3,0)),"")</f>
        <v/>
      </c>
      <c r="I1456" s="1" t="str">
        <f>IFERROR(IF(A1456="","",E1456*#REF!),"")</f>
        <v/>
      </c>
    </row>
    <row r="1457" spans="2:9" x14ac:dyDescent="0.3">
      <c r="B1457" t="str">
        <f>IFERROR(IF(A1457="","",VLOOKUP(A1457,CadProd!$A:$B,2,0)),"")</f>
        <v/>
      </c>
      <c r="C1457" t="str">
        <f>IFERROR(IF(A1457="","",VLOOKUP(A1457,CadProd!$A:$C,3,0)),"")</f>
        <v/>
      </c>
      <c r="I1457" s="1" t="str">
        <f>IFERROR(IF(A1457="","",E1457*#REF!),"")</f>
        <v/>
      </c>
    </row>
    <row r="1458" spans="2:9" x14ac:dyDescent="0.3">
      <c r="B1458" t="str">
        <f>IFERROR(IF(A1458="","",VLOOKUP(A1458,CadProd!$A:$B,2,0)),"")</f>
        <v/>
      </c>
      <c r="C1458" t="str">
        <f>IFERROR(IF(A1458="","",VLOOKUP(A1458,CadProd!$A:$C,3,0)),"")</f>
        <v/>
      </c>
      <c r="I1458" s="1" t="str">
        <f>IFERROR(IF(A1458="","",E1458*#REF!),"")</f>
        <v/>
      </c>
    </row>
    <row r="1459" spans="2:9" x14ac:dyDescent="0.3">
      <c r="B1459" t="str">
        <f>IFERROR(IF(A1459="","",VLOOKUP(A1459,CadProd!$A:$B,2,0)),"")</f>
        <v/>
      </c>
      <c r="C1459" t="str">
        <f>IFERROR(IF(A1459="","",VLOOKUP(A1459,CadProd!$A:$C,3,0)),"")</f>
        <v/>
      </c>
      <c r="I1459" s="1" t="str">
        <f>IFERROR(IF(A1459="","",E1459*#REF!),"")</f>
        <v/>
      </c>
    </row>
    <row r="1460" spans="2:9" x14ac:dyDescent="0.3">
      <c r="B1460" t="str">
        <f>IFERROR(IF(A1460="","",VLOOKUP(A1460,CadProd!$A:$B,2,0)),"")</f>
        <v/>
      </c>
      <c r="C1460" t="str">
        <f>IFERROR(IF(A1460="","",VLOOKUP(A1460,CadProd!$A:$C,3,0)),"")</f>
        <v/>
      </c>
      <c r="I1460" s="1" t="str">
        <f>IFERROR(IF(A1460="","",E1460*#REF!),"")</f>
        <v/>
      </c>
    </row>
    <row r="1461" spans="2:9" x14ac:dyDescent="0.3">
      <c r="B1461" t="str">
        <f>IFERROR(IF(A1461="","",VLOOKUP(A1461,CadProd!$A:$B,2,0)),"")</f>
        <v/>
      </c>
      <c r="C1461" t="str">
        <f>IFERROR(IF(A1461="","",VLOOKUP(A1461,CadProd!$A:$C,3,0)),"")</f>
        <v/>
      </c>
      <c r="I1461" s="1" t="str">
        <f>IFERROR(IF(A1461="","",E1461*#REF!),"")</f>
        <v/>
      </c>
    </row>
    <row r="1462" spans="2:9" x14ac:dyDescent="0.3">
      <c r="B1462" t="str">
        <f>IFERROR(IF(A1462="","",VLOOKUP(A1462,CadProd!$A:$B,2,0)),"")</f>
        <v/>
      </c>
      <c r="C1462" t="str">
        <f>IFERROR(IF(A1462="","",VLOOKUP(A1462,CadProd!$A:$C,3,0)),"")</f>
        <v/>
      </c>
      <c r="I1462" s="1" t="str">
        <f>IFERROR(IF(A1462="","",E1462*#REF!),"")</f>
        <v/>
      </c>
    </row>
    <row r="1463" spans="2:9" x14ac:dyDescent="0.3">
      <c r="B1463" t="str">
        <f>IFERROR(IF(A1463="","",VLOOKUP(A1463,CadProd!$A:$B,2,0)),"")</f>
        <v/>
      </c>
      <c r="C1463" t="str">
        <f>IFERROR(IF(A1463="","",VLOOKUP(A1463,CadProd!$A:$C,3,0)),"")</f>
        <v/>
      </c>
      <c r="I1463" s="1" t="str">
        <f>IFERROR(IF(A1463="","",E1463*#REF!),"")</f>
        <v/>
      </c>
    </row>
    <row r="1464" spans="2:9" x14ac:dyDescent="0.3">
      <c r="B1464" t="str">
        <f>IFERROR(IF(A1464="","",VLOOKUP(A1464,CadProd!$A:$B,2,0)),"")</f>
        <v/>
      </c>
      <c r="C1464" t="str">
        <f>IFERROR(IF(A1464="","",VLOOKUP(A1464,CadProd!$A:$C,3,0)),"")</f>
        <v/>
      </c>
      <c r="I1464" s="1" t="str">
        <f>IFERROR(IF(A1464="","",E1464*#REF!),"")</f>
        <v/>
      </c>
    </row>
    <row r="1465" spans="2:9" x14ac:dyDescent="0.3">
      <c r="B1465" t="str">
        <f>IFERROR(IF(A1465="","",VLOOKUP(A1465,CadProd!$A:$B,2,0)),"")</f>
        <v/>
      </c>
      <c r="C1465" t="str">
        <f>IFERROR(IF(A1465="","",VLOOKUP(A1465,CadProd!$A:$C,3,0)),"")</f>
        <v/>
      </c>
      <c r="I1465" s="1" t="str">
        <f>IFERROR(IF(A1465="","",E1465*#REF!),"")</f>
        <v/>
      </c>
    </row>
    <row r="1466" spans="2:9" x14ac:dyDescent="0.3">
      <c r="B1466" t="str">
        <f>IFERROR(IF(A1466="","",VLOOKUP(A1466,CadProd!$A:$B,2,0)),"")</f>
        <v/>
      </c>
      <c r="C1466" t="str">
        <f>IFERROR(IF(A1466="","",VLOOKUP(A1466,CadProd!$A:$C,3,0)),"")</f>
        <v/>
      </c>
      <c r="I1466" s="1" t="str">
        <f>IFERROR(IF(A1466="","",E1466*#REF!),"")</f>
        <v/>
      </c>
    </row>
    <row r="1467" spans="2:9" x14ac:dyDescent="0.3">
      <c r="B1467" t="str">
        <f>IFERROR(IF(A1467="","",VLOOKUP(A1467,CadProd!$A:$B,2,0)),"")</f>
        <v/>
      </c>
      <c r="C1467" t="str">
        <f>IFERROR(IF(A1467="","",VLOOKUP(A1467,CadProd!$A:$C,3,0)),"")</f>
        <v/>
      </c>
      <c r="I1467" s="1" t="str">
        <f>IFERROR(IF(A1467="","",E1467*#REF!),"")</f>
        <v/>
      </c>
    </row>
    <row r="1468" spans="2:9" x14ac:dyDescent="0.3">
      <c r="B1468" t="str">
        <f>IFERROR(IF(A1468="","",VLOOKUP(A1468,CadProd!$A:$B,2,0)),"")</f>
        <v/>
      </c>
      <c r="C1468" t="str">
        <f>IFERROR(IF(A1468="","",VLOOKUP(A1468,CadProd!$A:$C,3,0)),"")</f>
        <v/>
      </c>
      <c r="I1468" s="1" t="str">
        <f>IFERROR(IF(A1468="","",E1468*#REF!),"")</f>
        <v/>
      </c>
    </row>
    <row r="1469" spans="2:9" x14ac:dyDescent="0.3">
      <c r="B1469" t="str">
        <f>IFERROR(IF(A1469="","",VLOOKUP(A1469,CadProd!$A:$B,2,0)),"")</f>
        <v/>
      </c>
      <c r="C1469" t="str">
        <f>IFERROR(IF(A1469="","",VLOOKUP(A1469,CadProd!$A:$C,3,0)),"")</f>
        <v/>
      </c>
      <c r="I1469" s="1" t="str">
        <f>IFERROR(IF(A1469="","",E1469*#REF!),"")</f>
        <v/>
      </c>
    </row>
    <row r="1470" spans="2:9" x14ac:dyDescent="0.3">
      <c r="B1470" t="str">
        <f>IFERROR(IF(A1470="","",VLOOKUP(A1470,CadProd!$A:$B,2,0)),"")</f>
        <v/>
      </c>
      <c r="C1470" t="str">
        <f>IFERROR(IF(A1470="","",VLOOKUP(A1470,CadProd!$A:$C,3,0)),"")</f>
        <v/>
      </c>
      <c r="I1470" s="1" t="str">
        <f>IFERROR(IF(A1470="","",E1470*#REF!),"")</f>
        <v/>
      </c>
    </row>
    <row r="1471" spans="2:9" x14ac:dyDescent="0.3">
      <c r="B1471" t="str">
        <f>IFERROR(IF(A1471="","",VLOOKUP(A1471,CadProd!$A:$B,2,0)),"")</f>
        <v/>
      </c>
      <c r="C1471" t="str">
        <f>IFERROR(IF(A1471="","",VLOOKUP(A1471,CadProd!$A:$C,3,0)),"")</f>
        <v/>
      </c>
      <c r="I1471" s="1" t="str">
        <f>IFERROR(IF(A1471="","",E1471*#REF!),"")</f>
        <v/>
      </c>
    </row>
    <row r="1472" spans="2:9" x14ac:dyDescent="0.3">
      <c r="B1472" t="str">
        <f>IFERROR(IF(A1472="","",VLOOKUP(A1472,CadProd!$A:$B,2,0)),"")</f>
        <v/>
      </c>
      <c r="C1472" t="str">
        <f>IFERROR(IF(A1472="","",VLOOKUP(A1472,CadProd!$A:$C,3,0)),"")</f>
        <v/>
      </c>
      <c r="I1472" s="1" t="str">
        <f>IFERROR(IF(A1472="","",E1472*#REF!),"")</f>
        <v/>
      </c>
    </row>
    <row r="1473" spans="2:9" x14ac:dyDescent="0.3">
      <c r="B1473" t="str">
        <f>IFERROR(IF(A1473="","",VLOOKUP(A1473,CadProd!$A:$B,2,0)),"")</f>
        <v/>
      </c>
      <c r="C1473" t="str">
        <f>IFERROR(IF(A1473="","",VLOOKUP(A1473,CadProd!$A:$C,3,0)),"")</f>
        <v/>
      </c>
      <c r="I1473" s="1" t="str">
        <f>IFERROR(IF(A1473="","",E1473*#REF!),"")</f>
        <v/>
      </c>
    </row>
    <row r="1474" spans="2:9" x14ac:dyDescent="0.3">
      <c r="B1474" t="str">
        <f>IFERROR(IF(A1474="","",VLOOKUP(A1474,CadProd!$A:$B,2,0)),"")</f>
        <v/>
      </c>
      <c r="C1474" t="str">
        <f>IFERROR(IF(A1474="","",VLOOKUP(A1474,CadProd!$A:$C,3,0)),"")</f>
        <v/>
      </c>
      <c r="I1474" s="1" t="str">
        <f>IFERROR(IF(A1474="","",E1474*#REF!),"")</f>
        <v/>
      </c>
    </row>
    <row r="1475" spans="2:9" x14ac:dyDescent="0.3">
      <c r="B1475" t="str">
        <f>IFERROR(IF(A1475="","",VLOOKUP(A1475,CadProd!$A:$B,2,0)),"")</f>
        <v/>
      </c>
      <c r="C1475" t="str">
        <f>IFERROR(IF(A1475="","",VLOOKUP(A1475,CadProd!$A:$C,3,0)),"")</f>
        <v/>
      </c>
      <c r="I1475" s="1" t="str">
        <f>IFERROR(IF(A1475="","",E1475*#REF!),"")</f>
        <v/>
      </c>
    </row>
    <row r="1476" spans="2:9" x14ac:dyDescent="0.3">
      <c r="B1476" t="str">
        <f>IFERROR(IF(A1476="","",VLOOKUP(A1476,CadProd!$A:$B,2,0)),"")</f>
        <v/>
      </c>
      <c r="C1476" t="str">
        <f>IFERROR(IF(A1476="","",VLOOKUP(A1476,CadProd!$A:$C,3,0)),"")</f>
        <v/>
      </c>
      <c r="I1476" s="1" t="str">
        <f>IFERROR(IF(A1476="","",E1476*#REF!),"")</f>
        <v/>
      </c>
    </row>
    <row r="1477" spans="2:9" x14ac:dyDescent="0.3">
      <c r="B1477" t="str">
        <f>IFERROR(IF(A1477="","",VLOOKUP(A1477,CadProd!$A:$B,2,0)),"")</f>
        <v/>
      </c>
      <c r="C1477" t="str">
        <f>IFERROR(IF(A1477="","",VLOOKUP(A1477,CadProd!$A:$C,3,0)),"")</f>
        <v/>
      </c>
      <c r="I1477" s="1" t="str">
        <f>IFERROR(IF(A1477="","",E1477*#REF!),"")</f>
        <v/>
      </c>
    </row>
    <row r="1478" spans="2:9" x14ac:dyDescent="0.3">
      <c r="B1478" t="str">
        <f>IFERROR(IF(A1478="","",VLOOKUP(A1478,CadProd!$A:$B,2,0)),"")</f>
        <v/>
      </c>
      <c r="C1478" t="str">
        <f>IFERROR(IF(A1478="","",VLOOKUP(A1478,CadProd!$A:$C,3,0)),"")</f>
        <v/>
      </c>
      <c r="I1478" s="1" t="str">
        <f>IFERROR(IF(A1478="","",E1478*#REF!),"")</f>
        <v/>
      </c>
    </row>
    <row r="1479" spans="2:9" x14ac:dyDescent="0.3">
      <c r="B1479" t="str">
        <f>IFERROR(IF(A1479="","",VLOOKUP(A1479,CadProd!$A:$B,2,0)),"")</f>
        <v/>
      </c>
      <c r="C1479" t="str">
        <f>IFERROR(IF(A1479="","",VLOOKUP(A1479,CadProd!$A:$C,3,0)),"")</f>
        <v/>
      </c>
      <c r="I1479" s="1" t="str">
        <f>IFERROR(IF(A1479="","",E1479*#REF!),"")</f>
        <v/>
      </c>
    </row>
    <row r="1480" spans="2:9" x14ac:dyDescent="0.3">
      <c r="B1480" t="str">
        <f>IFERROR(IF(A1480="","",VLOOKUP(A1480,CadProd!$A:$B,2,0)),"")</f>
        <v/>
      </c>
      <c r="C1480" t="str">
        <f>IFERROR(IF(A1480="","",VLOOKUP(A1480,CadProd!$A:$C,3,0)),"")</f>
        <v/>
      </c>
      <c r="I1480" s="1" t="str">
        <f>IFERROR(IF(A1480="","",E1480*#REF!),"")</f>
        <v/>
      </c>
    </row>
    <row r="1481" spans="2:9" x14ac:dyDescent="0.3">
      <c r="B1481" t="str">
        <f>IFERROR(IF(A1481="","",VLOOKUP(A1481,CadProd!$A:$B,2,0)),"")</f>
        <v/>
      </c>
      <c r="C1481" t="str">
        <f>IFERROR(IF(A1481="","",VLOOKUP(A1481,CadProd!$A:$C,3,0)),"")</f>
        <v/>
      </c>
      <c r="I1481" s="1" t="str">
        <f>IFERROR(IF(A1481="","",E1481*#REF!),"")</f>
        <v/>
      </c>
    </row>
    <row r="1482" spans="2:9" x14ac:dyDescent="0.3">
      <c r="B1482" t="str">
        <f>IFERROR(IF(A1482="","",VLOOKUP(A1482,CadProd!$A:$B,2,0)),"")</f>
        <v/>
      </c>
      <c r="C1482" t="str">
        <f>IFERROR(IF(A1482="","",VLOOKUP(A1482,CadProd!$A:$C,3,0)),"")</f>
        <v/>
      </c>
      <c r="I1482" s="1" t="str">
        <f>IFERROR(IF(A1482="","",E1482*#REF!),"")</f>
        <v/>
      </c>
    </row>
    <row r="1483" spans="2:9" x14ac:dyDescent="0.3">
      <c r="B1483" t="str">
        <f>IFERROR(IF(A1483="","",VLOOKUP(A1483,CadProd!$A:$B,2,0)),"")</f>
        <v/>
      </c>
      <c r="C1483" t="str">
        <f>IFERROR(IF(A1483="","",VLOOKUP(A1483,CadProd!$A:$C,3,0)),"")</f>
        <v/>
      </c>
      <c r="I1483" s="1" t="str">
        <f>IFERROR(IF(A1483="","",E1483*#REF!),"")</f>
        <v/>
      </c>
    </row>
    <row r="1484" spans="2:9" x14ac:dyDescent="0.3">
      <c r="B1484" t="str">
        <f>IFERROR(IF(A1484="","",VLOOKUP(A1484,CadProd!$A:$B,2,0)),"")</f>
        <v/>
      </c>
      <c r="C1484" t="str">
        <f>IFERROR(IF(A1484="","",VLOOKUP(A1484,CadProd!$A:$C,3,0)),"")</f>
        <v/>
      </c>
      <c r="I1484" s="1" t="str">
        <f>IFERROR(IF(A1484="","",E1484*#REF!),"")</f>
        <v/>
      </c>
    </row>
    <row r="1485" spans="2:9" x14ac:dyDescent="0.3">
      <c r="B1485" t="str">
        <f>IFERROR(IF(A1485="","",VLOOKUP(A1485,CadProd!$A:$B,2,0)),"")</f>
        <v/>
      </c>
      <c r="C1485" t="str">
        <f>IFERROR(IF(A1485="","",VLOOKUP(A1485,CadProd!$A:$C,3,0)),"")</f>
        <v/>
      </c>
      <c r="I1485" s="1" t="str">
        <f>IFERROR(IF(A1485="","",E1485*#REF!),"")</f>
        <v/>
      </c>
    </row>
    <row r="1486" spans="2:9" x14ac:dyDescent="0.3">
      <c r="B1486" t="str">
        <f>IFERROR(IF(A1486="","",VLOOKUP(A1486,CadProd!$A:$B,2,0)),"")</f>
        <v/>
      </c>
      <c r="C1486" t="str">
        <f>IFERROR(IF(A1486="","",VLOOKUP(A1486,CadProd!$A:$C,3,0)),"")</f>
        <v/>
      </c>
      <c r="I1486" s="1" t="str">
        <f>IFERROR(IF(A1486="","",E1486*#REF!),"")</f>
        <v/>
      </c>
    </row>
    <row r="1487" spans="2:9" x14ac:dyDescent="0.3">
      <c r="B1487" t="str">
        <f>IFERROR(IF(A1487="","",VLOOKUP(A1487,CadProd!$A:$B,2,0)),"")</f>
        <v/>
      </c>
      <c r="C1487" t="str">
        <f>IFERROR(IF(A1487="","",VLOOKUP(A1487,CadProd!$A:$C,3,0)),"")</f>
        <v/>
      </c>
      <c r="I1487" s="1" t="str">
        <f>IFERROR(IF(A1487="","",E1487*#REF!),"")</f>
        <v/>
      </c>
    </row>
    <row r="1488" spans="2:9" x14ac:dyDescent="0.3">
      <c r="B1488" t="str">
        <f>IFERROR(IF(A1488="","",VLOOKUP(A1488,CadProd!$A:$B,2,0)),"")</f>
        <v/>
      </c>
      <c r="C1488" t="str">
        <f>IFERROR(IF(A1488="","",VLOOKUP(A1488,CadProd!$A:$C,3,0)),"")</f>
        <v/>
      </c>
      <c r="I1488" s="1" t="str">
        <f>IFERROR(IF(A1488="","",E1488*#REF!),"")</f>
        <v/>
      </c>
    </row>
    <row r="1489" spans="2:9" x14ac:dyDescent="0.3">
      <c r="B1489" t="str">
        <f>IFERROR(IF(A1489="","",VLOOKUP(A1489,CadProd!$A:$B,2,0)),"")</f>
        <v/>
      </c>
      <c r="C1489" t="str">
        <f>IFERROR(IF(A1489="","",VLOOKUP(A1489,CadProd!$A:$C,3,0)),"")</f>
        <v/>
      </c>
      <c r="I1489" s="1" t="str">
        <f>IFERROR(IF(A1489="","",E1489*#REF!),"")</f>
        <v/>
      </c>
    </row>
    <row r="1490" spans="2:9" x14ac:dyDescent="0.3">
      <c r="B1490" t="str">
        <f>IFERROR(IF(A1490="","",VLOOKUP(A1490,CadProd!$A:$B,2,0)),"")</f>
        <v/>
      </c>
      <c r="C1490" t="str">
        <f>IFERROR(IF(A1490="","",VLOOKUP(A1490,CadProd!$A:$C,3,0)),"")</f>
        <v/>
      </c>
      <c r="I1490" s="1" t="str">
        <f>IFERROR(IF(A1490="","",E1490*#REF!),"")</f>
        <v/>
      </c>
    </row>
    <row r="1491" spans="2:9" x14ac:dyDescent="0.3">
      <c r="B1491" t="str">
        <f>IFERROR(IF(A1491="","",VLOOKUP(A1491,CadProd!$A:$B,2,0)),"")</f>
        <v/>
      </c>
      <c r="C1491" t="str">
        <f>IFERROR(IF(A1491="","",VLOOKUP(A1491,CadProd!$A:$C,3,0)),"")</f>
        <v/>
      </c>
      <c r="I1491" s="1" t="str">
        <f>IFERROR(IF(A1491="","",E1491*#REF!),"")</f>
        <v/>
      </c>
    </row>
    <row r="1492" spans="2:9" x14ac:dyDescent="0.3">
      <c r="B1492" t="str">
        <f>IFERROR(IF(A1492="","",VLOOKUP(A1492,CadProd!$A:$B,2,0)),"")</f>
        <v/>
      </c>
      <c r="C1492" t="str">
        <f>IFERROR(IF(A1492="","",VLOOKUP(A1492,CadProd!$A:$C,3,0)),"")</f>
        <v/>
      </c>
      <c r="I1492" s="1" t="str">
        <f>IFERROR(IF(A1492="","",E1492*#REF!),"")</f>
        <v/>
      </c>
    </row>
    <row r="1493" spans="2:9" x14ac:dyDescent="0.3">
      <c r="B1493" t="str">
        <f>IFERROR(IF(A1493="","",VLOOKUP(A1493,CadProd!$A:$B,2,0)),"")</f>
        <v/>
      </c>
      <c r="C1493" t="str">
        <f>IFERROR(IF(A1493="","",VLOOKUP(A1493,CadProd!$A:$C,3,0)),"")</f>
        <v/>
      </c>
      <c r="I1493" s="1" t="str">
        <f>IFERROR(IF(A1493="","",E1493*#REF!),"")</f>
        <v/>
      </c>
    </row>
    <row r="1494" spans="2:9" x14ac:dyDescent="0.3">
      <c r="B1494" t="str">
        <f>IFERROR(IF(A1494="","",VLOOKUP(A1494,CadProd!$A:$B,2,0)),"")</f>
        <v/>
      </c>
      <c r="C1494" t="str">
        <f>IFERROR(IF(A1494="","",VLOOKUP(A1494,CadProd!$A:$C,3,0)),"")</f>
        <v/>
      </c>
      <c r="I1494" s="1" t="str">
        <f>IFERROR(IF(A1494="","",E1494*#REF!),"")</f>
        <v/>
      </c>
    </row>
    <row r="1495" spans="2:9" x14ac:dyDescent="0.3">
      <c r="B1495" t="str">
        <f>IFERROR(IF(A1495="","",VLOOKUP(A1495,CadProd!$A:$B,2,0)),"")</f>
        <v/>
      </c>
      <c r="C1495" t="str">
        <f>IFERROR(IF(A1495="","",VLOOKUP(A1495,CadProd!$A:$C,3,0)),"")</f>
        <v/>
      </c>
      <c r="I1495" s="1" t="str">
        <f>IFERROR(IF(A1495="","",E1495*#REF!),"")</f>
        <v/>
      </c>
    </row>
    <row r="1496" spans="2:9" x14ac:dyDescent="0.3">
      <c r="B1496" t="str">
        <f>IFERROR(IF(A1496="","",VLOOKUP(A1496,CadProd!$A:$B,2,0)),"")</f>
        <v/>
      </c>
      <c r="C1496" t="str">
        <f>IFERROR(IF(A1496="","",VLOOKUP(A1496,CadProd!$A:$C,3,0)),"")</f>
        <v/>
      </c>
      <c r="I1496" s="1" t="str">
        <f>IFERROR(IF(A1496="","",E1496*#REF!),"")</f>
        <v/>
      </c>
    </row>
    <row r="1497" spans="2:9" x14ac:dyDescent="0.3">
      <c r="B1497" t="str">
        <f>IFERROR(IF(A1497="","",VLOOKUP(A1497,CadProd!$A:$B,2,0)),"")</f>
        <v/>
      </c>
      <c r="C1497" t="str">
        <f>IFERROR(IF(A1497="","",VLOOKUP(A1497,CadProd!$A:$C,3,0)),"")</f>
        <v/>
      </c>
      <c r="I1497" s="1" t="str">
        <f>IFERROR(IF(A1497="","",E1497*#REF!),"")</f>
        <v/>
      </c>
    </row>
    <row r="1498" spans="2:9" x14ac:dyDescent="0.3">
      <c r="B1498" t="str">
        <f>IFERROR(IF(A1498="","",VLOOKUP(A1498,CadProd!$A:$B,2,0)),"")</f>
        <v/>
      </c>
      <c r="C1498" t="str">
        <f>IFERROR(IF(A1498="","",VLOOKUP(A1498,CadProd!$A:$C,3,0)),"")</f>
        <v/>
      </c>
      <c r="I1498" s="1" t="str">
        <f>IFERROR(IF(A1498="","",E1498*#REF!),"")</f>
        <v/>
      </c>
    </row>
    <row r="1499" spans="2:9" x14ac:dyDescent="0.3">
      <c r="B1499" t="str">
        <f>IFERROR(IF(A1499="","",VLOOKUP(A1499,CadProd!$A:$B,2,0)),"")</f>
        <v/>
      </c>
      <c r="C1499" t="str">
        <f>IFERROR(IF(A1499="","",VLOOKUP(A1499,CadProd!$A:$C,3,0)),"")</f>
        <v/>
      </c>
      <c r="I1499" s="1" t="str">
        <f>IFERROR(IF(A1499="","",E1499*#REF!),"")</f>
        <v/>
      </c>
    </row>
    <row r="1500" spans="2:9" x14ac:dyDescent="0.3">
      <c r="B1500" t="str">
        <f>IFERROR(IF(A1500="","",VLOOKUP(A1500,CadProd!$A:$B,2,0)),"")</f>
        <v/>
      </c>
      <c r="C1500" t="str">
        <f>IFERROR(IF(A1500="","",VLOOKUP(A1500,CadProd!$A:$C,3,0)),"")</f>
        <v/>
      </c>
      <c r="I1500" s="1" t="str">
        <f>IFERROR(IF(A1500="","",E1500*#REF!),"")</f>
        <v/>
      </c>
    </row>
    <row r="1501" spans="2:9" x14ac:dyDescent="0.3">
      <c r="B1501" t="str">
        <f>IFERROR(IF(A1501="","",VLOOKUP(A1501,CadProd!$A:$B,2,0)),"")</f>
        <v/>
      </c>
      <c r="C1501" t="str">
        <f>IFERROR(IF(A1501="","",VLOOKUP(A1501,CadProd!$A:$C,3,0)),"")</f>
        <v/>
      </c>
      <c r="I1501" s="1" t="str">
        <f>IFERROR(IF(A1501="","",E1501*#REF!),"")</f>
        <v/>
      </c>
    </row>
    <row r="1502" spans="2:9" x14ac:dyDescent="0.3">
      <c r="B1502" t="str">
        <f>IFERROR(IF(A1502="","",VLOOKUP(A1502,CadProd!$A:$B,2,0)),"")</f>
        <v/>
      </c>
      <c r="C1502" t="str">
        <f>IFERROR(IF(A1502="","",VLOOKUP(A1502,CadProd!$A:$C,3,0)),"")</f>
        <v/>
      </c>
      <c r="I1502" s="1" t="str">
        <f>IFERROR(IF(A1502="","",E1502*#REF!),"")</f>
        <v/>
      </c>
    </row>
    <row r="1503" spans="2:9" x14ac:dyDescent="0.3">
      <c r="B1503" t="str">
        <f>IFERROR(IF(A1503="","",VLOOKUP(A1503,CadProd!$A:$B,2,0)),"")</f>
        <v/>
      </c>
      <c r="C1503" t="str">
        <f>IFERROR(IF(A1503="","",VLOOKUP(A1503,CadProd!$A:$C,3,0)),"")</f>
        <v/>
      </c>
      <c r="I1503" s="1" t="str">
        <f>IFERROR(IF(A1503="","",E1503*#REF!),"")</f>
        <v/>
      </c>
    </row>
    <row r="1504" spans="2:9" x14ac:dyDescent="0.3">
      <c r="B1504" t="str">
        <f>IFERROR(IF(A1504="","",VLOOKUP(A1504,CadProd!$A:$B,2,0)),"")</f>
        <v/>
      </c>
      <c r="C1504" t="str">
        <f>IFERROR(IF(A1504="","",VLOOKUP(A1504,CadProd!$A:$C,3,0)),"")</f>
        <v/>
      </c>
      <c r="I1504" s="1" t="str">
        <f>IFERROR(IF(A1504="","",E1504*#REF!),"")</f>
        <v/>
      </c>
    </row>
    <row r="1505" spans="2:9" x14ac:dyDescent="0.3">
      <c r="B1505" t="str">
        <f>IFERROR(IF(A1505="","",VLOOKUP(A1505,CadProd!$A:$B,2,0)),"")</f>
        <v/>
      </c>
      <c r="C1505" t="str">
        <f>IFERROR(IF(A1505="","",VLOOKUP(A1505,CadProd!$A:$C,3,0)),"")</f>
        <v/>
      </c>
      <c r="I1505" s="1" t="str">
        <f>IFERROR(IF(A1505="","",E1505*#REF!),"")</f>
        <v/>
      </c>
    </row>
    <row r="1506" spans="2:9" x14ac:dyDescent="0.3">
      <c r="B1506" t="str">
        <f>IFERROR(IF(A1506="","",VLOOKUP(A1506,CadProd!$A:$B,2,0)),"")</f>
        <v/>
      </c>
      <c r="C1506" t="str">
        <f>IFERROR(IF(A1506="","",VLOOKUP(A1506,CadProd!$A:$C,3,0)),"")</f>
        <v/>
      </c>
      <c r="I1506" s="1" t="str">
        <f>IFERROR(IF(A1506="","",E1506*#REF!),"")</f>
        <v/>
      </c>
    </row>
    <row r="1507" spans="2:9" x14ac:dyDescent="0.3">
      <c r="B1507" t="str">
        <f>IFERROR(IF(A1507="","",VLOOKUP(A1507,CadProd!$A:$B,2,0)),"")</f>
        <v/>
      </c>
      <c r="C1507" t="str">
        <f>IFERROR(IF(A1507="","",VLOOKUP(A1507,CadProd!$A:$C,3,0)),"")</f>
        <v/>
      </c>
      <c r="I1507" s="1" t="str">
        <f>IFERROR(IF(A1507="","",E1507*#REF!),"")</f>
        <v/>
      </c>
    </row>
    <row r="1508" spans="2:9" x14ac:dyDescent="0.3">
      <c r="B1508" t="str">
        <f>IFERROR(IF(A1508="","",VLOOKUP(A1508,CadProd!$A:$B,2,0)),"")</f>
        <v/>
      </c>
      <c r="C1508" t="str">
        <f>IFERROR(IF(A1508="","",VLOOKUP(A1508,CadProd!$A:$C,3,0)),"")</f>
        <v/>
      </c>
      <c r="I1508" s="1" t="str">
        <f>IFERROR(IF(A1508="","",E1508*#REF!),"")</f>
        <v/>
      </c>
    </row>
    <row r="1509" spans="2:9" x14ac:dyDescent="0.3">
      <c r="B1509" t="str">
        <f>IFERROR(IF(A1509="","",VLOOKUP(A1509,CadProd!$A:$B,2,0)),"")</f>
        <v/>
      </c>
      <c r="C1509" t="str">
        <f>IFERROR(IF(A1509="","",VLOOKUP(A1509,CadProd!$A:$C,3,0)),"")</f>
        <v/>
      </c>
      <c r="I1509" s="1" t="str">
        <f>IFERROR(IF(A1509="","",E1509*#REF!),"")</f>
        <v/>
      </c>
    </row>
    <row r="1510" spans="2:9" x14ac:dyDescent="0.3">
      <c r="B1510" t="str">
        <f>IFERROR(IF(A1510="","",VLOOKUP(A1510,CadProd!$A:$B,2,0)),"")</f>
        <v/>
      </c>
      <c r="C1510" t="str">
        <f>IFERROR(IF(A1510="","",VLOOKUP(A1510,CadProd!$A:$C,3,0)),"")</f>
        <v/>
      </c>
      <c r="I1510" s="1" t="str">
        <f>IFERROR(IF(A1510="","",E1510*#REF!),"")</f>
        <v/>
      </c>
    </row>
    <row r="1511" spans="2:9" x14ac:dyDescent="0.3">
      <c r="B1511" t="str">
        <f>IFERROR(IF(A1511="","",VLOOKUP(A1511,CadProd!$A:$B,2,0)),"")</f>
        <v/>
      </c>
      <c r="C1511" t="str">
        <f>IFERROR(IF(A1511="","",VLOOKUP(A1511,CadProd!$A:$C,3,0)),"")</f>
        <v/>
      </c>
      <c r="I1511" s="1" t="str">
        <f>IFERROR(IF(A1511="","",E1511*#REF!),"")</f>
        <v/>
      </c>
    </row>
    <row r="1512" spans="2:9" x14ac:dyDescent="0.3">
      <c r="B1512" t="str">
        <f>IFERROR(IF(A1512="","",VLOOKUP(A1512,CadProd!$A:$B,2,0)),"")</f>
        <v/>
      </c>
      <c r="C1512" t="str">
        <f>IFERROR(IF(A1512="","",VLOOKUP(A1512,CadProd!$A:$C,3,0)),"")</f>
        <v/>
      </c>
      <c r="I1512" s="1" t="str">
        <f>IFERROR(IF(A1512="","",E1512*#REF!),"")</f>
        <v/>
      </c>
    </row>
    <row r="1513" spans="2:9" x14ac:dyDescent="0.3">
      <c r="B1513" t="str">
        <f>IFERROR(IF(A1513="","",VLOOKUP(A1513,CadProd!$A:$B,2,0)),"")</f>
        <v/>
      </c>
      <c r="C1513" t="str">
        <f>IFERROR(IF(A1513="","",VLOOKUP(A1513,CadProd!$A:$C,3,0)),"")</f>
        <v/>
      </c>
      <c r="I1513" s="1" t="str">
        <f>IFERROR(IF(A1513="","",E1513*#REF!),"")</f>
        <v/>
      </c>
    </row>
    <row r="1514" spans="2:9" x14ac:dyDescent="0.3">
      <c r="B1514" t="str">
        <f>IFERROR(IF(A1514="","",VLOOKUP(A1514,CadProd!$A:$B,2,0)),"")</f>
        <v/>
      </c>
      <c r="C1514" t="str">
        <f>IFERROR(IF(A1514="","",VLOOKUP(A1514,CadProd!$A:$C,3,0)),"")</f>
        <v/>
      </c>
      <c r="I1514" s="1" t="str">
        <f>IFERROR(IF(A1514="","",E1514*#REF!),"")</f>
        <v/>
      </c>
    </row>
    <row r="1515" spans="2:9" x14ac:dyDescent="0.3">
      <c r="B1515" t="str">
        <f>IFERROR(IF(A1515="","",VLOOKUP(A1515,CadProd!$A:$B,2,0)),"")</f>
        <v/>
      </c>
      <c r="C1515" t="str">
        <f>IFERROR(IF(A1515="","",VLOOKUP(A1515,CadProd!$A:$C,3,0)),"")</f>
        <v/>
      </c>
      <c r="I1515" s="1" t="str">
        <f>IFERROR(IF(A1515="","",E1515*#REF!),"")</f>
        <v/>
      </c>
    </row>
    <row r="1516" spans="2:9" x14ac:dyDescent="0.3">
      <c r="B1516" t="str">
        <f>IFERROR(IF(A1516="","",VLOOKUP(A1516,CadProd!$A:$B,2,0)),"")</f>
        <v/>
      </c>
      <c r="C1516" t="str">
        <f>IFERROR(IF(A1516="","",VLOOKUP(A1516,CadProd!$A:$C,3,0)),"")</f>
        <v/>
      </c>
      <c r="I1516" s="1" t="str">
        <f>IFERROR(IF(A1516="","",E1516*#REF!),"")</f>
        <v/>
      </c>
    </row>
    <row r="1517" spans="2:9" x14ac:dyDescent="0.3">
      <c r="B1517" t="str">
        <f>IFERROR(IF(A1517="","",VLOOKUP(A1517,CadProd!$A:$B,2,0)),"")</f>
        <v/>
      </c>
      <c r="C1517" t="str">
        <f>IFERROR(IF(A1517="","",VLOOKUP(A1517,CadProd!$A:$C,3,0)),"")</f>
        <v/>
      </c>
      <c r="I1517" s="1" t="str">
        <f>IFERROR(IF(A1517="","",E1517*#REF!),"")</f>
        <v/>
      </c>
    </row>
    <row r="1518" spans="2:9" x14ac:dyDescent="0.3">
      <c r="B1518" t="str">
        <f>IFERROR(IF(A1518="","",VLOOKUP(A1518,CadProd!$A:$B,2,0)),"")</f>
        <v/>
      </c>
      <c r="C1518" t="str">
        <f>IFERROR(IF(A1518="","",VLOOKUP(A1518,CadProd!$A:$C,3,0)),"")</f>
        <v/>
      </c>
      <c r="I1518" s="1" t="str">
        <f>IFERROR(IF(A1518="","",E1518*#REF!),"")</f>
        <v/>
      </c>
    </row>
    <row r="1519" spans="2:9" x14ac:dyDescent="0.3">
      <c r="B1519" t="str">
        <f>IFERROR(IF(A1519="","",VLOOKUP(A1519,CadProd!$A:$B,2,0)),"")</f>
        <v/>
      </c>
      <c r="C1519" t="str">
        <f>IFERROR(IF(A1519="","",VLOOKUP(A1519,CadProd!$A:$C,3,0)),"")</f>
        <v/>
      </c>
      <c r="I1519" s="1" t="str">
        <f>IFERROR(IF(A1519="","",E1519*#REF!),"")</f>
        <v/>
      </c>
    </row>
    <row r="1520" spans="2:9" x14ac:dyDescent="0.3">
      <c r="B1520" t="str">
        <f>IFERROR(IF(A1520="","",VLOOKUP(A1520,CadProd!$A:$B,2,0)),"")</f>
        <v/>
      </c>
      <c r="C1520" t="str">
        <f>IFERROR(IF(A1520="","",VLOOKUP(A1520,CadProd!$A:$C,3,0)),"")</f>
        <v/>
      </c>
      <c r="I1520" s="1" t="str">
        <f>IFERROR(IF(A1520="","",E1520*#REF!),"")</f>
        <v/>
      </c>
    </row>
    <row r="1521" spans="2:9" x14ac:dyDescent="0.3">
      <c r="B1521" t="str">
        <f>IFERROR(IF(A1521="","",VLOOKUP(A1521,CadProd!$A:$B,2,0)),"")</f>
        <v/>
      </c>
      <c r="C1521" t="str">
        <f>IFERROR(IF(A1521="","",VLOOKUP(A1521,CadProd!$A:$C,3,0)),"")</f>
        <v/>
      </c>
      <c r="I1521" s="1" t="str">
        <f>IFERROR(IF(A1521="","",E1521*#REF!),"")</f>
        <v/>
      </c>
    </row>
    <row r="1522" spans="2:9" x14ac:dyDescent="0.3">
      <c r="B1522" t="str">
        <f>IFERROR(IF(A1522="","",VLOOKUP(A1522,CadProd!$A:$B,2,0)),"")</f>
        <v/>
      </c>
      <c r="C1522" t="str">
        <f>IFERROR(IF(A1522="","",VLOOKUP(A1522,CadProd!$A:$C,3,0)),"")</f>
        <v/>
      </c>
      <c r="I1522" s="1" t="str">
        <f>IFERROR(IF(A1522="","",E1522*#REF!),"")</f>
        <v/>
      </c>
    </row>
    <row r="1523" spans="2:9" x14ac:dyDescent="0.3">
      <c r="B1523" t="str">
        <f>IFERROR(IF(A1523="","",VLOOKUP(A1523,CadProd!$A:$B,2,0)),"")</f>
        <v/>
      </c>
      <c r="C1523" t="str">
        <f>IFERROR(IF(A1523="","",VLOOKUP(A1523,CadProd!$A:$C,3,0)),"")</f>
        <v/>
      </c>
      <c r="I1523" s="1" t="str">
        <f>IFERROR(IF(A1523="","",E1523*#REF!),"")</f>
        <v/>
      </c>
    </row>
    <row r="1524" spans="2:9" x14ac:dyDescent="0.3">
      <c r="B1524" t="str">
        <f>IFERROR(IF(A1524="","",VLOOKUP(A1524,CadProd!$A:$B,2,0)),"")</f>
        <v/>
      </c>
      <c r="C1524" t="str">
        <f>IFERROR(IF(A1524="","",VLOOKUP(A1524,CadProd!$A:$C,3,0)),"")</f>
        <v/>
      </c>
      <c r="I1524" s="1" t="str">
        <f>IFERROR(IF(A1524="","",E1524*#REF!),"")</f>
        <v/>
      </c>
    </row>
    <row r="1525" spans="2:9" x14ac:dyDescent="0.3">
      <c r="B1525" t="str">
        <f>IFERROR(IF(A1525="","",VLOOKUP(A1525,CadProd!$A:$B,2,0)),"")</f>
        <v/>
      </c>
      <c r="C1525" t="str">
        <f>IFERROR(IF(A1525="","",VLOOKUP(A1525,CadProd!$A:$C,3,0)),"")</f>
        <v/>
      </c>
      <c r="I1525" s="1" t="str">
        <f>IFERROR(IF(A1525="","",E1525*#REF!),"")</f>
        <v/>
      </c>
    </row>
    <row r="1526" spans="2:9" x14ac:dyDescent="0.3">
      <c r="B1526" t="str">
        <f>IFERROR(IF(A1526="","",VLOOKUP(A1526,CadProd!$A:$B,2,0)),"")</f>
        <v/>
      </c>
      <c r="C1526" t="str">
        <f>IFERROR(IF(A1526="","",VLOOKUP(A1526,CadProd!$A:$C,3,0)),"")</f>
        <v/>
      </c>
      <c r="I1526" s="1" t="str">
        <f>IFERROR(IF(A1526="","",E1526*#REF!),"")</f>
        <v/>
      </c>
    </row>
    <row r="1527" spans="2:9" x14ac:dyDescent="0.3">
      <c r="B1527" t="str">
        <f>IFERROR(IF(A1527="","",VLOOKUP(A1527,CadProd!$A:$B,2,0)),"")</f>
        <v/>
      </c>
      <c r="C1527" t="str">
        <f>IFERROR(IF(A1527="","",VLOOKUP(A1527,CadProd!$A:$C,3,0)),"")</f>
        <v/>
      </c>
      <c r="I1527" s="1" t="str">
        <f>IFERROR(IF(A1527="","",E1527*#REF!),"")</f>
        <v/>
      </c>
    </row>
    <row r="1528" spans="2:9" x14ac:dyDescent="0.3">
      <c r="B1528" t="str">
        <f>IFERROR(IF(A1528="","",VLOOKUP(A1528,CadProd!$A:$B,2,0)),"")</f>
        <v/>
      </c>
      <c r="C1528" t="str">
        <f>IFERROR(IF(A1528="","",VLOOKUP(A1528,CadProd!$A:$C,3,0)),"")</f>
        <v/>
      </c>
      <c r="I1528" s="1" t="str">
        <f>IFERROR(IF(A1528="","",E1528*#REF!),"")</f>
        <v/>
      </c>
    </row>
    <row r="1529" spans="2:9" x14ac:dyDescent="0.3">
      <c r="B1529" t="str">
        <f>IFERROR(IF(A1529="","",VLOOKUP(A1529,CadProd!$A:$B,2,0)),"")</f>
        <v/>
      </c>
      <c r="C1529" t="str">
        <f>IFERROR(IF(A1529="","",VLOOKUP(A1529,CadProd!$A:$C,3,0)),"")</f>
        <v/>
      </c>
      <c r="I1529" s="1" t="str">
        <f>IFERROR(IF(A1529="","",E1529*#REF!),"")</f>
        <v/>
      </c>
    </row>
    <row r="1530" spans="2:9" x14ac:dyDescent="0.3">
      <c r="B1530" t="str">
        <f>IFERROR(IF(A1530="","",VLOOKUP(A1530,CadProd!$A:$B,2,0)),"")</f>
        <v/>
      </c>
      <c r="C1530" t="str">
        <f>IFERROR(IF(A1530="","",VLOOKUP(A1530,CadProd!$A:$C,3,0)),"")</f>
        <v/>
      </c>
      <c r="I1530" s="1" t="str">
        <f>IFERROR(IF(A1530="","",E1530*#REF!),"")</f>
        <v/>
      </c>
    </row>
    <row r="1531" spans="2:9" x14ac:dyDescent="0.3">
      <c r="B1531" t="str">
        <f>IFERROR(IF(A1531="","",VLOOKUP(A1531,CadProd!$A:$B,2,0)),"")</f>
        <v/>
      </c>
      <c r="C1531" t="str">
        <f>IFERROR(IF(A1531="","",VLOOKUP(A1531,CadProd!$A:$C,3,0)),"")</f>
        <v/>
      </c>
      <c r="I1531" s="1" t="str">
        <f>IFERROR(IF(A1531="","",E1531*#REF!),"")</f>
        <v/>
      </c>
    </row>
    <row r="1532" spans="2:9" x14ac:dyDescent="0.3">
      <c r="B1532" t="str">
        <f>IFERROR(IF(A1532="","",VLOOKUP(A1532,CadProd!$A:$B,2,0)),"")</f>
        <v/>
      </c>
      <c r="C1532" t="str">
        <f>IFERROR(IF(A1532="","",VLOOKUP(A1532,CadProd!$A:$C,3,0)),"")</f>
        <v/>
      </c>
      <c r="I1532" s="1" t="str">
        <f>IFERROR(IF(A1532="","",E1532*#REF!),"")</f>
        <v/>
      </c>
    </row>
    <row r="1533" spans="2:9" x14ac:dyDescent="0.3">
      <c r="B1533" t="str">
        <f>IFERROR(IF(A1533="","",VLOOKUP(A1533,CadProd!$A:$B,2,0)),"")</f>
        <v/>
      </c>
      <c r="C1533" t="str">
        <f>IFERROR(IF(A1533="","",VLOOKUP(A1533,CadProd!$A:$C,3,0)),"")</f>
        <v/>
      </c>
      <c r="I1533" s="1" t="str">
        <f>IFERROR(IF(A1533="","",E1533*#REF!),"")</f>
        <v/>
      </c>
    </row>
    <row r="1534" spans="2:9" x14ac:dyDescent="0.3">
      <c r="B1534" t="str">
        <f>IFERROR(IF(A1534="","",VLOOKUP(A1534,CadProd!$A:$B,2,0)),"")</f>
        <v/>
      </c>
      <c r="C1534" t="str">
        <f>IFERROR(IF(A1534="","",VLOOKUP(A1534,CadProd!$A:$C,3,0)),"")</f>
        <v/>
      </c>
      <c r="I1534" s="1" t="str">
        <f>IFERROR(IF(A1534="","",E1534*#REF!),"")</f>
        <v/>
      </c>
    </row>
    <row r="1535" spans="2:9" x14ac:dyDescent="0.3">
      <c r="B1535" t="str">
        <f>IFERROR(IF(A1535="","",VLOOKUP(A1535,CadProd!$A:$B,2,0)),"")</f>
        <v/>
      </c>
      <c r="C1535" t="str">
        <f>IFERROR(IF(A1535="","",VLOOKUP(A1535,CadProd!$A:$C,3,0)),"")</f>
        <v/>
      </c>
      <c r="I1535" s="1" t="str">
        <f>IFERROR(IF(A1535="","",E1535*#REF!),"")</f>
        <v/>
      </c>
    </row>
    <row r="1536" spans="2:9" x14ac:dyDescent="0.3">
      <c r="B1536" t="str">
        <f>IFERROR(IF(A1536="","",VLOOKUP(A1536,CadProd!$A:$B,2,0)),"")</f>
        <v/>
      </c>
      <c r="C1536" t="str">
        <f>IFERROR(IF(A1536="","",VLOOKUP(A1536,CadProd!$A:$C,3,0)),"")</f>
        <v/>
      </c>
      <c r="I1536" s="1" t="str">
        <f>IFERROR(IF(A1536="","",E1536*#REF!),"")</f>
        <v/>
      </c>
    </row>
    <row r="1537" spans="2:9" x14ac:dyDescent="0.3">
      <c r="B1537" t="str">
        <f>IFERROR(IF(A1537="","",VLOOKUP(A1537,CadProd!$A:$B,2,0)),"")</f>
        <v/>
      </c>
      <c r="C1537" t="str">
        <f>IFERROR(IF(A1537="","",VLOOKUP(A1537,CadProd!$A:$C,3,0)),"")</f>
        <v/>
      </c>
      <c r="I1537" s="1" t="str">
        <f>IFERROR(IF(A1537="","",E1537*#REF!),"")</f>
        <v/>
      </c>
    </row>
    <row r="1538" spans="2:9" x14ac:dyDescent="0.3">
      <c r="B1538" t="str">
        <f>IFERROR(IF(A1538="","",VLOOKUP(A1538,CadProd!$A:$B,2,0)),"")</f>
        <v/>
      </c>
      <c r="C1538" t="str">
        <f>IFERROR(IF(A1538="","",VLOOKUP(A1538,CadProd!$A:$C,3,0)),"")</f>
        <v/>
      </c>
      <c r="I1538" s="1" t="str">
        <f>IFERROR(IF(A1538="","",E1538*#REF!),"")</f>
        <v/>
      </c>
    </row>
    <row r="1539" spans="2:9" x14ac:dyDescent="0.3">
      <c r="B1539" t="str">
        <f>IFERROR(IF(A1539="","",VLOOKUP(A1539,CadProd!$A:$B,2,0)),"")</f>
        <v/>
      </c>
      <c r="C1539" t="str">
        <f>IFERROR(IF(A1539="","",VLOOKUP(A1539,CadProd!$A:$C,3,0)),"")</f>
        <v/>
      </c>
      <c r="I1539" s="1" t="str">
        <f>IFERROR(IF(A1539="","",E1539*#REF!),"")</f>
        <v/>
      </c>
    </row>
    <row r="1540" spans="2:9" x14ac:dyDescent="0.3">
      <c r="B1540" t="str">
        <f>IFERROR(IF(A1540="","",VLOOKUP(A1540,CadProd!$A:$B,2,0)),"")</f>
        <v/>
      </c>
      <c r="C1540" t="str">
        <f>IFERROR(IF(A1540="","",VLOOKUP(A1540,CadProd!$A:$C,3,0)),"")</f>
        <v/>
      </c>
      <c r="I1540" s="1" t="str">
        <f>IFERROR(IF(A1540="","",E1540*#REF!),"")</f>
        <v/>
      </c>
    </row>
    <row r="1541" spans="2:9" x14ac:dyDescent="0.3">
      <c r="B1541" t="str">
        <f>IFERROR(IF(A1541="","",VLOOKUP(A1541,CadProd!$A:$B,2,0)),"")</f>
        <v/>
      </c>
      <c r="C1541" t="str">
        <f>IFERROR(IF(A1541="","",VLOOKUP(A1541,CadProd!$A:$C,3,0)),"")</f>
        <v/>
      </c>
      <c r="I1541" s="1" t="str">
        <f>IFERROR(IF(A1541="","",E1541*#REF!),"")</f>
        <v/>
      </c>
    </row>
    <row r="1542" spans="2:9" x14ac:dyDescent="0.3">
      <c r="B1542" t="str">
        <f>IFERROR(IF(A1542="","",VLOOKUP(A1542,CadProd!$A:$B,2,0)),"")</f>
        <v/>
      </c>
      <c r="C1542" t="str">
        <f>IFERROR(IF(A1542="","",VLOOKUP(A1542,CadProd!$A:$C,3,0)),"")</f>
        <v/>
      </c>
      <c r="I1542" s="1" t="str">
        <f>IFERROR(IF(A1542="","",E1542*#REF!),"")</f>
        <v/>
      </c>
    </row>
    <row r="1543" spans="2:9" x14ac:dyDescent="0.3">
      <c r="B1543" t="str">
        <f>IFERROR(IF(A1543="","",VLOOKUP(A1543,CadProd!$A:$B,2,0)),"")</f>
        <v/>
      </c>
      <c r="C1543" t="str">
        <f>IFERROR(IF(A1543="","",VLOOKUP(A1543,CadProd!$A:$C,3,0)),"")</f>
        <v/>
      </c>
      <c r="I1543" s="1" t="str">
        <f>IFERROR(IF(A1543="","",E1543*#REF!),"")</f>
        <v/>
      </c>
    </row>
    <row r="1544" spans="2:9" x14ac:dyDescent="0.3">
      <c r="B1544" t="str">
        <f>IFERROR(IF(A1544="","",VLOOKUP(A1544,CadProd!$A:$B,2,0)),"")</f>
        <v/>
      </c>
      <c r="C1544" t="str">
        <f>IFERROR(IF(A1544="","",VLOOKUP(A1544,CadProd!$A:$C,3,0)),"")</f>
        <v/>
      </c>
      <c r="I1544" s="1" t="str">
        <f>IFERROR(IF(A1544="","",E1544*#REF!),"")</f>
        <v/>
      </c>
    </row>
    <row r="1545" spans="2:9" x14ac:dyDescent="0.3">
      <c r="B1545" t="str">
        <f>IFERROR(IF(A1545="","",VLOOKUP(A1545,CadProd!$A:$B,2,0)),"")</f>
        <v/>
      </c>
      <c r="C1545" t="str">
        <f>IFERROR(IF(A1545="","",VLOOKUP(A1545,CadProd!$A:$C,3,0)),"")</f>
        <v/>
      </c>
      <c r="I1545" s="1" t="str">
        <f>IFERROR(IF(A1545="","",E1545*#REF!),"")</f>
        <v/>
      </c>
    </row>
    <row r="1546" spans="2:9" x14ac:dyDescent="0.3">
      <c r="B1546" t="str">
        <f>IFERROR(IF(A1546="","",VLOOKUP(A1546,CadProd!$A:$B,2,0)),"")</f>
        <v/>
      </c>
      <c r="C1546" t="str">
        <f>IFERROR(IF(A1546="","",VLOOKUP(A1546,CadProd!$A:$C,3,0)),"")</f>
        <v/>
      </c>
      <c r="I1546" s="1" t="str">
        <f>IFERROR(IF(A1546="","",E1546*#REF!),"")</f>
        <v/>
      </c>
    </row>
    <row r="1547" spans="2:9" x14ac:dyDescent="0.3">
      <c r="B1547" t="str">
        <f>IFERROR(IF(A1547="","",VLOOKUP(A1547,CadProd!$A:$B,2,0)),"")</f>
        <v/>
      </c>
      <c r="C1547" t="str">
        <f>IFERROR(IF(A1547="","",VLOOKUP(A1547,CadProd!$A:$C,3,0)),"")</f>
        <v/>
      </c>
      <c r="I1547" s="1" t="str">
        <f>IFERROR(IF(A1547="","",E1547*#REF!),"")</f>
        <v/>
      </c>
    </row>
    <row r="1548" spans="2:9" x14ac:dyDescent="0.3">
      <c r="B1548" t="str">
        <f>IFERROR(IF(A1548="","",VLOOKUP(A1548,CadProd!$A:$B,2,0)),"")</f>
        <v/>
      </c>
      <c r="C1548" t="str">
        <f>IFERROR(IF(A1548="","",VLOOKUP(A1548,CadProd!$A:$C,3,0)),"")</f>
        <v/>
      </c>
      <c r="I1548" s="1" t="str">
        <f>IFERROR(IF(A1548="","",E1548*#REF!),"")</f>
        <v/>
      </c>
    </row>
    <row r="1549" spans="2:9" x14ac:dyDescent="0.3">
      <c r="B1549" t="str">
        <f>IFERROR(IF(A1549="","",VLOOKUP(A1549,CadProd!$A:$B,2,0)),"")</f>
        <v/>
      </c>
      <c r="C1549" t="str">
        <f>IFERROR(IF(A1549="","",VLOOKUP(A1549,CadProd!$A:$C,3,0)),"")</f>
        <v/>
      </c>
      <c r="I1549" s="1" t="str">
        <f>IFERROR(IF(A1549="","",E1549*#REF!),"")</f>
        <v/>
      </c>
    </row>
    <row r="1550" spans="2:9" x14ac:dyDescent="0.3">
      <c r="B1550" t="str">
        <f>IFERROR(IF(A1550="","",VLOOKUP(A1550,CadProd!$A:$B,2,0)),"")</f>
        <v/>
      </c>
      <c r="C1550" t="str">
        <f>IFERROR(IF(A1550="","",VLOOKUP(A1550,CadProd!$A:$C,3,0)),"")</f>
        <v/>
      </c>
      <c r="I1550" s="1" t="str">
        <f>IFERROR(IF(A1550="","",E1550*#REF!),"")</f>
        <v/>
      </c>
    </row>
    <row r="1551" spans="2:9" x14ac:dyDescent="0.3">
      <c r="B1551" t="str">
        <f>IFERROR(IF(A1551="","",VLOOKUP(A1551,CadProd!$A:$B,2,0)),"")</f>
        <v/>
      </c>
      <c r="C1551" t="str">
        <f>IFERROR(IF(A1551="","",VLOOKUP(A1551,CadProd!$A:$C,3,0)),"")</f>
        <v/>
      </c>
      <c r="I1551" s="1" t="str">
        <f>IFERROR(IF(A1551="","",E1551*#REF!),"")</f>
        <v/>
      </c>
    </row>
    <row r="1552" spans="2:9" x14ac:dyDescent="0.3">
      <c r="B1552" t="str">
        <f>IFERROR(IF(A1552="","",VLOOKUP(A1552,CadProd!$A:$B,2,0)),"")</f>
        <v/>
      </c>
      <c r="C1552" t="str">
        <f>IFERROR(IF(A1552="","",VLOOKUP(A1552,CadProd!$A:$C,3,0)),"")</f>
        <v/>
      </c>
      <c r="I1552" s="1" t="str">
        <f>IFERROR(IF(A1552="","",E1552*#REF!),"")</f>
        <v/>
      </c>
    </row>
    <row r="1553" spans="2:9" x14ac:dyDescent="0.3">
      <c r="B1553" t="str">
        <f>IFERROR(IF(A1553="","",VLOOKUP(A1553,CadProd!$A:$B,2,0)),"")</f>
        <v/>
      </c>
      <c r="C1553" t="str">
        <f>IFERROR(IF(A1553="","",VLOOKUP(A1553,CadProd!$A:$C,3,0)),"")</f>
        <v/>
      </c>
      <c r="I1553" s="1" t="str">
        <f>IFERROR(IF(A1553="","",E1553*#REF!),"")</f>
        <v/>
      </c>
    </row>
    <row r="1554" spans="2:9" x14ac:dyDescent="0.3">
      <c r="B1554" t="str">
        <f>IFERROR(IF(A1554="","",VLOOKUP(A1554,CadProd!$A:$B,2,0)),"")</f>
        <v/>
      </c>
      <c r="C1554" t="str">
        <f>IFERROR(IF(A1554="","",VLOOKUP(A1554,CadProd!$A:$C,3,0)),"")</f>
        <v/>
      </c>
      <c r="I1554" s="1" t="str">
        <f>IFERROR(IF(A1554="","",E1554*#REF!),"")</f>
        <v/>
      </c>
    </row>
    <row r="1555" spans="2:9" x14ac:dyDescent="0.3">
      <c r="B1555" t="str">
        <f>IFERROR(IF(A1555="","",VLOOKUP(A1555,CadProd!$A:$B,2,0)),"")</f>
        <v/>
      </c>
      <c r="C1555" t="str">
        <f>IFERROR(IF(A1555="","",VLOOKUP(A1555,CadProd!$A:$C,3,0)),"")</f>
        <v/>
      </c>
      <c r="I1555" s="1" t="str">
        <f>IFERROR(IF(A1555="","",E1555*#REF!),"")</f>
        <v/>
      </c>
    </row>
    <row r="1556" spans="2:9" x14ac:dyDescent="0.3">
      <c r="B1556" t="str">
        <f>IFERROR(IF(A1556="","",VLOOKUP(A1556,CadProd!$A:$B,2,0)),"")</f>
        <v/>
      </c>
      <c r="C1556" t="str">
        <f>IFERROR(IF(A1556="","",VLOOKUP(A1556,CadProd!$A:$C,3,0)),"")</f>
        <v/>
      </c>
      <c r="I1556" s="1" t="str">
        <f>IFERROR(IF(A1556="","",E1556*#REF!),"")</f>
        <v/>
      </c>
    </row>
    <row r="1557" spans="2:9" x14ac:dyDescent="0.3">
      <c r="B1557" t="str">
        <f>IFERROR(IF(A1557="","",VLOOKUP(A1557,CadProd!$A:$B,2,0)),"")</f>
        <v/>
      </c>
      <c r="C1557" t="str">
        <f>IFERROR(IF(A1557="","",VLOOKUP(A1557,CadProd!$A:$C,3,0)),"")</f>
        <v/>
      </c>
      <c r="I1557" s="1" t="str">
        <f>IFERROR(IF(A1557="","",E1557*#REF!),"")</f>
        <v/>
      </c>
    </row>
    <row r="1558" spans="2:9" x14ac:dyDescent="0.3">
      <c r="B1558" t="str">
        <f>IFERROR(IF(A1558="","",VLOOKUP(A1558,CadProd!$A:$B,2,0)),"")</f>
        <v/>
      </c>
      <c r="C1558" t="str">
        <f>IFERROR(IF(A1558="","",VLOOKUP(A1558,CadProd!$A:$C,3,0)),"")</f>
        <v/>
      </c>
      <c r="I1558" s="1" t="str">
        <f>IFERROR(IF(A1558="","",E1558*#REF!),"")</f>
        <v/>
      </c>
    </row>
    <row r="1559" spans="2:9" x14ac:dyDescent="0.3">
      <c r="B1559" t="str">
        <f>IFERROR(IF(A1559="","",VLOOKUP(A1559,CadProd!$A:$B,2,0)),"")</f>
        <v/>
      </c>
      <c r="C1559" t="str">
        <f>IFERROR(IF(A1559="","",VLOOKUP(A1559,CadProd!$A:$C,3,0)),"")</f>
        <v/>
      </c>
      <c r="I1559" s="1" t="str">
        <f>IFERROR(IF(A1559="","",E1559*#REF!),"")</f>
        <v/>
      </c>
    </row>
    <row r="1560" spans="2:9" x14ac:dyDescent="0.3">
      <c r="B1560" t="str">
        <f>IFERROR(IF(A1560="","",VLOOKUP(A1560,CadProd!$A:$B,2,0)),"")</f>
        <v/>
      </c>
      <c r="C1560" t="str">
        <f>IFERROR(IF(A1560="","",VLOOKUP(A1560,CadProd!$A:$C,3,0)),"")</f>
        <v/>
      </c>
      <c r="I1560" s="1" t="str">
        <f>IFERROR(IF(A1560="","",E1560*#REF!),"")</f>
        <v/>
      </c>
    </row>
    <row r="1561" spans="2:9" x14ac:dyDescent="0.3">
      <c r="B1561" t="str">
        <f>IFERROR(IF(A1561="","",VLOOKUP(A1561,CadProd!$A:$B,2,0)),"")</f>
        <v/>
      </c>
      <c r="C1561" t="str">
        <f>IFERROR(IF(A1561="","",VLOOKUP(A1561,CadProd!$A:$C,3,0)),"")</f>
        <v/>
      </c>
      <c r="I1561" s="1" t="str">
        <f>IFERROR(IF(A1561="","",E1561*#REF!),"")</f>
        <v/>
      </c>
    </row>
    <row r="1562" spans="2:9" x14ac:dyDescent="0.3">
      <c r="B1562" t="str">
        <f>IFERROR(IF(A1562="","",VLOOKUP(A1562,CadProd!$A:$B,2,0)),"")</f>
        <v/>
      </c>
      <c r="C1562" t="str">
        <f>IFERROR(IF(A1562="","",VLOOKUP(A1562,CadProd!$A:$C,3,0)),"")</f>
        <v/>
      </c>
      <c r="I1562" s="1" t="str">
        <f>IFERROR(IF(A1562="","",E1562*#REF!),"")</f>
        <v/>
      </c>
    </row>
    <row r="1563" spans="2:9" x14ac:dyDescent="0.3">
      <c r="B1563" t="str">
        <f>IFERROR(IF(A1563="","",VLOOKUP(A1563,CadProd!$A:$B,2,0)),"")</f>
        <v/>
      </c>
      <c r="C1563" t="str">
        <f>IFERROR(IF(A1563="","",VLOOKUP(A1563,CadProd!$A:$C,3,0)),"")</f>
        <v/>
      </c>
      <c r="I1563" s="1" t="str">
        <f>IFERROR(IF(A1563="","",E1563*#REF!),"")</f>
        <v/>
      </c>
    </row>
    <row r="1564" spans="2:9" x14ac:dyDescent="0.3">
      <c r="B1564" t="str">
        <f>IFERROR(IF(A1564="","",VLOOKUP(A1564,CadProd!$A:$B,2,0)),"")</f>
        <v/>
      </c>
      <c r="C1564" t="str">
        <f>IFERROR(IF(A1564="","",VLOOKUP(A1564,CadProd!$A:$C,3,0)),"")</f>
        <v/>
      </c>
      <c r="I1564" s="1" t="str">
        <f>IFERROR(IF(A1564="","",E1564*#REF!),"")</f>
        <v/>
      </c>
    </row>
    <row r="1565" spans="2:9" x14ac:dyDescent="0.3">
      <c r="B1565" t="str">
        <f>IFERROR(IF(A1565="","",VLOOKUP(A1565,CadProd!$A:$B,2,0)),"")</f>
        <v/>
      </c>
      <c r="C1565" t="str">
        <f>IFERROR(IF(A1565="","",VLOOKUP(A1565,CadProd!$A:$C,3,0)),"")</f>
        <v/>
      </c>
      <c r="I1565" s="1" t="str">
        <f>IFERROR(IF(A1565="","",E1565*#REF!),"")</f>
        <v/>
      </c>
    </row>
    <row r="1566" spans="2:9" x14ac:dyDescent="0.3">
      <c r="B1566" t="str">
        <f>IFERROR(IF(A1566="","",VLOOKUP(A1566,CadProd!$A:$B,2,0)),"")</f>
        <v/>
      </c>
      <c r="C1566" t="str">
        <f>IFERROR(IF(A1566="","",VLOOKUP(A1566,CadProd!$A:$C,3,0)),"")</f>
        <v/>
      </c>
      <c r="I1566" s="1" t="str">
        <f>IFERROR(IF(A1566="","",E1566*#REF!),"")</f>
        <v/>
      </c>
    </row>
    <row r="1567" spans="2:9" x14ac:dyDescent="0.3">
      <c r="B1567" t="str">
        <f>IFERROR(IF(A1567="","",VLOOKUP(A1567,CadProd!$A:$B,2,0)),"")</f>
        <v/>
      </c>
      <c r="C1567" t="str">
        <f>IFERROR(IF(A1567="","",VLOOKUP(A1567,CadProd!$A:$C,3,0)),"")</f>
        <v/>
      </c>
      <c r="I1567" s="1" t="str">
        <f>IFERROR(IF(A1567="","",E1567*#REF!),"")</f>
        <v/>
      </c>
    </row>
    <row r="1568" spans="2:9" x14ac:dyDescent="0.3">
      <c r="B1568" t="str">
        <f>IFERROR(IF(A1568="","",VLOOKUP(A1568,CadProd!$A:$B,2,0)),"")</f>
        <v/>
      </c>
      <c r="C1568" t="str">
        <f>IFERROR(IF(A1568="","",VLOOKUP(A1568,CadProd!$A:$C,3,0)),"")</f>
        <v/>
      </c>
      <c r="I1568" s="1" t="str">
        <f>IFERROR(IF(A1568="","",E1568*#REF!),"")</f>
        <v/>
      </c>
    </row>
    <row r="1569" spans="2:9" x14ac:dyDescent="0.3">
      <c r="B1569" t="str">
        <f>IFERROR(IF(A1569="","",VLOOKUP(A1569,CadProd!$A:$B,2,0)),"")</f>
        <v/>
      </c>
      <c r="C1569" t="str">
        <f>IFERROR(IF(A1569="","",VLOOKUP(A1569,CadProd!$A:$C,3,0)),"")</f>
        <v/>
      </c>
      <c r="I1569" s="1" t="str">
        <f>IFERROR(IF(A1569="","",E1569*#REF!),"")</f>
        <v/>
      </c>
    </row>
    <row r="1570" spans="2:9" x14ac:dyDescent="0.3">
      <c r="B1570" t="str">
        <f>IFERROR(IF(A1570="","",VLOOKUP(A1570,CadProd!$A:$B,2,0)),"")</f>
        <v/>
      </c>
      <c r="C1570" t="str">
        <f>IFERROR(IF(A1570="","",VLOOKUP(A1570,CadProd!$A:$C,3,0)),"")</f>
        <v/>
      </c>
      <c r="I1570" s="1" t="str">
        <f>IFERROR(IF(A1570="","",E1570*#REF!),"")</f>
        <v/>
      </c>
    </row>
    <row r="1571" spans="2:9" x14ac:dyDescent="0.3">
      <c r="B1571" t="str">
        <f>IFERROR(IF(A1571="","",VLOOKUP(A1571,CadProd!$A:$B,2,0)),"")</f>
        <v/>
      </c>
      <c r="C1571" t="str">
        <f>IFERROR(IF(A1571="","",VLOOKUP(A1571,CadProd!$A:$C,3,0)),"")</f>
        <v/>
      </c>
      <c r="I1571" s="1" t="str">
        <f>IFERROR(IF(A1571="","",E1571*#REF!),"")</f>
        <v/>
      </c>
    </row>
    <row r="1572" spans="2:9" x14ac:dyDescent="0.3">
      <c r="B1572" t="str">
        <f>IFERROR(IF(A1572="","",VLOOKUP(A1572,CadProd!$A:$B,2,0)),"")</f>
        <v/>
      </c>
      <c r="C1572" t="str">
        <f>IFERROR(IF(A1572="","",VLOOKUP(A1572,CadProd!$A:$C,3,0)),"")</f>
        <v/>
      </c>
      <c r="I1572" s="1" t="str">
        <f>IFERROR(IF(A1572="","",E1572*#REF!),"")</f>
        <v/>
      </c>
    </row>
    <row r="1573" spans="2:9" x14ac:dyDescent="0.3">
      <c r="B1573" t="str">
        <f>IFERROR(IF(A1573="","",VLOOKUP(A1573,CadProd!$A:$B,2,0)),"")</f>
        <v/>
      </c>
      <c r="C1573" t="str">
        <f>IFERROR(IF(A1573="","",VLOOKUP(A1573,CadProd!$A:$C,3,0)),"")</f>
        <v/>
      </c>
      <c r="I1573" s="1" t="str">
        <f>IFERROR(IF(A1573="","",E1573*#REF!),"")</f>
        <v/>
      </c>
    </row>
    <row r="1574" spans="2:9" x14ac:dyDescent="0.3">
      <c r="B1574" t="str">
        <f>IFERROR(IF(A1574="","",VLOOKUP(A1574,CadProd!$A:$B,2,0)),"")</f>
        <v/>
      </c>
      <c r="C1574" t="str">
        <f>IFERROR(IF(A1574="","",VLOOKUP(A1574,CadProd!$A:$C,3,0)),"")</f>
        <v/>
      </c>
      <c r="I1574" s="1" t="str">
        <f>IFERROR(IF(A1574="","",E1574*#REF!),"")</f>
        <v/>
      </c>
    </row>
    <row r="1575" spans="2:9" x14ac:dyDescent="0.3">
      <c r="B1575" t="str">
        <f>IFERROR(IF(A1575="","",VLOOKUP(A1575,CadProd!$A:$B,2,0)),"")</f>
        <v/>
      </c>
      <c r="C1575" t="str">
        <f>IFERROR(IF(A1575="","",VLOOKUP(A1575,CadProd!$A:$C,3,0)),"")</f>
        <v/>
      </c>
      <c r="I1575" s="1" t="str">
        <f>IFERROR(IF(A1575="","",E1575*#REF!),"")</f>
        <v/>
      </c>
    </row>
    <row r="1576" spans="2:9" x14ac:dyDescent="0.3">
      <c r="B1576" t="str">
        <f>IFERROR(IF(A1576="","",VLOOKUP(A1576,CadProd!$A:$B,2,0)),"")</f>
        <v/>
      </c>
      <c r="C1576" t="str">
        <f>IFERROR(IF(A1576="","",VLOOKUP(A1576,CadProd!$A:$C,3,0)),"")</f>
        <v/>
      </c>
      <c r="I1576" s="1" t="str">
        <f>IFERROR(IF(A1576="","",E1576*#REF!),"")</f>
        <v/>
      </c>
    </row>
    <row r="1577" spans="2:9" x14ac:dyDescent="0.3">
      <c r="B1577" t="str">
        <f>IFERROR(IF(A1577="","",VLOOKUP(A1577,CadProd!$A:$B,2,0)),"")</f>
        <v/>
      </c>
      <c r="C1577" t="str">
        <f>IFERROR(IF(A1577="","",VLOOKUP(A1577,CadProd!$A:$C,3,0)),"")</f>
        <v/>
      </c>
      <c r="I1577" s="1" t="str">
        <f>IFERROR(IF(A1577="","",E1577*#REF!),"")</f>
        <v/>
      </c>
    </row>
    <row r="1578" spans="2:9" x14ac:dyDescent="0.3">
      <c r="B1578" t="str">
        <f>IFERROR(IF(A1578="","",VLOOKUP(A1578,CadProd!$A:$B,2,0)),"")</f>
        <v/>
      </c>
      <c r="C1578" t="str">
        <f>IFERROR(IF(A1578="","",VLOOKUP(A1578,CadProd!$A:$C,3,0)),"")</f>
        <v/>
      </c>
      <c r="I1578" s="1" t="str">
        <f>IFERROR(IF(A1578="","",E1578*#REF!),"")</f>
        <v/>
      </c>
    </row>
    <row r="1579" spans="2:9" x14ac:dyDescent="0.3">
      <c r="B1579" t="str">
        <f>IFERROR(IF(A1579="","",VLOOKUP(A1579,CadProd!$A:$B,2,0)),"")</f>
        <v/>
      </c>
      <c r="C1579" t="str">
        <f>IFERROR(IF(A1579="","",VLOOKUP(A1579,CadProd!$A:$C,3,0)),"")</f>
        <v/>
      </c>
      <c r="I1579" s="1" t="str">
        <f>IFERROR(IF(A1579="","",E1579*#REF!),"")</f>
        <v/>
      </c>
    </row>
    <row r="1580" spans="2:9" x14ac:dyDescent="0.3">
      <c r="B1580" t="str">
        <f>IFERROR(IF(A1580="","",VLOOKUP(A1580,CadProd!$A:$B,2,0)),"")</f>
        <v/>
      </c>
      <c r="C1580" t="str">
        <f>IFERROR(IF(A1580="","",VLOOKUP(A1580,CadProd!$A:$C,3,0)),"")</f>
        <v/>
      </c>
      <c r="I1580" s="1" t="str">
        <f>IFERROR(IF(A1580="","",E1580*#REF!),"")</f>
        <v/>
      </c>
    </row>
    <row r="1581" spans="2:9" x14ac:dyDescent="0.3">
      <c r="B1581" t="str">
        <f>IFERROR(IF(A1581="","",VLOOKUP(A1581,CadProd!$A:$B,2,0)),"")</f>
        <v/>
      </c>
      <c r="C1581" t="str">
        <f>IFERROR(IF(A1581="","",VLOOKUP(A1581,CadProd!$A:$C,3,0)),"")</f>
        <v/>
      </c>
      <c r="I1581" s="1" t="str">
        <f>IFERROR(IF(A1581="","",E1581*#REF!),"")</f>
        <v/>
      </c>
    </row>
    <row r="1582" spans="2:9" x14ac:dyDescent="0.3">
      <c r="B1582" t="str">
        <f>IFERROR(IF(A1582="","",VLOOKUP(A1582,CadProd!$A:$B,2,0)),"")</f>
        <v/>
      </c>
      <c r="C1582" t="str">
        <f>IFERROR(IF(A1582="","",VLOOKUP(A1582,CadProd!$A:$C,3,0)),"")</f>
        <v/>
      </c>
      <c r="I1582" s="1" t="str">
        <f>IFERROR(IF(A1582="","",E1582*#REF!),"")</f>
        <v/>
      </c>
    </row>
    <row r="1583" spans="2:9" x14ac:dyDescent="0.3">
      <c r="B1583" t="str">
        <f>IFERROR(IF(A1583="","",VLOOKUP(A1583,CadProd!$A:$B,2,0)),"")</f>
        <v/>
      </c>
      <c r="C1583" t="str">
        <f>IFERROR(IF(A1583="","",VLOOKUP(A1583,CadProd!$A:$C,3,0)),"")</f>
        <v/>
      </c>
      <c r="I1583" s="1" t="str">
        <f>IFERROR(IF(A1583="","",E1583*#REF!),"")</f>
        <v/>
      </c>
    </row>
    <row r="1584" spans="2:9" x14ac:dyDescent="0.3">
      <c r="B1584" t="str">
        <f>IFERROR(IF(A1584="","",VLOOKUP(A1584,CadProd!$A:$B,2,0)),"")</f>
        <v/>
      </c>
      <c r="C1584" t="str">
        <f>IFERROR(IF(A1584="","",VLOOKUP(A1584,CadProd!$A:$C,3,0)),"")</f>
        <v/>
      </c>
      <c r="I1584" s="1" t="str">
        <f>IFERROR(IF(A1584="","",E1584*#REF!),"")</f>
        <v/>
      </c>
    </row>
    <row r="1585" spans="2:9" x14ac:dyDescent="0.3">
      <c r="B1585" t="str">
        <f>IFERROR(IF(A1585="","",VLOOKUP(A1585,CadProd!$A:$B,2,0)),"")</f>
        <v/>
      </c>
      <c r="C1585" t="str">
        <f>IFERROR(IF(A1585="","",VLOOKUP(A1585,CadProd!$A:$C,3,0)),"")</f>
        <v/>
      </c>
      <c r="I1585" s="1" t="str">
        <f>IFERROR(IF(A1585="","",E1585*#REF!),"")</f>
        <v/>
      </c>
    </row>
    <row r="1586" spans="2:9" x14ac:dyDescent="0.3">
      <c r="B1586" t="str">
        <f>IFERROR(IF(A1586="","",VLOOKUP(A1586,CadProd!$A:$B,2,0)),"")</f>
        <v/>
      </c>
      <c r="C1586" t="str">
        <f>IFERROR(IF(A1586="","",VLOOKUP(A1586,CadProd!$A:$C,3,0)),"")</f>
        <v/>
      </c>
      <c r="I1586" s="1" t="str">
        <f>IFERROR(IF(A1586="","",E1586*#REF!),"")</f>
        <v/>
      </c>
    </row>
    <row r="1587" spans="2:9" x14ac:dyDescent="0.3">
      <c r="B1587" t="str">
        <f>IFERROR(IF(A1587="","",VLOOKUP(A1587,CadProd!$A:$B,2,0)),"")</f>
        <v/>
      </c>
      <c r="C1587" t="str">
        <f>IFERROR(IF(A1587="","",VLOOKUP(A1587,CadProd!$A:$C,3,0)),"")</f>
        <v/>
      </c>
      <c r="I1587" s="1" t="str">
        <f>IFERROR(IF(A1587="","",E1587*#REF!),"")</f>
        <v/>
      </c>
    </row>
    <row r="1588" spans="2:9" x14ac:dyDescent="0.3">
      <c r="B1588" t="str">
        <f>IFERROR(IF(A1588="","",VLOOKUP(A1588,CadProd!$A:$B,2,0)),"")</f>
        <v/>
      </c>
      <c r="C1588" t="str">
        <f>IFERROR(IF(A1588="","",VLOOKUP(A1588,CadProd!$A:$C,3,0)),"")</f>
        <v/>
      </c>
      <c r="I1588" s="1" t="str">
        <f>IFERROR(IF(A1588="","",E1588*#REF!),"")</f>
        <v/>
      </c>
    </row>
    <row r="1589" spans="2:9" x14ac:dyDescent="0.3">
      <c r="B1589" t="str">
        <f>IFERROR(IF(A1589="","",VLOOKUP(A1589,CadProd!$A:$B,2,0)),"")</f>
        <v/>
      </c>
      <c r="C1589" t="str">
        <f>IFERROR(IF(A1589="","",VLOOKUP(A1589,CadProd!$A:$C,3,0)),"")</f>
        <v/>
      </c>
      <c r="I1589" s="1" t="str">
        <f>IFERROR(IF(A1589="","",E1589*#REF!),"")</f>
        <v/>
      </c>
    </row>
    <row r="1590" spans="2:9" x14ac:dyDescent="0.3">
      <c r="B1590" t="str">
        <f>IFERROR(IF(A1590="","",VLOOKUP(A1590,CadProd!$A:$B,2,0)),"")</f>
        <v/>
      </c>
      <c r="C1590" t="str">
        <f>IFERROR(IF(A1590="","",VLOOKUP(A1590,CadProd!$A:$C,3,0)),"")</f>
        <v/>
      </c>
      <c r="I1590" s="1" t="str">
        <f>IFERROR(IF(A1590="","",E1590*#REF!),"")</f>
        <v/>
      </c>
    </row>
    <row r="1591" spans="2:9" x14ac:dyDescent="0.3">
      <c r="B1591" t="str">
        <f>IFERROR(IF(A1591="","",VLOOKUP(A1591,CadProd!$A:$B,2,0)),"")</f>
        <v/>
      </c>
      <c r="C1591" t="str">
        <f>IFERROR(IF(A1591="","",VLOOKUP(A1591,CadProd!$A:$C,3,0)),"")</f>
        <v/>
      </c>
      <c r="I1591" s="1" t="str">
        <f>IFERROR(IF(A1591="","",E1591*#REF!),"")</f>
        <v/>
      </c>
    </row>
    <row r="1592" spans="2:9" x14ac:dyDescent="0.3">
      <c r="B1592" t="str">
        <f>IFERROR(IF(A1592="","",VLOOKUP(A1592,CadProd!$A:$B,2,0)),"")</f>
        <v/>
      </c>
      <c r="C1592" t="str">
        <f>IFERROR(IF(A1592="","",VLOOKUP(A1592,CadProd!$A:$C,3,0)),"")</f>
        <v/>
      </c>
      <c r="I1592" s="1" t="str">
        <f>IFERROR(IF(A1592="","",E1592*#REF!),"")</f>
        <v/>
      </c>
    </row>
    <row r="1593" spans="2:9" x14ac:dyDescent="0.3">
      <c r="B1593" t="str">
        <f>IFERROR(IF(A1593="","",VLOOKUP(A1593,CadProd!$A:$B,2,0)),"")</f>
        <v/>
      </c>
      <c r="C1593" t="str">
        <f>IFERROR(IF(A1593="","",VLOOKUP(A1593,CadProd!$A:$C,3,0)),"")</f>
        <v/>
      </c>
      <c r="I1593" s="1" t="str">
        <f>IFERROR(IF(A1593="","",E1593*#REF!),"")</f>
        <v/>
      </c>
    </row>
    <row r="1594" spans="2:9" x14ac:dyDescent="0.3">
      <c r="B1594" t="str">
        <f>IFERROR(IF(A1594="","",VLOOKUP(A1594,CadProd!$A:$B,2,0)),"")</f>
        <v/>
      </c>
      <c r="C1594" t="str">
        <f>IFERROR(IF(A1594="","",VLOOKUP(A1594,CadProd!$A:$C,3,0)),"")</f>
        <v/>
      </c>
      <c r="I1594" s="1" t="str">
        <f>IFERROR(IF(A1594="","",E1594*#REF!),"")</f>
        <v/>
      </c>
    </row>
    <row r="1595" spans="2:9" x14ac:dyDescent="0.3">
      <c r="B1595" t="str">
        <f>IFERROR(IF(A1595="","",VLOOKUP(A1595,CadProd!$A:$B,2,0)),"")</f>
        <v/>
      </c>
      <c r="C1595" t="str">
        <f>IFERROR(IF(A1595="","",VLOOKUP(A1595,CadProd!$A:$C,3,0)),"")</f>
        <v/>
      </c>
      <c r="I1595" s="1" t="str">
        <f>IFERROR(IF(A1595="","",E1595*#REF!),"")</f>
        <v/>
      </c>
    </row>
    <row r="1596" spans="2:9" x14ac:dyDescent="0.3">
      <c r="B1596" t="str">
        <f>IFERROR(IF(A1596="","",VLOOKUP(A1596,CadProd!$A:$B,2,0)),"")</f>
        <v/>
      </c>
      <c r="C1596" t="str">
        <f>IFERROR(IF(A1596="","",VLOOKUP(A1596,CadProd!$A:$C,3,0)),"")</f>
        <v/>
      </c>
      <c r="I1596" s="1" t="str">
        <f>IFERROR(IF(A1596="","",E1596*#REF!),"")</f>
        <v/>
      </c>
    </row>
    <row r="1597" spans="2:9" x14ac:dyDescent="0.3">
      <c r="B1597" t="str">
        <f>IFERROR(IF(A1597="","",VLOOKUP(A1597,CadProd!$A:$B,2,0)),"")</f>
        <v/>
      </c>
      <c r="C1597" t="str">
        <f>IFERROR(IF(A1597="","",VLOOKUP(A1597,CadProd!$A:$C,3,0)),"")</f>
        <v/>
      </c>
      <c r="I1597" s="1" t="str">
        <f>IFERROR(IF(A1597="","",E1597*#REF!),"")</f>
        <v/>
      </c>
    </row>
    <row r="1598" spans="2:9" x14ac:dyDescent="0.3">
      <c r="B1598" t="str">
        <f>IFERROR(IF(A1598="","",VLOOKUP(A1598,CadProd!$A:$B,2,0)),"")</f>
        <v/>
      </c>
      <c r="C1598" t="str">
        <f>IFERROR(IF(A1598="","",VLOOKUP(A1598,CadProd!$A:$C,3,0)),"")</f>
        <v/>
      </c>
      <c r="I1598" s="1" t="str">
        <f>IFERROR(IF(A1598="","",E1598*#REF!),"")</f>
        <v/>
      </c>
    </row>
    <row r="1599" spans="2:9" x14ac:dyDescent="0.3">
      <c r="B1599" t="str">
        <f>IFERROR(IF(A1599="","",VLOOKUP(A1599,CadProd!$A:$B,2,0)),"")</f>
        <v/>
      </c>
      <c r="C1599" t="str">
        <f>IFERROR(IF(A1599="","",VLOOKUP(A1599,CadProd!$A:$C,3,0)),"")</f>
        <v/>
      </c>
      <c r="I1599" s="1" t="str">
        <f>IFERROR(IF(A1599="","",E1599*#REF!),"")</f>
        <v/>
      </c>
    </row>
    <row r="1600" spans="2:9" x14ac:dyDescent="0.3">
      <c r="B1600" t="str">
        <f>IFERROR(IF(A1600="","",VLOOKUP(A1600,CadProd!$A:$B,2,0)),"")</f>
        <v/>
      </c>
      <c r="C1600" t="str">
        <f>IFERROR(IF(A1600="","",VLOOKUP(A1600,CadProd!$A:$C,3,0)),"")</f>
        <v/>
      </c>
      <c r="I1600" s="1" t="str">
        <f>IFERROR(IF(A1600="","",E1600*#REF!),"")</f>
        <v/>
      </c>
    </row>
    <row r="1601" spans="2:9" x14ac:dyDescent="0.3">
      <c r="B1601" t="str">
        <f>IFERROR(IF(A1601="","",VLOOKUP(A1601,CadProd!$A:$B,2,0)),"")</f>
        <v/>
      </c>
      <c r="C1601" t="str">
        <f>IFERROR(IF(A1601="","",VLOOKUP(A1601,CadProd!$A:$C,3,0)),"")</f>
        <v/>
      </c>
      <c r="I1601" s="1" t="str">
        <f>IFERROR(IF(A1601="","",E1601*#REF!),"")</f>
        <v/>
      </c>
    </row>
    <row r="1602" spans="2:9" x14ac:dyDescent="0.3">
      <c r="B1602" t="str">
        <f>IFERROR(IF(A1602="","",VLOOKUP(A1602,CadProd!$A:$B,2,0)),"")</f>
        <v/>
      </c>
      <c r="C1602" t="str">
        <f>IFERROR(IF(A1602="","",VLOOKUP(A1602,CadProd!$A:$C,3,0)),"")</f>
        <v/>
      </c>
      <c r="I1602" s="1" t="str">
        <f>IFERROR(IF(A1602="","",E1602*#REF!),"")</f>
        <v/>
      </c>
    </row>
    <row r="1603" spans="2:9" x14ac:dyDescent="0.3">
      <c r="B1603" t="str">
        <f>IFERROR(IF(A1603="","",VLOOKUP(A1603,CadProd!$A:$B,2,0)),"")</f>
        <v/>
      </c>
      <c r="C1603" t="str">
        <f>IFERROR(IF(A1603="","",VLOOKUP(A1603,CadProd!$A:$C,3,0)),"")</f>
        <v/>
      </c>
      <c r="I1603" s="1" t="str">
        <f>IFERROR(IF(A1603="","",E1603*#REF!),"")</f>
        <v/>
      </c>
    </row>
    <row r="1604" spans="2:9" x14ac:dyDescent="0.3">
      <c r="B1604" t="str">
        <f>IFERROR(IF(A1604="","",VLOOKUP(A1604,CadProd!$A:$B,2,0)),"")</f>
        <v/>
      </c>
      <c r="C1604" t="str">
        <f>IFERROR(IF(A1604="","",VLOOKUP(A1604,CadProd!$A:$C,3,0)),"")</f>
        <v/>
      </c>
      <c r="I1604" s="1" t="str">
        <f>IFERROR(IF(A1604="","",E1604*#REF!),"")</f>
        <v/>
      </c>
    </row>
    <row r="1605" spans="2:9" x14ac:dyDescent="0.3">
      <c r="B1605" t="str">
        <f>IFERROR(IF(A1605="","",VLOOKUP(A1605,CadProd!$A:$B,2,0)),"")</f>
        <v/>
      </c>
      <c r="C1605" t="str">
        <f>IFERROR(IF(A1605="","",VLOOKUP(A1605,CadProd!$A:$C,3,0)),"")</f>
        <v/>
      </c>
      <c r="I1605" s="1" t="str">
        <f>IFERROR(IF(A1605="","",E1605*#REF!),"")</f>
        <v/>
      </c>
    </row>
    <row r="1606" spans="2:9" x14ac:dyDescent="0.3">
      <c r="B1606" t="str">
        <f>IFERROR(IF(A1606="","",VLOOKUP(A1606,CadProd!$A:$B,2,0)),"")</f>
        <v/>
      </c>
      <c r="C1606" t="str">
        <f>IFERROR(IF(A1606="","",VLOOKUP(A1606,CadProd!$A:$C,3,0)),"")</f>
        <v/>
      </c>
      <c r="I1606" s="1" t="str">
        <f>IFERROR(IF(A1606="","",E1606*#REF!),"")</f>
        <v/>
      </c>
    </row>
    <row r="1607" spans="2:9" x14ac:dyDescent="0.3">
      <c r="B1607" t="str">
        <f>IFERROR(IF(A1607="","",VLOOKUP(A1607,CadProd!$A:$B,2,0)),"")</f>
        <v/>
      </c>
      <c r="C1607" t="str">
        <f>IFERROR(IF(A1607="","",VLOOKUP(A1607,CadProd!$A:$C,3,0)),"")</f>
        <v/>
      </c>
      <c r="I1607" s="1" t="str">
        <f>IFERROR(IF(A1607="","",E1607*#REF!),"")</f>
        <v/>
      </c>
    </row>
    <row r="1608" spans="2:9" x14ac:dyDescent="0.3">
      <c r="B1608" t="str">
        <f>IFERROR(IF(A1608="","",VLOOKUP(A1608,CadProd!$A:$B,2,0)),"")</f>
        <v/>
      </c>
      <c r="C1608" t="str">
        <f>IFERROR(IF(A1608="","",VLOOKUP(A1608,CadProd!$A:$C,3,0)),"")</f>
        <v/>
      </c>
      <c r="I1608" s="1" t="str">
        <f>IFERROR(IF(A1608="","",E1608*#REF!),"")</f>
        <v/>
      </c>
    </row>
    <row r="1609" spans="2:9" x14ac:dyDescent="0.3">
      <c r="B1609" t="str">
        <f>IFERROR(IF(A1609="","",VLOOKUP(A1609,CadProd!$A:$B,2,0)),"")</f>
        <v/>
      </c>
      <c r="C1609" t="str">
        <f>IFERROR(IF(A1609="","",VLOOKUP(A1609,CadProd!$A:$C,3,0)),"")</f>
        <v/>
      </c>
      <c r="I1609" s="1" t="str">
        <f>IFERROR(IF(A1609="","",E1609*#REF!),"")</f>
        <v/>
      </c>
    </row>
    <row r="1610" spans="2:9" x14ac:dyDescent="0.3">
      <c r="B1610" t="str">
        <f>IFERROR(IF(A1610="","",VLOOKUP(A1610,CadProd!$A:$B,2,0)),"")</f>
        <v/>
      </c>
      <c r="C1610" t="str">
        <f>IFERROR(IF(A1610="","",VLOOKUP(A1610,CadProd!$A:$C,3,0)),"")</f>
        <v/>
      </c>
      <c r="I1610" s="1" t="str">
        <f>IFERROR(IF(A1610="","",E1610*#REF!),"")</f>
        <v/>
      </c>
    </row>
    <row r="1611" spans="2:9" x14ac:dyDescent="0.3">
      <c r="B1611" t="str">
        <f>IFERROR(IF(A1611="","",VLOOKUP(A1611,CadProd!$A:$B,2,0)),"")</f>
        <v/>
      </c>
      <c r="C1611" t="str">
        <f>IFERROR(IF(A1611="","",VLOOKUP(A1611,CadProd!$A:$C,3,0)),"")</f>
        <v/>
      </c>
      <c r="I1611" s="1" t="str">
        <f>IFERROR(IF(A1611="","",E1611*#REF!),"")</f>
        <v/>
      </c>
    </row>
    <row r="1612" spans="2:9" x14ac:dyDescent="0.3">
      <c r="B1612" t="str">
        <f>IFERROR(IF(A1612="","",VLOOKUP(A1612,CadProd!$A:$B,2,0)),"")</f>
        <v/>
      </c>
      <c r="C1612" t="str">
        <f>IFERROR(IF(A1612="","",VLOOKUP(A1612,CadProd!$A:$C,3,0)),"")</f>
        <v/>
      </c>
      <c r="I1612" s="1" t="str">
        <f>IFERROR(IF(A1612="","",E1612*#REF!),"")</f>
        <v/>
      </c>
    </row>
    <row r="1613" spans="2:9" x14ac:dyDescent="0.3">
      <c r="B1613" t="str">
        <f>IFERROR(IF(A1613="","",VLOOKUP(A1613,CadProd!$A:$B,2,0)),"")</f>
        <v/>
      </c>
      <c r="C1613" t="str">
        <f>IFERROR(IF(A1613="","",VLOOKUP(A1613,CadProd!$A:$C,3,0)),"")</f>
        <v/>
      </c>
      <c r="I1613" s="1" t="str">
        <f>IFERROR(IF(A1613="","",E1613*#REF!),"")</f>
        <v/>
      </c>
    </row>
    <row r="1614" spans="2:9" x14ac:dyDescent="0.3">
      <c r="B1614" t="str">
        <f>IFERROR(IF(A1614="","",VLOOKUP(A1614,CadProd!$A:$B,2,0)),"")</f>
        <v/>
      </c>
      <c r="C1614" t="str">
        <f>IFERROR(IF(A1614="","",VLOOKUP(A1614,CadProd!$A:$C,3,0)),"")</f>
        <v/>
      </c>
      <c r="I1614" s="1" t="str">
        <f>IFERROR(IF(A1614="","",E1614*#REF!),"")</f>
        <v/>
      </c>
    </row>
    <row r="1615" spans="2:9" x14ac:dyDescent="0.3">
      <c r="B1615" t="str">
        <f>IFERROR(IF(A1615="","",VLOOKUP(A1615,CadProd!$A:$B,2,0)),"")</f>
        <v/>
      </c>
      <c r="C1615" t="str">
        <f>IFERROR(IF(A1615="","",VLOOKUP(A1615,CadProd!$A:$C,3,0)),"")</f>
        <v/>
      </c>
      <c r="I1615" s="1" t="str">
        <f>IFERROR(IF(A1615="","",E1615*#REF!),"")</f>
        <v/>
      </c>
    </row>
    <row r="1616" spans="2:9" x14ac:dyDescent="0.3">
      <c r="B1616" t="str">
        <f>IFERROR(IF(A1616="","",VLOOKUP(A1616,CadProd!$A:$B,2,0)),"")</f>
        <v/>
      </c>
      <c r="C1616" t="str">
        <f>IFERROR(IF(A1616="","",VLOOKUP(A1616,CadProd!$A:$C,3,0)),"")</f>
        <v/>
      </c>
      <c r="I1616" s="1" t="str">
        <f>IFERROR(IF(A1616="","",E1616*#REF!),"")</f>
        <v/>
      </c>
    </row>
    <row r="1617" spans="2:9" x14ac:dyDescent="0.3">
      <c r="B1617" t="str">
        <f>IFERROR(IF(A1617="","",VLOOKUP(A1617,CadProd!$A:$B,2,0)),"")</f>
        <v/>
      </c>
      <c r="C1617" t="str">
        <f>IFERROR(IF(A1617="","",VLOOKUP(A1617,CadProd!$A:$C,3,0)),"")</f>
        <v/>
      </c>
      <c r="I1617" s="1" t="str">
        <f>IFERROR(IF(A1617="","",E1617*#REF!),"")</f>
        <v/>
      </c>
    </row>
    <row r="1618" spans="2:9" x14ac:dyDescent="0.3">
      <c r="B1618" t="str">
        <f>IFERROR(IF(A1618="","",VLOOKUP(A1618,CadProd!$A:$B,2,0)),"")</f>
        <v/>
      </c>
      <c r="C1618" t="str">
        <f>IFERROR(IF(A1618="","",VLOOKUP(A1618,CadProd!$A:$C,3,0)),"")</f>
        <v/>
      </c>
      <c r="I1618" s="1" t="str">
        <f>IFERROR(IF(A1618="","",E1618*#REF!),"")</f>
        <v/>
      </c>
    </row>
    <row r="1619" spans="2:9" x14ac:dyDescent="0.3">
      <c r="B1619" t="str">
        <f>IFERROR(IF(A1619="","",VLOOKUP(A1619,CadProd!$A:$B,2,0)),"")</f>
        <v/>
      </c>
      <c r="C1619" t="str">
        <f>IFERROR(IF(A1619="","",VLOOKUP(A1619,CadProd!$A:$C,3,0)),"")</f>
        <v/>
      </c>
      <c r="I1619" s="1" t="str">
        <f>IFERROR(IF(A1619="","",E1619*#REF!),"")</f>
        <v/>
      </c>
    </row>
    <row r="1620" spans="2:9" x14ac:dyDescent="0.3">
      <c r="B1620" t="str">
        <f>IFERROR(IF(A1620="","",VLOOKUP(A1620,CadProd!$A:$B,2,0)),"")</f>
        <v/>
      </c>
      <c r="C1620" t="str">
        <f>IFERROR(IF(A1620="","",VLOOKUP(A1620,CadProd!$A:$C,3,0)),"")</f>
        <v/>
      </c>
      <c r="I1620" s="1" t="str">
        <f>IFERROR(IF(A1620="","",E1620*#REF!),"")</f>
        <v/>
      </c>
    </row>
    <row r="1621" spans="2:9" x14ac:dyDescent="0.3">
      <c r="B1621" t="str">
        <f>IFERROR(IF(A1621="","",VLOOKUP(A1621,CadProd!$A:$B,2,0)),"")</f>
        <v/>
      </c>
      <c r="C1621" t="str">
        <f>IFERROR(IF(A1621="","",VLOOKUP(A1621,CadProd!$A:$C,3,0)),"")</f>
        <v/>
      </c>
      <c r="I1621" s="1" t="str">
        <f>IFERROR(IF(A1621="","",E1621*#REF!),"")</f>
        <v/>
      </c>
    </row>
    <row r="1622" spans="2:9" x14ac:dyDescent="0.3">
      <c r="B1622" t="str">
        <f>IFERROR(IF(A1622="","",VLOOKUP(A1622,CadProd!$A:$B,2,0)),"")</f>
        <v/>
      </c>
      <c r="C1622" t="str">
        <f>IFERROR(IF(A1622="","",VLOOKUP(A1622,CadProd!$A:$C,3,0)),"")</f>
        <v/>
      </c>
      <c r="I1622" s="1" t="str">
        <f>IFERROR(IF(A1622="","",E1622*#REF!),"")</f>
        <v/>
      </c>
    </row>
    <row r="1623" spans="2:9" x14ac:dyDescent="0.3">
      <c r="B1623" t="str">
        <f>IFERROR(IF(A1623="","",VLOOKUP(A1623,CadProd!$A:$B,2,0)),"")</f>
        <v/>
      </c>
      <c r="C1623" t="str">
        <f>IFERROR(IF(A1623="","",VLOOKUP(A1623,CadProd!$A:$C,3,0)),"")</f>
        <v/>
      </c>
      <c r="I1623" s="1" t="str">
        <f>IFERROR(IF(A1623="","",E1623*#REF!),"")</f>
        <v/>
      </c>
    </row>
    <row r="1624" spans="2:9" x14ac:dyDescent="0.3">
      <c r="B1624" t="str">
        <f>IFERROR(IF(A1624="","",VLOOKUP(A1624,CadProd!$A:$B,2,0)),"")</f>
        <v/>
      </c>
      <c r="C1624" t="str">
        <f>IFERROR(IF(A1624="","",VLOOKUP(A1624,CadProd!$A:$C,3,0)),"")</f>
        <v/>
      </c>
      <c r="I1624" s="1" t="str">
        <f>IFERROR(IF(A1624="","",E1624*#REF!),"")</f>
        <v/>
      </c>
    </row>
    <row r="1625" spans="2:9" x14ac:dyDescent="0.3">
      <c r="B1625" t="str">
        <f>IFERROR(IF(A1625="","",VLOOKUP(A1625,CadProd!$A:$B,2,0)),"")</f>
        <v/>
      </c>
      <c r="C1625" t="str">
        <f>IFERROR(IF(A1625="","",VLOOKUP(A1625,CadProd!$A:$C,3,0)),"")</f>
        <v/>
      </c>
      <c r="I1625" s="1" t="str">
        <f>IFERROR(IF(A1625="","",E1625*#REF!),"")</f>
        <v/>
      </c>
    </row>
    <row r="1626" spans="2:9" x14ac:dyDescent="0.3">
      <c r="B1626" t="str">
        <f>IFERROR(IF(A1626="","",VLOOKUP(A1626,CadProd!$A:$B,2,0)),"")</f>
        <v/>
      </c>
      <c r="C1626" t="str">
        <f>IFERROR(IF(A1626="","",VLOOKUP(A1626,CadProd!$A:$C,3,0)),"")</f>
        <v/>
      </c>
      <c r="I1626" s="1" t="str">
        <f>IFERROR(IF(A1626="","",E1626*#REF!),"")</f>
        <v/>
      </c>
    </row>
    <row r="1627" spans="2:9" x14ac:dyDescent="0.3">
      <c r="B1627" t="str">
        <f>IFERROR(IF(A1627="","",VLOOKUP(A1627,CadProd!$A:$B,2,0)),"")</f>
        <v/>
      </c>
      <c r="C1627" t="str">
        <f>IFERROR(IF(A1627="","",VLOOKUP(A1627,CadProd!$A:$C,3,0)),"")</f>
        <v/>
      </c>
      <c r="I1627" s="1" t="str">
        <f>IFERROR(IF(A1627="","",E1627*#REF!),"")</f>
        <v/>
      </c>
    </row>
    <row r="1628" spans="2:9" x14ac:dyDescent="0.3">
      <c r="B1628" t="str">
        <f>IFERROR(IF(A1628="","",VLOOKUP(A1628,CadProd!$A:$B,2,0)),"")</f>
        <v/>
      </c>
      <c r="C1628" t="str">
        <f>IFERROR(IF(A1628="","",VLOOKUP(A1628,CadProd!$A:$C,3,0)),"")</f>
        <v/>
      </c>
      <c r="I1628" s="1" t="str">
        <f>IFERROR(IF(A1628="","",E1628*#REF!),"")</f>
        <v/>
      </c>
    </row>
    <row r="1629" spans="2:9" x14ac:dyDescent="0.3">
      <c r="B1629" t="str">
        <f>IFERROR(IF(A1629="","",VLOOKUP(A1629,CadProd!$A:$B,2,0)),"")</f>
        <v/>
      </c>
      <c r="C1629" t="str">
        <f>IFERROR(IF(A1629="","",VLOOKUP(A1629,CadProd!$A:$C,3,0)),"")</f>
        <v/>
      </c>
      <c r="I1629" s="1" t="str">
        <f>IFERROR(IF(A1629="","",E1629*#REF!),"")</f>
        <v/>
      </c>
    </row>
    <row r="1630" spans="2:9" x14ac:dyDescent="0.3">
      <c r="B1630" t="str">
        <f>IFERROR(IF(A1630="","",VLOOKUP(A1630,CadProd!$A:$B,2,0)),"")</f>
        <v/>
      </c>
      <c r="C1630" t="str">
        <f>IFERROR(IF(A1630="","",VLOOKUP(A1630,CadProd!$A:$C,3,0)),"")</f>
        <v/>
      </c>
      <c r="I1630" s="1" t="str">
        <f>IFERROR(IF(A1630="","",E1630*#REF!),"")</f>
        <v/>
      </c>
    </row>
    <row r="1631" spans="2:9" x14ac:dyDescent="0.3">
      <c r="B1631" t="str">
        <f>IFERROR(IF(A1631="","",VLOOKUP(A1631,CadProd!$A:$B,2,0)),"")</f>
        <v/>
      </c>
      <c r="C1631" t="str">
        <f>IFERROR(IF(A1631="","",VLOOKUP(A1631,CadProd!$A:$C,3,0)),"")</f>
        <v/>
      </c>
      <c r="I1631" s="1" t="str">
        <f>IFERROR(IF(A1631="","",E1631*#REF!),"")</f>
        <v/>
      </c>
    </row>
    <row r="1632" spans="2:9" x14ac:dyDescent="0.3">
      <c r="B1632" t="str">
        <f>IFERROR(IF(A1632="","",VLOOKUP(A1632,CadProd!$A:$B,2,0)),"")</f>
        <v/>
      </c>
      <c r="C1632" t="str">
        <f>IFERROR(IF(A1632="","",VLOOKUP(A1632,CadProd!$A:$C,3,0)),"")</f>
        <v/>
      </c>
      <c r="I1632" s="1" t="str">
        <f>IFERROR(IF(A1632="","",E1632*#REF!),"")</f>
        <v/>
      </c>
    </row>
    <row r="1633" spans="2:9" x14ac:dyDescent="0.3">
      <c r="B1633" t="str">
        <f>IFERROR(IF(A1633="","",VLOOKUP(A1633,CadProd!$A:$B,2,0)),"")</f>
        <v/>
      </c>
      <c r="C1633" t="str">
        <f>IFERROR(IF(A1633="","",VLOOKUP(A1633,CadProd!$A:$C,3,0)),"")</f>
        <v/>
      </c>
      <c r="I1633" s="1" t="str">
        <f>IFERROR(IF(A1633="","",E1633*#REF!),"")</f>
        <v/>
      </c>
    </row>
    <row r="1634" spans="2:9" x14ac:dyDescent="0.3">
      <c r="B1634" t="str">
        <f>IFERROR(IF(A1634="","",VLOOKUP(A1634,CadProd!$A:$B,2,0)),"")</f>
        <v/>
      </c>
      <c r="C1634" t="str">
        <f>IFERROR(IF(A1634="","",VLOOKUP(A1634,CadProd!$A:$C,3,0)),"")</f>
        <v/>
      </c>
      <c r="I1634" s="1" t="str">
        <f>IFERROR(IF(A1634="","",E1634*#REF!),"")</f>
        <v/>
      </c>
    </row>
    <row r="1635" spans="2:9" x14ac:dyDescent="0.3">
      <c r="B1635" t="str">
        <f>IFERROR(IF(A1635="","",VLOOKUP(A1635,CadProd!$A:$B,2,0)),"")</f>
        <v/>
      </c>
      <c r="C1635" t="str">
        <f>IFERROR(IF(A1635="","",VLOOKUP(A1635,CadProd!$A:$C,3,0)),"")</f>
        <v/>
      </c>
      <c r="I1635" s="1" t="str">
        <f>IFERROR(IF(A1635="","",E1635*#REF!),"")</f>
        <v/>
      </c>
    </row>
    <row r="1636" spans="2:9" x14ac:dyDescent="0.3">
      <c r="B1636" t="str">
        <f>IFERROR(IF(A1636="","",VLOOKUP(A1636,CadProd!$A:$B,2,0)),"")</f>
        <v/>
      </c>
      <c r="C1636" t="str">
        <f>IFERROR(IF(A1636="","",VLOOKUP(A1636,CadProd!$A:$C,3,0)),"")</f>
        <v/>
      </c>
      <c r="I1636" s="1" t="str">
        <f>IFERROR(IF(A1636="","",E1636*#REF!),"")</f>
        <v/>
      </c>
    </row>
    <row r="1637" spans="2:9" x14ac:dyDescent="0.3">
      <c r="B1637" t="str">
        <f>IFERROR(IF(A1637="","",VLOOKUP(A1637,CadProd!$A:$B,2,0)),"")</f>
        <v/>
      </c>
      <c r="C1637" t="str">
        <f>IFERROR(IF(A1637="","",VLOOKUP(A1637,CadProd!$A:$C,3,0)),"")</f>
        <v/>
      </c>
      <c r="I1637" s="1" t="str">
        <f>IFERROR(IF(A1637="","",E1637*#REF!),"")</f>
        <v/>
      </c>
    </row>
    <row r="1638" spans="2:9" x14ac:dyDescent="0.3">
      <c r="B1638" t="str">
        <f>IFERROR(IF(A1638="","",VLOOKUP(A1638,CadProd!$A:$B,2,0)),"")</f>
        <v/>
      </c>
      <c r="C1638" t="str">
        <f>IFERROR(IF(A1638="","",VLOOKUP(A1638,CadProd!$A:$C,3,0)),"")</f>
        <v/>
      </c>
      <c r="I1638" s="1" t="str">
        <f>IFERROR(IF(A1638="","",E1638*#REF!),"")</f>
        <v/>
      </c>
    </row>
    <row r="1639" spans="2:9" x14ac:dyDescent="0.3">
      <c r="B1639" t="str">
        <f>IFERROR(IF(A1639="","",VLOOKUP(A1639,CadProd!$A:$B,2,0)),"")</f>
        <v/>
      </c>
      <c r="C1639" t="str">
        <f>IFERROR(IF(A1639="","",VLOOKUP(A1639,CadProd!$A:$C,3,0)),"")</f>
        <v/>
      </c>
      <c r="I1639" s="1" t="str">
        <f>IFERROR(IF(A1639="","",E1639*#REF!),"")</f>
        <v/>
      </c>
    </row>
    <row r="1640" spans="2:9" x14ac:dyDescent="0.3">
      <c r="B1640" t="str">
        <f>IFERROR(IF(A1640="","",VLOOKUP(A1640,CadProd!$A:$B,2,0)),"")</f>
        <v/>
      </c>
      <c r="C1640" t="str">
        <f>IFERROR(IF(A1640="","",VLOOKUP(A1640,CadProd!$A:$C,3,0)),"")</f>
        <v/>
      </c>
      <c r="I1640" s="1" t="str">
        <f>IFERROR(IF(A1640="","",E1640*#REF!),"")</f>
        <v/>
      </c>
    </row>
    <row r="1641" spans="2:9" x14ac:dyDescent="0.3">
      <c r="B1641" t="str">
        <f>IFERROR(IF(A1641="","",VLOOKUP(A1641,CadProd!$A:$B,2,0)),"")</f>
        <v/>
      </c>
      <c r="C1641" t="str">
        <f>IFERROR(IF(A1641="","",VLOOKUP(A1641,CadProd!$A:$C,3,0)),"")</f>
        <v/>
      </c>
      <c r="I1641" s="1" t="str">
        <f>IFERROR(IF(A1641="","",E1641*#REF!),"")</f>
        <v/>
      </c>
    </row>
    <row r="1642" spans="2:9" x14ac:dyDescent="0.3">
      <c r="B1642" t="str">
        <f>IFERROR(IF(A1642="","",VLOOKUP(A1642,CadProd!$A:$B,2,0)),"")</f>
        <v/>
      </c>
      <c r="C1642" t="str">
        <f>IFERROR(IF(A1642="","",VLOOKUP(A1642,CadProd!$A:$C,3,0)),"")</f>
        <v/>
      </c>
      <c r="I1642" s="1" t="str">
        <f>IFERROR(IF(A1642="","",E1642*#REF!),"")</f>
        <v/>
      </c>
    </row>
    <row r="1643" spans="2:9" x14ac:dyDescent="0.3">
      <c r="B1643" t="str">
        <f>IFERROR(IF(A1643="","",VLOOKUP(A1643,CadProd!$A:$B,2,0)),"")</f>
        <v/>
      </c>
      <c r="C1643" t="str">
        <f>IFERROR(IF(A1643="","",VLOOKUP(A1643,CadProd!$A:$C,3,0)),"")</f>
        <v/>
      </c>
      <c r="I1643" s="1" t="str">
        <f>IFERROR(IF(A1643="","",E1643*#REF!),"")</f>
        <v/>
      </c>
    </row>
    <row r="1644" spans="2:9" x14ac:dyDescent="0.3">
      <c r="B1644" t="str">
        <f>IFERROR(IF(A1644="","",VLOOKUP(A1644,CadProd!$A:$B,2,0)),"")</f>
        <v/>
      </c>
      <c r="C1644" t="str">
        <f>IFERROR(IF(A1644="","",VLOOKUP(A1644,CadProd!$A:$C,3,0)),"")</f>
        <v/>
      </c>
      <c r="I1644" s="1" t="str">
        <f>IFERROR(IF(A1644="","",E1644*#REF!),"")</f>
        <v/>
      </c>
    </row>
    <row r="1645" spans="2:9" x14ac:dyDescent="0.3">
      <c r="B1645" t="str">
        <f>IFERROR(IF(A1645="","",VLOOKUP(A1645,CadProd!$A:$B,2,0)),"")</f>
        <v/>
      </c>
      <c r="C1645" t="str">
        <f>IFERROR(IF(A1645="","",VLOOKUP(A1645,CadProd!$A:$C,3,0)),"")</f>
        <v/>
      </c>
      <c r="I1645" s="1" t="str">
        <f>IFERROR(IF(A1645="","",E1645*#REF!),"")</f>
        <v/>
      </c>
    </row>
    <row r="1646" spans="2:9" x14ac:dyDescent="0.3">
      <c r="B1646" t="str">
        <f>IFERROR(IF(A1646="","",VLOOKUP(A1646,CadProd!$A:$B,2,0)),"")</f>
        <v/>
      </c>
      <c r="C1646" t="str">
        <f>IFERROR(IF(A1646="","",VLOOKUP(A1646,CadProd!$A:$C,3,0)),"")</f>
        <v/>
      </c>
      <c r="I1646" s="1" t="str">
        <f>IFERROR(IF(A1646="","",E1646*#REF!),"")</f>
        <v/>
      </c>
    </row>
    <row r="1647" spans="2:9" x14ac:dyDescent="0.3">
      <c r="B1647" t="str">
        <f>IFERROR(IF(A1647="","",VLOOKUP(A1647,CadProd!$A:$B,2,0)),"")</f>
        <v/>
      </c>
      <c r="C1647" t="str">
        <f>IFERROR(IF(A1647="","",VLOOKUP(A1647,CadProd!$A:$C,3,0)),"")</f>
        <v/>
      </c>
      <c r="I1647" s="1" t="str">
        <f>IFERROR(IF(A1647="","",E1647*#REF!),"")</f>
        <v/>
      </c>
    </row>
    <row r="1648" spans="2:9" x14ac:dyDescent="0.3">
      <c r="B1648" t="str">
        <f>IFERROR(IF(A1648="","",VLOOKUP(A1648,CadProd!$A:$B,2,0)),"")</f>
        <v/>
      </c>
      <c r="C1648" t="str">
        <f>IFERROR(IF(A1648="","",VLOOKUP(A1648,CadProd!$A:$C,3,0)),"")</f>
        <v/>
      </c>
      <c r="I1648" s="1" t="str">
        <f>IFERROR(IF(A1648="","",E1648*#REF!),"")</f>
        <v/>
      </c>
    </row>
    <row r="1649" spans="2:9" x14ac:dyDescent="0.3">
      <c r="B1649" t="str">
        <f>IFERROR(IF(A1649="","",VLOOKUP(A1649,CadProd!$A:$B,2,0)),"")</f>
        <v/>
      </c>
      <c r="C1649" t="str">
        <f>IFERROR(IF(A1649="","",VLOOKUP(A1649,CadProd!$A:$C,3,0)),"")</f>
        <v/>
      </c>
      <c r="I1649" s="1" t="str">
        <f>IFERROR(IF(A1649="","",E1649*#REF!),"")</f>
        <v/>
      </c>
    </row>
    <row r="1650" spans="2:9" x14ac:dyDescent="0.3">
      <c r="B1650" t="str">
        <f>IFERROR(IF(A1650="","",VLOOKUP(A1650,CadProd!$A:$B,2,0)),"")</f>
        <v/>
      </c>
      <c r="C1650" t="str">
        <f>IFERROR(IF(A1650="","",VLOOKUP(A1650,CadProd!$A:$C,3,0)),"")</f>
        <v/>
      </c>
      <c r="I1650" s="1" t="str">
        <f>IFERROR(IF(A1650="","",E1650*#REF!),"")</f>
        <v/>
      </c>
    </row>
    <row r="1651" spans="2:9" x14ac:dyDescent="0.3">
      <c r="B1651" t="str">
        <f>IFERROR(IF(A1651="","",VLOOKUP(A1651,CadProd!$A:$B,2,0)),"")</f>
        <v/>
      </c>
      <c r="C1651" t="str">
        <f>IFERROR(IF(A1651="","",VLOOKUP(A1651,CadProd!$A:$C,3,0)),"")</f>
        <v/>
      </c>
      <c r="I1651" s="1" t="str">
        <f>IFERROR(IF(A1651="","",E1651*#REF!),"")</f>
        <v/>
      </c>
    </row>
    <row r="1652" spans="2:9" x14ac:dyDescent="0.3">
      <c r="B1652" t="str">
        <f>IFERROR(IF(A1652="","",VLOOKUP(A1652,CadProd!$A:$B,2,0)),"")</f>
        <v/>
      </c>
      <c r="C1652" t="str">
        <f>IFERROR(IF(A1652="","",VLOOKUP(A1652,CadProd!$A:$C,3,0)),"")</f>
        <v/>
      </c>
      <c r="I1652" s="1" t="str">
        <f>IFERROR(IF(A1652="","",E1652*#REF!),"")</f>
        <v/>
      </c>
    </row>
    <row r="1653" spans="2:9" x14ac:dyDescent="0.3">
      <c r="B1653" t="str">
        <f>IFERROR(IF(A1653="","",VLOOKUP(A1653,CadProd!$A:$B,2,0)),"")</f>
        <v/>
      </c>
      <c r="C1653" t="str">
        <f>IFERROR(IF(A1653="","",VLOOKUP(A1653,CadProd!$A:$C,3,0)),"")</f>
        <v/>
      </c>
      <c r="I1653" s="1" t="str">
        <f>IFERROR(IF(A1653="","",E1653*#REF!),"")</f>
        <v/>
      </c>
    </row>
    <row r="1654" spans="2:9" x14ac:dyDescent="0.3">
      <c r="B1654" t="str">
        <f>IFERROR(IF(A1654="","",VLOOKUP(A1654,CadProd!$A:$B,2,0)),"")</f>
        <v/>
      </c>
      <c r="C1654" t="str">
        <f>IFERROR(IF(A1654="","",VLOOKUP(A1654,CadProd!$A:$C,3,0)),"")</f>
        <v/>
      </c>
      <c r="I1654" s="1" t="str">
        <f>IFERROR(IF(A1654="","",E1654*#REF!),"")</f>
        <v/>
      </c>
    </row>
    <row r="1655" spans="2:9" x14ac:dyDescent="0.3">
      <c r="B1655" t="str">
        <f>IFERROR(IF(A1655="","",VLOOKUP(A1655,CadProd!$A:$B,2,0)),"")</f>
        <v/>
      </c>
      <c r="C1655" t="str">
        <f>IFERROR(IF(A1655="","",VLOOKUP(A1655,CadProd!$A:$C,3,0)),"")</f>
        <v/>
      </c>
      <c r="I1655" s="1" t="str">
        <f>IFERROR(IF(A1655="","",E1655*#REF!),"")</f>
        <v/>
      </c>
    </row>
    <row r="1656" spans="2:9" x14ac:dyDescent="0.3">
      <c r="B1656" t="str">
        <f>IFERROR(IF(A1656="","",VLOOKUP(A1656,CadProd!$A:$B,2,0)),"")</f>
        <v/>
      </c>
      <c r="C1656" t="str">
        <f>IFERROR(IF(A1656="","",VLOOKUP(A1656,CadProd!$A:$C,3,0)),"")</f>
        <v/>
      </c>
      <c r="I1656" s="1" t="str">
        <f>IFERROR(IF(A1656="","",E1656*#REF!),"")</f>
        <v/>
      </c>
    </row>
    <row r="1657" spans="2:9" x14ac:dyDescent="0.3">
      <c r="B1657" t="str">
        <f>IFERROR(IF(A1657="","",VLOOKUP(A1657,CadProd!$A:$B,2,0)),"")</f>
        <v/>
      </c>
      <c r="C1657" t="str">
        <f>IFERROR(IF(A1657="","",VLOOKUP(A1657,CadProd!$A:$C,3,0)),"")</f>
        <v/>
      </c>
      <c r="I1657" s="1" t="str">
        <f>IFERROR(IF(A1657="","",E1657*#REF!),"")</f>
        <v/>
      </c>
    </row>
    <row r="1658" spans="2:9" x14ac:dyDescent="0.3">
      <c r="B1658" t="str">
        <f>IFERROR(IF(A1658="","",VLOOKUP(A1658,CadProd!$A:$B,2,0)),"")</f>
        <v/>
      </c>
      <c r="C1658" t="str">
        <f>IFERROR(IF(A1658="","",VLOOKUP(A1658,CadProd!$A:$C,3,0)),"")</f>
        <v/>
      </c>
      <c r="I1658" s="1" t="str">
        <f>IFERROR(IF(A1658="","",E1658*#REF!),"")</f>
        <v/>
      </c>
    </row>
    <row r="1659" spans="2:9" x14ac:dyDescent="0.3">
      <c r="B1659" t="str">
        <f>IFERROR(IF(A1659="","",VLOOKUP(A1659,CadProd!$A:$B,2,0)),"")</f>
        <v/>
      </c>
      <c r="C1659" t="str">
        <f>IFERROR(IF(A1659="","",VLOOKUP(A1659,CadProd!$A:$C,3,0)),"")</f>
        <v/>
      </c>
      <c r="I1659" s="1" t="str">
        <f>IFERROR(IF(A1659="","",E1659*#REF!),"")</f>
        <v/>
      </c>
    </row>
    <row r="1660" spans="2:9" x14ac:dyDescent="0.3">
      <c r="B1660" t="str">
        <f>IFERROR(IF(A1660="","",VLOOKUP(A1660,CadProd!$A:$B,2,0)),"")</f>
        <v/>
      </c>
      <c r="C1660" t="str">
        <f>IFERROR(IF(A1660="","",VLOOKUP(A1660,CadProd!$A:$C,3,0)),"")</f>
        <v/>
      </c>
      <c r="I1660" s="1" t="str">
        <f>IFERROR(IF(A1660="","",E1660*#REF!),"")</f>
        <v/>
      </c>
    </row>
    <row r="1661" spans="2:9" x14ac:dyDescent="0.3">
      <c r="B1661" t="str">
        <f>IFERROR(IF(A1661="","",VLOOKUP(A1661,CadProd!$A:$B,2,0)),"")</f>
        <v/>
      </c>
      <c r="C1661" t="str">
        <f>IFERROR(IF(A1661="","",VLOOKUP(A1661,CadProd!$A:$C,3,0)),"")</f>
        <v/>
      </c>
      <c r="I1661" s="1" t="str">
        <f>IFERROR(IF(A1661="","",E1661*#REF!),"")</f>
        <v/>
      </c>
    </row>
    <row r="1662" spans="2:9" x14ac:dyDescent="0.3">
      <c r="B1662" t="str">
        <f>IFERROR(IF(A1662="","",VLOOKUP(A1662,CadProd!$A:$B,2,0)),"")</f>
        <v/>
      </c>
      <c r="C1662" t="str">
        <f>IFERROR(IF(A1662="","",VLOOKUP(A1662,CadProd!$A:$C,3,0)),"")</f>
        <v/>
      </c>
      <c r="I1662" s="1" t="str">
        <f>IFERROR(IF(A1662="","",E1662*#REF!),"")</f>
        <v/>
      </c>
    </row>
    <row r="1663" spans="2:9" x14ac:dyDescent="0.3">
      <c r="B1663" t="str">
        <f>IFERROR(IF(A1663="","",VLOOKUP(A1663,CadProd!$A:$B,2,0)),"")</f>
        <v/>
      </c>
      <c r="C1663" t="str">
        <f>IFERROR(IF(A1663="","",VLOOKUP(A1663,CadProd!$A:$C,3,0)),"")</f>
        <v/>
      </c>
      <c r="I1663" s="1" t="str">
        <f>IFERROR(IF(A1663="","",E1663*#REF!),"")</f>
        <v/>
      </c>
    </row>
    <row r="1664" spans="2:9" x14ac:dyDescent="0.3">
      <c r="B1664" t="str">
        <f>IFERROR(IF(A1664="","",VLOOKUP(A1664,CadProd!$A:$B,2,0)),"")</f>
        <v/>
      </c>
      <c r="C1664" t="str">
        <f>IFERROR(IF(A1664="","",VLOOKUP(A1664,CadProd!$A:$C,3,0)),"")</f>
        <v/>
      </c>
      <c r="I1664" s="1" t="str">
        <f>IFERROR(IF(A1664="","",E1664*#REF!),"")</f>
        <v/>
      </c>
    </row>
    <row r="1665" spans="2:9" x14ac:dyDescent="0.3">
      <c r="B1665" t="str">
        <f>IFERROR(IF(A1665="","",VLOOKUP(A1665,CadProd!$A:$B,2,0)),"")</f>
        <v/>
      </c>
      <c r="C1665" t="str">
        <f>IFERROR(IF(A1665="","",VLOOKUP(A1665,CadProd!$A:$C,3,0)),"")</f>
        <v/>
      </c>
      <c r="I1665" s="1" t="str">
        <f>IFERROR(IF(A1665="","",E1665*#REF!),"")</f>
        <v/>
      </c>
    </row>
    <row r="1666" spans="2:9" x14ac:dyDescent="0.3">
      <c r="B1666" t="str">
        <f>IFERROR(IF(A1666="","",VLOOKUP(A1666,CadProd!$A:$B,2,0)),"")</f>
        <v/>
      </c>
      <c r="C1666" t="str">
        <f>IFERROR(IF(A1666="","",VLOOKUP(A1666,CadProd!$A:$C,3,0)),"")</f>
        <v/>
      </c>
      <c r="I1666" s="1" t="str">
        <f>IFERROR(IF(A1666="","",E1666*#REF!),"")</f>
        <v/>
      </c>
    </row>
    <row r="1667" spans="2:9" x14ac:dyDescent="0.3">
      <c r="B1667" t="str">
        <f>IFERROR(IF(A1667="","",VLOOKUP(A1667,CadProd!$A:$B,2,0)),"")</f>
        <v/>
      </c>
      <c r="C1667" t="str">
        <f>IFERROR(IF(A1667="","",VLOOKUP(A1667,CadProd!$A:$C,3,0)),"")</f>
        <v/>
      </c>
      <c r="I1667" s="1" t="str">
        <f>IFERROR(IF(A1667="","",E1667*#REF!),"")</f>
        <v/>
      </c>
    </row>
    <row r="1668" spans="2:9" x14ac:dyDescent="0.3">
      <c r="B1668" t="str">
        <f>IFERROR(IF(A1668="","",VLOOKUP(A1668,CadProd!$A:$B,2,0)),"")</f>
        <v/>
      </c>
      <c r="C1668" t="str">
        <f>IFERROR(IF(A1668="","",VLOOKUP(A1668,CadProd!$A:$C,3,0)),"")</f>
        <v/>
      </c>
      <c r="I1668" s="1" t="str">
        <f>IFERROR(IF(A1668="","",E1668*#REF!),"")</f>
        <v/>
      </c>
    </row>
    <row r="1669" spans="2:9" x14ac:dyDescent="0.3">
      <c r="B1669" t="str">
        <f>IFERROR(IF(A1669="","",VLOOKUP(A1669,CadProd!$A:$B,2,0)),"")</f>
        <v/>
      </c>
      <c r="C1669" t="str">
        <f>IFERROR(IF(A1669="","",VLOOKUP(A1669,CadProd!$A:$C,3,0)),"")</f>
        <v/>
      </c>
      <c r="I1669" s="1" t="str">
        <f>IFERROR(IF(A1669="","",E1669*#REF!),"")</f>
        <v/>
      </c>
    </row>
    <row r="1670" spans="2:9" x14ac:dyDescent="0.3">
      <c r="B1670" t="str">
        <f>IFERROR(IF(A1670="","",VLOOKUP(A1670,CadProd!$A:$B,2,0)),"")</f>
        <v/>
      </c>
      <c r="C1670" t="str">
        <f>IFERROR(IF(A1670="","",VLOOKUP(A1670,CadProd!$A:$C,3,0)),"")</f>
        <v/>
      </c>
      <c r="I1670" s="1" t="str">
        <f>IFERROR(IF(A1670="","",E1670*#REF!),"")</f>
        <v/>
      </c>
    </row>
    <row r="1671" spans="2:9" x14ac:dyDescent="0.3">
      <c r="B1671" t="str">
        <f>IFERROR(IF(A1671="","",VLOOKUP(A1671,CadProd!$A:$B,2,0)),"")</f>
        <v/>
      </c>
      <c r="C1671" t="str">
        <f>IFERROR(IF(A1671="","",VLOOKUP(A1671,CadProd!$A:$C,3,0)),"")</f>
        <v/>
      </c>
      <c r="I1671" s="1" t="str">
        <f>IFERROR(IF(A1671="","",E1671*#REF!),"")</f>
        <v/>
      </c>
    </row>
    <row r="1672" spans="2:9" x14ac:dyDescent="0.3">
      <c r="B1672" t="str">
        <f>IFERROR(IF(A1672="","",VLOOKUP(A1672,CadProd!$A:$B,2,0)),"")</f>
        <v/>
      </c>
      <c r="C1672" t="str">
        <f>IFERROR(IF(A1672="","",VLOOKUP(A1672,CadProd!$A:$C,3,0)),"")</f>
        <v/>
      </c>
      <c r="I1672" s="1" t="str">
        <f>IFERROR(IF(A1672="","",E1672*#REF!),"")</f>
        <v/>
      </c>
    </row>
    <row r="1673" spans="2:9" x14ac:dyDescent="0.3">
      <c r="B1673" t="str">
        <f>IFERROR(IF(A1673="","",VLOOKUP(A1673,CadProd!$A:$B,2,0)),"")</f>
        <v/>
      </c>
      <c r="C1673" t="str">
        <f>IFERROR(IF(A1673="","",VLOOKUP(A1673,CadProd!$A:$C,3,0)),"")</f>
        <v/>
      </c>
      <c r="I1673" s="1" t="str">
        <f>IFERROR(IF(A1673="","",E1673*#REF!),"")</f>
        <v/>
      </c>
    </row>
    <row r="1674" spans="2:9" x14ac:dyDescent="0.3">
      <c r="B1674" t="str">
        <f>IFERROR(IF(A1674="","",VLOOKUP(A1674,CadProd!$A:$B,2,0)),"")</f>
        <v/>
      </c>
      <c r="C1674" t="str">
        <f>IFERROR(IF(A1674="","",VLOOKUP(A1674,CadProd!$A:$C,3,0)),"")</f>
        <v/>
      </c>
      <c r="I1674" s="1" t="str">
        <f>IFERROR(IF(A1674="","",E1674*#REF!),"")</f>
        <v/>
      </c>
    </row>
    <row r="1675" spans="2:9" x14ac:dyDescent="0.3">
      <c r="B1675" t="str">
        <f>IFERROR(IF(A1675="","",VLOOKUP(A1675,CadProd!$A:$B,2,0)),"")</f>
        <v/>
      </c>
      <c r="C1675" t="str">
        <f>IFERROR(IF(A1675="","",VLOOKUP(A1675,CadProd!$A:$C,3,0)),"")</f>
        <v/>
      </c>
      <c r="I1675" s="1" t="str">
        <f>IFERROR(IF(A1675="","",E1675*#REF!),"")</f>
        <v/>
      </c>
    </row>
    <row r="1676" spans="2:9" x14ac:dyDescent="0.3">
      <c r="B1676" t="str">
        <f>IFERROR(IF(A1676="","",VLOOKUP(A1676,CadProd!$A:$B,2,0)),"")</f>
        <v/>
      </c>
      <c r="C1676" t="str">
        <f>IFERROR(IF(A1676="","",VLOOKUP(A1676,CadProd!$A:$C,3,0)),"")</f>
        <v/>
      </c>
      <c r="I1676" s="1" t="str">
        <f>IFERROR(IF(A1676="","",E1676*#REF!),"")</f>
        <v/>
      </c>
    </row>
    <row r="1677" spans="2:9" x14ac:dyDescent="0.3">
      <c r="B1677" t="str">
        <f>IFERROR(IF(A1677="","",VLOOKUP(A1677,CadProd!$A:$B,2,0)),"")</f>
        <v/>
      </c>
      <c r="C1677" t="str">
        <f>IFERROR(IF(A1677="","",VLOOKUP(A1677,CadProd!$A:$C,3,0)),"")</f>
        <v/>
      </c>
      <c r="I1677" s="1" t="str">
        <f>IFERROR(IF(A1677="","",E1677*#REF!),"")</f>
        <v/>
      </c>
    </row>
    <row r="1678" spans="2:9" x14ac:dyDescent="0.3">
      <c r="B1678" t="str">
        <f>IFERROR(IF(A1678="","",VLOOKUP(A1678,CadProd!$A:$B,2,0)),"")</f>
        <v/>
      </c>
      <c r="C1678" t="str">
        <f>IFERROR(IF(A1678="","",VLOOKUP(A1678,CadProd!$A:$C,3,0)),"")</f>
        <v/>
      </c>
      <c r="I1678" s="1" t="str">
        <f>IFERROR(IF(A1678="","",E1678*#REF!),"")</f>
        <v/>
      </c>
    </row>
    <row r="1679" spans="2:9" x14ac:dyDescent="0.3">
      <c r="B1679" t="str">
        <f>IFERROR(IF(A1679="","",VLOOKUP(A1679,CadProd!$A:$B,2,0)),"")</f>
        <v/>
      </c>
      <c r="C1679" t="str">
        <f>IFERROR(IF(A1679="","",VLOOKUP(A1679,CadProd!$A:$C,3,0)),"")</f>
        <v/>
      </c>
      <c r="I1679" s="1" t="str">
        <f>IFERROR(IF(A1679="","",E1679*#REF!),"")</f>
        <v/>
      </c>
    </row>
    <row r="1680" spans="2:9" x14ac:dyDescent="0.3">
      <c r="B1680" t="str">
        <f>IFERROR(IF(A1680="","",VLOOKUP(A1680,CadProd!$A:$B,2,0)),"")</f>
        <v/>
      </c>
      <c r="C1680" t="str">
        <f>IFERROR(IF(A1680="","",VLOOKUP(A1680,CadProd!$A:$C,3,0)),"")</f>
        <v/>
      </c>
      <c r="I1680" s="1" t="str">
        <f>IFERROR(IF(A1680="","",E1680*#REF!),"")</f>
        <v/>
      </c>
    </row>
    <row r="1681" spans="2:9" x14ac:dyDescent="0.3">
      <c r="B1681" t="str">
        <f>IFERROR(IF(A1681="","",VLOOKUP(A1681,CadProd!$A:$B,2,0)),"")</f>
        <v/>
      </c>
      <c r="C1681" t="str">
        <f>IFERROR(IF(A1681="","",VLOOKUP(A1681,CadProd!$A:$C,3,0)),"")</f>
        <v/>
      </c>
      <c r="I1681" s="1" t="str">
        <f>IFERROR(IF(A1681="","",E1681*#REF!),"")</f>
        <v/>
      </c>
    </row>
    <row r="1682" spans="2:9" x14ac:dyDescent="0.3">
      <c r="B1682" t="str">
        <f>IFERROR(IF(A1682="","",VLOOKUP(A1682,CadProd!$A:$B,2,0)),"")</f>
        <v/>
      </c>
      <c r="C1682" t="str">
        <f>IFERROR(IF(A1682="","",VLOOKUP(A1682,CadProd!$A:$C,3,0)),"")</f>
        <v/>
      </c>
      <c r="I1682" s="1" t="str">
        <f>IFERROR(IF(A1682="","",E1682*#REF!),"")</f>
        <v/>
      </c>
    </row>
    <row r="1683" spans="2:9" x14ac:dyDescent="0.3">
      <c r="B1683" t="str">
        <f>IFERROR(IF(A1683="","",VLOOKUP(A1683,CadProd!$A:$B,2,0)),"")</f>
        <v/>
      </c>
      <c r="C1683" t="str">
        <f>IFERROR(IF(A1683="","",VLOOKUP(A1683,CadProd!$A:$C,3,0)),"")</f>
        <v/>
      </c>
      <c r="I1683" s="1" t="str">
        <f>IFERROR(IF(A1683="","",E1683*#REF!),"")</f>
        <v/>
      </c>
    </row>
    <row r="1684" spans="2:9" x14ac:dyDescent="0.3">
      <c r="B1684" t="str">
        <f>IFERROR(IF(A1684="","",VLOOKUP(A1684,CadProd!$A:$B,2,0)),"")</f>
        <v/>
      </c>
      <c r="C1684" t="str">
        <f>IFERROR(IF(A1684="","",VLOOKUP(A1684,CadProd!$A:$C,3,0)),"")</f>
        <v/>
      </c>
      <c r="I1684" s="1" t="str">
        <f>IFERROR(IF(A1684="","",E1684*#REF!),"")</f>
        <v/>
      </c>
    </row>
    <row r="1685" spans="2:9" x14ac:dyDescent="0.3">
      <c r="B1685" t="str">
        <f>IFERROR(IF(A1685="","",VLOOKUP(A1685,CadProd!$A:$B,2,0)),"")</f>
        <v/>
      </c>
      <c r="C1685" t="str">
        <f>IFERROR(IF(A1685="","",VLOOKUP(A1685,CadProd!$A:$C,3,0)),"")</f>
        <v/>
      </c>
      <c r="I1685" s="1" t="str">
        <f>IFERROR(IF(A1685="","",E1685*#REF!),"")</f>
        <v/>
      </c>
    </row>
    <row r="1686" spans="2:9" x14ac:dyDescent="0.3">
      <c r="B1686" t="str">
        <f>IFERROR(IF(A1686="","",VLOOKUP(A1686,CadProd!$A:$B,2,0)),"")</f>
        <v/>
      </c>
      <c r="C1686" t="str">
        <f>IFERROR(IF(A1686="","",VLOOKUP(A1686,CadProd!$A:$C,3,0)),"")</f>
        <v/>
      </c>
      <c r="I1686" s="1" t="str">
        <f>IFERROR(IF(A1686="","",E1686*#REF!),"")</f>
        <v/>
      </c>
    </row>
    <row r="1687" spans="2:9" x14ac:dyDescent="0.3">
      <c r="B1687" t="str">
        <f>IFERROR(IF(A1687="","",VLOOKUP(A1687,CadProd!$A:$B,2,0)),"")</f>
        <v/>
      </c>
      <c r="C1687" t="str">
        <f>IFERROR(IF(A1687="","",VLOOKUP(A1687,CadProd!$A:$C,3,0)),"")</f>
        <v/>
      </c>
      <c r="I1687" s="1" t="str">
        <f>IFERROR(IF(A1687="","",E1687*#REF!),"")</f>
        <v/>
      </c>
    </row>
    <row r="1688" spans="2:9" x14ac:dyDescent="0.3">
      <c r="B1688" t="str">
        <f>IFERROR(IF(A1688="","",VLOOKUP(A1688,CadProd!$A:$B,2,0)),"")</f>
        <v/>
      </c>
      <c r="C1688" t="str">
        <f>IFERROR(IF(A1688="","",VLOOKUP(A1688,CadProd!$A:$C,3,0)),"")</f>
        <v/>
      </c>
      <c r="I1688" s="1" t="str">
        <f>IFERROR(IF(A1688="","",E1688*#REF!),"")</f>
        <v/>
      </c>
    </row>
    <row r="1689" spans="2:9" x14ac:dyDescent="0.3">
      <c r="B1689" t="str">
        <f>IFERROR(IF(A1689="","",VLOOKUP(A1689,CadProd!$A:$B,2,0)),"")</f>
        <v/>
      </c>
      <c r="C1689" t="str">
        <f>IFERROR(IF(A1689="","",VLOOKUP(A1689,CadProd!$A:$C,3,0)),"")</f>
        <v/>
      </c>
      <c r="I1689" s="1" t="str">
        <f>IFERROR(IF(A1689="","",E1689*#REF!),"")</f>
        <v/>
      </c>
    </row>
    <row r="1690" spans="2:9" x14ac:dyDescent="0.3">
      <c r="B1690" t="str">
        <f>IFERROR(IF(A1690="","",VLOOKUP(A1690,CadProd!$A:$B,2,0)),"")</f>
        <v/>
      </c>
      <c r="C1690" t="str">
        <f>IFERROR(IF(A1690="","",VLOOKUP(A1690,CadProd!$A:$C,3,0)),"")</f>
        <v/>
      </c>
      <c r="I1690" s="1" t="str">
        <f>IFERROR(IF(A1690="","",E1690*#REF!),"")</f>
        <v/>
      </c>
    </row>
    <row r="1691" spans="2:9" x14ac:dyDescent="0.3">
      <c r="B1691" t="str">
        <f>IFERROR(IF(A1691="","",VLOOKUP(A1691,CadProd!$A:$B,2,0)),"")</f>
        <v/>
      </c>
      <c r="C1691" t="str">
        <f>IFERROR(IF(A1691="","",VLOOKUP(A1691,CadProd!$A:$C,3,0)),"")</f>
        <v/>
      </c>
      <c r="I1691" s="1" t="str">
        <f>IFERROR(IF(A1691="","",E1691*#REF!),"")</f>
        <v/>
      </c>
    </row>
    <row r="1692" spans="2:9" x14ac:dyDescent="0.3">
      <c r="B1692" t="str">
        <f>IFERROR(IF(A1692="","",VLOOKUP(A1692,CadProd!$A:$B,2,0)),"")</f>
        <v/>
      </c>
      <c r="C1692" t="str">
        <f>IFERROR(IF(A1692="","",VLOOKUP(A1692,CadProd!$A:$C,3,0)),"")</f>
        <v/>
      </c>
      <c r="I1692" s="1" t="str">
        <f>IFERROR(IF(A1692="","",E1692*#REF!),"")</f>
        <v/>
      </c>
    </row>
    <row r="1693" spans="2:9" x14ac:dyDescent="0.3">
      <c r="B1693" t="str">
        <f>IFERROR(IF(A1693="","",VLOOKUP(A1693,CadProd!$A:$B,2,0)),"")</f>
        <v/>
      </c>
      <c r="C1693" t="str">
        <f>IFERROR(IF(A1693="","",VLOOKUP(A1693,CadProd!$A:$C,3,0)),"")</f>
        <v/>
      </c>
      <c r="I1693" s="1" t="str">
        <f>IFERROR(IF(A1693="","",E1693*#REF!),"")</f>
        <v/>
      </c>
    </row>
    <row r="1694" spans="2:9" x14ac:dyDescent="0.3">
      <c r="B1694" t="str">
        <f>IFERROR(IF(A1694="","",VLOOKUP(A1694,CadProd!$A:$B,2,0)),"")</f>
        <v/>
      </c>
      <c r="C1694" t="str">
        <f>IFERROR(IF(A1694="","",VLOOKUP(A1694,CadProd!$A:$C,3,0)),"")</f>
        <v/>
      </c>
      <c r="I1694" s="1" t="str">
        <f>IFERROR(IF(A1694="","",E1694*#REF!),"")</f>
        <v/>
      </c>
    </row>
    <row r="1695" spans="2:9" x14ac:dyDescent="0.3">
      <c r="B1695" t="str">
        <f>IFERROR(IF(A1695="","",VLOOKUP(A1695,CadProd!$A:$B,2,0)),"")</f>
        <v/>
      </c>
      <c r="C1695" t="str">
        <f>IFERROR(IF(A1695="","",VLOOKUP(A1695,CadProd!$A:$C,3,0)),"")</f>
        <v/>
      </c>
      <c r="I1695" s="1" t="str">
        <f>IFERROR(IF(A1695="","",E1695*#REF!),"")</f>
        <v/>
      </c>
    </row>
    <row r="1696" spans="2:9" x14ac:dyDescent="0.3">
      <c r="B1696" t="str">
        <f>IFERROR(IF(A1696="","",VLOOKUP(A1696,CadProd!$A:$B,2,0)),"")</f>
        <v/>
      </c>
      <c r="C1696" t="str">
        <f>IFERROR(IF(A1696="","",VLOOKUP(A1696,CadProd!$A:$C,3,0)),"")</f>
        <v/>
      </c>
      <c r="I1696" s="1" t="str">
        <f>IFERROR(IF(A1696="","",E1696*#REF!),"")</f>
        <v/>
      </c>
    </row>
    <row r="1697" spans="2:9" x14ac:dyDescent="0.3">
      <c r="B1697" t="str">
        <f>IFERROR(IF(A1697="","",VLOOKUP(A1697,CadProd!$A:$B,2,0)),"")</f>
        <v/>
      </c>
      <c r="C1697" t="str">
        <f>IFERROR(IF(A1697="","",VLOOKUP(A1697,CadProd!$A:$C,3,0)),"")</f>
        <v/>
      </c>
      <c r="I1697" s="1" t="str">
        <f>IFERROR(IF(A1697="","",E1697*#REF!),"")</f>
        <v/>
      </c>
    </row>
    <row r="1698" spans="2:9" x14ac:dyDescent="0.3">
      <c r="B1698" t="str">
        <f>IFERROR(IF(A1698="","",VLOOKUP(A1698,CadProd!$A:$B,2,0)),"")</f>
        <v/>
      </c>
      <c r="C1698" t="str">
        <f>IFERROR(IF(A1698="","",VLOOKUP(A1698,CadProd!$A:$C,3,0)),"")</f>
        <v/>
      </c>
      <c r="I1698" s="1" t="str">
        <f>IFERROR(IF(A1698="","",E1698*#REF!),"")</f>
        <v/>
      </c>
    </row>
    <row r="1699" spans="2:9" x14ac:dyDescent="0.3">
      <c r="B1699" t="str">
        <f>IFERROR(IF(A1699="","",VLOOKUP(A1699,CadProd!$A:$B,2,0)),"")</f>
        <v/>
      </c>
      <c r="C1699" t="str">
        <f>IFERROR(IF(A1699="","",VLOOKUP(A1699,CadProd!$A:$C,3,0)),"")</f>
        <v/>
      </c>
      <c r="I1699" s="1" t="str">
        <f>IFERROR(IF(A1699="","",E1699*#REF!),"")</f>
        <v/>
      </c>
    </row>
    <row r="1700" spans="2:9" x14ac:dyDescent="0.3">
      <c r="B1700" t="str">
        <f>IFERROR(IF(A1700="","",VLOOKUP(A1700,CadProd!$A:$B,2,0)),"")</f>
        <v/>
      </c>
      <c r="C1700" t="str">
        <f>IFERROR(IF(A1700="","",VLOOKUP(A1700,CadProd!$A:$C,3,0)),"")</f>
        <v/>
      </c>
      <c r="I1700" s="1" t="str">
        <f>IFERROR(IF(A1700="","",E1700*#REF!),"")</f>
        <v/>
      </c>
    </row>
    <row r="1701" spans="2:9" x14ac:dyDescent="0.3">
      <c r="B1701" t="str">
        <f>IFERROR(IF(A1701="","",VLOOKUP(A1701,CadProd!$A:$B,2,0)),"")</f>
        <v/>
      </c>
      <c r="C1701" t="str">
        <f>IFERROR(IF(A1701="","",VLOOKUP(A1701,CadProd!$A:$C,3,0)),"")</f>
        <v/>
      </c>
      <c r="I1701" s="1" t="str">
        <f>IFERROR(IF(A1701="","",E1701*#REF!),"")</f>
        <v/>
      </c>
    </row>
    <row r="1702" spans="2:9" x14ac:dyDescent="0.3">
      <c r="B1702" t="str">
        <f>IFERROR(IF(A1702="","",VLOOKUP(A1702,CadProd!$A:$B,2,0)),"")</f>
        <v/>
      </c>
      <c r="C1702" t="str">
        <f>IFERROR(IF(A1702="","",VLOOKUP(A1702,CadProd!$A:$C,3,0)),"")</f>
        <v/>
      </c>
      <c r="I1702" s="1" t="str">
        <f>IFERROR(IF(A1702="","",E1702*#REF!),"")</f>
        <v/>
      </c>
    </row>
    <row r="1703" spans="2:9" x14ac:dyDescent="0.3">
      <c r="B1703" t="str">
        <f>IFERROR(IF(A1703="","",VLOOKUP(A1703,CadProd!$A:$B,2,0)),"")</f>
        <v/>
      </c>
      <c r="C1703" t="str">
        <f>IFERROR(IF(A1703="","",VLOOKUP(A1703,CadProd!$A:$C,3,0)),"")</f>
        <v/>
      </c>
      <c r="I1703" s="1" t="str">
        <f>IFERROR(IF(A1703="","",E1703*#REF!),"")</f>
        <v/>
      </c>
    </row>
    <row r="1704" spans="2:9" x14ac:dyDescent="0.3">
      <c r="B1704" t="str">
        <f>IFERROR(IF(A1704="","",VLOOKUP(A1704,CadProd!$A:$B,2,0)),"")</f>
        <v/>
      </c>
      <c r="C1704" t="str">
        <f>IFERROR(IF(A1704="","",VLOOKUP(A1704,CadProd!$A:$C,3,0)),"")</f>
        <v/>
      </c>
      <c r="I1704" s="1" t="str">
        <f>IFERROR(IF(A1704="","",E1704*#REF!),"")</f>
        <v/>
      </c>
    </row>
    <row r="1705" spans="2:9" x14ac:dyDescent="0.3">
      <c r="B1705" t="str">
        <f>IFERROR(IF(A1705="","",VLOOKUP(A1705,CadProd!$A:$B,2,0)),"")</f>
        <v/>
      </c>
      <c r="C1705" t="str">
        <f>IFERROR(IF(A1705="","",VLOOKUP(A1705,CadProd!$A:$C,3,0)),"")</f>
        <v/>
      </c>
      <c r="I1705" s="1" t="str">
        <f>IFERROR(IF(A1705="","",E1705*#REF!),"")</f>
        <v/>
      </c>
    </row>
    <row r="1706" spans="2:9" x14ac:dyDescent="0.3">
      <c r="B1706" t="str">
        <f>IFERROR(IF(A1706="","",VLOOKUP(A1706,CadProd!$A:$B,2,0)),"")</f>
        <v/>
      </c>
      <c r="C1706" t="str">
        <f>IFERROR(IF(A1706="","",VLOOKUP(A1706,CadProd!$A:$C,3,0)),"")</f>
        <v/>
      </c>
      <c r="I1706" s="1" t="str">
        <f>IFERROR(IF(A1706="","",E1706*#REF!),"")</f>
        <v/>
      </c>
    </row>
    <row r="1707" spans="2:9" x14ac:dyDescent="0.3">
      <c r="B1707" t="str">
        <f>IFERROR(IF(A1707="","",VLOOKUP(A1707,CadProd!$A:$B,2,0)),"")</f>
        <v/>
      </c>
      <c r="C1707" t="str">
        <f>IFERROR(IF(A1707="","",VLOOKUP(A1707,CadProd!$A:$C,3,0)),"")</f>
        <v/>
      </c>
      <c r="I1707" s="1" t="str">
        <f>IFERROR(IF(A1707="","",E1707*#REF!),"")</f>
        <v/>
      </c>
    </row>
    <row r="1708" spans="2:9" x14ac:dyDescent="0.3">
      <c r="B1708" t="str">
        <f>IFERROR(IF(A1708="","",VLOOKUP(A1708,CadProd!$A:$B,2,0)),"")</f>
        <v/>
      </c>
      <c r="C1708" t="str">
        <f>IFERROR(IF(A1708="","",VLOOKUP(A1708,CadProd!$A:$C,3,0)),"")</f>
        <v/>
      </c>
      <c r="I1708" s="1" t="str">
        <f>IFERROR(IF(A1708="","",E1708*#REF!),"")</f>
        <v/>
      </c>
    </row>
    <row r="1709" spans="2:9" x14ac:dyDescent="0.3">
      <c r="B1709" t="str">
        <f>IFERROR(IF(A1709="","",VLOOKUP(A1709,CadProd!$A:$B,2,0)),"")</f>
        <v/>
      </c>
      <c r="C1709" t="str">
        <f>IFERROR(IF(A1709="","",VLOOKUP(A1709,CadProd!$A:$C,3,0)),"")</f>
        <v/>
      </c>
      <c r="I1709" s="1" t="str">
        <f>IFERROR(IF(A1709="","",E1709*#REF!),"")</f>
        <v/>
      </c>
    </row>
    <row r="1710" spans="2:9" x14ac:dyDescent="0.3">
      <c r="B1710" t="str">
        <f>IFERROR(IF(A1710="","",VLOOKUP(A1710,CadProd!$A:$B,2,0)),"")</f>
        <v/>
      </c>
      <c r="C1710" t="str">
        <f>IFERROR(IF(A1710="","",VLOOKUP(A1710,CadProd!$A:$C,3,0)),"")</f>
        <v/>
      </c>
      <c r="I1710" s="1" t="str">
        <f>IFERROR(IF(A1710="","",E1710*#REF!),"")</f>
        <v/>
      </c>
    </row>
    <row r="1711" spans="2:9" x14ac:dyDescent="0.3">
      <c r="B1711" t="str">
        <f>IFERROR(IF(A1711="","",VLOOKUP(A1711,CadProd!$A:$B,2,0)),"")</f>
        <v/>
      </c>
      <c r="C1711" t="str">
        <f>IFERROR(IF(A1711="","",VLOOKUP(A1711,CadProd!$A:$C,3,0)),"")</f>
        <v/>
      </c>
      <c r="I1711" s="1" t="str">
        <f>IFERROR(IF(A1711="","",E1711*#REF!),"")</f>
        <v/>
      </c>
    </row>
    <row r="1712" spans="2:9" x14ac:dyDescent="0.3">
      <c r="B1712" t="str">
        <f>IFERROR(IF(A1712="","",VLOOKUP(A1712,CadProd!$A:$B,2,0)),"")</f>
        <v/>
      </c>
      <c r="C1712" t="str">
        <f>IFERROR(IF(A1712="","",VLOOKUP(A1712,CadProd!$A:$C,3,0)),"")</f>
        <v/>
      </c>
      <c r="I1712" s="1" t="str">
        <f>IFERROR(IF(A1712="","",E1712*#REF!),"")</f>
        <v/>
      </c>
    </row>
    <row r="1713" spans="2:9" x14ac:dyDescent="0.3">
      <c r="B1713" t="str">
        <f>IFERROR(IF(A1713="","",VLOOKUP(A1713,CadProd!$A:$B,2,0)),"")</f>
        <v/>
      </c>
      <c r="C1713" t="str">
        <f>IFERROR(IF(A1713="","",VLOOKUP(A1713,CadProd!$A:$C,3,0)),"")</f>
        <v/>
      </c>
      <c r="I1713" s="1" t="str">
        <f>IFERROR(IF(A1713="","",E1713*#REF!),"")</f>
        <v/>
      </c>
    </row>
    <row r="1714" spans="2:9" x14ac:dyDescent="0.3">
      <c r="B1714" t="str">
        <f>IFERROR(IF(A1714="","",VLOOKUP(A1714,CadProd!$A:$B,2,0)),"")</f>
        <v/>
      </c>
      <c r="C1714" t="str">
        <f>IFERROR(IF(A1714="","",VLOOKUP(A1714,CadProd!$A:$C,3,0)),"")</f>
        <v/>
      </c>
      <c r="I1714" s="1" t="str">
        <f>IFERROR(IF(A1714="","",E1714*#REF!),"")</f>
        <v/>
      </c>
    </row>
    <row r="1715" spans="2:9" x14ac:dyDescent="0.3">
      <c r="B1715" t="str">
        <f>IFERROR(IF(A1715="","",VLOOKUP(A1715,CadProd!$A:$B,2,0)),"")</f>
        <v/>
      </c>
      <c r="C1715" t="str">
        <f>IFERROR(IF(A1715="","",VLOOKUP(A1715,CadProd!$A:$C,3,0)),"")</f>
        <v/>
      </c>
      <c r="I1715" s="1" t="str">
        <f>IFERROR(IF(A1715="","",E1715*#REF!),"")</f>
        <v/>
      </c>
    </row>
    <row r="1716" spans="2:9" x14ac:dyDescent="0.3">
      <c r="B1716" t="str">
        <f>IFERROR(IF(A1716="","",VLOOKUP(A1716,CadProd!$A:$B,2,0)),"")</f>
        <v/>
      </c>
      <c r="C1716" t="str">
        <f>IFERROR(IF(A1716="","",VLOOKUP(A1716,CadProd!$A:$C,3,0)),"")</f>
        <v/>
      </c>
      <c r="I1716" s="1" t="str">
        <f>IFERROR(IF(A1716="","",E1716*#REF!),"")</f>
        <v/>
      </c>
    </row>
    <row r="1717" spans="2:9" x14ac:dyDescent="0.3">
      <c r="B1717" t="str">
        <f>IFERROR(IF(A1717="","",VLOOKUP(A1717,CadProd!$A:$B,2,0)),"")</f>
        <v/>
      </c>
      <c r="C1717" t="str">
        <f>IFERROR(IF(A1717="","",VLOOKUP(A1717,CadProd!$A:$C,3,0)),"")</f>
        <v/>
      </c>
      <c r="I1717" s="1" t="str">
        <f>IFERROR(IF(A1717="","",E1717*#REF!),"")</f>
        <v/>
      </c>
    </row>
    <row r="1718" spans="2:9" x14ac:dyDescent="0.3">
      <c r="B1718" t="str">
        <f>IFERROR(IF(A1718="","",VLOOKUP(A1718,CadProd!$A:$B,2,0)),"")</f>
        <v/>
      </c>
      <c r="C1718" t="str">
        <f>IFERROR(IF(A1718="","",VLOOKUP(A1718,CadProd!$A:$C,3,0)),"")</f>
        <v/>
      </c>
      <c r="I1718" s="1" t="str">
        <f>IFERROR(IF(A1718="","",E1718*#REF!),"")</f>
        <v/>
      </c>
    </row>
    <row r="1719" spans="2:9" x14ac:dyDescent="0.3">
      <c r="B1719" t="str">
        <f>IFERROR(IF(A1719="","",VLOOKUP(A1719,CadProd!$A:$B,2,0)),"")</f>
        <v/>
      </c>
      <c r="C1719" t="str">
        <f>IFERROR(IF(A1719="","",VLOOKUP(A1719,CadProd!$A:$C,3,0)),"")</f>
        <v/>
      </c>
      <c r="I1719" s="1" t="str">
        <f>IFERROR(IF(A1719="","",E1719*#REF!),"")</f>
        <v/>
      </c>
    </row>
    <row r="1720" spans="2:9" x14ac:dyDescent="0.3">
      <c r="B1720" t="str">
        <f>IFERROR(IF(A1720="","",VLOOKUP(A1720,CadProd!$A:$B,2,0)),"")</f>
        <v/>
      </c>
      <c r="C1720" t="str">
        <f>IFERROR(IF(A1720="","",VLOOKUP(A1720,CadProd!$A:$C,3,0)),"")</f>
        <v/>
      </c>
      <c r="I1720" s="1" t="str">
        <f>IFERROR(IF(A1720="","",E1720*#REF!),"")</f>
        <v/>
      </c>
    </row>
    <row r="1721" spans="2:9" x14ac:dyDescent="0.3">
      <c r="B1721" t="str">
        <f>IFERROR(IF(A1721="","",VLOOKUP(A1721,CadProd!$A:$B,2,0)),"")</f>
        <v/>
      </c>
      <c r="C1721" t="str">
        <f>IFERROR(IF(A1721="","",VLOOKUP(A1721,CadProd!$A:$C,3,0)),"")</f>
        <v/>
      </c>
      <c r="I1721" s="1" t="str">
        <f>IFERROR(IF(A1721="","",E1721*#REF!),"")</f>
        <v/>
      </c>
    </row>
    <row r="1722" spans="2:9" x14ac:dyDescent="0.3">
      <c r="B1722" t="str">
        <f>IFERROR(IF(A1722="","",VLOOKUP(A1722,CadProd!$A:$B,2,0)),"")</f>
        <v/>
      </c>
      <c r="C1722" t="str">
        <f>IFERROR(IF(A1722="","",VLOOKUP(A1722,CadProd!$A:$C,3,0)),"")</f>
        <v/>
      </c>
      <c r="I1722" s="1" t="str">
        <f>IFERROR(IF(A1722="","",E1722*#REF!),"")</f>
        <v/>
      </c>
    </row>
    <row r="1723" spans="2:9" x14ac:dyDescent="0.3">
      <c r="B1723" t="str">
        <f>IFERROR(IF(A1723="","",VLOOKUP(A1723,CadProd!$A:$B,2,0)),"")</f>
        <v/>
      </c>
      <c r="C1723" t="str">
        <f>IFERROR(IF(A1723="","",VLOOKUP(A1723,CadProd!$A:$C,3,0)),"")</f>
        <v/>
      </c>
      <c r="I1723" s="1" t="str">
        <f>IFERROR(IF(A1723="","",E1723*#REF!),"")</f>
        <v/>
      </c>
    </row>
    <row r="1724" spans="2:9" x14ac:dyDescent="0.3">
      <c r="B1724" t="str">
        <f>IFERROR(IF(A1724="","",VLOOKUP(A1724,CadProd!$A:$B,2,0)),"")</f>
        <v/>
      </c>
      <c r="C1724" t="str">
        <f>IFERROR(IF(A1724="","",VLOOKUP(A1724,CadProd!$A:$C,3,0)),"")</f>
        <v/>
      </c>
      <c r="I1724" s="1" t="str">
        <f>IFERROR(IF(A1724="","",E1724*#REF!),"")</f>
        <v/>
      </c>
    </row>
    <row r="1725" spans="2:9" x14ac:dyDescent="0.3">
      <c r="B1725" t="str">
        <f>IFERROR(IF(A1725="","",VLOOKUP(A1725,CadProd!$A:$B,2,0)),"")</f>
        <v/>
      </c>
      <c r="C1725" t="str">
        <f>IFERROR(IF(A1725="","",VLOOKUP(A1725,CadProd!$A:$C,3,0)),"")</f>
        <v/>
      </c>
      <c r="I1725" s="1" t="str">
        <f>IFERROR(IF(A1725="","",E1725*#REF!),"")</f>
        <v/>
      </c>
    </row>
    <row r="1726" spans="2:9" x14ac:dyDescent="0.3">
      <c r="B1726" t="str">
        <f>IFERROR(IF(A1726="","",VLOOKUP(A1726,CadProd!$A:$B,2,0)),"")</f>
        <v/>
      </c>
      <c r="C1726" t="str">
        <f>IFERROR(IF(A1726="","",VLOOKUP(A1726,CadProd!$A:$C,3,0)),"")</f>
        <v/>
      </c>
      <c r="I1726" s="1" t="str">
        <f>IFERROR(IF(A1726="","",E1726*#REF!),"")</f>
        <v/>
      </c>
    </row>
    <row r="1727" spans="2:9" x14ac:dyDescent="0.3">
      <c r="B1727" t="str">
        <f>IFERROR(IF(A1727="","",VLOOKUP(A1727,CadProd!$A:$B,2,0)),"")</f>
        <v/>
      </c>
      <c r="C1727" t="str">
        <f>IFERROR(IF(A1727="","",VLOOKUP(A1727,CadProd!$A:$C,3,0)),"")</f>
        <v/>
      </c>
      <c r="I1727" s="1" t="str">
        <f>IFERROR(IF(A1727="","",E1727*#REF!),"")</f>
        <v/>
      </c>
    </row>
    <row r="1728" spans="2:9" x14ac:dyDescent="0.3">
      <c r="B1728" t="str">
        <f>IFERROR(IF(A1728="","",VLOOKUP(A1728,CadProd!$A:$B,2,0)),"")</f>
        <v/>
      </c>
      <c r="C1728" t="str">
        <f>IFERROR(IF(A1728="","",VLOOKUP(A1728,CadProd!$A:$C,3,0)),"")</f>
        <v/>
      </c>
      <c r="I1728" s="1" t="str">
        <f>IFERROR(IF(A1728="","",E1728*#REF!),"")</f>
        <v/>
      </c>
    </row>
    <row r="1729" spans="2:9" x14ac:dyDescent="0.3">
      <c r="B1729" t="str">
        <f>IFERROR(IF(A1729="","",VLOOKUP(A1729,CadProd!$A:$B,2,0)),"")</f>
        <v/>
      </c>
      <c r="C1729" t="str">
        <f>IFERROR(IF(A1729="","",VLOOKUP(A1729,CadProd!$A:$C,3,0)),"")</f>
        <v/>
      </c>
      <c r="I1729" s="1" t="str">
        <f>IFERROR(IF(A1729="","",E1729*#REF!),"")</f>
        <v/>
      </c>
    </row>
    <row r="1730" spans="2:9" x14ac:dyDescent="0.3">
      <c r="B1730" t="str">
        <f>IFERROR(IF(A1730="","",VLOOKUP(A1730,CadProd!$A:$B,2,0)),"")</f>
        <v/>
      </c>
      <c r="C1730" t="str">
        <f>IFERROR(IF(A1730="","",VLOOKUP(A1730,CadProd!$A:$C,3,0)),"")</f>
        <v/>
      </c>
      <c r="I1730" s="1" t="str">
        <f>IFERROR(IF(A1730="","",E1730*#REF!),"")</f>
        <v/>
      </c>
    </row>
    <row r="1731" spans="2:9" x14ac:dyDescent="0.3">
      <c r="B1731" t="str">
        <f>IFERROR(IF(A1731="","",VLOOKUP(A1731,CadProd!$A:$B,2,0)),"")</f>
        <v/>
      </c>
      <c r="C1731" t="str">
        <f>IFERROR(IF(A1731="","",VLOOKUP(A1731,CadProd!$A:$C,3,0)),"")</f>
        <v/>
      </c>
      <c r="I1731" s="1" t="str">
        <f>IFERROR(IF(A1731="","",E1731*#REF!),"")</f>
        <v/>
      </c>
    </row>
    <row r="1732" spans="2:9" x14ac:dyDescent="0.3">
      <c r="B1732" t="str">
        <f>IFERROR(IF(A1732="","",VLOOKUP(A1732,CadProd!$A:$B,2,0)),"")</f>
        <v/>
      </c>
      <c r="C1732" t="str">
        <f>IFERROR(IF(A1732="","",VLOOKUP(A1732,CadProd!$A:$C,3,0)),"")</f>
        <v/>
      </c>
      <c r="I1732" s="1" t="str">
        <f>IFERROR(IF(A1732="","",E1732*#REF!),"")</f>
        <v/>
      </c>
    </row>
    <row r="1733" spans="2:9" x14ac:dyDescent="0.3">
      <c r="B1733" t="str">
        <f>IFERROR(IF(A1733="","",VLOOKUP(A1733,CadProd!$A:$B,2,0)),"")</f>
        <v/>
      </c>
      <c r="C1733" t="str">
        <f>IFERROR(IF(A1733="","",VLOOKUP(A1733,CadProd!$A:$C,3,0)),"")</f>
        <v/>
      </c>
      <c r="I1733" s="1" t="str">
        <f>IFERROR(IF(A1733="","",E1733*#REF!),"")</f>
        <v/>
      </c>
    </row>
    <row r="1734" spans="2:9" x14ac:dyDescent="0.3">
      <c r="B1734" t="str">
        <f>IFERROR(IF(A1734="","",VLOOKUP(A1734,CadProd!$A:$B,2,0)),"")</f>
        <v/>
      </c>
      <c r="C1734" t="str">
        <f>IFERROR(IF(A1734="","",VLOOKUP(A1734,CadProd!$A:$C,3,0)),"")</f>
        <v/>
      </c>
      <c r="I1734" s="1" t="str">
        <f>IFERROR(IF(A1734="","",E1734*#REF!),"")</f>
        <v/>
      </c>
    </row>
    <row r="1735" spans="2:9" x14ac:dyDescent="0.3">
      <c r="B1735" t="str">
        <f>IFERROR(IF(A1735="","",VLOOKUP(A1735,CadProd!$A:$B,2,0)),"")</f>
        <v/>
      </c>
      <c r="C1735" t="str">
        <f>IFERROR(IF(A1735="","",VLOOKUP(A1735,CadProd!$A:$C,3,0)),"")</f>
        <v/>
      </c>
      <c r="I1735" s="1" t="str">
        <f>IFERROR(IF(A1735="","",E1735*#REF!),"")</f>
        <v/>
      </c>
    </row>
    <row r="1736" spans="2:9" x14ac:dyDescent="0.3">
      <c r="B1736" t="str">
        <f>IFERROR(IF(A1736="","",VLOOKUP(A1736,CadProd!$A:$B,2,0)),"")</f>
        <v/>
      </c>
      <c r="C1736" t="str">
        <f>IFERROR(IF(A1736="","",VLOOKUP(A1736,CadProd!$A:$C,3,0)),"")</f>
        <v/>
      </c>
      <c r="I1736" s="1" t="str">
        <f>IFERROR(IF(A1736="","",E1736*#REF!),"")</f>
        <v/>
      </c>
    </row>
    <row r="1737" spans="2:9" x14ac:dyDescent="0.3">
      <c r="B1737" t="str">
        <f>IFERROR(IF(A1737="","",VLOOKUP(A1737,CadProd!$A:$B,2,0)),"")</f>
        <v/>
      </c>
      <c r="C1737" t="str">
        <f>IFERROR(IF(A1737="","",VLOOKUP(A1737,CadProd!$A:$C,3,0)),"")</f>
        <v/>
      </c>
      <c r="I1737" s="1" t="str">
        <f>IFERROR(IF(A1737="","",E1737*#REF!),"")</f>
        <v/>
      </c>
    </row>
    <row r="1738" spans="2:9" x14ac:dyDescent="0.3">
      <c r="B1738" t="str">
        <f>IFERROR(IF(A1738="","",VLOOKUP(A1738,CadProd!$A:$B,2,0)),"")</f>
        <v/>
      </c>
      <c r="C1738" t="str">
        <f>IFERROR(IF(A1738="","",VLOOKUP(A1738,CadProd!$A:$C,3,0)),"")</f>
        <v/>
      </c>
      <c r="I1738" s="1" t="str">
        <f>IFERROR(IF(A1738="","",E1738*#REF!),"")</f>
        <v/>
      </c>
    </row>
    <row r="1739" spans="2:9" x14ac:dyDescent="0.3">
      <c r="B1739" t="str">
        <f>IFERROR(IF(A1739="","",VLOOKUP(A1739,CadProd!$A:$B,2,0)),"")</f>
        <v/>
      </c>
      <c r="C1739" t="str">
        <f>IFERROR(IF(A1739="","",VLOOKUP(A1739,CadProd!$A:$C,3,0)),"")</f>
        <v/>
      </c>
      <c r="I1739" s="1" t="str">
        <f>IFERROR(IF(A1739="","",E1739*#REF!),"")</f>
        <v/>
      </c>
    </row>
    <row r="1740" spans="2:9" x14ac:dyDescent="0.3">
      <c r="B1740" t="str">
        <f>IFERROR(IF(A1740="","",VLOOKUP(A1740,CadProd!$A:$B,2,0)),"")</f>
        <v/>
      </c>
      <c r="C1740" t="str">
        <f>IFERROR(IF(A1740="","",VLOOKUP(A1740,CadProd!$A:$C,3,0)),"")</f>
        <v/>
      </c>
      <c r="I1740" s="1" t="str">
        <f>IFERROR(IF(A1740="","",E1740*#REF!),"")</f>
        <v/>
      </c>
    </row>
    <row r="1741" spans="2:9" x14ac:dyDescent="0.3">
      <c r="B1741" t="str">
        <f>IFERROR(IF(A1741="","",VLOOKUP(A1741,CadProd!$A:$B,2,0)),"")</f>
        <v/>
      </c>
      <c r="C1741" t="str">
        <f>IFERROR(IF(A1741="","",VLOOKUP(A1741,CadProd!$A:$C,3,0)),"")</f>
        <v/>
      </c>
      <c r="I1741" s="1" t="str">
        <f>IFERROR(IF(A1741="","",E1741*#REF!),"")</f>
        <v/>
      </c>
    </row>
    <row r="1742" spans="2:9" x14ac:dyDescent="0.3">
      <c r="B1742" t="str">
        <f>IFERROR(IF(A1742="","",VLOOKUP(A1742,CadProd!$A:$B,2,0)),"")</f>
        <v/>
      </c>
      <c r="C1742" t="str">
        <f>IFERROR(IF(A1742="","",VLOOKUP(A1742,CadProd!$A:$C,3,0)),"")</f>
        <v/>
      </c>
      <c r="I1742" s="1" t="str">
        <f>IFERROR(IF(A1742="","",E1742*#REF!),"")</f>
        <v/>
      </c>
    </row>
    <row r="1743" spans="2:9" x14ac:dyDescent="0.3">
      <c r="B1743" t="str">
        <f>IFERROR(IF(A1743="","",VLOOKUP(A1743,CadProd!$A:$B,2,0)),"")</f>
        <v/>
      </c>
      <c r="C1743" t="str">
        <f>IFERROR(IF(A1743="","",VLOOKUP(A1743,CadProd!$A:$C,3,0)),"")</f>
        <v/>
      </c>
      <c r="I1743" s="1" t="str">
        <f>IFERROR(IF(A1743="","",E1743*#REF!),"")</f>
        <v/>
      </c>
    </row>
    <row r="1744" spans="2:9" x14ac:dyDescent="0.3">
      <c r="B1744" t="str">
        <f>IFERROR(IF(A1744="","",VLOOKUP(A1744,CadProd!$A:$B,2,0)),"")</f>
        <v/>
      </c>
      <c r="C1744" t="str">
        <f>IFERROR(IF(A1744="","",VLOOKUP(A1744,CadProd!$A:$C,3,0)),"")</f>
        <v/>
      </c>
      <c r="I1744" s="1" t="str">
        <f>IFERROR(IF(A1744="","",E1744*#REF!),"")</f>
        <v/>
      </c>
    </row>
    <row r="1745" spans="2:9" x14ac:dyDescent="0.3">
      <c r="B1745" t="str">
        <f>IFERROR(IF(A1745="","",VLOOKUP(A1745,CadProd!$A:$B,2,0)),"")</f>
        <v/>
      </c>
      <c r="C1745" t="str">
        <f>IFERROR(IF(A1745="","",VLOOKUP(A1745,CadProd!$A:$C,3,0)),"")</f>
        <v/>
      </c>
      <c r="I1745" s="1" t="str">
        <f>IFERROR(IF(A1745="","",E1745*#REF!),"")</f>
        <v/>
      </c>
    </row>
    <row r="1746" spans="2:9" x14ac:dyDescent="0.3">
      <c r="B1746" t="str">
        <f>IFERROR(IF(A1746="","",VLOOKUP(A1746,CadProd!$A:$B,2,0)),"")</f>
        <v/>
      </c>
      <c r="C1746" t="str">
        <f>IFERROR(IF(A1746="","",VLOOKUP(A1746,CadProd!$A:$C,3,0)),"")</f>
        <v/>
      </c>
      <c r="I1746" s="1" t="str">
        <f>IFERROR(IF(A1746="","",E1746*#REF!),"")</f>
        <v/>
      </c>
    </row>
    <row r="1747" spans="2:9" x14ac:dyDescent="0.3">
      <c r="B1747" t="str">
        <f>IFERROR(IF(A1747="","",VLOOKUP(A1747,CadProd!$A:$B,2,0)),"")</f>
        <v/>
      </c>
      <c r="C1747" t="str">
        <f>IFERROR(IF(A1747="","",VLOOKUP(A1747,CadProd!$A:$C,3,0)),"")</f>
        <v/>
      </c>
      <c r="I1747" s="1" t="str">
        <f>IFERROR(IF(A1747="","",E1747*#REF!),"")</f>
        <v/>
      </c>
    </row>
    <row r="1748" spans="2:9" x14ac:dyDescent="0.3">
      <c r="B1748" t="str">
        <f>IFERROR(IF(A1748="","",VLOOKUP(A1748,CadProd!$A:$B,2,0)),"")</f>
        <v/>
      </c>
      <c r="C1748" t="str">
        <f>IFERROR(IF(A1748="","",VLOOKUP(A1748,CadProd!$A:$C,3,0)),"")</f>
        <v/>
      </c>
      <c r="I1748" s="1" t="str">
        <f>IFERROR(IF(A1748="","",E1748*#REF!),"")</f>
        <v/>
      </c>
    </row>
    <row r="1749" spans="2:9" x14ac:dyDescent="0.3">
      <c r="B1749" t="str">
        <f>IFERROR(IF(A1749="","",VLOOKUP(A1749,CadProd!$A:$B,2,0)),"")</f>
        <v/>
      </c>
      <c r="C1749" t="str">
        <f>IFERROR(IF(A1749="","",VLOOKUP(A1749,CadProd!$A:$C,3,0)),"")</f>
        <v/>
      </c>
      <c r="I1749" s="1" t="str">
        <f>IFERROR(IF(A1749="","",E1749*#REF!),"")</f>
        <v/>
      </c>
    </row>
    <row r="1750" spans="2:9" x14ac:dyDescent="0.3">
      <c r="B1750" t="str">
        <f>IFERROR(IF(A1750="","",VLOOKUP(A1750,CadProd!$A:$B,2,0)),"")</f>
        <v/>
      </c>
      <c r="C1750" t="str">
        <f>IFERROR(IF(A1750="","",VLOOKUP(A1750,CadProd!$A:$C,3,0)),"")</f>
        <v/>
      </c>
      <c r="I1750" s="1" t="str">
        <f>IFERROR(IF(A1750="","",E1750*#REF!),"")</f>
        <v/>
      </c>
    </row>
    <row r="1751" spans="2:9" x14ac:dyDescent="0.3">
      <c r="B1751" t="str">
        <f>IFERROR(IF(A1751="","",VLOOKUP(A1751,CadProd!$A:$B,2,0)),"")</f>
        <v/>
      </c>
      <c r="C1751" t="str">
        <f>IFERROR(IF(A1751="","",VLOOKUP(A1751,CadProd!$A:$C,3,0)),"")</f>
        <v/>
      </c>
      <c r="I1751" s="1" t="str">
        <f>IFERROR(IF(A1751="","",E1751*#REF!),"")</f>
        <v/>
      </c>
    </row>
    <row r="1752" spans="2:9" x14ac:dyDescent="0.3">
      <c r="B1752" t="str">
        <f>IFERROR(IF(A1752="","",VLOOKUP(A1752,CadProd!$A:$B,2,0)),"")</f>
        <v/>
      </c>
      <c r="C1752" t="str">
        <f>IFERROR(IF(A1752="","",VLOOKUP(A1752,CadProd!$A:$C,3,0)),"")</f>
        <v/>
      </c>
      <c r="I1752" s="1" t="str">
        <f>IFERROR(IF(A1752="","",E1752*#REF!),"")</f>
        <v/>
      </c>
    </row>
    <row r="1753" spans="2:9" x14ac:dyDescent="0.3">
      <c r="B1753" t="str">
        <f>IFERROR(IF(A1753="","",VLOOKUP(A1753,CadProd!$A:$B,2,0)),"")</f>
        <v/>
      </c>
      <c r="C1753" t="str">
        <f>IFERROR(IF(A1753="","",VLOOKUP(A1753,CadProd!$A:$C,3,0)),"")</f>
        <v/>
      </c>
      <c r="I1753" s="1" t="str">
        <f>IFERROR(IF(A1753="","",E1753*#REF!),"")</f>
        <v/>
      </c>
    </row>
    <row r="1754" spans="2:9" x14ac:dyDescent="0.3">
      <c r="B1754" t="str">
        <f>IFERROR(IF(A1754="","",VLOOKUP(A1754,CadProd!$A:$B,2,0)),"")</f>
        <v/>
      </c>
      <c r="C1754" t="str">
        <f>IFERROR(IF(A1754="","",VLOOKUP(A1754,CadProd!$A:$C,3,0)),"")</f>
        <v/>
      </c>
      <c r="I1754" s="1" t="str">
        <f>IFERROR(IF(A1754="","",E1754*#REF!),"")</f>
        <v/>
      </c>
    </row>
    <row r="1755" spans="2:9" x14ac:dyDescent="0.3">
      <c r="B1755" t="str">
        <f>IFERROR(IF(A1755="","",VLOOKUP(A1755,CadProd!$A:$B,2,0)),"")</f>
        <v/>
      </c>
      <c r="C1755" t="str">
        <f>IFERROR(IF(A1755="","",VLOOKUP(A1755,CadProd!$A:$C,3,0)),"")</f>
        <v/>
      </c>
      <c r="I1755" s="1" t="str">
        <f>IFERROR(IF(A1755="","",E1755*#REF!),"")</f>
        <v/>
      </c>
    </row>
    <row r="1756" spans="2:9" x14ac:dyDescent="0.3">
      <c r="B1756" t="str">
        <f>IFERROR(IF(A1756="","",VLOOKUP(A1756,CadProd!$A:$B,2,0)),"")</f>
        <v/>
      </c>
      <c r="C1756" t="str">
        <f>IFERROR(IF(A1756="","",VLOOKUP(A1756,CadProd!$A:$C,3,0)),"")</f>
        <v/>
      </c>
      <c r="I1756" s="1" t="str">
        <f>IFERROR(IF(A1756="","",E1756*#REF!),"")</f>
        <v/>
      </c>
    </row>
    <row r="1757" spans="2:9" x14ac:dyDescent="0.3">
      <c r="B1757" t="str">
        <f>IFERROR(IF(A1757="","",VLOOKUP(A1757,CadProd!$A:$B,2,0)),"")</f>
        <v/>
      </c>
      <c r="C1757" t="str">
        <f>IFERROR(IF(A1757="","",VLOOKUP(A1757,CadProd!$A:$C,3,0)),"")</f>
        <v/>
      </c>
      <c r="I1757" s="1" t="str">
        <f>IFERROR(IF(A1757="","",E1757*#REF!),"")</f>
        <v/>
      </c>
    </row>
    <row r="1758" spans="2:9" x14ac:dyDescent="0.3">
      <c r="B1758" t="str">
        <f>IFERROR(IF(A1758="","",VLOOKUP(A1758,CadProd!$A:$B,2,0)),"")</f>
        <v/>
      </c>
      <c r="C1758" t="str">
        <f>IFERROR(IF(A1758="","",VLOOKUP(A1758,CadProd!$A:$C,3,0)),"")</f>
        <v/>
      </c>
      <c r="I1758" s="1" t="str">
        <f>IFERROR(IF(A1758="","",E1758*#REF!),"")</f>
        <v/>
      </c>
    </row>
    <row r="1759" spans="2:9" x14ac:dyDescent="0.3">
      <c r="B1759" t="str">
        <f>IFERROR(IF(A1759="","",VLOOKUP(A1759,CadProd!$A:$B,2,0)),"")</f>
        <v/>
      </c>
      <c r="C1759" t="str">
        <f>IFERROR(IF(A1759="","",VLOOKUP(A1759,CadProd!$A:$C,3,0)),"")</f>
        <v/>
      </c>
      <c r="I1759" s="1" t="str">
        <f>IFERROR(IF(A1759="","",E1759*#REF!),"")</f>
        <v/>
      </c>
    </row>
    <row r="1760" spans="2:9" x14ac:dyDescent="0.3">
      <c r="B1760" t="str">
        <f>IFERROR(IF(A1760="","",VLOOKUP(A1760,CadProd!$A:$B,2,0)),"")</f>
        <v/>
      </c>
      <c r="C1760" t="str">
        <f>IFERROR(IF(A1760="","",VLOOKUP(A1760,CadProd!$A:$C,3,0)),"")</f>
        <v/>
      </c>
      <c r="I1760" s="1" t="str">
        <f>IFERROR(IF(A1760="","",E1760*#REF!),"")</f>
        <v/>
      </c>
    </row>
    <row r="1761" spans="2:9" x14ac:dyDescent="0.3">
      <c r="B1761" t="str">
        <f>IFERROR(IF(A1761="","",VLOOKUP(A1761,CadProd!$A:$B,2,0)),"")</f>
        <v/>
      </c>
      <c r="C1761" t="str">
        <f>IFERROR(IF(A1761="","",VLOOKUP(A1761,CadProd!$A:$C,3,0)),"")</f>
        <v/>
      </c>
      <c r="I1761" s="1" t="str">
        <f>IFERROR(IF(A1761="","",E1761*#REF!),"")</f>
        <v/>
      </c>
    </row>
    <row r="1762" spans="2:9" x14ac:dyDescent="0.3">
      <c r="B1762" t="str">
        <f>IFERROR(IF(A1762="","",VLOOKUP(A1762,CadProd!$A:$B,2,0)),"")</f>
        <v/>
      </c>
      <c r="C1762" t="str">
        <f>IFERROR(IF(A1762="","",VLOOKUP(A1762,CadProd!$A:$C,3,0)),"")</f>
        <v/>
      </c>
      <c r="I1762" s="1" t="str">
        <f>IFERROR(IF(A1762="","",E1762*#REF!),"")</f>
        <v/>
      </c>
    </row>
    <row r="1763" spans="2:9" x14ac:dyDescent="0.3">
      <c r="B1763" t="str">
        <f>IFERROR(IF(A1763="","",VLOOKUP(A1763,CadProd!$A:$B,2,0)),"")</f>
        <v/>
      </c>
      <c r="C1763" t="str">
        <f>IFERROR(IF(A1763="","",VLOOKUP(A1763,CadProd!$A:$C,3,0)),"")</f>
        <v/>
      </c>
      <c r="I1763" s="1" t="str">
        <f>IFERROR(IF(A1763="","",E1763*#REF!),"")</f>
        <v/>
      </c>
    </row>
    <row r="1764" spans="2:9" x14ac:dyDescent="0.3">
      <c r="B1764" t="str">
        <f>IFERROR(IF(A1764="","",VLOOKUP(A1764,CadProd!$A:$B,2,0)),"")</f>
        <v/>
      </c>
      <c r="C1764" t="str">
        <f>IFERROR(IF(A1764="","",VLOOKUP(A1764,CadProd!$A:$C,3,0)),"")</f>
        <v/>
      </c>
      <c r="I1764" s="1" t="str">
        <f>IFERROR(IF(A1764="","",E1764*#REF!),"")</f>
        <v/>
      </c>
    </row>
    <row r="1765" spans="2:9" x14ac:dyDescent="0.3">
      <c r="B1765" t="str">
        <f>IFERROR(IF(A1765="","",VLOOKUP(A1765,CadProd!$A:$B,2,0)),"")</f>
        <v/>
      </c>
      <c r="C1765" t="str">
        <f>IFERROR(IF(A1765="","",VLOOKUP(A1765,CadProd!$A:$C,3,0)),"")</f>
        <v/>
      </c>
      <c r="I1765" s="1" t="str">
        <f>IFERROR(IF(A1765="","",E1765*#REF!),"")</f>
        <v/>
      </c>
    </row>
    <row r="1766" spans="2:9" x14ac:dyDescent="0.3">
      <c r="B1766" t="str">
        <f>IFERROR(IF(A1766="","",VLOOKUP(A1766,CadProd!$A:$B,2,0)),"")</f>
        <v/>
      </c>
      <c r="C1766" t="str">
        <f>IFERROR(IF(A1766="","",VLOOKUP(A1766,CadProd!$A:$C,3,0)),"")</f>
        <v/>
      </c>
      <c r="I1766" s="1" t="str">
        <f>IFERROR(IF(A1766="","",E1766*#REF!),"")</f>
        <v/>
      </c>
    </row>
    <row r="1767" spans="2:9" x14ac:dyDescent="0.3">
      <c r="B1767" t="str">
        <f>IFERROR(IF(A1767="","",VLOOKUP(A1767,CadProd!$A:$B,2,0)),"")</f>
        <v/>
      </c>
      <c r="C1767" t="str">
        <f>IFERROR(IF(A1767="","",VLOOKUP(A1767,CadProd!$A:$C,3,0)),"")</f>
        <v/>
      </c>
      <c r="I1767" s="1" t="str">
        <f>IFERROR(IF(A1767="","",E1767*#REF!),"")</f>
        <v/>
      </c>
    </row>
    <row r="1768" spans="2:9" x14ac:dyDescent="0.3">
      <c r="B1768" t="str">
        <f>IFERROR(IF(A1768="","",VLOOKUP(A1768,CadProd!$A:$B,2,0)),"")</f>
        <v/>
      </c>
      <c r="C1768" t="str">
        <f>IFERROR(IF(A1768="","",VLOOKUP(A1768,CadProd!$A:$C,3,0)),"")</f>
        <v/>
      </c>
      <c r="I1768" s="1" t="str">
        <f>IFERROR(IF(A1768="","",E1768*#REF!),"")</f>
        <v/>
      </c>
    </row>
    <row r="1769" spans="2:9" x14ac:dyDescent="0.3">
      <c r="B1769" t="str">
        <f>IFERROR(IF(A1769="","",VLOOKUP(A1769,CadProd!$A:$B,2,0)),"")</f>
        <v/>
      </c>
      <c r="C1769" t="str">
        <f>IFERROR(IF(A1769="","",VLOOKUP(A1769,CadProd!$A:$C,3,0)),"")</f>
        <v/>
      </c>
      <c r="I1769" s="1" t="str">
        <f>IFERROR(IF(A1769="","",E1769*#REF!),"")</f>
        <v/>
      </c>
    </row>
    <row r="1770" spans="2:9" x14ac:dyDescent="0.3">
      <c r="B1770" t="str">
        <f>IFERROR(IF(A1770="","",VLOOKUP(A1770,CadProd!$A:$B,2,0)),"")</f>
        <v/>
      </c>
      <c r="C1770" t="str">
        <f>IFERROR(IF(A1770="","",VLOOKUP(A1770,CadProd!$A:$C,3,0)),"")</f>
        <v/>
      </c>
      <c r="I1770" s="1" t="str">
        <f>IFERROR(IF(A1770="","",E1770*#REF!),"")</f>
        <v/>
      </c>
    </row>
    <row r="1771" spans="2:9" x14ac:dyDescent="0.3">
      <c r="B1771" t="str">
        <f>IFERROR(IF(A1771="","",VLOOKUP(A1771,CadProd!$A:$B,2,0)),"")</f>
        <v/>
      </c>
      <c r="C1771" t="str">
        <f>IFERROR(IF(A1771="","",VLOOKUP(A1771,CadProd!$A:$C,3,0)),"")</f>
        <v/>
      </c>
      <c r="I1771" s="1" t="str">
        <f>IFERROR(IF(A1771="","",E1771*#REF!),"")</f>
        <v/>
      </c>
    </row>
    <row r="1772" spans="2:9" x14ac:dyDescent="0.3">
      <c r="B1772" t="str">
        <f>IFERROR(IF(A1772="","",VLOOKUP(A1772,CadProd!$A:$B,2,0)),"")</f>
        <v/>
      </c>
      <c r="C1772" t="str">
        <f>IFERROR(IF(A1772="","",VLOOKUP(A1772,CadProd!$A:$C,3,0)),"")</f>
        <v/>
      </c>
      <c r="I1772" s="1" t="str">
        <f>IFERROR(IF(A1772="","",E1772*#REF!),"")</f>
        <v/>
      </c>
    </row>
    <row r="1773" spans="2:9" x14ac:dyDescent="0.3">
      <c r="B1773" t="str">
        <f>IFERROR(IF(A1773="","",VLOOKUP(A1773,CadProd!$A:$B,2,0)),"")</f>
        <v/>
      </c>
      <c r="C1773" t="str">
        <f>IFERROR(IF(A1773="","",VLOOKUP(A1773,CadProd!$A:$C,3,0)),"")</f>
        <v/>
      </c>
      <c r="I1773" s="1" t="str">
        <f>IFERROR(IF(A1773="","",E1773*#REF!),"")</f>
        <v/>
      </c>
    </row>
    <row r="1774" spans="2:9" x14ac:dyDescent="0.3">
      <c r="B1774" t="str">
        <f>IFERROR(IF(A1774="","",VLOOKUP(A1774,CadProd!$A:$B,2,0)),"")</f>
        <v/>
      </c>
      <c r="C1774" t="str">
        <f>IFERROR(IF(A1774="","",VLOOKUP(A1774,CadProd!$A:$C,3,0)),"")</f>
        <v/>
      </c>
      <c r="I1774" s="1" t="str">
        <f>IFERROR(IF(A1774="","",E1774*#REF!),"")</f>
        <v/>
      </c>
    </row>
    <row r="1775" spans="2:9" x14ac:dyDescent="0.3">
      <c r="B1775" t="str">
        <f>IFERROR(IF(A1775="","",VLOOKUP(A1775,CadProd!$A:$B,2,0)),"")</f>
        <v/>
      </c>
      <c r="C1775" t="str">
        <f>IFERROR(IF(A1775="","",VLOOKUP(A1775,CadProd!$A:$C,3,0)),"")</f>
        <v/>
      </c>
      <c r="I1775" s="1" t="str">
        <f>IFERROR(IF(A1775="","",E1775*#REF!),"")</f>
        <v/>
      </c>
    </row>
    <row r="1776" spans="2:9" x14ac:dyDescent="0.3">
      <c r="B1776" t="str">
        <f>IFERROR(IF(A1776="","",VLOOKUP(A1776,CadProd!$A:$B,2,0)),"")</f>
        <v/>
      </c>
      <c r="C1776" t="str">
        <f>IFERROR(IF(A1776="","",VLOOKUP(A1776,CadProd!$A:$C,3,0)),"")</f>
        <v/>
      </c>
      <c r="I1776" s="1" t="str">
        <f>IFERROR(IF(A1776="","",E1776*#REF!),"")</f>
        <v/>
      </c>
    </row>
    <row r="1777" spans="2:9" x14ac:dyDescent="0.3">
      <c r="B1777" t="str">
        <f>IFERROR(IF(A1777="","",VLOOKUP(A1777,CadProd!$A:$B,2,0)),"")</f>
        <v/>
      </c>
      <c r="C1777" t="str">
        <f>IFERROR(IF(A1777="","",VLOOKUP(A1777,CadProd!$A:$C,3,0)),"")</f>
        <v/>
      </c>
      <c r="I1777" s="1" t="str">
        <f>IFERROR(IF(A1777="","",E1777*#REF!),"")</f>
        <v/>
      </c>
    </row>
    <row r="1778" spans="2:9" x14ac:dyDescent="0.3">
      <c r="B1778" t="str">
        <f>IFERROR(IF(A1778="","",VLOOKUP(A1778,CadProd!$A:$B,2,0)),"")</f>
        <v/>
      </c>
      <c r="C1778" t="str">
        <f>IFERROR(IF(A1778="","",VLOOKUP(A1778,CadProd!$A:$C,3,0)),"")</f>
        <v/>
      </c>
      <c r="I1778" s="1" t="str">
        <f>IFERROR(IF(A1778="","",E1778*#REF!),"")</f>
        <v/>
      </c>
    </row>
    <row r="1779" spans="2:9" x14ac:dyDescent="0.3">
      <c r="B1779" t="str">
        <f>IFERROR(IF(A1779="","",VLOOKUP(A1779,CadProd!$A:$B,2,0)),"")</f>
        <v/>
      </c>
      <c r="C1779" t="str">
        <f>IFERROR(IF(A1779="","",VLOOKUP(A1779,CadProd!$A:$C,3,0)),"")</f>
        <v/>
      </c>
      <c r="I1779" s="1" t="str">
        <f>IFERROR(IF(A1779="","",E1779*#REF!),"")</f>
        <v/>
      </c>
    </row>
    <row r="1780" spans="2:9" x14ac:dyDescent="0.3">
      <c r="B1780" t="str">
        <f>IFERROR(IF(A1780="","",VLOOKUP(A1780,CadProd!$A:$B,2,0)),"")</f>
        <v/>
      </c>
      <c r="C1780" t="str">
        <f>IFERROR(IF(A1780="","",VLOOKUP(A1780,CadProd!$A:$C,3,0)),"")</f>
        <v/>
      </c>
      <c r="I1780" s="1" t="str">
        <f>IFERROR(IF(A1780="","",E1780*#REF!),"")</f>
        <v/>
      </c>
    </row>
    <row r="1781" spans="2:9" x14ac:dyDescent="0.3">
      <c r="B1781" t="str">
        <f>IFERROR(IF(A1781="","",VLOOKUP(A1781,CadProd!$A:$B,2,0)),"")</f>
        <v/>
      </c>
      <c r="C1781" t="str">
        <f>IFERROR(IF(A1781="","",VLOOKUP(A1781,CadProd!$A:$C,3,0)),"")</f>
        <v/>
      </c>
      <c r="I1781" s="1" t="str">
        <f>IFERROR(IF(A1781="","",E1781*#REF!),"")</f>
        <v/>
      </c>
    </row>
    <row r="1782" spans="2:9" x14ac:dyDescent="0.3">
      <c r="B1782" t="str">
        <f>IFERROR(IF(A1782="","",VLOOKUP(A1782,CadProd!$A:$B,2,0)),"")</f>
        <v/>
      </c>
      <c r="C1782" t="str">
        <f>IFERROR(IF(A1782="","",VLOOKUP(A1782,CadProd!$A:$C,3,0)),"")</f>
        <v/>
      </c>
      <c r="I1782" s="1" t="str">
        <f>IFERROR(IF(A1782="","",E1782*#REF!),"")</f>
        <v/>
      </c>
    </row>
    <row r="1783" spans="2:9" x14ac:dyDescent="0.3">
      <c r="B1783" t="str">
        <f>IFERROR(IF(A1783="","",VLOOKUP(A1783,CadProd!$A:$B,2,0)),"")</f>
        <v/>
      </c>
      <c r="C1783" t="str">
        <f>IFERROR(IF(A1783="","",VLOOKUP(A1783,CadProd!$A:$C,3,0)),"")</f>
        <v/>
      </c>
      <c r="I1783" s="1" t="str">
        <f>IFERROR(IF(A1783="","",E1783*#REF!),"")</f>
        <v/>
      </c>
    </row>
    <row r="1784" spans="2:9" x14ac:dyDescent="0.3">
      <c r="B1784" t="str">
        <f>IFERROR(IF(A1784="","",VLOOKUP(A1784,CadProd!$A:$B,2,0)),"")</f>
        <v/>
      </c>
      <c r="C1784" t="str">
        <f>IFERROR(IF(A1784="","",VLOOKUP(A1784,CadProd!$A:$C,3,0)),"")</f>
        <v/>
      </c>
      <c r="I1784" s="1" t="str">
        <f>IFERROR(IF(A1784="","",E1784*#REF!),"")</f>
        <v/>
      </c>
    </row>
    <row r="1785" spans="2:9" x14ac:dyDescent="0.3">
      <c r="B1785" t="str">
        <f>IFERROR(IF(A1785="","",VLOOKUP(A1785,CadProd!$A:$B,2,0)),"")</f>
        <v/>
      </c>
      <c r="C1785" t="str">
        <f>IFERROR(IF(A1785="","",VLOOKUP(A1785,CadProd!$A:$C,3,0)),"")</f>
        <v/>
      </c>
      <c r="I1785" s="1" t="str">
        <f>IFERROR(IF(A1785="","",E1785*#REF!),"")</f>
        <v/>
      </c>
    </row>
    <row r="1786" spans="2:9" x14ac:dyDescent="0.3">
      <c r="B1786" t="str">
        <f>IFERROR(IF(A1786="","",VLOOKUP(A1786,CadProd!$A:$B,2,0)),"")</f>
        <v/>
      </c>
      <c r="C1786" t="str">
        <f>IFERROR(IF(A1786="","",VLOOKUP(A1786,CadProd!$A:$C,3,0)),"")</f>
        <v/>
      </c>
      <c r="I1786" s="1" t="str">
        <f>IFERROR(IF(A1786="","",E1786*#REF!),"")</f>
        <v/>
      </c>
    </row>
    <row r="1787" spans="2:9" x14ac:dyDescent="0.3">
      <c r="B1787" t="str">
        <f>IFERROR(IF(A1787="","",VLOOKUP(A1787,CadProd!$A:$B,2,0)),"")</f>
        <v/>
      </c>
      <c r="C1787" t="str">
        <f>IFERROR(IF(A1787="","",VLOOKUP(A1787,CadProd!$A:$C,3,0)),"")</f>
        <v/>
      </c>
      <c r="I1787" s="1" t="str">
        <f>IFERROR(IF(A1787="","",E1787*#REF!),"")</f>
        <v/>
      </c>
    </row>
    <row r="1788" spans="2:9" x14ac:dyDescent="0.3">
      <c r="B1788" t="str">
        <f>IFERROR(IF(A1788="","",VLOOKUP(A1788,CadProd!$A:$B,2,0)),"")</f>
        <v/>
      </c>
      <c r="C1788" t="str">
        <f>IFERROR(IF(A1788="","",VLOOKUP(A1788,CadProd!$A:$C,3,0)),"")</f>
        <v/>
      </c>
      <c r="I1788" s="1" t="str">
        <f>IFERROR(IF(A1788="","",E1788*#REF!),"")</f>
        <v/>
      </c>
    </row>
    <row r="1789" spans="2:9" x14ac:dyDescent="0.3">
      <c r="B1789" t="str">
        <f>IFERROR(IF(A1789="","",VLOOKUP(A1789,CadProd!$A:$B,2,0)),"")</f>
        <v/>
      </c>
      <c r="C1789" t="str">
        <f>IFERROR(IF(A1789="","",VLOOKUP(A1789,CadProd!$A:$C,3,0)),"")</f>
        <v/>
      </c>
      <c r="I1789" s="1" t="str">
        <f>IFERROR(IF(A1789="","",E1789*#REF!),"")</f>
        <v/>
      </c>
    </row>
    <row r="1790" spans="2:9" x14ac:dyDescent="0.3">
      <c r="B1790" t="str">
        <f>IFERROR(IF(A1790="","",VLOOKUP(A1790,CadProd!$A:$B,2,0)),"")</f>
        <v/>
      </c>
      <c r="C1790" t="str">
        <f>IFERROR(IF(A1790="","",VLOOKUP(A1790,CadProd!$A:$C,3,0)),"")</f>
        <v/>
      </c>
      <c r="I1790" s="1" t="str">
        <f>IFERROR(IF(A1790="","",E1790*#REF!),"")</f>
        <v/>
      </c>
    </row>
    <row r="1791" spans="2:9" x14ac:dyDescent="0.3">
      <c r="B1791" t="str">
        <f>IFERROR(IF(A1791="","",VLOOKUP(A1791,CadProd!$A:$B,2,0)),"")</f>
        <v/>
      </c>
      <c r="C1791" t="str">
        <f>IFERROR(IF(A1791="","",VLOOKUP(A1791,CadProd!$A:$C,3,0)),"")</f>
        <v/>
      </c>
      <c r="I1791" s="1" t="str">
        <f>IFERROR(IF(A1791="","",E1791*#REF!),"")</f>
        <v/>
      </c>
    </row>
    <row r="1792" spans="2:9" x14ac:dyDescent="0.3">
      <c r="B1792" t="str">
        <f>IFERROR(IF(A1792="","",VLOOKUP(A1792,CadProd!$A:$B,2,0)),"")</f>
        <v/>
      </c>
      <c r="C1792" t="str">
        <f>IFERROR(IF(A1792="","",VLOOKUP(A1792,CadProd!$A:$C,3,0)),"")</f>
        <v/>
      </c>
      <c r="I1792" s="1" t="str">
        <f>IFERROR(IF(A1792="","",E1792*#REF!),"")</f>
        <v/>
      </c>
    </row>
    <row r="1793" spans="2:9" x14ac:dyDescent="0.3">
      <c r="B1793" t="str">
        <f>IFERROR(IF(A1793="","",VLOOKUP(A1793,CadProd!$A:$B,2,0)),"")</f>
        <v/>
      </c>
      <c r="C1793" t="str">
        <f>IFERROR(IF(A1793="","",VLOOKUP(A1793,CadProd!$A:$C,3,0)),"")</f>
        <v/>
      </c>
      <c r="I1793" s="1" t="str">
        <f>IFERROR(IF(A1793="","",E1793*#REF!),"")</f>
        <v/>
      </c>
    </row>
    <row r="1794" spans="2:9" x14ac:dyDescent="0.3">
      <c r="B1794" t="str">
        <f>IFERROR(IF(A1794="","",VLOOKUP(A1794,CadProd!$A:$B,2,0)),"")</f>
        <v/>
      </c>
      <c r="C1794" t="str">
        <f>IFERROR(IF(A1794="","",VLOOKUP(A1794,CadProd!$A:$C,3,0)),"")</f>
        <v/>
      </c>
      <c r="I1794" s="1" t="str">
        <f>IFERROR(IF(A1794="","",E1794*#REF!),"")</f>
        <v/>
      </c>
    </row>
    <row r="1795" spans="2:9" x14ac:dyDescent="0.3">
      <c r="B1795" t="str">
        <f>IFERROR(IF(A1795="","",VLOOKUP(A1795,CadProd!$A:$B,2,0)),"")</f>
        <v/>
      </c>
      <c r="C1795" t="str">
        <f>IFERROR(IF(A1795="","",VLOOKUP(A1795,CadProd!$A:$C,3,0)),"")</f>
        <v/>
      </c>
      <c r="I1795" s="1" t="str">
        <f>IFERROR(IF(A1795="","",E1795*#REF!),"")</f>
        <v/>
      </c>
    </row>
    <row r="1796" spans="2:9" x14ac:dyDescent="0.3">
      <c r="B1796" t="str">
        <f>IFERROR(IF(A1796="","",VLOOKUP(A1796,CadProd!$A:$B,2,0)),"")</f>
        <v/>
      </c>
      <c r="C1796" t="str">
        <f>IFERROR(IF(A1796="","",VLOOKUP(A1796,CadProd!$A:$C,3,0)),"")</f>
        <v/>
      </c>
      <c r="I1796" s="1" t="str">
        <f>IFERROR(IF(A1796="","",E1796*#REF!),"")</f>
        <v/>
      </c>
    </row>
    <row r="1797" spans="2:9" x14ac:dyDescent="0.3">
      <c r="B1797" t="str">
        <f>IFERROR(IF(A1797="","",VLOOKUP(A1797,CadProd!$A:$B,2,0)),"")</f>
        <v/>
      </c>
      <c r="C1797" t="str">
        <f>IFERROR(IF(A1797="","",VLOOKUP(A1797,CadProd!$A:$C,3,0)),"")</f>
        <v/>
      </c>
      <c r="I1797" s="1" t="str">
        <f>IFERROR(IF(A1797="","",E1797*#REF!),"")</f>
        <v/>
      </c>
    </row>
    <row r="1798" spans="2:9" x14ac:dyDescent="0.3">
      <c r="B1798" t="str">
        <f>IFERROR(IF(A1798="","",VLOOKUP(A1798,CadProd!$A:$B,2,0)),"")</f>
        <v/>
      </c>
      <c r="C1798" t="str">
        <f>IFERROR(IF(A1798="","",VLOOKUP(A1798,CadProd!$A:$C,3,0)),"")</f>
        <v/>
      </c>
      <c r="I1798" s="1" t="str">
        <f>IFERROR(IF(A1798="","",E1798*#REF!),"")</f>
        <v/>
      </c>
    </row>
    <row r="1799" spans="2:9" x14ac:dyDescent="0.3">
      <c r="B1799" t="str">
        <f>IFERROR(IF(A1799="","",VLOOKUP(A1799,CadProd!$A:$B,2,0)),"")</f>
        <v/>
      </c>
      <c r="C1799" t="str">
        <f>IFERROR(IF(A1799="","",VLOOKUP(A1799,CadProd!$A:$C,3,0)),"")</f>
        <v/>
      </c>
      <c r="I1799" s="1" t="str">
        <f>IFERROR(IF(A1799="","",E1799*#REF!),"")</f>
        <v/>
      </c>
    </row>
    <row r="1800" spans="2:9" x14ac:dyDescent="0.3">
      <c r="B1800" t="str">
        <f>IFERROR(IF(A1800="","",VLOOKUP(A1800,CadProd!$A:$B,2,0)),"")</f>
        <v/>
      </c>
      <c r="C1800" t="str">
        <f>IFERROR(IF(A1800="","",VLOOKUP(A1800,CadProd!$A:$C,3,0)),"")</f>
        <v/>
      </c>
      <c r="I1800" s="1" t="str">
        <f>IFERROR(IF(A1800="","",E1800*#REF!),"")</f>
        <v/>
      </c>
    </row>
    <row r="1801" spans="2:9" x14ac:dyDescent="0.3">
      <c r="B1801" t="str">
        <f>IFERROR(IF(A1801="","",VLOOKUP(A1801,CadProd!$A:$B,2,0)),"")</f>
        <v/>
      </c>
      <c r="C1801" t="str">
        <f>IFERROR(IF(A1801="","",VLOOKUP(A1801,CadProd!$A:$C,3,0)),"")</f>
        <v/>
      </c>
      <c r="I1801" s="1" t="str">
        <f>IFERROR(IF(A1801="","",E1801*#REF!),"")</f>
        <v/>
      </c>
    </row>
    <row r="1802" spans="2:9" x14ac:dyDescent="0.3">
      <c r="B1802" t="str">
        <f>IFERROR(IF(A1802="","",VLOOKUP(A1802,CadProd!$A:$B,2,0)),"")</f>
        <v/>
      </c>
      <c r="C1802" t="str">
        <f>IFERROR(IF(A1802="","",VLOOKUP(A1802,CadProd!$A:$C,3,0)),"")</f>
        <v/>
      </c>
      <c r="I1802" s="1" t="str">
        <f>IFERROR(IF(A1802="","",E1802*#REF!),"")</f>
        <v/>
      </c>
    </row>
    <row r="1803" spans="2:9" x14ac:dyDescent="0.3">
      <c r="B1803" t="str">
        <f>IFERROR(IF(A1803="","",VLOOKUP(A1803,CadProd!$A:$B,2,0)),"")</f>
        <v/>
      </c>
      <c r="C1803" t="str">
        <f>IFERROR(IF(A1803="","",VLOOKUP(A1803,CadProd!$A:$C,3,0)),"")</f>
        <v/>
      </c>
      <c r="I1803" s="1" t="str">
        <f>IFERROR(IF(A1803="","",E1803*#REF!),"")</f>
        <v/>
      </c>
    </row>
    <row r="1804" spans="2:9" x14ac:dyDescent="0.3">
      <c r="B1804" t="str">
        <f>IFERROR(IF(A1804="","",VLOOKUP(A1804,CadProd!$A:$B,2,0)),"")</f>
        <v/>
      </c>
      <c r="C1804" t="str">
        <f>IFERROR(IF(A1804="","",VLOOKUP(A1804,CadProd!$A:$C,3,0)),"")</f>
        <v/>
      </c>
      <c r="I1804" s="1" t="str">
        <f>IFERROR(IF(A1804="","",E1804*#REF!),"")</f>
        <v/>
      </c>
    </row>
    <row r="1805" spans="2:9" x14ac:dyDescent="0.3">
      <c r="B1805" t="str">
        <f>IFERROR(IF(A1805="","",VLOOKUP(A1805,CadProd!$A:$B,2,0)),"")</f>
        <v/>
      </c>
      <c r="C1805" t="str">
        <f>IFERROR(IF(A1805="","",VLOOKUP(A1805,CadProd!$A:$C,3,0)),"")</f>
        <v/>
      </c>
      <c r="I1805" s="1" t="str">
        <f>IFERROR(IF(A1805="","",E1805*#REF!),"")</f>
        <v/>
      </c>
    </row>
    <row r="1806" spans="2:9" x14ac:dyDescent="0.3">
      <c r="B1806" t="str">
        <f>IFERROR(IF(A1806="","",VLOOKUP(A1806,CadProd!$A:$B,2,0)),"")</f>
        <v/>
      </c>
      <c r="C1806" t="str">
        <f>IFERROR(IF(A1806="","",VLOOKUP(A1806,CadProd!$A:$C,3,0)),"")</f>
        <v/>
      </c>
      <c r="I1806" s="1" t="str">
        <f>IFERROR(IF(A1806="","",E1806*#REF!),"")</f>
        <v/>
      </c>
    </row>
    <row r="1807" spans="2:9" x14ac:dyDescent="0.3">
      <c r="B1807" t="str">
        <f>IFERROR(IF(A1807="","",VLOOKUP(A1807,CadProd!$A:$B,2,0)),"")</f>
        <v/>
      </c>
      <c r="C1807" t="str">
        <f>IFERROR(IF(A1807="","",VLOOKUP(A1807,CadProd!$A:$C,3,0)),"")</f>
        <v/>
      </c>
      <c r="I1807" s="1" t="str">
        <f>IFERROR(IF(A1807="","",E1807*#REF!),"")</f>
        <v/>
      </c>
    </row>
    <row r="1808" spans="2:9" x14ac:dyDescent="0.3">
      <c r="B1808" t="str">
        <f>IFERROR(IF(A1808="","",VLOOKUP(A1808,CadProd!$A:$B,2,0)),"")</f>
        <v/>
      </c>
      <c r="C1808" t="str">
        <f>IFERROR(IF(A1808="","",VLOOKUP(A1808,CadProd!$A:$C,3,0)),"")</f>
        <v/>
      </c>
      <c r="I1808" s="1" t="str">
        <f>IFERROR(IF(A1808="","",E1808*#REF!),"")</f>
        <v/>
      </c>
    </row>
    <row r="1809" spans="2:9" x14ac:dyDescent="0.3">
      <c r="B1809" t="str">
        <f>IFERROR(IF(A1809="","",VLOOKUP(A1809,CadProd!$A:$B,2,0)),"")</f>
        <v/>
      </c>
      <c r="C1809" t="str">
        <f>IFERROR(IF(A1809="","",VLOOKUP(A1809,CadProd!$A:$C,3,0)),"")</f>
        <v/>
      </c>
      <c r="I1809" s="1" t="str">
        <f>IFERROR(IF(A1809="","",E1809*#REF!),"")</f>
        <v/>
      </c>
    </row>
    <row r="1810" spans="2:9" x14ac:dyDescent="0.3">
      <c r="B1810" t="str">
        <f>IFERROR(IF(A1810="","",VLOOKUP(A1810,CadProd!$A:$B,2,0)),"")</f>
        <v/>
      </c>
      <c r="C1810" t="str">
        <f>IFERROR(IF(A1810="","",VLOOKUP(A1810,CadProd!$A:$C,3,0)),"")</f>
        <v/>
      </c>
      <c r="I1810" s="1" t="str">
        <f>IFERROR(IF(A1810="","",E1810*#REF!),"")</f>
        <v/>
      </c>
    </row>
    <row r="1811" spans="2:9" x14ac:dyDescent="0.3">
      <c r="B1811" t="str">
        <f>IFERROR(IF(A1811="","",VLOOKUP(A1811,CadProd!$A:$B,2,0)),"")</f>
        <v/>
      </c>
      <c r="C1811" t="str">
        <f>IFERROR(IF(A1811="","",VLOOKUP(A1811,CadProd!$A:$C,3,0)),"")</f>
        <v/>
      </c>
      <c r="I1811" s="1" t="str">
        <f>IFERROR(IF(A1811="","",E1811*#REF!),"")</f>
        <v/>
      </c>
    </row>
    <row r="1812" spans="2:9" x14ac:dyDescent="0.3">
      <c r="B1812" t="str">
        <f>IFERROR(IF(A1812="","",VLOOKUP(A1812,CadProd!$A:$B,2,0)),"")</f>
        <v/>
      </c>
      <c r="C1812" t="str">
        <f>IFERROR(IF(A1812="","",VLOOKUP(A1812,CadProd!$A:$C,3,0)),"")</f>
        <v/>
      </c>
      <c r="I1812" s="1" t="str">
        <f>IFERROR(IF(A1812="","",E1812*#REF!),"")</f>
        <v/>
      </c>
    </row>
    <row r="1813" spans="2:9" x14ac:dyDescent="0.3">
      <c r="B1813" t="str">
        <f>IFERROR(IF(A1813="","",VLOOKUP(A1813,CadProd!$A:$B,2,0)),"")</f>
        <v/>
      </c>
      <c r="C1813" t="str">
        <f>IFERROR(IF(A1813="","",VLOOKUP(A1813,CadProd!$A:$C,3,0)),"")</f>
        <v/>
      </c>
      <c r="I1813" s="1" t="str">
        <f>IFERROR(IF(A1813="","",E1813*#REF!),"")</f>
        <v/>
      </c>
    </row>
    <row r="1814" spans="2:9" x14ac:dyDescent="0.3">
      <c r="B1814" t="str">
        <f>IFERROR(IF(A1814="","",VLOOKUP(A1814,CadProd!$A:$B,2,0)),"")</f>
        <v/>
      </c>
      <c r="C1814" t="str">
        <f>IFERROR(IF(A1814="","",VLOOKUP(A1814,CadProd!$A:$C,3,0)),"")</f>
        <v/>
      </c>
      <c r="I1814" s="1" t="str">
        <f>IFERROR(IF(A1814="","",E1814*#REF!),"")</f>
        <v/>
      </c>
    </row>
    <row r="1815" spans="2:9" x14ac:dyDescent="0.3">
      <c r="B1815" t="str">
        <f>IFERROR(IF(A1815="","",VLOOKUP(A1815,CadProd!$A:$B,2,0)),"")</f>
        <v/>
      </c>
      <c r="C1815" t="str">
        <f>IFERROR(IF(A1815="","",VLOOKUP(A1815,CadProd!$A:$C,3,0)),"")</f>
        <v/>
      </c>
      <c r="I1815" s="1" t="str">
        <f>IFERROR(IF(A1815="","",E1815*#REF!),"")</f>
        <v/>
      </c>
    </row>
    <row r="1816" spans="2:9" x14ac:dyDescent="0.3">
      <c r="B1816" t="str">
        <f>IFERROR(IF(A1816="","",VLOOKUP(A1816,CadProd!$A:$B,2,0)),"")</f>
        <v/>
      </c>
      <c r="C1816" t="str">
        <f>IFERROR(IF(A1816="","",VLOOKUP(A1816,CadProd!$A:$C,3,0)),"")</f>
        <v/>
      </c>
      <c r="I1816" s="1" t="str">
        <f>IFERROR(IF(A1816="","",E1816*#REF!),"")</f>
        <v/>
      </c>
    </row>
    <row r="1817" spans="2:9" x14ac:dyDescent="0.3">
      <c r="B1817" t="str">
        <f>IFERROR(IF(A1817="","",VLOOKUP(A1817,CadProd!$A:$B,2,0)),"")</f>
        <v/>
      </c>
      <c r="C1817" t="str">
        <f>IFERROR(IF(A1817="","",VLOOKUP(A1817,CadProd!$A:$C,3,0)),"")</f>
        <v/>
      </c>
      <c r="I1817" s="1" t="str">
        <f>IFERROR(IF(A1817="","",E1817*#REF!),"")</f>
        <v/>
      </c>
    </row>
    <row r="1818" spans="2:9" x14ac:dyDescent="0.3">
      <c r="B1818" t="str">
        <f>IFERROR(IF(A1818="","",VLOOKUP(A1818,CadProd!$A:$B,2,0)),"")</f>
        <v/>
      </c>
      <c r="C1818" t="str">
        <f>IFERROR(IF(A1818="","",VLOOKUP(A1818,CadProd!$A:$C,3,0)),"")</f>
        <v/>
      </c>
      <c r="I1818" s="1" t="str">
        <f>IFERROR(IF(A1818="","",E1818*#REF!),"")</f>
        <v/>
      </c>
    </row>
    <row r="1819" spans="2:9" x14ac:dyDescent="0.3">
      <c r="B1819" t="str">
        <f>IFERROR(IF(A1819="","",VLOOKUP(A1819,CadProd!$A:$B,2,0)),"")</f>
        <v/>
      </c>
      <c r="C1819" t="str">
        <f>IFERROR(IF(A1819="","",VLOOKUP(A1819,CadProd!$A:$C,3,0)),"")</f>
        <v/>
      </c>
      <c r="I1819" s="1" t="str">
        <f>IFERROR(IF(A1819="","",E1819*#REF!),"")</f>
        <v/>
      </c>
    </row>
    <row r="1820" spans="2:9" x14ac:dyDescent="0.3">
      <c r="B1820" t="str">
        <f>IFERROR(IF(A1820="","",VLOOKUP(A1820,CadProd!$A:$B,2,0)),"")</f>
        <v/>
      </c>
      <c r="C1820" t="str">
        <f>IFERROR(IF(A1820="","",VLOOKUP(A1820,CadProd!$A:$C,3,0)),"")</f>
        <v/>
      </c>
      <c r="I1820" s="1" t="str">
        <f>IFERROR(IF(A1820="","",E1820*#REF!),"")</f>
        <v/>
      </c>
    </row>
    <row r="1821" spans="2:9" x14ac:dyDescent="0.3">
      <c r="B1821" t="str">
        <f>IFERROR(IF(A1821="","",VLOOKUP(A1821,CadProd!$A:$B,2,0)),"")</f>
        <v/>
      </c>
      <c r="C1821" t="str">
        <f>IFERROR(IF(A1821="","",VLOOKUP(A1821,CadProd!$A:$C,3,0)),"")</f>
        <v/>
      </c>
      <c r="I1821" s="1" t="str">
        <f>IFERROR(IF(A1821="","",E1821*#REF!),"")</f>
        <v/>
      </c>
    </row>
    <row r="1822" spans="2:9" x14ac:dyDescent="0.3">
      <c r="B1822" t="str">
        <f>IFERROR(IF(A1822="","",VLOOKUP(A1822,CadProd!$A:$B,2,0)),"")</f>
        <v/>
      </c>
      <c r="C1822" t="str">
        <f>IFERROR(IF(A1822="","",VLOOKUP(A1822,CadProd!$A:$C,3,0)),"")</f>
        <v/>
      </c>
      <c r="I1822" s="1" t="str">
        <f>IFERROR(IF(A1822="","",E1822*#REF!),"")</f>
        <v/>
      </c>
    </row>
    <row r="1823" spans="2:9" x14ac:dyDescent="0.3">
      <c r="B1823" t="str">
        <f>IFERROR(IF(A1823="","",VLOOKUP(A1823,CadProd!$A:$B,2,0)),"")</f>
        <v/>
      </c>
      <c r="C1823" t="str">
        <f>IFERROR(IF(A1823="","",VLOOKUP(A1823,CadProd!$A:$C,3,0)),"")</f>
        <v/>
      </c>
      <c r="I1823" s="1" t="str">
        <f>IFERROR(IF(A1823="","",E1823*#REF!),"")</f>
        <v/>
      </c>
    </row>
    <row r="1824" spans="2:9" x14ac:dyDescent="0.3">
      <c r="B1824" t="str">
        <f>IFERROR(IF(A1824="","",VLOOKUP(A1824,CadProd!$A:$B,2,0)),"")</f>
        <v/>
      </c>
      <c r="C1824" t="str">
        <f>IFERROR(IF(A1824="","",VLOOKUP(A1824,CadProd!$A:$C,3,0)),"")</f>
        <v/>
      </c>
      <c r="I1824" s="1" t="str">
        <f>IFERROR(IF(A1824="","",E1824*#REF!),"")</f>
        <v/>
      </c>
    </row>
    <row r="1825" spans="2:9" x14ac:dyDescent="0.3">
      <c r="B1825" t="str">
        <f>IFERROR(IF(A1825="","",VLOOKUP(A1825,CadProd!$A:$B,2,0)),"")</f>
        <v/>
      </c>
      <c r="C1825" t="str">
        <f>IFERROR(IF(A1825="","",VLOOKUP(A1825,CadProd!$A:$C,3,0)),"")</f>
        <v/>
      </c>
      <c r="I1825" s="1" t="str">
        <f>IFERROR(IF(A1825="","",E1825*#REF!),"")</f>
        <v/>
      </c>
    </row>
    <row r="1826" spans="2:9" x14ac:dyDescent="0.3">
      <c r="B1826" t="str">
        <f>IFERROR(IF(A1826="","",VLOOKUP(A1826,CadProd!$A:$B,2,0)),"")</f>
        <v/>
      </c>
      <c r="C1826" t="str">
        <f>IFERROR(IF(A1826="","",VLOOKUP(A1826,CadProd!$A:$C,3,0)),"")</f>
        <v/>
      </c>
      <c r="I1826" s="1" t="str">
        <f>IFERROR(IF(A1826="","",E1826*#REF!),"")</f>
        <v/>
      </c>
    </row>
    <row r="1827" spans="2:9" x14ac:dyDescent="0.3">
      <c r="B1827" t="str">
        <f>IFERROR(IF(A1827="","",VLOOKUP(A1827,CadProd!$A:$B,2,0)),"")</f>
        <v/>
      </c>
      <c r="C1827" t="str">
        <f>IFERROR(IF(A1827="","",VLOOKUP(A1827,CadProd!$A:$C,3,0)),"")</f>
        <v/>
      </c>
      <c r="I1827" s="1" t="str">
        <f>IFERROR(IF(A1827="","",E1827*#REF!),"")</f>
        <v/>
      </c>
    </row>
    <row r="1828" spans="2:9" x14ac:dyDescent="0.3">
      <c r="B1828" t="str">
        <f>IFERROR(IF(A1828="","",VLOOKUP(A1828,CadProd!$A:$B,2,0)),"")</f>
        <v/>
      </c>
      <c r="C1828" t="str">
        <f>IFERROR(IF(A1828="","",VLOOKUP(A1828,CadProd!$A:$C,3,0)),"")</f>
        <v/>
      </c>
      <c r="I1828" s="1" t="str">
        <f>IFERROR(IF(A1828="","",E1828*#REF!),"")</f>
        <v/>
      </c>
    </row>
    <row r="1829" spans="2:9" x14ac:dyDescent="0.3">
      <c r="B1829" t="str">
        <f>IFERROR(IF(A1829="","",VLOOKUP(A1829,CadProd!$A:$B,2,0)),"")</f>
        <v/>
      </c>
      <c r="C1829" t="str">
        <f>IFERROR(IF(A1829="","",VLOOKUP(A1829,CadProd!$A:$C,3,0)),"")</f>
        <v/>
      </c>
      <c r="I1829" s="1" t="str">
        <f>IFERROR(IF(A1829="","",E1829*#REF!),"")</f>
        <v/>
      </c>
    </row>
    <row r="1830" spans="2:9" x14ac:dyDescent="0.3">
      <c r="B1830" t="str">
        <f>IFERROR(IF(A1830="","",VLOOKUP(A1830,CadProd!$A:$B,2,0)),"")</f>
        <v/>
      </c>
      <c r="C1830" t="str">
        <f>IFERROR(IF(A1830="","",VLOOKUP(A1830,CadProd!$A:$C,3,0)),"")</f>
        <v/>
      </c>
      <c r="I1830" s="1" t="str">
        <f>IFERROR(IF(A1830="","",E1830*#REF!),"")</f>
        <v/>
      </c>
    </row>
    <row r="1831" spans="2:9" x14ac:dyDescent="0.3">
      <c r="B1831" t="str">
        <f>IFERROR(IF(A1831="","",VLOOKUP(A1831,CadProd!$A:$B,2,0)),"")</f>
        <v/>
      </c>
      <c r="C1831" t="str">
        <f>IFERROR(IF(A1831="","",VLOOKUP(A1831,CadProd!$A:$C,3,0)),"")</f>
        <v/>
      </c>
      <c r="I1831" s="1" t="str">
        <f>IFERROR(IF(A1831="","",E1831*#REF!),"")</f>
        <v/>
      </c>
    </row>
    <row r="1832" spans="2:9" x14ac:dyDescent="0.3">
      <c r="B1832" t="str">
        <f>IFERROR(IF(A1832="","",VLOOKUP(A1832,CadProd!$A:$B,2,0)),"")</f>
        <v/>
      </c>
      <c r="C1832" t="str">
        <f>IFERROR(IF(A1832="","",VLOOKUP(A1832,CadProd!$A:$C,3,0)),"")</f>
        <v/>
      </c>
      <c r="I1832" s="1" t="str">
        <f>IFERROR(IF(A1832="","",E1832*#REF!),"")</f>
        <v/>
      </c>
    </row>
    <row r="1833" spans="2:9" x14ac:dyDescent="0.3">
      <c r="B1833" t="str">
        <f>IFERROR(IF(A1833="","",VLOOKUP(A1833,CadProd!$A:$B,2,0)),"")</f>
        <v/>
      </c>
      <c r="C1833" t="str">
        <f>IFERROR(IF(A1833="","",VLOOKUP(A1833,CadProd!$A:$C,3,0)),"")</f>
        <v/>
      </c>
      <c r="I1833" s="1" t="str">
        <f>IFERROR(IF(A1833="","",E1833*#REF!),"")</f>
        <v/>
      </c>
    </row>
    <row r="1834" spans="2:9" x14ac:dyDescent="0.3">
      <c r="B1834" t="str">
        <f>IFERROR(IF(A1834="","",VLOOKUP(A1834,CadProd!$A:$B,2,0)),"")</f>
        <v/>
      </c>
      <c r="C1834" t="str">
        <f>IFERROR(IF(A1834="","",VLOOKUP(A1834,CadProd!$A:$C,3,0)),"")</f>
        <v/>
      </c>
      <c r="I1834" s="1" t="str">
        <f>IFERROR(IF(A1834="","",E1834*#REF!),"")</f>
        <v/>
      </c>
    </row>
    <row r="1835" spans="2:9" x14ac:dyDescent="0.3">
      <c r="B1835" t="str">
        <f>IFERROR(IF(A1835="","",VLOOKUP(A1835,CadProd!$A:$B,2,0)),"")</f>
        <v/>
      </c>
      <c r="C1835" t="str">
        <f>IFERROR(IF(A1835="","",VLOOKUP(A1835,CadProd!$A:$C,3,0)),"")</f>
        <v/>
      </c>
      <c r="I1835" s="1" t="str">
        <f>IFERROR(IF(A1835="","",E1835*#REF!),"")</f>
        <v/>
      </c>
    </row>
    <row r="1836" spans="2:9" x14ac:dyDescent="0.3">
      <c r="B1836" t="str">
        <f>IFERROR(IF(A1836="","",VLOOKUP(A1836,CadProd!$A:$B,2,0)),"")</f>
        <v/>
      </c>
      <c r="C1836" t="str">
        <f>IFERROR(IF(A1836="","",VLOOKUP(A1836,CadProd!$A:$C,3,0)),"")</f>
        <v/>
      </c>
      <c r="I1836" s="1" t="str">
        <f>IFERROR(IF(A1836="","",E1836*#REF!),"")</f>
        <v/>
      </c>
    </row>
    <row r="1837" spans="2:9" x14ac:dyDescent="0.3">
      <c r="B1837" t="str">
        <f>IFERROR(IF(A1837="","",VLOOKUP(A1837,CadProd!$A:$B,2,0)),"")</f>
        <v/>
      </c>
      <c r="C1837" t="str">
        <f>IFERROR(IF(A1837="","",VLOOKUP(A1837,CadProd!$A:$C,3,0)),"")</f>
        <v/>
      </c>
      <c r="I1837" s="1" t="str">
        <f>IFERROR(IF(A1837="","",E1837*#REF!),"")</f>
        <v/>
      </c>
    </row>
    <row r="1838" spans="2:9" x14ac:dyDescent="0.3">
      <c r="B1838" t="str">
        <f>IFERROR(IF(A1838="","",VLOOKUP(A1838,CadProd!$A:$B,2,0)),"")</f>
        <v/>
      </c>
      <c r="C1838" t="str">
        <f>IFERROR(IF(A1838="","",VLOOKUP(A1838,CadProd!$A:$C,3,0)),"")</f>
        <v/>
      </c>
      <c r="I1838" s="1" t="str">
        <f>IFERROR(IF(A1838="","",E1838*#REF!),"")</f>
        <v/>
      </c>
    </row>
    <row r="1839" spans="2:9" x14ac:dyDescent="0.3">
      <c r="B1839" t="str">
        <f>IFERROR(IF(A1839="","",VLOOKUP(A1839,CadProd!$A:$B,2,0)),"")</f>
        <v/>
      </c>
      <c r="C1839" t="str">
        <f>IFERROR(IF(A1839="","",VLOOKUP(A1839,CadProd!$A:$C,3,0)),"")</f>
        <v/>
      </c>
      <c r="I1839" s="1" t="str">
        <f>IFERROR(IF(A1839="","",E1839*#REF!),"")</f>
        <v/>
      </c>
    </row>
    <row r="1840" spans="2:9" x14ac:dyDescent="0.3">
      <c r="B1840" t="str">
        <f>IFERROR(IF(A1840="","",VLOOKUP(A1840,CadProd!$A:$B,2,0)),"")</f>
        <v/>
      </c>
      <c r="C1840" t="str">
        <f>IFERROR(IF(A1840="","",VLOOKUP(A1840,CadProd!$A:$C,3,0)),"")</f>
        <v/>
      </c>
      <c r="I1840" s="1" t="str">
        <f>IFERROR(IF(A1840="","",E1840*#REF!),"")</f>
        <v/>
      </c>
    </row>
    <row r="1841" spans="2:9" x14ac:dyDescent="0.3">
      <c r="B1841" t="str">
        <f>IFERROR(IF(A1841="","",VLOOKUP(A1841,CadProd!$A:$B,2,0)),"")</f>
        <v/>
      </c>
      <c r="C1841" t="str">
        <f>IFERROR(IF(A1841="","",VLOOKUP(A1841,CadProd!$A:$C,3,0)),"")</f>
        <v/>
      </c>
      <c r="I1841" s="1" t="str">
        <f>IFERROR(IF(A1841="","",E1841*#REF!),"")</f>
        <v/>
      </c>
    </row>
    <row r="1842" spans="2:9" x14ac:dyDescent="0.3">
      <c r="B1842" t="str">
        <f>IFERROR(IF(A1842="","",VLOOKUP(A1842,CadProd!$A:$B,2,0)),"")</f>
        <v/>
      </c>
      <c r="C1842" t="str">
        <f>IFERROR(IF(A1842="","",VLOOKUP(A1842,CadProd!$A:$C,3,0)),"")</f>
        <v/>
      </c>
      <c r="I1842" s="1" t="str">
        <f>IFERROR(IF(A1842="","",E1842*#REF!),"")</f>
        <v/>
      </c>
    </row>
    <row r="1843" spans="2:9" x14ac:dyDescent="0.3">
      <c r="B1843" t="str">
        <f>IFERROR(IF(A1843="","",VLOOKUP(A1843,CadProd!$A:$B,2,0)),"")</f>
        <v/>
      </c>
      <c r="C1843" t="str">
        <f>IFERROR(IF(A1843="","",VLOOKUP(A1843,CadProd!$A:$C,3,0)),"")</f>
        <v/>
      </c>
      <c r="I1843" s="1" t="str">
        <f>IFERROR(IF(A1843="","",E1843*#REF!),"")</f>
        <v/>
      </c>
    </row>
    <row r="1844" spans="2:9" x14ac:dyDescent="0.3">
      <c r="B1844" t="str">
        <f>IFERROR(IF(A1844="","",VLOOKUP(A1844,CadProd!$A:$B,2,0)),"")</f>
        <v/>
      </c>
      <c r="C1844" t="str">
        <f>IFERROR(IF(A1844="","",VLOOKUP(A1844,CadProd!$A:$C,3,0)),"")</f>
        <v/>
      </c>
      <c r="I1844" s="1" t="str">
        <f>IFERROR(IF(A1844="","",E1844*#REF!),"")</f>
        <v/>
      </c>
    </row>
    <row r="1845" spans="2:9" x14ac:dyDescent="0.3">
      <c r="B1845" t="str">
        <f>IFERROR(IF(A1845="","",VLOOKUP(A1845,CadProd!$A:$B,2,0)),"")</f>
        <v/>
      </c>
      <c r="C1845" t="str">
        <f>IFERROR(IF(A1845="","",VLOOKUP(A1845,CadProd!$A:$C,3,0)),"")</f>
        <v/>
      </c>
      <c r="I1845" s="1" t="str">
        <f>IFERROR(IF(A1845="","",E1845*#REF!),"")</f>
        <v/>
      </c>
    </row>
    <row r="1846" spans="2:9" x14ac:dyDescent="0.3">
      <c r="B1846" t="str">
        <f>IFERROR(IF(A1846="","",VLOOKUP(A1846,CadProd!$A:$B,2,0)),"")</f>
        <v/>
      </c>
      <c r="C1846" t="str">
        <f>IFERROR(IF(A1846="","",VLOOKUP(A1846,CadProd!$A:$C,3,0)),"")</f>
        <v/>
      </c>
      <c r="I1846" s="1" t="str">
        <f>IFERROR(IF(A1846="","",E1846*#REF!),"")</f>
        <v/>
      </c>
    </row>
    <row r="1847" spans="2:9" x14ac:dyDescent="0.3">
      <c r="B1847" t="str">
        <f>IFERROR(IF(A1847="","",VLOOKUP(A1847,CadProd!$A:$B,2,0)),"")</f>
        <v/>
      </c>
      <c r="C1847" t="str">
        <f>IFERROR(IF(A1847="","",VLOOKUP(A1847,CadProd!$A:$C,3,0)),"")</f>
        <v/>
      </c>
      <c r="I1847" s="1" t="str">
        <f>IFERROR(IF(A1847="","",E1847*#REF!),"")</f>
        <v/>
      </c>
    </row>
    <row r="1848" spans="2:9" x14ac:dyDescent="0.3">
      <c r="B1848" t="str">
        <f>IFERROR(IF(A1848="","",VLOOKUP(A1848,CadProd!$A:$B,2,0)),"")</f>
        <v/>
      </c>
      <c r="C1848" t="str">
        <f>IFERROR(IF(A1848="","",VLOOKUP(A1848,CadProd!$A:$C,3,0)),"")</f>
        <v/>
      </c>
      <c r="I1848" s="1" t="str">
        <f>IFERROR(IF(A1848="","",E1848*#REF!),"")</f>
        <v/>
      </c>
    </row>
    <row r="1849" spans="2:9" x14ac:dyDescent="0.3">
      <c r="B1849" t="str">
        <f>IFERROR(IF(A1849="","",VLOOKUP(A1849,CadProd!$A:$B,2,0)),"")</f>
        <v/>
      </c>
      <c r="C1849" t="str">
        <f>IFERROR(IF(A1849="","",VLOOKUP(A1849,CadProd!$A:$C,3,0)),"")</f>
        <v/>
      </c>
      <c r="I1849" s="1" t="str">
        <f>IFERROR(IF(A1849="","",E1849*#REF!),"")</f>
        <v/>
      </c>
    </row>
    <row r="1850" spans="2:9" x14ac:dyDescent="0.3">
      <c r="B1850" t="str">
        <f>IFERROR(IF(A1850="","",VLOOKUP(A1850,CadProd!$A:$B,2,0)),"")</f>
        <v/>
      </c>
      <c r="C1850" t="str">
        <f>IFERROR(IF(A1850="","",VLOOKUP(A1850,CadProd!$A:$C,3,0)),"")</f>
        <v/>
      </c>
      <c r="I1850" s="1" t="str">
        <f>IFERROR(IF(A1850="","",E1850*#REF!),"")</f>
        <v/>
      </c>
    </row>
    <row r="1851" spans="2:9" x14ac:dyDescent="0.3">
      <c r="B1851" t="str">
        <f>IFERROR(IF(A1851="","",VLOOKUP(A1851,CadProd!$A:$B,2,0)),"")</f>
        <v/>
      </c>
      <c r="C1851" t="str">
        <f>IFERROR(IF(A1851="","",VLOOKUP(A1851,CadProd!$A:$C,3,0)),"")</f>
        <v/>
      </c>
      <c r="I1851" s="1" t="str">
        <f>IFERROR(IF(A1851="","",E1851*#REF!),"")</f>
        <v/>
      </c>
    </row>
    <row r="1852" spans="2:9" x14ac:dyDescent="0.3">
      <c r="B1852" t="str">
        <f>IFERROR(IF(A1852="","",VLOOKUP(A1852,CadProd!$A:$B,2,0)),"")</f>
        <v/>
      </c>
      <c r="C1852" t="str">
        <f>IFERROR(IF(A1852="","",VLOOKUP(A1852,CadProd!$A:$C,3,0)),"")</f>
        <v/>
      </c>
      <c r="I1852" s="1" t="str">
        <f>IFERROR(IF(A1852="","",E1852*#REF!),"")</f>
        <v/>
      </c>
    </row>
    <row r="1853" spans="2:9" x14ac:dyDescent="0.3">
      <c r="B1853" t="str">
        <f>IFERROR(IF(A1853="","",VLOOKUP(A1853,CadProd!$A:$B,2,0)),"")</f>
        <v/>
      </c>
      <c r="C1853" t="str">
        <f>IFERROR(IF(A1853="","",VLOOKUP(A1853,CadProd!$A:$C,3,0)),"")</f>
        <v/>
      </c>
      <c r="I1853" s="1" t="str">
        <f>IFERROR(IF(A1853="","",E1853*#REF!),"")</f>
        <v/>
      </c>
    </row>
    <row r="1854" spans="2:9" x14ac:dyDescent="0.3">
      <c r="B1854" t="str">
        <f>IFERROR(IF(A1854="","",VLOOKUP(A1854,CadProd!$A:$B,2,0)),"")</f>
        <v/>
      </c>
      <c r="C1854" t="str">
        <f>IFERROR(IF(A1854="","",VLOOKUP(A1854,CadProd!$A:$C,3,0)),"")</f>
        <v/>
      </c>
      <c r="I1854" s="1" t="str">
        <f>IFERROR(IF(A1854="","",E1854*#REF!),"")</f>
        <v/>
      </c>
    </row>
    <row r="1855" spans="2:9" x14ac:dyDescent="0.3">
      <c r="B1855" t="str">
        <f>IFERROR(IF(A1855="","",VLOOKUP(A1855,CadProd!$A:$B,2,0)),"")</f>
        <v/>
      </c>
      <c r="C1855" t="str">
        <f>IFERROR(IF(A1855="","",VLOOKUP(A1855,CadProd!$A:$C,3,0)),"")</f>
        <v/>
      </c>
      <c r="I1855" s="1" t="str">
        <f>IFERROR(IF(A1855="","",E1855*#REF!),"")</f>
        <v/>
      </c>
    </row>
    <row r="1856" spans="2:9" x14ac:dyDescent="0.3">
      <c r="B1856" t="str">
        <f>IFERROR(IF(A1856="","",VLOOKUP(A1856,CadProd!$A:$B,2,0)),"")</f>
        <v/>
      </c>
      <c r="C1856" t="str">
        <f>IFERROR(IF(A1856="","",VLOOKUP(A1856,CadProd!$A:$C,3,0)),"")</f>
        <v/>
      </c>
      <c r="I1856" s="1" t="str">
        <f>IFERROR(IF(A1856="","",E1856*#REF!),"")</f>
        <v/>
      </c>
    </row>
    <row r="1857" spans="2:9" x14ac:dyDescent="0.3">
      <c r="B1857" t="str">
        <f>IFERROR(IF(A1857="","",VLOOKUP(A1857,CadProd!$A:$B,2,0)),"")</f>
        <v/>
      </c>
      <c r="C1857" t="str">
        <f>IFERROR(IF(A1857="","",VLOOKUP(A1857,CadProd!$A:$C,3,0)),"")</f>
        <v/>
      </c>
      <c r="I1857" s="1" t="str">
        <f>IFERROR(IF(A1857="","",E1857*#REF!),"")</f>
        <v/>
      </c>
    </row>
    <row r="1858" spans="2:9" x14ac:dyDescent="0.3">
      <c r="B1858" t="str">
        <f>IFERROR(IF(A1858="","",VLOOKUP(A1858,CadProd!$A:$B,2,0)),"")</f>
        <v/>
      </c>
      <c r="C1858" t="str">
        <f>IFERROR(IF(A1858="","",VLOOKUP(A1858,CadProd!$A:$C,3,0)),"")</f>
        <v/>
      </c>
      <c r="I1858" s="1" t="str">
        <f>IFERROR(IF(A1858="","",E1858*#REF!),"")</f>
        <v/>
      </c>
    </row>
    <row r="1859" spans="2:9" x14ac:dyDescent="0.3">
      <c r="B1859" t="str">
        <f>IFERROR(IF(A1859="","",VLOOKUP(A1859,CadProd!$A:$B,2,0)),"")</f>
        <v/>
      </c>
      <c r="C1859" t="str">
        <f>IFERROR(IF(A1859="","",VLOOKUP(A1859,CadProd!$A:$C,3,0)),"")</f>
        <v/>
      </c>
      <c r="I1859" s="1" t="str">
        <f>IFERROR(IF(A1859="","",E1859*#REF!),"")</f>
        <v/>
      </c>
    </row>
    <row r="1860" spans="2:9" x14ac:dyDescent="0.3">
      <c r="B1860" t="str">
        <f>IFERROR(IF(A1860="","",VLOOKUP(A1860,CadProd!$A:$B,2,0)),"")</f>
        <v/>
      </c>
      <c r="C1860" t="str">
        <f>IFERROR(IF(A1860="","",VLOOKUP(A1860,CadProd!$A:$C,3,0)),"")</f>
        <v/>
      </c>
      <c r="I1860" s="1" t="str">
        <f>IFERROR(IF(A1860="","",E1860*#REF!),"")</f>
        <v/>
      </c>
    </row>
    <row r="1861" spans="2:9" x14ac:dyDescent="0.3">
      <c r="B1861" t="str">
        <f>IFERROR(IF(A1861="","",VLOOKUP(A1861,CadProd!$A:$B,2,0)),"")</f>
        <v/>
      </c>
      <c r="C1861" t="str">
        <f>IFERROR(IF(A1861="","",VLOOKUP(A1861,CadProd!$A:$C,3,0)),"")</f>
        <v/>
      </c>
      <c r="I1861" s="1" t="str">
        <f>IFERROR(IF(A1861="","",E1861*#REF!),"")</f>
        <v/>
      </c>
    </row>
    <row r="1862" spans="2:9" x14ac:dyDescent="0.3">
      <c r="B1862" t="str">
        <f>IFERROR(IF(A1862="","",VLOOKUP(A1862,CadProd!$A:$B,2,0)),"")</f>
        <v/>
      </c>
      <c r="C1862" t="str">
        <f>IFERROR(IF(A1862="","",VLOOKUP(A1862,CadProd!$A:$C,3,0)),"")</f>
        <v/>
      </c>
      <c r="I1862" s="1" t="str">
        <f>IFERROR(IF(A1862="","",E1862*#REF!),"")</f>
        <v/>
      </c>
    </row>
    <row r="1863" spans="2:9" x14ac:dyDescent="0.3">
      <c r="B1863" t="str">
        <f>IFERROR(IF(A1863="","",VLOOKUP(A1863,CadProd!$A:$B,2,0)),"")</f>
        <v/>
      </c>
      <c r="C1863" t="str">
        <f>IFERROR(IF(A1863="","",VLOOKUP(A1863,CadProd!$A:$C,3,0)),"")</f>
        <v/>
      </c>
      <c r="I1863" s="1" t="str">
        <f>IFERROR(IF(A1863="","",E1863*#REF!),"")</f>
        <v/>
      </c>
    </row>
    <row r="1864" spans="2:9" x14ac:dyDescent="0.3">
      <c r="B1864" t="str">
        <f>IFERROR(IF(A1864="","",VLOOKUP(A1864,CadProd!$A:$B,2,0)),"")</f>
        <v/>
      </c>
      <c r="C1864" t="str">
        <f>IFERROR(IF(A1864="","",VLOOKUP(A1864,CadProd!$A:$C,3,0)),"")</f>
        <v/>
      </c>
      <c r="I1864" s="1" t="str">
        <f>IFERROR(IF(A1864="","",E1864*#REF!),"")</f>
        <v/>
      </c>
    </row>
    <row r="1865" spans="2:9" x14ac:dyDescent="0.3">
      <c r="B1865" t="str">
        <f>IFERROR(IF(A1865="","",VLOOKUP(A1865,CadProd!$A:$B,2,0)),"")</f>
        <v/>
      </c>
      <c r="C1865" t="str">
        <f>IFERROR(IF(A1865="","",VLOOKUP(A1865,CadProd!$A:$C,3,0)),"")</f>
        <v/>
      </c>
      <c r="I1865" s="1" t="str">
        <f>IFERROR(IF(A1865="","",E1865*#REF!),"")</f>
        <v/>
      </c>
    </row>
    <row r="1866" spans="2:9" x14ac:dyDescent="0.3">
      <c r="B1866" t="str">
        <f>IFERROR(IF(A1866="","",VLOOKUP(A1866,CadProd!$A:$B,2,0)),"")</f>
        <v/>
      </c>
      <c r="C1866" t="str">
        <f>IFERROR(IF(A1866="","",VLOOKUP(A1866,CadProd!$A:$C,3,0)),"")</f>
        <v/>
      </c>
      <c r="I1866" s="1" t="str">
        <f>IFERROR(IF(A1866="","",E1866*#REF!),"")</f>
        <v/>
      </c>
    </row>
    <row r="1867" spans="2:9" x14ac:dyDescent="0.3">
      <c r="B1867" t="str">
        <f>IFERROR(IF(A1867="","",VLOOKUP(A1867,CadProd!$A:$B,2,0)),"")</f>
        <v/>
      </c>
      <c r="C1867" t="str">
        <f>IFERROR(IF(A1867="","",VLOOKUP(A1867,CadProd!$A:$C,3,0)),"")</f>
        <v/>
      </c>
      <c r="I1867" s="1" t="str">
        <f>IFERROR(IF(A1867="","",E1867*#REF!),"")</f>
        <v/>
      </c>
    </row>
    <row r="1868" spans="2:9" x14ac:dyDescent="0.3">
      <c r="B1868" t="str">
        <f>IFERROR(IF(A1868="","",VLOOKUP(A1868,CadProd!$A:$B,2,0)),"")</f>
        <v/>
      </c>
      <c r="C1868" t="str">
        <f>IFERROR(IF(A1868="","",VLOOKUP(A1868,CadProd!$A:$C,3,0)),"")</f>
        <v/>
      </c>
      <c r="I1868" s="1" t="str">
        <f>IFERROR(IF(A1868="","",E1868*#REF!),"")</f>
        <v/>
      </c>
    </row>
    <row r="1869" spans="2:9" x14ac:dyDescent="0.3">
      <c r="B1869" t="str">
        <f>IFERROR(IF(A1869="","",VLOOKUP(A1869,CadProd!$A:$B,2,0)),"")</f>
        <v/>
      </c>
      <c r="C1869" t="str">
        <f>IFERROR(IF(A1869="","",VLOOKUP(A1869,CadProd!$A:$C,3,0)),"")</f>
        <v/>
      </c>
      <c r="I1869" s="1" t="str">
        <f>IFERROR(IF(A1869="","",E1869*#REF!),"")</f>
        <v/>
      </c>
    </row>
    <row r="1870" spans="2:9" x14ac:dyDescent="0.3">
      <c r="B1870" t="str">
        <f>IFERROR(IF(A1870="","",VLOOKUP(A1870,CadProd!$A:$B,2,0)),"")</f>
        <v/>
      </c>
      <c r="C1870" t="str">
        <f>IFERROR(IF(A1870="","",VLOOKUP(A1870,CadProd!$A:$C,3,0)),"")</f>
        <v/>
      </c>
      <c r="I1870" s="1" t="str">
        <f>IFERROR(IF(A1870="","",E1870*#REF!),"")</f>
        <v/>
      </c>
    </row>
    <row r="1871" spans="2:9" x14ac:dyDescent="0.3">
      <c r="B1871" t="str">
        <f>IFERROR(IF(A1871="","",VLOOKUP(A1871,CadProd!$A:$B,2,0)),"")</f>
        <v/>
      </c>
      <c r="C1871" t="str">
        <f>IFERROR(IF(A1871="","",VLOOKUP(A1871,CadProd!$A:$C,3,0)),"")</f>
        <v/>
      </c>
      <c r="I1871" s="1" t="str">
        <f>IFERROR(IF(A1871="","",E1871*#REF!),"")</f>
        <v/>
      </c>
    </row>
    <row r="1872" spans="2:9" x14ac:dyDescent="0.3">
      <c r="B1872" t="str">
        <f>IFERROR(IF(A1872="","",VLOOKUP(A1872,CadProd!$A:$B,2,0)),"")</f>
        <v/>
      </c>
      <c r="C1872" t="str">
        <f>IFERROR(IF(A1872="","",VLOOKUP(A1872,CadProd!$A:$C,3,0)),"")</f>
        <v/>
      </c>
      <c r="I1872" s="1" t="str">
        <f>IFERROR(IF(A1872="","",E1872*#REF!),"")</f>
        <v/>
      </c>
    </row>
    <row r="1873" spans="2:9" x14ac:dyDescent="0.3">
      <c r="B1873" t="str">
        <f>IFERROR(IF(A1873="","",VLOOKUP(A1873,CadProd!$A:$B,2,0)),"")</f>
        <v/>
      </c>
      <c r="C1873" t="str">
        <f>IFERROR(IF(A1873="","",VLOOKUP(A1873,CadProd!$A:$C,3,0)),"")</f>
        <v/>
      </c>
      <c r="I1873" s="1" t="str">
        <f>IFERROR(IF(A1873="","",E1873*#REF!),"")</f>
        <v/>
      </c>
    </row>
    <row r="1874" spans="2:9" x14ac:dyDescent="0.3">
      <c r="B1874" t="str">
        <f>IFERROR(IF(A1874="","",VLOOKUP(A1874,CadProd!$A:$B,2,0)),"")</f>
        <v/>
      </c>
      <c r="C1874" t="str">
        <f>IFERROR(IF(A1874="","",VLOOKUP(A1874,CadProd!$A:$C,3,0)),"")</f>
        <v/>
      </c>
      <c r="I1874" s="1" t="str">
        <f>IFERROR(IF(A1874="","",E1874*#REF!),"")</f>
        <v/>
      </c>
    </row>
    <row r="1875" spans="2:9" x14ac:dyDescent="0.3">
      <c r="B1875" t="str">
        <f>IFERROR(IF(A1875="","",VLOOKUP(A1875,CadProd!$A:$B,2,0)),"")</f>
        <v/>
      </c>
      <c r="C1875" t="str">
        <f>IFERROR(IF(A1875="","",VLOOKUP(A1875,CadProd!$A:$C,3,0)),"")</f>
        <v/>
      </c>
      <c r="I1875" s="1" t="str">
        <f>IFERROR(IF(A1875="","",E1875*#REF!),"")</f>
        <v/>
      </c>
    </row>
    <row r="1876" spans="2:9" x14ac:dyDescent="0.3">
      <c r="B1876" t="str">
        <f>IFERROR(IF(A1876="","",VLOOKUP(A1876,CadProd!$A:$B,2,0)),"")</f>
        <v/>
      </c>
      <c r="C1876" t="str">
        <f>IFERROR(IF(A1876="","",VLOOKUP(A1876,CadProd!$A:$C,3,0)),"")</f>
        <v/>
      </c>
      <c r="I1876" s="1" t="str">
        <f>IFERROR(IF(A1876="","",E1876*#REF!),"")</f>
        <v/>
      </c>
    </row>
    <row r="1877" spans="2:9" x14ac:dyDescent="0.3">
      <c r="B1877" t="str">
        <f>IFERROR(IF(A1877="","",VLOOKUP(A1877,CadProd!$A:$B,2,0)),"")</f>
        <v/>
      </c>
      <c r="C1877" t="str">
        <f>IFERROR(IF(A1877="","",VLOOKUP(A1877,CadProd!$A:$C,3,0)),"")</f>
        <v/>
      </c>
      <c r="I1877" s="1" t="str">
        <f>IFERROR(IF(A1877="","",E1877*#REF!),"")</f>
        <v/>
      </c>
    </row>
    <row r="1878" spans="2:9" x14ac:dyDescent="0.3">
      <c r="B1878" t="str">
        <f>IFERROR(IF(A1878="","",VLOOKUP(A1878,CadProd!$A:$B,2,0)),"")</f>
        <v/>
      </c>
      <c r="C1878" t="str">
        <f>IFERROR(IF(A1878="","",VLOOKUP(A1878,CadProd!$A:$C,3,0)),"")</f>
        <v/>
      </c>
      <c r="I1878" s="1" t="str">
        <f>IFERROR(IF(A1878="","",E1878*#REF!),"")</f>
        <v/>
      </c>
    </row>
    <row r="1879" spans="2:9" x14ac:dyDescent="0.3">
      <c r="B1879" t="str">
        <f>IFERROR(IF(A1879="","",VLOOKUP(A1879,CadProd!$A:$B,2,0)),"")</f>
        <v/>
      </c>
      <c r="C1879" t="str">
        <f>IFERROR(IF(A1879="","",VLOOKUP(A1879,CadProd!$A:$C,3,0)),"")</f>
        <v/>
      </c>
      <c r="I1879" s="1" t="str">
        <f>IFERROR(IF(A1879="","",E1879*#REF!),"")</f>
        <v/>
      </c>
    </row>
    <row r="1880" spans="2:9" x14ac:dyDescent="0.3">
      <c r="B1880" t="str">
        <f>IFERROR(IF(A1880="","",VLOOKUP(A1880,CadProd!$A:$B,2,0)),"")</f>
        <v/>
      </c>
      <c r="C1880" t="str">
        <f>IFERROR(IF(A1880="","",VLOOKUP(A1880,CadProd!$A:$C,3,0)),"")</f>
        <v/>
      </c>
      <c r="I1880" s="1" t="str">
        <f>IFERROR(IF(A1880="","",E1880*#REF!),"")</f>
        <v/>
      </c>
    </row>
    <row r="1881" spans="2:9" x14ac:dyDescent="0.3">
      <c r="B1881" t="str">
        <f>IFERROR(IF(A1881="","",VLOOKUP(A1881,CadProd!$A:$B,2,0)),"")</f>
        <v/>
      </c>
      <c r="C1881" t="str">
        <f>IFERROR(IF(A1881="","",VLOOKUP(A1881,CadProd!$A:$C,3,0)),"")</f>
        <v/>
      </c>
      <c r="I1881" s="1" t="str">
        <f>IFERROR(IF(A1881="","",E1881*#REF!),"")</f>
        <v/>
      </c>
    </row>
    <row r="1882" spans="2:9" x14ac:dyDescent="0.3">
      <c r="B1882" t="str">
        <f>IFERROR(IF(A1882="","",VLOOKUP(A1882,CadProd!$A:$B,2,0)),"")</f>
        <v/>
      </c>
      <c r="C1882" t="str">
        <f>IFERROR(IF(A1882="","",VLOOKUP(A1882,CadProd!$A:$C,3,0)),"")</f>
        <v/>
      </c>
      <c r="I1882" s="1" t="str">
        <f>IFERROR(IF(A1882="","",E1882*#REF!),"")</f>
        <v/>
      </c>
    </row>
    <row r="1883" spans="2:9" x14ac:dyDescent="0.3">
      <c r="B1883" t="str">
        <f>IFERROR(IF(A1883="","",VLOOKUP(A1883,CadProd!$A:$B,2,0)),"")</f>
        <v/>
      </c>
      <c r="C1883" t="str">
        <f>IFERROR(IF(A1883="","",VLOOKUP(A1883,CadProd!$A:$C,3,0)),"")</f>
        <v/>
      </c>
      <c r="I1883" s="1" t="str">
        <f>IFERROR(IF(A1883="","",E1883*#REF!),"")</f>
        <v/>
      </c>
    </row>
    <row r="1884" spans="2:9" x14ac:dyDescent="0.3">
      <c r="B1884" t="str">
        <f>IFERROR(IF(A1884="","",VLOOKUP(A1884,CadProd!$A:$B,2,0)),"")</f>
        <v/>
      </c>
      <c r="C1884" t="str">
        <f>IFERROR(IF(A1884="","",VLOOKUP(A1884,CadProd!$A:$C,3,0)),"")</f>
        <v/>
      </c>
      <c r="I1884" s="1" t="str">
        <f>IFERROR(IF(A1884="","",E1884*#REF!),"")</f>
        <v/>
      </c>
    </row>
    <row r="1885" spans="2:9" x14ac:dyDescent="0.3">
      <c r="B1885" t="str">
        <f>IFERROR(IF(A1885="","",VLOOKUP(A1885,CadProd!$A:$B,2,0)),"")</f>
        <v/>
      </c>
      <c r="C1885" t="str">
        <f>IFERROR(IF(A1885="","",VLOOKUP(A1885,CadProd!$A:$C,3,0)),"")</f>
        <v/>
      </c>
      <c r="I1885" s="1" t="str">
        <f>IFERROR(IF(A1885="","",E1885*#REF!),"")</f>
        <v/>
      </c>
    </row>
    <row r="1886" spans="2:9" x14ac:dyDescent="0.3">
      <c r="B1886" t="str">
        <f>IFERROR(IF(A1886="","",VLOOKUP(A1886,CadProd!$A:$B,2,0)),"")</f>
        <v/>
      </c>
      <c r="C1886" t="str">
        <f>IFERROR(IF(A1886="","",VLOOKUP(A1886,CadProd!$A:$C,3,0)),"")</f>
        <v/>
      </c>
      <c r="I1886" s="1" t="str">
        <f>IFERROR(IF(A1886="","",E1886*#REF!),"")</f>
        <v/>
      </c>
    </row>
    <row r="1887" spans="2:9" x14ac:dyDescent="0.3">
      <c r="B1887" t="str">
        <f>IFERROR(IF(A1887="","",VLOOKUP(A1887,CadProd!$A:$B,2,0)),"")</f>
        <v/>
      </c>
      <c r="C1887" t="str">
        <f>IFERROR(IF(A1887="","",VLOOKUP(A1887,CadProd!$A:$C,3,0)),"")</f>
        <v/>
      </c>
      <c r="I1887" s="1" t="str">
        <f>IFERROR(IF(A1887="","",E1887*#REF!),"")</f>
        <v/>
      </c>
    </row>
    <row r="1888" spans="2:9" x14ac:dyDescent="0.3">
      <c r="B1888" t="str">
        <f>IFERROR(IF(A1888="","",VLOOKUP(A1888,CadProd!$A:$B,2,0)),"")</f>
        <v/>
      </c>
      <c r="C1888" t="str">
        <f>IFERROR(IF(A1888="","",VLOOKUP(A1888,CadProd!$A:$C,3,0)),"")</f>
        <v/>
      </c>
      <c r="I1888" s="1" t="str">
        <f>IFERROR(IF(A1888="","",E1888*#REF!),"")</f>
        <v/>
      </c>
    </row>
    <row r="1889" spans="2:9" x14ac:dyDescent="0.3">
      <c r="B1889" t="str">
        <f>IFERROR(IF(A1889="","",VLOOKUP(A1889,CadProd!$A:$B,2,0)),"")</f>
        <v/>
      </c>
      <c r="C1889" t="str">
        <f>IFERROR(IF(A1889="","",VLOOKUP(A1889,CadProd!$A:$C,3,0)),"")</f>
        <v/>
      </c>
      <c r="I1889" s="1" t="str">
        <f>IFERROR(IF(A1889="","",E1889*#REF!),"")</f>
        <v/>
      </c>
    </row>
    <row r="1890" spans="2:9" x14ac:dyDescent="0.3">
      <c r="B1890" t="str">
        <f>IFERROR(IF(A1890="","",VLOOKUP(A1890,CadProd!$A:$B,2,0)),"")</f>
        <v/>
      </c>
      <c r="C1890" t="str">
        <f>IFERROR(IF(A1890="","",VLOOKUP(A1890,CadProd!$A:$C,3,0)),"")</f>
        <v/>
      </c>
      <c r="I1890" s="1" t="str">
        <f>IFERROR(IF(A1890="","",E1890*#REF!),"")</f>
        <v/>
      </c>
    </row>
    <row r="1891" spans="2:9" x14ac:dyDescent="0.3">
      <c r="B1891" t="str">
        <f>IFERROR(IF(A1891="","",VLOOKUP(A1891,CadProd!$A:$B,2,0)),"")</f>
        <v/>
      </c>
      <c r="C1891" t="str">
        <f>IFERROR(IF(A1891="","",VLOOKUP(A1891,CadProd!$A:$C,3,0)),"")</f>
        <v/>
      </c>
      <c r="I1891" s="1" t="str">
        <f>IFERROR(IF(A1891="","",E1891*#REF!),"")</f>
        <v/>
      </c>
    </row>
    <row r="1892" spans="2:9" x14ac:dyDescent="0.3">
      <c r="B1892" t="str">
        <f>IFERROR(IF(A1892="","",VLOOKUP(A1892,CadProd!$A:$B,2,0)),"")</f>
        <v/>
      </c>
      <c r="C1892" t="str">
        <f>IFERROR(IF(A1892="","",VLOOKUP(A1892,CadProd!$A:$C,3,0)),"")</f>
        <v/>
      </c>
      <c r="I1892" s="1" t="str">
        <f>IFERROR(IF(A1892="","",E1892*#REF!),"")</f>
        <v/>
      </c>
    </row>
    <row r="1893" spans="2:9" x14ac:dyDescent="0.3">
      <c r="B1893" t="str">
        <f>IFERROR(IF(A1893="","",VLOOKUP(A1893,CadProd!$A:$B,2,0)),"")</f>
        <v/>
      </c>
      <c r="C1893" t="str">
        <f>IFERROR(IF(A1893="","",VLOOKUP(A1893,CadProd!$A:$C,3,0)),"")</f>
        <v/>
      </c>
      <c r="I1893" s="1" t="str">
        <f>IFERROR(IF(A1893="","",E1893*#REF!),"")</f>
        <v/>
      </c>
    </row>
    <row r="1894" spans="2:9" x14ac:dyDescent="0.3">
      <c r="B1894" t="str">
        <f>IFERROR(IF(A1894="","",VLOOKUP(A1894,CadProd!$A:$B,2,0)),"")</f>
        <v/>
      </c>
      <c r="C1894" t="str">
        <f>IFERROR(IF(A1894="","",VLOOKUP(A1894,CadProd!$A:$C,3,0)),"")</f>
        <v/>
      </c>
      <c r="I1894" s="1" t="str">
        <f>IFERROR(IF(A1894="","",E1894*#REF!),"")</f>
        <v/>
      </c>
    </row>
    <row r="1895" spans="2:9" x14ac:dyDescent="0.3">
      <c r="B1895" t="str">
        <f>IFERROR(IF(A1895="","",VLOOKUP(A1895,CadProd!$A:$B,2,0)),"")</f>
        <v/>
      </c>
      <c r="C1895" t="str">
        <f>IFERROR(IF(A1895="","",VLOOKUP(A1895,CadProd!$A:$C,3,0)),"")</f>
        <v/>
      </c>
      <c r="I1895" s="1" t="str">
        <f>IFERROR(IF(A1895="","",E1895*#REF!),"")</f>
        <v/>
      </c>
    </row>
    <row r="1896" spans="2:9" x14ac:dyDescent="0.3">
      <c r="B1896" t="str">
        <f>IFERROR(IF(A1896="","",VLOOKUP(A1896,CadProd!$A:$B,2,0)),"")</f>
        <v/>
      </c>
      <c r="C1896" t="str">
        <f>IFERROR(IF(A1896="","",VLOOKUP(A1896,CadProd!$A:$C,3,0)),"")</f>
        <v/>
      </c>
      <c r="I1896" s="1" t="str">
        <f>IFERROR(IF(A1896="","",E1896*#REF!),"")</f>
        <v/>
      </c>
    </row>
    <row r="1897" spans="2:9" x14ac:dyDescent="0.3">
      <c r="B1897" t="str">
        <f>IFERROR(IF(A1897="","",VLOOKUP(A1897,CadProd!$A:$B,2,0)),"")</f>
        <v/>
      </c>
      <c r="C1897" t="str">
        <f>IFERROR(IF(A1897="","",VLOOKUP(A1897,CadProd!$A:$C,3,0)),"")</f>
        <v/>
      </c>
      <c r="I1897" s="1" t="str">
        <f>IFERROR(IF(A1897="","",E1897*#REF!),"")</f>
        <v/>
      </c>
    </row>
    <row r="1898" spans="2:9" x14ac:dyDescent="0.3">
      <c r="B1898" t="str">
        <f>IFERROR(IF(A1898="","",VLOOKUP(A1898,CadProd!$A:$B,2,0)),"")</f>
        <v/>
      </c>
      <c r="C1898" t="str">
        <f>IFERROR(IF(A1898="","",VLOOKUP(A1898,CadProd!$A:$C,3,0)),"")</f>
        <v/>
      </c>
      <c r="I1898" s="1" t="str">
        <f>IFERROR(IF(A1898="","",E1898*#REF!),"")</f>
        <v/>
      </c>
    </row>
    <row r="1899" spans="2:9" x14ac:dyDescent="0.3">
      <c r="B1899" t="str">
        <f>IFERROR(IF(A1899="","",VLOOKUP(A1899,CadProd!$A:$B,2,0)),"")</f>
        <v/>
      </c>
      <c r="C1899" t="str">
        <f>IFERROR(IF(A1899="","",VLOOKUP(A1899,CadProd!$A:$C,3,0)),"")</f>
        <v/>
      </c>
      <c r="I1899" s="1" t="str">
        <f>IFERROR(IF(A1899="","",E1899*#REF!),"")</f>
        <v/>
      </c>
    </row>
    <row r="1900" spans="2:9" x14ac:dyDescent="0.3">
      <c r="B1900" t="str">
        <f>IFERROR(IF(A1900="","",VLOOKUP(A1900,CadProd!$A:$B,2,0)),"")</f>
        <v/>
      </c>
      <c r="C1900" t="str">
        <f>IFERROR(IF(A1900="","",VLOOKUP(A1900,CadProd!$A:$C,3,0)),"")</f>
        <v/>
      </c>
      <c r="I1900" s="1" t="str">
        <f>IFERROR(IF(A1900="","",E1900*#REF!),"")</f>
        <v/>
      </c>
    </row>
    <row r="1901" spans="2:9" x14ac:dyDescent="0.3">
      <c r="B1901" t="str">
        <f>IFERROR(IF(A1901="","",VLOOKUP(A1901,CadProd!$A:$B,2,0)),"")</f>
        <v/>
      </c>
      <c r="C1901" t="str">
        <f>IFERROR(IF(A1901="","",VLOOKUP(A1901,CadProd!$A:$C,3,0)),"")</f>
        <v/>
      </c>
      <c r="I1901" s="1" t="str">
        <f>IFERROR(IF(A1901="","",E1901*#REF!),"")</f>
        <v/>
      </c>
    </row>
    <row r="1902" spans="2:9" x14ac:dyDescent="0.3">
      <c r="B1902" t="str">
        <f>IFERROR(IF(A1902="","",VLOOKUP(A1902,CadProd!$A:$B,2,0)),"")</f>
        <v/>
      </c>
      <c r="C1902" t="str">
        <f>IFERROR(IF(A1902="","",VLOOKUP(A1902,CadProd!$A:$C,3,0)),"")</f>
        <v/>
      </c>
      <c r="I1902" s="1" t="str">
        <f>IFERROR(IF(A1902="","",E1902*#REF!),"")</f>
        <v/>
      </c>
    </row>
    <row r="1903" spans="2:9" x14ac:dyDescent="0.3">
      <c r="B1903" t="str">
        <f>IFERROR(IF(A1903="","",VLOOKUP(A1903,CadProd!$A:$B,2,0)),"")</f>
        <v/>
      </c>
      <c r="C1903" t="str">
        <f>IFERROR(IF(A1903="","",VLOOKUP(A1903,CadProd!$A:$C,3,0)),"")</f>
        <v/>
      </c>
      <c r="I1903" s="1" t="str">
        <f>IFERROR(IF(A1903="","",E1903*#REF!),"")</f>
        <v/>
      </c>
    </row>
    <row r="1904" spans="2:9" x14ac:dyDescent="0.3">
      <c r="B1904" t="str">
        <f>IFERROR(IF(A1904="","",VLOOKUP(A1904,CadProd!$A:$B,2,0)),"")</f>
        <v/>
      </c>
      <c r="C1904" t="str">
        <f>IFERROR(IF(A1904="","",VLOOKUP(A1904,CadProd!$A:$C,3,0)),"")</f>
        <v/>
      </c>
      <c r="I1904" s="1" t="str">
        <f>IFERROR(IF(A1904="","",E1904*#REF!),"")</f>
        <v/>
      </c>
    </row>
    <row r="1905" spans="2:9" x14ac:dyDescent="0.3">
      <c r="B1905" t="str">
        <f>IFERROR(IF(A1905="","",VLOOKUP(A1905,CadProd!$A:$B,2,0)),"")</f>
        <v/>
      </c>
      <c r="C1905" t="str">
        <f>IFERROR(IF(A1905="","",VLOOKUP(A1905,CadProd!$A:$C,3,0)),"")</f>
        <v/>
      </c>
      <c r="I1905" s="1" t="str">
        <f>IFERROR(IF(A1905="","",E1905*#REF!),"")</f>
        <v/>
      </c>
    </row>
    <row r="1906" spans="2:9" x14ac:dyDescent="0.3">
      <c r="B1906" t="str">
        <f>IFERROR(IF(A1906="","",VLOOKUP(A1906,CadProd!$A:$B,2,0)),"")</f>
        <v/>
      </c>
      <c r="C1906" t="str">
        <f>IFERROR(IF(A1906="","",VLOOKUP(A1906,CadProd!$A:$C,3,0)),"")</f>
        <v/>
      </c>
      <c r="I1906" s="1" t="str">
        <f>IFERROR(IF(A1906="","",E1906*#REF!),"")</f>
        <v/>
      </c>
    </row>
    <row r="1907" spans="2:9" x14ac:dyDescent="0.3">
      <c r="B1907" t="str">
        <f>IFERROR(IF(A1907="","",VLOOKUP(A1907,CadProd!$A:$B,2,0)),"")</f>
        <v/>
      </c>
      <c r="C1907" t="str">
        <f>IFERROR(IF(A1907="","",VLOOKUP(A1907,CadProd!$A:$C,3,0)),"")</f>
        <v/>
      </c>
      <c r="I1907" s="1" t="str">
        <f>IFERROR(IF(A1907="","",E1907*#REF!),"")</f>
        <v/>
      </c>
    </row>
    <row r="1908" spans="2:9" x14ac:dyDescent="0.3">
      <c r="B1908" t="str">
        <f>IFERROR(IF(A1908="","",VLOOKUP(A1908,CadProd!$A:$B,2,0)),"")</f>
        <v/>
      </c>
      <c r="C1908" t="str">
        <f>IFERROR(IF(A1908="","",VLOOKUP(A1908,CadProd!$A:$C,3,0)),"")</f>
        <v/>
      </c>
      <c r="I1908" s="1" t="str">
        <f>IFERROR(IF(A1908="","",E1908*#REF!),"")</f>
        <v/>
      </c>
    </row>
    <row r="1909" spans="2:9" x14ac:dyDescent="0.3">
      <c r="B1909" t="str">
        <f>IFERROR(IF(A1909="","",VLOOKUP(A1909,CadProd!$A:$B,2,0)),"")</f>
        <v/>
      </c>
      <c r="C1909" t="str">
        <f>IFERROR(IF(A1909="","",VLOOKUP(A1909,CadProd!$A:$C,3,0)),"")</f>
        <v/>
      </c>
      <c r="I1909" s="1" t="str">
        <f>IFERROR(IF(A1909="","",E1909*#REF!),"")</f>
        <v/>
      </c>
    </row>
    <row r="1910" spans="2:9" x14ac:dyDescent="0.3">
      <c r="B1910" t="str">
        <f>IFERROR(IF(A1910="","",VLOOKUP(A1910,CadProd!$A:$B,2,0)),"")</f>
        <v/>
      </c>
      <c r="C1910" t="str">
        <f>IFERROR(IF(A1910="","",VLOOKUP(A1910,CadProd!$A:$C,3,0)),"")</f>
        <v/>
      </c>
      <c r="I1910" s="1" t="str">
        <f>IFERROR(IF(A1910="","",E1910*#REF!),"")</f>
        <v/>
      </c>
    </row>
    <row r="1911" spans="2:9" x14ac:dyDescent="0.3">
      <c r="B1911" t="str">
        <f>IFERROR(IF(A1911="","",VLOOKUP(A1911,CadProd!$A:$B,2,0)),"")</f>
        <v/>
      </c>
      <c r="C1911" t="str">
        <f>IFERROR(IF(A1911="","",VLOOKUP(A1911,CadProd!$A:$C,3,0)),"")</f>
        <v/>
      </c>
      <c r="I1911" s="1" t="str">
        <f>IFERROR(IF(A1911="","",E1911*#REF!),"")</f>
        <v/>
      </c>
    </row>
    <row r="1912" spans="2:9" x14ac:dyDescent="0.3">
      <c r="B1912" t="str">
        <f>IFERROR(IF(A1912="","",VLOOKUP(A1912,CadProd!$A:$B,2,0)),"")</f>
        <v/>
      </c>
      <c r="C1912" t="str">
        <f>IFERROR(IF(A1912="","",VLOOKUP(A1912,CadProd!$A:$C,3,0)),"")</f>
        <v/>
      </c>
      <c r="I1912" s="1" t="str">
        <f>IFERROR(IF(A1912="","",E1912*#REF!),"")</f>
        <v/>
      </c>
    </row>
    <row r="1913" spans="2:9" x14ac:dyDescent="0.3">
      <c r="B1913" t="str">
        <f>IFERROR(IF(A1913="","",VLOOKUP(A1913,CadProd!$A:$B,2,0)),"")</f>
        <v/>
      </c>
      <c r="C1913" t="str">
        <f>IFERROR(IF(A1913="","",VLOOKUP(A1913,CadProd!$A:$C,3,0)),"")</f>
        <v/>
      </c>
      <c r="I1913" s="1" t="str">
        <f>IFERROR(IF(A1913="","",E1913*#REF!),"")</f>
        <v/>
      </c>
    </row>
    <row r="1914" spans="2:9" x14ac:dyDescent="0.3">
      <c r="B1914" t="str">
        <f>IFERROR(IF(A1914="","",VLOOKUP(A1914,CadProd!$A:$B,2,0)),"")</f>
        <v/>
      </c>
      <c r="C1914" t="str">
        <f>IFERROR(IF(A1914="","",VLOOKUP(A1914,CadProd!$A:$C,3,0)),"")</f>
        <v/>
      </c>
      <c r="I1914" s="1" t="str">
        <f>IFERROR(IF(A1914="","",E1914*#REF!),"")</f>
        <v/>
      </c>
    </row>
    <row r="1915" spans="2:9" x14ac:dyDescent="0.3">
      <c r="B1915" t="str">
        <f>IFERROR(IF(A1915="","",VLOOKUP(A1915,CadProd!$A:$B,2,0)),"")</f>
        <v/>
      </c>
      <c r="C1915" t="str">
        <f>IFERROR(IF(A1915="","",VLOOKUP(A1915,CadProd!$A:$C,3,0)),"")</f>
        <v/>
      </c>
      <c r="I1915" s="1" t="str">
        <f>IFERROR(IF(A1915="","",E1915*#REF!),"")</f>
        <v/>
      </c>
    </row>
    <row r="1916" spans="2:9" x14ac:dyDescent="0.3">
      <c r="B1916" t="str">
        <f>IFERROR(IF(A1916="","",VLOOKUP(A1916,CadProd!$A:$B,2,0)),"")</f>
        <v/>
      </c>
      <c r="C1916" t="str">
        <f>IFERROR(IF(A1916="","",VLOOKUP(A1916,CadProd!$A:$C,3,0)),"")</f>
        <v/>
      </c>
      <c r="I1916" s="1" t="str">
        <f>IFERROR(IF(A1916="","",E1916*#REF!),"")</f>
        <v/>
      </c>
    </row>
    <row r="1917" spans="2:9" x14ac:dyDescent="0.3">
      <c r="B1917" t="str">
        <f>IFERROR(IF(A1917="","",VLOOKUP(A1917,CadProd!$A:$B,2,0)),"")</f>
        <v/>
      </c>
      <c r="C1917" t="str">
        <f>IFERROR(IF(A1917="","",VLOOKUP(A1917,CadProd!$A:$C,3,0)),"")</f>
        <v/>
      </c>
      <c r="I1917" s="1" t="str">
        <f>IFERROR(IF(A1917="","",E1917*#REF!),"")</f>
        <v/>
      </c>
    </row>
    <row r="1918" spans="2:9" x14ac:dyDescent="0.3">
      <c r="B1918" t="str">
        <f>IFERROR(IF(A1918="","",VLOOKUP(A1918,CadProd!$A:$B,2,0)),"")</f>
        <v/>
      </c>
      <c r="C1918" t="str">
        <f>IFERROR(IF(A1918="","",VLOOKUP(A1918,CadProd!$A:$C,3,0)),"")</f>
        <v/>
      </c>
      <c r="I1918" s="1" t="str">
        <f>IFERROR(IF(A1918="","",E1918*#REF!),"")</f>
        <v/>
      </c>
    </row>
    <row r="1919" spans="2:9" x14ac:dyDescent="0.3">
      <c r="B1919" t="str">
        <f>IFERROR(IF(A1919="","",VLOOKUP(A1919,CadProd!$A:$B,2,0)),"")</f>
        <v/>
      </c>
      <c r="C1919" t="str">
        <f>IFERROR(IF(A1919="","",VLOOKUP(A1919,CadProd!$A:$C,3,0)),"")</f>
        <v/>
      </c>
      <c r="I1919" s="1" t="str">
        <f>IFERROR(IF(A1919="","",E1919*#REF!),"")</f>
        <v/>
      </c>
    </row>
    <row r="1920" spans="2:9" x14ac:dyDescent="0.3">
      <c r="B1920" t="str">
        <f>IFERROR(IF(A1920="","",VLOOKUP(A1920,CadProd!$A:$B,2,0)),"")</f>
        <v/>
      </c>
      <c r="C1920" t="str">
        <f>IFERROR(IF(A1920="","",VLOOKUP(A1920,CadProd!$A:$C,3,0)),"")</f>
        <v/>
      </c>
      <c r="I1920" s="1" t="str">
        <f>IFERROR(IF(A1920="","",E1920*#REF!),"")</f>
        <v/>
      </c>
    </row>
    <row r="1921" spans="2:9" x14ac:dyDescent="0.3">
      <c r="B1921" t="str">
        <f>IFERROR(IF(A1921="","",VLOOKUP(A1921,CadProd!$A:$B,2,0)),"")</f>
        <v/>
      </c>
      <c r="C1921" t="str">
        <f>IFERROR(IF(A1921="","",VLOOKUP(A1921,CadProd!$A:$C,3,0)),"")</f>
        <v/>
      </c>
      <c r="I1921" s="1" t="str">
        <f>IFERROR(IF(A1921="","",E1921*#REF!),"")</f>
        <v/>
      </c>
    </row>
    <row r="1922" spans="2:9" x14ac:dyDescent="0.3">
      <c r="B1922" t="str">
        <f>IFERROR(IF(A1922="","",VLOOKUP(A1922,CadProd!$A:$B,2,0)),"")</f>
        <v/>
      </c>
      <c r="C1922" t="str">
        <f>IFERROR(IF(A1922="","",VLOOKUP(A1922,CadProd!$A:$C,3,0)),"")</f>
        <v/>
      </c>
      <c r="I1922" s="1" t="str">
        <f>IFERROR(IF(A1922="","",E1922*#REF!),"")</f>
        <v/>
      </c>
    </row>
    <row r="1923" spans="2:9" x14ac:dyDescent="0.3">
      <c r="B1923" t="str">
        <f>IFERROR(IF(A1923="","",VLOOKUP(A1923,CadProd!$A:$B,2,0)),"")</f>
        <v/>
      </c>
      <c r="C1923" t="str">
        <f>IFERROR(IF(A1923="","",VLOOKUP(A1923,CadProd!$A:$C,3,0)),"")</f>
        <v/>
      </c>
      <c r="I1923" s="1" t="str">
        <f>IFERROR(IF(A1923="","",E1923*#REF!),"")</f>
        <v/>
      </c>
    </row>
    <row r="1924" spans="2:9" x14ac:dyDescent="0.3">
      <c r="B1924" t="str">
        <f>IFERROR(IF(A1924="","",VLOOKUP(A1924,CadProd!$A:$B,2,0)),"")</f>
        <v/>
      </c>
      <c r="C1924" t="str">
        <f>IFERROR(IF(A1924="","",VLOOKUP(A1924,CadProd!$A:$C,3,0)),"")</f>
        <v/>
      </c>
      <c r="I1924" s="1" t="str">
        <f>IFERROR(IF(A1924="","",E1924*#REF!),"")</f>
        <v/>
      </c>
    </row>
    <row r="1925" spans="2:9" x14ac:dyDescent="0.3">
      <c r="B1925" t="str">
        <f>IFERROR(IF(A1925="","",VLOOKUP(A1925,CadProd!$A:$B,2,0)),"")</f>
        <v/>
      </c>
      <c r="C1925" t="str">
        <f>IFERROR(IF(A1925="","",VLOOKUP(A1925,CadProd!$A:$C,3,0)),"")</f>
        <v/>
      </c>
      <c r="I1925" s="1" t="str">
        <f>IFERROR(IF(A1925="","",E1925*#REF!),"")</f>
        <v/>
      </c>
    </row>
    <row r="1926" spans="2:9" x14ac:dyDescent="0.3">
      <c r="B1926" t="str">
        <f>IFERROR(IF(A1926="","",VLOOKUP(A1926,CadProd!$A:$B,2,0)),"")</f>
        <v/>
      </c>
      <c r="C1926" t="str">
        <f>IFERROR(IF(A1926="","",VLOOKUP(A1926,CadProd!$A:$C,3,0)),"")</f>
        <v/>
      </c>
      <c r="I1926" s="1" t="str">
        <f>IFERROR(IF(A1926="","",E1926*#REF!),"")</f>
        <v/>
      </c>
    </row>
    <row r="1927" spans="2:9" x14ac:dyDescent="0.3">
      <c r="B1927" t="str">
        <f>IFERROR(IF(A1927="","",VLOOKUP(A1927,CadProd!$A:$B,2,0)),"")</f>
        <v/>
      </c>
      <c r="C1927" t="str">
        <f>IFERROR(IF(A1927="","",VLOOKUP(A1927,CadProd!$A:$C,3,0)),"")</f>
        <v/>
      </c>
      <c r="I1927" s="1" t="str">
        <f>IFERROR(IF(A1927="","",E1927*#REF!),"")</f>
        <v/>
      </c>
    </row>
    <row r="1928" spans="2:9" x14ac:dyDescent="0.3">
      <c r="B1928" t="str">
        <f>IFERROR(IF(A1928="","",VLOOKUP(A1928,CadProd!$A:$B,2,0)),"")</f>
        <v/>
      </c>
      <c r="C1928" t="str">
        <f>IFERROR(IF(A1928="","",VLOOKUP(A1928,CadProd!$A:$C,3,0)),"")</f>
        <v/>
      </c>
      <c r="I1928" s="1" t="str">
        <f>IFERROR(IF(A1928="","",E1928*#REF!),"")</f>
        <v/>
      </c>
    </row>
    <row r="1929" spans="2:9" x14ac:dyDescent="0.3">
      <c r="B1929" t="str">
        <f>IFERROR(IF(A1929="","",VLOOKUP(A1929,CadProd!$A:$B,2,0)),"")</f>
        <v/>
      </c>
      <c r="C1929" t="str">
        <f>IFERROR(IF(A1929="","",VLOOKUP(A1929,CadProd!$A:$C,3,0)),"")</f>
        <v/>
      </c>
      <c r="I1929" s="1" t="str">
        <f>IFERROR(IF(A1929="","",E1929*#REF!),"")</f>
        <v/>
      </c>
    </row>
    <row r="1930" spans="2:9" x14ac:dyDescent="0.3">
      <c r="B1930" t="str">
        <f>IFERROR(IF(A1930="","",VLOOKUP(A1930,CadProd!$A:$B,2,0)),"")</f>
        <v/>
      </c>
      <c r="C1930" t="str">
        <f>IFERROR(IF(A1930="","",VLOOKUP(A1930,CadProd!$A:$C,3,0)),"")</f>
        <v/>
      </c>
      <c r="I1930" s="1" t="str">
        <f>IFERROR(IF(A1930="","",E1930*#REF!),"")</f>
        <v/>
      </c>
    </row>
    <row r="1931" spans="2:9" x14ac:dyDescent="0.3">
      <c r="B1931" t="str">
        <f>IFERROR(IF(A1931="","",VLOOKUP(A1931,CadProd!$A:$B,2,0)),"")</f>
        <v/>
      </c>
      <c r="C1931" t="str">
        <f>IFERROR(IF(A1931="","",VLOOKUP(A1931,CadProd!$A:$C,3,0)),"")</f>
        <v/>
      </c>
      <c r="I1931" s="1" t="str">
        <f>IFERROR(IF(A1931="","",E1931*#REF!),"")</f>
        <v/>
      </c>
    </row>
    <row r="1932" spans="2:9" x14ac:dyDescent="0.3">
      <c r="B1932" t="str">
        <f>IFERROR(IF(A1932="","",VLOOKUP(A1932,CadProd!$A:$B,2,0)),"")</f>
        <v/>
      </c>
      <c r="C1932" t="str">
        <f>IFERROR(IF(A1932="","",VLOOKUP(A1932,CadProd!$A:$C,3,0)),"")</f>
        <v/>
      </c>
      <c r="I1932" s="1" t="str">
        <f>IFERROR(IF(A1932="","",E1932*#REF!),"")</f>
        <v/>
      </c>
    </row>
    <row r="1933" spans="2:9" x14ac:dyDescent="0.3">
      <c r="B1933" t="str">
        <f>IFERROR(IF(A1933="","",VLOOKUP(A1933,CadProd!$A:$B,2,0)),"")</f>
        <v/>
      </c>
      <c r="C1933" t="str">
        <f>IFERROR(IF(A1933="","",VLOOKUP(A1933,CadProd!$A:$C,3,0)),"")</f>
        <v/>
      </c>
      <c r="I1933" s="1" t="str">
        <f>IFERROR(IF(A1933="","",E1933*#REF!),"")</f>
        <v/>
      </c>
    </row>
    <row r="1934" spans="2:9" x14ac:dyDescent="0.3">
      <c r="B1934" t="str">
        <f>IFERROR(IF(A1934="","",VLOOKUP(A1934,CadProd!$A:$B,2,0)),"")</f>
        <v/>
      </c>
      <c r="C1934" t="str">
        <f>IFERROR(IF(A1934="","",VLOOKUP(A1934,CadProd!$A:$C,3,0)),"")</f>
        <v/>
      </c>
      <c r="I1934" s="1" t="str">
        <f>IFERROR(IF(A1934="","",E1934*#REF!),"")</f>
        <v/>
      </c>
    </row>
    <row r="1935" spans="2:9" x14ac:dyDescent="0.3">
      <c r="B1935" t="str">
        <f>IFERROR(IF(A1935="","",VLOOKUP(A1935,CadProd!$A:$B,2,0)),"")</f>
        <v/>
      </c>
      <c r="C1935" t="str">
        <f>IFERROR(IF(A1935="","",VLOOKUP(A1935,CadProd!$A:$C,3,0)),"")</f>
        <v/>
      </c>
      <c r="I1935" s="1" t="str">
        <f>IFERROR(IF(A1935="","",E1935*#REF!),"")</f>
        <v/>
      </c>
    </row>
    <row r="1936" spans="2:9" x14ac:dyDescent="0.3">
      <c r="B1936" t="str">
        <f>IFERROR(IF(A1936="","",VLOOKUP(A1936,CadProd!$A:$B,2,0)),"")</f>
        <v/>
      </c>
      <c r="C1936" t="str">
        <f>IFERROR(IF(A1936="","",VLOOKUP(A1936,CadProd!$A:$C,3,0)),"")</f>
        <v/>
      </c>
      <c r="I1936" s="1" t="str">
        <f>IFERROR(IF(A1936="","",E1936*#REF!),"")</f>
        <v/>
      </c>
    </row>
    <row r="1937" spans="2:9" x14ac:dyDescent="0.3">
      <c r="B1937" t="str">
        <f>IFERROR(IF(A1937="","",VLOOKUP(A1937,CadProd!$A:$B,2,0)),"")</f>
        <v/>
      </c>
      <c r="C1937" t="str">
        <f>IFERROR(IF(A1937="","",VLOOKUP(A1937,CadProd!$A:$C,3,0)),"")</f>
        <v/>
      </c>
      <c r="I1937" s="1" t="str">
        <f>IFERROR(IF(A1937="","",E1937*#REF!),"")</f>
        <v/>
      </c>
    </row>
    <row r="1938" spans="2:9" x14ac:dyDescent="0.3">
      <c r="B1938" t="str">
        <f>IFERROR(IF(A1938="","",VLOOKUP(A1938,CadProd!$A:$B,2,0)),"")</f>
        <v/>
      </c>
      <c r="C1938" t="str">
        <f>IFERROR(IF(A1938="","",VLOOKUP(A1938,CadProd!$A:$C,3,0)),"")</f>
        <v/>
      </c>
      <c r="I1938" s="1" t="str">
        <f>IFERROR(IF(A1938="","",E1938*#REF!),"")</f>
        <v/>
      </c>
    </row>
    <row r="1939" spans="2:9" x14ac:dyDescent="0.3">
      <c r="B1939" t="str">
        <f>IFERROR(IF(A1939="","",VLOOKUP(A1939,CadProd!$A:$B,2,0)),"")</f>
        <v/>
      </c>
      <c r="C1939" t="str">
        <f>IFERROR(IF(A1939="","",VLOOKUP(A1939,CadProd!$A:$C,3,0)),"")</f>
        <v/>
      </c>
      <c r="I1939" s="1" t="str">
        <f>IFERROR(IF(A1939="","",E1939*#REF!),"")</f>
        <v/>
      </c>
    </row>
    <row r="1940" spans="2:9" x14ac:dyDescent="0.3">
      <c r="B1940" t="str">
        <f>IFERROR(IF(A1940="","",VLOOKUP(A1940,CadProd!$A:$B,2,0)),"")</f>
        <v/>
      </c>
      <c r="C1940" t="str">
        <f>IFERROR(IF(A1940="","",VLOOKUP(A1940,CadProd!$A:$C,3,0)),"")</f>
        <v/>
      </c>
      <c r="I1940" s="1" t="str">
        <f>IFERROR(IF(A1940="","",E1940*#REF!),"")</f>
        <v/>
      </c>
    </row>
    <row r="1941" spans="2:9" x14ac:dyDescent="0.3">
      <c r="B1941" t="str">
        <f>IFERROR(IF(A1941="","",VLOOKUP(A1941,CadProd!$A:$B,2,0)),"")</f>
        <v/>
      </c>
      <c r="C1941" t="str">
        <f>IFERROR(IF(A1941="","",VLOOKUP(A1941,CadProd!$A:$C,3,0)),"")</f>
        <v/>
      </c>
      <c r="I1941" s="1" t="str">
        <f>IFERROR(IF(A1941="","",E1941*#REF!),"")</f>
        <v/>
      </c>
    </row>
    <row r="1942" spans="2:9" x14ac:dyDescent="0.3">
      <c r="B1942" t="str">
        <f>IFERROR(IF(A1942="","",VLOOKUP(A1942,CadProd!$A:$B,2,0)),"")</f>
        <v/>
      </c>
      <c r="C1942" t="str">
        <f>IFERROR(IF(A1942="","",VLOOKUP(A1942,CadProd!$A:$C,3,0)),"")</f>
        <v/>
      </c>
      <c r="I1942" s="1" t="str">
        <f>IFERROR(IF(A1942="","",E1942*#REF!),"")</f>
        <v/>
      </c>
    </row>
    <row r="1943" spans="2:9" x14ac:dyDescent="0.3">
      <c r="B1943" t="str">
        <f>IFERROR(IF(A1943="","",VLOOKUP(A1943,CadProd!$A:$B,2,0)),"")</f>
        <v/>
      </c>
      <c r="C1943" t="str">
        <f>IFERROR(IF(A1943="","",VLOOKUP(A1943,CadProd!$A:$C,3,0)),"")</f>
        <v/>
      </c>
      <c r="I1943" s="1" t="str">
        <f>IFERROR(IF(A1943="","",E1943*#REF!),"")</f>
        <v/>
      </c>
    </row>
    <row r="1944" spans="2:9" x14ac:dyDescent="0.3">
      <c r="B1944" t="str">
        <f>IFERROR(IF(A1944="","",VLOOKUP(A1944,CadProd!$A:$B,2,0)),"")</f>
        <v/>
      </c>
      <c r="C1944" t="str">
        <f>IFERROR(IF(A1944="","",VLOOKUP(A1944,CadProd!$A:$C,3,0)),"")</f>
        <v/>
      </c>
      <c r="I1944" s="1" t="str">
        <f>IFERROR(IF(A1944="","",E1944*#REF!),"")</f>
        <v/>
      </c>
    </row>
    <row r="1945" spans="2:9" x14ac:dyDescent="0.3">
      <c r="B1945" t="str">
        <f>IFERROR(IF(A1945="","",VLOOKUP(A1945,CadProd!$A:$B,2,0)),"")</f>
        <v/>
      </c>
      <c r="C1945" t="str">
        <f>IFERROR(IF(A1945="","",VLOOKUP(A1945,CadProd!$A:$C,3,0)),"")</f>
        <v/>
      </c>
      <c r="I1945" s="1" t="str">
        <f>IFERROR(IF(A1945="","",E1945*#REF!),"")</f>
        <v/>
      </c>
    </row>
    <row r="1946" spans="2:9" x14ac:dyDescent="0.3">
      <c r="B1946" t="str">
        <f>IFERROR(IF(A1946="","",VLOOKUP(A1946,CadProd!$A:$B,2,0)),"")</f>
        <v/>
      </c>
      <c r="C1946" t="str">
        <f>IFERROR(IF(A1946="","",VLOOKUP(A1946,CadProd!$A:$C,3,0)),"")</f>
        <v/>
      </c>
      <c r="I1946" s="1" t="str">
        <f>IFERROR(IF(A1946="","",E1946*#REF!),"")</f>
        <v/>
      </c>
    </row>
    <row r="1947" spans="2:9" x14ac:dyDescent="0.3">
      <c r="B1947" t="str">
        <f>IFERROR(IF(A1947="","",VLOOKUP(A1947,CadProd!$A:$B,2,0)),"")</f>
        <v/>
      </c>
      <c r="C1947" t="str">
        <f>IFERROR(IF(A1947="","",VLOOKUP(A1947,CadProd!$A:$C,3,0)),"")</f>
        <v/>
      </c>
      <c r="I1947" s="1" t="str">
        <f>IFERROR(IF(A1947="","",E1947*#REF!),"")</f>
        <v/>
      </c>
    </row>
    <row r="1948" spans="2:9" x14ac:dyDescent="0.3">
      <c r="B1948" t="str">
        <f>IFERROR(IF(A1948="","",VLOOKUP(A1948,CadProd!$A:$B,2,0)),"")</f>
        <v/>
      </c>
      <c r="C1948" t="str">
        <f>IFERROR(IF(A1948="","",VLOOKUP(A1948,CadProd!$A:$C,3,0)),"")</f>
        <v/>
      </c>
      <c r="I1948" s="1" t="str">
        <f>IFERROR(IF(A1948="","",E1948*#REF!),"")</f>
        <v/>
      </c>
    </row>
    <row r="1949" spans="2:9" x14ac:dyDescent="0.3">
      <c r="B1949" t="str">
        <f>IFERROR(IF(A1949="","",VLOOKUP(A1949,CadProd!$A:$B,2,0)),"")</f>
        <v/>
      </c>
      <c r="C1949" t="str">
        <f>IFERROR(IF(A1949="","",VLOOKUP(A1949,CadProd!$A:$C,3,0)),"")</f>
        <v/>
      </c>
      <c r="I1949" s="1" t="str">
        <f>IFERROR(IF(A1949="","",E1949*#REF!),"")</f>
        <v/>
      </c>
    </row>
    <row r="1950" spans="2:9" x14ac:dyDescent="0.3">
      <c r="B1950" t="str">
        <f>IFERROR(IF(A1950="","",VLOOKUP(A1950,CadProd!$A:$B,2,0)),"")</f>
        <v/>
      </c>
      <c r="C1950" t="str">
        <f>IFERROR(IF(A1950="","",VLOOKUP(A1950,CadProd!$A:$C,3,0)),"")</f>
        <v/>
      </c>
      <c r="I1950" s="1" t="str">
        <f>IFERROR(IF(A1950="","",E1950*#REF!),"")</f>
        <v/>
      </c>
    </row>
    <row r="1951" spans="2:9" x14ac:dyDescent="0.3">
      <c r="B1951" t="str">
        <f>IFERROR(IF(A1951="","",VLOOKUP(A1951,CadProd!$A:$B,2,0)),"")</f>
        <v/>
      </c>
      <c r="C1951" t="str">
        <f>IFERROR(IF(A1951="","",VLOOKUP(A1951,CadProd!$A:$C,3,0)),"")</f>
        <v/>
      </c>
      <c r="I1951" s="1" t="str">
        <f>IFERROR(IF(A1951="","",E1951*#REF!),"")</f>
        <v/>
      </c>
    </row>
    <row r="1952" spans="2:9" x14ac:dyDescent="0.3">
      <c r="B1952" t="str">
        <f>IFERROR(IF(A1952="","",VLOOKUP(A1952,CadProd!$A:$B,2,0)),"")</f>
        <v/>
      </c>
      <c r="C1952" t="str">
        <f>IFERROR(IF(A1952="","",VLOOKUP(A1952,CadProd!$A:$C,3,0)),"")</f>
        <v/>
      </c>
      <c r="I1952" s="1" t="str">
        <f>IFERROR(IF(A1952="","",E1952*#REF!),"")</f>
        <v/>
      </c>
    </row>
    <row r="1953" spans="2:9" x14ac:dyDescent="0.3">
      <c r="B1953" t="str">
        <f>IFERROR(IF(A1953="","",VLOOKUP(A1953,CadProd!$A:$B,2,0)),"")</f>
        <v/>
      </c>
      <c r="C1953" t="str">
        <f>IFERROR(IF(A1953="","",VLOOKUP(A1953,CadProd!$A:$C,3,0)),"")</f>
        <v/>
      </c>
      <c r="I1953" s="1" t="str">
        <f>IFERROR(IF(A1953="","",E1953*#REF!),"")</f>
        <v/>
      </c>
    </row>
    <row r="1954" spans="2:9" x14ac:dyDescent="0.3">
      <c r="B1954" t="str">
        <f>IFERROR(IF(A1954="","",VLOOKUP(A1954,CadProd!$A:$B,2,0)),"")</f>
        <v/>
      </c>
      <c r="C1954" t="str">
        <f>IFERROR(IF(A1954="","",VLOOKUP(A1954,CadProd!$A:$C,3,0)),"")</f>
        <v/>
      </c>
      <c r="I1954" s="1" t="str">
        <f>IFERROR(IF(A1954="","",E1954*#REF!),"")</f>
        <v/>
      </c>
    </row>
    <row r="1955" spans="2:9" x14ac:dyDescent="0.3">
      <c r="B1955" t="str">
        <f>IFERROR(IF(A1955="","",VLOOKUP(A1955,CadProd!$A:$B,2,0)),"")</f>
        <v/>
      </c>
      <c r="C1955" t="str">
        <f>IFERROR(IF(A1955="","",VLOOKUP(A1955,CadProd!$A:$C,3,0)),"")</f>
        <v/>
      </c>
      <c r="I1955" s="1" t="str">
        <f>IFERROR(IF(A1955="","",E1955*#REF!),"")</f>
        <v/>
      </c>
    </row>
    <row r="1956" spans="2:9" x14ac:dyDescent="0.3">
      <c r="B1956" t="str">
        <f>IFERROR(IF(A1956="","",VLOOKUP(A1956,CadProd!$A:$B,2,0)),"")</f>
        <v/>
      </c>
      <c r="C1956" t="str">
        <f>IFERROR(IF(A1956="","",VLOOKUP(A1956,CadProd!$A:$C,3,0)),"")</f>
        <v/>
      </c>
      <c r="I1956" s="1" t="str">
        <f>IFERROR(IF(A1956="","",E1956*#REF!),"")</f>
        <v/>
      </c>
    </row>
    <row r="1957" spans="2:9" x14ac:dyDescent="0.3">
      <c r="B1957" t="str">
        <f>IFERROR(IF(A1957="","",VLOOKUP(A1957,CadProd!$A:$B,2,0)),"")</f>
        <v/>
      </c>
      <c r="C1957" t="str">
        <f>IFERROR(IF(A1957="","",VLOOKUP(A1957,CadProd!$A:$C,3,0)),"")</f>
        <v/>
      </c>
      <c r="I1957" s="1" t="str">
        <f>IFERROR(IF(A1957="","",E1957*#REF!),"")</f>
        <v/>
      </c>
    </row>
    <row r="1958" spans="2:9" x14ac:dyDescent="0.3">
      <c r="B1958" t="str">
        <f>IFERROR(IF(A1958="","",VLOOKUP(A1958,CadProd!$A:$B,2,0)),"")</f>
        <v/>
      </c>
      <c r="C1958" t="str">
        <f>IFERROR(IF(A1958="","",VLOOKUP(A1958,CadProd!$A:$C,3,0)),"")</f>
        <v/>
      </c>
      <c r="I1958" s="1" t="str">
        <f>IFERROR(IF(A1958="","",E1958*#REF!),"")</f>
        <v/>
      </c>
    </row>
    <row r="1959" spans="2:9" x14ac:dyDescent="0.3">
      <c r="B1959" t="str">
        <f>IFERROR(IF(A1959="","",VLOOKUP(A1959,CadProd!$A:$B,2,0)),"")</f>
        <v/>
      </c>
      <c r="C1959" t="str">
        <f>IFERROR(IF(A1959="","",VLOOKUP(A1959,CadProd!$A:$C,3,0)),"")</f>
        <v/>
      </c>
      <c r="I1959" s="1" t="str">
        <f>IFERROR(IF(A1959="","",E1959*#REF!),"")</f>
        <v/>
      </c>
    </row>
    <row r="1960" spans="2:9" x14ac:dyDescent="0.3">
      <c r="B1960" t="str">
        <f>IFERROR(IF(A1960="","",VLOOKUP(A1960,CadProd!$A:$B,2,0)),"")</f>
        <v/>
      </c>
      <c r="C1960" t="str">
        <f>IFERROR(IF(A1960="","",VLOOKUP(A1960,CadProd!$A:$C,3,0)),"")</f>
        <v/>
      </c>
      <c r="I1960" s="1" t="str">
        <f>IFERROR(IF(A1960="","",E1960*#REF!),"")</f>
        <v/>
      </c>
    </row>
    <row r="1961" spans="2:9" x14ac:dyDescent="0.3">
      <c r="B1961" t="str">
        <f>IFERROR(IF(A1961="","",VLOOKUP(A1961,CadProd!$A:$B,2,0)),"")</f>
        <v/>
      </c>
      <c r="C1961" t="str">
        <f>IFERROR(IF(A1961="","",VLOOKUP(A1961,CadProd!$A:$C,3,0)),"")</f>
        <v/>
      </c>
      <c r="I1961" s="1" t="str">
        <f>IFERROR(IF(A1961="","",E1961*#REF!),"")</f>
        <v/>
      </c>
    </row>
    <row r="1962" spans="2:9" x14ac:dyDescent="0.3">
      <c r="B1962" t="str">
        <f>IFERROR(IF(A1962="","",VLOOKUP(A1962,CadProd!$A:$B,2,0)),"")</f>
        <v/>
      </c>
      <c r="C1962" t="str">
        <f>IFERROR(IF(A1962="","",VLOOKUP(A1962,CadProd!$A:$C,3,0)),"")</f>
        <v/>
      </c>
      <c r="I1962" s="1" t="str">
        <f>IFERROR(IF(A1962="","",E1962*#REF!),"")</f>
        <v/>
      </c>
    </row>
    <row r="1963" spans="2:9" x14ac:dyDescent="0.3">
      <c r="B1963" t="str">
        <f>IFERROR(IF(A1963="","",VLOOKUP(A1963,CadProd!$A:$B,2,0)),"")</f>
        <v/>
      </c>
      <c r="C1963" t="str">
        <f>IFERROR(IF(A1963="","",VLOOKUP(A1963,CadProd!$A:$C,3,0)),"")</f>
        <v/>
      </c>
      <c r="I1963" s="1" t="str">
        <f>IFERROR(IF(A1963="","",E1963*#REF!),"")</f>
        <v/>
      </c>
    </row>
    <row r="1964" spans="2:9" x14ac:dyDescent="0.3">
      <c r="B1964" t="str">
        <f>IFERROR(IF(A1964="","",VLOOKUP(A1964,CadProd!$A:$B,2,0)),"")</f>
        <v/>
      </c>
      <c r="C1964" t="str">
        <f>IFERROR(IF(A1964="","",VLOOKUP(A1964,CadProd!$A:$C,3,0)),"")</f>
        <v/>
      </c>
      <c r="I1964" s="1" t="str">
        <f>IFERROR(IF(A1964="","",E1964*#REF!),"")</f>
        <v/>
      </c>
    </row>
    <row r="1965" spans="2:9" x14ac:dyDescent="0.3">
      <c r="B1965" t="str">
        <f>IFERROR(IF(A1965="","",VLOOKUP(A1965,CadProd!$A:$B,2,0)),"")</f>
        <v/>
      </c>
      <c r="C1965" t="str">
        <f>IFERROR(IF(A1965="","",VLOOKUP(A1965,CadProd!$A:$C,3,0)),"")</f>
        <v/>
      </c>
      <c r="I1965" s="1" t="str">
        <f>IFERROR(IF(A1965="","",E1965*#REF!),"")</f>
        <v/>
      </c>
    </row>
    <row r="1966" spans="2:9" x14ac:dyDescent="0.3">
      <c r="B1966" t="str">
        <f>IFERROR(IF(A1966="","",VLOOKUP(A1966,CadProd!$A:$B,2,0)),"")</f>
        <v/>
      </c>
      <c r="C1966" t="str">
        <f>IFERROR(IF(A1966="","",VLOOKUP(A1966,CadProd!$A:$C,3,0)),"")</f>
        <v/>
      </c>
      <c r="I1966" s="1" t="str">
        <f>IFERROR(IF(A1966="","",E1966*#REF!),"")</f>
        <v/>
      </c>
    </row>
    <row r="1967" spans="2:9" x14ac:dyDescent="0.3">
      <c r="B1967" t="str">
        <f>IFERROR(IF(A1967="","",VLOOKUP(A1967,CadProd!$A:$B,2,0)),"")</f>
        <v/>
      </c>
      <c r="C1967" t="str">
        <f>IFERROR(IF(A1967="","",VLOOKUP(A1967,CadProd!$A:$C,3,0)),"")</f>
        <v/>
      </c>
      <c r="I1967" s="1" t="str">
        <f>IFERROR(IF(A1967="","",E1967*#REF!),"")</f>
        <v/>
      </c>
    </row>
    <row r="1968" spans="2:9" x14ac:dyDescent="0.3">
      <c r="B1968" t="str">
        <f>IFERROR(IF(A1968="","",VLOOKUP(A1968,CadProd!$A:$B,2,0)),"")</f>
        <v/>
      </c>
      <c r="C1968" t="str">
        <f>IFERROR(IF(A1968="","",VLOOKUP(A1968,CadProd!$A:$C,3,0)),"")</f>
        <v/>
      </c>
      <c r="I1968" s="1" t="str">
        <f>IFERROR(IF(A1968="","",E1968*#REF!),"")</f>
        <v/>
      </c>
    </row>
    <row r="1969" spans="2:9" x14ac:dyDescent="0.3">
      <c r="B1969" t="str">
        <f>IFERROR(IF(A1969="","",VLOOKUP(A1969,CadProd!$A:$B,2,0)),"")</f>
        <v/>
      </c>
      <c r="C1969" t="str">
        <f>IFERROR(IF(A1969="","",VLOOKUP(A1969,CadProd!$A:$C,3,0)),"")</f>
        <v/>
      </c>
      <c r="I1969" s="1" t="str">
        <f>IFERROR(IF(A1969="","",E1969*#REF!),"")</f>
        <v/>
      </c>
    </row>
    <row r="1970" spans="2:9" x14ac:dyDescent="0.3">
      <c r="B1970" t="str">
        <f>IFERROR(IF(A1970="","",VLOOKUP(A1970,CadProd!$A:$B,2,0)),"")</f>
        <v/>
      </c>
      <c r="C1970" t="str">
        <f>IFERROR(IF(A1970="","",VLOOKUP(A1970,CadProd!$A:$C,3,0)),"")</f>
        <v/>
      </c>
      <c r="I1970" s="1" t="str">
        <f>IFERROR(IF(A1970="","",E1970*#REF!),"")</f>
        <v/>
      </c>
    </row>
    <row r="1971" spans="2:9" x14ac:dyDescent="0.3">
      <c r="B1971" t="str">
        <f>IFERROR(IF(A1971="","",VLOOKUP(A1971,CadProd!$A:$B,2,0)),"")</f>
        <v/>
      </c>
      <c r="C1971" t="str">
        <f>IFERROR(IF(A1971="","",VLOOKUP(A1971,CadProd!$A:$C,3,0)),"")</f>
        <v/>
      </c>
      <c r="I1971" s="1" t="str">
        <f>IFERROR(IF(A1971="","",E1971*#REF!),"")</f>
        <v/>
      </c>
    </row>
    <row r="1972" spans="2:9" x14ac:dyDescent="0.3">
      <c r="B1972" t="str">
        <f>IFERROR(IF(A1972="","",VLOOKUP(A1972,CadProd!$A:$B,2,0)),"")</f>
        <v/>
      </c>
      <c r="C1972" t="str">
        <f>IFERROR(IF(A1972="","",VLOOKUP(A1972,CadProd!$A:$C,3,0)),"")</f>
        <v/>
      </c>
      <c r="I1972" s="1" t="str">
        <f>IFERROR(IF(A1972="","",E1972*#REF!),"")</f>
        <v/>
      </c>
    </row>
    <row r="1973" spans="2:9" x14ac:dyDescent="0.3">
      <c r="B1973" t="str">
        <f>IFERROR(IF(A1973="","",VLOOKUP(A1973,CadProd!$A:$B,2,0)),"")</f>
        <v/>
      </c>
      <c r="C1973" t="str">
        <f>IFERROR(IF(A1973="","",VLOOKUP(A1973,CadProd!$A:$C,3,0)),"")</f>
        <v/>
      </c>
      <c r="I1973" s="1" t="str">
        <f>IFERROR(IF(A1973="","",E1973*#REF!),"")</f>
        <v/>
      </c>
    </row>
    <row r="1974" spans="2:9" x14ac:dyDescent="0.3">
      <c r="B1974" t="str">
        <f>IFERROR(IF(A1974="","",VLOOKUP(A1974,CadProd!$A:$B,2,0)),"")</f>
        <v/>
      </c>
      <c r="C1974" t="str">
        <f>IFERROR(IF(A1974="","",VLOOKUP(A1974,CadProd!$A:$C,3,0)),"")</f>
        <v/>
      </c>
      <c r="I1974" s="1" t="str">
        <f>IFERROR(IF(A1974="","",E1974*#REF!),"")</f>
        <v/>
      </c>
    </row>
    <row r="1975" spans="2:9" x14ac:dyDescent="0.3">
      <c r="B1975" t="str">
        <f>IFERROR(IF(A1975="","",VLOOKUP(A1975,CadProd!$A:$B,2,0)),"")</f>
        <v/>
      </c>
      <c r="C1975" t="str">
        <f>IFERROR(IF(A1975="","",VLOOKUP(A1975,CadProd!$A:$C,3,0)),"")</f>
        <v/>
      </c>
      <c r="I1975" s="1" t="str">
        <f>IFERROR(IF(A1975="","",E1975*#REF!),"")</f>
        <v/>
      </c>
    </row>
    <row r="1976" spans="2:9" x14ac:dyDescent="0.3">
      <c r="B1976" t="str">
        <f>IFERROR(IF(A1976="","",VLOOKUP(A1976,CadProd!$A:$B,2,0)),"")</f>
        <v/>
      </c>
      <c r="C1976" t="str">
        <f>IFERROR(IF(A1976="","",VLOOKUP(A1976,CadProd!$A:$C,3,0)),"")</f>
        <v/>
      </c>
      <c r="I1976" s="1" t="str">
        <f>IFERROR(IF(A1976="","",E1976*#REF!),"")</f>
        <v/>
      </c>
    </row>
    <row r="1977" spans="2:9" x14ac:dyDescent="0.3">
      <c r="B1977" t="str">
        <f>IFERROR(IF(A1977="","",VLOOKUP(A1977,CadProd!$A:$B,2,0)),"")</f>
        <v/>
      </c>
      <c r="C1977" t="str">
        <f>IFERROR(IF(A1977="","",VLOOKUP(A1977,CadProd!$A:$C,3,0)),"")</f>
        <v/>
      </c>
      <c r="I1977" s="1" t="str">
        <f>IFERROR(IF(A1977="","",E1977*#REF!),"")</f>
        <v/>
      </c>
    </row>
    <row r="1978" spans="2:9" x14ac:dyDescent="0.3">
      <c r="B1978" t="str">
        <f>IFERROR(IF(A1978="","",VLOOKUP(A1978,CadProd!$A:$B,2,0)),"")</f>
        <v/>
      </c>
      <c r="C1978" t="str">
        <f>IFERROR(IF(A1978="","",VLOOKUP(A1978,CadProd!$A:$C,3,0)),"")</f>
        <v/>
      </c>
      <c r="I1978" s="1" t="str">
        <f>IFERROR(IF(A1978="","",E1978*#REF!),"")</f>
        <v/>
      </c>
    </row>
    <row r="1979" spans="2:9" x14ac:dyDescent="0.3">
      <c r="B1979" t="str">
        <f>IFERROR(IF(A1979="","",VLOOKUP(A1979,CadProd!$A:$B,2,0)),"")</f>
        <v/>
      </c>
      <c r="C1979" t="str">
        <f>IFERROR(IF(A1979="","",VLOOKUP(A1979,CadProd!$A:$C,3,0)),"")</f>
        <v/>
      </c>
      <c r="I1979" s="1" t="str">
        <f>IFERROR(IF(A1979="","",E1979*#REF!),"")</f>
        <v/>
      </c>
    </row>
    <row r="1980" spans="2:9" x14ac:dyDescent="0.3">
      <c r="B1980" t="str">
        <f>IFERROR(IF(A1980="","",VLOOKUP(A1980,CadProd!$A:$B,2,0)),"")</f>
        <v/>
      </c>
      <c r="C1980" t="str">
        <f>IFERROR(IF(A1980="","",VLOOKUP(A1980,CadProd!$A:$C,3,0)),"")</f>
        <v/>
      </c>
      <c r="I1980" s="1" t="str">
        <f>IFERROR(IF(A1980="","",E1980*#REF!),"")</f>
        <v/>
      </c>
    </row>
    <row r="1981" spans="2:9" x14ac:dyDescent="0.3">
      <c r="B1981" t="str">
        <f>IFERROR(IF(A1981="","",VLOOKUP(A1981,CadProd!$A:$B,2,0)),"")</f>
        <v/>
      </c>
      <c r="C1981" t="str">
        <f>IFERROR(IF(A1981="","",VLOOKUP(A1981,CadProd!$A:$C,3,0)),"")</f>
        <v/>
      </c>
      <c r="I1981" s="1" t="str">
        <f>IFERROR(IF(A1981="","",E1981*#REF!),"")</f>
        <v/>
      </c>
    </row>
    <row r="1982" spans="2:9" x14ac:dyDescent="0.3">
      <c r="B1982" t="str">
        <f>IFERROR(IF(A1982="","",VLOOKUP(A1982,CadProd!$A:$B,2,0)),"")</f>
        <v/>
      </c>
      <c r="C1982" t="str">
        <f>IFERROR(IF(A1982="","",VLOOKUP(A1982,CadProd!$A:$C,3,0)),"")</f>
        <v/>
      </c>
      <c r="I1982" s="1" t="str">
        <f>IFERROR(IF(A1982="","",E1982*#REF!),"")</f>
        <v/>
      </c>
    </row>
    <row r="1983" spans="2:9" x14ac:dyDescent="0.3">
      <c r="B1983" t="str">
        <f>IFERROR(IF(A1983="","",VLOOKUP(A1983,CadProd!$A:$B,2,0)),"")</f>
        <v/>
      </c>
      <c r="C1983" t="str">
        <f>IFERROR(IF(A1983="","",VLOOKUP(A1983,CadProd!$A:$C,3,0)),"")</f>
        <v/>
      </c>
      <c r="I1983" s="1" t="str">
        <f>IFERROR(IF(A1983="","",E1983*#REF!),"")</f>
        <v/>
      </c>
    </row>
    <row r="1984" spans="2:9" x14ac:dyDescent="0.3">
      <c r="B1984" t="str">
        <f>IFERROR(IF(A1984="","",VLOOKUP(A1984,CadProd!$A:$B,2,0)),"")</f>
        <v/>
      </c>
      <c r="C1984" t="str">
        <f>IFERROR(IF(A1984="","",VLOOKUP(A1984,CadProd!$A:$C,3,0)),"")</f>
        <v/>
      </c>
      <c r="I1984" s="1" t="str">
        <f>IFERROR(IF(A1984="","",E1984*#REF!),"")</f>
        <v/>
      </c>
    </row>
    <row r="1985" spans="2:9" x14ac:dyDescent="0.3">
      <c r="B1985" t="str">
        <f>IFERROR(IF(A1985="","",VLOOKUP(A1985,CadProd!$A:$B,2,0)),"")</f>
        <v/>
      </c>
      <c r="C1985" t="str">
        <f>IFERROR(IF(A1985="","",VLOOKUP(A1985,CadProd!$A:$C,3,0)),"")</f>
        <v/>
      </c>
      <c r="I1985" s="1" t="str">
        <f>IFERROR(IF(A1985="","",E1985*#REF!),"")</f>
        <v/>
      </c>
    </row>
    <row r="1986" spans="2:9" x14ac:dyDescent="0.3">
      <c r="B1986" t="str">
        <f>IFERROR(IF(A1986="","",VLOOKUP(A1986,CadProd!$A:$B,2,0)),"")</f>
        <v/>
      </c>
      <c r="C1986" t="str">
        <f>IFERROR(IF(A1986="","",VLOOKUP(A1986,CadProd!$A:$C,3,0)),"")</f>
        <v/>
      </c>
      <c r="I1986" s="1" t="str">
        <f>IFERROR(IF(A1986="","",E1986*#REF!),"")</f>
        <v/>
      </c>
    </row>
    <row r="1987" spans="2:9" x14ac:dyDescent="0.3">
      <c r="B1987" t="str">
        <f>IFERROR(IF(A1987="","",VLOOKUP(A1987,CadProd!$A:$B,2,0)),"")</f>
        <v/>
      </c>
      <c r="C1987" t="str">
        <f>IFERROR(IF(A1987="","",VLOOKUP(A1987,CadProd!$A:$C,3,0)),"")</f>
        <v/>
      </c>
      <c r="I1987" s="1" t="str">
        <f>IFERROR(IF(A1987="","",E1987*#REF!),"")</f>
        <v/>
      </c>
    </row>
    <row r="1988" spans="2:9" x14ac:dyDescent="0.3">
      <c r="B1988" t="str">
        <f>IFERROR(IF(A1988="","",VLOOKUP(A1988,CadProd!$A:$B,2,0)),"")</f>
        <v/>
      </c>
      <c r="C1988" t="str">
        <f>IFERROR(IF(A1988="","",VLOOKUP(A1988,CadProd!$A:$C,3,0)),"")</f>
        <v/>
      </c>
      <c r="I1988" s="1" t="str">
        <f>IFERROR(IF(A1988="","",E1988*#REF!),"")</f>
        <v/>
      </c>
    </row>
    <row r="1989" spans="2:9" x14ac:dyDescent="0.3">
      <c r="B1989" t="str">
        <f>IFERROR(IF(A1989="","",VLOOKUP(A1989,CadProd!$A:$B,2,0)),"")</f>
        <v/>
      </c>
      <c r="C1989" t="str">
        <f>IFERROR(IF(A1989="","",VLOOKUP(A1989,CadProd!$A:$C,3,0)),"")</f>
        <v/>
      </c>
      <c r="I1989" s="1" t="str">
        <f>IFERROR(IF(A1989="","",E1989*#REF!),"")</f>
        <v/>
      </c>
    </row>
    <row r="1990" spans="2:9" x14ac:dyDescent="0.3">
      <c r="B1990" t="str">
        <f>IFERROR(IF(A1990="","",VLOOKUP(A1990,CadProd!$A:$B,2,0)),"")</f>
        <v/>
      </c>
      <c r="C1990" t="str">
        <f>IFERROR(IF(A1990="","",VLOOKUP(A1990,CadProd!$A:$C,3,0)),"")</f>
        <v/>
      </c>
      <c r="I1990" s="1" t="str">
        <f>IFERROR(IF(A1990="","",E1990*#REF!),"")</f>
        <v/>
      </c>
    </row>
    <row r="1991" spans="2:9" x14ac:dyDescent="0.3">
      <c r="B1991" t="str">
        <f>IFERROR(IF(A1991="","",VLOOKUP(A1991,CadProd!$A:$B,2,0)),"")</f>
        <v/>
      </c>
      <c r="C1991" t="str">
        <f>IFERROR(IF(A1991="","",VLOOKUP(A1991,CadProd!$A:$C,3,0)),"")</f>
        <v/>
      </c>
      <c r="I1991" s="1" t="str">
        <f>IFERROR(IF(A1991="","",E1991*#REF!),"")</f>
        <v/>
      </c>
    </row>
    <row r="1992" spans="2:9" x14ac:dyDescent="0.3">
      <c r="B1992" t="str">
        <f>IFERROR(IF(A1992="","",VLOOKUP(A1992,CadProd!$A:$B,2,0)),"")</f>
        <v/>
      </c>
      <c r="C1992" t="str">
        <f>IFERROR(IF(A1992="","",VLOOKUP(A1992,CadProd!$A:$C,3,0)),"")</f>
        <v/>
      </c>
      <c r="I1992" s="1" t="str">
        <f>IFERROR(IF(A1992="","",E1992*#REF!),"")</f>
        <v/>
      </c>
    </row>
    <row r="1993" spans="2:9" x14ac:dyDescent="0.3">
      <c r="B1993" t="str">
        <f>IFERROR(IF(A1993="","",VLOOKUP(A1993,CadProd!$A:$B,2,0)),"")</f>
        <v/>
      </c>
      <c r="C1993" t="str">
        <f>IFERROR(IF(A1993="","",VLOOKUP(A1993,CadProd!$A:$C,3,0)),"")</f>
        <v/>
      </c>
      <c r="I1993" s="1" t="str">
        <f>IFERROR(IF(A1993="","",E1993*#REF!),"")</f>
        <v/>
      </c>
    </row>
    <row r="1994" spans="2:9" x14ac:dyDescent="0.3">
      <c r="B1994" t="str">
        <f>IFERROR(IF(A1994="","",VLOOKUP(A1994,CadProd!$A:$B,2,0)),"")</f>
        <v/>
      </c>
      <c r="C1994" t="str">
        <f>IFERROR(IF(A1994="","",VLOOKUP(A1994,CadProd!$A:$C,3,0)),"")</f>
        <v/>
      </c>
      <c r="I1994" s="1" t="str">
        <f>IFERROR(IF(A1994="","",E1994*#REF!),"")</f>
        <v/>
      </c>
    </row>
    <row r="1995" spans="2:9" x14ac:dyDescent="0.3">
      <c r="B1995" t="str">
        <f>IFERROR(IF(A1995="","",VLOOKUP(A1995,CadProd!$A:$B,2,0)),"")</f>
        <v/>
      </c>
      <c r="C1995" t="str">
        <f>IFERROR(IF(A1995="","",VLOOKUP(A1995,CadProd!$A:$C,3,0)),"")</f>
        <v/>
      </c>
      <c r="I1995" s="1" t="str">
        <f>IFERROR(IF(A1995="","",E1995*#REF!),"")</f>
        <v/>
      </c>
    </row>
    <row r="1996" spans="2:9" x14ac:dyDescent="0.3">
      <c r="B1996" t="str">
        <f>IFERROR(IF(A1996="","",VLOOKUP(A1996,CadProd!$A:$B,2,0)),"")</f>
        <v/>
      </c>
      <c r="C1996" t="str">
        <f>IFERROR(IF(A1996="","",VLOOKUP(A1996,CadProd!$A:$C,3,0)),"")</f>
        <v/>
      </c>
      <c r="I1996" s="1" t="str">
        <f>IFERROR(IF(A1996="","",E1996*#REF!),"")</f>
        <v/>
      </c>
    </row>
    <row r="1997" spans="2:9" x14ac:dyDescent="0.3">
      <c r="B1997" t="str">
        <f>IFERROR(IF(A1997="","",VLOOKUP(A1997,CadProd!$A:$B,2,0)),"")</f>
        <v/>
      </c>
      <c r="C1997" t="str">
        <f>IFERROR(IF(A1997="","",VLOOKUP(A1997,CadProd!$A:$C,3,0)),"")</f>
        <v/>
      </c>
      <c r="I1997" s="1" t="str">
        <f>IFERROR(IF(A1997="","",E1997*#REF!),"")</f>
        <v/>
      </c>
    </row>
    <row r="1998" spans="2:9" x14ac:dyDescent="0.3">
      <c r="B1998" t="str">
        <f>IFERROR(IF(A1998="","",VLOOKUP(A1998,CadProd!$A:$B,2,0)),"")</f>
        <v/>
      </c>
      <c r="C1998" t="str">
        <f>IFERROR(IF(A1998="","",VLOOKUP(A1998,CadProd!$A:$C,3,0)),"")</f>
        <v/>
      </c>
      <c r="I1998" s="1" t="str">
        <f>IFERROR(IF(A1998="","",E1998*#REF!),"")</f>
        <v/>
      </c>
    </row>
    <row r="1999" spans="2:9" x14ac:dyDescent="0.3">
      <c r="B1999" t="str">
        <f>IFERROR(IF(A1999="","",VLOOKUP(A1999,CadProd!$A:$B,2,0)),"")</f>
        <v/>
      </c>
      <c r="C1999" t="str">
        <f>IFERROR(IF(A1999="","",VLOOKUP(A1999,CadProd!$A:$C,3,0)),"")</f>
        <v/>
      </c>
      <c r="I1999" s="1" t="str">
        <f>IFERROR(IF(A1999="","",E1999*#REF!),"")</f>
        <v/>
      </c>
    </row>
    <row r="2000" spans="2:9" x14ac:dyDescent="0.3">
      <c r="B2000" t="str">
        <f>IFERROR(IF(A2000="","",VLOOKUP(A2000,CadProd!$A:$B,2,0)),"")</f>
        <v/>
      </c>
      <c r="C2000" t="str">
        <f>IFERROR(IF(A2000="","",VLOOKUP(A2000,CadProd!$A:$C,3,0)),"")</f>
        <v/>
      </c>
      <c r="I2000" s="1" t="str">
        <f>IFERROR(IF(A2000="","",E2000*#REF!),"")</f>
        <v/>
      </c>
    </row>
    <row r="2001" spans="2:9" x14ac:dyDescent="0.3">
      <c r="B2001" t="str">
        <f>IFERROR(IF(A2001="","",VLOOKUP(A2001,CadProd!$A:$B,2,0)),"")</f>
        <v/>
      </c>
      <c r="C2001" t="str">
        <f>IFERROR(IF(A2001="","",VLOOKUP(A2001,CadProd!$A:$C,3,0)),"")</f>
        <v/>
      </c>
      <c r="I2001" s="1" t="str">
        <f>IFERROR(IF(A2001="","",E2001*#REF!),"")</f>
        <v/>
      </c>
    </row>
    <row r="2002" spans="2:9" x14ac:dyDescent="0.3">
      <c r="B2002" t="str">
        <f>IFERROR(IF(A2002="","",VLOOKUP(A2002,CadProd!$A:$B,2,0)),"")</f>
        <v/>
      </c>
      <c r="C2002" t="str">
        <f>IFERROR(IF(A2002="","",VLOOKUP(A2002,CadProd!$A:$C,3,0)),"")</f>
        <v/>
      </c>
      <c r="I2002" s="1" t="str">
        <f>IFERROR(IF(A2002="","",E2002*#REF!),"")</f>
        <v/>
      </c>
    </row>
    <row r="2003" spans="2:9" x14ac:dyDescent="0.3">
      <c r="B2003" t="str">
        <f>IFERROR(IF(A2003="","",VLOOKUP(A2003,CadProd!$A:$B,2,0)),"")</f>
        <v/>
      </c>
      <c r="C2003" t="str">
        <f>IFERROR(IF(A2003="","",VLOOKUP(A2003,CadProd!$A:$C,3,0)),"")</f>
        <v/>
      </c>
      <c r="I2003" s="1" t="str">
        <f>IFERROR(IF(A2003="","",E2003*#REF!),"")</f>
        <v/>
      </c>
    </row>
    <row r="2004" spans="2:9" x14ac:dyDescent="0.3">
      <c r="B2004" t="str">
        <f>IFERROR(IF(A2004="","",VLOOKUP(A2004,CadProd!$A:$B,2,0)),"")</f>
        <v/>
      </c>
      <c r="C2004" t="str">
        <f>IFERROR(IF(A2004="","",VLOOKUP(A2004,CadProd!$A:$C,3,0)),"")</f>
        <v/>
      </c>
      <c r="I2004" s="1" t="str">
        <f>IFERROR(IF(A2004="","",E2004*#REF!),"")</f>
        <v/>
      </c>
    </row>
    <row r="2005" spans="2:9" x14ac:dyDescent="0.3">
      <c r="B2005" t="str">
        <f>IFERROR(IF(A2005="","",VLOOKUP(A2005,CadProd!$A:$B,2,0)),"")</f>
        <v/>
      </c>
      <c r="C2005" t="str">
        <f>IFERROR(IF(A2005="","",VLOOKUP(A2005,CadProd!$A:$C,3,0)),"")</f>
        <v/>
      </c>
      <c r="I2005" s="1" t="str">
        <f>IFERROR(IF(A2005="","",E2005*#REF!),"")</f>
        <v/>
      </c>
    </row>
    <row r="2006" spans="2:9" x14ac:dyDescent="0.3">
      <c r="B2006" t="str">
        <f>IFERROR(IF(A2006="","",VLOOKUP(A2006,CadProd!$A:$B,2,0)),"")</f>
        <v/>
      </c>
      <c r="C2006" t="str">
        <f>IFERROR(IF(A2006="","",VLOOKUP(A2006,CadProd!$A:$C,3,0)),"")</f>
        <v/>
      </c>
      <c r="I2006" s="1" t="str">
        <f>IFERROR(IF(A2006="","",E2006*#REF!),"")</f>
        <v/>
      </c>
    </row>
    <row r="2007" spans="2:9" x14ac:dyDescent="0.3">
      <c r="B2007" t="str">
        <f>IFERROR(IF(A2007="","",VLOOKUP(A2007,CadProd!$A:$B,2,0)),"")</f>
        <v/>
      </c>
      <c r="C2007" t="str">
        <f>IFERROR(IF(A2007="","",VLOOKUP(A2007,CadProd!$A:$C,3,0)),"")</f>
        <v/>
      </c>
      <c r="I2007" s="1" t="str">
        <f>IFERROR(IF(A2007="","",E2007*#REF!),"")</f>
        <v/>
      </c>
    </row>
    <row r="2008" spans="2:9" x14ac:dyDescent="0.3">
      <c r="B2008" t="str">
        <f>IFERROR(IF(A2008="","",VLOOKUP(A2008,CadProd!$A:$B,2,0)),"")</f>
        <v/>
      </c>
      <c r="C2008" t="str">
        <f>IFERROR(IF(A2008="","",VLOOKUP(A2008,CadProd!$A:$C,3,0)),"")</f>
        <v/>
      </c>
      <c r="I2008" s="1" t="str">
        <f>IFERROR(IF(A2008="","",E2008*#REF!),"")</f>
        <v/>
      </c>
    </row>
    <row r="2009" spans="2:9" x14ac:dyDescent="0.3">
      <c r="B2009" t="str">
        <f>IFERROR(IF(A2009="","",VLOOKUP(A2009,CadProd!$A:$B,2,0)),"")</f>
        <v/>
      </c>
      <c r="C2009" t="str">
        <f>IFERROR(IF(A2009="","",VLOOKUP(A2009,CadProd!$A:$C,3,0)),"")</f>
        <v/>
      </c>
      <c r="I2009" s="1" t="str">
        <f>IFERROR(IF(A2009="","",E2009*#REF!),"")</f>
        <v/>
      </c>
    </row>
    <row r="2010" spans="2:9" x14ac:dyDescent="0.3">
      <c r="B2010" t="str">
        <f>IFERROR(IF(A2010="","",VLOOKUP(A2010,CadProd!$A:$B,2,0)),"")</f>
        <v/>
      </c>
      <c r="C2010" t="str">
        <f>IFERROR(IF(A2010="","",VLOOKUP(A2010,CadProd!$A:$C,3,0)),"")</f>
        <v/>
      </c>
      <c r="I2010" s="1" t="str">
        <f>IFERROR(IF(A2010="","",E2010*#REF!),"")</f>
        <v/>
      </c>
    </row>
    <row r="2011" spans="2:9" x14ac:dyDescent="0.3">
      <c r="B2011" t="str">
        <f>IFERROR(IF(A2011="","",VLOOKUP(A2011,CadProd!$A:$B,2,0)),"")</f>
        <v/>
      </c>
      <c r="C2011" t="str">
        <f>IFERROR(IF(A2011="","",VLOOKUP(A2011,CadProd!$A:$C,3,0)),"")</f>
        <v/>
      </c>
      <c r="I2011" s="1" t="str">
        <f>IFERROR(IF(A2011="","",E2011*#REF!),"")</f>
        <v/>
      </c>
    </row>
    <row r="2012" spans="2:9" x14ac:dyDescent="0.3">
      <c r="B2012" t="str">
        <f>IFERROR(IF(A2012="","",VLOOKUP(A2012,CadProd!$A:$B,2,0)),"")</f>
        <v/>
      </c>
      <c r="C2012" t="str">
        <f>IFERROR(IF(A2012="","",VLOOKUP(A2012,CadProd!$A:$C,3,0)),"")</f>
        <v/>
      </c>
      <c r="I2012" s="1" t="str">
        <f>IFERROR(IF(A2012="","",E2012*#REF!),"")</f>
        <v/>
      </c>
    </row>
    <row r="2013" spans="2:9" x14ac:dyDescent="0.3">
      <c r="B2013" t="str">
        <f>IFERROR(IF(A2013="","",VLOOKUP(A2013,CadProd!$A:$B,2,0)),"")</f>
        <v/>
      </c>
      <c r="C2013" t="str">
        <f>IFERROR(IF(A2013="","",VLOOKUP(A2013,CadProd!$A:$C,3,0)),"")</f>
        <v/>
      </c>
      <c r="I2013" s="1" t="str">
        <f>IFERROR(IF(A2013="","",E2013*#REF!),"")</f>
        <v/>
      </c>
    </row>
    <row r="2014" spans="2:9" x14ac:dyDescent="0.3">
      <c r="B2014" t="str">
        <f>IFERROR(IF(A2014="","",VLOOKUP(A2014,CadProd!$A:$B,2,0)),"")</f>
        <v/>
      </c>
      <c r="C2014" t="str">
        <f>IFERROR(IF(A2014="","",VLOOKUP(A2014,CadProd!$A:$C,3,0)),"")</f>
        <v/>
      </c>
      <c r="I2014" s="1" t="str">
        <f>IFERROR(IF(A2014="","",E2014*#REF!),"")</f>
        <v/>
      </c>
    </row>
    <row r="2015" spans="2:9" x14ac:dyDescent="0.3">
      <c r="B2015" t="str">
        <f>IFERROR(IF(A2015="","",VLOOKUP(A2015,CadProd!$A:$B,2,0)),"")</f>
        <v/>
      </c>
      <c r="C2015" t="str">
        <f>IFERROR(IF(A2015="","",VLOOKUP(A2015,CadProd!$A:$C,3,0)),"")</f>
        <v/>
      </c>
      <c r="I2015" s="1" t="str">
        <f>IFERROR(IF(A2015="","",E2015*#REF!),"")</f>
        <v/>
      </c>
    </row>
    <row r="2016" spans="2:9" x14ac:dyDescent="0.3">
      <c r="B2016" t="str">
        <f>IFERROR(IF(A2016="","",VLOOKUP(A2016,CadProd!$A:$B,2,0)),"")</f>
        <v/>
      </c>
      <c r="C2016" t="str">
        <f>IFERROR(IF(A2016="","",VLOOKUP(A2016,CadProd!$A:$C,3,0)),"")</f>
        <v/>
      </c>
      <c r="I2016" s="1" t="str">
        <f>IFERROR(IF(A2016="","",E2016*#REF!),"")</f>
        <v/>
      </c>
    </row>
    <row r="2017" spans="2:9" x14ac:dyDescent="0.3">
      <c r="B2017" t="str">
        <f>IFERROR(IF(A2017="","",VLOOKUP(A2017,CadProd!$A:$B,2,0)),"")</f>
        <v/>
      </c>
      <c r="C2017" t="str">
        <f>IFERROR(IF(A2017="","",VLOOKUP(A2017,CadProd!$A:$C,3,0)),"")</f>
        <v/>
      </c>
      <c r="I2017" s="1" t="str">
        <f>IFERROR(IF(A2017="","",E2017*#REF!),"")</f>
        <v/>
      </c>
    </row>
    <row r="2018" spans="2:9" x14ac:dyDescent="0.3">
      <c r="B2018" t="str">
        <f>IFERROR(IF(A2018="","",VLOOKUP(A2018,CadProd!$A:$B,2,0)),"")</f>
        <v/>
      </c>
      <c r="C2018" t="str">
        <f>IFERROR(IF(A2018="","",VLOOKUP(A2018,CadProd!$A:$C,3,0)),"")</f>
        <v/>
      </c>
      <c r="I2018" s="1" t="str">
        <f>IFERROR(IF(A2018="","",E2018*#REF!),"")</f>
        <v/>
      </c>
    </row>
    <row r="2019" spans="2:9" x14ac:dyDescent="0.3">
      <c r="B2019" t="str">
        <f>IFERROR(IF(A2019="","",VLOOKUP(A2019,CadProd!$A:$B,2,0)),"")</f>
        <v/>
      </c>
      <c r="C2019" t="str">
        <f>IFERROR(IF(A2019="","",VLOOKUP(A2019,CadProd!$A:$C,3,0)),"")</f>
        <v/>
      </c>
      <c r="I2019" s="1" t="str">
        <f>IFERROR(IF(A2019="","",E2019*#REF!),"")</f>
        <v/>
      </c>
    </row>
    <row r="2020" spans="2:9" x14ac:dyDescent="0.3">
      <c r="B2020" t="str">
        <f>IFERROR(IF(A2020="","",VLOOKUP(A2020,CadProd!$A:$B,2,0)),"")</f>
        <v/>
      </c>
      <c r="C2020" t="str">
        <f>IFERROR(IF(A2020="","",VLOOKUP(A2020,CadProd!$A:$C,3,0)),"")</f>
        <v/>
      </c>
      <c r="I2020" s="1" t="str">
        <f>IFERROR(IF(A2020="","",E2020*#REF!),"")</f>
        <v/>
      </c>
    </row>
    <row r="2021" spans="2:9" x14ac:dyDescent="0.3">
      <c r="B2021" t="str">
        <f>IFERROR(IF(A2021="","",VLOOKUP(A2021,CadProd!$A:$B,2,0)),"")</f>
        <v/>
      </c>
      <c r="C2021" t="str">
        <f>IFERROR(IF(A2021="","",VLOOKUP(A2021,CadProd!$A:$C,3,0)),"")</f>
        <v/>
      </c>
      <c r="I2021" s="1" t="str">
        <f>IFERROR(IF(A2021="","",E2021*#REF!),"")</f>
        <v/>
      </c>
    </row>
    <row r="2022" spans="2:9" x14ac:dyDescent="0.3">
      <c r="B2022" t="str">
        <f>IFERROR(IF(A2022="","",VLOOKUP(A2022,CadProd!$A:$B,2,0)),"")</f>
        <v/>
      </c>
      <c r="C2022" t="str">
        <f>IFERROR(IF(A2022="","",VLOOKUP(A2022,CadProd!$A:$C,3,0)),"")</f>
        <v/>
      </c>
      <c r="I2022" s="1" t="str">
        <f>IFERROR(IF(A2022="","",E2022*#REF!),"")</f>
        <v/>
      </c>
    </row>
    <row r="2023" spans="2:9" x14ac:dyDescent="0.3">
      <c r="B2023" t="str">
        <f>IFERROR(IF(A2023="","",VLOOKUP(A2023,CadProd!$A:$B,2,0)),"")</f>
        <v/>
      </c>
      <c r="C2023" t="str">
        <f>IFERROR(IF(A2023="","",VLOOKUP(A2023,CadProd!$A:$C,3,0)),"")</f>
        <v/>
      </c>
      <c r="I2023" s="1" t="str">
        <f>IFERROR(IF(A2023="","",E2023*#REF!),"")</f>
        <v/>
      </c>
    </row>
    <row r="2024" spans="2:9" x14ac:dyDescent="0.3">
      <c r="B2024" t="str">
        <f>IFERROR(IF(A2024="","",VLOOKUP(A2024,CadProd!$A:$B,2,0)),"")</f>
        <v/>
      </c>
      <c r="C2024" t="str">
        <f>IFERROR(IF(A2024="","",VLOOKUP(A2024,CadProd!$A:$C,3,0)),"")</f>
        <v/>
      </c>
      <c r="I2024" s="1" t="str">
        <f>IFERROR(IF(A2024="","",E2024*#REF!),"")</f>
        <v/>
      </c>
    </row>
    <row r="2025" spans="2:9" x14ac:dyDescent="0.3">
      <c r="B2025" t="str">
        <f>IFERROR(IF(A2025="","",VLOOKUP(A2025,CadProd!$A:$B,2,0)),"")</f>
        <v/>
      </c>
      <c r="C2025" t="str">
        <f>IFERROR(IF(A2025="","",VLOOKUP(A2025,CadProd!$A:$C,3,0)),"")</f>
        <v/>
      </c>
      <c r="I2025" s="1" t="str">
        <f>IFERROR(IF(A2025="","",E2025*#REF!),"")</f>
        <v/>
      </c>
    </row>
    <row r="2026" spans="2:9" x14ac:dyDescent="0.3">
      <c r="B2026" t="str">
        <f>IFERROR(IF(A2026="","",VLOOKUP(A2026,CadProd!$A:$B,2,0)),"")</f>
        <v/>
      </c>
      <c r="C2026" t="str">
        <f>IFERROR(IF(A2026="","",VLOOKUP(A2026,CadProd!$A:$C,3,0)),"")</f>
        <v/>
      </c>
      <c r="I2026" s="1" t="str">
        <f>IFERROR(IF(A2026="","",E2026*#REF!),"")</f>
        <v/>
      </c>
    </row>
    <row r="2027" spans="2:9" x14ac:dyDescent="0.3">
      <c r="B2027" t="str">
        <f>IFERROR(IF(A2027="","",VLOOKUP(A2027,CadProd!$A:$B,2,0)),"")</f>
        <v/>
      </c>
      <c r="C2027" t="str">
        <f>IFERROR(IF(A2027="","",VLOOKUP(A2027,CadProd!$A:$C,3,0)),"")</f>
        <v/>
      </c>
      <c r="I2027" s="1" t="str">
        <f>IFERROR(IF(A2027="","",E2027*#REF!),"")</f>
        <v/>
      </c>
    </row>
    <row r="2028" spans="2:9" x14ac:dyDescent="0.3">
      <c r="B2028" t="str">
        <f>IFERROR(IF(A2028="","",VLOOKUP(A2028,CadProd!$A:$B,2,0)),"")</f>
        <v/>
      </c>
      <c r="C2028" t="str">
        <f>IFERROR(IF(A2028="","",VLOOKUP(A2028,CadProd!$A:$C,3,0)),"")</f>
        <v/>
      </c>
      <c r="I2028" s="1" t="str">
        <f>IFERROR(IF(A2028="","",E2028*#REF!),"")</f>
        <v/>
      </c>
    </row>
    <row r="2029" spans="2:9" x14ac:dyDescent="0.3">
      <c r="B2029" t="str">
        <f>IFERROR(IF(A2029="","",VLOOKUP(A2029,CadProd!$A:$B,2,0)),"")</f>
        <v/>
      </c>
      <c r="C2029" t="str">
        <f>IFERROR(IF(A2029="","",VLOOKUP(A2029,CadProd!$A:$C,3,0)),"")</f>
        <v/>
      </c>
      <c r="I2029" s="1" t="str">
        <f>IFERROR(IF(A2029="","",E2029*#REF!),"")</f>
        <v/>
      </c>
    </row>
    <row r="2030" spans="2:9" x14ac:dyDescent="0.3">
      <c r="B2030" t="str">
        <f>IFERROR(IF(A2030="","",VLOOKUP(A2030,CadProd!$A:$B,2,0)),"")</f>
        <v/>
      </c>
      <c r="C2030" t="str">
        <f>IFERROR(IF(A2030="","",VLOOKUP(A2030,CadProd!$A:$C,3,0)),"")</f>
        <v/>
      </c>
      <c r="I2030" s="1" t="str">
        <f>IFERROR(IF(A2030="","",E2030*#REF!),"")</f>
        <v/>
      </c>
    </row>
    <row r="2031" spans="2:9" x14ac:dyDescent="0.3">
      <c r="B2031" t="str">
        <f>IFERROR(IF(A2031="","",VLOOKUP(A2031,CadProd!$A:$B,2,0)),"")</f>
        <v/>
      </c>
      <c r="C2031" t="str">
        <f>IFERROR(IF(A2031="","",VLOOKUP(A2031,CadProd!$A:$C,3,0)),"")</f>
        <v/>
      </c>
      <c r="I2031" s="1" t="str">
        <f>IFERROR(IF(A2031="","",E2031*#REF!),"")</f>
        <v/>
      </c>
    </row>
    <row r="2032" spans="2:9" x14ac:dyDescent="0.3">
      <c r="B2032" t="str">
        <f>IFERROR(IF(A2032="","",VLOOKUP(A2032,CadProd!$A:$B,2,0)),"")</f>
        <v/>
      </c>
      <c r="C2032" t="str">
        <f>IFERROR(IF(A2032="","",VLOOKUP(A2032,CadProd!$A:$C,3,0)),"")</f>
        <v/>
      </c>
      <c r="I2032" s="1" t="str">
        <f>IFERROR(IF(A2032="","",E2032*#REF!),"")</f>
        <v/>
      </c>
    </row>
    <row r="2033" spans="2:9" x14ac:dyDescent="0.3">
      <c r="B2033" t="str">
        <f>IFERROR(IF(A2033="","",VLOOKUP(A2033,CadProd!$A:$B,2,0)),"")</f>
        <v/>
      </c>
      <c r="C2033" t="str">
        <f>IFERROR(IF(A2033="","",VLOOKUP(A2033,CadProd!$A:$C,3,0)),"")</f>
        <v/>
      </c>
      <c r="I2033" s="1" t="str">
        <f>IFERROR(IF(A2033="","",E2033*#REF!),"")</f>
        <v/>
      </c>
    </row>
    <row r="2034" spans="2:9" x14ac:dyDescent="0.3">
      <c r="B2034" t="str">
        <f>IFERROR(IF(A2034="","",VLOOKUP(A2034,CadProd!$A:$B,2,0)),"")</f>
        <v/>
      </c>
      <c r="C2034" t="str">
        <f>IFERROR(IF(A2034="","",VLOOKUP(A2034,CadProd!$A:$C,3,0)),"")</f>
        <v/>
      </c>
      <c r="I2034" s="1" t="str">
        <f>IFERROR(IF(A2034="","",E2034*#REF!),"")</f>
        <v/>
      </c>
    </row>
    <row r="2035" spans="2:9" x14ac:dyDescent="0.3">
      <c r="B2035" t="str">
        <f>IFERROR(IF(A2035="","",VLOOKUP(A2035,CadProd!$A:$B,2,0)),"")</f>
        <v/>
      </c>
      <c r="C2035" t="str">
        <f>IFERROR(IF(A2035="","",VLOOKUP(A2035,CadProd!$A:$C,3,0)),"")</f>
        <v/>
      </c>
      <c r="I2035" s="1" t="str">
        <f>IFERROR(IF(A2035="","",E2035*#REF!),"")</f>
        <v/>
      </c>
    </row>
    <row r="2036" spans="2:9" x14ac:dyDescent="0.3">
      <c r="B2036" t="str">
        <f>IFERROR(IF(A2036="","",VLOOKUP(A2036,CadProd!$A:$B,2,0)),"")</f>
        <v/>
      </c>
      <c r="C2036" t="str">
        <f>IFERROR(IF(A2036="","",VLOOKUP(A2036,CadProd!$A:$C,3,0)),"")</f>
        <v/>
      </c>
      <c r="I2036" s="1" t="str">
        <f>IFERROR(IF(A2036="","",E2036*#REF!),"")</f>
        <v/>
      </c>
    </row>
    <row r="2037" spans="2:9" x14ac:dyDescent="0.3">
      <c r="B2037" t="str">
        <f>IFERROR(IF(A2037="","",VLOOKUP(A2037,CadProd!$A:$B,2,0)),"")</f>
        <v/>
      </c>
      <c r="C2037" t="str">
        <f>IFERROR(IF(A2037="","",VLOOKUP(A2037,CadProd!$A:$C,3,0)),"")</f>
        <v/>
      </c>
      <c r="I2037" s="1" t="str">
        <f>IFERROR(IF(A2037="","",E2037*#REF!),"")</f>
        <v/>
      </c>
    </row>
    <row r="2038" spans="2:9" x14ac:dyDescent="0.3">
      <c r="B2038" t="str">
        <f>IFERROR(IF(A2038="","",VLOOKUP(A2038,CadProd!$A:$B,2,0)),"")</f>
        <v/>
      </c>
      <c r="C2038" t="str">
        <f>IFERROR(IF(A2038="","",VLOOKUP(A2038,CadProd!$A:$C,3,0)),"")</f>
        <v/>
      </c>
      <c r="I2038" s="1" t="str">
        <f>IFERROR(IF(A2038="","",E2038*#REF!),"")</f>
        <v/>
      </c>
    </row>
    <row r="2039" spans="2:9" x14ac:dyDescent="0.3">
      <c r="B2039" t="str">
        <f>IFERROR(IF(A2039="","",VLOOKUP(A2039,CadProd!$A:$B,2,0)),"")</f>
        <v/>
      </c>
      <c r="C2039" t="str">
        <f>IFERROR(IF(A2039="","",VLOOKUP(A2039,CadProd!$A:$C,3,0)),"")</f>
        <v/>
      </c>
      <c r="I2039" s="1" t="str">
        <f>IFERROR(IF(A2039="","",E2039*#REF!),"")</f>
        <v/>
      </c>
    </row>
    <row r="2040" spans="2:9" x14ac:dyDescent="0.3">
      <c r="B2040" t="str">
        <f>IFERROR(IF(A2040="","",VLOOKUP(A2040,CadProd!$A:$B,2,0)),"")</f>
        <v/>
      </c>
      <c r="C2040" t="str">
        <f>IFERROR(IF(A2040="","",VLOOKUP(A2040,CadProd!$A:$C,3,0)),"")</f>
        <v/>
      </c>
      <c r="I2040" s="1" t="str">
        <f>IFERROR(IF(A2040="","",E2040*#REF!),"")</f>
        <v/>
      </c>
    </row>
    <row r="2041" spans="2:9" x14ac:dyDescent="0.3">
      <c r="B2041" t="str">
        <f>IFERROR(IF(A2041="","",VLOOKUP(A2041,CadProd!$A:$B,2,0)),"")</f>
        <v/>
      </c>
      <c r="C2041" t="str">
        <f>IFERROR(IF(A2041="","",VLOOKUP(A2041,CadProd!$A:$C,3,0)),"")</f>
        <v/>
      </c>
      <c r="I2041" s="1" t="str">
        <f>IFERROR(IF(A2041="","",E2041*#REF!),"")</f>
        <v/>
      </c>
    </row>
    <row r="2042" spans="2:9" x14ac:dyDescent="0.3">
      <c r="B2042" t="str">
        <f>IFERROR(IF(A2042="","",VLOOKUP(A2042,CadProd!$A:$B,2,0)),"")</f>
        <v/>
      </c>
      <c r="C2042" t="str">
        <f>IFERROR(IF(A2042="","",VLOOKUP(A2042,CadProd!$A:$C,3,0)),"")</f>
        <v/>
      </c>
      <c r="I2042" s="1" t="str">
        <f>IFERROR(IF(A2042="","",E2042*#REF!),"")</f>
        <v/>
      </c>
    </row>
    <row r="2043" spans="2:9" x14ac:dyDescent="0.3">
      <c r="B2043" t="str">
        <f>IFERROR(IF(A2043="","",VLOOKUP(A2043,CadProd!$A:$B,2,0)),"")</f>
        <v/>
      </c>
      <c r="C2043" t="str">
        <f>IFERROR(IF(A2043="","",VLOOKUP(A2043,CadProd!$A:$C,3,0)),"")</f>
        <v/>
      </c>
      <c r="I2043" s="1" t="str">
        <f>IFERROR(IF(A2043="","",E2043*#REF!),"")</f>
        <v/>
      </c>
    </row>
    <row r="2044" spans="2:9" x14ac:dyDescent="0.3">
      <c r="B2044" t="str">
        <f>IFERROR(IF(A2044="","",VLOOKUP(A2044,CadProd!$A:$B,2,0)),"")</f>
        <v/>
      </c>
      <c r="C2044" t="str">
        <f>IFERROR(IF(A2044="","",VLOOKUP(A2044,CadProd!$A:$C,3,0)),"")</f>
        <v/>
      </c>
      <c r="I2044" s="1" t="str">
        <f>IFERROR(IF(A2044="","",E2044*#REF!),"")</f>
        <v/>
      </c>
    </row>
    <row r="2045" spans="2:9" x14ac:dyDescent="0.3">
      <c r="B2045" t="str">
        <f>IFERROR(IF(A2045="","",VLOOKUP(A2045,CadProd!$A:$B,2,0)),"")</f>
        <v/>
      </c>
      <c r="C2045" t="str">
        <f>IFERROR(IF(A2045="","",VLOOKUP(A2045,CadProd!$A:$C,3,0)),"")</f>
        <v/>
      </c>
      <c r="I2045" s="1" t="str">
        <f>IFERROR(IF(A2045="","",E2045*#REF!),"")</f>
        <v/>
      </c>
    </row>
    <row r="2046" spans="2:9" x14ac:dyDescent="0.3">
      <c r="B2046" t="str">
        <f>IFERROR(IF(A2046="","",VLOOKUP(A2046,CadProd!$A:$B,2,0)),"")</f>
        <v/>
      </c>
      <c r="C2046" t="str">
        <f>IFERROR(IF(A2046="","",VLOOKUP(A2046,CadProd!$A:$C,3,0)),"")</f>
        <v/>
      </c>
      <c r="I2046" s="1" t="str">
        <f>IFERROR(IF(A2046="","",E2046*#REF!),"")</f>
        <v/>
      </c>
    </row>
    <row r="2047" spans="2:9" x14ac:dyDescent="0.3">
      <c r="B2047" t="str">
        <f>IFERROR(IF(A2047="","",VLOOKUP(A2047,CadProd!$A:$B,2,0)),"")</f>
        <v/>
      </c>
      <c r="C2047" t="str">
        <f>IFERROR(IF(A2047="","",VLOOKUP(A2047,CadProd!$A:$C,3,0)),"")</f>
        <v/>
      </c>
      <c r="I2047" s="1" t="str">
        <f>IFERROR(IF(A2047="","",E2047*#REF!),"")</f>
        <v/>
      </c>
    </row>
    <row r="2048" spans="2:9" x14ac:dyDescent="0.3">
      <c r="B2048" t="str">
        <f>IFERROR(IF(A2048="","",VLOOKUP(A2048,CadProd!$A:$B,2,0)),"")</f>
        <v/>
      </c>
      <c r="C2048" t="str">
        <f>IFERROR(IF(A2048="","",VLOOKUP(A2048,CadProd!$A:$C,3,0)),"")</f>
        <v/>
      </c>
      <c r="I2048" s="1" t="str">
        <f>IFERROR(IF(A2048="","",E2048*#REF!),"")</f>
        <v/>
      </c>
    </row>
    <row r="2049" spans="2:9" x14ac:dyDescent="0.3">
      <c r="B2049" t="str">
        <f>IFERROR(IF(A2049="","",VLOOKUP(A2049,CadProd!$A:$B,2,0)),"")</f>
        <v/>
      </c>
      <c r="C2049" t="str">
        <f>IFERROR(IF(A2049="","",VLOOKUP(A2049,CadProd!$A:$C,3,0)),"")</f>
        <v/>
      </c>
      <c r="I2049" s="1" t="str">
        <f>IFERROR(IF(A2049="","",E2049*#REF!),"")</f>
        <v/>
      </c>
    </row>
    <row r="2050" spans="2:9" x14ac:dyDescent="0.3">
      <c r="B2050" t="str">
        <f>IFERROR(IF(A2050="","",VLOOKUP(A2050,CadProd!$A:$B,2,0)),"")</f>
        <v/>
      </c>
      <c r="C2050" t="str">
        <f>IFERROR(IF(A2050="","",VLOOKUP(A2050,CadProd!$A:$C,3,0)),"")</f>
        <v/>
      </c>
      <c r="I2050" s="1" t="str">
        <f>IFERROR(IF(A2050="","",E2050*#REF!),"")</f>
        <v/>
      </c>
    </row>
    <row r="2051" spans="2:9" x14ac:dyDescent="0.3">
      <c r="B2051" t="str">
        <f>IFERROR(IF(A2051="","",VLOOKUP(A2051,CadProd!$A:$B,2,0)),"")</f>
        <v/>
      </c>
      <c r="C2051" t="str">
        <f>IFERROR(IF(A2051="","",VLOOKUP(A2051,CadProd!$A:$C,3,0)),"")</f>
        <v/>
      </c>
      <c r="I2051" s="1" t="str">
        <f>IFERROR(IF(A2051="","",E2051*#REF!),"")</f>
        <v/>
      </c>
    </row>
    <row r="2052" spans="2:9" x14ac:dyDescent="0.3">
      <c r="B2052" t="str">
        <f>IFERROR(IF(A2052="","",VLOOKUP(A2052,CadProd!$A:$B,2,0)),"")</f>
        <v/>
      </c>
      <c r="C2052" t="str">
        <f>IFERROR(IF(A2052="","",VLOOKUP(A2052,CadProd!$A:$C,3,0)),"")</f>
        <v/>
      </c>
      <c r="I2052" s="1" t="str">
        <f>IFERROR(IF(A2052="","",E2052*#REF!),"")</f>
        <v/>
      </c>
    </row>
    <row r="2053" spans="2:9" x14ac:dyDescent="0.3">
      <c r="B2053" t="str">
        <f>IFERROR(IF(A2053="","",VLOOKUP(A2053,CadProd!$A:$B,2,0)),"")</f>
        <v/>
      </c>
      <c r="C2053" t="str">
        <f>IFERROR(IF(A2053="","",VLOOKUP(A2053,CadProd!$A:$C,3,0)),"")</f>
        <v/>
      </c>
      <c r="I2053" s="1" t="str">
        <f>IFERROR(IF(A2053="","",E2053*#REF!),"")</f>
        <v/>
      </c>
    </row>
    <row r="2054" spans="2:9" x14ac:dyDescent="0.3">
      <c r="B2054" t="str">
        <f>IFERROR(IF(A2054="","",VLOOKUP(A2054,CadProd!$A:$B,2,0)),"")</f>
        <v/>
      </c>
      <c r="C2054" t="str">
        <f>IFERROR(IF(A2054="","",VLOOKUP(A2054,CadProd!$A:$C,3,0)),"")</f>
        <v/>
      </c>
      <c r="I2054" s="1" t="str">
        <f>IFERROR(IF(A2054="","",E2054*#REF!),"")</f>
        <v/>
      </c>
    </row>
    <row r="2055" spans="2:9" x14ac:dyDescent="0.3">
      <c r="B2055" t="str">
        <f>IFERROR(IF(A2055="","",VLOOKUP(A2055,CadProd!$A:$B,2,0)),"")</f>
        <v/>
      </c>
      <c r="C2055" t="str">
        <f>IFERROR(IF(A2055="","",VLOOKUP(A2055,CadProd!$A:$C,3,0)),"")</f>
        <v/>
      </c>
      <c r="I2055" s="1" t="str">
        <f>IFERROR(IF(A2055="","",E2055*#REF!),"")</f>
        <v/>
      </c>
    </row>
    <row r="2056" spans="2:9" x14ac:dyDescent="0.3">
      <c r="B2056" t="str">
        <f>IFERROR(IF(A2056="","",VLOOKUP(A2056,CadProd!$A:$B,2,0)),"")</f>
        <v/>
      </c>
      <c r="C2056" t="str">
        <f>IFERROR(IF(A2056="","",VLOOKUP(A2056,CadProd!$A:$C,3,0)),"")</f>
        <v/>
      </c>
      <c r="I2056" s="1" t="str">
        <f>IFERROR(IF(A2056="","",E2056*#REF!),"")</f>
        <v/>
      </c>
    </row>
    <row r="2057" spans="2:9" x14ac:dyDescent="0.3">
      <c r="B2057" t="str">
        <f>IFERROR(IF(A2057="","",VLOOKUP(A2057,CadProd!$A:$B,2,0)),"")</f>
        <v/>
      </c>
      <c r="C2057" t="str">
        <f>IFERROR(IF(A2057="","",VLOOKUP(A2057,CadProd!$A:$C,3,0)),"")</f>
        <v/>
      </c>
      <c r="I2057" s="1" t="str">
        <f>IFERROR(IF(A2057="","",E2057*#REF!),"")</f>
        <v/>
      </c>
    </row>
    <row r="2058" spans="2:9" x14ac:dyDescent="0.3">
      <c r="B2058" t="str">
        <f>IFERROR(IF(A2058="","",VLOOKUP(A2058,CadProd!$A:$B,2,0)),"")</f>
        <v/>
      </c>
      <c r="C2058" t="str">
        <f>IFERROR(IF(A2058="","",VLOOKUP(A2058,CadProd!$A:$C,3,0)),"")</f>
        <v/>
      </c>
      <c r="I2058" s="1" t="str">
        <f>IFERROR(IF(A2058="","",E2058*#REF!),"")</f>
        <v/>
      </c>
    </row>
    <row r="2059" spans="2:9" x14ac:dyDescent="0.3">
      <c r="B2059" t="str">
        <f>IFERROR(IF(A2059="","",VLOOKUP(A2059,CadProd!$A:$B,2,0)),"")</f>
        <v/>
      </c>
      <c r="C2059" t="str">
        <f>IFERROR(IF(A2059="","",VLOOKUP(A2059,CadProd!$A:$C,3,0)),"")</f>
        <v/>
      </c>
      <c r="I2059" s="1" t="str">
        <f>IFERROR(IF(A2059="","",E2059*#REF!),"")</f>
        <v/>
      </c>
    </row>
    <row r="2060" spans="2:9" x14ac:dyDescent="0.3">
      <c r="B2060" t="str">
        <f>IFERROR(IF(A2060="","",VLOOKUP(A2060,CadProd!$A:$B,2,0)),"")</f>
        <v/>
      </c>
      <c r="C2060" t="str">
        <f>IFERROR(IF(A2060="","",VLOOKUP(A2060,CadProd!$A:$C,3,0)),"")</f>
        <v/>
      </c>
      <c r="I2060" s="1" t="str">
        <f>IFERROR(IF(A2060="","",E2060*#REF!),"")</f>
        <v/>
      </c>
    </row>
    <row r="2061" spans="2:9" x14ac:dyDescent="0.3">
      <c r="B2061" t="str">
        <f>IFERROR(IF(A2061="","",VLOOKUP(A2061,CadProd!$A:$B,2,0)),"")</f>
        <v/>
      </c>
      <c r="C2061" t="str">
        <f>IFERROR(IF(A2061="","",VLOOKUP(A2061,CadProd!$A:$C,3,0)),"")</f>
        <v/>
      </c>
      <c r="I2061" s="1" t="str">
        <f>IFERROR(IF(A2061="","",E2061*#REF!),"")</f>
        <v/>
      </c>
    </row>
    <row r="2062" spans="2:9" x14ac:dyDescent="0.3">
      <c r="B2062" t="str">
        <f>IFERROR(IF(A2062="","",VLOOKUP(A2062,CadProd!$A:$B,2,0)),"")</f>
        <v/>
      </c>
      <c r="C2062" t="str">
        <f>IFERROR(IF(A2062="","",VLOOKUP(A2062,CadProd!$A:$C,3,0)),"")</f>
        <v/>
      </c>
      <c r="I2062" s="1" t="str">
        <f>IFERROR(IF(A2062="","",E2062*#REF!),"")</f>
        <v/>
      </c>
    </row>
    <row r="2063" spans="2:9" x14ac:dyDescent="0.3">
      <c r="B2063" t="str">
        <f>IFERROR(IF(A2063="","",VLOOKUP(A2063,CadProd!$A:$B,2,0)),"")</f>
        <v/>
      </c>
      <c r="C2063" t="str">
        <f>IFERROR(IF(A2063="","",VLOOKUP(A2063,CadProd!$A:$C,3,0)),"")</f>
        <v/>
      </c>
      <c r="I2063" s="1" t="str">
        <f>IFERROR(IF(A2063="","",E2063*#REF!),"")</f>
        <v/>
      </c>
    </row>
    <row r="2064" spans="2:9" x14ac:dyDescent="0.3">
      <c r="B2064" t="str">
        <f>IFERROR(IF(A2064="","",VLOOKUP(A2064,CadProd!$A:$B,2,0)),"")</f>
        <v/>
      </c>
      <c r="C2064" t="str">
        <f>IFERROR(IF(A2064="","",VLOOKUP(A2064,CadProd!$A:$C,3,0)),"")</f>
        <v/>
      </c>
      <c r="I2064" s="1" t="str">
        <f>IFERROR(IF(A2064="","",E2064*#REF!),"")</f>
        <v/>
      </c>
    </row>
    <row r="2065" spans="2:9" x14ac:dyDescent="0.3">
      <c r="B2065" t="str">
        <f>IFERROR(IF(A2065="","",VLOOKUP(A2065,CadProd!$A:$B,2,0)),"")</f>
        <v/>
      </c>
      <c r="C2065" t="str">
        <f>IFERROR(IF(A2065="","",VLOOKUP(A2065,CadProd!$A:$C,3,0)),"")</f>
        <v/>
      </c>
      <c r="I2065" s="1" t="str">
        <f>IFERROR(IF(A2065="","",E2065*#REF!),"")</f>
        <v/>
      </c>
    </row>
    <row r="2066" spans="2:9" x14ac:dyDescent="0.3">
      <c r="B2066" t="str">
        <f>IFERROR(IF(A2066="","",VLOOKUP(A2066,CadProd!$A:$B,2,0)),"")</f>
        <v/>
      </c>
      <c r="C2066" t="str">
        <f>IFERROR(IF(A2066="","",VLOOKUP(A2066,CadProd!$A:$C,3,0)),"")</f>
        <v/>
      </c>
      <c r="I2066" s="1" t="str">
        <f>IFERROR(IF(A2066="","",E2066*#REF!),"")</f>
        <v/>
      </c>
    </row>
    <row r="2067" spans="2:9" x14ac:dyDescent="0.3">
      <c r="B2067" t="str">
        <f>IFERROR(IF(A2067="","",VLOOKUP(A2067,CadProd!$A:$B,2,0)),"")</f>
        <v/>
      </c>
      <c r="C2067" t="str">
        <f>IFERROR(IF(A2067="","",VLOOKUP(A2067,CadProd!$A:$C,3,0)),"")</f>
        <v/>
      </c>
      <c r="I2067" s="1" t="str">
        <f>IFERROR(IF(A2067="","",E2067*#REF!),"")</f>
        <v/>
      </c>
    </row>
    <row r="2068" spans="2:9" x14ac:dyDescent="0.3">
      <c r="B2068" t="str">
        <f>IFERROR(IF(A2068="","",VLOOKUP(A2068,CadProd!$A:$B,2,0)),"")</f>
        <v/>
      </c>
      <c r="C2068" t="str">
        <f>IFERROR(IF(A2068="","",VLOOKUP(A2068,CadProd!$A:$C,3,0)),"")</f>
        <v/>
      </c>
      <c r="I2068" s="1" t="str">
        <f>IFERROR(IF(A2068="","",E2068*#REF!),"")</f>
        <v/>
      </c>
    </row>
    <row r="2069" spans="2:9" x14ac:dyDescent="0.3">
      <c r="B2069" t="str">
        <f>IFERROR(IF(A2069="","",VLOOKUP(A2069,CadProd!$A:$B,2,0)),"")</f>
        <v/>
      </c>
      <c r="C2069" t="str">
        <f>IFERROR(IF(A2069="","",VLOOKUP(A2069,CadProd!$A:$C,3,0)),"")</f>
        <v/>
      </c>
      <c r="I2069" s="1" t="str">
        <f>IFERROR(IF(A2069="","",E2069*#REF!),"")</f>
        <v/>
      </c>
    </row>
    <row r="2070" spans="2:9" x14ac:dyDescent="0.3">
      <c r="B2070" t="str">
        <f>IFERROR(IF(A2070="","",VLOOKUP(A2070,CadProd!$A:$B,2,0)),"")</f>
        <v/>
      </c>
      <c r="C2070" t="str">
        <f>IFERROR(IF(A2070="","",VLOOKUP(A2070,CadProd!$A:$C,3,0)),"")</f>
        <v/>
      </c>
      <c r="I2070" s="1" t="str">
        <f>IFERROR(IF(A2070="","",E2070*#REF!),"")</f>
        <v/>
      </c>
    </row>
    <row r="2071" spans="2:9" x14ac:dyDescent="0.3">
      <c r="B2071" t="str">
        <f>IFERROR(IF(A2071="","",VLOOKUP(A2071,CadProd!$A:$B,2,0)),"")</f>
        <v/>
      </c>
      <c r="C2071" t="str">
        <f>IFERROR(IF(A2071="","",VLOOKUP(A2071,CadProd!$A:$C,3,0)),"")</f>
        <v/>
      </c>
      <c r="I2071" s="1" t="str">
        <f>IFERROR(IF(A2071="","",E2071*#REF!),"")</f>
        <v/>
      </c>
    </row>
    <row r="2072" spans="2:9" x14ac:dyDescent="0.3">
      <c r="B2072" t="str">
        <f>IFERROR(IF(A2072="","",VLOOKUP(A2072,CadProd!$A:$B,2,0)),"")</f>
        <v/>
      </c>
      <c r="C2072" t="str">
        <f>IFERROR(IF(A2072="","",VLOOKUP(A2072,CadProd!$A:$C,3,0)),"")</f>
        <v/>
      </c>
      <c r="I2072" s="1" t="str">
        <f>IFERROR(IF(A2072="","",E2072*#REF!),"")</f>
        <v/>
      </c>
    </row>
    <row r="2073" spans="2:9" x14ac:dyDescent="0.3">
      <c r="B2073" t="str">
        <f>IFERROR(IF(A2073="","",VLOOKUP(A2073,CadProd!$A:$B,2,0)),"")</f>
        <v/>
      </c>
      <c r="C2073" t="str">
        <f>IFERROR(IF(A2073="","",VLOOKUP(A2073,CadProd!$A:$C,3,0)),"")</f>
        <v/>
      </c>
      <c r="I2073" s="1" t="str">
        <f>IFERROR(IF(A2073="","",E2073*#REF!),"")</f>
        <v/>
      </c>
    </row>
    <row r="2074" spans="2:9" x14ac:dyDescent="0.3">
      <c r="B2074" t="str">
        <f>IFERROR(IF(A2074="","",VLOOKUP(A2074,CadProd!$A:$B,2,0)),"")</f>
        <v/>
      </c>
      <c r="C2074" t="str">
        <f>IFERROR(IF(A2074="","",VLOOKUP(A2074,CadProd!$A:$C,3,0)),"")</f>
        <v/>
      </c>
      <c r="I2074" s="1" t="str">
        <f>IFERROR(IF(A2074="","",E2074*#REF!),"")</f>
        <v/>
      </c>
    </row>
    <row r="2075" spans="2:9" x14ac:dyDescent="0.3">
      <c r="B2075" t="str">
        <f>IFERROR(IF(A2075="","",VLOOKUP(A2075,CadProd!$A:$B,2,0)),"")</f>
        <v/>
      </c>
      <c r="C2075" t="str">
        <f>IFERROR(IF(A2075="","",VLOOKUP(A2075,CadProd!$A:$C,3,0)),"")</f>
        <v/>
      </c>
      <c r="I2075" s="1" t="str">
        <f>IFERROR(IF(A2075="","",E2075*#REF!),"")</f>
        <v/>
      </c>
    </row>
    <row r="2076" spans="2:9" x14ac:dyDescent="0.3">
      <c r="B2076" t="str">
        <f>IFERROR(IF(A2076="","",VLOOKUP(A2076,CadProd!$A:$B,2,0)),"")</f>
        <v/>
      </c>
      <c r="C2076" t="str">
        <f>IFERROR(IF(A2076="","",VLOOKUP(A2076,CadProd!$A:$C,3,0)),"")</f>
        <v/>
      </c>
      <c r="I2076" s="1" t="str">
        <f>IFERROR(IF(A2076="","",E2076*#REF!),"")</f>
        <v/>
      </c>
    </row>
    <row r="2077" spans="2:9" x14ac:dyDescent="0.3">
      <c r="B2077" t="str">
        <f>IFERROR(IF(A2077="","",VLOOKUP(A2077,CadProd!$A:$B,2,0)),"")</f>
        <v/>
      </c>
      <c r="C2077" t="str">
        <f>IFERROR(IF(A2077="","",VLOOKUP(A2077,CadProd!$A:$C,3,0)),"")</f>
        <v/>
      </c>
      <c r="I2077" s="1" t="str">
        <f>IFERROR(IF(A2077="","",E2077*#REF!),"")</f>
        <v/>
      </c>
    </row>
    <row r="2078" spans="2:9" x14ac:dyDescent="0.3">
      <c r="B2078" t="str">
        <f>IFERROR(IF(A2078="","",VLOOKUP(A2078,CadProd!$A:$B,2,0)),"")</f>
        <v/>
      </c>
      <c r="C2078" t="str">
        <f>IFERROR(IF(A2078="","",VLOOKUP(A2078,CadProd!$A:$C,3,0)),"")</f>
        <v/>
      </c>
      <c r="I2078" s="1" t="str">
        <f>IFERROR(IF(A2078="","",E2078*#REF!),"")</f>
        <v/>
      </c>
    </row>
    <row r="2079" spans="2:9" x14ac:dyDescent="0.3">
      <c r="B2079" t="str">
        <f>IFERROR(IF(A2079="","",VLOOKUP(A2079,CadProd!$A:$B,2,0)),"")</f>
        <v/>
      </c>
      <c r="C2079" t="str">
        <f>IFERROR(IF(A2079="","",VLOOKUP(A2079,CadProd!$A:$C,3,0)),"")</f>
        <v/>
      </c>
      <c r="I2079" s="1" t="str">
        <f>IFERROR(IF(A2079="","",E2079*#REF!),"")</f>
        <v/>
      </c>
    </row>
    <row r="2080" spans="2:9" x14ac:dyDescent="0.3">
      <c r="B2080" t="str">
        <f>IFERROR(IF(A2080="","",VLOOKUP(A2080,CadProd!$A:$B,2,0)),"")</f>
        <v/>
      </c>
      <c r="C2080" t="str">
        <f>IFERROR(IF(A2080="","",VLOOKUP(A2080,CadProd!$A:$C,3,0)),"")</f>
        <v/>
      </c>
      <c r="I2080" s="1" t="str">
        <f>IFERROR(IF(A2080="","",E2080*#REF!),"")</f>
        <v/>
      </c>
    </row>
    <row r="2081" spans="2:9" x14ac:dyDescent="0.3">
      <c r="B2081" t="str">
        <f>IFERROR(IF(A2081="","",VLOOKUP(A2081,CadProd!$A:$B,2,0)),"")</f>
        <v/>
      </c>
      <c r="C2081" t="str">
        <f>IFERROR(IF(A2081="","",VLOOKUP(A2081,CadProd!$A:$C,3,0)),"")</f>
        <v/>
      </c>
      <c r="I2081" s="1" t="str">
        <f>IFERROR(IF(A2081="","",E2081*#REF!),"")</f>
        <v/>
      </c>
    </row>
    <row r="2082" spans="2:9" x14ac:dyDescent="0.3">
      <c r="B2082" t="str">
        <f>IFERROR(IF(A2082="","",VLOOKUP(A2082,CadProd!$A:$B,2,0)),"")</f>
        <v/>
      </c>
      <c r="C2082" t="str">
        <f>IFERROR(IF(A2082="","",VLOOKUP(A2082,CadProd!$A:$C,3,0)),"")</f>
        <v/>
      </c>
      <c r="I2082" s="1" t="str">
        <f>IFERROR(IF(A2082="","",E2082*#REF!),"")</f>
        <v/>
      </c>
    </row>
    <row r="2083" spans="2:9" x14ac:dyDescent="0.3">
      <c r="B2083" t="str">
        <f>IFERROR(IF(A2083="","",VLOOKUP(A2083,CadProd!$A:$B,2,0)),"")</f>
        <v/>
      </c>
      <c r="C2083" t="str">
        <f>IFERROR(IF(A2083="","",VLOOKUP(A2083,CadProd!$A:$C,3,0)),"")</f>
        <v/>
      </c>
      <c r="I2083" s="1" t="str">
        <f>IFERROR(IF(A2083="","",E2083*#REF!),"")</f>
        <v/>
      </c>
    </row>
    <row r="2084" spans="2:9" x14ac:dyDescent="0.3">
      <c r="B2084" t="str">
        <f>IFERROR(IF(A2084="","",VLOOKUP(A2084,CadProd!$A:$B,2,0)),"")</f>
        <v/>
      </c>
      <c r="C2084" t="str">
        <f>IFERROR(IF(A2084="","",VLOOKUP(A2084,CadProd!$A:$C,3,0)),"")</f>
        <v/>
      </c>
      <c r="I2084" s="1" t="str">
        <f>IFERROR(IF(A2084="","",E2084*#REF!),"")</f>
        <v/>
      </c>
    </row>
    <row r="2085" spans="2:9" x14ac:dyDescent="0.3">
      <c r="B2085" t="str">
        <f>IFERROR(IF(A2085="","",VLOOKUP(A2085,CadProd!$A:$B,2,0)),"")</f>
        <v/>
      </c>
      <c r="C2085" t="str">
        <f>IFERROR(IF(A2085="","",VLOOKUP(A2085,CadProd!$A:$C,3,0)),"")</f>
        <v/>
      </c>
      <c r="I2085" s="1" t="str">
        <f>IFERROR(IF(A2085="","",E2085*#REF!),"")</f>
        <v/>
      </c>
    </row>
    <row r="2086" spans="2:9" x14ac:dyDescent="0.3">
      <c r="B2086" t="str">
        <f>IFERROR(IF(A2086="","",VLOOKUP(A2086,CadProd!$A:$B,2,0)),"")</f>
        <v/>
      </c>
      <c r="C2086" t="str">
        <f>IFERROR(IF(A2086="","",VLOOKUP(A2086,CadProd!$A:$C,3,0)),"")</f>
        <v/>
      </c>
      <c r="I2086" s="1" t="str">
        <f>IFERROR(IF(A2086="","",E2086*#REF!),"")</f>
        <v/>
      </c>
    </row>
    <row r="2087" spans="2:9" x14ac:dyDescent="0.3">
      <c r="B2087" t="str">
        <f>IFERROR(IF(A2087="","",VLOOKUP(A2087,CadProd!$A:$B,2,0)),"")</f>
        <v/>
      </c>
      <c r="C2087" t="str">
        <f>IFERROR(IF(A2087="","",VLOOKUP(A2087,CadProd!$A:$C,3,0)),"")</f>
        <v/>
      </c>
      <c r="I2087" s="1" t="str">
        <f>IFERROR(IF(A2087="","",E2087*#REF!),"")</f>
        <v/>
      </c>
    </row>
    <row r="2088" spans="2:9" x14ac:dyDescent="0.3">
      <c r="B2088" t="str">
        <f>IFERROR(IF(A2088="","",VLOOKUP(A2088,CadProd!$A:$B,2,0)),"")</f>
        <v/>
      </c>
      <c r="C2088" t="str">
        <f>IFERROR(IF(A2088="","",VLOOKUP(A2088,CadProd!$A:$C,3,0)),"")</f>
        <v/>
      </c>
      <c r="I2088" s="1" t="str">
        <f>IFERROR(IF(A2088="","",E2088*#REF!),"")</f>
        <v/>
      </c>
    </row>
    <row r="2089" spans="2:9" x14ac:dyDescent="0.3">
      <c r="B2089" t="str">
        <f>IFERROR(IF(A2089="","",VLOOKUP(A2089,CadProd!$A:$B,2,0)),"")</f>
        <v/>
      </c>
      <c r="C2089" t="str">
        <f>IFERROR(IF(A2089="","",VLOOKUP(A2089,CadProd!$A:$C,3,0)),"")</f>
        <v/>
      </c>
      <c r="I2089" s="1" t="str">
        <f>IFERROR(IF(A2089="","",E2089*#REF!),"")</f>
        <v/>
      </c>
    </row>
    <row r="2090" spans="2:9" x14ac:dyDescent="0.3">
      <c r="B2090" t="str">
        <f>IFERROR(IF(A2090="","",VLOOKUP(A2090,CadProd!$A:$B,2,0)),"")</f>
        <v/>
      </c>
      <c r="C2090" t="str">
        <f>IFERROR(IF(A2090="","",VLOOKUP(A2090,CadProd!$A:$C,3,0)),"")</f>
        <v/>
      </c>
      <c r="I2090" s="1" t="str">
        <f>IFERROR(IF(A2090="","",E2090*#REF!),"")</f>
        <v/>
      </c>
    </row>
    <row r="2091" spans="2:9" x14ac:dyDescent="0.3">
      <c r="B2091" t="str">
        <f>IFERROR(IF(A2091="","",VLOOKUP(A2091,CadProd!$A:$B,2,0)),"")</f>
        <v/>
      </c>
      <c r="C2091" t="str">
        <f>IFERROR(IF(A2091="","",VLOOKUP(A2091,CadProd!$A:$C,3,0)),"")</f>
        <v/>
      </c>
      <c r="I2091" s="1" t="str">
        <f>IFERROR(IF(A2091="","",E2091*#REF!),"")</f>
        <v/>
      </c>
    </row>
    <row r="2092" spans="2:9" x14ac:dyDescent="0.3">
      <c r="B2092" t="str">
        <f>IFERROR(IF(A2092="","",VLOOKUP(A2092,CadProd!$A:$B,2,0)),"")</f>
        <v/>
      </c>
      <c r="C2092" t="str">
        <f>IFERROR(IF(A2092="","",VLOOKUP(A2092,CadProd!$A:$C,3,0)),"")</f>
        <v/>
      </c>
      <c r="I2092" s="1" t="str">
        <f>IFERROR(IF(A2092="","",E2092*#REF!),"")</f>
        <v/>
      </c>
    </row>
    <row r="2093" spans="2:9" x14ac:dyDescent="0.3">
      <c r="B2093" t="str">
        <f>IFERROR(IF(A2093="","",VLOOKUP(A2093,CadProd!$A:$B,2,0)),"")</f>
        <v/>
      </c>
      <c r="C2093" t="str">
        <f>IFERROR(IF(A2093="","",VLOOKUP(A2093,CadProd!$A:$C,3,0)),"")</f>
        <v/>
      </c>
      <c r="I2093" s="1" t="str">
        <f>IFERROR(IF(A2093="","",E2093*#REF!),"")</f>
        <v/>
      </c>
    </row>
    <row r="2094" spans="2:9" x14ac:dyDescent="0.3">
      <c r="B2094" t="str">
        <f>IFERROR(IF(A2094="","",VLOOKUP(A2094,CadProd!$A:$B,2,0)),"")</f>
        <v/>
      </c>
      <c r="C2094" t="str">
        <f>IFERROR(IF(A2094="","",VLOOKUP(A2094,CadProd!$A:$C,3,0)),"")</f>
        <v/>
      </c>
      <c r="I2094" s="1" t="str">
        <f>IFERROR(IF(A2094="","",E2094*#REF!),"")</f>
        <v/>
      </c>
    </row>
    <row r="2095" spans="2:9" x14ac:dyDescent="0.3">
      <c r="B2095" t="str">
        <f>IFERROR(IF(A2095="","",VLOOKUP(A2095,CadProd!$A:$B,2,0)),"")</f>
        <v/>
      </c>
      <c r="C2095" t="str">
        <f>IFERROR(IF(A2095="","",VLOOKUP(A2095,CadProd!$A:$C,3,0)),"")</f>
        <v/>
      </c>
      <c r="I2095" s="1" t="str">
        <f>IFERROR(IF(A2095="","",E2095*#REF!),"")</f>
        <v/>
      </c>
    </row>
    <row r="2096" spans="2:9" x14ac:dyDescent="0.3">
      <c r="B2096" t="str">
        <f>IFERROR(IF(A2096="","",VLOOKUP(A2096,CadProd!$A:$B,2,0)),"")</f>
        <v/>
      </c>
      <c r="C2096" t="str">
        <f>IFERROR(IF(A2096="","",VLOOKUP(A2096,CadProd!$A:$C,3,0)),"")</f>
        <v/>
      </c>
      <c r="I2096" s="1" t="str">
        <f>IFERROR(IF(A2096="","",E2096*#REF!),"")</f>
        <v/>
      </c>
    </row>
    <row r="2097" spans="2:9" x14ac:dyDescent="0.3">
      <c r="B2097" t="str">
        <f>IFERROR(IF(A2097="","",VLOOKUP(A2097,CadProd!$A:$B,2,0)),"")</f>
        <v/>
      </c>
      <c r="C2097" t="str">
        <f>IFERROR(IF(A2097="","",VLOOKUP(A2097,CadProd!$A:$C,3,0)),"")</f>
        <v/>
      </c>
      <c r="I2097" s="1" t="str">
        <f>IFERROR(IF(A2097="","",E2097*#REF!),"")</f>
        <v/>
      </c>
    </row>
    <row r="2098" spans="2:9" x14ac:dyDescent="0.3">
      <c r="B2098" t="str">
        <f>IFERROR(IF(A2098="","",VLOOKUP(A2098,CadProd!$A:$B,2,0)),"")</f>
        <v/>
      </c>
      <c r="C2098" t="str">
        <f>IFERROR(IF(A2098="","",VLOOKUP(A2098,CadProd!$A:$C,3,0)),"")</f>
        <v/>
      </c>
      <c r="I2098" s="1" t="str">
        <f>IFERROR(IF(A2098="","",E2098*#REF!),"")</f>
        <v/>
      </c>
    </row>
    <row r="2099" spans="2:9" x14ac:dyDescent="0.3">
      <c r="B2099" t="str">
        <f>IFERROR(IF(A2099="","",VLOOKUP(A2099,CadProd!$A:$B,2,0)),"")</f>
        <v/>
      </c>
      <c r="C2099" t="str">
        <f>IFERROR(IF(A2099="","",VLOOKUP(A2099,CadProd!$A:$C,3,0)),"")</f>
        <v/>
      </c>
      <c r="I2099" s="1" t="str">
        <f>IFERROR(IF(A2099="","",E2099*#REF!),"")</f>
        <v/>
      </c>
    </row>
    <row r="2100" spans="2:9" x14ac:dyDescent="0.3">
      <c r="B2100" t="str">
        <f>IFERROR(IF(A2100="","",VLOOKUP(A2100,CadProd!$A:$B,2,0)),"")</f>
        <v/>
      </c>
      <c r="C2100" t="str">
        <f>IFERROR(IF(A2100="","",VLOOKUP(A2100,CadProd!$A:$C,3,0)),"")</f>
        <v/>
      </c>
      <c r="I2100" s="1" t="str">
        <f>IFERROR(IF(A2100="","",E2100*#REF!),"")</f>
        <v/>
      </c>
    </row>
    <row r="2101" spans="2:9" x14ac:dyDescent="0.3">
      <c r="B2101" t="str">
        <f>IFERROR(IF(A2101="","",VLOOKUP(A2101,CadProd!$A:$B,2,0)),"")</f>
        <v/>
      </c>
      <c r="C2101" t="str">
        <f>IFERROR(IF(A2101="","",VLOOKUP(A2101,CadProd!$A:$C,3,0)),"")</f>
        <v/>
      </c>
      <c r="I2101" s="1" t="str">
        <f>IFERROR(IF(A2101="","",E2101*#REF!),"")</f>
        <v/>
      </c>
    </row>
    <row r="2102" spans="2:9" x14ac:dyDescent="0.3">
      <c r="B2102" t="str">
        <f>IFERROR(IF(A2102="","",VLOOKUP(A2102,CadProd!$A:$B,2,0)),"")</f>
        <v/>
      </c>
      <c r="C2102" t="str">
        <f>IFERROR(IF(A2102="","",VLOOKUP(A2102,CadProd!$A:$C,3,0)),"")</f>
        <v/>
      </c>
      <c r="I2102" s="1" t="str">
        <f>IFERROR(IF(A2102="","",E2102*#REF!),"")</f>
        <v/>
      </c>
    </row>
    <row r="2103" spans="2:9" x14ac:dyDescent="0.3">
      <c r="B2103" t="str">
        <f>IFERROR(IF(A2103="","",VLOOKUP(A2103,CadProd!$A:$B,2,0)),"")</f>
        <v/>
      </c>
      <c r="C2103" t="str">
        <f>IFERROR(IF(A2103="","",VLOOKUP(A2103,CadProd!$A:$C,3,0)),"")</f>
        <v/>
      </c>
      <c r="I2103" s="1" t="str">
        <f>IFERROR(IF(A2103="","",E2103*#REF!),"")</f>
        <v/>
      </c>
    </row>
    <row r="2104" spans="2:9" x14ac:dyDescent="0.3">
      <c r="B2104" t="str">
        <f>IFERROR(IF(A2104="","",VLOOKUP(A2104,CadProd!$A:$B,2,0)),"")</f>
        <v/>
      </c>
      <c r="C2104" t="str">
        <f>IFERROR(IF(A2104="","",VLOOKUP(A2104,CadProd!$A:$C,3,0)),"")</f>
        <v/>
      </c>
      <c r="I2104" s="1" t="str">
        <f>IFERROR(IF(A2104="","",E2104*#REF!),"")</f>
        <v/>
      </c>
    </row>
    <row r="2105" spans="2:9" x14ac:dyDescent="0.3">
      <c r="B2105" t="str">
        <f>IFERROR(IF(A2105="","",VLOOKUP(A2105,CadProd!$A:$B,2,0)),"")</f>
        <v/>
      </c>
      <c r="C2105" t="str">
        <f>IFERROR(IF(A2105="","",VLOOKUP(A2105,CadProd!$A:$C,3,0)),"")</f>
        <v/>
      </c>
      <c r="I2105" s="1" t="str">
        <f>IFERROR(IF(A2105="","",E2105*#REF!),"")</f>
        <v/>
      </c>
    </row>
    <row r="2106" spans="2:9" x14ac:dyDescent="0.3">
      <c r="B2106" t="str">
        <f>IFERROR(IF(A2106="","",VLOOKUP(A2106,CadProd!$A:$B,2,0)),"")</f>
        <v/>
      </c>
      <c r="C2106" t="str">
        <f>IFERROR(IF(A2106="","",VLOOKUP(A2106,CadProd!$A:$C,3,0)),"")</f>
        <v/>
      </c>
      <c r="I2106" s="1" t="str">
        <f>IFERROR(IF(A2106="","",E2106*#REF!),"")</f>
        <v/>
      </c>
    </row>
    <row r="2107" spans="2:9" x14ac:dyDescent="0.3">
      <c r="B2107" t="str">
        <f>IFERROR(IF(A2107="","",VLOOKUP(A2107,CadProd!$A:$B,2,0)),"")</f>
        <v/>
      </c>
      <c r="C2107" t="str">
        <f>IFERROR(IF(A2107="","",VLOOKUP(A2107,CadProd!$A:$C,3,0)),"")</f>
        <v/>
      </c>
      <c r="I2107" s="1" t="str">
        <f>IFERROR(IF(A2107="","",E2107*#REF!),"")</f>
        <v/>
      </c>
    </row>
    <row r="2108" spans="2:9" x14ac:dyDescent="0.3">
      <c r="B2108" t="str">
        <f>IFERROR(IF(A2108="","",VLOOKUP(A2108,CadProd!$A:$B,2,0)),"")</f>
        <v/>
      </c>
      <c r="C2108" t="str">
        <f>IFERROR(IF(A2108="","",VLOOKUP(A2108,CadProd!$A:$C,3,0)),"")</f>
        <v/>
      </c>
      <c r="I2108" s="1" t="str">
        <f>IFERROR(IF(A2108="","",E2108*#REF!),"")</f>
        <v/>
      </c>
    </row>
    <row r="2109" spans="2:9" x14ac:dyDescent="0.3">
      <c r="B2109" t="str">
        <f>IFERROR(IF(A2109="","",VLOOKUP(A2109,CadProd!$A:$B,2,0)),"")</f>
        <v/>
      </c>
      <c r="C2109" t="str">
        <f>IFERROR(IF(A2109="","",VLOOKUP(A2109,CadProd!$A:$C,3,0)),"")</f>
        <v/>
      </c>
      <c r="I2109" s="1" t="str">
        <f>IFERROR(IF(A2109="","",E2109*#REF!),"")</f>
        <v/>
      </c>
    </row>
    <row r="2110" spans="2:9" x14ac:dyDescent="0.3">
      <c r="B2110" t="str">
        <f>IFERROR(IF(A2110="","",VLOOKUP(A2110,CadProd!$A:$B,2,0)),"")</f>
        <v/>
      </c>
      <c r="C2110" t="str">
        <f>IFERROR(IF(A2110="","",VLOOKUP(A2110,CadProd!$A:$C,3,0)),"")</f>
        <v/>
      </c>
      <c r="I2110" s="1" t="str">
        <f>IFERROR(IF(A2110="","",E2110*#REF!),"")</f>
        <v/>
      </c>
    </row>
    <row r="2111" spans="2:9" x14ac:dyDescent="0.3">
      <c r="B2111" t="str">
        <f>IFERROR(IF(A2111="","",VLOOKUP(A2111,CadProd!$A:$B,2,0)),"")</f>
        <v/>
      </c>
      <c r="C2111" t="str">
        <f>IFERROR(IF(A2111="","",VLOOKUP(A2111,CadProd!$A:$C,3,0)),"")</f>
        <v/>
      </c>
      <c r="I2111" s="1" t="str">
        <f>IFERROR(IF(A2111="","",E2111*#REF!),"")</f>
        <v/>
      </c>
    </row>
    <row r="2112" spans="2:9" x14ac:dyDescent="0.3">
      <c r="B2112" t="str">
        <f>IFERROR(IF(A2112="","",VLOOKUP(A2112,CadProd!$A:$B,2,0)),"")</f>
        <v/>
      </c>
      <c r="C2112" t="str">
        <f>IFERROR(IF(A2112="","",VLOOKUP(A2112,CadProd!$A:$C,3,0)),"")</f>
        <v/>
      </c>
      <c r="I2112" s="1" t="str">
        <f>IFERROR(IF(A2112="","",E2112*#REF!),"")</f>
        <v/>
      </c>
    </row>
    <row r="2113" spans="2:9" x14ac:dyDescent="0.3">
      <c r="B2113" t="str">
        <f>IFERROR(IF(A2113="","",VLOOKUP(A2113,CadProd!$A:$B,2,0)),"")</f>
        <v/>
      </c>
      <c r="C2113" t="str">
        <f>IFERROR(IF(A2113="","",VLOOKUP(A2113,CadProd!$A:$C,3,0)),"")</f>
        <v/>
      </c>
      <c r="I2113" s="1" t="str">
        <f>IFERROR(IF(A2113="","",E2113*#REF!),"")</f>
        <v/>
      </c>
    </row>
    <row r="2114" spans="2:9" x14ac:dyDescent="0.3">
      <c r="B2114" t="str">
        <f>IFERROR(IF(A2114="","",VLOOKUP(A2114,CadProd!$A:$B,2,0)),"")</f>
        <v/>
      </c>
      <c r="C2114" t="str">
        <f>IFERROR(IF(A2114="","",VLOOKUP(A2114,CadProd!$A:$C,3,0)),"")</f>
        <v/>
      </c>
      <c r="I2114" s="1" t="str">
        <f>IFERROR(IF(A2114="","",E2114*#REF!),"")</f>
        <v/>
      </c>
    </row>
    <row r="2115" spans="2:9" x14ac:dyDescent="0.3">
      <c r="B2115" t="str">
        <f>IFERROR(IF(A2115="","",VLOOKUP(A2115,CadProd!$A:$B,2,0)),"")</f>
        <v/>
      </c>
      <c r="C2115" t="str">
        <f>IFERROR(IF(A2115="","",VLOOKUP(A2115,CadProd!$A:$C,3,0)),"")</f>
        <v/>
      </c>
      <c r="I2115" s="1" t="str">
        <f>IFERROR(IF(A2115="","",E2115*#REF!),"")</f>
        <v/>
      </c>
    </row>
    <row r="2116" spans="2:9" x14ac:dyDescent="0.3">
      <c r="B2116" t="str">
        <f>IFERROR(IF(A2116="","",VLOOKUP(A2116,CadProd!$A:$B,2,0)),"")</f>
        <v/>
      </c>
      <c r="C2116" t="str">
        <f>IFERROR(IF(A2116="","",VLOOKUP(A2116,CadProd!$A:$C,3,0)),"")</f>
        <v/>
      </c>
      <c r="I2116" s="1" t="str">
        <f>IFERROR(IF(A2116="","",E2116*#REF!),"")</f>
        <v/>
      </c>
    </row>
    <row r="2117" spans="2:9" x14ac:dyDescent="0.3">
      <c r="B2117" t="str">
        <f>IFERROR(IF(A2117="","",VLOOKUP(A2117,CadProd!$A:$B,2,0)),"")</f>
        <v/>
      </c>
      <c r="C2117" t="str">
        <f>IFERROR(IF(A2117="","",VLOOKUP(A2117,CadProd!$A:$C,3,0)),"")</f>
        <v/>
      </c>
      <c r="I2117" s="1" t="str">
        <f>IFERROR(IF(A2117="","",E2117*#REF!),"")</f>
        <v/>
      </c>
    </row>
    <row r="2118" spans="2:9" x14ac:dyDescent="0.3">
      <c r="B2118" t="str">
        <f>IFERROR(IF(A2118="","",VLOOKUP(A2118,CadProd!$A:$B,2,0)),"")</f>
        <v/>
      </c>
      <c r="C2118" t="str">
        <f>IFERROR(IF(A2118="","",VLOOKUP(A2118,CadProd!$A:$C,3,0)),"")</f>
        <v/>
      </c>
      <c r="I2118" s="1" t="str">
        <f>IFERROR(IF(A2118="","",E2118*#REF!),"")</f>
        <v/>
      </c>
    </row>
    <row r="2119" spans="2:9" x14ac:dyDescent="0.3">
      <c r="B2119" t="str">
        <f>IFERROR(IF(A2119="","",VLOOKUP(A2119,CadProd!$A:$B,2,0)),"")</f>
        <v/>
      </c>
      <c r="C2119" t="str">
        <f>IFERROR(IF(A2119="","",VLOOKUP(A2119,CadProd!$A:$C,3,0)),"")</f>
        <v/>
      </c>
      <c r="I2119" s="1" t="str">
        <f>IFERROR(IF(A2119="","",E2119*#REF!),"")</f>
        <v/>
      </c>
    </row>
    <row r="2120" spans="2:9" x14ac:dyDescent="0.3">
      <c r="B2120" t="str">
        <f>IFERROR(IF(A2120="","",VLOOKUP(A2120,CadProd!$A:$B,2,0)),"")</f>
        <v/>
      </c>
      <c r="C2120" t="str">
        <f>IFERROR(IF(A2120="","",VLOOKUP(A2120,CadProd!$A:$C,3,0)),"")</f>
        <v/>
      </c>
      <c r="I2120" s="1" t="str">
        <f>IFERROR(IF(A2120="","",E2120*#REF!),"")</f>
        <v/>
      </c>
    </row>
    <row r="2121" spans="2:9" x14ac:dyDescent="0.3">
      <c r="B2121" t="str">
        <f>IFERROR(IF(A2121="","",VLOOKUP(A2121,CadProd!$A:$B,2,0)),"")</f>
        <v/>
      </c>
      <c r="C2121" t="str">
        <f>IFERROR(IF(A2121="","",VLOOKUP(A2121,CadProd!$A:$C,3,0)),"")</f>
        <v/>
      </c>
      <c r="I2121" s="1" t="str">
        <f>IFERROR(IF(A2121="","",E2121*#REF!),"")</f>
        <v/>
      </c>
    </row>
    <row r="2122" spans="2:9" x14ac:dyDescent="0.3">
      <c r="B2122" t="str">
        <f>IFERROR(IF(A2122="","",VLOOKUP(A2122,CadProd!$A:$B,2,0)),"")</f>
        <v/>
      </c>
      <c r="C2122" t="str">
        <f>IFERROR(IF(A2122="","",VLOOKUP(A2122,CadProd!$A:$C,3,0)),"")</f>
        <v/>
      </c>
      <c r="I2122" s="1" t="str">
        <f>IFERROR(IF(A2122="","",E2122*#REF!),"")</f>
        <v/>
      </c>
    </row>
    <row r="2123" spans="2:9" x14ac:dyDescent="0.3">
      <c r="B2123" t="str">
        <f>IFERROR(IF(A2123="","",VLOOKUP(A2123,CadProd!$A:$B,2,0)),"")</f>
        <v/>
      </c>
      <c r="C2123" t="str">
        <f>IFERROR(IF(A2123="","",VLOOKUP(A2123,CadProd!$A:$C,3,0)),"")</f>
        <v/>
      </c>
      <c r="I2123" s="1" t="str">
        <f>IFERROR(IF(A2123="","",E2123*#REF!),"")</f>
        <v/>
      </c>
    </row>
    <row r="2124" spans="2:9" x14ac:dyDescent="0.3">
      <c r="B2124" t="str">
        <f>IFERROR(IF(A2124="","",VLOOKUP(A2124,CadProd!$A:$B,2,0)),"")</f>
        <v/>
      </c>
      <c r="C2124" t="str">
        <f>IFERROR(IF(A2124="","",VLOOKUP(A2124,CadProd!$A:$C,3,0)),"")</f>
        <v/>
      </c>
      <c r="I2124" s="1" t="str">
        <f>IFERROR(IF(A2124="","",E2124*#REF!),"")</f>
        <v/>
      </c>
    </row>
    <row r="2125" spans="2:9" x14ac:dyDescent="0.3">
      <c r="B2125" t="str">
        <f>IFERROR(IF(A2125="","",VLOOKUP(A2125,CadProd!$A:$B,2,0)),"")</f>
        <v/>
      </c>
      <c r="C2125" t="str">
        <f>IFERROR(IF(A2125="","",VLOOKUP(A2125,CadProd!$A:$C,3,0)),"")</f>
        <v/>
      </c>
      <c r="I2125" s="1" t="str">
        <f>IFERROR(IF(A2125="","",E2125*#REF!),"")</f>
        <v/>
      </c>
    </row>
    <row r="2126" spans="2:9" x14ac:dyDescent="0.3">
      <c r="B2126" t="str">
        <f>IFERROR(IF(A2126="","",VLOOKUP(A2126,CadProd!$A:$B,2,0)),"")</f>
        <v/>
      </c>
      <c r="C2126" t="str">
        <f>IFERROR(IF(A2126="","",VLOOKUP(A2126,CadProd!$A:$C,3,0)),"")</f>
        <v/>
      </c>
      <c r="I2126" s="1" t="str">
        <f>IFERROR(IF(A2126="","",E2126*#REF!),"")</f>
        <v/>
      </c>
    </row>
    <row r="2127" spans="2:9" x14ac:dyDescent="0.3">
      <c r="B2127" t="str">
        <f>IFERROR(IF(A2127="","",VLOOKUP(A2127,CadProd!$A:$B,2,0)),"")</f>
        <v/>
      </c>
      <c r="C2127" t="str">
        <f>IFERROR(IF(A2127="","",VLOOKUP(A2127,CadProd!$A:$C,3,0)),"")</f>
        <v/>
      </c>
      <c r="I2127" s="1" t="str">
        <f>IFERROR(IF(A2127="","",E2127*#REF!),"")</f>
        <v/>
      </c>
    </row>
    <row r="2128" spans="2:9" x14ac:dyDescent="0.3">
      <c r="B2128" t="str">
        <f>IFERROR(IF(A2128="","",VLOOKUP(A2128,CadProd!$A:$B,2,0)),"")</f>
        <v/>
      </c>
      <c r="C2128" t="str">
        <f>IFERROR(IF(A2128="","",VLOOKUP(A2128,CadProd!$A:$C,3,0)),"")</f>
        <v/>
      </c>
      <c r="I2128" s="1" t="str">
        <f>IFERROR(IF(A2128="","",E2128*#REF!),"")</f>
        <v/>
      </c>
    </row>
    <row r="2129" spans="2:9" x14ac:dyDescent="0.3">
      <c r="B2129" t="str">
        <f>IFERROR(IF(A2129="","",VLOOKUP(A2129,CadProd!$A:$B,2,0)),"")</f>
        <v/>
      </c>
      <c r="C2129" t="str">
        <f>IFERROR(IF(A2129="","",VLOOKUP(A2129,CadProd!$A:$C,3,0)),"")</f>
        <v/>
      </c>
      <c r="I2129" s="1" t="str">
        <f>IFERROR(IF(A2129="","",E2129*#REF!),"")</f>
        <v/>
      </c>
    </row>
    <row r="2130" spans="2:9" x14ac:dyDescent="0.3">
      <c r="B2130" t="str">
        <f>IFERROR(IF(A2130="","",VLOOKUP(A2130,CadProd!$A:$B,2,0)),"")</f>
        <v/>
      </c>
      <c r="C2130" t="str">
        <f>IFERROR(IF(A2130="","",VLOOKUP(A2130,CadProd!$A:$C,3,0)),"")</f>
        <v/>
      </c>
      <c r="I2130" s="1" t="str">
        <f>IFERROR(IF(A2130="","",E2130*#REF!),"")</f>
        <v/>
      </c>
    </row>
    <row r="2131" spans="2:9" x14ac:dyDescent="0.3">
      <c r="B2131" t="str">
        <f>IFERROR(IF(A2131="","",VLOOKUP(A2131,CadProd!$A:$B,2,0)),"")</f>
        <v/>
      </c>
      <c r="C2131" t="str">
        <f>IFERROR(IF(A2131="","",VLOOKUP(A2131,CadProd!$A:$C,3,0)),"")</f>
        <v/>
      </c>
      <c r="I2131" s="1" t="str">
        <f>IFERROR(IF(A2131="","",E2131*#REF!),"")</f>
        <v/>
      </c>
    </row>
    <row r="2132" spans="2:9" x14ac:dyDescent="0.3">
      <c r="B2132" t="str">
        <f>IFERROR(IF(A2132="","",VLOOKUP(A2132,CadProd!$A:$B,2,0)),"")</f>
        <v/>
      </c>
      <c r="C2132" t="str">
        <f>IFERROR(IF(A2132="","",VLOOKUP(A2132,CadProd!$A:$C,3,0)),"")</f>
        <v/>
      </c>
      <c r="I2132" s="1" t="str">
        <f>IFERROR(IF(A2132="","",E2132*#REF!),"")</f>
        <v/>
      </c>
    </row>
    <row r="2133" spans="2:9" x14ac:dyDescent="0.3">
      <c r="B2133" t="str">
        <f>IFERROR(IF(A2133="","",VLOOKUP(A2133,CadProd!$A:$B,2,0)),"")</f>
        <v/>
      </c>
      <c r="C2133" t="str">
        <f>IFERROR(IF(A2133="","",VLOOKUP(A2133,CadProd!$A:$C,3,0)),"")</f>
        <v/>
      </c>
      <c r="I2133" s="1" t="str">
        <f>IFERROR(IF(A2133="","",E2133*#REF!),"")</f>
        <v/>
      </c>
    </row>
    <row r="2134" spans="2:9" x14ac:dyDescent="0.3">
      <c r="B2134" t="str">
        <f>IFERROR(IF(A2134="","",VLOOKUP(A2134,CadProd!$A:$B,2,0)),"")</f>
        <v/>
      </c>
      <c r="C2134" t="str">
        <f>IFERROR(IF(A2134="","",VLOOKUP(A2134,CadProd!$A:$C,3,0)),"")</f>
        <v/>
      </c>
      <c r="I2134" s="1" t="str">
        <f>IFERROR(IF(A2134="","",E2134*#REF!),"")</f>
        <v/>
      </c>
    </row>
    <row r="2135" spans="2:9" x14ac:dyDescent="0.3">
      <c r="B2135" t="str">
        <f>IFERROR(IF(A2135="","",VLOOKUP(A2135,CadProd!$A:$B,2,0)),"")</f>
        <v/>
      </c>
      <c r="C2135" t="str">
        <f>IFERROR(IF(A2135="","",VLOOKUP(A2135,CadProd!$A:$C,3,0)),"")</f>
        <v/>
      </c>
      <c r="I2135" s="1" t="str">
        <f>IFERROR(IF(A2135="","",E2135*#REF!),"")</f>
        <v/>
      </c>
    </row>
    <row r="2136" spans="2:9" x14ac:dyDescent="0.3">
      <c r="B2136" t="str">
        <f>IFERROR(IF(A2136="","",VLOOKUP(A2136,CadProd!$A:$B,2,0)),"")</f>
        <v/>
      </c>
      <c r="C2136" t="str">
        <f>IFERROR(IF(A2136="","",VLOOKUP(A2136,CadProd!$A:$C,3,0)),"")</f>
        <v/>
      </c>
      <c r="I2136" s="1" t="str">
        <f>IFERROR(IF(A2136="","",E2136*#REF!),"")</f>
        <v/>
      </c>
    </row>
    <row r="2137" spans="2:9" x14ac:dyDescent="0.3">
      <c r="B2137" t="str">
        <f>IFERROR(IF(A2137="","",VLOOKUP(A2137,CadProd!$A:$B,2,0)),"")</f>
        <v/>
      </c>
      <c r="C2137" t="str">
        <f>IFERROR(IF(A2137="","",VLOOKUP(A2137,CadProd!$A:$C,3,0)),"")</f>
        <v/>
      </c>
      <c r="I2137" s="1" t="str">
        <f>IFERROR(IF(A2137="","",E2137*#REF!),"")</f>
        <v/>
      </c>
    </row>
    <row r="2138" spans="2:9" x14ac:dyDescent="0.3">
      <c r="B2138" t="str">
        <f>IFERROR(IF(A2138="","",VLOOKUP(A2138,CadProd!$A:$B,2,0)),"")</f>
        <v/>
      </c>
      <c r="C2138" t="str">
        <f>IFERROR(IF(A2138="","",VLOOKUP(A2138,CadProd!$A:$C,3,0)),"")</f>
        <v/>
      </c>
      <c r="I2138" s="1" t="str">
        <f>IFERROR(IF(A2138="","",E2138*#REF!),"")</f>
        <v/>
      </c>
    </row>
    <row r="2139" spans="2:9" x14ac:dyDescent="0.3">
      <c r="B2139" t="str">
        <f>IFERROR(IF(A2139="","",VLOOKUP(A2139,CadProd!$A:$B,2,0)),"")</f>
        <v/>
      </c>
      <c r="C2139" t="str">
        <f>IFERROR(IF(A2139="","",VLOOKUP(A2139,CadProd!$A:$C,3,0)),"")</f>
        <v/>
      </c>
      <c r="I2139" s="1" t="str">
        <f>IFERROR(IF(A2139="","",E2139*#REF!),"")</f>
        <v/>
      </c>
    </row>
    <row r="2140" spans="2:9" x14ac:dyDescent="0.3">
      <c r="B2140" t="str">
        <f>IFERROR(IF(A2140="","",VLOOKUP(A2140,CadProd!$A:$B,2,0)),"")</f>
        <v/>
      </c>
      <c r="C2140" t="str">
        <f>IFERROR(IF(A2140="","",VLOOKUP(A2140,CadProd!$A:$C,3,0)),"")</f>
        <v/>
      </c>
      <c r="I2140" s="1" t="str">
        <f>IFERROR(IF(A2140="","",E2140*#REF!),"")</f>
        <v/>
      </c>
    </row>
    <row r="2141" spans="2:9" x14ac:dyDescent="0.3">
      <c r="B2141" t="str">
        <f>IFERROR(IF(A2141="","",VLOOKUP(A2141,CadProd!$A:$B,2,0)),"")</f>
        <v/>
      </c>
      <c r="C2141" t="str">
        <f>IFERROR(IF(A2141="","",VLOOKUP(A2141,CadProd!$A:$C,3,0)),"")</f>
        <v/>
      </c>
      <c r="I2141" s="1" t="str">
        <f>IFERROR(IF(A2141="","",E2141*#REF!),"")</f>
        <v/>
      </c>
    </row>
    <row r="2142" spans="2:9" x14ac:dyDescent="0.3">
      <c r="B2142" t="str">
        <f>IFERROR(IF(A2142="","",VLOOKUP(A2142,CadProd!$A:$B,2,0)),"")</f>
        <v/>
      </c>
      <c r="C2142" t="str">
        <f>IFERROR(IF(A2142="","",VLOOKUP(A2142,CadProd!$A:$C,3,0)),"")</f>
        <v/>
      </c>
      <c r="I2142" s="1" t="str">
        <f>IFERROR(IF(A2142="","",E2142*#REF!),"")</f>
        <v/>
      </c>
    </row>
    <row r="2143" spans="2:9" x14ac:dyDescent="0.3">
      <c r="B2143" t="str">
        <f>IFERROR(IF(A2143="","",VLOOKUP(A2143,CadProd!$A:$B,2,0)),"")</f>
        <v/>
      </c>
      <c r="C2143" t="str">
        <f>IFERROR(IF(A2143="","",VLOOKUP(A2143,CadProd!$A:$C,3,0)),"")</f>
        <v/>
      </c>
      <c r="I2143" s="1" t="str">
        <f>IFERROR(IF(A2143="","",E2143*#REF!),"")</f>
        <v/>
      </c>
    </row>
    <row r="2144" spans="2:9" x14ac:dyDescent="0.3">
      <c r="B2144" t="str">
        <f>IFERROR(IF(A2144="","",VLOOKUP(A2144,CadProd!$A:$B,2,0)),"")</f>
        <v/>
      </c>
      <c r="C2144" t="str">
        <f>IFERROR(IF(A2144="","",VLOOKUP(A2144,CadProd!$A:$C,3,0)),"")</f>
        <v/>
      </c>
      <c r="I2144" s="1" t="str">
        <f>IFERROR(IF(A2144="","",E2144*#REF!),"")</f>
        <v/>
      </c>
    </row>
    <row r="2145" spans="2:9" x14ac:dyDescent="0.3">
      <c r="B2145" t="str">
        <f>IFERROR(IF(A2145="","",VLOOKUP(A2145,CadProd!$A:$B,2,0)),"")</f>
        <v/>
      </c>
      <c r="C2145" t="str">
        <f>IFERROR(IF(A2145="","",VLOOKUP(A2145,CadProd!$A:$C,3,0)),"")</f>
        <v/>
      </c>
      <c r="I2145" s="1" t="str">
        <f>IFERROR(IF(A2145="","",E2145*#REF!),"")</f>
        <v/>
      </c>
    </row>
    <row r="2146" spans="2:9" x14ac:dyDescent="0.3">
      <c r="B2146" t="str">
        <f>IFERROR(IF(A2146="","",VLOOKUP(A2146,CadProd!$A:$B,2,0)),"")</f>
        <v/>
      </c>
      <c r="C2146" t="str">
        <f>IFERROR(IF(A2146="","",VLOOKUP(A2146,CadProd!$A:$C,3,0)),"")</f>
        <v/>
      </c>
      <c r="I2146" s="1" t="str">
        <f>IFERROR(IF(A2146="","",E2146*#REF!),"")</f>
        <v/>
      </c>
    </row>
    <row r="2147" spans="2:9" x14ac:dyDescent="0.3">
      <c r="B2147" t="str">
        <f>IFERROR(IF(A2147="","",VLOOKUP(A2147,CadProd!$A:$B,2,0)),"")</f>
        <v/>
      </c>
      <c r="C2147" t="str">
        <f>IFERROR(IF(A2147="","",VLOOKUP(A2147,CadProd!$A:$C,3,0)),"")</f>
        <v/>
      </c>
      <c r="I2147" s="1" t="str">
        <f>IFERROR(IF(A2147="","",E2147*#REF!),"")</f>
        <v/>
      </c>
    </row>
    <row r="2148" spans="2:9" x14ac:dyDescent="0.3">
      <c r="B2148" t="str">
        <f>IFERROR(IF(A2148="","",VLOOKUP(A2148,CadProd!$A:$B,2,0)),"")</f>
        <v/>
      </c>
      <c r="C2148" t="str">
        <f>IFERROR(IF(A2148="","",VLOOKUP(A2148,CadProd!$A:$C,3,0)),"")</f>
        <v/>
      </c>
      <c r="I2148" s="1" t="str">
        <f>IFERROR(IF(A2148="","",E2148*#REF!),"")</f>
        <v/>
      </c>
    </row>
    <row r="2149" spans="2:9" x14ac:dyDescent="0.3">
      <c r="B2149" t="str">
        <f>IFERROR(IF(A2149="","",VLOOKUP(A2149,CadProd!$A:$B,2,0)),"")</f>
        <v/>
      </c>
      <c r="C2149" t="str">
        <f>IFERROR(IF(A2149="","",VLOOKUP(A2149,CadProd!$A:$C,3,0)),"")</f>
        <v/>
      </c>
      <c r="I2149" s="1" t="str">
        <f>IFERROR(IF(A2149="","",E2149*#REF!),"")</f>
        <v/>
      </c>
    </row>
    <row r="2150" spans="2:9" x14ac:dyDescent="0.3">
      <c r="B2150" t="str">
        <f>IFERROR(IF(A2150="","",VLOOKUP(A2150,CadProd!$A:$B,2,0)),"")</f>
        <v/>
      </c>
      <c r="C2150" t="str">
        <f>IFERROR(IF(A2150="","",VLOOKUP(A2150,CadProd!$A:$C,3,0)),"")</f>
        <v/>
      </c>
      <c r="I2150" s="1" t="str">
        <f>IFERROR(IF(A2150="","",E2150*#REF!),"")</f>
        <v/>
      </c>
    </row>
    <row r="2151" spans="2:9" x14ac:dyDescent="0.3">
      <c r="B2151" t="str">
        <f>IFERROR(IF(A2151="","",VLOOKUP(A2151,CadProd!$A:$B,2,0)),"")</f>
        <v/>
      </c>
      <c r="C2151" t="str">
        <f>IFERROR(IF(A2151="","",VLOOKUP(A2151,CadProd!$A:$C,3,0)),"")</f>
        <v/>
      </c>
      <c r="I2151" s="1" t="str">
        <f>IFERROR(IF(A2151="","",E2151*#REF!),"")</f>
        <v/>
      </c>
    </row>
    <row r="2152" spans="2:9" x14ac:dyDescent="0.3">
      <c r="B2152" t="str">
        <f>IFERROR(IF(A2152="","",VLOOKUP(A2152,CadProd!$A:$B,2,0)),"")</f>
        <v/>
      </c>
      <c r="C2152" t="str">
        <f>IFERROR(IF(A2152="","",VLOOKUP(A2152,CadProd!$A:$C,3,0)),"")</f>
        <v/>
      </c>
      <c r="I2152" s="1" t="str">
        <f>IFERROR(IF(A2152="","",E2152*#REF!),"")</f>
        <v/>
      </c>
    </row>
    <row r="2153" spans="2:9" x14ac:dyDescent="0.3">
      <c r="B2153" t="str">
        <f>IFERROR(IF(A2153="","",VLOOKUP(A2153,CadProd!$A:$B,2,0)),"")</f>
        <v/>
      </c>
      <c r="C2153" t="str">
        <f>IFERROR(IF(A2153="","",VLOOKUP(A2153,CadProd!$A:$C,3,0)),"")</f>
        <v/>
      </c>
      <c r="I2153" s="1" t="str">
        <f>IFERROR(IF(A2153="","",E2153*#REF!),"")</f>
        <v/>
      </c>
    </row>
    <row r="2154" spans="2:9" x14ac:dyDescent="0.3">
      <c r="B2154" t="str">
        <f>IFERROR(IF(A2154="","",VLOOKUP(A2154,CadProd!$A:$B,2,0)),"")</f>
        <v/>
      </c>
      <c r="C2154" t="str">
        <f>IFERROR(IF(A2154="","",VLOOKUP(A2154,CadProd!$A:$C,3,0)),"")</f>
        <v/>
      </c>
      <c r="I2154" s="1" t="str">
        <f>IFERROR(IF(A2154="","",E2154*#REF!),"")</f>
        <v/>
      </c>
    </row>
    <row r="2155" spans="2:9" x14ac:dyDescent="0.3">
      <c r="B2155" t="str">
        <f>IFERROR(IF(A2155="","",VLOOKUP(A2155,CadProd!$A:$B,2,0)),"")</f>
        <v/>
      </c>
      <c r="C2155" t="str">
        <f>IFERROR(IF(A2155="","",VLOOKUP(A2155,CadProd!$A:$C,3,0)),"")</f>
        <v/>
      </c>
      <c r="I2155" s="1" t="str">
        <f>IFERROR(IF(A2155="","",E2155*#REF!),"")</f>
        <v/>
      </c>
    </row>
    <row r="2156" spans="2:9" x14ac:dyDescent="0.3">
      <c r="B2156" t="str">
        <f>IFERROR(IF(A2156="","",VLOOKUP(A2156,CadProd!$A:$B,2,0)),"")</f>
        <v/>
      </c>
      <c r="C2156" t="str">
        <f>IFERROR(IF(A2156="","",VLOOKUP(A2156,CadProd!$A:$C,3,0)),"")</f>
        <v/>
      </c>
      <c r="I2156" s="1" t="str">
        <f>IFERROR(IF(A2156="","",E2156*#REF!),"")</f>
        <v/>
      </c>
    </row>
    <row r="2157" spans="2:9" x14ac:dyDescent="0.3">
      <c r="B2157" t="str">
        <f>IFERROR(IF(A2157="","",VLOOKUP(A2157,CadProd!$A:$B,2,0)),"")</f>
        <v/>
      </c>
      <c r="C2157" t="str">
        <f>IFERROR(IF(A2157="","",VLOOKUP(A2157,CadProd!$A:$C,3,0)),"")</f>
        <v/>
      </c>
      <c r="I2157" s="1" t="str">
        <f>IFERROR(IF(A2157="","",E2157*#REF!),"")</f>
        <v/>
      </c>
    </row>
    <row r="2158" spans="2:9" x14ac:dyDescent="0.3">
      <c r="B2158" t="str">
        <f>IFERROR(IF(A2158="","",VLOOKUP(A2158,CadProd!$A:$B,2,0)),"")</f>
        <v/>
      </c>
      <c r="C2158" t="str">
        <f>IFERROR(IF(A2158="","",VLOOKUP(A2158,CadProd!$A:$C,3,0)),"")</f>
        <v/>
      </c>
      <c r="I2158" s="1" t="str">
        <f>IFERROR(IF(A2158="","",E2158*#REF!),"")</f>
        <v/>
      </c>
    </row>
    <row r="2159" spans="2:9" x14ac:dyDescent="0.3">
      <c r="B2159" t="str">
        <f>IFERROR(IF(A2159="","",VLOOKUP(A2159,CadProd!$A:$B,2,0)),"")</f>
        <v/>
      </c>
      <c r="C2159" t="str">
        <f>IFERROR(IF(A2159="","",VLOOKUP(A2159,CadProd!$A:$C,3,0)),"")</f>
        <v/>
      </c>
      <c r="I2159" s="1" t="str">
        <f>IFERROR(IF(A2159="","",E2159*#REF!),"")</f>
        <v/>
      </c>
    </row>
    <row r="2160" spans="2:9" x14ac:dyDescent="0.3">
      <c r="B2160" t="str">
        <f>IFERROR(IF(A2160="","",VLOOKUP(A2160,CadProd!$A:$B,2,0)),"")</f>
        <v/>
      </c>
      <c r="C2160" t="str">
        <f>IFERROR(IF(A2160="","",VLOOKUP(A2160,CadProd!$A:$C,3,0)),"")</f>
        <v/>
      </c>
      <c r="I2160" s="1" t="str">
        <f>IFERROR(IF(A2160="","",E2160*#REF!),"")</f>
        <v/>
      </c>
    </row>
    <row r="2161" spans="2:9" x14ac:dyDescent="0.3">
      <c r="B2161" t="str">
        <f>IFERROR(IF(A2161="","",VLOOKUP(A2161,CadProd!$A:$B,2,0)),"")</f>
        <v/>
      </c>
      <c r="C2161" t="str">
        <f>IFERROR(IF(A2161="","",VLOOKUP(A2161,CadProd!$A:$C,3,0)),"")</f>
        <v/>
      </c>
      <c r="I2161" s="1" t="str">
        <f>IFERROR(IF(A2161="","",E2161*#REF!),"")</f>
        <v/>
      </c>
    </row>
    <row r="2162" spans="2:9" x14ac:dyDescent="0.3">
      <c r="B2162" t="str">
        <f>IFERROR(IF(A2162="","",VLOOKUP(A2162,CadProd!$A:$B,2,0)),"")</f>
        <v/>
      </c>
      <c r="C2162" t="str">
        <f>IFERROR(IF(A2162="","",VLOOKUP(A2162,CadProd!$A:$C,3,0)),"")</f>
        <v/>
      </c>
      <c r="I2162" s="1" t="str">
        <f>IFERROR(IF(A2162="","",E2162*#REF!),"")</f>
        <v/>
      </c>
    </row>
    <row r="2163" spans="2:9" x14ac:dyDescent="0.3">
      <c r="B2163" t="str">
        <f>IFERROR(IF(A2163="","",VLOOKUP(A2163,CadProd!$A:$B,2,0)),"")</f>
        <v/>
      </c>
      <c r="C2163" t="str">
        <f>IFERROR(IF(A2163="","",VLOOKUP(A2163,CadProd!$A:$C,3,0)),"")</f>
        <v/>
      </c>
      <c r="I2163" s="1" t="str">
        <f>IFERROR(IF(A2163="","",E2163*#REF!),"")</f>
        <v/>
      </c>
    </row>
    <row r="2164" spans="2:9" x14ac:dyDescent="0.3">
      <c r="B2164" t="str">
        <f>IFERROR(IF(A2164="","",VLOOKUP(A2164,CadProd!$A:$B,2,0)),"")</f>
        <v/>
      </c>
      <c r="C2164" t="str">
        <f>IFERROR(IF(A2164="","",VLOOKUP(A2164,CadProd!$A:$C,3,0)),"")</f>
        <v/>
      </c>
      <c r="I2164" s="1" t="str">
        <f>IFERROR(IF(A2164="","",E2164*#REF!),"")</f>
        <v/>
      </c>
    </row>
    <row r="2165" spans="2:9" x14ac:dyDescent="0.3">
      <c r="B2165" t="str">
        <f>IFERROR(IF(A2165="","",VLOOKUP(A2165,CadProd!$A:$B,2,0)),"")</f>
        <v/>
      </c>
      <c r="C2165" t="str">
        <f>IFERROR(IF(A2165="","",VLOOKUP(A2165,CadProd!$A:$C,3,0)),"")</f>
        <v/>
      </c>
      <c r="I2165" s="1" t="str">
        <f>IFERROR(IF(A2165="","",E2165*#REF!),"")</f>
        <v/>
      </c>
    </row>
    <row r="2166" spans="2:9" x14ac:dyDescent="0.3">
      <c r="B2166" t="str">
        <f>IFERROR(IF(A2166="","",VLOOKUP(A2166,CadProd!$A:$B,2,0)),"")</f>
        <v/>
      </c>
      <c r="C2166" t="str">
        <f>IFERROR(IF(A2166="","",VLOOKUP(A2166,CadProd!$A:$C,3,0)),"")</f>
        <v/>
      </c>
      <c r="I2166" s="1" t="str">
        <f>IFERROR(IF(A2166="","",E2166*#REF!),"")</f>
        <v/>
      </c>
    </row>
    <row r="2167" spans="2:9" x14ac:dyDescent="0.3">
      <c r="B2167" t="str">
        <f>IFERROR(IF(A2167="","",VLOOKUP(A2167,CadProd!$A:$B,2,0)),"")</f>
        <v/>
      </c>
      <c r="C2167" t="str">
        <f>IFERROR(IF(A2167="","",VLOOKUP(A2167,CadProd!$A:$C,3,0)),"")</f>
        <v/>
      </c>
      <c r="I2167" s="1" t="str">
        <f>IFERROR(IF(A2167="","",E2167*#REF!),"")</f>
        <v/>
      </c>
    </row>
    <row r="2168" spans="2:9" x14ac:dyDescent="0.3">
      <c r="B2168" t="str">
        <f>IFERROR(IF(A2168="","",VLOOKUP(A2168,CadProd!$A:$B,2,0)),"")</f>
        <v/>
      </c>
      <c r="C2168" t="str">
        <f>IFERROR(IF(A2168="","",VLOOKUP(A2168,CadProd!$A:$C,3,0)),"")</f>
        <v/>
      </c>
      <c r="I2168" s="1" t="str">
        <f>IFERROR(IF(A2168="","",E2168*#REF!),"")</f>
        <v/>
      </c>
    </row>
    <row r="2169" spans="2:9" x14ac:dyDescent="0.3">
      <c r="B2169" t="str">
        <f>IFERROR(IF(A2169="","",VLOOKUP(A2169,CadProd!$A:$B,2,0)),"")</f>
        <v/>
      </c>
      <c r="C2169" t="str">
        <f>IFERROR(IF(A2169="","",VLOOKUP(A2169,CadProd!$A:$C,3,0)),"")</f>
        <v/>
      </c>
      <c r="I2169" s="1" t="str">
        <f>IFERROR(IF(A2169="","",E2169*#REF!),"")</f>
        <v/>
      </c>
    </row>
    <row r="2170" spans="2:9" x14ac:dyDescent="0.3">
      <c r="B2170" t="str">
        <f>IFERROR(IF(A2170="","",VLOOKUP(A2170,CadProd!$A:$B,2,0)),"")</f>
        <v/>
      </c>
      <c r="C2170" t="str">
        <f>IFERROR(IF(A2170="","",VLOOKUP(A2170,CadProd!$A:$C,3,0)),"")</f>
        <v/>
      </c>
      <c r="I2170" s="1" t="str">
        <f>IFERROR(IF(A2170="","",E2170*#REF!),"")</f>
        <v/>
      </c>
    </row>
    <row r="2171" spans="2:9" x14ac:dyDescent="0.3">
      <c r="B2171" t="str">
        <f>IFERROR(IF(A2171="","",VLOOKUP(A2171,CadProd!$A:$B,2,0)),"")</f>
        <v/>
      </c>
      <c r="C2171" t="str">
        <f>IFERROR(IF(A2171="","",VLOOKUP(A2171,CadProd!$A:$C,3,0)),"")</f>
        <v/>
      </c>
      <c r="I2171" s="1" t="str">
        <f>IFERROR(IF(A2171="","",E2171*#REF!),"")</f>
        <v/>
      </c>
    </row>
    <row r="2172" spans="2:9" x14ac:dyDescent="0.3">
      <c r="B2172" t="str">
        <f>IFERROR(IF(A2172="","",VLOOKUP(A2172,CadProd!$A:$B,2,0)),"")</f>
        <v/>
      </c>
      <c r="C2172" t="str">
        <f>IFERROR(IF(A2172="","",VLOOKUP(A2172,CadProd!$A:$C,3,0)),"")</f>
        <v/>
      </c>
      <c r="I2172" s="1" t="str">
        <f>IFERROR(IF(A2172="","",E2172*#REF!),"")</f>
        <v/>
      </c>
    </row>
    <row r="2173" spans="2:9" x14ac:dyDescent="0.3">
      <c r="B2173" t="str">
        <f>IFERROR(IF(A2173="","",VLOOKUP(A2173,CadProd!$A:$B,2,0)),"")</f>
        <v/>
      </c>
      <c r="C2173" t="str">
        <f>IFERROR(IF(A2173="","",VLOOKUP(A2173,CadProd!$A:$C,3,0)),"")</f>
        <v/>
      </c>
      <c r="I2173" s="1" t="str">
        <f>IFERROR(IF(A2173="","",E2173*#REF!),"")</f>
        <v/>
      </c>
    </row>
    <row r="2174" spans="2:9" x14ac:dyDescent="0.3">
      <c r="B2174" t="str">
        <f>IFERROR(IF(A2174="","",VLOOKUP(A2174,CadProd!$A:$B,2,0)),"")</f>
        <v/>
      </c>
      <c r="C2174" t="str">
        <f>IFERROR(IF(A2174="","",VLOOKUP(A2174,CadProd!$A:$C,3,0)),"")</f>
        <v/>
      </c>
      <c r="I2174" s="1" t="str">
        <f>IFERROR(IF(A2174="","",E2174*#REF!),"")</f>
        <v/>
      </c>
    </row>
    <row r="2175" spans="2:9" x14ac:dyDescent="0.3">
      <c r="B2175" t="str">
        <f>IFERROR(IF(A2175="","",VLOOKUP(A2175,CadProd!$A:$B,2,0)),"")</f>
        <v/>
      </c>
      <c r="C2175" t="str">
        <f>IFERROR(IF(A2175="","",VLOOKUP(A2175,CadProd!$A:$C,3,0)),"")</f>
        <v/>
      </c>
      <c r="I2175" s="1" t="str">
        <f>IFERROR(IF(A2175="","",E2175*#REF!),"")</f>
        <v/>
      </c>
    </row>
    <row r="2176" spans="2:9" x14ac:dyDescent="0.3">
      <c r="B2176" t="str">
        <f>IFERROR(IF(A2176="","",VLOOKUP(A2176,CadProd!$A:$B,2,0)),"")</f>
        <v/>
      </c>
      <c r="C2176" t="str">
        <f>IFERROR(IF(A2176="","",VLOOKUP(A2176,CadProd!$A:$C,3,0)),"")</f>
        <v/>
      </c>
      <c r="I2176" s="1" t="str">
        <f>IFERROR(IF(A2176="","",E2176*#REF!),"")</f>
        <v/>
      </c>
    </row>
    <row r="2177" spans="2:9" x14ac:dyDescent="0.3">
      <c r="B2177" t="str">
        <f>IFERROR(IF(A2177="","",VLOOKUP(A2177,CadProd!$A:$B,2,0)),"")</f>
        <v/>
      </c>
      <c r="C2177" t="str">
        <f>IFERROR(IF(A2177="","",VLOOKUP(A2177,CadProd!$A:$C,3,0)),"")</f>
        <v/>
      </c>
      <c r="I2177" s="1" t="str">
        <f>IFERROR(IF(A2177="","",E2177*#REF!),"")</f>
        <v/>
      </c>
    </row>
    <row r="2178" spans="2:9" x14ac:dyDescent="0.3">
      <c r="B2178" t="str">
        <f>IFERROR(IF(A2178="","",VLOOKUP(A2178,CadProd!$A:$B,2,0)),"")</f>
        <v/>
      </c>
      <c r="C2178" t="str">
        <f>IFERROR(IF(A2178="","",VLOOKUP(A2178,CadProd!$A:$C,3,0)),"")</f>
        <v/>
      </c>
      <c r="I2178" s="1" t="str">
        <f>IFERROR(IF(A2178="","",E2178*#REF!),"")</f>
        <v/>
      </c>
    </row>
    <row r="2179" spans="2:9" x14ac:dyDescent="0.3">
      <c r="B2179" t="str">
        <f>IFERROR(IF(A2179="","",VLOOKUP(A2179,CadProd!$A:$B,2,0)),"")</f>
        <v/>
      </c>
      <c r="C2179" t="str">
        <f>IFERROR(IF(A2179="","",VLOOKUP(A2179,CadProd!$A:$C,3,0)),"")</f>
        <v/>
      </c>
      <c r="I2179" s="1" t="str">
        <f>IFERROR(IF(A2179="","",E2179*#REF!),"")</f>
        <v/>
      </c>
    </row>
    <row r="2180" spans="2:9" x14ac:dyDescent="0.3">
      <c r="B2180" t="str">
        <f>IFERROR(IF(A2180="","",VLOOKUP(A2180,CadProd!$A:$B,2,0)),"")</f>
        <v/>
      </c>
      <c r="C2180" t="str">
        <f>IFERROR(IF(A2180="","",VLOOKUP(A2180,CadProd!$A:$C,3,0)),"")</f>
        <v/>
      </c>
      <c r="I2180" s="1" t="str">
        <f>IFERROR(IF(A2180="","",E2180*#REF!),"")</f>
        <v/>
      </c>
    </row>
    <row r="2181" spans="2:9" x14ac:dyDescent="0.3">
      <c r="B2181" t="str">
        <f>IFERROR(IF(A2181="","",VLOOKUP(A2181,CadProd!$A:$B,2,0)),"")</f>
        <v/>
      </c>
      <c r="C2181" t="str">
        <f>IFERROR(IF(A2181="","",VLOOKUP(A2181,CadProd!$A:$C,3,0)),"")</f>
        <v/>
      </c>
      <c r="I2181" s="1" t="str">
        <f>IFERROR(IF(A2181="","",E2181*#REF!),"")</f>
        <v/>
      </c>
    </row>
    <row r="2182" spans="2:9" x14ac:dyDescent="0.3">
      <c r="B2182" t="str">
        <f>IFERROR(IF(A2182="","",VLOOKUP(A2182,CadProd!$A:$B,2,0)),"")</f>
        <v/>
      </c>
      <c r="C2182" t="str">
        <f>IFERROR(IF(A2182="","",VLOOKUP(A2182,CadProd!$A:$C,3,0)),"")</f>
        <v/>
      </c>
      <c r="I2182" s="1" t="str">
        <f>IFERROR(IF(A2182="","",E2182*#REF!),"")</f>
        <v/>
      </c>
    </row>
    <row r="2183" spans="2:9" x14ac:dyDescent="0.3">
      <c r="B2183" t="str">
        <f>IFERROR(IF(A2183="","",VLOOKUP(A2183,CadProd!$A:$B,2,0)),"")</f>
        <v/>
      </c>
      <c r="C2183" t="str">
        <f>IFERROR(IF(A2183="","",VLOOKUP(A2183,CadProd!$A:$C,3,0)),"")</f>
        <v/>
      </c>
      <c r="I2183" s="1" t="str">
        <f>IFERROR(IF(A2183="","",E2183*#REF!),"")</f>
        <v/>
      </c>
    </row>
    <row r="2184" spans="2:9" x14ac:dyDescent="0.3">
      <c r="B2184" t="str">
        <f>IFERROR(IF(A2184="","",VLOOKUP(A2184,CadProd!$A:$B,2,0)),"")</f>
        <v/>
      </c>
      <c r="C2184" t="str">
        <f>IFERROR(IF(A2184="","",VLOOKUP(A2184,CadProd!$A:$C,3,0)),"")</f>
        <v/>
      </c>
      <c r="I2184" s="1" t="str">
        <f>IFERROR(IF(A2184="","",E2184*#REF!),"")</f>
        <v/>
      </c>
    </row>
    <row r="2185" spans="2:9" x14ac:dyDescent="0.3">
      <c r="B2185" t="str">
        <f>IFERROR(IF(A2185="","",VLOOKUP(A2185,CadProd!$A:$B,2,0)),"")</f>
        <v/>
      </c>
      <c r="C2185" t="str">
        <f>IFERROR(IF(A2185="","",VLOOKUP(A2185,CadProd!$A:$C,3,0)),"")</f>
        <v/>
      </c>
      <c r="I2185" s="1" t="str">
        <f>IFERROR(IF(A2185="","",E2185*#REF!),"")</f>
        <v/>
      </c>
    </row>
    <row r="2186" spans="2:9" x14ac:dyDescent="0.3">
      <c r="B2186" t="str">
        <f>IFERROR(IF(A2186="","",VLOOKUP(A2186,CadProd!$A:$B,2,0)),"")</f>
        <v/>
      </c>
      <c r="C2186" t="str">
        <f>IFERROR(IF(A2186="","",VLOOKUP(A2186,CadProd!$A:$C,3,0)),"")</f>
        <v/>
      </c>
      <c r="I2186" s="1" t="str">
        <f>IFERROR(IF(A2186="","",E2186*#REF!),"")</f>
        <v/>
      </c>
    </row>
    <row r="2187" spans="2:9" x14ac:dyDescent="0.3">
      <c r="B2187" t="str">
        <f>IFERROR(IF(A2187="","",VLOOKUP(A2187,CadProd!$A:$B,2,0)),"")</f>
        <v/>
      </c>
      <c r="C2187" t="str">
        <f>IFERROR(IF(A2187="","",VLOOKUP(A2187,CadProd!$A:$C,3,0)),"")</f>
        <v/>
      </c>
      <c r="I2187" s="1" t="str">
        <f>IFERROR(IF(A2187="","",E2187*#REF!),"")</f>
        <v/>
      </c>
    </row>
    <row r="2188" spans="2:9" x14ac:dyDescent="0.3">
      <c r="B2188" t="str">
        <f>IFERROR(IF(A2188="","",VLOOKUP(A2188,CadProd!$A:$B,2,0)),"")</f>
        <v/>
      </c>
      <c r="C2188" t="str">
        <f>IFERROR(IF(A2188="","",VLOOKUP(A2188,CadProd!$A:$C,3,0)),"")</f>
        <v/>
      </c>
      <c r="I2188" s="1" t="str">
        <f>IFERROR(IF(A2188="","",E2188*#REF!),"")</f>
        <v/>
      </c>
    </row>
    <row r="2189" spans="2:9" x14ac:dyDescent="0.3">
      <c r="B2189" t="str">
        <f>IFERROR(IF(A2189="","",VLOOKUP(A2189,CadProd!$A:$B,2,0)),"")</f>
        <v/>
      </c>
      <c r="C2189" t="str">
        <f>IFERROR(IF(A2189="","",VLOOKUP(A2189,CadProd!$A:$C,3,0)),"")</f>
        <v/>
      </c>
      <c r="I2189" s="1" t="str">
        <f>IFERROR(IF(A2189="","",E2189*#REF!),"")</f>
        <v/>
      </c>
    </row>
    <row r="2190" spans="2:9" x14ac:dyDescent="0.3">
      <c r="B2190" t="str">
        <f>IFERROR(IF(A2190="","",VLOOKUP(A2190,CadProd!$A:$B,2,0)),"")</f>
        <v/>
      </c>
      <c r="C2190" t="str">
        <f>IFERROR(IF(A2190="","",VLOOKUP(A2190,CadProd!$A:$C,3,0)),"")</f>
        <v/>
      </c>
      <c r="I2190" s="1" t="str">
        <f>IFERROR(IF(A2190="","",E2190*#REF!),"")</f>
        <v/>
      </c>
    </row>
    <row r="2191" spans="2:9" x14ac:dyDescent="0.3">
      <c r="B2191" t="str">
        <f>IFERROR(IF(A2191="","",VLOOKUP(A2191,CadProd!$A:$B,2,0)),"")</f>
        <v/>
      </c>
      <c r="C2191" t="str">
        <f>IFERROR(IF(A2191="","",VLOOKUP(A2191,CadProd!$A:$C,3,0)),"")</f>
        <v/>
      </c>
      <c r="I2191" s="1" t="str">
        <f>IFERROR(IF(A2191="","",E2191*#REF!),"")</f>
        <v/>
      </c>
    </row>
    <row r="2192" spans="2:9" x14ac:dyDescent="0.3">
      <c r="B2192" t="str">
        <f>IFERROR(IF(A2192="","",VLOOKUP(A2192,CadProd!$A:$B,2,0)),"")</f>
        <v/>
      </c>
      <c r="C2192" t="str">
        <f>IFERROR(IF(A2192="","",VLOOKUP(A2192,CadProd!$A:$C,3,0)),"")</f>
        <v/>
      </c>
      <c r="I2192" s="1" t="str">
        <f>IFERROR(IF(A2192="","",E2192*#REF!),"")</f>
        <v/>
      </c>
    </row>
    <row r="2193" spans="2:9" x14ac:dyDescent="0.3">
      <c r="B2193" t="str">
        <f>IFERROR(IF(A2193="","",VLOOKUP(A2193,CadProd!$A:$B,2,0)),"")</f>
        <v/>
      </c>
      <c r="C2193" t="str">
        <f>IFERROR(IF(A2193="","",VLOOKUP(A2193,CadProd!$A:$C,3,0)),"")</f>
        <v/>
      </c>
      <c r="I2193" s="1" t="str">
        <f>IFERROR(IF(A2193="","",E2193*#REF!),"")</f>
        <v/>
      </c>
    </row>
    <row r="2194" spans="2:9" x14ac:dyDescent="0.3">
      <c r="B2194" t="str">
        <f>IFERROR(IF(A2194="","",VLOOKUP(A2194,CadProd!$A:$B,2,0)),"")</f>
        <v/>
      </c>
      <c r="C2194" t="str">
        <f>IFERROR(IF(A2194="","",VLOOKUP(A2194,CadProd!$A:$C,3,0)),"")</f>
        <v/>
      </c>
      <c r="I2194" s="1" t="str">
        <f>IFERROR(IF(A2194="","",E2194*#REF!),"")</f>
        <v/>
      </c>
    </row>
    <row r="2195" spans="2:9" x14ac:dyDescent="0.3">
      <c r="B2195" t="str">
        <f>IFERROR(IF(A2195="","",VLOOKUP(A2195,CadProd!$A:$B,2,0)),"")</f>
        <v/>
      </c>
      <c r="C2195" t="str">
        <f>IFERROR(IF(A2195="","",VLOOKUP(A2195,CadProd!$A:$C,3,0)),"")</f>
        <v/>
      </c>
      <c r="I2195" s="1" t="str">
        <f>IFERROR(IF(A2195="","",E2195*#REF!),"")</f>
        <v/>
      </c>
    </row>
    <row r="2196" spans="2:9" x14ac:dyDescent="0.3">
      <c r="B2196" t="str">
        <f>IFERROR(IF(A2196="","",VLOOKUP(A2196,CadProd!$A:$B,2,0)),"")</f>
        <v/>
      </c>
      <c r="C2196" t="str">
        <f>IFERROR(IF(A2196="","",VLOOKUP(A2196,CadProd!$A:$C,3,0)),"")</f>
        <v/>
      </c>
      <c r="I2196" s="1" t="str">
        <f>IFERROR(IF(A2196="","",E2196*#REF!),"")</f>
        <v/>
      </c>
    </row>
    <row r="2197" spans="2:9" x14ac:dyDescent="0.3">
      <c r="B2197" t="str">
        <f>IFERROR(IF(A2197="","",VLOOKUP(A2197,CadProd!$A:$B,2,0)),"")</f>
        <v/>
      </c>
      <c r="C2197" t="str">
        <f>IFERROR(IF(A2197="","",VLOOKUP(A2197,CadProd!$A:$C,3,0)),"")</f>
        <v/>
      </c>
      <c r="I2197" s="1" t="str">
        <f>IFERROR(IF(A2197="","",E2197*#REF!),"")</f>
        <v/>
      </c>
    </row>
    <row r="2198" spans="2:9" x14ac:dyDescent="0.3">
      <c r="B2198" t="str">
        <f>IFERROR(IF(A2198="","",VLOOKUP(A2198,CadProd!$A:$B,2,0)),"")</f>
        <v/>
      </c>
      <c r="C2198" t="str">
        <f>IFERROR(IF(A2198="","",VLOOKUP(A2198,CadProd!$A:$C,3,0)),"")</f>
        <v/>
      </c>
      <c r="I2198" s="1" t="str">
        <f>IFERROR(IF(A2198="","",E2198*#REF!),"")</f>
        <v/>
      </c>
    </row>
    <row r="2199" spans="2:9" x14ac:dyDescent="0.3">
      <c r="B2199" t="str">
        <f>IFERROR(IF(A2199="","",VLOOKUP(A2199,CadProd!$A:$B,2,0)),"")</f>
        <v/>
      </c>
      <c r="C2199" t="str">
        <f>IFERROR(IF(A2199="","",VLOOKUP(A2199,CadProd!$A:$C,3,0)),"")</f>
        <v/>
      </c>
      <c r="I2199" s="1" t="str">
        <f>IFERROR(IF(A2199="","",E2199*#REF!),"")</f>
        <v/>
      </c>
    </row>
    <row r="2200" spans="2:9" x14ac:dyDescent="0.3">
      <c r="B2200" t="str">
        <f>IFERROR(IF(A2200="","",VLOOKUP(A2200,CadProd!$A:$B,2,0)),"")</f>
        <v/>
      </c>
      <c r="C2200" t="str">
        <f>IFERROR(IF(A2200="","",VLOOKUP(A2200,CadProd!$A:$C,3,0)),"")</f>
        <v/>
      </c>
      <c r="I2200" s="1" t="str">
        <f>IFERROR(IF(A2200="","",E2200*#REF!),"")</f>
        <v/>
      </c>
    </row>
    <row r="2201" spans="2:9" x14ac:dyDescent="0.3">
      <c r="B2201" t="str">
        <f>IFERROR(IF(A2201="","",VLOOKUP(A2201,CadProd!$A:$B,2,0)),"")</f>
        <v/>
      </c>
      <c r="C2201" t="str">
        <f>IFERROR(IF(A2201="","",VLOOKUP(A2201,CadProd!$A:$C,3,0)),"")</f>
        <v/>
      </c>
      <c r="I2201" s="1" t="str">
        <f>IFERROR(IF(A2201="","",E2201*#REF!),"")</f>
        <v/>
      </c>
    </row>
    <row r="2202" spans="2:9" x14ac:dyDescent="0.3">
      <c r="B2202" t="str">
        <f>IFERROR(IF(A2202="","",VLOOKUP(A2202,CadProd!$A:$B,2,0)),"")</f>
        <v/>
      </c>
      <c r="C2202" t="str">
        <f>IFERROR(IF(A2202="","",VLOOKUP(A2202,CadProd!$A:$C,3,0)),"")</f>
        <v/>
      </c>
      <c r="I2202" s="1" t="str">
        <f>IFERROR(IF(A2202="","",E2202*#REF!),"")</f>
        <v/>
      </c>
    </row>
    <row r="2203" spans="2:9" x14ac:dyDescent="0.3">
      <c r="B2203" t="str">
        <f>IFERROR(IF(A2203="","",VLOOKUP(A2203,CadProd!$A:$B,2,0)),"")</f>
        <v/>
      </c>
      <c r="C2203" t="str">
        <f>IFERROR(IF(A2203="","",VLOOKUP(A2203,CadProd!$A:$C,3,0)),"")</f>
        <v/>
      </c>
      <c r="I2203" s="1" t="str">
        <f>IFERROR(IF(A2203="","",E2203*#REF!),"")</f>
        <v/>
      </c>
    </row>
    <row r="2204" spans="2:9" x14ac:dyDescent="0.3">
      <c r="B2204" t="str">
        <f>IFERROR(IF(A2204="","",VLOOKUP(A2204,CadProd!$A:$B,2,0)),"")</f>
        <v/>
      </c>
      <c r="C2204" t="str">
        <f>IFERROR(IF(A2204="","",VLOOKUP(A2204,CadProd!$A:$C,3,0)),"")</f>
        <v/>
      </c>
      <c r="I2204" s="1" t="str">
        <f>IFERROR(IF(A2204="","",E2204*#REF!),"")</f>
        <v/>
      </c>
    </row>
    <row r="2205" spans="2:9" x14ac:dyDescent="0.3">
      <c r="B2205" t="str">
        <f>IFERROR(IF(A2205="","",VLOOKUP(A2205,CadProd!$A:$B,2,0)),"")</f>
        <v/>
      </c>
      <c r="C2205" t="str">
        <f>IFERROR(IF(A2205="","",VLOOKUP(A2205,CadProd!$A:$C,3,0)),"")</f>
        <v/>
      </c>
      <c r="I2205" s="1" t="str">
        <f>IFERROR(IF(A2205="","",E2205*#REF!),"")</f>
        <v/>
      </c>
    </row>
    <row r="2206" spans="2:9" x14ac:dyDescent="0.3">
      <c r="B2206" t="str">
        <f>IFERROR(IF(A2206="","",VLOOKUP(A2206,CadProd!$A:$B,2,0)),"")</f>
        <v/>
      </c>
      <c r="C2206" t="str">
        <f>IFERROR(IF(A2206="","",VLOOKUP(A2206,CadProd!$A:$C,3,0)),"")</f>
        <v/>
      </c>
      <c r="I2206" s="1" t="str">
        <f>IFERROR(IF(A2206="","",E2206*#REF!),"")</f>
        <v/>
      </c>
    </row>
    <row r="2207" spans="2:9" x14ac:dyDescent="0.3">
      <c r="B2207" t="str">
        <f>IFERROR(IF(A2207="","",VLOOKUP(A2207,CadProd!$A:$B,2,0)),"")</f>
        <v/>
      </c>
      <c r="C2207" t="str">
        <f>IFERROR(IF(A2207="","",VLOOKUP(A2207,CadProd!$A:$C,3,0)),"")</f>
        <v/>
      </c>
      <c r="I2207" s="1" t="str">
        <f>IFERROR(IF(A2207="","",E2207*#REF!),"")</f>
        <v/>
      </c>
    </row>
    <row r="2208" spans="2:9" x14ac:dyDescent="0.3">
      <c r="B2208" t="str">
        <f>IFERROR(IF(A2208="","",VLOOKUP(A2208,CadProd!$A:$B,2,0)),"")</f>
        <v/>
      </c>
      <c r="C2208" t="str">
        <f>IFERROR(IF(A2208="","",VLOOKUP(A2208,CadProd!$A:$C,3,0)),"")</f>
        <v/>
      </c>
      <c r="I2208" s="1" t="str">
        <f>IFERROR(IF(A2208="","",E2208*#REF!),"")</f>
        <v/>
      </c>
    </row>
    <row r="2209" spans="2:9" x14ac:dyDescent="0.3">
      <c r="B2209" t="str">
        <f>IFERROR(IF(A2209="","",VLOOKUP(A2209,CadProd!$A:$B,2,0)),"")</f>
        <v/>
      </c>
      <c r="C2209" t="str">
        <f>IFERROR(IF(A2209="","",VLOOKUP(A2209,CadProd!$A:$C,3,0)),"")</f>
        <v/>
      </c>
      <c r="I2209" s="1" t="str">
        <f>IFERROR(IF(A2209="","",E2209*#REF!),"")</f>
        <v/>
      </c>
    </row>
    <row r="2210" spans="2:9" x14ac:dyDescent="0.3">
      <c r="B2210" t="str">
        <f>IFERROR(IF(A2210="","",VLOOKUP(A2210,CadProd!$A:$B,2,0)),"")</f>
        <v/>
      </c>
      <c r="C2210" t="str">
        <f>IFERROR(IF(A2210="","",VLOOKUP(A2210,CadProd!$A:$C,3,0)),"")</f>
        <v/>
      </c>
      <c r="I2210" s="1" t="str">
        <f>IFERROR(IF(A2210="","",E2210*#REF!),"")</f>
        <v/>
      </c>
    </row>
    <row r="2211" spans="2:9" x14ac:dyDescent="0.3">
      <c r="B2211" t="str">
        <f>IFERROR(IF(A2211="","",VLOOKUP(A2211,CadProd!$A:$B,2,0)),"")</f>
        <v/>
      </c>
      <c r="C2211" t="str">
        <f>IFERROR(IF(A2211="","",VLOOKUP(A2211,CadProd!$A:$C,3,0)),"")</f>
        <v/>
      </c>
      <c r="I2211" s="1" t="str">
        <f>IFERROR(IF(A2211="","",E2211*#REF!),"")</f>
        <v/>
      </c>
    </row>
    <row r="2212" spans="2:9" x14ac:dyDescent="0.3">
      <c r="B2212" t="str">
        <f>IFERROR(IF(A2212="","",VLOOKUP(A2212,CadProd!$A:$B,2,0)),"")</f>
        <v/>
      </c>
      <c r="C2212" t="str">
        <f>IFERROR(IF(A2212="","",VLOOKUP(A2212,CadProd!$A:$C,3,0)),"")</f>
        <v/>
      </c>
      <c r="I2212" s="1" t="str">
        <f>IFERROR(IF(A2212="","",E2212*#REF!),"")</f>
        <v/>
      </c>
    </row>
    <row r="2213" spans="2:9" x14ac:dyDescent="0.3">
      <c r="B2213" t="str">
        <f>IFERROR(IF(A2213="","",VLOOKUP(A2213,CadProd!$A:$B,2,0)),"")</f>
        <v/>
      </c>
      <c r="C2213" t="str">
        <f>IFERROR(IF(A2213="","",VLOOKUP(A2213,CadProd!$A:$C,3,0)),"")</f>
        <v/>
      </c>
      <c r="I2213" s="1" t="str">
        <f>IFERROR(IF(A2213="","",E2213*#REF!),"")</f>
        <v/>
      </c>
    </row>
    <row r="2214" spans="2:9" x14ac:dyDescent="0.3">
      <c r="B2214" t="str">
        <f>IFERROR(IF(A2214="","",VLOOKUP(A2214,CadProd!$A:$B,2,0)),"")</f>
        <v/>
      </c>
      <c r="C2214" t="str">
        <f>IFERROR(IF(A2214="","",VLOOKUP(A2214,CadProd!$A:$C,3,0)),"")</f>
        <v/>
      </c>
      <c r="I2214" s="1" t="str">
        <f>IFERROR(IF(A2214="","",E2214*#REF!),"")</f>
        <v/>
      </c>
    </row>
    <row r="2215" spans="2:9" x14ac:dyDescent="0.3">
      <c r="B2215" t="str">
        <f>IFERROR(IF(A2215="","",VLOOKUP(A2215,CadProd!$A:$B,2,0)),"")</f>
        <v/>
      </c>
      <c r="C2215" t="str">
        <f>IFERROR(IF(A2215="","",VLOOKUP(A2215,CadProd!$A:$C,3,0)),"")</f>
        <v/>
      </c>
      <c r="I2215" s="1" t="str">
        <f>IFERROR(IF(A2215="","",E2215*#REF!),"")</f>
        <v/>
      </c>
    </row>
    <row r="2216" spans="2:9" x14ac:dyDescent="0.3">
      <c r="B2216" t="str">
        <f>IFERROR(IF(A2216="","",VLOOKUP(A2216,CadProd!$A:$B,2,0)),"")</f>
        <v/>
      </c>
      <c r="C2216" t="str">
        <f>IFERROR(IF(A2216="","",VLOOKUP(A2216,CadProd!$A:$C,3,0)),"")</f>
        <v/>
      </c>
      <c r="I2216" s="1" t="str">
        <f>IFERROR(IF(A2216="","",E2216*#REF!),"")</f>
        <v/>
      </c>
    </row>
    <row r="2217" spans="2:9" x14ac:dyDescent="0.3">
      <c r="B2217" t="str">
        <f>IFERROR(IF(A2217="","",VLOOKUP(A2217,CadProd!$A:$B,2,0)),"")</f>
        <v/>
      </c>
      <c r="C2217" t="str">
        <f>IFERROR(IF(A2217="","",VLOOKUP(A2217,CadProd!$A:$C,3,0)),"")</f>
        <v/>
      </c>
      <c r="I2217" s="1" t="str">
        <f>IFERROR(IF(A2217="","",E2217*#REF!),"")</f>
        <v/>
      </c>
    </row>
    <row r="2218" spans="2:9" x14ac:dyDescent="0.3">
      <c r="B2218" t="str">
        <f>IFERROR(IF(A2218="","",VLOOKUP(A2218,CadProd!$A:$B,2,0)),"")</f>
        <v/>
      </c>
      <c r="C2218" t="str">
        <f>IFERROR(IF(A2218="","",VLOOKUP(A2218,CadProd!$A:$C,3,0)),"")</f>
        <v/>
      </c>
      <c r="I2218" s="1" t="str">
        <f>IFERROR(IF(A2218="","",E2218*#REF!),"")</f>
        <v/>
      </c>
    </row>
    <row r="2219" spans="2:9" x14ac:dyDescent="0.3">
      <c r="B2219" t="str">
        <f>IFERROR(IF(A2219="","",VLOOKUP(A2219,CadProd!$A:$B,2,0)),"")</f>
        <v/>
      </c>
      <c r="C2219" t="str">
        <f>IFERROR(IF(A2219="","",VLOOKUP(A2219,CadProd!$A:$C,3,0)),"")</f>
        <v/>
      </c>
      <c r="I2219" s="1" t="str">
        <f>IFERROR(IF(A2219="","",E2219*#REF!),"")</f>
        <v/>
      </c>
    </row>
    <row r="2220" spans="2:9" x14ac:dyDescent="0.3">
      <c r="B2220" t="str">
        <f>IFERROR(IF(A2220="","",VLOOKUP(A2220,CadProd!$A:$B,2,0)),"")</f>
        <v/>
      </c>
      <c r="C2220" t="str">
        <f>IFERROR(IF(A2220="","",VLOOKUP(A2220,CadProd!$A:$C,3,0)),"")</f>
        <v/>
      </c>
      <c r="I2220" s="1" t="str">
        <f>IFERROR(IF(A2220="","",E2220*#REF!),"")</f>
        <v/>
      </c>
    </row>
    <row r="2221" spans="2:9" x14ac:dyDescent="0.3">
      <c r="B2221" t="str">
        <f>IFERROR(IF(A2221="","",VLOOKUP(A2221,CadProd!$A:$B,2,0)),"")</f>
        <v/>
      </c>
      <c r="C2221" t="str">
        <f>IFERROR(IF(A2221="","",VLOOKUP(A2221,CadProd!$A:$C,3,0)),"")</f>
        <v/>
      </c>
      <c r="I2221" s="1" t="str">
        <f>IFERROR(IF(A2221="","",E2221*#REF!),"")</f>
        <v/>
      </c>
    </row>
    <row r="2222" spans="2:9" x14ac:dyDescent="0.3">
      <c r="B2222" t="str">
        <f>IFERROR(IF(A2222="","",VLOOKUP(A2222,CadProd!$A:$B,2,0)),"")</f>
        <v/>
      </c>
      <c r="C2222" t="str">
        <f>IFERROR(IF(A2222="","",VLOOKUP(A2222,CadProd!$A:$C,3,0)),"")</f>
        <v/>
      </c>
      <c r="I2222" s="1" t="str">
        <f>IFERROR(IF(A2222="","",E2222*#REF!),"")</f>
        <v/>
      </c>
    </row>
    <row r="2223" spans="2:9" x14ac:dyDescent="0.3">
      <c r="B2223" t="str">
        <f>IFERROR(IF(A2223="","",VLOOKUP(A2223,CadProd!$A:$B,2,0)),"")</f>
        <v/>
      </c>
      <c r="C2223" t="str">
        <f>IFERROR(IF(A2223="","",VLOOKUP(A2223,CadProd!$A:$C,3,0)),"")</f>
        <v/>
      </c>
      <c r="I2223" s="1" t="str">
        <f>IFERROR(IF(A2223="","",E2223*#REF!),"")</f>
        <v/>
      </c>
    </row>
    <row r="2224" spans="2:9" x14ac:dyDescent="0.3">
      <c r="B2224" t="str">
        <f>IFERROR(IF(A2224="","",VLOOKUP(A2224,CadProd!$A:$B,2,0)),"")</f>
        <v/>
      </c>
      <c r="C2224" t="str">
        <f>IFERROR(IF(A2224="","",VLOOKUP(A2224,CadProd!$A:$C,3,0)),"")</f>
        <v/>
      </c>
      <c r="I2224" s="1" t="str">
        <f>IFERROR(IF(A2224="","",E2224*#REF!),"")</f>
        <v/>
      </c>
    </row>
    <row r="2225" spans="2:9" x14ac:dyDescent="0.3">
      <c r="B2225" t="str">
        <f>IFERROR(IF(A2225="","",VLOOKUP(A2225,CadProd!$A:$B,2,0)),"")</f>
        <v/>
      </c>
      <c r="C2225" t="str">
        <f>IFERROR(IF(A2225="","",VLOOKUP(A2225,CadProd!$A:$C,3,0)),"")</f>
        <v/>
      </c>
      <c r="I2225" s="1" t="str">
        <f>IFERROR(IF(A2225="","",E2225*#REF!),"")</f>
        <v/>
      </c>
    </row>
    <row r="2226" spans="2:9" x14ac:dyDescent="0.3">
      <c r="B2226" t="str">
        <f>IFERROR(IF(A2226="","",VLOOKUP(A2226,CadProd!$A:$B,2,0)),"")</f>
        <v/>
      </c>
      <c r="C2226" t="str">
        <f>IFERROR(IF(A2226="","",VLOOKUP(A2226,CadProd!$A:$C,3,0)),"")</f>
        <v/>
      </c>
      <c r="I2226" s="1" t="str">
        <f>IFERROR(IF(A2226="","",E2226*#REF!),"")</f>
        <v/>
      </c>
    </row>
    <row r="2227" spans="2:9" x14ac:dyDescent="0.3">
      <c r="B2227" t="str">
        <f>IFERROR(IF(A2227="","",VLOOKUP(A2227,CadProd!$A:$B,2,0)),"")</f>
        <v/>
      </c>
      <c r="C2227" t="str">
        <f>IFERROR(IF(A2227="","",VLOOKUP(A2227,CadProd!$A:$C,3,0)),"")</f>
        <v/>
      </c>
      <c r="I2227" s="1" t="str">
        <f>IFERROR(IF(A2227="","",E2227*#REF!),"")</f>
        <v/>
      </c>
    </row>
    <row r="2228" spans="2:9" x14ac:dyDescent="0.3">
      <c r="B2228" t="str">
        <f>IFERROR(IF(A2228="","",VLOOKUP(A2228,CadProd!$A:$B,2,0)),"")</f>
        <v/>
      </c>
      <c r="C2228" t="str">
        <f>IFERROR(IF(A2228="","",VLOOKUP(A2228,CadProd!$A:$C,3,0)),"")</f>
        <v/>
      </c>
      <c r="I2228" s="1" t="str">
        <f>IFERROR(IF(A2228="","",E2228*#REF!),"")</f>
        <v/>
      </c>
    </row>
    <row r="2229" spans="2:9" x14ac:dyDescent="0.3">
      <c r="B2229" t="str">
        <f>IFERROR(IF(A2229="","",VLOOKUP(A2229,CadProd!$A:$B,2,0)),"")</f>
        <v/>
      </c>
      <c r="C2229" t="str">
        <f>IFERROR(IF(A2229="","",VLOOKUP(A2229,CadProd!$A:$C,3,0)),"")</f>
        <v/>
      </c>
      <c r="I2229" s="1" t="str">
        <f>IFERROR(IF(A2229="","",E2229*#REF!),"")</f>
        <v/>
      </c>
    </row>
    <row r="2230" spans="2:9" x14ac:dyDescent="0.3">
      <c r="B2230" t="str">
        <f>IFERROR(IF(A2230="","",VLOOKUP(A2230,CadProd!$A:$B,2,0)),"")</f>
        <v/>
      </c>
      <c r="C2230" t="str">
        <f>IFERROR(IF(A2230="","",VLOOKUP(A2230,CadProd!$A:$C,3,0)),"")</f>
        <v/>
      </c>
      <c r="I2230" s="1" t="str">
        <f>IFERROR(IF(A2230="","",E2230*#REF!),"")</f>
        <v/>
      </c>
    </row>
    <row r="2231" spans="2:9" x14ac:dyDescent="0.3">
      <c r="B2231" t="str">
        <f>IFERROR(IF(A2231="","",VLOOKUP(A2231,CadProd!$A:$B,2,0)),"")</f>
        <v/>
      </c>
      <c r="C2231" t="str">
        <f>IFERROR(IF(A2231="","",VLOOKUP(A2231,CadProd!$A:$C,3,0)),"")</f>
        <v/>
      </c>
      <c r="I2231" s="1" t="str">
        <f>IFERROR(IF(A2231="","",E2231*#REF!),"")</f>
        <v/>
      </c>
    </row>
    <row r="2232" spans="2:9" x14ac:dyDescent="0.3">
      <c r="B2232" t="str">
        <f>IFERROR(IF(A2232="","",VLOOKUP(A2232,CadProd!$A:$B,2,0)),"")</f>
        <v/>
      </c>
      <c r="C2232" t="str">
        <f>IFERROR(IF(A2232="","",VLOOKUP(A2232,CadProd!$A:$C,3,0)),"")</f>
        <v/>
      </c>
      <c r="I2232" s="1" t="str">
        <f>IFERROR(IF(A2232="","",E2232*#REF!),"")</f>
        <v/>
      </c>
    </row>
    <row r="2233" spans="2:9" x14ac:dyDescent="0.3">
      <c r="B2233" t="str">
        <f>IFERROR(IF(A2233="","",VLOOKUP(A2233,CadProd!$A:$B,2,0)),"")</f>
        <v/>
      </c>
      <c r="C2233" t="str">
        <f>IFERROR(IF(A2233="","",VLOOKUP(A2233,CadProd!$A:$C,3,0)),"")</f>
        <v/>
      </c>
      <c r="I2233" s="1" t="str">
        <f>IFERROR(IF(A2233="","",E2233*#REF!),"")</f>
        <v/>
      </c>
    </row>
    <row r="2234" spans="2:9" x14ac:dyDescent="0.3">
      <c r="B2234" t="str">
        <f>IFERROR(IF(A2234="","",VLOOKUP(A2234,CadProd!$A:$B,2,0)),"")</f>
        <v/>
      </c>
      <c r="C2234" t="str">
        <f>IFERROR(IF(A2234="","",VLOOKUP(A2234,CadProd!$A:$C,3,0)),"")</f>
        <v/>
      </c>
      <c r="I2234" s="1" t="str">
        <f>IFERROR(IF(A2234="","",E2234*#REF!),"")</f>
        <v/>
      </c>
    </row>
    <row r="2235" spans="2:9" x14ac:dyDescent="0.3">
      <c r="B2235" t="str">
        <f>IFERROR(IF(A2235="","",VLOOKUP(A2235,CadProd!$A:$B,2,0)),"")</f>
        <v/>
      </c>
      <c r="C2235" t="str">
        <f>IFERROR(IF(A2235="","",VLOOKUP(A2235,CadProd!$A:$C,3,0)),"")</f>
        <v/>
      </c>
      <c r="I2235" s="1" t="str">
        <f>IFERROR(IF(A2235="","",E2235*#REF!),"")</f>
        <v/>
      </c>
    </row>
    <row r="2236" spans="2:9" x14ac:dyDescent="0.3">
      <c r="B2236" t="str">
        <f>IFERROR(IF(A2236="","",VLOOKUP(A2236,CadProd!$A:$B,2,0)),"")</f>
        <v/>
      </c>
      <c r="C2236" t="str">
        <f>IFERROR(IF(A2236="","",VLOOKUP(A2236,CadProd!$A:$C,3,0)),"")</f>
        <v/>
      </c>
      <c r="I2236" s="1" t="str">
        <f>IFERROR(IF(A2236="","",E2236*#REF!),"")</f>
        <v/>
      </c>
    </row>
    <row r="2237" spans="2:9" x14ac:dyDescent="0.3">
      <c r="B2237" t="str">
        <f>IFERROR(IF(A2237="","",VLOOKUP(A2237,CadProd!$A:$B,2,0)),"")</f>
        <v/>
      </c>
      <c r="C2237" t="str">
        <f>IFERROR(IF(A2237="","",VLOOKUP(A2237,CadProd!$A:$C,3,0)),"")</f>
        <v/>
      </c>
      <c r="I2237" s="1" t="str">
        <f>IFERROR(IF(A2237="","",E2237*#REF!),"")</f>
        <v/>
      </c>
    </row>
    <row r="2238" spans="2:9" x14ac:dyDescent="0.3">
      <c r="B2238" t="str">
        <f>IFERROR(IF(A2238="","",VLOOKUP(A2238,CadProd!$A:$B,2,0)),"")</f>
        <v/>
      </c>
      <c r="C2238" t="str">
        <f>IFERROR(IF(A2238="","",VLOOKUP(A2238,CadProd!$A:$C,3,0)),"")</f>
        <v/>
      </c>
      <c r="I2238" s="1" t="str">
        <f>IFERROR(IF(A2238="","",E2238*#REF!),"")</f>
        <v/>
      </c>
    </row>
    <row r="2239" spans="2:9" x14ac:dyDescent="0.3">
      <c r="B2239" t="str">
        <f>IFERROR(IF(A2239="","",VLOOKUP(A2239,CadProd!$A:$B,2,0)),"")</f>
        <v/>
      </c>
      <c r="C2239" t="str">
        <f>IFERROR(IF(A2239="","",VLOOKUP(A2239,CadProd!$A:$C,3,0)),"")</f>
        <v/>
      </c>
      <c r="I2239" s="1" t="str">
        <f>IFERROR(IF(A2239="","",E2239*#REF!),"")</f>
        <v/>
      </c>
    </row>
    <row r="2240" spans="2:9" x14ac:dyDescent="0.3">
      <c r="B2240" t="str">
        <f>IFERROR(IF(A2240="","",VLOOKUP(A2240,CadProd!$A:$B,2,0)),"")</f>
        <v/>
      </c>
      <c r="C2240" t="str">
        <f>IFERROR(IF(A2240="","",VLOOKUP(A2240,CadProd!$A:$C,3,0)),"")</f>
        <v/>
      </c>
      <c r="I2240" s="1" t="str">
        <f>IFERROR(IF(A2240="","",E2240*#REF!),"")</f>
        <v/>
      </c>
    </row>
    <row r="2241" spans="2:9" x14ac:dyDescent="0.3">
      <c r="B2241" t="str">
        <f>IFERROR(IF(A2241="","",VLOOKUP(A2241,CadProd!$A:$B,2,0)),"")</f>
        <v/>
      </c>
      <c r="C2241" t="str">
        <f>IFERROR(IF(A2241="","",VLOOKUP(A2241,CadProd!$A:$C,3,0)),"")</f>
        <v/>
      </c>
      <c r="I2241" s="1" t="str">
        <f>IFERROR(IF(A2241="","",E2241*#REF!),"")</f>
        <v/>
      </c>
    </row>
    <row r="2242" spans="2:9" x14ac:dyDescent="0.3">
      <c r="B2242" t="str">
        <f>IFERROR(IF(A2242="","",VLOOKUP(A2242,CadProd!$A:$B,2,0)),"")</f>
        <v/>
      </c>
      <c r="C2242" t="str">
        <f>IFERROR(IF(A2242="","",VLOOKUP(A2242,CadProd!$A:$C,3,0)),"")</f>
        <v/>
      </c>
      <c r="I2242" s="1" t="str">
        <f>IFERROR(IF(A2242="","",E2242*#REF!),"")</f>
        <v/>
      </c>
    </row>
    <row r="2243" spans="2:9" x14ac:dyDescent="0.3">
      <c r="B2243" t="str">
        <f>IFERROR(IF(A2243="","",VLOOKUP(A2243,CadProd!$A:$B,2,0)),"")</f>
        <v/>
      </c>
      <c r="C2243" t="str">
        <f>IFERROR(IF(A2243="","",VLOOKUP(A2243,CadProd!$A:$C,3,0)),"")</f>
        <v/>
      </c>
      <c r="I2243" s="1" t="str">
        <f>IFERROR(IF(A2243="","",E2243*#REF!),"")</f>
        <v/>
      </c>
    </row>
    <row r="2244" spans="2:9" x14ac:dyDescent="0.3">
      <c r="B2244" t="str">
        <f>IFERROR(IF(A2244="","",VLOOKUP(A2244,CadProd!$A:$B,2,0)),"")</f>
        <v/>
      </c>
      <c r="C2244" t="str">
        <f>IFERROR(IF(A2244="","",VLOOKUP(A2244,CadProd!$A:$C,3,0)),"")</f>
        <v/>
      </c>
      <c r="I2244" s="1" t="str">
        <f>IFERROR(IF(A2244="","",E2244*#REF!),"")</f>
        <v/>
      </c>
    </row>
    <row r="2245" spans="2:9" x14ac:dyDescent="0.3">
      <c r="B2245" t="str">
        <f>IFERROR(IF(A2245="","",VLOOKUP(A2245,CadProd!$A:$B,2,0)),"")</f>
        <v/>
      </c>
      <c r="C2245" t="str">
        <f>IFERROR(IF(A2245="","",VLOOKUP(A2245,CadProd!$A:$C,3,0)),"")</f>
        <v/>
      </c>
      <c r="I2245" s="1" t="str">
        <f>IFERROR(IF(A2245="","",E2245*#REF!),"")</f>
        <v/>
      </c>
    </row>
    <row r="2246" spans="2:9" x14ac:dyDescent="0.3">
      <c r="B2246" t="str">
        <f>IFERROR(IF(A2246="","",VLOOKUP(A2246,CadProd!$A:$B,2,0)),"")</f>
        <v/>
      </c>
      <c r="C2246" t="str">
        <f>IFERROR(IF(A2246="","",VLOOKUP(A2246,CadProd!$A:$C,3,0)),"")</f>
        <v/>
      </c>
      <c r="I2246" s="1" t="str">
        <f>IFERROR(IF(A2246="","",E2246*#REF!),"")</f>
        <v/>
      </c>
    </row>
    <row r="2247" spans="2:9" x14ac:dyDescent="0.3">
      <c r="B2247" t="str">
        <f>IFERROR(IF(A2247="","",VLOOKUP(A2247,CadProd!$A:$B,2,0)),"")</f>
        <v/>
      </c>
      <c r="C2247" t="str">
        <f>IFERROR(IF(A2247="","",VLOOKUP(A2247,CadProd!$A:$C,3,0)),"")</f>
        <v/>
      </c>
      <c r="I2247" s="1" t="str">
        <f>IFERROR(IF(A2247="","",E2247*#REF!),"")</f>
        <v/>
      </c>
    </row>
    <row r="2248" spans="2:9" x14ac:dyDescent="0.3">
      <c r="B2248" t="str">
        <f>IFERROR(IF(A2248="","",VLOOKUP(A2248,CadProd!$A:$B,2,0)),"")</f>
        <v/>
      </c>
      <c r="C2248" t="str">
        <f>IFERROR(IF(A2248="","",VLOOKUP(A2248,CadProd!$A:$C,3,0)),"")</f>
        <v/>
      </c>
      <c r="I2248" s="1" t="str">
        <f>IFERROR(IF(A2248="","",E2248*#REF!),"")</f>
        <v/>
      </c>
    </row>
    <row r="2249" spans="2:9" x14ac:dyDescent="0.3">
      <c r="B2249" t="str">
        <f>IFERROR(IF(A2249="","",VLOOKUP(A2249,CadProd!$A:$B,2,0)),"")</f>
        <v/>
      </c>
      <c r="C2249" t="str">
        <f>IFERROR(IF(A2249="","",VLOOKUP(A2249,CadProd!$A:$C,3,0)),"")</f>
        <v/>
      </c>
      <c r="I2249" s="1" t="str">
        <f>IFERROR(IF(A2249="","",E2249*#REF!),"")</f>
        <v/>
      </c>
    </row>
    <row r="2250" spans="2:9" x14ac:dyDescent="0.3">
      <c r="B2250" t="str">
        <f>IFERROR(IF(A2250="","",VLOOKUP(A2250,CadProd!$A:$B,2,0)),"")</f>
        <v/>
      </c>
      <c r="C2250" t="str">
        <f>IFERROR(IF(A2250="","",VLOOKUP(A2250,CadProd!$A:$C,3,0)),"")</f>
        <v/>
      </c>
      <c r="I2250" s="1" t="str">
        <f>IFERROR(IF(A2250="","",E2250*#REF!),"")</f>
        <v/>
      </c>
    </row>
    <row r="2251" spans="2:9" x14ac:dyDescent="0.3">
      <c r="B2251" t="str">
        <f>IFERROR(IF(A2251="","",VLOOKUP(A2251,CadProd!$A:$B,2,0)),"")</f>
        <v/>
      </c>
      <c r="C2251" t="str">
        <f>IFERROR(IF(A2251="","",VLOOKUP(A2251,CadProd!$A:$C,3,0)),"")</f>
        <v/>
      </c>
      <c r="I2251" s="1" t="str">
        <f>IFERROR(IF(A2251="","",E2251*#REF!),"")</f>
        <v/>
      </c>
    </row>
    <row r="2252" spans="2:9" x14ac:dyDescent="0.3">
      <c r="B2252" t="str">
        <f>IFERROR(IF(A2252="","",VLOOKUP(A2252,CadProd!$A:$B,2,0)),"")</f>
        <v/>
      </c>
      <c r="C2252" t="str">
        <f>IFERROR(IF(A2252="","",VLOOKUP(A2252,CadProd!$A:$C,3,0)),"")</f>
        <v/>
      </c>
      <c r="I2252" s="1" t="str">
        <f>IFERROR(IF(A2252="","",E2252*#REF!),"")</f>
        <v/>
      </c>
    </row>
    <row r="2253" spans="2:9" x14ac:dyDescent="0.3">
      <c r="B2253" t="str">
        <f>IFERROR(IF(A2253="","",VLOOKUP(A2253,CadProd!$A:$B,2,0)),"")</f>
        <v/>
      </c>
      <c r="C2253" t="str">
        <f>IFERROR(IF(A2253="","",VLOOKUP(A2253,CadProd!$A:$C,3,0)),"")</f>
        <v/>
      </c>
      <c r="I2253" s="1" t="str">
        <f>IFERROR(IF(A2253="","",E2253*#REF!),"")</f>
        <v/>
      </c>
    </row>
    <row r="2254" spans="2:9" x14ac:dyDescent="0.3">
      <c r="B2254" t="str">
        <f>IFERROR(IF(A2254="","",VLOOKUP(A2254,CadProd!$A:$B,2,0)),"")</f>
        <v/>
      </c>
      <c r="C2254" t="str">
        <f>IFERROR(IF(A2254="","",VLOOKUP(A2254,CadProd!$A:$C,3,0)),"")</f>
        <v/>
      </c>
      <c r="I2254" s="1" t="str">
        <f>IFERROR(IF(A2254="","",E2254*#REF!),"")</f>
        <v/>
      </c>
    </row>
    <row r="2255" spans="2:9" x14ac:dyDescent="0.3">
      <c r="B2255" t="str">
        <f>IFERROR(IF(A2255="","",VLOOKUP(A2255,CadProd!$A:$B,2,0)),"")</f>
        <v/>
      </c>
      <c r="C2255" t="str">
        <f>IFERROR(IF(A2255="","",VLOOKUP(A2255,CadProd!$A:$C,3,0)),"")</f>
        <v/>
      </c>
      <c r="I2255" s="1" t="str">
        <f>IFERROR(IF(A2255="","",E2255*#REF!),"")</f>
        <v/>
      </c>
    </row>
    <row r="2256" spans="2:9" x14ac:dyDescent="0.3">
      <c r="B2256" t="str">
        <f>IFERROR(IF(A2256="","",VLOOKUP(A2256,CadProd!$A:$B,2,0)),"")</f>
        <v/>
      </c>
      <c r="C2256" t="str">
        <f>IFERROR(IF(A2256="","",VLOOKUP(A2256,CadProd!$A:$C,3,0)),"")</f>
        <v/>
      </c>
      <c r="I2256" s="1" t="str">
        <f>IFERROR(IF(A2256="","",E2256*#REF!),"")</f>
        <v/>
      </c>
    </row>
    <row r="2257" spans="2:9" x14ac:dyDescent="0.3">
      <c r="B2257" t="str">
        <f>IFERROR(IF(A2257="","",VLOOKUP(A2257,CadProd!$A:$B,2,0)),"")</f>
        <v/>
      </c>
      <c r="C2257" t="str">
        <f>IFERROR(IF(A2257="","",VLOOKUP(A2257,CadProd!$A:$C,3,0)),"")</f>
        <v/>
      </c>
      <c r="I2257" s="1" t="str">
        <f>IFERROR(IF(A2257="","",E2257*#REF!),"")</f>
        <v/>
      </c>
    </row>
    <row r="2258" spans="2:9" x14ac:dyDescent="0.3">
      <c r="B2258" t="str">
        <f>IFERROR(IF(A2258="","",VLOOKUP(A2258,CadProd!$A:$B,2,0)),"")</f>
        <v/>
      </c>
      <c r="C2258" t="str">
        <f>IFERROR(IF(A2258="","",VLOOKUP(A2258,CadProd!$A:$C,3,0)),"")</f>
        <v/>
      </c>
      <c r="I2258" s="1" t="str">
        <f>IFERROR(IF(A2258="","",E2258*#REF!),"")</f>
        <v/>
      </c>
    </row>
    <row r="2259" spans="2:9" x14ac:dyDescent="0.3">
      <c r="B2259" t="str">
        <f>IFERROR(IF(A2259="","",VLOOKUP(A2259,CadProd!$A:$B,2,0)),"")</f>
        <v/>
      </c>
      <c r="C2259" t="str">
        <f>IFERROR(IF(A2259="","",VLOOKUP(A2259,CadProd!$A:$C,3,0)),"")</f>
        <v/>
      </c>
      <c r="I2259" s="1" t="str">
        <f>IFERROR(IF(A2259="","",E2259*#REF!),"")</f>
        <v/>
      </c>
    </row>
    <row r="2260" spans="2:9" x14ac:dyDescent="0.3">
      <c r="B2260" t="str">
        <f>IFERROR(IF(A2260="","",VLOOKUP(A2260,CadProd!$A:$B,2,0)),"")</f>
        <v/>
      </c>
      <c r="C2260" t="str">
        <f>IFERROR(IF(A2260="","",VLOOKUP(A2260,CadProd!$A:$C,3,0)),"")</f>
        <v/>
      </c>
      <c r="I2260" s="1" t="str">
        <f>IFERROR(IF(A2260="","",E2260*#REF!),"")</f>
        <v/>
      </c>
    </row>
    <row r="2261" spans="2:9" x14ac:dyDescent="0.3">
      <c r="B2261" t="str">
        <f>IFERROR(IF(A2261="","",VLOOKUP(A2261,CadProd!$A:$B,2,0)),"")</f>
        <v/>
      </c>
      <c r="C2261" t="str">
        <f>IFERROR(IF(A2261="","",VLOOKUP(A2261,CadProd!$A:$C,3,0)),"")</f>
        <v/>
      </c>
      <c r="I2261" s="1" t="str">
        <f>IFERROR(IF(A2261="","",E2261*#REF!),"")</f>
        <v/>
      </c>
    </row>
    <row r="2262" spans="2:9" x14ac:dyDescent="0.3">
      <c r="B2262" t="str">
        <f>IFERROR(IF(A2262="","",VLOOKUP(A2262,CadProd!$A:$B,2,0)),"")</f>
        <v/>
      </c>
      <c r="C2262" t="str">
        <f>IFERROR(IF(A2262="","",VLOOKUP(A2262,CadProd!$A:$C,3,0)),"")</f>
        <v/>
      </c>
      <c r="I2262" s="1" t="str">
        <f>IFERROR(IF(A2262="","",E2262*#REF!),"")</f>
        <v/>
      </c>
    </row>
    <row r="2263" spans="2:9" x14ac:dyDescent="0.3">
      <c r="B2263" t="str">
        <f>IFERROR(IF(A2263="","",VLOOKUP(A2263,CadProd!$A:$B,2,0)),"")</f>
        <v/>
      </c>
      <c r="C2263" t="str">
        <f>IFERROR(IF(A2263="","",VLOOKUP(A2263,CadProd!$A:$C,3,0)),"")</f>
        <v/>
      </c>
      <c r="I2263" s="1" t="str">
        <f>IFERROR(IF(A2263="","",E2263*#REF!),"")</f>
        <v/>
      </c>
    </row>
    <row r="2264" spans="2:9" x14ac:dyDescent="0.3">
      <c r="B2264" t="str">
        <f>IFERROR(IF(A2264="","",VLOOKUP(A2264,CadProd!$A:$B,2,0)),"")</f>
        <v/>
      </c>
      <c r="C2264" t="str">
        <f>IFERROR(IF(A2264="","",VLOOKUP(A2264,CadProd!$A:$C,3,0)),"")</f>
        <v/>
      </c>
      <c r="I2264" s="1" t="str">
        <f>IFERROR(IF(A2264="","",E2264*#REF!),"")</f>
        <v/>
      </c>
    </row>
    <row r="2265" spans="2:9" x14ac:dyDescent="0.3">
      <c r="B2265" t="str">
        <f>IFERROR(IF(A2265="","",VLOOKUP(A2265,CadProd!$A:$B,2,0)),"")</f>
        <v/>
      </c>
      <c r="C2265" t="str">
        <f>IFERROR(IF(A2265="","",VLOOKUP(A2265,CadProd!$A:$C,3,0)),"")</f>
        <v/>
      </c>
      <c r="I2265" s="1" t="str">
        <f>IFERROR(IF(A2265="","",E2265*#REF!),"")</f>
        <v/>
      </c>
    </row>
    <row r="2266" spans="2:9" x14ac:dyDescent="0.3">
      <c r="B2266" t="str">
        <f>IFERROR(IF(A2266="","",VLOOKUP(A2266,CadProd!$A:$B,2,0)),"")</f>
        <v/>
      </c>
      <c r="C2266" t="str">
        <f>IFERROR(IF(A2266="","",VLOOKUP(A2266,CadProd!$A:$C,3,0)),"")</f>
        <v/>
      </c>
      <c r="I2266" s="1" t="str">
        <f>IFERROR(IF(A2266="","",E2266*#REF!),"")</f>
        <v/>
      </c>
    </row>
    <row r="2267" spans="2:9" x14ac:dyDescent="0.3">
      <c r="B2267" t="str">
        <f>IFERROR(IF(A2267="","",VLOOKUP(A2267,CadProd!$A:$B,2,0)),"")</f>
        <v/>
      </c>
      <c r="C2267" t="str">
        <f>IFERROR(IF(A2267="","",VLOOKUP(A2267,CadProd!$A:$C,3,0)),"")</f>
        <v/>
      </c>
      <c r="I2267" s="1" t="str">
        <f>IFERROR(IF(A2267="","",E2267*#REF!),"")</f>
        <v/>
      </c>
    </row>
    <row r="2268" spans="2:9" x14ac:dyDescent="0.3">
      <c r="B2268" t="str">
        <f>IFERROR(IF(A2268="","",VLOOKUP(A2268,CadProd!$A:$B,2,0)),"")</f>
        <v/>
      </c>
      <c r="C2268" t="str">
        <f>IFERROR(IF(A2268="","",VLOOKUP(A2268,CadProd!$A:$C,3,0)),"")</f>
        <v/>
      </c>
      <c r="I2268" s="1" t="str">
        <f>IFERROR(IF(A2268="","",E2268*#REF!),"")</f>
        <v/>
      </c>
    </row>
    <row r="2269" spans="2:9" x14ac:dyDescent="0.3">
      <c r="B2269" t="str">
        <f>IFERROR(IF(A2269="","",VLOOKUP(A2269,CadProd!$A:$B,2,0)),"")</f>
        <v/>
      </c>
      <c r="C2269" t="str">
        <f>IFERROR(IF(A2269="","",VLOOKUP(A2269,CadProd!$A:$C,3,0)),"")</f>
        <v/>
      </c>
      <c r="I2269" s="1" t="str">
        <f>IFERROR(IF(A2269="","",E2269*#REF!),"")</f>
        <v/>
      </c>
    </row>
    <row r="2270" spans="2:9" x14ac:dyDescent="0.3">
      <c r="B2270" t="str">
        <f>IFERROR(IF(A2270="","",VLOOKUP(A2270,CadProd!$A:$B,2,0)),"")</f>
        <v/>
      </c>
      <c r="C2270" t="str">
        <f>IFERROR(IF(A2270="","",VLOOKUP(A2270,CadProd!$A:$C,3,0)),"")</f>
        <v/>
      </c>
      <c r="I2270" s="1" t="str">
        <f>IFERROR(IF(A2270="","",E2270*#REF!),"")</f>
        <v/>
      </c>
    </row>
    <row r="2271" spans="2:9" x14ac:dyDescent="0.3">
      <c r="B2271" t="str">
        <f>IFERROR(IF(A2271="","",VLOOKUP(A2271,CadProd!$A:$B,2,0)),"")</f>
        <v/>
      </c>
      <c r="C2271" t="str">
        <f>IFERROR(IF(A2271="","",VLOOKUP(A2271,CadProd!$A:$C,3,0)),"")</f>
        <v/>
      </c>
      <c r="I2271" s="1" t="str">
        <f>IFERROR(IF(A2271="","",E2271*#REF!),"")</f>
        <v/>
      </c>
    </row>
    <row r="2272" spans="2:9" x14ac:dyDescent="0.3">
      <c r="B2272" t="str">
        <f>IFERROR(IF(A2272="","",VLOOKUP(A2272,CadProd!$A:$B,2,0)),"")</f>
        <v/>
      </c>
      <c r="C2272" t="str">
        <f>IFERROR(IF(A2272="","",VLOOKUP(A2272,CadProd!$A:$C,3,0)),"")</f>
        <v/>
      </c>
      <c r="I2272" s="1" t="str">
        <f>IFERROR(IF(A2272="","",E2272*#REF!),"")</f>
        <v/>
      </c>
    </row>
    <row r="2273" spans="2:9" x14ac:dyDescent="0.3">
      <c r="B2273" t="str">
        <f>IFERROR(IF(A2273="","",VLOOKUP(A2273,CadProd!$A:$B,2,0)),"")</f>
        <v/>
      </c>
      <c r="C2273" t="str">
        <f>IFERROR(IF(A2273="","",VLOOKUP(A2273,CadProd!$A:$C,3,0)),"")</f>
        <v/>
      </c>
      <c r="I2273" s="1" t="str">
        <f>IFERROR(IF(A2273="","",E2273*#REF!),"")</f>
        <v/>
      </c>
    </row>
    <row r="2274" spans="2:9" x14ac:dyDescent="0.3">
      <c r="B2274" t="str">
        <f>IFERROR(IF(A2274="","",VLOOKUP(A2274,CadProd!$A:$B,2,0)),"")</f>
        <v/>
      </c>
      <c r="C2274" t="str">
        <f>IFERROR(IF(A2274="","",VLOOKUP(A2274,CadProd!$A:$C,3,0)),"")</f>
        <v/>
      </c>
      <c r="I2274" s="1" t="str">
        <f>IFERROR(IF(A2274="","",E2274*#REF!),"")</f>
        <v/>
      </c>
    </row>
    <row r="2275" spans="2:9" x14ac:dyDescent="0.3">
      <c r="B2275" t="str">
        <f>IFERROR(IF(A2275="","",VLOOKUP(A2275,CadProd!$A:$B,2,0)),"")</f>
        <v/>
      </c>
      <c r="C2275" t="str">
        <f>IFERROR(IF(A2275="","",VLOOKUP(A2275,CadProd!$A:$C,3,0)),"")</f>
        <v/>
      </c>
      <c r="I2275" s="1" t="str">
        <f>IFERROR(IF(A2275="","",E2275*#REF!),"")</f>
        <v/>
      </c>
    </row>
    <row r="2276" spans="2:9" x14ac:dyDescent="0.3">
      <c r="B2276" t="str">
        <f>IFERROR(IF(A2276="","",VLOOKUP(A2276,CadProd!$A:$B,2,0)),"")</f>
        <v/>
      </c>
      <c r="C2276" t="str">
        <f>IFERROR(IF(A2276="","",VLOOKUP(A2276,CadProd!$A:$C,3,0)),"")</f>
        <v/>
      </c>
      <c r="I2276" s="1" t="str">
        <f>IFERROR(IF(A2276="","",E2276*#REF!),"")</f>
        <v/>
      </c>
    </row>
    <row r="2277" spans="2:9" x14ac:dyDescent="0.3">
      <c r="B2277" t="str">
        <f>IFERROR(IF(A2277="","",VLOOKUP(A2277,CadProd!$A:$B,2,0)),"")</f>
        <v/>
      </c>
      <c r="C2277" t="str">
        <f>IFERROR(IF(A2277="","",VLOOKUP(A2277,CadProd!$A:$C,3,0)),"")</f>
        <v/>
      </c>
      <c r="I2277" s="1" t="str">
        <f>IFERROR(IF(A2277="","",E2277*#REF!),"")</f>
        <v/>
      </c>
    </row>
    <row r="2278" spans="2:9" x14ac:dyDescent="0.3">
      <c r="B2278" t="str">
        <f>IFERROR(IF(A2278="","",VLOOKUP(A2278,CadProd!$A:$B,2,0)),"")</f>
        <v/>
      </c>
      <c r="C2278" t="str">
        <f>IFERROR(IF(A2278="","",VLOOKUP(A2278,CadProd!$A:$C,3,0)),"")</f>
        <v/>
      </c>
      <c r="I2278" s="1" t="str">
        <f>IFERROR(IF(A2278="","",E2278*#REF!),"")</f>
        <v/>
      </c>
    </row>
    <row r="2279" spans="2:9" x14ac:dyDescent="0.3">
      <c r="B2279" t="str">
        <f>IFERROR(IF(A2279="","",VLOOKUP(A2279,CadProd!$A:$B,2,0)),"")</f>
        <v/>
      </c>
      <c r="C2279" t="str">
        <f>IFERROR(IF(A2279="","",VLOOKUP(A2279,CadProd!$A:$C,3,0)),"")</f>
        <v/>
      </c>
      <c r="I2279" s="1" t="str">
        <f>IFERROR(IF(A2279="","",E2279*#REF!),"")</f>
        <v/>
      </c>
    </row>
    <row r="2280" spans="2:9" x14ac:dyDescent="0.3">
      <c r="B2280" t="str">
        <f>IFERROR(IF(A2280="","",VLOOKUP(A2280,CadProd!$A:$B,2,0)),"")</f>
        <v/>
      </c>
      <c r="C2280" t="str">
        <f>IFERROR(IF(A2280="","",VLOOKUP(A2280,CadProd!$A:$C,3,0)),"")</f>
        <v/>
      </c>
      <c r="I2280" s="1" t="str">
        <f>IFERROR(IF(A2280="","",E2280*#REF!),"")</f>
        <v/>
      </c>
    </row>
    <row r="2281" spans="2:9" x14ac:dyDescent="0.3">
      <c r="B2281" t="str">
        <f>IFERROR(IF(A2281="","",VLOOKUP(A2281,CadProd!$A:$B,2,0)),"")</f>
        <v/>
      </c>
      <c r="C2281" t="str">
        <f>IFERROR(IF(A2281="","",VLOOKUP(A2281,CadProd!$A:$C,3,0)),"")</f>
        <v/>
      </c>
      <c r="I2281" s="1" t="str">
        <f>IFERROR(IF(A2281="","",E2281*#REF!),"")</f>
        <v/>
      </c>
    </row>
    <row r="2282" spans="2:9" x14ac:dyDescent="0.3">
      <c r="B2282" t="str">
        <f>IFERROR(IF(A2282="","",VLOOKUP(A2282,CadProd!$A:$B,2,0)),"")</f>
        <v/>
      </c>
      <c r="C2282" t="str">
        <f>IFERROR(IF(A2282="","",VLOOKUP(A2282,CadProd!$A:$C,3,0)),"")</f>
        <v/>
      </c>
      <c r="I2282" s="1" t="str">
        <f>IFERROR(IF(A2282="","",E2282*#REF!),"")</f>
        <v/>
      </c>
    </row>
    <row r="2283" spans="2:9" x14ac:dyDescent="0.3">
      <c r="B2283" t="str">
        <f>IFERROR(IF(A2283="","",VLOOKUP(A2283,CadProd!$A:$B,2,0)),"")</f>
        <v/>
      </c>
      <c r="C2283" t="str">
        <f>IFERROR(IF(A2283="","",VLOOKUP(A2283,CadProd!$A:$C,3,0)),"")</f>
        <v/>
      </c>
      <c r="I2283" s="1" t="str">
        <f>IFERROR(IF(A2283="","",E2283*#REF!),"")</f>
        <v/>
      </c>
    </row>
    <row r="2284" spans="2:9" x14ac:dyDescent="0.3">
      <c r="B2284" t="str">
        <f>IFERROR(IF(A2284="","",VLOOKUP(A2284,CadProd!$A:$B,2,0)),"")</f>
        <v/>
      </c>
      <c r="C2284" t="str">
        <f>IFERROR(IF(A2284="","",VLOOKUP(A2284,CadProd!$A:$C,3,0)),"")</f>
        <v/>
      </c>
      <c r="I2284" s="1" t="str">
        <f>IFERROR(IF(A2284="","",E2284*#REF!),"")</f>
        <v/>
      </c>
    </row>
    <row r="2285" spans="2:9" x14ac:dyDescent="0.3">
      <c r="B2285" t="str">
        <f>IFERROR(IF(A2285="","",VLOOKUP(A2285,CadProd!$A:$B,2,0)),"")</f>
        <v/>
      </c>
      <c r="C2285" t="str">
        <f>IFERROR(IF(A2285="","",VLOOKUP(A2285,CadProd!$A:$C,3,0)),"")</f>
        <v/>
      </c>
      <c r="I2285" s="1" t="str">
        <f>IFERROR(IF(A2285="","",E2285*#REF!),"")</f>
        <v/>
      </c>
    </row>
    <row r="2286" spans="2:9" x14ac:dyDescent="0.3">
      <c r="B2286" t="str">
        <f>IFERROR(IF(A2286="","",VLOOKUP(A2286,CadProd!$A:$B,2,0)),"")</f>
        <v/>
      </c>
      <c r="C2286" t="str">
        <f>IFERROR(IF(A2286="","",VLOOKUP(A2286,CadProd!$A:$C,3,0)),"")</f>
        <v/>
      </c>
      <c r="I2286" s="1" t="str">
        <f>IFERROR(IF(A2286="","",E2286*#REF!),"")</f>
        <v/>
      </c>
    </row>
    <row r="2287" spans="2:9" x14ac:dyDescent="0.3">
      <c r="B2287" t="str">
        <f>IFERROR(IF(A2287="","",VLOOKUP(A2287,CadProd!$A:$B,2,0)),"")</f>
        <v/>
      </c>
      <c r="C2287" t="str">
        <f>IFERROR(IF(A2287="","",VLOOKUP(A2287,CadProd!$A:$C,3,0)),"")</f>
        <v/>
      </c>
      <c r="I2287" s="1" t="str">
        <f>IFERROR(IF(A2287="","",E2287*#REF!),"")</f>
        <v/>
      </c>
    </row>
    <row r="2288" spans="2:9" x14ac:dyDescent="0.3">
      <c r="B2288" t="str">
        <f>IFERROR(IF(A2288="","",VLOOKUP(A2288,CadProd!$A:$B,2,0)),"")</f>
        <v/>
      </c>
      <c r="C2288" t="str">
        <f>IFERROR(IF(A2288="","",VLOOKUP(A2288,CadProd!$A:$C,3,0)),"")</f>
        <v/>
      </c>
      <c r="I2288" s="1" t="str">
        <f>IFERROR(IF(A2288="","",E2288*#REF!),"")</f>
        <v/>
      </c>
    </row>
    <row r="2289" spans="2:9" x14ac:dyDescent="0.3">
      <c r="B2289" t="str">
        <f>IFERROR(IF(A2289="","",VLOOKUP(A2289,CadProd!$A:$B,2,0)),"")</f>
        <v/>
      </c>
      <c r="C2289" t="str">
        <f>IFERROR(IF(A2289="","",VLOOKUP(A2289,CadProd!$A:$C,3,0)),"")</f>
        <v/>
      </c>
      <c r="I2289" s="1" t="str">
        <f>IFERROR(IF(A2289="","",E2289*#REF!),"")</f>
        <v/>
      </c>
    </row>
    <row r="2290" spans="2:9" x14ac:dyDescent="0.3">
      <c r="B2290" t="str">
        <f>IFERROR(IF(A2290="","",VLOOKUP(A2290,CadProd!$A:$B,2,0)),"")</f>
        <v/>
      </c>
      <c r="C2290" t="str">
        <f>IFERROR(IF(A2290="","",VLOOKUP(A2290,CadProd!$A:$C,3,0)),"")</f>
        <v/>
      </c>
      <c r="I2290" s="1" t="str">
        <f>IFERROR(IF(A2290="","",E2290*#REF!),"")</f>
        <v/>
      </c>
    </row>
    <row r="2291" spans="2:9" x14ac:dyDescent="0.3">
      <c r="B2291" t="str">
        <f>IFERROR(IF(A2291="","",VLOOKUP(A2291,CadProd!$A:$B,2,0)),"")</f>
        <v/>
      </c>
      <c r="C2291" t="str">
        <f>IFERROR(IF(A2291="","",VLOOKUP(A2291,CadProd!$A:$C,3,0)),"")</f>
        <v/>
      </c>
      <c r="I2291" s="1" t="str">
        <f>IFERROR(IF(A2291="","",E2291*#REF!),"")</f>
        <v/>
      </c>
    </row>
    <row r="2292" spans="2:9" x14ac:dyDescent="0.3">
      <c r="B2292" t="str">
        <f>IFERROR(IF(A2292="","",VLOOKUP(A2292,CadProd!$A:$B,2,0)),"")</f>
        <v/>
      </c>
      <c r="C2292" t="str">
        <f>IFERROR(IF(A2292="","",VLOOKUP(A2292,CadProd!$A:$C,3,0)),"")</f>
        <v/>
      </c>
      <c r="I2292" s="1" t="str">
        <f>IFERROR(IF(A2292="","",E2292*#REF!),"")</f>
        <v/>
      </c>
    </row>
    <row r="2293" spans="2:9" x14ac:dyDescent="0.3">
      <c r="B2293" t="str">
        <f>IFERROR(IF(A2293="","",VLOOKUP(A2293,CadProd!$A:$B,2,0)),"")</f>
        <v/>
      </c>
      <c r="C2293" t="str">
        <f>IFERROR(IF(A2293="","",VLOOKUP(A2293,CadProd!$A:$C,3,0)),"")</f>
        <v/>
      </c>
      <c r="I2293" s="1" t="str">
        <f>IFERROR(IF(A2293="","",E2293*#REF!),"")</f>
        <v/>
      </c>
    </row>
    <row r="2294" spans="2:9" x14ac:dyDescent="0.3">
      <c r="B2294" t="str">
        <f>IFERROR(IF(A2294="","",VLOOKUP(A2294,CadProd!$A:$B,2,0)),"")</f>
        <v/>
      </c>
      <c r="C2294" t="str">
        <f>IFERROR(IF(A2294="","",VLOOKUP(A2294,CadProd!$A:$C,3,0)),"")</f>
        <v/>
      </c>
      <c r="I2294" s="1" t="str">
        <f>IFERROR(IF(A2294="","",E2294*#REF!),"")</f>
        <v/>
      </c>
    </row>
    <row r="2295" spans="2:9" x14ac:dyDescent="0.3">
      <c r="B2295" t="str">
        <f>IFERROR(IF(A2295="","",VLOOKUP(A2295,CadProd!$A:$B,2,0)),"")</f>
        <v/>
      </c>
      <c r="C2295" t="str">
        <f>IFERROR(IF(A2295="","",VLOOKUP(A2295,CadProd!$A:$C,3,0)),"")</f>
        <v/>
      </c>
      <c r="I2295" s="1" t="str">
        <f>IFERROR(IF(A2295="","",E2295*#REF!),"")</f>
        <v/>
      </c>
    </row>
    <row r="2296" spans="2:9" x14ac:dyDescent="0.3">
      <c r="B2296" t="str">
        <f>IFERROR(IF(A2296="","",VLOOKUP(A2296,CadProd!$A:$B,2,0)),"")</f>
        <v/>
      </c>
      <c r="C2296" t="str">
        <f>IFERROR(IF(A2296="","",VLOOKUP(A2296,CadProd!$A:$C,3,0)),"")</f>
        <v/>
      </c>
      <c r="I2296" s="1" t="str">
        <f>IFERROR(IF(A2296="","",E2296*#REF!),"")</f>
        <v/>
      </c>
    </row>
    <row r="2297" spans="2:9" x14ac:dyDescent="0.3">
      <c r="B2297" t="str">
        <f>IFERROR(IF(A2297="","",VLOOKUP(A2297,CadProd!$A:$B,2,0)),"")</f>
        <v/>
      </c>
      <c r="C2297" t="str">
        <f>IFERROR(IF(A2297="","",VLOOKUP(A2297,CadProd!$A:$C,3,0)),"")</f>
        <v/>
      </c>
      <c r="I2297" s="1" t="str">
        <f>IFERROR(IF(A2297="","",E2297*#REF!),"")</f>
        <v/>
      </c>
    </row>
    <row r="2298" spans="2:9" x14ac:dyDescent="0.3">
      <c r="B2298" t="str">
        <f>IFERROR(IF(A2298="","",VLOOKUP(A2298,CadProd!$A:$B,2,0)),"")</f>
        <v/>
      </c>
      <c r="C2298" t="str">
        <f>IFERROR(IF(A2298="","",VLOOKUP(A2298,CadProd!$A:$C,3,0)),"")</f>
        <v/>
      </c>
      <c r="I2298" s="1" t="str">
        <f>IFERROR(IF(A2298="","",E2298*#REF!),"")</f>
        <v/>
      </c>
    </row>
    <row r="2299" spans="2:9" x14ac:dyDescent="0.3">
      <c r="B2299" t="str">
        <f>IFERROR(IF(A2299="","",VLOOKUP(A2299,CadProd!$A:$B,2,0)),"")</f>
        <v/>
      </c>
      <c r="C2299" t="str">
        <f>IFERROR(IF(A2299="","",VLOOKUP(A2299,CadProd!$A:$C,3,0)),"")</f>
        <v/>
      </c>
      <c r="I2299" s="1" t="str">
        <f>IFERROR(IF(A2299="","",E2299*#REF!),"")</f>
        <v/>
      </c>
    </row>
    <row r="2300" spans="2:9" x14ac:dyDescent="0.3">
      <c r="B2300" t="str">
        <f>IFERROR(IF(A2300="","",VLOOKUP(A2300,CadProd!$A:$B,2,0)),"")</f>
        <v/>
      </c>
      <c r="C2300" t="str">
        <f>IFERROR(IF(A2300="","",VLOOKUP(A2300,CadProd!$A:$C,3,0)),"")</f>
        <v/>
      </c>
      <c r="I2300" s="1" t="str">
        <f>IFERROR(IF(A2300="","",E2300*#REF!),"")</f>
        <v/>
      </c>
    </row>
    <row r="2301" spans="2:9" x14ac:dyDescent="0.3">
      <c r="B2301" t="str">
        <f>IFERROR(IF(A2301="","",VLOOKUP(A2301,CadProd!$A:$B,2,0)),"")</f>
        <v/>
      </c>
      <c r="C2301" t="str">
        <f>IFERROR(IF(A2301="","",VLOOKUP(A2301,CadProd!$A:$C,3,0)),"")</f>
        <v/>
      </c>
      <c r="I2301" s="1" t="str">
        <f>IFERROR(IF(A2301="","",E2301*#REF!),"")</f>
        <v/>
      </c>
    </row>
    <row r="2302" spans="2:9" x14ac:dyDescent="0.3">
      <c r="B2302" t="str">
        <f>IFERROR(IF(A2302="","",VLOOKUP(A2302,CadProd!$A:$B,2,0)),"")</f>
        <v/>
      </c>
      <c r="C2302" t="str">
        <f>IFERROR(IF(A2302="","",VLOOKUP(A2302,CadProd!$A:$C,3,0)),"")</f>
        <v/>
      </c>
      <c r="I2302" s="1" t="str">
        <f>IFERROR(IF(A2302="","",E2302*#REF!),"")</f>
        <v/>
      </c>
    </row>
    <row r="2303" spans="2:9" x14ac:dyDescent="0.3">
      <c r="B2303" t="str">
        <f>IFERROR(IF(A2303="","",VLOOKUP(A2303,CadProd!$A:$B,2,0)),"")</f>
        <v/>
      </c>
      <c r="C2303" t="str">
        <f>IFERROR(IF(A2303="","",VLOOKUP(A2303,CadProd!$A:$C,3,0)),"")</f>
        <v/>
      </c>
      <c r="I2303" s="1" t="str">
        <f>IFERROR(IF(A2303="","",E2303*#REF!),"")</f>
        <v/>
      </c>
    </row>
    <row r="2304" spans="2:9" x14ac:dyDescent="0.3">
      <c r="B2304" t="str">
        <f>IFERROR(IF(A2304="","",VLOOKUP(A2304,CadProd!$A:$B,2,0)),"")</f>
        <v/>
      </c>
      <c r="C2304" t="str">
        <f>IFERROR(IF(A2304="","",VLOOKUP(A2304,CadProd!$A:$C,3,0)),"")</f>
        <v/>
      </c>
      <c r="I2304" s="1" t="str">
        <f>IFERROR(IF(A2304="","",E2304*#REF!),"")</f>
        <v/>
      </c>
    </row>
    <row r="2305" spans="2:9" x14ac:dyDescent="0.3">
      <c r="B2305" t="str">
        <f>IFERROR(IF(A2305="","",VLOOKUP(A2305,CadProd!$A:$B,2,0)),"")</f>
        <v/>
      </c>
      <c r="C2305" t="str">
        <f>IFERROR(IF(A2305="","",VLOOKUP(A2305,CadProd!$A:$C,3,0)),"")</f>
        <v/>
      </c>
      <c r="I2305" s="1" t="str">
        <f>IFERROR(IF(A2305="","",E2305*#REF!),"")</f>
        <v/>
      </c>
    </row>
    <row r="2306" spans="2:9" x14ac:dyDescent="0.3">
      <c r="B2306" t="str">
        <f>IFERROR(IF(A2306="","",VLOOKUP(A2306,CadProd!$A:$B,2,0)),"")</f>
        <v/>
      </c>
      <c r="C2306" t="str">
        <f>IFERROR(IF(A2306="","",VLOOKUP(A2306,CadProd!$A:$C,3,0)),"")</f>
        <v/>
      </c>
      <c r="I2306" s="1" t="str">
        <f>IFERROR(IF(A2306="","",E2306*#REF!),"")</f>
        <v/>
      </c>
    </row>
    <row r="2307" spans="2:9" x14ac:dyDescent="0.3">
      <c r="B2307" t="str">
        <f>IFERROR(IF(A2307="","",VLOOKUP(A2307,CadProd!$A:$B,2,0)),"")</f>
        <v/>
      </c>
      <c r="C2307" t="str">
        <f>IFERROR(IF(A2307="","",VLOOKUP(A2307,CadProd!$A:$C,3,0)),"")</f>
        <v/>
      </c>
      <c r="I2307" s="1" t="str">
        <f>IFERROR(IF(A2307="","",E2307*#REF!),"")</f>
        <v/>
      </c>
    </row>
    <row r="2308" spans="2:9" x14ac:dyDescent="0.3">
      <c r="B2308" t="str">
        <f>IFERROR(IF(A2308="","",VLOOKUP(A2308,CadProd!$A:$B,2,0)),"")</f>
        <v/>
      </c>
      <c r="C2308" t="str">
        <f>IFERROR(IF(A2308="","",VLOOKUP(A2308,CadProd!$A:$C,3,0)),"")</f>
        <v/>
      </c>
      <c r="I2308" s="1" t="str">
        <f>IFERROR(IF(A2308="","",E2308*#REF!),"")</f>
        <v/>
      </c>
    </row>
    <row r="2309" spans="2:9" x14ac:dyDescent="0.3">
      <c r="B2309" t="str">
        <f>IFERROR(IF(A2309="","",VLOOKUP(A2309,CadProd!$A:$B,2,0)),"")</f>
        <v/>
      </c>
      <c r="C2309" t="str">
        <f>IFERROR(IF(A2309="","",VLOOKUP(A2309,CadProd!$A:$C,3,0)),"")</f>
        <v/>
      </c>
      <c r="I2309" s="1" t="str">
        <f>IFERROR(IF(A2309="","",E2309*#REF!),"")</f>
        <v/>
      </c>
    </row>
    <row r="2310" spans="2:9" x14ac:dyDescent="0.3">
      <c r="B2310" t="str">
        <f>IFERROR(IF(A2310="","",VLOOKUP(A2310,CadProd!$A:$B,2,0)),"")</f>
        <v/>
      </c>
      <c r="C2310" t="str">
        <f>IFERROR(IF(A2310="","",VLOOKUP(A2310,CadProd!$A:$C,3,0)),"")</f>
        <v/>
      </c>
      <c r="I2310" s="1" t="str">
        <f>IFERROR(IF(A2310="","",E2310*#REF!),"")</f>
        <v/>
      </c>
    </row>
    <row r="2311" spans="2:9" x14ac:dyDescent="0.3">
      <c r="B2311" t="str">
        <f>IFERROR(IF(A2311="","",VLOOKUP(A2311,CadProd!$A:$B,2,0)),"")</f>
        <v/>
      </c>
      <c r="C2311" t="str">
        <f>IFERROR(IF(A2311="","",VLOOKUP(A2311,CadProd!$A:$C,3,0)),"")</f>
        <v/>
      </c>
      <c r="I2311" s="1" t="str">
        <f>IFERROR(IF(A2311="","",E2311*#REF!),"")</f>
        <v/>
      </c>
    </row>
    <row r="2312" spans="2:9" x14ac:dyDescent="0.3">
      <c r="B2312" t="str">
        <f>IFERROR(IF(A2312="","",VLOOKUP(A2312,CadProd!$A:$B,2,0)),"")</f>
        <v/>
      </c>
      <c r="C2312" t="str">
        <f>IFERROR(IF(A2312="","",VLOOKUP(A2312,CadProd!$A:$C,3,0)),"")</f>
        <v/>
      </c>
      <c r="I2312" s="1" t="str">
        <f>IFERROR(IF(A2312="","",E2312*#REF!),"")</f>
        <v/>
      </c>
    </row>
    <row r="2313" spans="2:9" x14ac:dyDescent="0.3">
      <c r="B2313" t="str">
        <f>IFERROR(IF(A2313="","",VLOOKUP(A2313,CadProd!$A:$B,2,0)),"")</f>
        <v/>
      </c>
      <c r="C2313" t="str">
        <f>IFERROR(IF(A2313="","",VLOOKUP(A2313,CadProd!$A:$C,3,0)),"")</f>
        <v/>
      </c>
      <c r="I2313" s="1" t="str">
        <f>IFERROR(IF(A2313="","",E2313*#REF!),"")</f>
        <v/>
      </c>
    </row>
    <row r="2314" spans="2:9" x14ac:dyDescent="0.3">
      <c r="B2314" t="str">
        <f>IFERROR(IF(A2314="","",VLOOKUP(A2314,CadProd!$A:$B,2,0)),"")</f>
        <v/>
      </c>
      <c r="C2314" t="str">
        <f>IFERROR(IF(A2314="","",VLOOKUP(A2314,CadProd!$A:$C,3,0)),"")</f>
        <v/>
      </c>
      <c r="I2314" s="1" t="str">
        <f>IFERROR(IF(A2314="","",E2314*#REF!),"")</f>
        <v/>
      </c>
    </row>
    <row r="2315" spans="2:9" x14ac:dyDescent="0.3">
      <c r="B2315" t="str">
        <f>IFERROR(IF(A2315="","",VLOOKUP(A2315,CadProd!$A:$B,2,0)),"")</f>
        <v/>
      </c>
      <c r="C2315" t="str">
        <f>IFERROR(IF(A2315="","",VLOOKUP(A2315,CadProd!$A:$C,3,0)),"")</f>
        <v/>
      </c>
      <c r="I2315" s="1" t="str">
        <f>IFERROR(IF(A2315="","",E2315*#REF!),"")</f>
        <v/>
      </c>
    </row>
    <row r="2316" spans="2:9" x14ac:dyDescent="0.3">
      <c r="B2316" t="str">
        <f>IFERROR(IF(A2316="","",VLOOKUP(A2316,CadProd!$A:$B,2,0)),"")</f>
        <v/>
      </c>
      <c r="C2316" t="str">
        <f>IFERROR(IF(A2316="","",VLOOKUP(A2316,CadProd!$A:$C,3,0)),"")</f>
        <v/>
      </c>
      <c r="I2316" s="1" t="str">
        <f>IFERROR(IF(A2316="","",E2316*#REF!),"")</f>
        <v/>
      </c>
    </row>
    <row r="2317" spans="2:9" x14ac:dyDescent="0.3">
      <c r="B2317" t="str">
        <f>IFERROR(IF(A2317="","",VLOOKUP(A2317,CadProd!$A:$B,2,0)),"")</f>
        <v/>
      </c>
      <c r="C2317" t="str">
        <f>IFERROR(IF(A2317="","",VLOOKUP(A2317,CadProd!$A:$C,3,0)),"")</f>
        <v/>
      </c>
      <c r="I2317" s="1" t="str">
        <f>IFERROR(IF(A2317="","",E2317*#REF!),"")</f>
        <v/>
      </c>
    </row>
    <row r="2318" spans="2:9" x14ac:dyDescent="0.3">
      <c r="B2318" t="str">
        <f>IFERROR(IF(A2318="","",VLOOKUP(A2318,CadProd!$A:$B,2,0)),"")</f>
        <v/>
      </c>
      <c r="C2318" t="str">
        <f>IFERROR(IF(A2318="","",VLOOKUP(A2318,CadProd!$A:$C,3,0)),"")</f>
        <v/>
      </c>
      <c r="I2318" s="1" t="str">
        <f>IFERROR(IF(A2318="","",E2318*#REF!),"")</f>
        <v/>
      </c>
    </row>
    <row r="2319" spans="2:9" x14ac:dyDescent="0.3">
      <c r="B2319" t="str">
        <f>IFERROR(IF(A2319="","",VLOOKUP(A2319,CadProd!$A:$B,2,0)),"")</f>
        <v/>
      </c>
      <c r="C2319" t="str">
        <f>IFERROR(IF(A2319="","",VLOOKUP(A2319,CadProd!$A:$C,3,0)),"")</f>
        <v/>
      </c>
      <c r="I2319" s="1" t="str">
        <f>IFERROR(IF(A2319="","",E2319*#REF!),"")</f>
        <v/>
      </c>
    </row>
    <row r="2320" spans="2:9" x14ac:dyDescent="0.3">
      <c r="B2320" t="str">
        <f>IFERROR(IF(A2320="","",VLOOKUP(A2320,CadProd!$A:$B,2,0)),"")</f>
        <v/>
      </c>
      <c r="C2320" t="str">
        <f>IFERROR(IF(A2320="","",VLOOKUP(A2320,CadProd!$A:$C,3,0)),"")</f>
        <v/>
      </c>
      <c r="I2320" s="1" t="str">
        <f>IFERROR(IF(A2320="","",E2320*#REF!),"")</f>
        <v/>
      </c>
    </row>
    <row r="2321" spans="2:9" x14ac:dyDescent="0.3">
      <c r="B2321" t="str">
        <f>IFERROR(IF(A2321="","",VLOOKUP(A2321,CadProd!$A:$B,2,0)),"")</f>
        <v/>
      </c>
      <c r="C2321" t="str">
        <f>IFERROR(IF(A2321="","",VLOOKUP(A2321,CadProd!$A:$C,3,0)),"")</f>
        <v/>
      </c>
      <c r="I2321" s="1" t="str">
        <f>IFERROR(IF(A2321="","",E2321*#REF!),"")</f>
        <v/>
      </c>
    </row>
    <row r="2322" spans="2:9" x14ac:dyDescent="0.3">
      <c r="B2322" t="str">
        <f>IFERROR(IF(A2322="","",VLOOKUP(A2322,CadProd!$A:$B,2,0)),"")</f>
        <v/>
      </c>
      <c r="C2322" t="str">
        <f>IFERROR(IF(A2322="","",VLOOKUP(A2322,CadProd!$A:$C,3,0)),"")</f>
        <v/>
      </c>
      <c r="I2322" s="1" t="str">
        <f>IFERROR(IF(A2322="","",E2322*#REF!),"")</f>
        <v/>
      </c>
    </row>
    <row r="2323" spans="2:9" x14ac:dyDescent="0.3">
      <c r="B2323" t="str">
        <f>IFERROR(IF(A2323="","",VLOOKUP(A2323,CadProd!$A:$B,2,0)),"")</f>
        <v/>
      </c>
      <c r="C2323" t="str">
        <f>IFERROR(IF(A2323="","",VLOOKUP(A2323,CadProd!$A:$C,3,0)),"")</f>
        <v/>
      </c>
      <c r="I2323" s="1" t="str">
        <f>IFERROR(IF(A2323="","",E2323*#REF!),"")</f>
        <v/>
      </c>
    </row>
    <row r="2324" spans="2:9" x14ac:dyDescent="0.3">
      <c r="B2324" t="str">
        <f>IFERROR(IF(A2324="","",VLOOKUP(A2324,CadProd!$A:$B,2,0)),"")</f>
        <v/>
      </c>
      <c r="C2324" t="str">
        <f>IFERROR(IF(A2324="","",VLOOKUP(A2324,CadProd!$A:$C,3,0)),"")</f>
        <v/>
      </c>
      <c r="I2324" s="1" t="str">
        <f>IFERROR(IF(A2324="","",E2324*#REF!),"")</f>
        <v/>
      </c>
    </row>
    <row r="2325" spans="2:9" x14ac:dyDescent="0.3">
      <c r="B2325" t="str">
        <f>IFERROR(IF(A2325="","",VLOOKUP(A2325,CadProd!$A:$B,2,0)),"")</f>
        <v/>
      </c>
      <c r="C2325" t="str">
        <f>IFERROR(IF(A2325="","",VLOOKUP(A2325,CadProd!$A:$C,3,0)),"")</f>
        <v/>
      </c>
      <c r="I2325" s="1" t="str">
        <f>IFERROR(IF(A2325="","",E2325*#REF!),"")</f>
        <v/>
      </c>
    </row>
    <row r="2326" spans="2:9" x14ac:dyDescent="0.3">
      <c r="B2326" t="str">
        <f>IFERROR(IF(A2326="","",VLOOKUP(A2326,CadProd!$A:$B,2,0)),"")</f>
        <v/>
      </c>
      <c r="C2326" t="str">
        <f>IFERROR(IF(A2326="","",VLOOKUP(A2326,CadProd!$A:$C,3,0)),"")</f>
        <v/>
      </c>
      <c r="I2326" s="1" t="str">
        <f>IFERROR(IF(A2326="","",E2326*#REF!),"")</f>
        <v/>
      </c>
    </row>
    <row r="2327" spans="2:9" x14ac:dyDescent="0.3">
      <c r="B2327" t="str">
        <f>IFERROR(IF(A2327="","",VLOOKUP(A2327,CadProd!$A:$B,2,0)),"")</f>
        <v/>
      </c>
      <c r="C2327" t="str">
        <f>IFERROR(IF(A2327="","",VLOOKUP(A2327,CadProd!$A:$C,3,0)),"")</f>
        <v/>
      </c>
      <c r="I2327" s="1" t="str">
        <f>IFERROR(IF(A2327="","",E2327*#REF!),"")</f>
        <v/>
      </c>
    </row>
    <row r="2328" spans="2:9" x14ac:dyDescent="0.3">
      <c r="B2328" t="str">
        <f>IFERROR(IF(A2328="","",VLOOKUP(A2328,CadProd!$A:$B,2,0)),"")</f>
        <v/>
      </c>
      <c r="C2328" t="str">
        <f>IFERROR(IF(A2328="","",VLOOKUP(A2328,CadProd!$A:$C,3,0)),"")</f>
        <v/>
      </c>
      <c r="I2328" s="1" t="str">
        <f>IFERROR(IF(A2328="","",E2328*#REF!),"")</f>
        <v/>
      </c>
    </row>
    <row r="2329" spans="2:9" x14ac:dyDescent="0.3">
      <c r="B2329" t="str">
        <f>IFERROR(IF(A2329="","",VLOOKUP(A2329,CadProd!$A:$B,2,0)),"")</f>
        <v/>
      </c>
      <c r="C2329" t="str">
        <f>IFERROR(IF(A2329="","",VLOOKUP(A2329,CadProd!$A:$C,3,0)),"")</f>
        <v/>
      </c>
      <c r="I2329" s="1" t="str">
        <f>IFERROR(IF(A2329="","",E2329*#REF!),"")</f>
        <v/>
      </c>
    </row>
    <row r="2330" spans="2:9" x14ac:dyDescent="0.3">
      <c r="B2330" t="str">
        <f>IFERROR(IF(A2330="","",VLOOKUP(A2330,CadProd!$A:$B,2,0)),"")</f>
        <v/>
      </c>
      <c r="C2330" t="str">
        <f>IFERROR(IF(A2330="","",VLOOKUP(A2330,CadProd!$A:$C,3,0)),"")</f>
        <v/>
      </c>
      <c r="I2330" s="1" t="str">
        <f>IFERROR(IF(A2330="","",E2330*#REF!),"")</f>
        <v/>
      </c>
    </row>
    <row r="2331" spans="2:9" x14ac:dyDescent="0.3">
      <c r="B2331" t="str">
        <f>IFERROR(IF(A2331="","",VLOOKUP(A2331,CadProd!$A:$B,2,0)),"")</f>
        <v/>
      </c>
      <c r="C2331" t="str">
        <f>IFERROR(IF(A2331="","",VLOOKUP(A2331,CadProd!$A:$C,3,0)),"")</f>
        <v/>
      </c>
      <c r="I2331" s="1" t="str">
        <f>IFERROR(IF(A2331="","",E2331*#REF!),"")</f>
        <v/>
      </c>
    </row>
    <row r="2332" spans="2:9" x14ac:dyDescent="0.3">
      <c r="B2332" t="str">
        <f>IFERROR(IF(A2332="","",VLOOKUP(A2332,CadProd!$A:$B,2,0)),"")</f>
        <v/>
      </c>
      <c r="C2332" t="str">
        <f>IFERROR(IF(A2332="","",VLOOKUP(A2332,CadProd!$A:$C,3,0)),"")</f>
        <v/>
      </c>
      <c r="I2332" s="1" t="str">
        <f>IFERROR(IF(A2332="","",E2332*#REF!),"")</f>
        <v/>
      </c>
    </row>
    <row r="2333" spans="2:9" x14ac:dyDescent="0.3">
      <c r="B2333" t="str">
        <f>IFERROR(IF(A2333="","",VLOOKUP(A2333,CadProd!$A:$B,2,0)),"")</f>
        <v/>
      </c>
      <c r="C2333" t="str">
        <f>IFERROR(IF(A2333="","",VLOOKUP(A2333,CadProd!$A:$C,3,0)),"")</f>
        <v/>
      </c>
      <c r="I2333" s="1" t="str">
        <f>IFERROR(IF(A2333="","",E2333*#REF!),"")</f>
        <v/>
      </c>
    </row>
    <row r="2334" spans="2:9" x14ac:dyDescent="0.3">
      <c r="B2334" t="str">
        <f>IFERROR(IF(A2334="","",VLOOKUP(A2334,CadProd!$A:$B,2,0)),"")</f>
        <v/>
      </c>
      <c r="C2334" t="str">
        <f>IFERROR(IF(A2334="","",VLOOKUP(A2334,CadProd!$A:$C,3,0)),"")</f>
        <v/>
      </c>
      <c r="I2334" s="1" t="str">
        <f>IFERROR(IF(A2334="","",E2334*#REF!),"")</f>
        <v/>
      </c>
    </row>
    <row r="2335" spans="2:9" x14ac:dyDescent="0.3">
      <c r="B2335" t="str">
        <f>IFERROR(IF(A2335="","",VLOOKUP(A2335,CadProd!$A:$B,2,0)),"")</f>
        <v/>
      </c>
      <c r="C2335" t="str">
        <f>IFERROR(IF(A2335="","",VLOOKUP(A2335,CadProd!$A:$C,3,0)),"")</f>
        <v/>
      </c>
      <c r="I2335" s="1" t="str">
        <f>IFERROR(IF(A2335="","",E2335*#REF!),"")</f>
        <v/>
      </c>
    </row>
    <row r="2336" spans="2:9" x14ac:dyDescent="0.3">
      <c r="B2336" t="str">
        <f>IFERROR(IF(A2336="","",VLOOKUP(A2336,CadProd!$A:$B,2,0)),"")</f>
        <v/>
      </c>
      <c r="C2336" t="str">
        <f>IFERROR(IF(A2336="","",VLOOKUP(A2336,CadProd!$A:$C,3,0)),"")</f>
        <v/>
      </c>
      <c r="I2336" s="1" t="str">
        <f>IFERROR(IF(A2336="","",E2336*#REF!),"")</f>
        <v/>
      </c>
    </row>
    <row r="2337" spans="2:9" x14ac:dyDescent="0.3">
      <c r="B2337" t="str">
        <f>IFERROR(IF(A2337="","",VLOOKUP(A2337,CadProd!$A:$B,2,0)),"")</f>
        <v/>
      </c>
      <c r="C2337" t="str">
        <f>IFERROR(IF(A2337="","",VLOOKUP(A2337,CadProd!$A:$C,3,0)),"")</f>
        <v/>
      </c>
      <c r="I2337" s="1" t="str">
        <f>IFERROR(IF(A2337="","",E2337*#REF!),"")</f>
        <v/>
      </c>
    </row>
    <row r="2338" spans="2:9" x14ac:dyDescent="0.3">
      <c r="B2338" t="str">
        <f>IFERROR(IF(A2338="","",VLOOKUP(A2338,CadProd!$A:$B,2,0)),"")</f>
        <v/>
      </c>
      <c r="C2338" t="str">
        <f>IFERROR(IF(A2338="","",VLOOKUP(A2338,CadProd!$A:$C,3,0)),"")</f>
        <v/>
      </c>
      <c r="I2338" s="1" t="str">
        <f>IFERROR(IF(A2338="","",E2338*#REF!),"")</f>
        <v/>
      </c>
    </row>
    <row r="2339" spans="2:9" x14ac:dyDescent="0.3">
      <c r="B2339" t="str">
        <f>IFERROR(IF(A2339="","",VLOOKUP(A2339,CadProd!$A:$B,2,0)),"")</f>
        <v/>
      </c>
      <c r="C2339" t="str">
        <f>IFERROR(IF(A2339="","",VLOOKUP(A2339,CadProd!$A:$C,3,0)),"")</f>
        <v/>
      </c>
      <c r="I2339" s="1" t="str">
        <f>IFERROR(IF(A2339="","",E2339*#REF!),"")</f>
        <v/>
      </c>
    </row>
    <row r="2340" spans="2:9" x14ac:dyDescent="0.3">
      <c r="B2340" t="str">
        <f>IFERROR(IF(A2340="","",VLOOKUP(A2340,CadProd!$A:$B,2,0)),"")</f>
        <v/>
      </c>
      <c r="C2340" t="str">
        <f>IFERROR(IF(A2340="","",VLOOKUP(A2340,CadProd!$A:$C,3,0)),"")</f>
        <v/>
      </c>
      <c r="I2340" s="1" t="str">
        <f>IFERROR(IF(A2340="","",E2340*#REF!),"")</f>
        <v/>
      </c>
    </row>
    <row r="2341" spans="2:9" x14ac:dyDescent="0.3">
      <c r="B2341" t="str">
        <f>IFERROR(IF(A2341="","",VLOOKUP(A2341,CadProd!$A:$B,2,0)),"")</f>
        <v/>
      </c>
      <c r="C2341" t="str">
        <f>IFERROR(IF(A2341="","",VLOOKUP(A2341,CadProd!$A:$C,3,0)),"")</f>
        <v/>
      </c>
      <c r="I2341" s="1" t="str">
        <f>IFERROR(IF(A2341="","",E2341*#REF!),"")</f>
        <v/>
      </c>
    </row>
    <row r="2342" spans="2:9" x14ac:dyDescent="0.3">
      <c r="B2342" t="str">
        <f>IFERROR(IF(A2342="","",VLOOKUP(A2342,CadProd!$A:$B,2,0)),"")</f>
        <v/>
      </c>
      <c r="C2342" t="str">
        <f>IFERROR(IF(A2342="","",VLOOKUP(A2342,CadProd!$A:$C,3,0)),"")</f>
        <v/>
      </c>
      <c r="I2342" s="1" t="str">
        <f>IFERROR(IF(A2342="","",E2342*#REF!),"")</f>
        <v/>
      </c>
    </row>
    <row r="2343" spans="2:9" x14ac:dyDescent="0.3">
      <c r="B2343" t="str">
        <f>IFERROR(IF(A2343="","",VLOOKUP(A2343,CadProd!$A:$B,2,0)),"")</f>
        <v/>
      </c>
      <c r="C2343" t="str">
        <f>IFERROR(IF(A2343="","",VLOOKUP(A2343,CadProd!$A:$C,3,0)),"")</f>
        <v/>
      </c>
      <c r="I2343" s="1" t="str">
        <f>IFERROR(IF(A2343="","",E2343*#REF!),"")</f>
        <v/>
      </c>
    </row>
    <row r="2344" spans="2:9" x14ac:dyDescent="0.3">
      <c r="B2344" t="str">
        <f>IFERROR(IF(A2344="","",VLOOKUP(A2344,CadProd!$A:$B,2,0)),"")</f>
        <v/>
      </c>
      <c r="C2344" t="str">
        <f>IFERROR(IF(A2344="","",VLOOKUP(A2344,CadProd!$A:$C,3,0)),"")</f>
        <v/>
      </c>
      <c r="I2344" s="1" t="str">
        <f>IFERROR(IF(A2344="","",E2344*#REF!),"")</f>
        <v/>
      </c>
    </row>
    <row r="2345" spans="2:9" x14ac:dyDescent="0.3">
      <c r="B2345" t="str">
        <f>IFERROR(IF(A2345="","",VLOOKUP(A2345,CadProd!$A:$B,2,0)),"")</f>
        <v/>
      </c>
      <c r="C2345" t="str">
        <f>IFERROR(IF(A2345="","",VLOOKUP(A2345,CadProd!$A:$C,3,0)),"")</f>
        <v/>
      </c>
      <c r="I2345" s="1" t="str">
        <f>IFERROR(IF(A2345="","",E2345*#REF!),"")</f>
        <v/>
      </c>
    </row>
    <row r="2346" spans="2:9" x14ac:dyDescent="0.3">
      <c r="B2346" t="str">
        <f>IFERROR(IF(A2346="","",VLOOKUP(A2346,CadProd!$A:$B,2,0)),"")</f>
        <v/>
      </c>
      <c r="C2346" t="str">
        <f>IFERROR(IF(A2346="","",VLOOKUP(A2346,CadProd!$A:$C,3,0)),"")</f>
        <v/>
      </c>
      <c r="I2346" s="1" t="str">
        <f>IFERROR(IF(A2346="","",E2346*#REF!),"")</f>
        <v/>
      </c>
    </row>
    <row r="2347" spans="2:9" x14ac:dyDescent="0.3">
      <c r="B2347" t="str">
        <f>IFERROR(IF(A2347="","",VLOOKUP(A2347,CadProd!$A:$B,2,0)),"")</f>
        <v/>
      </c>
      <c r="C2347" t="str">
        <f>IFERROR(IF(A2347="","",VLOOKUP(A2347,CadProd!$A:$C,3,0)),"")</f>
        <v/>
      </c>
      <c r="I2347" s="1" t="str">
        <f>IFERROR(IF(A2347="","",E2347*#REF!),"")</f>
        <v/>
      </c>
    </row>
    <row r="2348" spans="2:9" x14ac:dyDescent="0.3">
      <c r="B2348" t="str">
        <f>IFERROR(IF(A2348="","",VLOOKUP(A2348,CadProd!$A:$B,2,0)),"")</f>
        <v/>
      </c>
      <c r="C2348" t="str">
        <f>IFERROR(IF(A2348="","",VLOOKUP(A2348,CadProd!$A:$C,3,0)),"")</f>
        <v/>
      </c>
      <c r="I2348" s="1" t="str">
        <f>IFERROR(IF(A2348="","",E2348*#REF!),"")</f>
        <v/>
      </c>
    </row>
    <row r="2349" spans="2:9" x14ac:dyDescent="0.3">
      <c r="B2349" t="str">
        <f>IFERROR(IF(A2349="","",VLOOKUP(A2349,CadProd!$A:$B,2,0)),"")</f>
        <v/>
      </c>
      <c r="C2349" t="str">
        <f>IFERROR(IF(A2349="","",VLOOKUP(A2349,CadProd!$A:$C,3,0)),"")</f>
        <v/>
      </c>
      <c r="I2349" s="1" t="str">
        <f>IFERROR(IF(A2349="","",E2349*#REF!),"")</f>
        <v/>
      </c>
    </row>
    <row r="2350" spans="2:9" x14ac:dyDescent="0.3">
      <c r="B2350" t="str">
        <f>IFERROR(IF(A2350="","",VLOOKUP(A2350,CadProd!$A:$B,2,0)),"")</f>
        <v/>
      </c>
      <c r="C2350" t="str">
        <f>IFERROR(IF(A2350="","",VLOOKUP(A2350,CadProd!$A:$C,3,0)),"")</f>
        <v/>
      </c>
      <c r="I2350" s="1" t="str">
        <f>IFERROR(IF(A2350="","",E2350*#REF!),"")</f>
        <v/>
      </c>
    </row>
    <row r="2351" spans="2:9" x14ac:dyDescent="0.3">
      <c r="B2351" t="str">
        <f>IFERROR(IF(A2351="","",VLOOKUP(A2351,CadProd!$A:$B,2,0)),"")</f>
        <v/>
      </c>
      <c r="C2351" t="str">
        <f>IFERROR(IF(A2351="","",VLOOKUP(A2351,CadProd!$A:$C,3,0)),"")</f>
        <v/>
      </c>
      <c r="I2351" s="1" t="str">
        <f>IFERROR(IF(A2351="","",E2351*#REF!),"")</f>
        <v/>
      </c>
    </row>
    <row r="2352" spans="2:9" x14ac:dyDescent="0.3">
      <c r="B2352" t="str">
        <f>IFERROR(IF(A2352="","",VLOOKUP(A2352,CadProd!$A:$B,2,0)),"")</f>
        <v/>
      </c>
      <c r="C2352" t="str">
        <f>IFERROR(IF(A2352="","",VLOOKUP(A2352,CadProd!$A:$C,3,0)),"")</f>
        <v/>
      </c>
      <c r="I2352" s="1" t="str">
        <f>IFERROR(IF(A2352="","",E2352*#REF!),"")</f>
        <v/>
      </c>
    </row>
    <row r="2353" spans="2:9" x14ac:dyDescent="0.3">
      <c r="B2353" t="str">
        <f>IFERROR(IF(A2353="","",VLOOKUP(A2353,CadProd!$A:$B,2,0)),"")</f>
        <v/>
      </c>
      <c r="C2353" t="str">
        <f>IFERROR(IF(A2353="","",VLOOKUP(A2353,CadProd!$A:$C,3,0)),"")</f>
        <v/>
      </c>
      <c r="I2353" s="1" t="str">
        <f>IFERROR(IF(A2353="","",E2353*#REF!),"")</f>
        <v/>
      </c>
    </row>
    <row r="2354" spans="2:9" x14ac:dyDescent="0.3">
      <c r="B2354" t="str">
        <f>IFERROR(IF(A2354="","",VLOOKUP(A2354,CadProd!$A:$B,2,0)),"")</f>
        <v/>
      </c>
      <c r="C2354" t="str">
        <f>IFERROR(IF(A2354="","",VLOOKUP(A2354,CadProd!$A:$C,3,0)),"")</f>
        <v/>
      </c>
      <c r="I2354" s="1" t="str">
        <f>IFERROR(IF(A2354="","",E2354*#REF!),"")</f>
        <v/>
      </c>
    </row>
    <row r="2355" spans="2:9" x14ac:dyDescent="0.3">
      <c r="B2355" t="str">
        <f>IFERROR(IF(A2355="","",VLOOKUP(A2355,CadProd!$A:$B,2,0)),"")</f>
        <v/>
      </c>
      <c r="C2355" t="str">
        <f>IFERROR(IF(A2355="","",VLOOKUP(A2355,CadProd!$A:$C,3,0)),"")</f>
        <v/>
      </c>
      <c r="I2355" s="1" t="str">
        <f>IFERROR(IF(A2355="","",E2355*#REF!),"")</f>
        <v/>
      </c>
    </row>
    <row r="2356" spans="2:9" x14ac:dyDescent="0.3">
      <c r="B2356" t="str">
        <f>IFERROR(IF(A2356="","",VLOOKUP(A2356,CadProd!$A:$B,2,0)),"")</f>
        <v/>
      </c>
      <c r="C2356" t="str">
        <f>IFERROR(IF(A2356="","",VLOOKUP(A2356,CadProd!$A:$C,3,0)),"")</f>
        <v/>
      </c>
      <c r="I2356" s="1" t="str">
        <f>IFERROR(IF(A2356="","",E2356*#REF!),"")</f>
        <v/>
      </c>
    </row>
    <row r="2357" spans="2:9" x14ac:dyDescent="0.3">
      <c r="B2357" t="str">
        <f>IFERROR(IF(A2357="","",VLOOKUP(A2357,CadProd!$A:$B,2,0)),"")</f>
        <v/>
      </c>
      <c r="C2357" t="str">
        <f>IFERROR(IF(A2357="","",VLOOKUP(A2357,CadProd!$A:$C,3,0)),"")</f>
        <v/>
      </c>
      <c r="I2357" s="1" t="str">
        <f>IFERROR(IF(A2357="","",E2357*#REF!),"")</f>
        <v/>
      </c>
    </row>
    <row r="2358" spans="2:9" x14ac:dyDescent="0.3">
      <c r="B2358" t="str">
        <f>IFERROR(IF(A2358="","",VLOOKUP(A2358,CadProd!$A:$B,2,0)),"")</f>
        <v/>
      </c>
      <c r="C2358" t="str">
        <f>IFERROR(IF(A2358="","",VLOOKUP(A2358,CadProd!$A:$C,3,0)),"")</f>
        <v/>
      </c>
      <c r="I2358" s="1" t="str">
        <f>IFERROR(IF(A2358="","",E2358*#REF!),"")</f>
        <v/>
      </c>
    </row>
    <row r="2359" spans="2:9" x14ac:dyDescent="0.3">
      <c r="B2359" t="str">
        <f>IFERROR(IF(A2359="","",VLOOKUP(A2359,CadProd!$A:$B,2,0)),"")</f>
        <v/>
      </c>
      <c r="C2359" t="str">
        <f>IFERROR(IF(A2359="","",VLOOKUP(A2359,CadProd!$A:$C,3,0)),"")</f>
        <v/>
      </c>
      <c r="I2359" s="1" t="str">
        <f>IFERROR(IF(A2359="","",E2359*#REF!),"")</f>
        <v/>
      </c>
    </row>
    <row r="2360" spans="2:9" x14ac:dyDescent="0.3">
      <c r="B2360" t="str">
        <f>IFERROR(IF(A2360="","",VLOOKUP(A2360,CadProd!$A:$B,2,0)),"")</f>
        <v/>
      </c>
      <c r="C2360" t="str">
        <f>IFERROR(IF(A2360="","",VLOOKUP(A2360,CadProd!$A:$C,3,0)),"")</f>
        <v/>
      </c>
      <c r="I2360" s="1" t="str">
        <f>IFERROR(IF(A2360="","",E2360*#REF!),"")</f>
        <v/>
      </c>
    </row>
    <row r="2361" spans="2:9" x14ac:dyDescent="0.3">
      <c r="B2361" t="str">
        <f>IFERROR(IF(A2361="","",VLOOKUP(A2361,CadProd!$A:$B,2,0)),"")</f>
        <v/>
      </c>
      <c r="C2361" t="str">
        <f>IFERROR(IF(A2361="","",VLOOKUP(A2361,CadProd!$A:$C,3,0)),"")</f>
        <v/>
      </c>
      <c r="I2361" s="1" t="str">
        <f>IFERROR(IF(A2361="","",E2361*#REF!),"")</f>
        <v/>
      </c>
    </row>
    <row r="2362" spans="2:9" x14ac:dyDescent="0.3">
      <c r="B2362" t="str">
        <f>IFERROR(IF(A2362="","",VLOOKUP(A2362,CadProd!$A:$B,2,0)),"")</f>
        <v/>
      </c>
      <c r="C2362" t="str">
        <f>IFERROR(IF(A2362="","",VLOOKUP(A2362,CadProd!$A:$C,3,0)),"")</f>
        <v/>
      </c>
      <c r="I2362" s="1" t="str">
        <f>IFERROR(IF(A2362="","",E2362*#REF!),"")</f>
        <v/>
      </c>
    </row>
    <row r="2363" spans="2:9" x14ac:dyDescent="0.3">
      <c r="B2363" t="str">
        <f>IFERROR(IF(A2363="","",VLOOKUP(A2363,CadProd!$A:$B,2,0)),"")</f>
        <v/>
      </c>
      <c r="C2363" t="str">
        <f>IFERROR(IF(A2363="","",VLOOKUP(A2363,CadProd!$A:$C,3,0)),"")</f>
        <v/>
      </c>
      <c r="I2363" s="1" t="str">
        <f>IFERROR(IF(A2363="","",E2363*#REF!),"")</f>
        <v/>
      </c>
    </row>
    <row r="2364" spans="2:9" x14ac:dyDescent="0.3">
      <c r="B2364" t="str">
        <f>IFERROR(IF(A2364="","",VLOOKUP(A2364,CadProd!$A:$B,2,0)),"")</f>
        <v/>
      </c>
      <c r="C2364" t="str">
        <f>IFERROR(IF(A2364="","",VLOOKUP(A2364,CadProd!$A:$C,3,0)),"")</f>
        <v/>
      </c>
      <c r="I2364" s="1" t="str">
        <f>IFERROR(IF(A2364="","",E2364*#REF!),"")</f>
        <v/>
      </c>
    </row>
    <row r="2365" spans="2:9" x14ac:dyDescent="0.3">
      <c r="B2365" t="str">
        <f>IFERROR(IF(A2365="","",VLOOKUP(A2365,CadProd!$A:$B,2,0)),"")</f>
        <v/>
      </c>
      <c r="C2365" t="str">
        <f>IFERROR(IF(A2365="","",VLOOKUP(A2365,CadProd!$A:$C,3,0)),"")</f>
        <v/>
      </c>
      <c r="I2365" s="1" t="str">
        <f>IFERROR(IF(A2365="","",E2365*#REF!),"")</f>
        <v/>
      </c>
    </row>
    <row r="2366" spans="2:9" x14ac:dyDescent="0.3">
      <c r="B2366" t="str">
        <f>IFERROR(IF(A2366="","",VLOOKUP(A2366,CadProd!$A:$B,2,0)),"")</f>
        <v/>
      </c>
      <c r="C2366" t="str">
        <f>IFERROR(IF(A2366="","",VLOOKUP(A2366,CadProd!$A:$C,3,0)),"")</f>
        <v/>
      </c>
      <c r="I2366" s="1" t="str">
        <f>IFERROR(IF(A2366="","",E2366*#REF!),"")</f>
        <v/>
      </c>
    </row>
    <row r="2367" spans="2:9" x14ac:dyDescent="0.3">
      <c r="B2367" t="str">
        <f>IFERROR(IF(A2367="","",VLOOKUP(A2367,CadProd!$A:$B,2,0)),"")</f>
        <v/>
      </c>
      <c r="C2367" t="str">
        <f>IFERROR(IF(A2367="","",VLOOKUP(A2367,CadProd!$A:$C,3,0)),"")</f>
        <v/>
      </c>
      <c r="I2367" s="1" t="str">
        <f>IFERROR(IF(A2367="","",E2367*#REF!),"")</f>
        <v/>
      </c>
    </row>
    <row r="2368" spans="2:9" x14ac:dyDescent="0.3">
      <c r="B2368" t="str">
        <f>IFERROR(IF(A2368="","",VLOOKUP(A2368,CadProd!$A:$B,2,0)),"")</f>
        <v/>
      </c>
      <c r="C2368" t="str">
        <f>IFERROR(IF(A2368="","",VLOOKUP(A2368,CadProd!$A:$C,3,0)),"")</f>
        <v/>
      </c>
      <c r="I2368" s="1" t="str">
        <f>IFERROR(IF(A2368="","",E2368*#REF!),"")</f>
        <v/>
      </c>
    </row>
    <row r="2369" spans="2:9" x14ac:dyDescent="0.3">
      <c r="B2369" t="str">
        <f>IFERROR(IF(A2369="","",VLOOKUP(A2369,CadProd!$A:$B,2,0)),"")</f>
        <v/>
      </c>
      <c r="C2369" t="str">
        <f>IFERROR(IF(A2369="","",VLOOKUP(A2369,CadProd!$A:$C,3,0)),"")</f>
        <v/>
      </c>
      <c r="I2369" s="1" t="str">
        <f>IFERROR(IF(A2369="","",E2369*#REF!),"")</f>
        <v/>
      </c>
    </row>
    <row r="2370" spans="2:9" x14ac:dyDescent="0.3">
      <c r="B2370" t="str">
        <f>IFERROR(IF(A2370="","",VLOOKUP(A2370,CadProd!$A:$B,2,0)),"")</f>
        <v/>
      </c>
      <c r="C2370" t="str">
        <f>IFERROR(IF(A2370="","",VLOOKUP(A2370,CadProd!$A:$C,3,0)),"")</f>
        <v/>
      </c>
      <c r="I2370" s="1" t="str">
        <f>IFERROR(IF(A2370="","",E2370*#REF!),"")</f>
        <v/>
      </c>
    </row>
    <row r="2371" spans="2:9" x14ac:dyDescent="0.3">
      <c r="B2371" t="str">
        <f>IFERROR(IF(A2371="","",VLOOKUP(A2371,CadProd!$A:$B,2,0)),"")</f>
        <v/>
      </c>
      <c r="C2371" t="str">
        <f>IFERROR(IF(A2371="","",VLOOKUP(A2371,CadProd!$A:$C,3,0)),"")</f>
        <v/>
      </c>
      <c r="I2371" s="1" t="str">
        <f>IFERROR(IF(A2371="","",E2371*#REF!),"")</f>
        <v/>
      </c>
    </row>
    <row r="2372" spans="2:9" x14ac:dyDescent="0.3">
      <c r="B2372" t="str">
        <f>IFERROR(IF(A2372="","",VLOOKUP(A2372,CadProd!$A:$B,2,0)),"")</f>
        <v/>
      </c>
      <c r="C2372" t="str">
        <f>IFERROR(IF(A2372="","",VLOOKUP(A2372,CadProd!$A:$C,3,0)),"")</f>
        <v/>
      </c>
      <c r="I2372" s="1" t="str">
        <f>IFERROR(IF(A2372="","",E2372*#REF!),"")</f>
        <v/>
      </c>
    </row>
    <row r="2373" spans="2:9" x14ac:dyDescent="0.3">
      <c r="B2373" t="str">
        <f>IFERROR(IF(A2373="","",VLOOKUP(A2373,CadProd!$A:$B,2,0)),"")</f>
        <v/>
      </c>
      <c r="C2373" t="str">
        <f>IFERROR(IF(A2373="","",VLOOKUP(A2373,CadProd!$A:$C,3,0)),"")</f>
        <v/>
      </c>
      <c r="I2373" s="1" t="str">
        <f>IFERROR(IF(A2373="","",E2373*#REF!),"")</f>
        <v/>
      </c>
    </row>
    <row r="2374" spans="2:9" x14ac:dyDescent="0.3">
      <c r="B2374" t="str">
        <f>IFERROR(IF(A2374="","",VLOOKUP(A2374,CadProd!$A:$B,2,0)),"")</f>
        <v/>
      </c>
      <c r="C2374" t="str">
        <f>IFERROR(IF(A2374="","",VLOOKUP(A2374,CadProd!$A:$C,3,0)),"")</f>
        <v/>
      </c>
      <c r="I2374" s="1" t="str">
        <f>IFERROR(IF(A2374="","",E2374*#REF!),"")</f>
        <v/>
      </c>
    </row>
    <row r="2375" spans="2:9" x14ac:dyDescent="0.3">
      <c r="B2375" t="str">
        <f>IFERROR(IF(A2375="","",VLOOKUP(A2375,CadProd!$A:$B,2,0)),"")</f>
        <v/>
      </c>
      <c r="C2375" t="str">
        <f>IFERROR(IF(A2375="","",VLOOKUP(A2375,CadProd!$A:$C,3,0)),"")</f>
        <v/>
      </c>
      <c r="I2375" s="1" t="str">
        <f>IFERROR(IF(A2375="","",E2375*#REF!),"")</f>
        <v/>
      </c>
    </row>
    <row r="2376" spans="2:9" x14ac:dyDescent="0.3">
      <c r="B2376" t="str">
        <f>IFERROR(IF(A2376="","",VLOOKUP(A2376,CadProd!$A:$B,2,0)),"")</f>
        <v/>
      </c>
      <c r="C2376" t="str">
        <f>IFERROR(IF(A2376="","",VLOOKUP(A2376,CadProd!$A:$C,3,0)),"")</f>
        <v/>
      </c>
      <c r="I2376" s="1" t="str">
        <f>IFERROR(IF(A2376="","",E2376*#REF!),"")</f>
        <v/>
      </c>
    </row>
    <row r="2377" spans="2:9" x14ac:dyDescent="0.3">
      <c r="B2377" t="str">
        <f>IFERROR(IF(A2377="","",VLOOKUP(A2377,CadProd!$A:$B,2,0)),"")</f>
        <v/>
      </c>
      <c r="C2377" t="str">
        <f>IFERROR(IF(A2377="","",VLOOKUP(A2377,CadProd!$A:$C,3,0)),"")</f>
        <v/>
      </c>
      <c r="I2377" s="1" t="str">
        <f>IFERROR(IF(A2377="","",E2377*#REF!),"")</f>
        <v/>
      </c>
    </row>
    <row r="2378" spans="2:9" x14ac:dyDescent="0.3">
      <c r="B2378" t="str">
        <f>IFERROR(IF(A2378="","",VLOOKUP(A2378,CadProd!$A:$B,2,0)),"")</f>
        <v/>
      </c>
      <c r="C2378" t="str">
        <f>IFERROR(IF(A2378="","",VLOOKUP(A2378,CadProd!$A:$C,3,0)),"")</f>
        <v/>
      </c>
      <c r="I2378" s="1" t="str">
        <f>IFERROR(IF(A2378="","",E2378*#REF!),"")</f>
        <v/>
      </c>
    </row>
    <row r="2379" spans="2:9" x14ac:dyDescent="0.3">
      <c r="B2379" t="str">
        <f>IFERROR(IF(A2379="","",VLOOKUP(A2379,CadProd!$A:$B,2,0)),"")</f>
        <v/>
      </c>
      <c r="C2379" t="str">
        <f>IFERROR(IF(A2379="","",VLOOKUP(A2379,CadProd!$A:$C,3,0)),"")</f>
        <v/>
      </c>
      <c r="I2379" s="1" t="str">
        <f>IFERROR(IF(A2379="","",E2379*#REF!),"")</f>
        <v/>
      </c>
    </row>
    <row r="2380" spans="2:9" x14ac:dyDescent="0.3">
      <c r="B2380" t="str">
        <f>IFERROR(IF(A2380="","",VLOOKUP(A2380,CadProd!$A:$B,2,0)),"")</f>
        <v/>
      </c>
      <c r="C2380" t="str">
        <f>IFERROR(IF(A2380="","",VLOOKUP(A2380,CadProd!$A:$C,3,0)),"")</f>
        <v/>
      </c>
      <c r="I2380" s="1" t="str">
        <f>IFERROR(IF(A2380="","",E2380*#REF!),"")</f>
        <v/>
      </c>
    </row>
    <row r="2381" spans="2:9" x14ac:dyDescent="0.3">
      <c r="B2381" t="str">
        <f>IFERROR(IF(A2381="","",VLOOKUP(A2381,CadProd!$A:$B,2,0)),"")</f>
        <v/>
      </c>
      <c r="C2381" t="str">
        <f>IFERROR(IF(A2381="","",VLOOKUP(A2381,CadProd!$A:$C,3,0)),"")</f>
        <v/>
      </c>
      <c r="I2381" s="1" t="str">
        <f>IFERROR(IF(A2381="","",E2381*#REF!),"")</f>
        <v/>
      </c>
    </row>
    <row r="2382" spans="2:9" x14ac:dyDescent="0.3">
      <c r="B2382" t="str">
        <f>IFERROR(IF(A2382="","",VLOOKUP(A2382,CadProd!$A:$B,2,0)),"")</f>
        <v/>
      </c>
      <c r="C2382" t="str">
        <f>IFERROR(IF(A2382="","",VLOOKUP(A2382,CadProd!$A:$C,3,0)),"")</f>
        <v/>
      </c>
      <c r="I2382" s="1" t="str">
        <f>IFERROR(IF(A2382="","",E2382*#REF!),"")</f>
        <v/>
      </c>
    </row>
    <row r="2383" spans="2:9" x14ac:dyDescent="0.3">
      <c r="B2383" t="str">
        <f>IFERROR(IF(A2383="","",VLOOKUP(A2383,CadProd!$A:$B,2,0)),"")</f>
        <v/>
      </c>
      <c r="C2383" t="str">
        <f>IFERROR(IF(A2383="","",VLOOKUP(A2383,CadProd!$A:$C,3,0)),"")</f>
        <v/>
      </c>
      <c r="I2383" s="1" t="str">
        <f>IFERROR(IF(A2383="","",E2383*#REF!),"")</f>
        <v/>
      </c>
    </row>
    <row r="2384" spans="2:9" x14ac:dyDescent="0.3">
      <c r="B2384" t="str">
        <f>IFERROR(IF(A2384="","",VLOOKUP(A2384,CadProd!$A:$B,2,0)),"")</f>
        <v/>
      </c>
      <c r="C2384" t="str">
        <f>IFERROR(IF(A2384="","",VLOOKUP(A2384,CadProd!$A:$C,3,0)),"")</f>
        <v/>
      </c>
      <c r="I2384" s="1" t="str">
        <f>IFERROR(IF(A2384="","",E2384*#REF!),"")</f>
        <v/>
      </c>
    </row>
    <row r="2385" spans="2:9" x14ac:dyDescent="0.3">
      <c r="B2385" t="str">
        <f>IFERROR(IF(A2385="","",VLOOKUP(A2385,CadProd!$A:$B,2,0)),"")</f>
        <v/>
      </c>
      <c r="C2385" t="str">
        <f>IFERROR(IF(A2385="","",VLOOKUP(A2385,CadProd!$A:$C,3,0)),"")</f>
        <v/>
      </c>
      <c r="I2385" s="1" t="str">
        <f>IFERROR(IF(A2385="","",E2385*#REF!),"")</f>
        <v/>
      </c>
    </row>
    <row r="2386" spans="2:9" x14ac:dyDescent="0.3">
      <c r="B2386" t="str">
        <f>IFERROR(IF(A2386="","",VLOOKUP(A2386,CadProd!$A:$B,2,0)),"")</f>
        <v/>
      </c>
      <c r="C2386" t="str">
        <f>IFERROR(IF(A2386="","",VLOOKUP(A2386,CadProd!$A:$C,3,0)),"")</f>
        <v/>
      </c>
      <c r="I2386" s="1" t="str">
        <f>IFERROR(IF(A2386="","",E2386*#REF!),"")</f>
        <v/>
      </c>
    </row>
    <row r="2387" spans="2:9" x14ac:dyDescent="0.3">
      <c r="B2387" t="str">
        <f>IFERROR(IF(A2387="","",VLOOKUP(A2387,CadProd!$A:$B,2,0)),"")</f>
        <v/>
      </c>
      <c r="C2387" t="str">
        <f>IFERROR(IF(A2387="","",VLOOKUP(A2387,CadProd!$A:$C,3,0)),"")</f>
        <v/>
      </c>
      <c r="I2387" s="1" t="str">
        <f>IFERROR(IF(A2387="","",E2387*#REF!),"")</f>
        <v/>
      </c>
    </row>
    <row r="2388" spans="2:9" x14ac:dyDescent="0.3">
      <c r="B2388" t="str">
        <f>IFERROR(IF(A2388="","",VLOOKUP(A2388,CadProd!$A:$B,2,0)),"")</f>
        <v/>
      </c>
      <c r="C2388" t="str">
        <f>IFERROR(IF(A2388="","",VLOOKUP(A2388,CadProd!$A:$C,3,0)),"")</f>
        <v/>
      </c>
      <c r="I2388" s="1" t="str">
        <f>IFERROR(IF(A2388="","",E2388*#REF!),"")</f>
        <v/>
      </c>
    </row>
    <row r="2389" spans="2:9" x14ac:dyDescent="0.3">
      <c r="B2389" t="str">
        <f>IFERROR(IF(A2389="","",VLOOKUP(A2389,CadProd!$A:$B,2,0)),"")</f>
        <v/>
      </c>
      <c r="C2389" t="str">
        <f>IFERROR(IF(A2389="","",VLOOKUP(A2389,CadProd!$A:$C,3,0)),"")</f>
        <v/>
      </c>
      <c r="I2389" s="1" t="str">
        <f>IFERROR(IF(A2389="","",E2389*#REF!),"")</f>
        <v/>
      </c>
    </row>
    <row r="2390" spans="2:9" x14ac:dyDescent="0.3">
      <c r="B2390" t="str">
        <f>IFERROR(IF(A2390="","",VLOOKUP(A2390,CadProd!$A:$B,2,0)),"")</f>
        <v/>
      </c>
      <c r="C2390" t="str">
        <f>IFERROR(IF(A2390="","",VLOOKUP(A2390,CadProd!$A:$C,3,0)),"")</f>
        <v/>
      </c>
      <c r="I2390" s="1" t="str">
        <f>IFERROR(IF(A2390="","",E2390*#REF!),"")</f>
        <v/>
      </c>
    </row>
    <row r="2391" spans="2:9" x14ac:dyDescent="0.3">
      <c r="B2391" t="str">
        <f>IFERROR(IF(A2391="","",VLOOKUP(A2391,CadProd!$A:$B,2,0)),"")</f>
        <v/>
      </c>
      <c r="C2391" t="str">
        <f>IFERROR(IF(A2391="","",VLOOKUP(A2391,CadProd!$A:$C,3,0)),"")</f>
        <v/>
      </c>
      <c r="I2391" s="1" t="str">
        <f>IFERROR(IF(A2391="","",E2391*#REF!),"")</f>
        <v/>
      </c>
    </row>
    <row r="2392" spans="2:9" x14ac:dyDescent="0.3">
      <c r="B2392" t="str">
        <f>IFERROR(IF(A2392="","",VLOOKUP(A2392,CadProd!$A:$B,2,0)),"")</f>
        <v/>
      </c>
      <c r="C2392" t="str">
        <f>IFERROR(IF(A2392="","",VLOOKUP(A2392,CadProd!$A:$C,3,0)),"")</f>
        <v/>
      </c>
      <c r="I2392" s="1" t="str">
        <f>IFERROR(IF(A2392="","",E2392*#REF!),"")</f>
        <v/>
      </c>
    </row>
    <row r="2393" spans="2:9" x14ac:dyDescent="0.3">
      <c r="B2393" t="str">
        <f>IFERROR(IF(A2393="","",VLOOKUP(A2393,CadProd!$A:$B,2,0)),"")</f>
        <v/>
      </c>
      <c r="C2393" t="str">
        <f>IFERROR(IF(A2393="","",VLOOKUP(A2393,CadProd!$A:$C,3,0)),"")</f>
        <v/>
      </c>
      <c r="I2393" s="1" t="str">
        <f>IFERROR(IF(A2393="","",E2393*#REF!),"")</f>
        <v/>
      </c>
    </row>
    <row r="2394" spans="2:9" x14ac:dyDescent="0.3">
      <c r="B2394" t="str">
        <f>IFERROR(IF(A2394="","",VLOOKUP(A2394,CadProd!$A:$B,2,0)),"")</f>
        <v/>
      </c>
      <c r="C2394" t="str">
        <f>IFERROR(IF(A2394="","",VLOOKUP(A2394,CadProd!$A:$C,3,0)),"")</f>
        <v/>
      </c>
      <c r="I2394" s="1" t="str">
        <f>IFERROR(IF(A2394="","",E2394*#REF!),"")</f>
        <v/>
      </c>
    </row>
    <row r="2395" spans="2:9" x14ac:dyDescent="0.3">
      <c r="B2395" t="str">
        <f>IFERROR(IF(A2395="","",VLOOKUP(A2395,CadProd!$A:$B,2,0)),"")</f>
        <v/>
      </c>
      <c r="C2395" t="str">
        <f>IFERROR(IF(A2395="","",VLOOKUP(A2395,CadProd!$A:$C,3,0)),"")</f>
        <v/>
      </c>
      <c r="I2395" s="1" t="str">
        <f>IFERROR(IF(A2395="","",E2395*#REF!),"")</f>
        <v/>
      </c>
    </row>
    <row r="2396" spans="2:9" x14ac:dyDescent="0.3">
      <c r="B2396" t="str">
        <f>IFERROR(IF(A2396="","",VLOOKUP(A2396,CadProd!$A:$B,2,0)),"")</f>
        <v/>
      </c>
      <c r="C2396" t="str">
        <f>IFERROR(IF(A2396="","",VLOOKUP(A2396,CadProd!$A:$C,3,0)),"")</f>
        <v/>
      </c>
      <c r="I2396" s="1" t="str">
        <f>IFERROR(IF(A2396="","",E2396*#REF!),"")</f>
        <v/>
      </c>
    </row>
    <row r="2397" spans="2:9" x14ac:dyDescent="0.3">
      <c r="B2397" t="str">
        <f>IFERROR(IF(A2397="","",VLOOKUP(A2397,CadProd!$A:$B,2,0)),"")</f>
        <v/>
      </c>
      <c r="C2397" t="str">
        <f>IFERROR(IF(A2397="","",VLOOKUP(A2397,CadProd!$A:$C,3,0)),"")</f>
        <v/>
      </c>
      <c r="I2397" s="1" t="str">
        <f>IFERROR(IF(A2397="","",E2397*#REF!),"")</f>
        <v/>
      </c>
    </row>
    <row r="2398" spans="2:9" x14ac:dyDescent="0.3">
      <c r="B2398" t="str">
        <f>IFERROR(IF(A2398="","",VLOOKUP(A2398,CadProd!$A:$B,2,0)),"")</f>
        <v/>
      </c>
      <c r="C2398" t="str">
        <f>IFERROR(IF(A2398="","",VLOOKUP(A2398,CadProd!$A:$C,3,0)),"")</f>
        <v/>
      </c>
      <c r="I2398" s="1" t="str">
        <f>IFERROR(IF(A2398="","",E2398*#REF!),"")</f>
        <v/>
      </c>
    </row>
    <row r="2399" spans="2:9" x14ac:dyDescent="0.3">
      <c r="B2399" t="str">
        <f>IFERROR(IF(A2399="","",VLOOKUP(A2399,CadProd!$A:$B,2,0)),"")</f>
        <v/>
      </c>
      <c r="C2399" t="str">
        <f>IFERROR(IF(A2399="","",VLOOKUP(A2399,CadProd!$A:$C,3,0)),"")</f>
        <v/>
      </c>
      <c r="I2399" s="1" t="str">
        <f>IFERROR(IF(A2399="","",E2399*#REF!),"")</f>
        <v/>
      </c>
    </row>
    <row r="2400" spans="2:9" x14ac:dyDescent="0.3">
      <c r="B2400" t="str">
        <f>IFERROR(IF(A2400="","",VLOOKUP(A2400,CadProd!$A:$B,2,0)),"")</f>
        <v/>
      </c>
      <c r="C2400" t="str">
        <f>IFERROR(IF(A2400="","",VLOOKUP(A2400,CadProd!$A:$C,3,0)),"")</f>
        <v/>
      </c>
      <c r="I2400" s="1" t="str">
        <f>IFERROR(IF(A2400="","",E2400*#REF!),"")</f>
        <v/>
      </c>
    </row>
    <row r="2401" spans="2:9" x14ac:dyDescent="0.3">
      <c r="B2401" t="str">
        <f>IFERROR(IF(A2401="","",VLOOKUP(A2401,CadProd!$A:$B,2,0)),"")</f>
        <v/>
      </c>
      <c r="C2401" t="str">
        <f>IFERROR(IF(A2401="","",VLOOKUP(A2401,CadProd!$A:$C,3,0)),"")</f>
        <v/>
      </c>
      <c r="I2401" s="1" t="str">
        <f>IFERROR(IF(A2401="","",E2401*#REF!),"")</f>
        <v/>
      </c>
    </row>
    <row r="2402" spans="2:9" x14ac:dyDescent="0.3">
      <c r="B2402" t="str">
        <f>IFERROR(IF(A2402="","",VLOOKUP(A2402,CadProd!$A:$B,2,0)),"")</f>
        <v/>
      </c>
      <c r="C2402" t="str">
        <f>IFERROR(IF(A2402="","",VLOOKUP(A2402,CadProd!$A:$C,3,0)),"")</f>
        <v/>
      </c>
      <c r="I2402" s="1" t="str">
        <f>IFERROR(IF(A2402="","",E2402*#REF!),"")</f>
        <v/>
      </c>
    </row>
    <row r="2403" spans="2:9" x14ac:dyDescent="0.3">
      <c r="B2403" t="str">
        <f>IFERROR(IF(A2403="","",VLOOKUP(A2403,CadProd!$A:$B,2,0)),"")</f>
        <v/>
      </c>
      <c r="C2403" t="str">
        <f>IFERROR(IF(A2403="","",VLOOKUP(A2403,CadProd!$A:$C,3,0)),"")</f>
        <v/>
      </c>
      <c r="I2403" s="1" t="str">
        <f>IFERROR(IF(A2403="","",E2403*#REF!),"")</f>
        <v/>
      </c>
    </row>
    <row r="2404" spans="2:9" x14ac:dyDescent="0.3">
      <c r="B2404" t="str">
        <f>IFERROR(IF(A2404="","",VLOOKUP(A2404,CadProd!$A:$B,2,0)),"")</f>
        <v/>
      </c>
      <c r="C2404" t="str">
        <f>IFERROR(IF(A2404="","",VLOOKUP(A2404,CadProd!$A:$C,3,0)),"")</f>
        <v/>
      </c>
      <c r="I2404" s="1" t="str">
        <f>IFERROR(IF(A2404="","",E2404*#REF!),"")</f>
        <v/>
      </c>
    </row>
    <row r="2405" spans="2:9" x14ac:dyDescent="0.3">
      <c r="B2405" t="str">
        <f>IFERROR(IF(A2405="","",VLOOKUP(A2405,CadProd!$A:$B,2,0)),"")</f>
        <v/>
      </c>
      <c r="C2405" t="str">
        <f>IFERROR(IF(A2405="","",VLOOKUP(A2405,CadProd!$A:$C,3,0)),"")</f>
        <v/>
      </c>
      <c r="I2405" s="1" t="str">
        <f>IFERROR(IF(A2405="","",E2405*#REF!),"")</f>
        <v/>
      </c>
    </row>
    <row r="2406" spans="2:9" x14ac:dyDescent="0.3">
      <c r="B2406" t="str">
        <f>IFERROR(IF(A2406="","",VLOOKUP(A2406,CadProd!$A:$B,2,0)),"")</f>
        <v/>
      </c>
      <c r="C2406" t="str">
        <f>IFERROR(IF(A2406="","",VLOOKUP(A2406,CadProd!$A:$C,3,0)),"")</f>
        <v/>
      </c>
      <c r="I2406" s="1" t="str">
        <f>IFERROR(IF(A2406="","",E2406*#REF!),"")</f>
        <v/>
      </c>
    </row>
    <row r="2407" spans="2:9" x14ac:dyDescent="0.3">
      <c r="B2407" t="str">
        <f>IFERROR(IF(A2407="","",VLOOKUP(A2407,CadProd!$A:$B,2,0)),"")</f>
        <v/>
      </c>
      <c r="C2407" t="str">
        <f>IFERROR(IF(A2407="","",VLOOKUP(A2407,CadProd!$A:$C,3,0)),"")</f>
        <v/>
      </c>
      <c r="I2407" s="1" t="str">
        <f>IFERROR(IF(A2407="","",E2407*#REF!),"")</f>
        <v/>
      </c>
    </row>
    <row r="2408" spans="2:9" x14ac:dyDescent="0.3">
      <c r="B2408" t="str">
        <f>IFERROR(IF(A2408="","",VLOOKUP(A2408,CadProd!$A:$B,2,0)),"")</f>
        <v/>
      </c>
      <c r="C2408" t="str">
        <f>IFERROR(IF(A2408="","",VLOOKUP(A2408,CadProd!$A:$C,3,0)),"")</f>
        <v/>
      </c>
      <c r="I2408" s="1" t="str">
        <f>IFERROR(IF(A2408="","",E2408*#REF!),"")</f>
        <v/>
      </c>
    </row>
    <row r="2409" spans="2:9" x14ac:dyDescent="0.3">
      <c r="B2409" t="str">
        <f>IFERROR(IF(A2409="","",VLOOKUP(A2409,CadProd!$A:$B,2,0)),"")</f>
        <v/>
      </c>
      <c r="C2409" t="str">
        <f>IFERROR(IF(A2409="","",VLOOKUP(A2409,CadProd!$A:$C,3,0)),"")</f>
        <v/>
      </c>
      <c r="I2409" s="1" t="str">
        <f>IFERROR(IF(A2409="","",E2409*#REF!),"")</f>
        <v/>
      </c>
    </row>
    <row r="2410" spans="2:9" x14ac:dyDescent="0.3">
      <c r="B2410" t="str">
        <f>IFERROR(IF(A2410="","",VLOOKUP(A2410,CadProd!$A:$B,2,0)),"")</f>
        <v/>
      </c>
      <c r="C2410" t="str">
        <f>IFERROR(IF(A2410="","",VLOOKUP(A2410,CadProd!$A:$C,3,0)),"")</f>
        <v/>
      </c>
      <c r="I2410" s="1" t="str">
        <f>IFERROR(IF(A2410="","",E2410*#REF!),"")</f>
        <v/>
      </c>
    </row>
    <row r="2411" spans="2:9" x14ac:dyDescent="0.3">
      <c r="B2411" t="str">
        <f>IFERROR(IF(A2411="","",VLOOKUP(A2411,CadProd!$A:$B,2,0)),"")</f>
        <v/>
      </c>
      <c r="C2411" t="str">
        <f>IFERROR(IF(A2411="","",VLOOKUP(A2411,CadProd!$A:$C,3,0)),"")</f>
        <v/>
      </c>
      <c r="I2411" s="1" t="str">
        <f>IFERROR(IF(A2411="","",E2411*#REF!),"")</f>
        <v/>
      </c>
    </row>
    <row r="2412" spans="2:9" x14ac:dyDescent="0.3">
      <c r="B2412" t="str">
        <f>IFERROR(IF(A2412="","",VLOOKUP(A2412,CadProd!$A:$B,2,0)),"")</f>
        <v/>
      </c>
      <c r="C2412" t="str">
        <f>IFERROR(IF(A2412="","",VLOOKUP(A2412,CadProd!$A:$C,3,0)),"")</f>
        <v/>
      </c>
      <c r="I2412" s="1" t="str">
        <f>IFERROR(IF(A2412="","",E2412*#REF!),"")</f>
        <v/>
      </c>
    </row>
    <row r="2413" spans="2:9" x14ac:dyDescent="0.3">
      <c r="B2413" t="str">
        <f>IFERROR(IF(A2413="","",VLOOKUP(A2413,CadProd!$A:$B,2,0)),"")</f>
        <v/>
      </c>
      <c r="C2413" t="str">
        <f>IFERROR(IF(A2413="","",VLOOKUP(A2413,CadProd!$A:$C,3,0)),"")</f>
        <v/>
      </c>
      <c r="I2413" s="1" t="str">
        <f>IFERROR(IF(A2413="","",E2413*#REF!),"")</f>
        <v/>
      </c>
    </row>
    <row r="2414" spans="2:9" x14ac:dyDescent="0.3">
      <c r="B2414" t="str">
        <f>IFERROR(IF(A2414="","",VLOOKUP(A2414,CadProd!$A:$B,2,0)),"")</f>
        <v/>
      </c>
      <c r="C2414" t="str">
        <f>IFERROR(IF(A2414="","",VLOOKUP(A2414,CadProd!$A:$C,3,0)),"")</f>
        <v/>
      </c>
      <c r="I2414" s="1" t="str">
        <f>IFERROR(IF(A2414="","",E2414*#REF!),"")</f>
        <v/>
      </c>
    </row>
    <row r="2415" spans="2:9" x14ac:dyDescent="0.3">
      <c r="B2415" t="str">
        <f>IFERROR(IF(A2415="","",VLOOKUP(A2415,CadProd!$A:$B,2,0)),"")</f>
        <v/>
      </c>
      <c r="C2415" t="str">
        <f>IFERROR(IF(A2415="","",VLOOKUP(A2415,CadProd!$A:$C,3,0)),"")</f>
        <v/>
      </c>
      <c r="I2415" s="1" t="str">
        <f>IFERROR(IF(A2415="","",E2415*#REF!),"")</f>
        <v/>
      </c>
    </row>
    <row r="2416" spans="2:9" x14ac:dyDescent="0.3">
      <c r="B2416" t="str">
        <f>IFERROR(IF(A2416="","",VLOOKUP(A2416,CadProd!$A:$B,2,0)),"")</f>
        <v/>
      </c>
      <c r="C2416" t="str">
        <f>IFERROR(IF(A2416="","",VLOOKUP(A2416,CadProd!$A:$C,3,0)),"")</f>
        <v/>
      </c>
      <c r="I2416" s="1" t="str">
        <f>IFERROR(IF(A2416="","",E2416*#REF!),"")</f>
        <v/>
      </c>
    </row>
    <row r="2417" spans="2:9" x14ac:dyDescent="0.3">
      <c r="B2417" t="str">
        <f>IFERROR(IF(A2417="","",VLOOKUP(A2417,CadProd!$A:$B,2,0)),"")</f>
        <v/>
      </c>
      <c r="C2417" t="str">
        <f>IFERROR(IF(A2417="","",VLOOKUP(A2417,CadProd!$A:$C,3,0)),"")</f>
        <v/>
      </c>
      <c r="I2417" s="1" t="str">
        <f>IFERROR(IF(A2417="","",E2417*#REF!),"")</f>
        <v/>
      </c>
    </row>
    <row r="2418" spans="2:9" x14ac:dyDescent="0.3">
      <c r="B2418" t="str">
        <f>IFERROR(IF(A2418="","",VLOOKUP(A2418,CadProd!$A:$B,2,0)),"")</f>
        <v/>
      </c>
      <c r="C2418" t="str">
        <f>IFERROR(IF(A2418="","",VLOOKUP(A2418,CadProd!$A:$C,3,0)),"")</f>
        <v/>
      </c>
      <c r="I2418" s="1" t="str">
        <f>IFERROR(IF(A2418="","",E2418*#REF!),"")</f>
        <v/>
      </c>
    </row>
    <row r="2419" spans="2:9" x14ac:dyDescent="0.3">
      <c r="B2419" t="str">
        <f>IFERROR(IF(A2419="","",VLOOKUP(A2419,CadProd!$A:$B,2,0)),"")</f>
        <v/>
      </c>
      <c r="C2419" t="str">
        <f>IFERROR(IF(A2419="","",VLOOKUP(A2419,CadProd!$A:$C,3,0)),"")</f>
        <v/>
      </c>
      <c r="I2419" s="1" t="str">
        <f>IFERROR(IF(A2419="","",E2419*#REF!),"")</f>
        <v/>
      </c>
    </row>
    <row r="2420" spans="2:9" x14ac:dyDescent="0.3">
      <c r="B2420" t="str">
        <f>IFERROR(IF(A2420="","",VLOOKUP(A2420,CadProd!$A:$B,2,0)),"")</f>
        <v/>
      </c>
      <c r="C2420" t="str">
        <f>IFERROR(IF(A2420="","",VLOOKUP(A2420,CadProd!$A:$C,3,0)),"")</f>
        <v/>
      </c>
      <c r="I2420" s="1" t="str">
        <f>IFERROR(IF(A2420="","",E2420*#REF!),"")</f>
        <v/>
      </c>
    </row>
    <row r="2421" spans="2:9" x14ac:dyDescent="0.3">
      <c r="B2421" t="str">
        <f>IFERROR(IF(A2421="","",VLOOKUP(A2421,CadProd!$A:$B,2,0)),"")</f>
        <v/>
      </c>
      <c r="C2421" t="str">
        <f>IFERROR(IF(A2421="","",VLOOKUP(A2421,CadProd!$A:$C,3,0)),"")</f>
        <v/>
      </c>
      <c r="I2421" s="1" t="str">
        <f>IFERROR(IF(A2421="","",E2421*#REF!),"")</f>
        <v/>
      </c>
    </row>
    <row r="2422" spans="2:9" x14ac:dyDescent="0.3">
      <c r="B2422" t="str">
        <f>IFERROR(IF(A2422="","",VLOOKUP(A2422,CadProd!$A:$B,2,0)),"")</f>
        <v/>
      </c>
      <c r="C2422" t="str">
        <f>IFERROR(IF(A2422="","",VLOOKUP(A2422,CadProd!$A:$C,3,0)),"")</f>
        <v/>
      </c>
      <c r="I2422" s="1" t="str">
        <f>IFERROR(IF(A2422="","",E2422*#REF!),"")</f>
        <v/>
      </c>
    </row>
    <row r="2423" spans="2:9" x14ac:dyDescent="0.3">
      <c r="B2423" t="str">
        <f>IFERROR(IF(A2423="","",VLOOKUP(A2423,CadProd!$A:$B,2,0)),"")</f>
        <v/>
      </c>
      <c r="C2423" t="str">
        <f>IFERROR(IF(A2423="","",VLOOKUP(A2423,CadProd!$A:$C,3,0)),"")</f>
        <v/>
      </c>
      <c r="I2423" s="1" t="str">
        <f>IFERROR(IF(A2423="","",E2423*#REF!),"")</f>
        <v/>
      </c>
    </row>
    <row r="2424" spans="2:9" x14ac:dyDescent="0.3">
      <c r="B2424" t="str">
        <f>IFERROR(IF(A2424="","",VLOOKUP(A2424,CadProd!$A:$B,2,0)),"")</f>
        <v/>
      </c>
      <c r="C2424" t="str">
        <f>IFERROR(IF(A2424="","",VLOOKUP(A2424,CadProd!$A:$C,3,0)),"")</f>
        <v/>
      </c>
      <c r="I2424" s="1" t="str">
        <f>IFERROR(IF(A2424="","",E2424*#REF!),"")</f>
        <v/>
      </c>
    </row>
    <row r="2425" spans="2:9" x14ac:dyDescent="0.3">
      <c r="B2425" t="str">
        <f>IFERROR(IF(A2425="","",VLOOKUP(A2425,CadProd!$A:$B,2,0)),"")</f>
        <v/>
      </c>
      <c r="C2425" t="str">
        <f>IFERROR(IF(A2425="","",VLOOKUP(A2425,CadProd!$A:$C,3,0)),"")</f>
        <v/>
      </c>
      <c r="I2425" s="1" t="str">
        <f>IFERROR(IF(A2425="","",E2425*#REF!),"")</f>
        <v/>
      </c>
    </row>
    <row r="2426" spans="2:9" x14ac:dyDescent="0.3">
      <c r="B2426" t="str">
        <f>IFERROR(IF(A2426="","",VLOOKUP(A2426,CadProd!$A:$B,2,0)),"")</f>
        <v/>
      </c>
      <c r="C2426" t="str">
        <f>IFERROR(IF(A2426="","",VLOOKUP(A2426,CadProd!$A:$C,3,0)),"")</f>
        <v/>
      </c>
      <c r="I2426" s="1" t="str">
        <f>IFERROR(IF(A2426="","",E2426*#REF!),"")</f>
        <v/>
      </c>
    </row>
    <row r="2427" spans="2:9" x14ac:dyDescent="0.3">
      <c r="B2427" t="str">
        <f>IFERROR(IF(A2427="","",VLOOKUP(A2427,CadProd!$A:$B,2,0)),"")</f>
        <v/>
      </c>
      <c r="C2427" t="str">
        <f>IFERROR(IF(A2427="","",VLOOKUP(A2427,CadProd!$A:$C,3,0)),"")</f>
        <v/>
      </c>
      <c r="I2427" s="1" t="str">
        <f>IFERROR(IF(A2427="","",E2427*#REF!),"")</f>
        <v/>
      </c>
    </row>
    <row r="2428" spans="2:9" x14ac:dyDescent="0.3">
      <c r="B2428" t="str">
        <f>IFERROR(IF(A2428="","",VLOOKUP(A2428,CadProd!$A:$B,2,0)),"")</f>
        <v/>
      </c>
      <c r="C2428" t="str">
        <f>IFERROR(IF(A2428="","",VLOOKUP(A2428,CadProd!$A:$C,3,0)),"")</f>
        <v/>
      </c>
      <c r="I2428" s="1" t="str">
        <f>IFERROR(IF(A2428="","",E2428*#REF!),"")</f>
        <v/>
      </c>
    </row>
    <row r="2429" spans="2:9" x14ac:dyDescent="0.3">
      <c r="B2429" t="str">
        <f>IFERROR(IF(A2429="","",VLOOKUP(A2429,CadProd!$A:$B,2,0)),"")</f>
        <v/>
      </c>
      <c r="C2429" t="str">
        <f>IFERROR(IF(A2429="","",VLOOKUP(A2429,CadProd!$A:$C,3,0)),"")</f>
        <v/>
      </c>
      <c r="I2429" s="1" t="str">
        <f>IFERROR(IF(A2429="","",E2429*#REF!),"")</f>
        <v/>
      </c>
    </row>
    <row r="2430" spans="2:9" x14ac:dyDescent="0.3">
      <c r="B2430" t="str">
        <f>IFERROR(IF(A2430="","",VLOOKUP(A2430,CadProd!$A:$B,2,0)),"")</f>
        <v/>
      </c>
      <c r="C2430" t="str">
        <f>IFERROR(IF(A2430="","",VLOOKUP(A2430,CadProd!$A:$C,3,0)),"")</f>
        <v/>
      </c>
      <c r="I2430" s="1" t="str">
        <f>IFERROR(IF(A2430="","",E2430*#REF!),"")</f>
        <v/>
      </c>
    </row>
    <row r="2431" spans="2:9" x14ac:dyDescent="0.3">
      <c r="B2431" t="str">
        <f>IFERROR(IF(A2431="","",VLOOKUP(A2431,CadProd!$A:$B,2,0)),"")</f>
        <v/>
      </c>
      <c r="C2431" t="str">
        <f>IFERROR(IF(A2431="","",VLOOKUP(A2431,CadProd!$A:$C,3,0)),"")</f>
        <v/>
      </c>
      <c r="I2431" s="1" t="str">
        <f>IFERROR(IF(A2431="","",E2431*#REF!),"")</f>
        <v/>
      </c>
    </row>
    <row r="2432" spans="2:9" x14ac:dyDescent="0.3">
      <c r="B2432" t="str">
        <f>IFERROR(IF(A2432="","",VLOOKUP(A2432,CadProd!$A:$B,2,0)),"")</f>
        <v/>
      </c>
      <c r="C2432" t="str">
        <f>IFERROR(IF(A2432="","",VLOOKUP(A2432,CadProd!$A:$C,3,0)),"")</f>
        <v/>
      </c>
      <c r="I2432" s="1" t="str">
        <f>IFERROR(IF(A2432="","",E2432*#REF!),"")</f>
        <v/>
      </c>
    </row>
    <row r="2433" spans="2:9" x14ac:dyDescent="0.3">
      <c r="B2433" t="str">
        <f>IFERROR(IF(A2433="","",VLOOKUP(A2433,CadProd!$A:$B,2,0)),"")</f>
        <v/>
      </c>
      <c r="C2433" t="str">
        <f>IFERROR(IF(A2433="","",VLOOKUP(A2433,CadProd!$A:$C,3,0)),"")</f>
        <v/>
      </c>
      <c r="I2433" s="1" t="str">
        <f>IFERROR(IF(A2433="","",E2433*#REF!),"")</f>
        <v/>
      </c>
    </row>
    <row r="2434" spans="2:9" x14ac:dyDescent="0.3">
      <c r="B2434" t="str">
        <f>IFERROR(IF(A2434="","",VLOOKUP(A2434,CadProd!$A:$B,2,0)),"")</f>
        <v/>
      </c>
      <c r="C2434" t="str">
        <f>IFERROR(IF(A2434="","",VLOOKUP(A2434,CadProd!$A:$C,3,0)),"")</f>
        <v/>
      </c>
      <c r="I2434" s="1" t="str">
        <f>IFERROR(IF(A2434="","",E2434*#REF!),"")</f>
        <v/>
      </c>
    </row>
    <row r="2435" spans="2:9" x14ac:dyDescent="0.3">
      <c r="B2435" t="str">
        <f>IFERROR(IF(A2435="","",VLOOKUP(A2435,CadProd!$A:$B,2,0)),"")</f>
        <v/>
      </c>
      <c r="C2435" t="str">
        <f>IFERROR(IF(A2435="","",VLOOKUP(A2435,CadProd!$A:$C,3,0)),"")</f>
        <v/>
      </c>
      <c r="I2435" s="1" t="str">
        <f>IFERROR(IF(A2435="","",E2435*#REF!),"")</f>
        <v/>
      </c>
    </row>
    <row r="2436" spans="2:9" x14ac:dyDescent="0.3">
      <c r="B2436" t="str">
        <f>IFERROR(IF(A2436="","",VLOOKUP(A2436,CadProd!$A:$B,2,0)),"")</f>
        <v/>
      </c>
      <c r="C2436" t="str">
        <f>IFERROR(IF(A2436="","",VLOOKUP(A2436,CadProd!$A:$C,3,0)),"")</f>
        <v/>
      </c>
      <c r="I2436" s="1" t="str">
        <f>IFERROR(IF(A2436="","",E2436*#REF!),"")</f>
        <v/>
      </c>
    </row>
    <row r="2437" spans="2:9" x14ac:dyDescent="0.3">
      <c r="B2437" t="str">
        <f>IFERROR(IF(A2437="","",VLOOKUP(A2437,CadProd!$A:$B,2,0)),"")</f>
        <v/>
      </c>
      <c r="C2437" t="str">
        <f>IFERROR(IF(A2437="","",VLOOKUP(A2437,CadProd!$A:$C,3,0)),"")</f>
        <v/>
      </c>
      <c r="I2437" s="1" t="str">
        <f>IFERROR(IF(A2437="","",E2437*#REF!),"")</f>
        <v/>
      </c>
    </row>
    <row r="2438" spans="2:9" x14ac:dyDescent="0.3">
      <c r="B2438" t="str">
        <f>IFERROR(IF(A2438="","",VLOOKUP(A2438,CadProd!$A:$B,2,0)),"")</f>
        <v/>
      </c>
      <c r="C2438" t="str">
        <f>IFERROR(IF(A2438="","",VLOOKUP(A2438,CadProd!$A:$C,3,0)),"")</f>
        <v/>
      </c>
      <c r="I2438" s="1" t="str">
        <f>IFERROR(IF(A2438="","",E2438*#REF!),"")</f>
        <v/>
      </c>
    </row>
    <row r="2439" spans="2:9" x14ac:dyDescent="0.3">
      <c r="B2439" t="str">
        <f>IFERROR(IF(A2439="","",VLOOKUP(A2439,CadProd!$A:$B,2,0)),"")</f>
        <v/>
      </c>
      <c r="C2439" t="str">
        <f>IFERROR(IF(A2439="","",VLOOKUP(A2439,CadProd!$A:$C,3,0)),"")</f>
        <v/>
      </c>
      <c r="I2439" s="1" t="str">
        <f>IFERROR(IF(A2439="","",E2439*#REF!),"")</f>
        <v/>
      </c>
    </row>
    <row r="2440" spans="2:9" x14ac:dyDescent="0.3">
      <c r="B2440" t="str">
        <f>IFERROR(IF(A2440="","",VLOOKUP(A2440,CadProd!$A:$B,2,0)),"")</f>
        <v/>
      </c>
      <c r="C2440" t="str">
        <f>IFERROR(IF(A2440="","",VLOOKUP(A2440,CadProd!$A:$C,3,0)),"")</f>
        <v/>
      </c>
      <c r="I2440" s="1" t="str">
        <f>IFERROR(IF(A2440="","",E2440*#REF!),"")</f>
        <v/>
      </c>
    </row>
    <row r="2441" spans="2:9" x14ac:dyDescent="0.3">
      <c r="B2441" t="str">
        <f>IFERROR(IF(A2441="","",VLOOKUP(A2441,CadProd!$A:$B,2,0)),"")</f>
        <v/>
      </c>
      <c r="C2441" t="str">
        <f>IFERROR(IF(A2441="","",VLOOKUP(A2441,CadProd!$A:$C,3,0)),"")</f>
        <v/>
      </c>
      <c r="I2441" s="1" t="str">
        <f>IFERROR(IF(A2441="","",E2441*#REF!),"")</f>
        <v/>
      </c>
    </row>
    <row r="2442" spans="2:9" x14ac:dyDescent="0.3">
      <c r="B2442" t="str">
        <f>IFERROR(IF(A2442="","",VLOOKUP(A2442,CadProd!$A:$B,2,0)),"")</f>
        <v/>
      </c>
      <c r="C2442" t="str">
        <f>IFERROR(IF(A2442="","",VLOOKUP(A2442,CadProd!$A:$C,3,0)),"")</f>
        <v/>
      </c>
      <c r="I2442" s="1" t="str">
        <f>IFERROR(IF(A2442="","",E2442*#REF!),"")</f>
        <v/>
      </c>
    </row>
    <row r="2443" spans="2:9" x14ac:dyDescent="0.3">
      <c r="B2443" t="str">
        <f>IFERROR(IF(A2443="","",VLOOKUP(A2443,CadProd!$A:$B,2,0)),"")</f>
        <v/>
      </c>
      <c r="C2443" t="str">
        <f>IFERROR(IF(A2443="","",VLOOKUP(A2443,CadProd!$A:$C,3,0)),"")</f>
        <v/>
      </c>
      <c r="I2443" s="1" t="str">
        <f>IFERROR(IF(A2443="","",E2443*#REF!),"")</f>
        <v/>
      </c>
    </row>
    <row r="2444" spans="2:9" x14ac:dyDescent="0.3">
      <c r="B2444" t="str">
        <f>IFERROR(IF(A2444="","",VLOOKUP(A2444,CadProd!$A:$B,2,0)),"")</f>
        <v/>
      </c>
      <c r="C2444" t="str">
        <f>IFERROR(IF(A2444="","",VLOOKUP(A2444,CadProd!$A:$C,3,0)),"")</f>
        <v/>
      </c>
      <c r="I2444" s="1" t="str">
        <f>IFERROR(IF(A2444="","",E2444*#REF!),"")</f>
        <v/>
      </c>
    </row>
    <row r="2445" spans="2:9" x14ac:dyDescent="0.3">
      <c r="B2445" t="str">
        <f>IFERROR(IF(A2445="","",VLOOKUP(A2445,CadProd!$A:$B,2,0)),"")</f>
        <v/>
      </c>
      <c r="C2445" t="str">
        <f>IFERROR(IF(A2445="","",VLOOKUP(A2445,CadProd!$A:$C,3,0)),"")</f>
        <v/>
      </c>
      <c r="I2445" s="1" t="str">
        <f>IFERROR(IF(A2445="","",E2445*#REF!),"")</f>
        <v/>
      </c>
    </row>
    <row r="2446" spans="2:9" x14ac:dyDescent="0.3">
      <c r="B2446" t="str">
        <f>IFERROR(IF(A2446="","",VLOOKUP(A2446,CadProd!$A:$B,2,0)),"")</f>
        <v/>
      </c>
      <c r="C2446" t="str">
        <f>IFERROR(IF(A2446="","",VLOOKUP(A2446,CadProd!$A:$C,3,0)),"")</f>
        <v/>
      </c>
      <c r="I2446" s="1" t="str">
        <f>IFERROR(IF(A2446="","",E2446*#REF!),"")</f>
        <v/>
      </c>
    </row>
    <row r="2447" spans="2:9" x14ac:dyDescent="0.3">
      <c r="B2447" t="str">
        <f>IFERROR(IF(A2447="","",VLOOKUP(A2447,CadProd!$A:$B,2,0)),"")</f>
        <v/>
      </c>
      <c r="C2447" t="str">
        <f>IFERROR(IF(A2447="","",VLOOKUP(A2447,CadProd!$A:$C,3,0)),"")</f>
        <v/>
      </c>
      <c r="I2447" s="1" t="str">
        <f>IFERROR(IF(A2447="","",E2447*#REF!),"")</f>
        <v/>
      </c>
    </row>
    <row r="2448" spans="2:9" x14ac:dyDescent="0.3">
      <c r="B2448" t="str">
        <f>IFERROR(IF(A2448="","",VLOOKUP(A2448,CadProd!$A:$B,2,0)),"")</f>
        <v/>
      </c>
      <c r="C2448" t="str">
        <f>IFERROR(IF(A2448="","",VLOOKUP(A2448,CadProd!$A:$C,3,0)),"")</f>
        <v/>
      </c>
      <c r="I2448" s="1" t="str">
        <f>IFERROR(IF(A2448="","",E2448*#REF!),"")</f>
        <v/>
      </c>
    </row>
    <row r="2449" spans="2:9" x14ac:dyDescent="0.3">
      <c r="B2449" t="str">
        <f>IFERROR(IF(A2449="","",VLOOKUP(A2449,CadProd!$A:$B,2,0)),"")</f>
        <v/>
      </c>
      <c r="C2449" t="str">
        <f>IFERROR(IF(A2449="","",VLOOKUP(A2449,CadProd!$A:$C,3,0)),"")</f>
        <v/>
      </c>
      <c r="I2449" s="1" t="str">
        <f>IFERROR(IF(A2449="","",E2449*#REF!),"")</f>
        <v/>
      </c>
    </row>
    <row r="2450" spans="2:9" x14ac:dyDescent="0.3">
      <c r="B2450" t="str">
        <f>IFERROR(IF(A2450="","",VLOOKUP(A2450,CadProd!$A:$B,2,0)),"")</f>
        <v/>
      </c>
      <c r="C2450" t="str">
        <f>IFERROR(IF(A2450="","",VLOOKUP(A2450,CadProd!$A:$C,3,0)),"")</f>
        <v/>
      </c>
      <c r="I2450" s="1" t="str">
        <f>IFERROR(IF(A2450="","",E2450*#REF!),"")</f>
        <v/>
      </c>
    </row>
    <row r="2451" spans="2:9" x14ac:dyDescent="0.3">
      <c r="B2451" t="str">
        <f>IFERROR(IF(A2451="","",VLOOKUP(A2451,CadProd!$A:$B,2,0)),"")</f>
        <v/>
      </c>
      <c r="C2451" t="str">
        <f>IFERROR(IF(A2451="","",VLOOKUP(A2451,CadProd!$A:$C,3,0)),"")</f>
        <v/>
      </c>
      <c r="I2451" s="1" t="str">
        <f>IFERROR(IF(A2451="","",E2451*#REF!),"")</f>
        <v/>
      </c>
    </row>
    <row r="2452" spans="2:9" x14ac:dyDescent="0.3">
      <c r="B2452" t="str">
        <f>IFERROR(IF(A2452="","",VLOOKUP(A2452,CadProd!$A:$B,2,0)),"")</f>
        <v/>
      </c>
      <c r="C2452" t="str">
        <f>IFERROR(IF(A2452="","",VLOOKUP(A2452,CadProd!$A:$C,3,0)),"")</f>
        <v/>
      </c>
      <c r="I2452" s="1" t="str">
        <f>IFERROR(IF(A2452="","",E2452*#REF!),"")</f>
        <v/>
      </c>
    </row>
    <row r="2453" spans="2:9" x14ac:dyDescent="0.3">
      <c r="B2453" t="str">
        <f>IFERROR(IF(A2453="","",VLOOKUP(A2453,CadProd!$A:$B,2,0)),"")</f>
        <v/>
      </c>
      <c r="C2453" t="str">
        <f>IFERROR(IF(A2453="","",VLOOKUP(A2453,CadProd!$A:$C,3,0)),"")</f>
        <v/>
      </c>
      <c r="I2453" s="1" t="str">
        <f>IFERROR(IF(A2453="","",E2453*#REF!),"")</f>
        <v/>
      </c>
    </row>
    <row r="2454" spans="2:9" x14ac:dyDescent="0.3">
      <c r="B2454" t="str">
        <f>IFERROR(IF(A2454="","",VLOOKUP(A2454,CadProd!$A:$B,2,0)),"")</f>
        <v/>
      </c>
      <c r="C2454" t="str">
        <f>IFERROR(IF(A2454="","",VLOOKUP(A2454,CadProd!$A:$C,3,0)),"")</f>
        <v/>
      </c>
      <c r="I2454" s="1" t="str">
        <f>IFERROR(IF(A2454="","",E2454*#REF!),"")</f>
        <v/>
      </c>
    </row>
    <row r="2455" spans="2:9" x14ac:dyDescent="0.3">
      <c r="B2455" t="str">
        <f>IFERROR(IF(A2455="","",VLOOKUP(A2455,CadProd!$A:$B,2,0)),"")</f>
        <v/>
      </c>
      <c r="C2455" t="str">
        <f>IFERROR(IF(A2455="","",VLOOKUP(A2455,CadProd!$A:$C,3,0)),"")</f>
        <v/>
      </c>
      <c r="I2455" s="1" t="str">
        <f>IFERROR(IF(A2455="","",E2455*#REF!),"")</f>
        <v/>
      </c>
    </row>
    <row r="2456" spans="2:9" x14ac:dyDescent="0.3">
      <c r="B2456" t="str">
        <f>IFERROR(IF(A2456="","",VLOOKUP(A2456,CadProd!$A:$B,2,0)),"")</f>
        <v/>
      </c>
      <c r="C2456" t="str">
        <f>IFERROR(IF(A2456="","",VLOOKUP(A2456,CadProd!$A:$C,3,0)),"")</f>
        <v/>
      </c>
      <c r="I2456" s="1" t="str">
        <f>IFERROR(IF(A2456="","",E2456*#REF!),"")</f>
        <v/>
      </c>
    </row>
    <row r="2457" spans="2:9" x14ac:dyDescent="0.3">
      <c r="B2457" t="str">
        <f>IFERROR(IF(A2457="","",VLOOKUP(A2457,CadProd!$A:$B,2,0)),"")</f>
        <v/>
      </c>
      <c r="C2457" t="str">
        <f>IFERROR(IF(A2457="","",VLOOKUP(A2457,CadProd!$A:$C,3,0)),"")</f>
        <v/>
      </c>
      <c r="I2457" s="1" t="str">
        <f>IFERROR(IF(A2457="","",E2457*#REF!),"")</f>
        <v/>
      </c>
    </row>
    <row r="2458" spans="2:9" x14ac:dyDescent="0.3">
      <c r="B2458" t="str">
        <f>IFERROR(IF(A2458="","",VLOOKUP(A2458,CadProd!$A:$B,2,0)),"")</f>
        <v/>
      </c>
      <c r="C2458" t="str">
        <f>IFERROR(IF(A2458="","",VLOOKUP(A2458,CadProd!$A:$C,3,0)),"")</f>
        <v/>
      </c>
      <c r="I2458" s="1" t="str">
        <f>IFERROR(IF(A2458="","",E2458*#REF!),"")</f>
        <v/>
      </c>
    </row>
    <row r="2459" spans="2:9" x14ac:dyDescent="0.3">
      <c r="B2459" t="str">
        <f>IFERROR(IF(A2459="","",VLOOKUP(A2459,CadProd!$A:$B,2,0)),"")</f>
        <v/>
      </c>
      <c r="C2459" t="str">
        <f>IFERROR(IF(A2459="","",VLOOKUP(A2459,CadProd!$A:$C,3,0)),"")</f>
        <v/>
      </c>
      <c r="I2459" s="1" t="str">
        <f>IFERROR(IF(A2459="","",E2459*#REF!),"")</f>
        <v/>
      </c>
    </row>
    <row r="2460" spans="2:9" x14ac:dyDescent="0.3">
      <c r="B2460" t="str">
        <f>IFERROR(IF(A2460="","",VLOOKUP(A2460,CadProd!$A:$B,2,0)),"")</f>
        <v/>
      </c>
      <c r="C2460" t="str">
        <f>IFERROR(IF(A2460="","",VLOOKUP(A2460,CadProd!$A:$C,3,0)),"")</f>
        <v/>
      </c>
      <c r="I2460" s="1" t="str">
        <f>IFERROR(IF(A2460="","",E2460*#REF!),"")</f>
        <v/>
      </c>
    </row>
    <row r="2461" spans="2:9" x14ac:dyDescent="0.3">
      <c r="B2461" t="str">
        <f>IFERROR(IF(A2461="","",VLOOKUP(A2461,CadProd!$A:$B,2,0)),"")</f>
        <v/>
      </c>
      <c r="C2461" t="str">
        <f>IFERROR(IF(A2461="","",VLOOKUP(A2461,CadProd!$A:$C,3,0)),"")</f>
        <v/>
      </c>
      <c r="I2461" s="1" t="str">
        <f>IFERROR(IF(A2461="","",E2461*#REF!),"")</f>
        <v/>
      </c>
    </row>
    <row r="2462" spans="2:9" x14ac:dyDescent="0.3">
      <c r="B2462" t="str">
        <f>IFERROR(IF(A2462="","",VLOOKUP(A2462,CadProd!$A:$B,2,0)),"")</f>
        <v/>
      </c>
      <c r="C2462" t="str">
        <f>IFERROR(IF(A2462="","",VLOOKUP(A2462,CadProd!$A:$C,3,0)),"")</f>
        <v/>
      </c>
      <c r="I2462" s="1" t="str">
        <f>IFERROR(IF(A2462="","",E2462*#REF!),"")</f>
        <v/>
      </c>
    </row>
    <row r="2463" spans="2:9" x14ac:dyDescent="0.3">
      <c r="B2463" t="str">
        <f>IFERROR(IF(A2463="","",VLOOKUP(A2463,CadProd!$A:$B,2,0)),"")</f>
        <v/>
      </c>
      <c r="C2463" t="str">
        <f>IFERROR(IF(A2463="","",VLOOKUP(A2463,CadProd!$A:$C,3,0)),"")</f>
        <v/>
      </c>
      <c r="I2463" s="1" t="str">
        <f>IFERROR(IF(A2463="","",E2463*#REF!),"")</f>
        <v/>
      </c>
    </row>
    <row r="2464" spans="2:9" x14ac:dyDescent="0.3">
      <c r="B2464" t="str">
        <f>IFERROR(IF(A2464="","",VLOOKUP(A2464,CadProd!$A:$B,2,0)),"")</f>
        <v/>
      </c>
      <c r="C2464" t="str">
        <f>IFERROR(IF(A2464="","",VLOOKUP(A2464,CadProd!$A:$C,3,0)),"")</f>
        <v/>
      </c>
      <c r="I2464" s="1" t="str">
        <f>IFERROR(IF(A2464="","",E2464*#REF!),"")</f>
        <v/>
      </c>
    </row>
    <row r="2465" spans="2:9" x14ac:dyDescent="0.3">
      <c r="B2465" t="str">
        <f>IFERROR(IF(A2465="","",VLOOKUP(A2465,CadProd!$A:$B,2,0)),"")</f>
        <v/>
      </c>
      <c r="C2465" t="str">
        <f>IFERROR(IF(A2465="","",VLOOKUP(A2465,CadProd!$A:$C,3,0)),"")</f>
        <v/>
      </c>
      <c r="I2465" s="1" t="str">
        <f>IFERROR(IF(A2465="","",E2465*#REF!),"")</f>
        <v/>
      </c>
    </row>
    <row r="2466" spans="2:9" x14ac:dyDescent="0.3">
      <c r="B2466" t="str">
        <f>IFERROR(IF(A2466="","",VLOOKUP(A2466,CadProd!$A:$B,2,0)),"")</f>
        <v/>
      </c>
      <c r="C2466" t="str">
        <f>IFERROR(IF(A2466="","",VLOOKUP(A2466,CadProd!$A:$C,3,0)),"")</f>
        <v/>
      </c>
      <c r="I2466" s="1" t="str">
        <f>IFERROR(IF(A2466="","",E2466*#REF!),"")</f>
        <v/>
      </c>
    </row>
    <row r="2467" spans="2:9" x14ac:dyDescent="0.3">
      <c r="B2467" t="str">
        <f>IFERROR(IF(A2467="","",VLOOKUP(A2467,CadProd!$A:$B,2,0)),"")</f>
        <v/>
      </c>
      <c r="C2467" t="str">
        <f>IFERROR(IF(A2467="","",VLOOKUP(A2467,CadProd!$A:$C,3,0)),"")</f>
        <v/>
      </c>
      <c r="I2467" s="1" t="str">
        <f>IFERROR(IF(A2467="","",E2467*#REF!),"")</f>
        <v/>
      </c>
    </row>
    <row r="2468" spans="2:9" x14ac:dyDescent="0.3">
      <c r="B2468" t="str">
        <f>IFERROR(IF(A2468="","",VLOOKUP(A2468,CadProd!$A:$B,2,0)),"")</f>
        <v/>
      </c>
      <c r="C2468" t="str">
        <f>IFERROR(IF(A2468="","",VLOOKUP(A2468,CadProd!$A:$C,3,0)),"")</f>
        <v/>
      </c>
      <c r="I2468" s="1" t="str">
        <f>IFERROR(IF(A2468="","",E2468*#REF!),"")</f>
        <v/>
      </c>
    </row>
    <row r="2469" spans="2:9" x14ac:dyDescent="0.3">
      <c r="B2469" t="str">
        <f>IFERROR(IF(A2469="","",VLOOKUP(A2469,CadProd!$A:$B,2,0)),"")</f>
        <v/>
      </c>
      <c r="C2469" t="str">
        <f>IFERROR(IF(A2469="","",VLOOKUP(A2469,CadProd!$A:$C,3,0)),"")</f>
        <v/>
      </c>
      <c r="I2469" s="1" t="str">
        <f>IFERROR(IF(A2469="","",E2469*#REF!),"")</f>
        <v/>
      </c>
    </row>
    <row r="2470" spans="2:9" x14ac:dyDescent="0.3">
      <c r="B2470" t="str">
        <f>IFERROR(IF(A2470="","",VLOOKUP(A2470,CadProd!$A:$B,2,0)),"")</f>
        <v/>
      </c>
      <c r="C2470" t="str">
        <f>IFERROR(IF(A2470="","",VLOOKUP(A2470,CadProd!$A:$C,3,0)),"")</f>
        <v/>
      </c>
      <c r="I2470" s="1" t="str">
        <f>IFERROR(IF(A2470="","",E2470*#REF!),"")</f>
        <v/>
      </c>
    </row>
    <row r="2471" spans="2:9" x14ac:dyDescent="0.3">
      <c r="B2471" t="str">
        <f>IFERROR(IF(A2471="","",VLOOKUP(A2471,CadProd!$A:$B,2,0)),"")</f>
        <v/>
      </c>
      <c r="C2471" t="str">
        <f>IFERROR(IF(A2471="","",VLOOKUP(A2471,CadProd!$A:$C,3,0)),"")</f>
        <v/>
      </c>
      <c r="I2471" s="1" t="str">
        <f>IFERROR(IF(A2471="","",E2471*#REF!),"")</f>
        <v/>
      </c>
    </row>
    <row r="2472" spans="2:9" x14ac:dyDescent="0.3">
      <c r="B2472" t="str">
        <f>IFERROR(IF(A2472="","",VLOOKUP(A2472,CadProd!$A:$B,2,0)),"")</f>
        <v/>
      </c>
      <c r="C2472" t="str">
        <f>IFERROR(IF(A2472="","",VLOOKUP(A2472,CadProd!$A:$C,3,0)),"")</f>
        <v/>
      </c>
      <c r="I2472" s="1" t="str">
        <f>IFERROR(IF(A2472="","",E2472*#REF!),"")</f>
        <v/>
      </c>
    </row>
    <row r="2473" spans="2:9" x14ac:dyDescent="0.3">
      <c r="B2473" t="str">
        <f>IFERROR(IF(A2473="","",VLOOKUP(A2473,CadProd!$A:$B,2,0)),"")</f>
        <v/>
      </c>
      <c r="C2473" t="str">
        <f>IFERROR(IF(A2473="","",VLOOKUP(A2473,CadProd!$A:$C,3,0)),"")</f>
        <v/>
      </c>
      <c r="I2473" s="1" t="str">
        <f>IFERROR(IF(A2473="","",E2473*#REF!),"")</f>
        <v/>
      </c>
    </row>
    <row r="2474" spans="2:9" x14ac:dyDescent="0.3">
      <c r="B2474" t="str">
        <f>IFERROR(IF(A2474="","",VLOOKUP(A2474,CadProd!$A:$B,2,0)),"")</f>
        <v/>
      </c>
      <c r="C2474" t="str">
        <f>IFERROR(IF(A2474="","",VLOOKUP(A2474,CadProd!$A:$C,3,0)),"")</f>
        <v/>
      </c>
      <c r="I2474" s="1" t="str">
        <f>IFERROR(IF(A2474="","",E2474*#REF!),"")</f>
        <v/>
      </c>
    </row>
    <row r="2475" spans="2:9" x14ac:dyDescent="0.3">
      <c r="B2475" t="str">
        <f>IFERROR(IF(A2475="","",VLOOKUP(A2475,CadProd!$A:$B,2,0)),"")</f>
        <v/>
      </c>
      <c r="C2475" t="str">
        <f>IFERROR(IF(A2475="","",VLOOKUP(A2475,CadProd!$A:$C,3,0)),"")</f>
        <v/>
      </c>
      <c r="I2475" s="1" t="str">
        <f>IFERROR(IF(A2475="","",E2475*#REF!),"")</f>
        <v/>
      </c>
    </row>
    <row r="2476" spans="2:9" x14ac:dyDescent="0.3">
      <c r="B2476" t="str">
        <f>IFERROR(IF(A2476="","",VLOOKUP(A2476,CadProd!$A:$B,2,0)),"")</f>
        <v/>
      </c>
      <c r="C2476" t="str">
        <f>IFERROR(IF(A2476="","",VLOOKUP(A2476,CadProd!$A:$C,3,0)),"")</f>
        <v/>
      </c>
      <c r="I2476" s="1" t="str">
        <f>IFERROR(IF(A2476="","",E2476*#REF!),"")</f>
        <v/>
      </c>
    </row>
    <row r="2477" spans="2:9" x14ac:dyDescent="0.3">
      <c r="B2477" t="str">
        <f>IFERROR(IF(A2477="","",VLOOKUP(A2477,CadProd!$A:$B,2,0)),"")</f>
        <v/>
      </c>
      <c r="C2477" t="str">
        <f>IFERROR(IF(A2477="","",VLOOKUP(A2477,CadProd!$A:$C,3,0)),"")</f>
        <v/>
      </c>
      <c r="I2477" s="1" t="str">
        <f>IFERROR(IF(A2477="","",E2477*#REF!),"")</f>
        <v/>
      </c>
    </row>
    <row r="2478" spans="2:9" x14ac:dyDescent="0.3">
      <c r="B2478" t="str">
        <f>IFERROR(IF(A2478="","",VLOOKUP(A2478,CadProd!$A:$B,2,0)),"")</f>
        <v/>
      </c>
      <c r="C2478" t="str">
        <f>IFERROR(IF(A2478="","",VLOOKUP(A2478,CadProd!$A:$C,3,0)),"")</f>
        <v/>
      </c>
      <c r="I2478" s="1" t="str">
        <f>IFERROR(IF(A2478="","",E2478*#REF!),"")</f>
        <v/>
      </c>
    </row>
    <row r="2479" spans="2:9" x14ac:dyDescent="0.3">
      <c r="B2479" t="str">
        <f>IFERROR(IF(A2479="","",VLOOKUP(A2479,CadProd!$A:$B,2,0)),"")</f>
        <v/>
      </c>
      <c r="C2479" t="str">
        <f>IFERROR(IF(A2479="","",VLOOKUP(A2479,CadProd!$A:$C,3,0)),"")</f>
        <v/>
      </c>
      <c r="I2479" s="1" t="str">
        <f>IFERROR(IF(A2479="","",E2479*#REF!),"")</f>
        <v/>
      </c>
    </row>
    <row r="2480" spans="2:9" x14ac:dyDescent="0.3">
      <c r="B2480" t="str">
        <f>IFERROR(IF(A2480="","",VLOOKUP(A2480,CadProd!$A:$B,2,0)),"")</f>
        <v/>
      </c>
      <c r="C2480" t="str">
        <f>IFERROR(IF(A2480="","",VLOOKUP(A2480,CadProd!$A:$C,3,0)),"")</f>
        <v/>
      </c>
      <c r="I2480" s="1" t="str">
        <f>IFERROR(IF(A2480="","",E2480*#REF!),"")</f>
        <v/>
      </c>
    </row>
    <row r="2481" spans="2:9" x14ac:dyDescent="0.3">
      <c r="B2481" t="str">
        <f>IFERROR(IF(A2481="","",VLOOKUP(A2481,CadProd!$A:$B,2,0)),"")</f>
        <v/>
      </c>
      <c r="C2481" t="str">
        <f>IFERROR(IF(A2481="","",VLOOKUP(A2481,CadProd!$A:$C,3,0)),"")</f>
        <v/>
      </c>
      <c r="I2481" s="1" t="str">
        <f>IFERROR(IF(A2481="","",E2481*#REF!),"")</f>
        <v/>
      </c>
    </row>
    <row r="2482" spans="2:9" x14ac:dyDescent="0.3">
      <c r="B2482" t="str">
        <f>IFERROR(IF(A2482="","",VLOOKUP(A2482,CadProd!$A:$B,2,0)),"")</f>
        <v/>
      </c>
      <c r="C2482" t="str">
        <f>IFERROR(IF(A2482="","",VLOOKUP(A2482,CadProd!$A:$C,3,0)),"")</f>
        <v/>
      </c>
      <c r="I2482" s="1" t="str">
        <f>IFERROR(IF(A2482="","",E2482*#REF!),"")</f>
        <v/>
      </c>
    </row>
    <row r="2483" spans="2:9" x14ac:dyDescent="0.3">
      <c r="B2483" t="str">
        <f>IFERROR(IF(A2483="","",VLOOKUP(A2483,CadProd!$A:$B,2,0)),"")</f>
        <v/>
      </c>
      <c r="C2483" t="str">
        <f>IFERROR(IF(A2483="","",VLOOKUP(A2483,CadProd!$A:$C,3,0)),"")</f>
        <v/>
      </c>
      <c r="I2483" s="1" t="str">
        <f>IFERROR(IF(A2483="","",E2483*#REF!),"")</f>
        <v/>
      </c>
    </row>
    <row r="2484" spans="2:9" x14ac:dyDescent="0.3">
      <c r="B2484" t="str">
        <f>IFERROR(IF(A2484="","",VLOOKUP(A2484,CadProd!$A:$B,2,0)),"")</f>
        <v/>
      </c>
      <c r="C2484" t="str">
        <f>IFERROR(IF(A2484="","",VLOOKUP(A2484,CadProd!$A:$C,3,0)),"")</f>
        <v/>
      </c>
      <c r="I2484" s="1" t="str">
        <f>IFERROR(IF(A2484="","",E2484*#REF!),"")</f>
        <v/>
      </c>
    </row>
    <row r="2485" spans="2:9" x14ac:dyDescent="0.3">
      <c r="B2485" t="str">
        <f>IFERROR(IF(A2485="","",VLOOKUP(A2485,CadProd!$A:$B,2,0)),"")</f>
        <v/>
      </c>
      <c r="C2485" t="str">
        <f>IFERROR(IF(A2485="","",VLOOKUP(A2485,CadProd!$A:$C,3,0)),"")</f>
        <v/>
      </c>
      <c r="I2485" s="1" t="str">
        <f>IFERROR(IF(A2485="","",E2485*#REF!),"")</f>
        <v/>
      </c>
    </row>
    <row r="2486" spans="2:9" x14ac:dyDescent="0.3">
      <c r="B2486" t="str">
        <f>IFERROR(IF(A2486="","",VLOOKUP(A2486,CadProd!$A:$B,2,0)),"")</f>
        <v/>
      </c>
      <c r="C2486" t="str">
        <f>IFERROR(IF(A2486="","",VLOOKUP(A2486,CadProd!$A:$C,3,0)),"")</f>
        <v/>
      </c>
      <c r="I2486" s="1" t="str">
        <f>IFERROR(IF(A2486="","",E2486*#REF!),"")</f>
        <v/>
      </c>
    </row>
    <row r="2487" spans="2:9" x14ac:dyDescent="0.3">
      <c r="B2487" t="str">
        <f>IFERROR(IF(A2487="","",VLOOKUP(A2487,CadProd!$A:$B,2,0)),"")</f>
        <v/>
      </c>
      <c r="C2487" t="str">
        <f>IFERROR(IF(A2487="","",VLOOKUP(A2487,CadProd!$A:$C,3,0)),"")</f>
        <v/>
      </c>
      <c r="I2487" s="1" t="str">
        <f>IFERROR(IF(A2487="","",E2487*#REF!),"")</f>
        <v/>
      </c>
    </row>
    <row r="2488" spans="2:9" x14ac:dyDescent="0.3">
      <c r="B2488" t="str">
        <f>IFERROR(IF(A2488="","",VLOOKUP(A2488,CadProd!$A:$B,2,0)),"")</f>
        <v/>
      </c>
      <c r="C2488" t="str">
        <f>IFERROR(IF(A2488="","",VLOOKUP(A2488,CadProd!$A:$C,3,0)),"")</f>
        <v/>
      </c>
      <c r="I2488" s="1" t="str">
        <f>IFERROR(IF(A2488="","",E2488*#REF!),"")</f>
        <v/>
      </c>
    </row>
    <row r="2489" spans="2:9" x14ac:dyDescent="0.3">
      <c r="B2489" t="str">
        <f>IFERROR(IF(A2489="","",VLOOKUP(A2489,CadProd!$A:$B,2,0)),"")</f>
        <v/>
      </c>
      <c r="C2489" t="str">
        <f>IFERROR(IF(A2489="","",VLOOKUP(A2489,CadProd!$A:$C,3,0)),"")</f>
        <v/>
      </c>
      <c r="I2489" s="1" t="str">
        <f>IFERROR(IF(A2489="","",E2489*#REF!),"")</f>
        <v/>
      </c>
    </row>
    <row r="2490" spans="2:9" x14ac:dyDescent="0.3">
      <c r="B2490" t="str">
        <f>IFERROR(IF(A2490="","",VLOOKUP(A2490,CadProd!$A:$B,2,0)),"")</f>
        <v/>
      </c>
      <c r="C2490" t="str">
        <f>IFERROR(IF(A2490="","",VLOOKUP(A2490,CadProd!$A:$C,3,0)),"")</f>
        <v/>
      </c>
      <c r="I2490" s="1" t="str">
        <f>IFERROR(IF(A2490="","",E2490*#REF!),"")</f>
        <v/>
      </c>
    </row>
    <row r="2491" spans="2:9" x14ac:dyDescent="0.3">
      <c r="B2491" t="str">
        <f>IFERROR(IF(A2491="","",VLOOKUP(A2491,CadProd!$A:$B,2,0)),"")</f>
        <v/>
      </c>
      <c r="C2491" t="str">
        <f>IFERROR(IF(A2491="","",VLOOKUP(A2491,CadProd!$A:$C,3,0)),"")</f>
        <v/>
      </c>
      <c r="I2491" s="1" t="str">
        <f>IFERROR(IF(A2491="","",E2491*#REF!),"")</f>
        <v/>
      </c>
    </row>
    <row r="2492" spans="2:9" x14ac:dyDescent="0.3">
      <c r="B2492" t="str">
        <f>IFERROR(IF(A2492="","",VLOOKUP(A2492,CadProd!$A:$B,2,0)),"")</f>
        <v/>
      </c>
      <c r="C2492" t="str">
        <f>IFERROR(IF(A2492="","",VLOOKUP(A2492,CadProd!$A:$C,3,0)),"")</f>
        <v/>
      </c>
      <c r="I2492" s="1" t="str">
        <f>IFERROR(IF(A2492="","",E2492*#REF!),"")</f>
        <v/>
      </c>
    </row>
    <row r="2493" spans="2:9" x14ac:dyDescent="0.3">
      <c r="B2493" t="str">
        <f>IFERROR(IF(A2493="","",VLOOKUP(A2493,CadProd!$A:$B,2,0)),"")</f>
        <v/>
      </c>
      <c r="C2493" t="str">
        <f>IFERROR(IF(A2493="","",VLOOKUP(A2493,CadProd!$A:$C,3,0)),"")</f>
        <v/>
      </c>
      <c r="I2493" s="1" t="str">
        <f>IFERROR(IF(A2493="","",E2493*#REF!),"")</f>
        <v/>
      </c>
    </row>
    <row r="2494" spans="2:9" x14ac:dyDescent="0.3">
      <c r="B2494" t="str">
        <f>IFERROR(IF(A2494="","",VLOOKUP(A2494,CadProd!$A:$B,2,0)),"")</f>
        <v/>
      </c>
      <c r="C2494" t="str">
        <f>IFERROR(IF(A2494="","",VLOOKUP(A2494,CadProd!$A:$C,3,0)),"")</f>
        <v/>
      </c>
      <c r="I2494" s="1" t="str">
        <f>IFERROR(IF(A2494="","",E2494*#REF!),"")</f>
        <v/>
      </c>
    </row>
    <row r="2495" spans="2:9" x14ac:dyDescent="0.3">
      <c r="B2495" t="str">
        <f>IFERROR(IF(A2495="","",VLOOKUP(A2495,CadProd!$A:$B,2,0)),"")</f>
        <v/>
      </c>
      <c r="C2495" t="str">
        <f>IFERROR(IF(A2495="","",VLOOKUP(A2495,CadProd!$A:$C,3,0)),"")</f>
        <v/>
      </c>
      <c r="I2495" s="1" t="str">
        <f>IFERROR(IF(A2495="","",E2495*#REF!),"")</f>
        <v/>
      </c>
    </row>
    <row r="2496" spans="2:9" x14ac:dyDescent="0.3">
      <c r="B2496" t="str">
        <f>IFERROR(IF(A2496="","",VLOOKUP(A2496,CadProd!$A:$B,2,0)),"")</f>
        <v/>
      </c>
      <c r="C2496" t="str">
        <f>IFERROR(IF(A2496="","",VLOOKUP(A2496,CadProd!$A:$C,3,0)),"")</f>
        <v/>
      </c>
      <c r="I2496" s="1" t="str">
        <f>IFERROR(IF(A2496="","",E2496*#REF!),"")</f>
        <v/>
      </c>
    </row>
    <row r="2497" spans="2:9" x14ac:dyDescent="0.3">
      <c r="B2497" t="str">
        <f>IFERROR(IF(A2497="","",VLOOKUP(A2497,CadProd!$A:$B,2,0)),"")</f>
        <v/>
      </c>
      <c r="C2497" t="str">
        <f>IFERROR(IF(A2497="","",VLOOKUP(A2497,CadProd!$A:$C,3,0)),"")</f>
        <v/>
      </c>
      <c r="I2497" s="1" t="str">
        <f>IFERROR(IF(A2497="","",E2497*#REF!),"")</f>
        <v/>
      </c>
    </row>
    <row r="2498" spans="2:9" x14ac:dyDescent="0.3">
      <c r="B2498" t="str">
        <f>IFERROR(IF(A2498="","",VLOOKUP(A2498,CadProd!$A:$B,2,0)),"")</f>
        <v/>
      </c>
      <c r="C2498" t="str">
        <f>IFERROR(IF(A2498="","",VLOOKUP(A2498,CadProd!$A:$C,3,0)),"")</f>
        <v/>
      </c>
      <c r="I2498" s="1" t="str">
        <f>IFERROR(IF(A2498="","",E2498*#REF!),"")</f>
        <v/>
      </c>
    </row>
    <row r="2499" spans="2:9" x14ac:dyDescent="0.3">
      <c r="B2499" t="str">
        <f>IFERROR(IF(A2499="","",VLOOKUP(A2499,CadProd!$A:$B,2,0)),"")</f>
        <v/>
      </c>
      <c r="C2499" t="str">
        <f>IFERROR(IF(A2499="","",VLOOKUP(A2499,CadProd!$A:$C,3,0)),"")</f>
        <v/>
      </c>
      <c r="I2499" s="1" t="str">
        <f>IFERROR(IF(A2499="","",E2499*#REF!),"")</f>
        <v/>
      </c>
    </row>
    <row r="2500" spans="2:9" x14ac:dyDescent="0.3">
      <c r="B2500" t="str">
        <f>IFERROR(IF(A2500="","",VLOOKUP(A2500,CadProd!$A:$B,2,0)),"")</f>
        <v/>
      </c>
      <c r="C2500" t="str">
        <f>IFERROR(IF(A2500="","",VLOOKUP(A2500,CadProd!$A:$C,3,0)),"")</f>
        <v/>
      </c>
      <c r="I2500" s="1" t="str">
        <f>IFERROR(IF(A2500="","",E2500*#REF!),"")</f>
        <v/>
      </c>
    </row>
    <row r="2501" spans="2:9" x14ac:dyDescent="0.3">
      <c r="B2501" t="str">
        <f>IFERROR(IF(A2501="","",VLOOKUP(A2501,CadProd!$A:$B,2,0)),"")</f>
        <v/>
      </c>
      <c r="C2501" t="str">
        <f>IFERROR(IF(A2501="","",VLOOKUP(A2501,CadProd!$A:$C,3,0)),"")</f>
        <v/>
      </c>
      <c r="I2501" s="1" t="str">
        <f>IFERROR(IF(A2501="","",E2501*#REF!),"")</f>
        <v/>
      </c>
    </row>
    <row r="2502" spans="2:9" x14ac:dyDescent="0.3">
      <c r="B2502" t="str">
        <f>IFERROR(IF(A2502="","",VLOOKUP(A2502,CadProd!$A:$B,2,0)),"")</f>
        <v/>
      </c>
      <c r="C2502" t="str">
        <f>IFERROR(IF(A2502="","",VLOOKUP(A2502,CadProd!$A:$C,3,0)),"")</f>
        <v/>
      </c>
      <c r="I2502" s="1" t="str">
        <f>IFERROR(IF(A2502="","",E2502*#REF!),"")</f>
        <v/>
      </c>
    </row>
    <row r="2503" spans="2:9" x14ac:dyDescent="0.3">
      <c r="B2503" t="str">
        <f>IFERROR(IF(A2503="","",VLOOKUP(A2503,CadProd!$A:$B,2,0)),"")</f>
        <v/>
      </c>
      <c r="C2503" t="str">
        <f>IFERROR(IF(A2503="","",VLOOKUP(A2503,CadProd!$A:$C,3,0)),"")</f>
        <v/>
      </c>
      <c r="I2503" s="1" t="str">
        <f>IFERROR(IF(A2503="","",E2503*#REF!),"")</f>
        <v/>
      </c>
    </row>
    <row r="2504" spans="2:9" x14ac:dyDescent="0.3">
      <c r="B2504" t="str">
        <f>IFERROR(IF(A2504="","",VLOOKUP(A2504,CadProd!$A:$B,2,0)),"")</f>
        <v/>
      </c>
      <c r="C2504" t="str">
        <f>IFERROR(IF(A2504="","",VLOOKUP(A2504,CadProd!$A:$C,3,0)),"")</f>
        <v/>
      </c>
      <c r="I2504" s="1" t="str">
        <f>IFERROR(IF(A2504="","",E2504*#REF!),"")</f>
        <v/>
      </c>
    </row>
    <row r="2505" spans="2:9" x14ac:dyDescent="0.3">
      <c r="B2505" t="str">
        <f>IFERROR(IF(A2505="","",VLOOKUP(A2505,CadProd!$A:$B,2,0)),"")</f>
        <v/>
      </c>
      <c r="C2505" t="str">
        <f>IFERROR(IF(A2505="","",VLOOKUP(A2505,CadProd!$A:$C,3,0)),"")</f>
        <v/>
      </c>
      <c r="I2505" s="1" t="str">
        <f>IFERROR(IF(A2505="","",E2505*#REF!),"")</f>
        <v/>
      </c>
    </row>
    <row r="2506" spans="2:9" x14ac:dyDescent="0.3">
      <c r="B2506" t="str">
        <f>IFERROR(IF(A2506="","",VLOOKUP(A2506,CadProd!$A:$B,2,0)),"")</f>
        <v/>
      </c>
      <c r="C2506" t="str">
        <f>IFERROR(IF(A2506="","",VLOOKUP(A2506,CadProd!$A:$C,3,0)),"")</f>
        <v/>
      </c>
      <c r="I2506" s="1" t="str">
        <f>IFERROR(IF(A2506="","",E2506*#REF!),"")</f>
        <v/>
      </c>
    </row>
    <row r="2507" spans="2:9" x14ac:dyDescent="0.3">
      <c r="B2507" t="str">
        <f>IFERROR(IF(A2507="","",VLOOKUP(A2507,CadProd!$A:$B,2,0)),"")</f>
        <v/>
      </c>
      <c r="C2507" t="str">
        <f>IFERROR(IF(A2507="","",VLOOKUP(A2507,CadProd!$A:$C,3,0)),"")</f>
        <v/>
      </c>
      <c r="I2507" s="1" t="str">
        <f>IFERROR(IF(A2507="","",E2507*#REF!),"")</f>
        <v/>
      </c>
    </row>
    <row r="2508" spans="2:9" x14ac:dyDescent="0.3">
      <c r="B2508" t="str">
        <f>IFERROR(IF(A2508="","",VLOOKUP(A2508,CadProd!$A:$B,2,0)),"")</f>
        <v/>
      </c>
      <c r="C2508" t="str">
        <f>IFERROR(IF(A2508="","",VLOOKUP(A2508,CadProd!$A:$C,3,0)),"")</f>
        <v/>
      </c>
      <c r="I2508" s="1" t="str">
        <f>IFERROR(IF(A2508="","",E2508*#REF!),"")</f>
        <v/>
      </c>
    </row>
    <row r="2509" spans="2:9" x14ac:dyDescent="0.3">
      <c r="B2509" t="str">
        <f>IFERROR(IF(A2509="","",VLOOKUP(A2509,CadProd!$A:$B,2,0)),"")</f>
        <v/>
      </c>
      <c r="C2509" t="str">
        <f>IFERROR(IF(A2509="","",VLOOKUP(A2509,CadProd!$A:$C,3,0)),"")</f>
        <v/>
      </c>
      <c r="I2509" s="1" t="str">
        <f>IFERROR(IF(A2509="","",E2509*#REF!),"")</f>
        <v/>
      </c>
    </row>
    <row r="2510" spans="2:9" x14ac:dyDescent="0.3">
      <c r="B2510" t="str">
        <f>IFERROR(IF(A2510="","",VLOOKUP(A2510,CadProd!$A:$B,2,0)),"")</f>
        <v/>
      </c>
      <c r="C2510" t="str">
        <f>IFERROR(IF(A2510="","",VLOOKUP(A2510,CadProd!$A:$C,3,0)),"")</f>
        <v/>
      </c>
      <c r="I2510" s="1" t="str">
        <f>IFERROR(IF(A2510="","",E2510*#REF!),"")</f>
        <v/>
      </c>
    </row>
    <row r="2511" spans="2:9" x14ac:dyDescent="0.3">
      <c r="B2511" t="str">
        <f>IFERROR(IF(A2511="","",VLOOKUP(A2511,CadProd!$A:$B,2,0)),"")</f>
        <v/>
      </c>
      <c r="C2511" t="str">
        <f>IFERROR(IF(A2511="","",VLOOKUP(A2511,CadProd!$A:$C,3,0)),"")</f>
        <v/>
      </c>
      <c r="I2511" s="1" t="str">
        <f>IFERROR(IF(A2511="","",E2511*#REF!),"")</f>
        <v/>
      </c>
    </row>
    <row r="2512" spans="2:9" x14ac:dyDescent="0.3">
      <c r="B2512" t="str">
        <f>IFERROR(IF(A2512="","",VLOOKUP(A2512,CadProd!$A:$B,2,0)),"")</f>
        <v/>
      </c>
      <c r="C2512" t="str">
        <f>IFERROR(IF(A2512="","",VLOOKUP(A2512,CadProd!$A:$C,3,0)),"")</f>
        <v/>
      </c>
      <c r="I2512" s="1" t="str">
        <f>IFERROR(IF(A2512="","",E2512*#REF!),"")</f>
        <v/>
      </c>
    </row>
    <row r="2513" spans="2:9" x14ac:dyDescent="0.3">
      <c r="B2513" t="str">
        <f>IFERROR(IF(A2513="","",VLOOKUP(A2513,CadProd!$A:$B,2,0)),"")</f>
        <v/>
      </c>
      <c r="C2513" t="str">
        <f>IFERROR(IF(A2513="","",VLOOKUP(A2513,CadProd!$A:$C,3,0)),"")</f>
        <v/>
      </c>
      <c r="I2513" s="1" t="str">
        <f>IFERROR(IF(A2513="","",E2513*#REF!),"")</f>
        <v/>
      </c>
    </row>
    <row r="2514" spans="2:9" x14ac:dyDescent="0.3">
      <c r="B2514" t="str">
        <f>IFERROR(IF(A2514="","",VLOOKUP(A2514,CadProd!$A:$B,2,0)),"")</f>
        <v/>
      </c>
      <c r="C2514" t="str">
        <f>IFERROR(IF(A2514="","",VLOOKUP(A2514,CadProd!$A:$C,3,0)),"")</f>
        <v/>
      </c>
      <c r="I2514" s="1" t="str">
        <f>IFERROR(IF(A2514="","",E2514*#REF!),"")</f>
        <v/>
      </c>
    </row>
    <row r="2515" spans="2:9" x14ac:dyDescent="0.3">
      <c r="B2515" t="str">
        <f>IFERROR(IF(A2515="","",VLOOKUP(A2515,CadProd!$A:$B,2,0)),"")</f>
        <v/>
      </c>
      <c r="C2515" t="str">
        <f>IFERROR(IF(A2515="","",VLOOKUP(A2515,CadProd!$A:$C,3,0)),"")</f>
        <v/>
      </c>
      <c r="I2515" s="1" t="str">
        <f>IFERROR(IF(A2515="","",E2515*#REF!),"")</f>
        <v/>
      </c>
    </row>
    <row r="2516" spans="2:9" x14ac:dyDescent="0.3">
      <c r="B2516" t="str">
        <f>IFERROR(IF(A2516="","",VLOOKUP(A2516,CadProd!$A:$B,2,0)),"")</f>
        <v/>
      </c>
      <c r="C2516" t="str">
        <f>IFERROR(IF(A2516="","",VLOOKUP(A2516,CadProd!$A:$C,3,0)),"")</f>
        <v/>
      </c>
      <c r="I2516" s="1" t="str">
        <f>IFERROR(IF(A2516="","",E2516*#REF!),"")</f>
        <v/>
      </c>
    </row>
    <row r="2517" spans="2:9" x14ac:dyDescent="0.3">
      <c r="B2517" t="str">
        <f>IFERROR(IF(A2517="","",VLOOKUP(A2517,CadProd!$A:$B,2,0)),"")</f>
        <v/>
      </c>
      <c r="C2517" t="str">
        <f>IFERROR(IF(A2517="","",VLOOKUP(A2517,CadProd!$A:$C,3,0)),"")</f>
        <v/>
      </c>
      <c r="I2517" s="1" t="str">
        <f>IFERROR(IF(A2517="","",E2517*#REF!),"")</f>
        <v/>
      </c>
    </row>
    <row r="2518" spans="2:9" x14ac:dyDescent="0.3">
      <c r="B2518" t="str">
        <f>IFERROR(IF(A2518="","",VLOOKUP(A2518,CadProd!$A:$B,2,0)),"")</f>
        <v/>
      </c>
      <c r="C2518" t="str">
        <f>IFERROR(IF(A2518="","",VLOOKUP(A2518,CadProd!$A:$C,3,0)),"")</f>
        <v/>
      </c>
      <c r="I2518" s="1" t="str">
        <f>IFERROR(IF(A2518="","",E2518*#REF!),"")</f>
        <v/>
      </c>
    </row>
    <row r="2519" spans="2:9" x14ac:dyDescent="0.3">
      <c r="B2519" t="str">
        <f>IFERROR(IF(A2519="","",VLOOKUP(A2519,CadProd!$A:$B,2,0)),"")</f>
        <v/>
      </c>
      <c r="C2519" t="str">
        <f>IFERROR(IF(A2519="","",VLOOKUP(A2519,CadProd!$A:$C,3,0)),"")</f>
        <v/>
      </c>
      <c r="I2519" s="1" t="str">
        <f>IFERROR(IF(A2519="","",E2519*#REF!),"")</f>
        <v/>
      </c>
    </row>
    <row r="2520" spans="2:9" x14ac:dyDescent="0.3">
      <c r="B2520" t="str">
        <f>IFERROR(IF(A2520="","",VLOOKUP(A2520,CadProd!$A:$B,2,0)),"")</f>
        <v/>
      </c>
      <c r="C2520" t="str">
        <f>IFERROR(IF(A2520="","",VLOOKUP(A2520,CadProd!$A:$C,3,0)),"")</f>
        <v/>
      </c>
      <c r="I2520" s="1" t="str">
        <f>IFERROR(IF(A2520="","",E2520*#REF!),"")</f>
        <v/>
      </c>
    </row>
    <row r="2521" spans="2:9" x14ac:dyDescent="0.3">
      <c r="B2521" t="str">
        <f>IFERROR(IF(A2521="","",VLOOKUP(A2521,CadProd!$A:$B,2,0)),"")</f>
        <v/>
      </c>
      <c r="C2521" t="str">
        <f>IFERROR(IF(A2521="","",VLOOKUP(A2521,CadProd!$A:$C,3,0)),"")</f>
        <v/>
      </c>
      <c r="I2521" s="1" t="str">
        <f>IFERROR(IF(A2521="","",E2521*#REF!),"")</f>
        <v/>
      </c>
    </row>
    <row r="2522" spans="2:9" x14ac:dyDescent="0.3">
      <c r="B2522" t="str">
        <f>IFERROR(IF(A2522="","",VLOOKUP(A2522,CadProd!$A:$B,2,0)),"")</f>
        <v/>
      </c>
      <c r="C2522" t="str">
        <f>IFERROR(IF(A2522="","",VLOOKUP(A2522,CadProd!$A:$C,3,0)),"")</f>
        <v/>
      </c>
      <c r="I2522" s="1" t="str">
        <f>IFERROR(IF(A2522="","",E2522*#REF!),"")</f>
        <v/>
      </c>
    </row>
    <row r="2523" spans="2:9" x14ac:dyDescent="0.3">
      <c r="B2523" t="str">
        <f>IFERROR(IF(A2523="","",VLOOKUP(A2523,CadProd!$A:$B,2,0)),"")</f>
        <v/>
      </c>
      <c r="C2523" t="str">
        <f>IFERROR(IF(A2523="","",VLOOKUP(A2523,CadProd!$A:$C,3,0)),"")</f>
        <v/>
      </c>
      <c r="I2523" s="1" t="str">
        <f>IFERROR(IF(A2523="","",E2523*#REF!),"")</f>
        <v/>
      </c>
    </row>
    <row r="2524" spans="2:9" x14ac:dyDescent="0.3">
      <c r="B2524" t="str">
        <f>IFERROR(IF(A2524="","",VLOOKUP(A2524,CadProd!$A:$B,2,0)),"")</f>
        <v/>
      </c>
      <c r="C2524" t="str">
        <f>IFERROR(IF(A2524="","",VLOOKUP(A2524,CadProd!$A:$C,3,0)),"")</f>
        <v/>
      </c>
      <c r="I2524" s="1" t="str">
        <f>IFERROR(IF(A2524="","",E2524*#REF!),"")</f>
        <v/>
      </c>
    </row>
    <row r="2525" spans="2:9" x14ac:dyDescent="0.3">
      <c r="B2525" t="str">
        <f>IFERROR(IF(A2525="","",VLOOKUP(A2525,CadProd!$A:$B,2,0)),"")</f>
        <v/>
      </c>
      <c r="C2525" t="str">
        <f>IFERROR(IF(A2525="","",VLOOKUP(A2525,CadProd!$A:$C,3,0)),"")</f>
        <v/>
      </c>
      <c r="I2525" s="1" t="str">
        <f>IFERROR(IF(A2525="","",E2525*#REF!),"")</f>
        <v/>
      </c>
    </row>
    <row r="2526" spans="2:9" x14ac:dyDescent="0.3">
      <c r="B2526" t="str">
        <f>IFERROR(IF(A2526="","",VLOOKUP(A2526,CadProd!$A:$B,2,0)),"")</f>
        <v/>
      </c>
      <c r="C2526" t="str">
        <f>IFERROR(IF(A2526="","",VLOOKUP(A2526,CadProd!$A:$C,3,0)),"")</f>
        <v/>
      </c>
      <c r="I2526" s="1" t="str">
        <f>IFERROR(IF(A2526="","",E2526*#REF!),"")</f>
        <v/>
      </c>
    </row>
    <row r="2527" spans="2:9" x14ac:dyDescent="0.3">
      <c r="B2527" t="str">
        <f>IFERROR(IF(A2527="","",VLOOKUP(A2527,CadProd!$A:$B,2,0)),"")</f>
        <v/>
      </c>
      <c r="C2527" t="str">
        <f>IFERROR(IF(A2527="","",VLOOKUP(A2527,CadProd!$A:$C,3,0)),"")</f>
        <v/>
      </c>
      <c r="I2527" s="1" t="str">
        <f>IFERROR(IF(A2527="","",E2527*#REF!),"")</f>
        <v/>
      </c>
    </row>
    <row r="2528" spans="2:9" x14ac:dyDescent="0.3">
      <c r="B2528" t="str">
        <f>IFERROR(IF(A2528="","",VLOOKUP(A2528,CadProd!$A:$B,2,0)),"")</f>
        <v/>
      </c>
      <c r="C2528" t="str">
        <f>IFERROR(IF(A2528="","",VLOOKUP(A2528,CadProd!$A:$C,3,0)),"")</f>
        <v/>
      </c>
      <c r="I2528" s="1" t="str">
        <f>IFERROR(IF(A2528="","",E2528*#REF!),"")</f>
        <v/>
      </c>
    </row>
    <row r="2529" spans="2:9" x14ac:dyDescent="0.3">
      <c r="B2529" t="str">
        <f>IFERROR(IF(A2529="","",VLOOKUP(A2529,CadProd!$A:$B,2,0)),"")</f>
        <v/>
      </c>
      <c r="C2529" t="str">
        <f>IFERROR(IF(A2529="","",VLOOKUP(A2529,CadProd!$A:$C,3,0)),"")</f>
        <v/>
      </c>
      <c r="I2529" s="1" t="str">
        <f>IFERROR(IF(A2529="","",E2529*#REF!),"")</f>
        <v/>
      </c>
    </row>
    <row r="2530" spans="2:9" x14ac:dyDescent="0.3">
      <c r="B2530" t="str">
        <f>IFERROR(IF(A2530="","",VLOOKUP(A2530,CadProd!$A:$B,2,0)),"")</f>
        <v/>
      </c>
      <c r="C2530" t="str">
        <f>IFERROR(IF(A2530="","",VLOOKUP(A2530,CadProd!$A:$C,3,0)),"")</f>
        <v/>
      </c>
      <c r="I2530" s="1" t="str">
        <f>IFERROR(IF(A2530="","",E2530*#REF!),"")</f>
        <v/>
      </c>
    </row>
    <row r="2531" spans="2:9" x14ac:dyDescent="0.3">
      <c r="B2531" t="str">
        <f>IFERROR(IF(A2531="","",VLOOKUP(A2531,CadProd!$A:$B,2,0)),"")</f>
        <v/>
      </c>
      <c r="C2531" t="str">
        <f>IFERROR(IF(A2531="","",VLOOKUP(A2531,CadProd!$A:$C,3,0)),"")</f>
        <v/>
      </c>
      <c r="I2531" s="1" t="str">
        <f>IFERROR(IF(A2531="","",E2531*#REF!),"")</f>
        <v/>
      </c>
    </row>
    <row r="2532" spans="2:9" x14ac:dyDescent="0.3">
      <c r="B2532" t="str">
        <f>IFERROR(IF(A2532="","",VLOOKUP(A2532,CadProd!$A:$B,2,0)),"")</f>
        <v/>
      </c>
      <c r="C2532" t="str">
        <f>IFERROR(IF(A2532="","",VLOOKUP(A2532,CadProd!$A:$C,3,0)),"")</f>
        <v/>
      </c>
      <c r="I2532" s="1" t="str">
        <f>IFERROR(IF(A2532="","",E2532*#REF!),"")</f>
        <v/>
      </c>
    </row>
    <row r="2533" spans="2:9" x14ac:dyDescent="0.3">
      <c r="B2533" t="str">
        <f>IFERROR(IF(A2533="","",VLOOKUP(A2533,CadProd!$A:$B,2,0)),"")</f>
        <v/>
      </c>
      <c r="C2533" t="str">
        <f>IFERROR(IF(A2533="","",VLOOKUP(A2533,CadProd!$A:$C,3,0)),"")</f>
        <v/>
      </c>
      <c r="I2533" s="1" t="str">
        <f>IFERROR(IF(A2533="","",E2533*#REF!),"")</f>
        <v/>
      </c>
    </row>
    <row r="2534" spans="2:9" x14ac:dyDescent="0.3">
      <c r="B2534" t="str">
        <f>IFERROR(IF(A2534="","",VLOOKUP(A2534,CadProd!$A:$B,2,0)),"")</f>
        <v/>
      </c>
      <c r="C2534" t="str">
        <f>IFERROR(IF(A2534="","",VLOOKUP(A2534,CadProd!$A:$C,3,0)),"")</f>
        <v/>
      </c>
      <c r="I2534" s="1" t="str">
        <f>IFERROR(IF(A2534="","",E2534*#REF!),"")</f>
        <v/>
      </c>
    </row>
    <row r="2535" spans="2:9" x14ac:dyDescent="0.3">
      <c r="B2535" t="str">
        <f>IFERROR(IF(A2535="","",VLOOKUP(A2535,CadProd!$A:$B,2,0)),"")</f>
        <v/>
      </c>
      <c r="C2535" t="str">
        <f>IFERROR(IF(A2535="","",VLOOKUP(A2535,CadProd!$A:$C,3,0)),"")</f>
        <v/>
      </c>
      <c r="I2535" s="1" t="str">
        <f>IFERROR(IF(A2535="","",E2535*#REF!),"")</f>
        <v/>
      </c>
    </row>
    <row r="2536" spans="2:9" x14ac:dyDescent="0.3">
      <c r="B2536" t="str">
        <f>IFERROR(IF(A2536="","",VLOOKUP(A2536,CadProd!$A:$B,2,0)),"")</f>
        <v/>
      </c>
      <c r="C2536" t="str">
        <f>IFERROR(IF(A2536="","",VLOOKUP(A2536,CadProd!$A:$C,3,0)),"")</f>
        <v/>
      </c>
      <c r="I2536" s="1" t="str">
        <f>IFERROR(IF(A2536="","",E2536*#REF!),"")</f>
        <v/>
      </c>
    </row>
    <row r="2537" spans="2:9" x14ac:dyDescent="0.3">
      <c r="B2537" t="str">
        <f>IFERROR(IF(A2537="","",VLOOKUP(A2537,CadProd!$A:$B,2,0)),"")</f>
        <v/>
      </c>
      <c r="C2537" t="str">
        <f>IFERROR(IF(A2537="","",VLOOKUP(A2537,CadProd!$A:$C,3,0)),"")</f>
        <v/>
      </c>
      <c r="I2537" s="1" t="str">
        <f>IFERROR(IF(A2537="","",E2537*#REF!),"")</f>
        <v/>
      </c>
    </row>
    <row r="2538" spans="2:9" x14ac:dyDescent="0.3">
      <c r="B2538" t="str">
        <f>IFERROR(IF(A2538="","",VLOOKUP(A2538,CadProd!$A:$B,2,0)),"")</f>
        <v/>
      </c>
      <c r="C2538" t="str">
        <f>IFERROR(IF(A2538="","",VLOOKUP(A2538,CadProd!$A:$C,3,0)),"")</f>
        <v/>
      </c>
      <c r="I2538" s="1" t="str">
        <f>IFERROR(IF(A2538="","",E2538*#REF!),"")</f>
        <v/>
      </c>
    </row>
    <row r="2539" spans="2:9" x14ac:dyDescent="0.3">
      <c r="B2539" t="str">
        <f>IFERROR(IF(A2539="","",VLOOKUP(A2539,CadProd!$A:$B,2,0)),"")</f>
        <v/>
      </c>
      <c r="C2539" t="str">
        <f>IFERROR(IF(A2539="","",VLOOKUP(A2539,CadProd!$A:$C,3,0)),"")</f>
        <v/>
      </c>
      <c r="I2539" s="1" t="str">
        <f>IFERROR(IF(A2539="","",E2539*#REF!),"")</f>
        <v/>
      </c>
    </row>
    <row r="2540" spans="2:9" x14ac:dyDescent="0.3">
      <c r="B2540" t="str">
        <f>IFERROR(IF(A2540="","",VLOOKUP(A2540,CadProd!$A:$B,2,0)),"")</f>
        <v/>
      </c>
      <c r="C2540" t="str">
        <f>IFERROR(IF(A2540="","",VLOOKUP(A2540,CadProd!$A:$C,3,0)),"")</f>
        <v/>
      </c>
      <c r="I2540" s="1" t="str">
        <f>IFERROR(IF(A2540="","",E2540*#REF!),"")</f>
        <v/>
      </c>
    </row>
    <row r="2541" spans="2:9" x14ac:dyDescent="0.3">
      <c r="B2541" t="str">
        <f>IFERROR(IF(A2541="","",VLOOKUP(A2541,CadProd!$A:$B,2,0)),"")</f>
        <v/>
      </c>
      <c r="C2541" t="str">
        <f>IFERROR(IF(A2541="","",VLOOKUP(A2541,CadProd!$A:$C,3,0)),"")</f>
        <v/>
      </c>
      <c r="I2541" s="1" t="str">
        <f>IFERROR(IF(A2541="","",E2541*#REF!),"")</f>
        <v/>
      </c>
    </row>
    <row r="2542" spans="2:9" x14ac:dyDescent="0.3">
      <c r="B2542" t="str">
        <f>IFERROR(IF(A2542="","",VLOOKUP(A2542,CadProd!$A:$B,2,0)),"")</f>
        <v/>
      </c>
      <c r="C2542" t="str">
        <f>IFERROR(IF(A2542="","",VLOOKUP(A2542,CadProd!$A:$C,3,0)),"")</f>
        <v/>
      </c>
      <c r="I2542" s="1" t="str">
        <f>IFERROR(IF(A2542="","",E2542*#REF!),"")</f>
        <v/>
      </c>
    </row>
    <row r="2543" spans="2:9" x14ac:dyDescent="0.3">
      <c r="B2543" t="str">
        <f>IFERROR(IF(A2543="","",VLOOKUP(A2543,CadProd!$A:$B,2,0)),"")</f>
        <v/>
      </c>
      <c r="C2543" t="str">
        <f>IFERROR(IF(A2543="","",VLOOKUP(A2543,CadProd!$A:$C,3,0)),"")</f>
        <v/>
      </c>
      <c r="I2543" s="1" t="str">
        <f>IFERROR(IF(A2543="","",E2543*#REF!),"")</f>
        <v/>
      </c>
    </row>
    <row r="2544" spans="2:9" x14ac:dyDescent="0.3">
      <c r="B2544" t="str">
        <f>IFERROR(IF(A2544="","",VLOOKUP(A2544,CadProd!$A:$B,2,0)),"")</f>
        <v/>
      </c>
      <c r="C2544" t="str">
        <f>IFERROR(IF(A2544="","",VLOOKUP(A2544,CadProd!$A:$C,3,0)),"")</f>
        <v/>
      </c>
      <c r="I2544" s="1" t="str">
        <f>IFERROR(IF(A2544="","",E2544*#REF!),"")</f>
        <v/>
      </c>
    </row>
    <row r="2545" spans="2:9" x14ac:dyDescent="0.3">
      <c r="B2545" t="str">
        <f>IFERROR(IF(A2545="","",VLOOKUP(A2545,CadProd!$A:$B,2,0)),"")</f>
        <v/>
      </c>
      <c r="C2545" t="str">
        <f>IFERROR(IF(A2545="","",VLOOKUP(A2545,CadProd!$A:$C,3,0)),"")</f>
        <v/>
      </c>
      <c r="I2545" s="1" t="str">
        <f>IFERROR(IF(A2545="","",E2545*#REF!),"")</f>
        <v/>
      </c>
    </row>
    <row r="2546" spans="2:9" x14ac:dyDescent="0.3">
      <c r="B2546" t="str">
        <f>IFERROR(IF(A2546="","",VLOOKUP(A2546,CadProd!$A:$B,2,0)),"")</f>
        <v/>
      </c>
      <c r="C2546" t="str">
        <f>IFERROR(IF(A2546="","",VLOOKUP(A2546,CadProd!$A:$C,3,0)),"")</f>
        <v/>
      </c>
      <c r="I2546" s="1" t="str">
        <f>IFERROR(IF(A2546="","",E2546*#REF!),"")</f>
        <v/>
      </c>
    </row>
    <row r="2547" spans="2:9" x14ac:dyDescent="0.3">
      <c r="B2547" t="str">
        <f>IFERROR(IF(A2547="","",VLOOKUP(A2547,CadProd!$A:$B,2,0)),"")</f>
        <v/>
      </c>
      <c r="C2547" t="str">
        <f>IFERROR(IF(A2547="","",VLOOKUP(A2547,CadProd!$A:$C,3,0)),"")</f>
        <v/>
      </c>
      <c r="I2547" s="1" t="str">
        <f>IFERROR(IF(A2547="","",E2547*#REF!),"")</f>
        <v/>
      </c>
    </row>
    <row r="2548" spans="2:9" x14ac:dyDescent="0.3">
      <c r="B2548" t="str">
        <f>IFERROR(IF(A2548="","",VLOOKUP(A2548,CadProd!$A:$B,2,0)),"")</f>
        <v/>
      </c>
      <c r="C2548" t="str">
        <f>IFERROR(IF(A2548="","",VLOOKUP(A2548,CadProd!$A:$C,3,0)),"")</f>
        <v/>
      </c>
      <c r="I2548" s="1" t="str">
        <f>IFERROR(IF(A2548="","",E2548*#REF!),"")</f>
        <v/>
      </c>
    </row>
    <row r="2549" spans="2:9" x14ac:dyDescent="0.3">
      <c r="B2549" t="str">
        <f>IFERROR(IF(A2549="","",VLOOKUP(A2549,CadProd!$A:$B,2,0)),"")</f>
        <v/>
      </c>
      <c r="C2549" t="str">
        <f>IFERROR(IF(A2549="","",VLOOKUP(A2549,CadProd!$A:$C,3,0)),"")</f>
        <v/>
      </c>
      <c r="I2549" s="1" t="str">
        <f>IFERROR(IF(A2549="","",E2549*#REF!),"")</f>
        <v/>
      </c>
    </row>
    <row r="2550" spans="2:9" x14ac:dyDescent="0.3">
      <c r="B2550" t="str">
        <f>IFERROR(IF(A2550="","",VLOOKUP(A2550,CadProd!$A:$B,2,0)),"")</f>
        <v/>
      </c>
      <c r="C2550" t="str">
        <f>IFERROR(IF(A2550="","",VLOOKUP(A2550,CadProd!$A:$C,3,0)),"")</f>
        <v/>
      </c>
      <c r="I2550" s="1" t="str">
        <f>IFERROR(IF(A2550="","",E2550*#REF!),"")</f>
        <v/>
      </c>
    </row>
    <row r="2551" spans="2:9" x14ac:dyDescent="0.3">
      <c r="B2551" t="str">
        <f>IFERROR(IF(A2551="","",VLOOKUP(A2551,CadProd!$A:$B,2,0)),"")</f>
        <v/>
      </c>
      <c r="C2551" t="str">
        <f>IFERROR(IF(A2551="","",VLOOKUP(A2551,CadProd!$A:$C,3,0)),"")</f>
        <v/>
      </c>
      <c r="I2551" s="1" t="str">
        <f>IFERROR(IF(A2551="","",E2551*#REF!),"")</f>
        <v/>
      </c>
    </row>
    <row r="2552" spans="2:9" x14ac:dyDescent="0.3">
      <c r="B2552" t="str">
        <f>IFERROR(IF(A2552="","",VLOOKUP(A2552,CadProd!$A:$B,2,0)),"")</f>
        <v/>
      </c>
      <c r="C2552" t="str">
        <f>IFERROR(IF(A2552="","",VLOOKUP(A2552,CadProd!$A:$C,3,0)),"")</f>
        <v/>
      </c>
      <c r="I2552" s="1" t="str">
        <f>IFERROR(IF(A2552="","",E2552*#REF!),"")</f>
        <v/>
      </c>
    </row>
    <row r="2553" spans="2:9" x14ac:dyDescent="0.3">
      <c r="B2553" t="str">
        <f>IFERROR(IF(A2553="","",VLOOKUP(A2553,CadProd!$A:$B,2,0)),"")</f>
        <v/>
      </c>
      <c r="C2553" t="str">
        <f>IFERROR(IF(A2553="","",VLOOKUP(A2553,CadProd!$A:$C,3,0)),"")</f>
        <v/>
      </c>
      <c r="I2553" s="1" t="str">
        <f>IFERROR(IF(A2553="","",E2553*#REF!),"")</f>
        <v/>
      </c>
    </row>
    <row r="2554" spans="2:9" x14ac:dyDescent="0.3">
      <c r="B2554" t="str">
        <f>IFERROR(IF(A2554="","",VLOOKUP(A2554,CadProd!$A:$B,2,0)),"")</f>
        <v/>
      </c>
      <c r="C2554" t="str">
        <f>IFERROR(IF(A2554="","",VLOOKUP(A2554,CadProd!$A:$C,3,0)),"")</f>
        <v/>
      </c>
      <c r="I2554" s="1" t="str">
        <f>IFERROR(IF(A2554="","",E2554*#REF!),"")</f>
        <v/>
      </c>
    </row>
    <row r="2555" spans="2:9" x14ac:dyDescent="0.3">
      <c r="B2555" t="str">
        <f>IFERROR(IF(A2555="","",VLOOKUP(A2555,CadProd!$A:$B,2,0)),"")</f>
        <v/>
      </c>
      <c r="C2555" t="str">
        <f>IFERROR(IF(A2555="","",VLOOKUP(A2555,CadProd!$A:$C,3,0)),"")</f>
        <v/>
      </c>
      <c r="I2555" s="1" t="str">
        <f>IFERROR(IF(A2555="","",E2555*#REF!),"")</f>
        <v/>
      </c>
    </row>
    <row r="2556" spans="2:9" x14ac:dyDescent="0.3">
      <c r="B2556" t="str">
        <f>IFERROR(IF(A2556="","",VLOOKUP(A2556,CadProd!$A:$B,2,0)),"")</f>
        <v/>
      </c>
      <c r="C2556" t="str">
        <f>IFERROR(IF(A2556="","",VLOOKUP(A2556,CadProd!$A:$C,3,0)),"")</f>
        <v/>
      </c>
      <c r="I2556" s="1" t="str">
        <f>IFERROR(IF(A2556="","",E2556*#REF!),"")</f>
        <v/>
      </c>
    </row>
    <row r="2557" spans="2:9" x14ac:dyDescent="0.3">
      <c r="B2557" t="str">
        <f>IFERROR(IF(A2557="","",VLOOKUP(A2557,CadProd!$A:$B,2,0)),"")</f>
        <v/>
      </c>
      <c r="C2557" t="str">
        <f>IFERROR(IF(A2557="","",VLOOKUP(A2557,CadProd!$A:$C,3,0)),"")</f>
        <v/>
      </c>
      <c r="I2557" s="1" t="str">
        <f>IFERROR(IF(A2557="","",E2557*#REF!),"")</f>
        <v/>
      </c>
    </row>
    <row r="2558" spans="2:9" x14ac:dyDescent="0.3">
      <c r="B2558" t="str">
        <f>IFERROR(IF(A2558="","",VLOOKUP(A2558,CadProd!$A:$B,2,0)),"")</f>
        <v/>
      </c>
      <c r="C2558" t="str">
        <f>IFERROR(IF(A2558="","",VLOOKUP(A2558,CadProd!$A:$C,3,0)),"")</f>
        <v/>
      </c>
      <c r="I2558" s="1" t="str">
        <f>IFERROR(IF(A2558="","",E2558*#REF!),"")</f>
        <v/>
      </c>
    </row>
    <row r="2559" spans="2:9" x14ac:dyDescent="0.3">
      <c r="B2559" t="str">
        <f>IFERROR(IF(A2559="","",VLOOKUP(A2559,CadProd!$A:$B,2,0)),"")</f>
        <v/>
      </c>
      <c r="C2559" t="str">
        <f>IFERROR(IF(A2559="","",VLOOKUP(A2559,CadProd!$A:$C,3,0)),"")</f>
        <v/>
      </c>
      <c r="I2559" s="1" t="str">
        <f>IFERROR(IF(A2559="","",E2559*#REF!),"")</f>
        <v/>
      </c>
    </row>
    <row r="2560" spans="2:9" x14ac:dyDescent="0.3">
      <c r="B2560" t="str">
        <f>IFERROR(IF(A2560="","",VLOOKUP(A2560,CadProd!$A:$B,2,0)),"")</f>
        <v/>
      </c>
      <c r="C2560" t="str">
        <f>IFERROR(IF(A2560="","",VLOOKUP(A2560,CadProd!$A:$C,3,0)),"")</f>
        <v/>
      </c>
      <c r="I2560" s="1" t="str">
        <f>IFERROR(IF(A2560="","",E2560*#REF!),"")</f>
        <v/>
      </c>
    </row>
    <row r="2561" spans="2:9" x14ac:dyDescent="0.3">
      <c r="B2561" t="str">
        <f>IFERROR(IF(A2561="","",VLOOKUP(A2561,CadProd!$A:$B,2,0)),"")</f>
        <v/>
      </c>
      <c r="C2561" t="str">
        <f>IFERROR(IF(A2561="","",VLOOKUP(A2561,CadProd!$A:$C,3,0)),"")</f>
        <v/>
      </c>
      <c r="I2561" s="1" t="str">
        <f>IFERROR(IF(A2561="","",E2561*#REF!),"")</f>
        <v/>
      </c>
    </row>
    <row r="2562" spans="2:9" x14ac:dyDescent="0.3">
      <c r="B2562" t="str">
        <f>IFERROR(IF(A2562="","",VLOOKUP(A2562,CadProd!$A:$B,2,0)),"")</f>
        <v/>
      </c>
      <c r="C2562" t="str">
        <f>IFERROR(IF(A2562="","",VLOOKUP(A2562,CadProd!$A:$C,3,0)),"")</f>
        <v/>
      </c>
      <c r="I2562" s="1" t="str">
        <f>IFERROR(IF(A2562="","",E2562*#REF!),"")</f>
        <v/>
      </c>
    </row>
    <row r="2563" spans="2:9" x14ac:dyDescent="0.3">
      <c r="B2563" t="str">
        <f>IFERROR(IF(A2563="","",VLOOKUP(A2563,CadProd!$A:$B,2,0)),"")</f>
        <v/>
      </c>
      <c r="C2563" t="str">
        <f>IFERROR(IF(A2563="","",VLOOKUP(A2563,CadProd!$A:$C,3,0)),"")</f>
        <v/>
      </c>
      <c r="I2563" s="1" t="str">
        <f>IFERROR(IF(A2563="","",E2563*#REF!),"")</f>
        <v/>
      </c>
    </row>
    <row r="2564" spans="2:9" x14ac:dyDescent="0.3">
      <c r="B2564" t="str">
        <f>IFERROR(IF(A2564="","",VLOOKUP(A2564,CadProd!$A:$B,2,0)),"")</f>
        <v/>
      </c>
      <c r="C2564" t="str">
        <f>IFERROR(IF(A2564="","",VLOOKUP(A2564,CadProd!$A:$C,3,0)),"")</f>
        <v/>
      </c>
      <c r="I2564" s="1" t="str">
        <f>IFERROR(IF(A2564="","",E2564*#REF!),"")</f>
        <v/>
      </c>
    </row>
    <row r="2565" spans="2:9" x14ac:dyDescent="0.3">
      <c r="B2565" t="str">
        <f>IFERROR(IF(A2565="","",VLOOKUP(A2565,CadProd!$A:$B,2,0)),"")</f>
        <v/>
      </c>
      <c r="C2565" t="str">
        <f>IFERROR(IF(A2565="","",VLOOKUP(A2565,CadProd!$A:$C,3,0)),"")</f>
        <v/>
      </c>
      <c r="I2565" s="1" t="str">
        <f>IFERROR(IF(A2565="","",E2565*#REF!),"")</f>
        <v/>
      </c>
    </row>
    <row r="2566" spans="2:9" x14ac:dyDescent="0.3">
      <c r="B2566" t="str">
        <f>IFERROR(IF(A2566="","",VLOOKUP(A2566,CadProd!$A:$B,2,0)),"")</f>
        <v/>
      </c>
      <c r="C2566" t="str">
        <f>IFERROR(IF(A2566="","",VLOOKUP(A2566,CadProd!$A:$C,3,0)),"")</f>
        <v/>
      </c>
      <c r="I2566" s="1" t="str">
        <f>IFERROR(IF(A2566="","",E2566*#REF!),"")</f>
        <v/>
      </c>
    </row>
    <row r="2567" spans="2:9" x14ac:dyDescent="0.3">
      <c r="B2567" t="str">
        <f>IFERROR(IF(A2567="","",VLOOKUP(A2567,CadProd!$A:$B,2,0)),"")</f>
        <v/>
      </c>
      <c r="C2567" t="str">
        <f>IFERROR(IF(A2567="","",VLOOKUP(A2567,CadProd!$A:$C,3,0)),"")</f>
        <v/>
      </c>
      <c r="I2567" s="1" t="str">
        <f>IFERROR(IF(A2567="","",E2567*#REF!),"")</f>
        <v/>
      </c>
    </row>
    <row r="2568" spans="2:9" x14ac:dyDescent="0.3">
      <c r="B2568" t="str">
        <f>IFERROR(IF(A2568="","",VLOOKUP(A2568,CadProd!$A:$B,2,0)),"")</f>
        <v/>
      </c>
      <c r="C2568" t="str">
        <f>IFERROR(IF(A2568="","",VLOOKUP(A2568,CadProd!$A:$C,3,0)),"")</f>
        <v/>
      </c>
      <c r="I2568" s="1" t="str">
        <f>IFERROR(IF(A2568="","",E2568*#REF!),"")</f>
        <v/>
      </c>
    </row>
    <row r="2569" spans="2:9" x14ac:dyDescent="0.3">
      <c r="B2569" t="str">
        <f>IFERROR(IF(A2569="","",VLOOKUP(A2569,CadProd!$A:$B,2,0)),"")</f>
        <v/>
      </c>
      <c r="C2569" t="str">
        <f>IFERROR(IF(A2569="","",VLOOKUP(A2569,CadProd!$A:$C,3,0)),"")</f>
        <v/>
      </c>
      <c r="I2569" s="1" t="str">
        <f>IFERROR(IF(A2569="","",E2569*#REF!),"")</f>
        <v/>
      </c>
    </row>
    <row r="2570" spans="2:9" x14ac:dyDescent="0.3">
      <c r="B2570" t="str">
        <f>IFERROR(IF(A2570="","",VLOOKUP(A2570,CadProd!$A:$B,2,0)),"")</f>
        <v/>
      </c>
      <c r="C2570" t="str">
        <f>IFERROR(IF(A2570="","",VLOOKUP(A2570,CadProd!$A:$C,3,0)),"")</f>
        <v/>
      </c>
      <c r="I2570" s="1" t="str">
        <f>IFERROR(IF(A2570="","",E2570*#REF!),"")</f>
        <v/>
      </c>
    </row>
    <row r="2571" spans="2:9" x14ac:dyDescent="0.3">
      <c r="B2571" t="str">
        <f>IFERROR(IF(A2571="","",VLOOKUP(A2571,CadProd!$A:$B,2,0)),"")</f>
        <v/>
      </c>
      <c r="C2571" t="str">
        <f>IFERROR(IF(A2571="","",VLOOKUP(A2571,CadProd!$A:$C,3,0)),"")</f>
        <v/>
      </c>
      <c r="I2571" s="1" t="str">
        <f>IFERROR(IF(A2571="","",E2571*#REF!),"")</f>
        <v/>
      </c>
    </row>
    <row r="2572" spans="2:9" x14ac:dyDescent="0.3">
      <c r="B2572" t="str">
        <f>IFERROR(IF(A2572="","",VLOOKUP(A2572,CadProd!$A:$B,2,0)),"")</f>
        <v/>
      </c>
      <c r="C2572" t="str">
        <f>IFERROR(IF(A2572="","",VLOOKUP(A2572,CadProd!$A:$C,3,0)),"")</f>
        <v/>
      </c>
      <c r="I2572" s="1" t="str">
        <f>IFERROR(IF(A2572="","",E2572*#REF!),"")</f>
        <v/>
      </c>
    </row>
    <row r="2573" spans="2:9" x14ac:dyDescent="0.3">
      <c r="B2573" t="str">
        <f>IFERROR(IF(A2573="","",VLOOKUP(A2573,CadProd!$A:$B,2,0)),"")</f>
        <v/>
      </c>
      <c r="C2573" t="str">
        <f>IFERROR(IF(A2573="","",VLOOKUP(A2573,CadProd!$A:$C,3,0)),"")</f>
        <v/>
      </c>
      <c r="I2573" s="1" t="str">
        <f>IFERROR(IF(A2573="","",E2573*#REF!),"")</f>
        <v/>
      </c>
    </row>
    <row r="2574" spans="2:9" x14ac:dyDescent="0.3">
      <c r="B2574" t="str">
        <f>IFERROR(IF(A2574="","",VLOOKUP(A2574,CadProd!$A:$B,2,0)),"")</f>
        <v/>
      </c>
      <c r="C2574" t="str">
        <f>IFERROR(IF(A2574="","",VLOOKUP(A2574,CadProd!$A:$C,3,0)),"")</f>
        <v/>
      </c>
      <c r="I2574" s="1" t="str">
        <f>IFERROR(IF(A2574="","",E2574*#REF!),"")</f>
        <v/>
      </c>
    </row>
    <row r="2575" spans="2:9" x14ac:dyDescent="0.3">
      <c r="B2575" t="str">
        <f>IFERROR(IF(A2575="","",VLOOKUP(A2575,CadProd!$A:$B,2,0)),"")</f>
        <v/>
      </c>
      <c r="C2575" t="str">
        <f>IFERROR(IF(A2575="","",VLOOKUP(A2575,CadProd!$A:$C,3,0)),"")</f>
        <v/>
      </c>
      <c r="I2575" s="1" t="str">
        <f>IFERROR(IF(A2575="","",E2575*#REF!),"")</f>
        <v/>
      </c>
    </row>
    <row r="2576" spans="2:9" x14ac:dyDescent="0.3">
      <c r="B2576" t="str">
        <f>IFERROR(IF(A2576="","",VLOOKUP(A2576,CadProd!$A:$B,2,0)),"")</f>
        <v/>
      </c>
      <c r="C2576" t="str">
        <f>IFERROR(IF(A2576="","",VLOOKUP(A2576,CadProd!$A:$C,3,0)),"")</f>
        <v/>
      </c>
      <c r="I2576" s="1" t="str">
        <f>IFERROR(IF(A2576="","",E2576*#REF!),"")</f>
        <v/>
      </c>
    </row>
    <row r="2577" spans="2:9" x14ac:dyDescent="0.3">
      <c r="B2577" t="str">
        <f>IFERROR(IF(A2577="","",VLOOKUP(A2577,CadProd!$A:$B,2,0)),"")</f>
        <v/>
      </c>
      <c r="C2577" t="str">
        <f>IFERROR(IF(A2577="","",VLOOKUP(A2577,CadProd!$A:$C,3,0)),"")</f>
        <v/>
      </c>
      <c r="I2577" s="1" t="str">
        <f>IFERROR(IF(A2577="","",E2577*#REF!),"")</f>
        <v/>
      </c>
    </row>
    <row r="2578" spans="2:9" x14ac:dyDescent="0.3">
      <c r="B2578" t="str">
        <f>IFERROR(IF(A2578="","",VLOOKUP(A2578,CadProd!$A:$B,2,0)),"")</f>
        <v/>
      </c>
      <c r="C2578" t="str">
        <f>IFERROR(IF(A2578="","",VLOOKUP(A2578,CadProd!$A:$C,3,0)),"")</f>
        <v/>
      </c>
      <c r="I2578" s="1" t="str">
        <f>IFERROR(IF(A2578="","",E2578*#REF!),"")</f>
        <v/>
      </c>
    </row>
    <row r="2579" spans="2:9" x14ac:dyDescent="0.3">
      <c r="B2579" t="str">
        <f>IFERROR(IF(A2579="","",VLOOKUP(A2579,CadProd!$A:$B,2,0)),"")</f>
        <v/>
      </c>
      <c r="C2579" t="str">
        <f>IFERROR(IF(A2579="","",VLOOKUP(A2579,CadProd!$A:$C,3,0)),"")</f>
        <v/>
      </c>
      <c r="I2579" s="1" t="str">
        <f>IFERROR(IF(A2579="","",E2579*#REF!),"")</f>
        <v/>
      </c>
    </row>
    <row r="2580" spans="2:9" x14ac:dyDescent="0.3">
      <c r="B2580" t="str">
        <f>IFERROR(IF(A2580="","",VLOOKUP(A2580,CadProd!$A:$B,2,0)),"")</f>
        <v/>
      </c>
      <c r="C2580" t="str">
        <f>IFERROR(IF(A2580="","",VLOOKUP(A2580,CadProd!$A:$C,3,0)),"")</f>
        <v/>
      </c>
      <c r="I2580" s="1" t="str">
        <f>IFERROR(IF(A2580="","",E2580*#REF!),"")</f>
        <v/>
      </c>
    </row>
    <row r="2581" spans="2:9" x14ac:dyDescent="0.3">
      <c r="B2581" t="str">
        <f>IFERROR(IF(A2581="","",VLOOKUP(A2581,CadProd!$A:$B,2,0)),"")</f>
        <v/>
      </c>
      <c r="C2581" t="str">
        <f>IFERROR(IF(A2581="","",VLOOKUP(A2581,CadProd!$A:$C,3,0)),"")</f>
        <v/>
      </c>
      <c r="I2581" s="1" t="str">
        <f>IFERROR(IF(A2581="","",E2581*#REF!),"")</f>
        <v/>
      </c>
    </row>
    <row r="2582" spans="2:9" x14ac:dyDescent="0.3">
      <c r="B2582" t="str">
        <f>IFERROR(IF(A2582="","",VLOOKUP(A2582,CadProd!$A:$B,2,0)),"")</f>
        <v/>
      </c>
      <c r="C2582" t="str">
        <f>IFERROR(IF(A2582="","",VLOOKUP(A2582,CadProd!$A:$C,3,0)),"")</f>
        <v/>
      </c>
      <c r="I2582" s="1" t="str">
        <f>IFERROR(IF(A2582="","",E2582*#REF!),"")</f>
        <v/>
      </c>
    </row>
    <row r="2583" spans="2:9" x14ac:dyDescent="0.3">
      <c r="B2583" t="str">
        <f>IFERROR(IF(A2583="","",VLOOKUP(A2583,CadProd!$A:$B,2,0)),"")</f>
        <v/>
      </c>
      <c r="C2583" t="str">
        <f>IFERROR(IF(A2583="","",VLOOKUP(A2583,CadProd!$A:$C,3,0)),"")</f>
        <v/>
      </c>
      <c r="I2583" s="1" t="str">
        <f>IFERROR(IF(A2583="","",E2583*#REF!),"")</f>
        <v/>
      </c>
    </row>
    <row r="2584" spans="2:9" x14ac:dyDescent="0.3">
      <c r="B2584" t="str">
        <f>IFERROR(IF(A2584="","",VLOOKUP(A2584,CadProd!$A:$B,2,0)),"")</f>
        <v/>
      </c>
      <c r="C2584" t="str">
        <f>IFERROR(IF(A2584="","",VLOOKUP(A2584,CadProd!$A:$C,3,0)),"")</f>
        <v/>
      </c>
      <c r="I2584" s="1" t="str">
        <f>IFERROR(IF(A2584="","",E2584*#REF!),"")</f>
        <v/>
      </c>
    </row>
    <row r="2585" spans="2:9" x14ac:dyDescent="0.3">
      <c r="B2585" t="str">
        <f>IFERROR(IF(A2585="","",VLOOKUP(A2585,CadProd!$A:$B,2,0)),"")</f>
        <v/>
      </c>
      <c r="C2585" t="str">
        <f>IFERROR(IF(A2585="","",VLOOKUP(A2585,CadProd!$A:$C,3,0)),"")</f>
        <v/>
      </c>
      <c r="I2585" s="1" t="str">
        <f>IFERROR(IF(A2585="","",E2585*#REF!),"")</f>
        <v/>
      </c>
    </row>
    <row r="2586" spans="2:9" x14ac:dyDescent="0.3">
      <c r="B2586" t="str">
        <f>IFERROR(IF(A2586="","",VLOOKUP(A2586,CadProd!$A:$B,2,0)),"")</f>
        <v/>
      </c>
      <c r="C2586" t="str">
        <f>IFERROR(IF(A2586="","",VLOOKUP(A2586,CadProd!$A:$C,3,0)),"")</f>
        <v/>
      </c>
      <c r="I2586" s="1" t="str">
        <f>IFERROR(IF(A2586="","",E2586*#REF!),"")</f>
        <v/>
      </c>
    </row>
    <row r="2587" spans="2:9" x14ac:dyDescent="0.3">
      <c r="B2587" t="str">
        <f>IFERROR(IF(A2587="","",VLOOKUP(A2587,CadProd!$A:$B,2,0)),"")</f>
        <v/>
      </c>
      <c r="C2587" t="str">
        <f>IFERROR(IF(A2587="","",VLOOKUP(A2587,CadProd!$A:$C,3,0)),"")</f>
        <v/>
      </c>
      <c r="I2587" s="1" t="str">
        <f>IFERROR(IF(A2587="","",E2587*#REF!),"")</f>
        <v/>
      </c>
    </row>
    <row r="2588" spans="2:9" x14ac:dyDescent="0.3">
      <c r="B2588" t="str">
        <f>IFERROR(IF(A2588="","",VLOOKUP(A2588,CadProd!$A:$B,2,0)),"")</f>
        <v/>
      </c>
      <c r="C2588" t="str">
        <f>IFERROR(IF(A2588="","",VLOOKUP(A2588,CadProd!$A:$C,3,0)),"")</f>
        <v/>
      </c>
      <c r="I2588" s="1" t="str">
        <f>IFERROR(IF(A2588="","",E2588*#REF!),"")</f>
        <v/>
      </c>
    </row>
    <row r="2589" spans="2:9" x14ac:dyDescent="0.3">
      <c r="B2589" t="str">
        <f>IFERROR(IF(A2589="","",VLOOKUP(A2589,CadProd!$A:$B,2,0)),"")</f>
        <v/>
      </c>
      <c r="C2589" t="str">
        <f>IFERROR(IF(A2589="","",VLOOKUP(A2589,CadProd!$A:$C,3,0)),"")</f>
        <v/>
      </c>
      <c r="I2589" s="1" t="str">
        <f>IFERROR(IF(A2589="","",E2589*#REF!),"")</f>
        <v/>
      </c>
    </row>
    <row r="2590" spans="2:9" x14ac:dyDescent="0.3">
      <c r="B2590" t="str">
        <f>IFERROR(IF(A2590="","",VLOOKUP(A2590,CadProd!$A:$B,2,0)),"")</f>
        <v/>
      </c>
      <c r="C2590" t="str">
        <f>IFERROR(IF(A2590="","",VLOOKUP(A2590,CadProd!$A:$C,3,0)),"")</f>
        <v/>
      </c>
      <c r="I2590" s="1" t="str">
        <f>IFERROR(IF(A2590="","",E2590*#REF!),"")</f>
        <v/>
      </c>
    </row>
    <row r="2591" spans="2:9" x14ac:dyDescent="0.3">
      <c r="B2591" t="str">
        <f>IFERROR(IF(A2591="","",VLOOKUP(A2591,CadProd!$A:$B,2,0)),"")</f>
        <v/>
      </c>
      <c r="C2591" t="str">
        <f>IFERROR(IF(A2591="","",VLOOKUP(A2591,CadProd!$A:$C,3,0)),"")</f>
        <v/>
      </c>
      <c r="I2591" s="1" t="str">
        <f>IFERROR(IF(A2591="","",E2591*#REF!),"")</f>
        <v/>
      </c>
    </row>
    <row r="2592" spans="2:9" x14ac:dyDescent="0.3">
      <c r="B2592" t="str">
        <f>IFERROR(IF(A2592="","",VLOOKUP(A2592,CadProd!$A:$B,2,0)),"")</f>
        <v/>
      </c>
      <c r="C2592" t="str">
        <f>IFERROR(IF(A2592="","",VLOOKUP(A2592,CadProd!$A:$C,3,0)),"")</f>
        <v/>
      </c>
      <c r="I2592" s="1" t="str">
        <f>IFERROR(IF(A2592="","",E2592*#REF!),"")</f>
        <v/>
      </c>
    </row>
    <row r="2593" spans="2:9" x14ac:dyDescent="0.3">
      <c r="B2593" t="str">
        <f>IFERROR(IF(A2593="","",VLOOKUP(A2593,CadProd!$A:$B,2,0)),"")</f>
        <v/>
      </c>
      <c r="C2593" t="str">
        <f>IFERROR(IF(A2593="","",VLOOKUP(A2593,CadProd!$A:$C,3,0)),"")</f>
        <v/>
      </c>
      <c r="I2593" s="1" t="str">
        <f>IFERROR(IF(A2593="","",E2593*#REF!),"")</f>
        <v/>
      </c>
    </row>
    <row r="2594" spans="2:9" x14ac:dyDescent="0.3">
      <c r="B2594" t="str">
        <f>IFERROR(IF(A2594="","",VLOOKUP(A2594,CadProd!$A:$B,2,0)),"")</f>
        <v/>
      </c>
      <c r="C2594" t="str">
        <f>IFERROR(IF(A2594="","",VLOOKUP(A2594,CadProd!$A:$C,3,0)),"")</f>
        <v/>
      </c>
      <c r="I2594" s="1" t="str">
        <f>IFERROR(IF(A2594="","",E2594*#REF!),"")</f>
        <v/>
      </c>
    </row>
    <row r="2595" spans="2:9" x14ac:dyDescent="0.3">
      <c r="B2595" t="str">
        <f>IFERROR(IF(A2595="","",VLOOKUP(A2595,CadProd!$A:$B,2,0)),"")</f>
        <v/>
      </c>
      <c r="C2595" t="str">
        <f>IFERROR(IF(A2595="","",VLOOKUP(A2595,CadProd!$A:$C,3,0)),"")</f>
        <v/>
      </c>
      <c r="I2595" s="1" t="str">
        <f>IFERROR(IF(A2595="","",E2595*#REF!),"")</f>
        <v/>
      </c>
    </row>
    <row r="2596" spans="2:9" x14ac:dyDescent="0.3">
      <c r="B2596" t="str">
        <f>IFERROR(IF(A2596="","",VLOOKUP(A2596,CadProd!$A:$B,2,0)),"")</f>
        <v/>
      </c>
      <c r="C2596" t="str">
        <f>IFERROR(IF(A2596="","",VLOOKUP(A2596,CadProd!$A:$C,3,0)),"")</f>
        <v/>
      </c>
      <c r="I2596" s="1" t="str">
        <f>IFERROR(IF(A2596="","",E2596*#REF!),"")</f>
        <v/>
      </c>
    </row>
    <row r="2597" spans="2:9" x14ac:dyDescent="0.3">
      <c r="B2597" t="str">
        <f>IFERROR(IF(A2597="","",VLOOKUP(A2597,CadProd!$A:$B,2,0)),"")</f>
        <v/>
      </c>
      <c r="C2597" t="str">
        <f>IFERROR(IF(A2597="","",VLOOKUP(A2597,CadProd!$A:$C,3,0)),"")</f>
        <v/>
      </c>
      <c r="I2597" s="1" t="str">
        <f>IFERROR(IF(A2597="","",E2597*#REF!),"")</f>
        <v/>
      </c>
    </row>
    <row r="2598" spans="2:9" x14ac:dyDescent="0.3">
      <c r="B2598" t="str">
        <f>IFERROR(IF(A2598="","",VLOOKUP(A2598,CadProd!$A:$B,2,0)),"")</f>
        <v/>
      </c>
      <c r="C2598" t="str">
        <f>IFERROR(IF(A2598="","",VLOOKUP(A2598,CadProd!$A:$C,3,0)),"")</f>
        <v/>
      </c>
      <c r="I2598" s="1" t="str">
        <f>IFERROR(IF(A2598="","",E2598*#REF!),"")</f>
        <v/>
      </c>
    </row>
    <row r="2599" spans="2:9" x14ac:dyDescent="0.3">
      <c r="B2599" t="str">
        <f>IFERROR(IF(A2599="","",VLOOKUP(A2599,CadProd!$A:$B,2,0)),"")</f>
        <v/>
      </c>
      <c r="C2599" t="str">
        <f>IFERROR(IF(A2599="","",VLOOKUP(A2599,CadProd!$A:$C,3,0)),"")</f>
        <v/>
      </c>
      <c r="I2599" s="1" t="str">
        <f>IFERROR(IF(A2599="","",E2599*#REF!),"")</f>
        <v/>
      </c>
    </row>
    <row r="2600" spans="2:9" x14ac:dyDescent="0.3">
      <c r="B2600" t="str">
        <f>IFERROR(IF(A2600="","",VLOOKUP(A2600,CadProd!$A:$B,2,0)),"")</f>
        <v/>
      </c>
      <c r="C2600" t="str">
        <f>IFERROR(IF(A2600="","",VLOOKUP(A2600,CadProd!$A:$C,3,0)),"")</f>
        <v/>
      </c>
      <c r="I2600" s="1" t="str">
        <f>IFERROR(IF(A2600="","",E2600*#REF!),"")</f>
        <v/>
      </c>
    </row>
    <row r="2601" spans="2:9" x14ac:dyDescent="0.3">
      <c r="B2601" t="str">
        <f>IFERROR(IF(A2601="","",VLOOKUP(A2601,CadProd!$A:$B,2,0)),"")</f>
        <v/>
      </c>
      <c r="C2601" t="str">
        <f>IFERROR(IF(A2601="","",VLOOKUP(A2601,CadProd!$A:$C,3,0)),"")</f>
        <v/>
      </c>
      <c r="I2601" s="1" t="str">
        <f>IFERROR(IF(A2601="","",E2601*#REF!),"")</f>
        <v/>
      </c>
    </row>
    <row r="2602" spans="2:9" x14ac:dyDescent="0.3">
      <c r="B2602" t="str">
        <f>IFERROR(IF(A2602="","",VLOOKUP(A2602,CadProd!$A:$B,2,0)),"")</f>
        <v/>
      </c>
      <c r="C2602" t="str">
        <f>IFERROR(IF(A2602="","",VLOOKUP(A2602,CadProd!$A:$C,3,0)),"")</f>
        <v/>
      </c>
      <c r="I2602" s="1" t="str">
        <f>IFERROR(IF(A2602="","",E2602*#REF!),"")</f>
        <v/>
      </c>
    </row>
    <row r="2603" spans="2:9" x14ac:dyDescent="0.3">
      <c r="B2603" t="str">
        <f>IFERROR(IF(A2603="","",VLOOKUP(A2603,CadProd!$A:$B,2,0)),"")</f>
        <v/>
      </c>
      <c r="C2603" t="str">
        <f>IFERROR(IF(A2603="","",VLOOKUP(A2603,CadProd!$A:$C,3,0)),"")</f>
        <v/>
      </c>
      <c r="I2603" s="1" t="str">
        <f>IFERROR(IF(A2603="","",E2603*#REF!),"")</f>
        <v/>
      </c>
    </row>
    <row r="2604" spans="2:9" x14ac:dyDescent="0.3">
      <c r="B2604" t="str">
        <f>IFERROR(IF(A2604="","",VLOOKUP(A2604,CadProd!$A:$B,2,0)),"")</f>
        <v/>
      </c>
      <c r="C2604" t="str">
        <f>IFERROR(IF(A2604="","",VLOOKUP(A2604,CadProd!$A:$C,3,0)),"")</f>
        <v/>
      </c>
      <c r="I2604" s="1" t="str">
        <f>IFERROR(IF(A2604="","",E2604*#REF!),"")</f>
        <v/>
      </c>
    </row>
    <row r="2605" spans="2:9" x14ac:dyDescent="0.3">
      <c r="B2605" t="str">
        <f>IFERROR(IF(A2605="","",VLOOKUP(A2605,CadProd!$A:$B,2,0)),"")</f>
        <v/>
      </c>
      <c r="C2605" t="str">
        <f>IFERROR(IF(A2605="","",VLOOKUP(A2605,CadProd!$A:$C,3,0)),"")</f>
        <v/>
      </c>
      <c r="I2605" s="1" t="str">
        <f>IFERROR(IF(A2605="","",E2605*#REF!),"")</f>
        <v/>
      </c>
    </row>
    <row r="2606" spans="2:9" x14ac:dyDescent="0.3">
      <c r="B2606" t="str">
        <f>IFERROR(IF(A2606="","",VLOOKUP(A2606,CadProd!$A:$B,2,0)),"")</f>
        <v/>
      </c>
      <c r="C2606" t="str">
        <f>IFERROR(IF(A2606="","",VLOOKUP(A2606,CadProd!$A:$C,3,0)),"")</f>
        <v/>
      </c>
      <c r="I2606" s="1" t="str">
        <f>IFERROR(IF(A2606="","",E2606*#REF!),"")</f>
        <v/>
      </c>
    </row>
    <row r="2607" spans="2:9" x14ac:dyDescent="0.3">
      <c r="B2607" t="str">
        <f>IFERROR(IF(A2607="","",VLOOKUP(A2607,CadProd!$A:$B,2,0)),"")</f>
        <v/>
      </c>
      <c r="C2607" t="str">
        <f>IFERROR(IF(A2607="","",VLOOKUP(A2607,CadProd!$A:$C,3,0)),"")</f>
        <v/>
      </c>
      <c r="I2607" s="1" t="str">
        <f>IFERROR(IF(A2607="","",E2607*#REF!),"")</f>
        <v/>
      </c>
    </row>
    <row r="2608" spans="2:9" x14ac:dyDescent="0.3">
      <c r="B2608" t="str">
        <f>IFERROR(IF(A2608="","",VLOOKUP(A2608,CadProd!$A:$B,2,0)),"")</f>
        <v/>
      </c>
      <c r="C2608" t="str">
        <f>IFERROR(IF(A2608="","",VLOOKUP(A2608,CadProd!$A:$C,3,0)),"")</f>
        <v/>
      </c>
      <c r="I2608" s="1" t="str">
        <f>IFERROR(IF(A2608="","",E2608*#REF!),"")</f>
        <v/>
      </c>
    </row>
    <row r="2609" spans="2:9" x14ac:dyDescent="0.3">
      <c r="B2609" t="str">
        <f>IFERROR(IF(A2609="","",VLOOKUP(A2609,CadProd!$A:$B,2,0)),"")</f>
        <v/>
      </c>
      <c r="C2609" t="str">
        <f>IFERROR(IF(A2609="","",VLOOKUP(A2609,CadProd!$A:$C,3,0)),"")</f>
        <v/>
      </c>
      <c r="I2609" s="1" t="str">
        <f>IFERROR(IF(A2609="","",E2609*#REF!),"")</f>
        <v/>
      </c>
    </row>
    <row r="2610" spans="2:9" x14ac:dyDescent="0.3">
      <c r="B2610" t="str">
        <f>IFERROR(IF(A2610="","",VLOOKUP(A2610,CadProd!$A:$B,2,0)),"")</f>
        <v/>
      </c>
      <c r="C2610" t="str">
        <f>IFERROR(IF(A2610="","",VLOOKUP(A2610,CadProd!$A:$C,3,0)),"")</f>
        <v/>
      </c>
      <c r="I2610" s="1" t="str">
        <f>IFERROR(IF(A2610="","",E2610*#REF!),"")</f>
        <v/>
      </c>
    </row>
    <row r="2611" spans="2:9" x14ac:dyDescent="0.3">
      <c r="B2611" t="str">
        <f>IFERROR(IF(A2611="","",VLOOKUP(A2611,CadProd!$A:$B,2,0)),"")</f>
        <v/>
      </c>
      <c r="C2611" t="str">
        <f>IFERROR(IF(A2611="","",VLOOKUP(A2611,CadProd!$A:$C,3,0)),"")</f>
        <v/>
      </c>
      <c r="I2611" s="1" t="str">
        <f>IFERROR(IF(A2611="","",E2611*#REF!),"")</f>
        <v/>
      </c>
    </row>
    <row r="2612" spans="2:9" x14ac:dyDescent="0.3">
      <c r="B2612" t="str">
        <f>IFERROR(IF(A2612="","",VLOOKUP(A2612,CadProd!$A:$B,2,0)),"")</f>
        <v/>
      </c>
      <c r="C2612" t="str">
        <f>IFERROR(IF(A2612="","",VLOOKUP(A2612,CadProd!$A:$C,3,0)),"")</f>
        <v/>
      </c>
      <c r="I2612" s="1" t="str">
        <f>IFERROR(IF(A2612="","",E2612*#REF!),"")</f>
        <v/>
      </c>
    </row>
    <row r="2613" spans="2:9" x14ac:dyDescent="0.3">
      <c r="B2613" t="str">
        <f>IFERROR(IF(A2613="","",VLOOKUP(A2613,CadProd!$A:$B,2,0)),"")</f>
        <v/>
      </c>
      <c r="C2613" t="str">
        <f>IFERROR(IF(A2613="","",VLOOKUP(A2613,CadProd!$A:$C,3,0)),"")</f>
        <v/>
      </c>
      <c r="I2613" s="1" t="str">
        <f>IFERROR(IF(A2613="","",E2613*#REF!),"")</f>
        <v/>
      </c>
    </row>
    <row r="2614" spans="2:9" x14ac:dyDescent="0.3">
      <c r="B2614" t="str">
        <f>IFERROR(IF(A2614="","",VLOOKUP(A2614,CadProd!$A:$B,2,0)),"")</f>
        <v/>
      </c>
      <c r="C2614" t="str">
        <f>IFERROR(IF(A2614="","",VLOOKUP(A2614,CadProd!$A:$C,3,0)),"")</f>
        <v/>
      </c>
      <c r="I2614" s="1" t="str">
        <f>IFERROR(IF(A2614="","",E2614*#REF!),"")</f>
        <v/>
      </c>
    </row>
    <row r="2615" spans="2:9" x14ac:dyDescent="0.3">
      <c r="B2615" t="str">
        <f>IFERROR(IF(A2615="","",VLOOKUP(A2615,CadProd!$A:$B,2,0)),"")</f>
        <v/>
      </c>
      <c r="C2615" t="str">
        <f>IFERROR(IF(A2615="","",VLOOKUP(A2615,CadProd!$A:$C,3,0)),"")</f>
        <v/>
      </c>
      <c r="I2615" s="1" t="str">
        <f>IFERROR(IF(A2615="","",E2615*#REF!),"")</f>
        <v/>
      </c>
    </row>
    <row r="2616" spans="2:9" x14ac:dyDescent="0.3">
      <c r="B2616" t="str">
        <f>IFERROR(IF(A2616="","",VLOOKUP(A2616,CadProd!$A:$B,2,0)),"")</f>
        <v/>
      </c>
      <c r="C2616" t="str">
        <f>IFERROR(IF(A2616="","",VLOOKUP(A2616,CadProd!$A:$C,3,0)),"")</f>
        <v/>
      </c>
      <c r="I2616" s="1" t="str">
        <f>IFERROR(IF(A2616="","",E2616*#REF!),"")</f>
        <v/>
      </c>
    </row>
    <row r="2617" spans="2:9" x14ac:dyDescent="0.3">
      <c r="B2617" t="str">
        <f>IFERROR(IF(A2617="","",VLOOKUP(A2617,CadProd!$A:$B,2,0)),"")</f>
        <v/>
      </c>
      <c r="C2617" t="str">
        <f>IFERROR(IF(A2617="","",VLOOKUP(A2617,CadProd!$A:$C,3,0)),"")</f>
        <v/>
      </c>
      <c r="I2617" s="1" t="str">
        <f>IFERROR(IF(A2617="","",E2617*#REF!),"")</f>
        <v/>
      </c>
    </row>
    <row r="2618" spans="2:9" x14ac:dyDescent="0.3">
      <c r="B2618" t="str">
        <f>IFERROR(IF(A2618="","",VLOOKUP(A2618,CadProd!$A:$B,2,0)),"")</f>
        <v/>
      </c>
      <c r="C2618" t="str">
        <f>IFERROR(IF(A2618="","",VLOOKUP(A2618,CadProd!$A:$C,3,0)),"")</f>
        <v/>
      </c>
      <c r="I2618" s="1" t="str">
        <f>IFERROR(IF(A2618="","",E2618*#REF!),"")</f>
        <v/>
      </c>
    </row>
    <row r="2619" spans="2:9" x14ac:dyDescent="0.3">
      <c r="B2619" t="str">
        <f>IFERROR(IF(A2619="","",VLOOKUP(A2619,CadProd!$A:$B,2,0)),"")</f>
        <v/>
      </c>
      <c r="C2619" t="str">
        <f>IFERROR(IF(A2619="","",VLOOKUP(A2619,CadProd!$A:$C,3,0)),"")</f>
        <v/>
      </c>
      <c r="I2619" s="1" t="str">
        <f>IFERROR(IF(A2619="","",E2619*#REF!),"")</f>
        <v/>
      </c>
    </row>
    <row r="2620" spans="2:9" x14ac:dyDescent="0.3">
      <c r="B2620" t="str">
        <f>IFERROR(IF(A2620="","",VLOOKUP(A2620,CadProd!$A:$B,2,0)),"")</f>
        <v/>
      </c>
      <c r="C2620" t="str">
        <f>IFERROR(IF(A2620="","",VLOOKUP(A2620,CadProd!$A:$C,3,0)),"")</f>
        <v/>
      </c>
      <c r="I2620" s="1" t="str">
        <f>IFERROR(IF(A2620="","",E2620*#REF!),"")</f>
        <v/>
      </c>
    </row>
    <row r="2621" spans="2:9" x14ac:dyDescent="0.3">
      <c r="B2621" t="str">
        <f>IFERROR(IF(A2621="","",VLOOKUP(A2621,CadProd!$A:$B,2,0)),"")</f>
        <v/>
      </c>
      <c r="C2621" t="str">
        <f>IFERROR(IF(A2621="","",VLOOKUP(A2621,CadProd!$A:$C,3,0)),"")</f>
        <v/>
      </c>
      <c r="I2621" s="1" t="str">
        <f>IFERROR(IF(A2621="","",E2621*#REF!),"")</f>
        <v/>
      </c>
    </row>
    <row r="2622" spans="2:9" x14ac:dyDescent="0.3">
      <c r="B2622" t="str">
        <f>IFERROR(IF(A2622="","",VLOOKUP(A2622,CadProd!$A:$B,2,0)),"")</f>
        <v/>
      </c>
      <c r="C2622" t="str">
        <f>IFERROR(IF(A2622="","",VLOOKUP(A2622,CadProd!$A:$C,3,0)),"")</f>
        <v/>
      </c>
      <c r="I2622" s="1" t="str">
        <f>IFERROR(IF(A2622="","",E2622*#REF!),"")</f>
        <v/>
      </c>
    </row>
    <row r="2623" spans="2:9" x14ac:dyDescent="0.3">
      <c r="B2623" t="str">
        <f>IFERROR(IF(A2623="","",VLOOKUP(A2623,CadProd!$A:$B,2,0)),"")</f>
        <v/>
      </c>
      <c r="C2623" t="str">
        <f>IFERROR(IF(A2623="","",VLOOKUP(A2623,CadProd!$A:$C,3,0)),"")</f>
        <v/>
      </c>
      <c r="I2623" s="1" t="str">
        <f>IFERROR(IF(A2623="","",E2623*#REF!),"")</f>
        <v/>
      </c>
    </row>
    <row r="2624" spans="2:9" x14ac:dyDescent="0.3">
      <c r="B2624" t="str">
        <f>IFERROR(IF(A2624="","",VLOOKUP(A2624,CadProd!$A:$B,2,0)),"")</f>
        <v/>
      </c>
      <c r="C2624" t="str">
        <f>IFERROR(IF(A2624="","",VLOOKUP(A2624,CadProd!$A:$C,3,0)),"")</f>
        <v/>
      </c>
      <c r="I2624" s="1" t="str">
        <f>IFERROR(IF(A2624="","",E2624*#REF!),"")</f>
        <v/>
      </c>
    </row>
    <row r="2625" spans="2:9" x14ac:dyDescent="0.3">
      <c r="B2625" t="str">
        <f>IFERROR(IF(A2625="","",VLOOKUP(A2625,CadProd!$A:$B,2,0)),"")</f>
        <v/>
      </c>
      <c r="C2625" t="str">
        <f>IFERROR(IF(A2625="","",VLOOKUP(A2625,CadProd!$A:$C,3,0)),"")</f>
        <v/>
      </c>
      <c r="I2625" s="1" t="str">
        <f>IFERROR(IF(A2625="","",E2625*#REF!),"")</f>
        <v/>
      </c>
    </row>
    <row r="2626" spans="2:9" x14ac:dyDescent="0.3">
      <c r="B2626" t="str">
        <f>IFERROR(IF(A2626="","",VLOOKUP(A2626,CadProd!$A:$B,2,0)),"")</f>
        <v/>
      </c>
      <c r="C2626" t="str">
        <f>IFERROR(IF(A2626="","",VLOOKUP(A2626,CadProd!$A:$C,3,0)),"")</f>
        <v/>
      </c>
      <c r="I2626" s="1" t="str">
        <f>IFERROR(IF(A2626="","",E2626*#REF!),"")</f>
        <v/>
      </c>
    </row>
    <row r="2627" spans="2:9" x14ac:dyDescent="0.3">
      <c r="B2627" t="str">
        <f>IFERROR(IF(A2627="","",VLOOKUP(A2627,CadProd!$A:$B,2,0)),"")</f>
        <v/>
      </c>
      <c r="C2627" t="str">
        <f>IFERROR(IF(A2627="","",VLOOKUP(A2627,CadProd!$A:$C,3,0)),"")</f>
        <v/>
      </c>
      <c r="I2627" s="1" t="str">
        <f>IFERROR(IF(A2627="","",E2627*#REF!),"")</f>
        <v/>
      </c>
    </row>
    <row r="2628" spans="2:9" x14ac:dyDescent="0.3">
      <c r="B2628" t="str">
        <f>IFERROR(IF(A2628="","",VLOOKUP(A2628,CadProd!$A:$B,2,0)),"")</f>
        <v/>
      </c>
      <c r="C2628" t="str">
        <f>IFERROR(IF(A2628="","",VLOOKUP(A2628,CadProd!$A:$C,3,0)),"")</f>
        <v/>
      </c>
      <c r="I2628" s="1" t="str">
        <f>IFERROR(IF(A2628="","",E2628*#REF!),"")</f>
        <v/>
      </c>
    </row>
    <row r="2629" spans="2:9" x14ac:dyDescent="0.3">
      <c r="B2629" t="str">
        <f>IFERROR(IF(A2629="","",VLOOKUP(A2629,CadProd!$A:$B,2,0)),"")</f>
        <v/>
      </c>
      <c r="C2629" t="str">
        <f>IFERROR(IF(A2629="","",VLOOKUP(A2629,CadProd!$A:$C,3,0)),"")</f>
        <v/>
      </c>
      <c r="I2629" s="1" t="str">
        <f>IFERROR(IF(A2629="","",E2629*#REF!),"")</f>
        <v/>
      </c>
    </row>
    <row r="2630" spans="2:9" x14ac:dyDescent="0.3">
      <c r="B2630" t="str">
        <f>IFERROR(IF(A2630="","",VLOOKUP(A2630,CadProd!$A:$B,2,0)),"")</f>
        <v/>
      </c>
      <c r="C2630" t="str">
        <f>IFERROR(IF(A2630="","",VLOOKUP(A2630,CadProd!$A:$C,3,0)),"")</f>
        <v/>
      </c>
      <c r="I2630" s="1" t="str">
        <f>IFERROR(IF(A2630="","",E2630*#REF!),"")</f>
        <v/>
      </c>
    </row>
    <row r="2631" spans="2:9" x14ac:dyDescent="0.3">
      <c r="B2631" t="str">
        <f>IFERROR(IF(A2631="","",VLOOKUP(A2631,CadProd!$A:$B,2,0)),"")</f>
        <v/>
      </c>
      <c r="C2631" t="str">
        <f>IFERROR(IF(A2631="","",VLOOKUP(A2631,CadProd!$A:$C,3,0)),"")</f>
        <v/>
      </c>
      <c r="I2631" s="1" t="str">
        <f>IFERROR(IF(A2631="","",E2631*#REF!),"")</f>
        <v/>
      </c>
    </row>
    <row r="2632" spans="2:9" x14ac:dyDescent="0.3">
      <c r="B2632" t="str">
        <f>IFERROR(IF(A2632="","",VLOOKUP(A2632,CadProd!$A:$B,2,0)),"")</f>
        <v/>
      </c>
      <c r="C2632" t="str">
        <f>IFERROR(IF(A2632="","",VLOOKUP(A2632,CadProd!$A:$C,3,0)),"")</f>
        <v/>
      </c>
      <c r="I2632" s="1" t="str">
        <f>IFERROR(IF(A2632="","",E2632*#REF!),"")</f>
        <v/>
      </c>
    </row>
    <row r="2633" spans="2:9" x14ac:dyDescent="0.3">
      <c r="B2633" t="str">
        <f>IFERROR(IF(A2633="","",VLOOKUP(A2633,CadProd!$A:$B,2,0)),"")</f>
        <v/>
      </c>
      <c r="C2633" t="str">
        <f>IFERROR(IF(A2633="","",VLOOKUP(A2633,CadProd!$A:$C,3,0)),"")</f>
        <v/>
      </c>
      <c r="I2633" s="1" t="str">
        <f>IFERROR(IF(A2633="","",E2633*#REF!),"")</f>
        <v/>
      </c>
    </row>
    <row r="2634" spans="2:9" x14ac:dyDescent="0.3">
      <c r="B2634" t="str">
        <f>IFERROR(IF(A2634="","",VLOOKUP(A2634,CadProd!$A:$B,2,0)),"")</f>
        <v/>
      </c>
      <c r="C2634" t="str">
        <f>IFERROR(IF(A2634="","",VLOOKUP(A2634,CadProd!$A:$C,3,0)),"")</f>
        <v/>
      </c>
      <c r="I2634" s="1" t="str">
        <f>IFERROR(IF(A2634="","",E2634*#REF!),"")</f>
        <v/>
      </c>
    </row>
    <row r="2635" spans="2:9" x14ac:dyDescent="0.3">
      <c r="B2635" t="str">
        <f>IFERROR(IF(A2635="","",VLOOKUP(A2635,CadProd!$A:$B,2,0)),"")</f>
        <v/>
      </c>
      <c r="C2635" t="str">
        <f>IFERROR(IF(A2635="","",VLOOKUP(A2635,CadProd!$A:$C,3,0)),"")</f>
        <v/>
      </c>
      <c r="I2635" s="1" t="str">
        <f>IFERROR(IF(A2635="","",E2635*#REF!),"")</f>
        <v/>
      </c>
    </row>
    <row r="2636" spans="2:9" x14ac:dyDescent="0.3">
      <c r="B2636" t="str">
        <f>IFERROR(IF(A2636="","",VLOOKUP(A2636,CadProd!$A:$B,2,0)),"")</f>
        <v/>
      </c>
      <c r="C2636" t="str">
        <f>IFERROR(IF(A2636="","",VLOOKUP(A2636,CadProd!$A:$C,3,0)),"")</f>
        <v/>
      </c>
      <c r="I2636" s="1" t="str">
        <f>IFERROR(IF(A2636="","",E2636*#REF!),"")</f>
        <v/>
      </c>
    </row>
    <row r="2637" spans="2:9" x14ac:dyDescent="0.3">
      <c r="B2637" t="str">
        <f>IFERROR(IF(A2637="","",VLOOKUP(A2637,CadProd!$A:$B,2,0)),"")</f>
        <v/>
      </c>
      <c r="C2637" t="str">
        <f>IFERROR(IF(A2637="","",VLOOKUP(A2637,CadProd!$A:$C,3,0)),"")</f>
        <v/>
      </c>
      <c r="I2637" s="1" t="str">
        <f>IFERROR(IF(A2637="","",E2637*#REF!),"")</f>
        <v/>
      </c>
    </row>
    <row r="2638" spans="2:9" x14ac:dyDescent="0.3">
      <c r="B2638" t="str">
        <f>IFERROR(IF(A2638="","",VLOOKUP(A2638,CadProd!$A:$B,2,0)),"")</f>
        <v/>
      </c>
      <c r="C2638" t="str">
        <f>IFERROR(IF(A2638="","",VLOOKUP(A2638,CadProd!$A:$C,3,0)),"")</f>
        <v/>
      </c>
      <c r="I2638" s="1" t="str">
        <f>IFERROR(IF(A2638="","",E2638*#REF!),"")</f>
        <v/>
      </c>
    </row>
    <row r="2639" spans="2:9" x14ac:dyDescent="0.3">
      <c r="B2639" t="str">
        <f>IFERROR(IF(A2639="","",VLOOKUP(A2639,CadProd!$A:$B,2,0)),"")</f>
        <v/>
      </c>
      <c r="C2639" t="str">
        <f>IFERROR(IF(A2639="","",VLOOKUP(A2639,CadProd!$A:$C,3,0)),"")</f>
        <v/>
      </c>
      <c r="I2639" s="1" t="str">
        <f>IFERROR(IF(A2639="","",E2639*#REF!),"")</f>
        <v/>
      </c>
    </row>
    <row r="2640" spans="2:9" x14ac:dyDescent="0.3">
      <c r="B2640" t="str">
        <f>IFERROR(IF(A2640="","",VLOOKUP(A2640,CadProd!$A:$B,2,0)),"")</f>
        <v/>
      </c>
      <c r="C2640" t="str">
        <f>IFERROR(IF(A2640="","",VLOOKUP(A2640,CadProd!$A:$C,3,0)),"")</f>
        <v/>
      </c>
      <c r="I2640" s="1" t="str">
        <f>IFERROR(IF(A2640="","",E2640*#REF!),"")</f>
        <v/>
      </c>
    </row>
    <row r="2641" spans="2:9" x14ac:dyDescent="0.3">
      <c r="B2641" t="str">
        <f>IFERROR(IF(A2641="","",VLOOKUP(A2641,CadProd!$A:$B,2,0)),"")</f>
        <v/>
      </c>
      <c r="C2641" t="str">
        <f>IFERROR(IF(A2641="","",VLOOKUP(A2641,CadProd!$A:$C,3,0)),"")</f>
        <v/>
      </c>
      <c r="I2641" s="1" t="str">
        <f>IFERROR(IF(A2641="","",E2641*#REF!),"")</f>
        <v/>
      </c>
    </row>
    <row r="2642" spans="2:9" x14ac:dyDescent="0.3">
      <c r="B2642" t="str">
        <f>IFERROR(IF(A2642="","",VLOOKUP(A2642,CadProd!$A:$B,2,0)),"")</f>
        <v/>
      </c>
      <c r="C2642" t="str">
        <f>IFERROR(IF(A2642="","",VLOOKUP(A2642,CadProd!$A:$C,3,0)),"")</f>
        <v/>
      </c>
      <c r="I2642" s="1" t="str">
        <f>IFERROR(IF(A2642="","",E2642*#REF!),"")</f>
        <v/>
      </c>
    </row>
    <row r="2643" spans="2:9" x14ac:dyDescent="0.3">
      <c r="B2643" t="str">
        <f>IFERROR(IF(A2643="","",VLOOKUP(A2643,CadProd!$A:$B,2,0)),"")</f>
        <v/>
      </c>
      <c r="C2643" t="str">
        <f>IFERROR(IF(A2643="","",VLOOKUP(A2643,CadProd!$A:$C,3,0)),"")</f>
        <v/>
      </c>
      <c r="I2643" s="1" t="str">
        <f>IFERROR(IF(A2643="","",E2643*#REF!),"")</f>
        <v/>
      </c>
    </row>
    <row r="2644" spans="2:9" x14ac:dyDescent="0.3">
      <c r="B2644" t="str">
        <f>IFERROR(IF(A2644="","",VLOOKUP(A2644,CadProd!$A:$B,2,0)),"")</f>
        <v/>
      </c>
      <c r="C2644" t="str">
        <f>IFERROR(IF(A2644="","",VLOOKUP(A2644,CadProd!$A:$C,3,0)),"")</f>
        <v/>
      </c>
      <c r="I2644" s="1" t="str">
        <f>IFERROR(IF(A2644="","",E2644*#REF!),"")</f>
        <v/>
      </c>
    </row>
    <row r="2645" spans="2:9" x14ac:dyDescent="0.3">
      <c r="B2645" t="str">
        <f>IFERROR(IF(A2645="","",VLOOKUP(A2645,CadProd!$A:$B,2,0)),"")</f>
        <v/>
      </c>
      <c r="C2645" t="str">
        <f>IFERROR(IF(A2645="","",VLOOKUP(A2645,CadProd!$A:$C,3,0)),"")</f>
        <v/>
      </c>
      <c r="I2645" s="1" t="str">
        <f>IFERROR(IF(A2645="","",E2645*#REF!),"")</f>
        <v/>
      </c>
    </row>
    <row r="2646" spans="2:9" x14ac:dyDescent="0.3">
      <c r="B2646" t="str">
        <f>IFERROR(IF(A2646="","",VLOOKUP(A2646,CadProd!$A:$B,2,0)),"")</f>
        <v/>
      </c>
      <c r="C2646" t="str">
        <f>IFERROR(IF(A2646="","",VLOOKUP(A2646,CadProd!$A:$C,3,0)),"")</f>
        <v/>
      </c>
      <c r="I2646" s="1" t="str">
        <f>IFERROR(IF(A2646="","",E2646*#REF!),"")</f>
        <v/>
      </c>
    </row>
    <row r="2647" spans="2:9" x14ac:dyDescent="0.3">
      <c r="B2647" t="str">
        <f>IFERROR(IF(A2647="","",VLOOKUP(A2647,CadProd!$A:$B,2,0)),"")</f>
        <v/>
      </c>
      <c r="C2647" t="str">
        <f>IFERROR(IF(A2647="","",VLOOKUP(A2647,CadProd!$A:$C,3,0)),"")</f>
        <v/>
      </c>
      <c r="I2647" s="1" t="str">
        <f>IFERROR(IF(A2647="","",E2647*#REF!),"")</f>
        <v/>
      </c>
    </row>
    <row r="2648" spans="2:9" x14ac:dyDescent="0.3">
      <c r="B2648" t="str">
        <f>IFERROR(IF(A2648="","",VLOOKUP(A2648,CadProd!$A:$B,2,0)),"")</f>
        <v/>
      </c>
      <c r="C2648" t="str">
        <f>IFERROR(IF(A2648="","",VLOOKUP(A2648,CadProd!$A:$C,3,0)),"")</f>
        <v/>
      </c>
      <c r="I2648" s="1" t="str">
        <f>IFERROR(IF(A2648="","",E2648*#REF!),"")</f>
        <v/>
      </c>
    </row>
    <row r="2649" spans="2:9" x14ac:dyDescent="0.3">
      <c r="B2649" t="str">
        <f>IFERROR(IF(A2649="","",VLOOKUP(A2649,CadProd!$A:$B,2,0)),"")</f>
        <v/>
      </c>
      <c r="C2649" t="str">
        <f>IFERROR(IF(A2649="","",VLOOKUP(A2649,CadProd!$A:$C,3,0)),"")</f>
        <v/>
      </c>
      <c r="I2649" s="1" t="str">
        <f>IFERROR(IF(A2649="","",E2649*#REF!),"")</f>
        <v/>
      </c>
    </row>
    <row r="2650" spans="2:9" x14ac:dyDescent="0.3">
      <c r="B2650" t="str">
        <f>IFERROR(IF(A2650="","",VLOOKUP(A2650,CadProd!$A:$B,2,0)),"")</f>
        <v/>
      </c>
      <c r="C2650" t="str">
        <f>IFERROR(IF(A2650="","",VLOOKUP(A2650,CadProd!$A:$C,3,0)),"")</f>
        <v/>
      </c>
      <c r="I2650" s="1" t="str">
        <f>IFERROR(IF(A2650="","",E2650*#REF!),"")</f>
        <v/>
      </c>
    </row>
    <row r="2651" spans="2:9" x14ac:dyDescent="0.3">
      <c r="B2651" t="str">
        <f>IFERROR(IF(A2651="","",VLOOKUP(A2651,CadProd!$A:$B,2,0)),"")</f>
        <v/>
      </c>
      <c r="C2651" t="str">
        <f>IFERROR(IF(A2651="","",VLOOKUP(A2651,CadProd!$A:$C,3,0)),"")</f>
        <v/>
      </c>
      <c r="I2651" s="1" t="str">
        <f>IFERROR(IF(A2651="","",E2651*#REF!),"")</f>
        <v/>
      </c>
    </row>
    <row r="2652" spans="2:9" x14ac:dyDescent="0.3">
      <c r="B2652" t="str">
        <f>IFERROR(IF(A2652="","",VLOOKUP(A2652,CadProd!$A:$B,2,0)),"")</f>
        <v/>
      </c>
      <c r="C2652" t="str">
        <f>IFERROR(IF(A2652="","",VLOOKUP(A2652,CadProd!$A:$C,3,0)),"")</f>
        <v/>
      </c>
      <c r="I2652" s="1" t="str">
        <f>IFERROR(IF(A2652="","",E2652*#REF!),"")</f>
        <v/>
      </c>
    </row>
    <row r="2653" spans="2:9" x14ac:dyDescent="0.3">
      <c r="B2653" t="str">
        <f>IFERROR(IF(A2653="","",VLOOKUP(A2653,CadProd!$A:$B,2,0)),"")</f>
        <v/>
      </c>
      <c r="C2653" t="str">
        <f>IFERROR(IF(A2653="","",VLOOKUP(A2653,CadProd!$A:$C,3,0)),"")</f>
        <v/>
      </c>
      <c r="I2653" s="1" t="str">
        <f>IFERROR(IF(A2653="","",E2653*#REF!),"")</f>
        <v/>
      </c>
    </row>
    <row r="2654" spans="2:9" x14ac:dyDescent="0.3">
      <c r="B2654" t="str">
        <f>IFERROR(IF(A2654="","",VLOOKUP(A2654,CadProd!$A:$B,2,0)),"")</f>
        <v/>
      </c>
      <c r="C2654" t="str">
        <f>IFERROR(IF(A2654="","",VLOOKUP(A2654,CadProd!$A:$C,3,0)),"")</f>
        <v/>
      </c>
      <c r="I2654" s="1" t="str">
        <f>IFERROR(IF(A2654="","",E2654*#REF!),"")</f>
        <v/>
      </c>
    </row>
    <row r="2655" spans="2:9" x14ac:dyDescent="0.3">
      <c r="B2655" t="str">
        <f>IFERROR(IF(A2655="","",VLOOKUP(A2655,CadProd!$A:$B,2,0)),"")</f>
        <v/>
      </c>
      <c r="C2655" t="str">
        <f>IFERROR(IF(A2655="","",VLOOKUP(A2655,CadProd!$A:$C,3,0)),"")</f>
        <v/>
      </c>
      <c r="I2655" s="1" t="str">
        <f>IFERROR(IF(A2655="","",E2655*#REF!),"")</f>
        <v/>
      </c>
    </row>
    <row r="2656" spans="2:9" x14ac:dyDescent="0.3">
      <c r="B2656" t="str">
        <f>IFERROR(IF(A2656="","",VLOOKUP(A2656,CadProd!$A:$B,2,0)),"")</f>
        <v/>
      </c>
      <c r="C2656" t="str">
        <f>IFERROR(IF(A2656="","",VLOOKUP(A2656,CadProd!$A:$C,3,0)),"")</f>
        <v/>
      </c>
      <c r="I2656" s="1" t="str">
        <f>IFERROR(IF(A2656="","",E2656*#REF!),"")</f>
        <v/>
      </c>
    </row>
    <row r="2657" spans="2:9" x14ac:dyDescent="0.3">
      <c r="B2657" t="str">
        <f>IFERROR(IF(A2657="","",VLOOKUP(A2657,CadProd!$A:$B,2,0)),"")</f>
        <v/>
      </c>
      <c r="C2657" t="str">
        <f>IFERROR(IF(A2657="","",VLOOKUP(A2657,CadProd!$A:$C,3,0)),"")</f>
        <v/>
      </c>
      <c r="I2657" s="1" t="str">
        <f>IFERROR(IF(A2657="","",E2657*#REF!),"")</f>
        <v/>
      </c>
    </row>
    <row r="2658" spans="2:9" x14ac:dyDescent="0.3">
      <c r="B2658" t="str">
        <f>IFERROR(IF(A2658="","",VLOOKUP(A2658,CadProd!$A:$B,2,0)),"")</f>
        <v/>
      </c>
      <c r="C2658" t="str">
        <f>IFERROR(IF(A2658="","",VLOOKUP(A2658,CadProd!$A:$C,3,0)),"")</f>
        <v/>
      </c>
      <c r="I2658" s="1" t="str">
        <f>IFERROR(IF(A2658="","",E2658*#REF!),"")</f>
        <v/>
      </c>
    </row>
    <row r="2659" spans="2:9" x14ac:dyDescent="0.3">
      <c r="B2659" t="str">
        <f>IFERROR(IF(A2659="","",VLOOKUP(A2659,CadProd!$A:$B,2,0)),"")</f>
        <v/>
      </c>
      <c r="C2659" t="str">
        <f>IFERROR(IF(A2659="","",VLOOKUP(A2659,CadProd!$A:$C,3,0)),"")</f>
        <v/>
      </c>
      <c r="I2659" s="1" t="str">
        <f>IFERROR(IF(A2659="","",E2659*#REF!),"")</f>
        <v/>
      </c>
    </row>
    <row r="2660" spans="2:9" x14ac:dyDescent="0.3">
      <c r="B2660" t="str">
        <f>IFERROR(IF(A2660="","",VLOOKUP(A2660,CadProd!$A:$B,2,0)),"")</f>
        <v/>
      </c>
      <c r="C2660" t="str">
        <f>IFERROR(IF(A2660="","",VLOOKUP(A2660,CadProd!$A:$C,3,0)),"")</f>
        <v/>
      </c>
      <c r="I2660" s="1" t="str">
        <f>IFERROR(IF(A2660="","",E2660*#REF!),"")</f>
        <v/>
      </c>
    </row>
    <row r="2661" spans="2:9" x14ac:dyDescent="0.3">
      <c r="B2661" t="str">
        <f>IFERROR(IF(A2661="","",VLOOKUP(A2661,CadProd!$A:$B,2,0)),"")</f>
        <v/>
      </c>
      <c r="C2661" t="str">
        <f>IFERROR(IF(A2661="","",VLOOKUP(A2661,CadProd!$A:$C,3,0)),"")</f>
        <v/>
      </c>
      <c r="I2661" s="1" t="str">
        <f>IFERROR(IF(A2661="","",E2661*#REF!),"")</f>
        <v/>
      </c>
    </row>
    <row r="2662" spans="2:9" x14ac:dyDescent="0.3">
      <c r="B2662" t="str">
        <f>IFERROR(IF(A2662="","",VLOOKUP(A2662,CadProd!$A:$B,2,0)),"")</f>
        <v/>
      </c>
      <c r="C2662" t="str">
        <f>IFERROR(IF(A2662="","",VLOOKUP(A2662,CadProd!$A:$C,3,0)),"")</f>
        <v/>
      </c>
      <c r="I2662" s="1" t="str">
        <f>IFERROR(IF(A2662="","",E2662*#REF!),"")</f>
        <v/>
      </c>
    </row>
    <row r="2663" spans="2:9" x14ac:dyDescent="0.3">
      <c r="B2663" t="str">
        <f>IFERROR(IF(A2663="","",VLOOKUP(A2663,CadProd!$A:$B,2,0)),"")</f>
        <v/>
      </c>
      <c r="C2663" t="str">
        <f>IFERROR(IF(A2663="","",VLOOKUP(A2663,CadProd!$A:$C,3,0)),"")</f>
        <v/>
      </c>
      <c r="I2663" s="1" t="str">
        <f>IFERROR(IF(A2663="","",E2663*#REF!),"")</f>
        <v/>
      </c>
    </row>
    <row r="2664" spans="2:9" x14ac:dyDescent="0.3">
      <c r="B2664" t="str">
        <f>IFERROR(IF(A2664="","",VLOOKUP(A2664,CadProd!$A:$B,2,0)),"")</f>
        <v/>
      </c>
      <c r="C2664" t="str">
        <f>IFERROR(IF(A2664="","",VLOOKUP(A2664,CadProd!$A:$C,3,0)),"")</f>
        <v/>
      </c>
      <c r="I2664" s="1" t="str">
        <f>IFERROR(IF(A2664="","",E2664*#REF!),"")</f>
        <v/>
      </c>
    </row>
    <row r="2665" spans="2:9" x14ac:dyDescent="0.3">
      <c r="B2665" t="str">
        <f>IFERROR(IF(A2665="","",VLOOKUP(A2665,CadProd!$A:$B,2,0)),"")</f>
        <v/>
      </c>
      <c r="C2665" t="str">
        <f>IFERROR(IF(A2665="","",VLOOKUP(A2665,CadProd!$A:$C,3,0)),"")</f>
        <v/>
      </c>
      <c r="I2665" s="1" t="str">
        <f>IFERROR(IF(A2665="","",E2665*#REF!),"")</f>
        <v/>
      </c>
    </row>
    <row r="2666" spans="2:9" x14ac:dyDescent="0.3">
      <c r="B2666" t="str">
        <f>IFERROR(IF(A2666="","",VLOOKUP(A2666,CadProd!$A:$B,2,0)),"")</f>
        <v/>
      </c>
      <c r="C2666" t="str">
        <f>IFERROR(IF(A2666="","",VLOOKUP(A2666,CadProd!$A:$C,3,0)),"")</f>
        <v/>
      </c>
      <c r="I2666" s="1" t="str">
        <f>IFERROR(IF(A2666="","",E2666*#REF!),"")</f>
        <v/>
      </c>
    </row>
    <row r="2667" spans="2:9" x14ac:dyDescent="0.3">
      <c r="B2667" t="str">
        <f>IFERROR(IF(A2667="","",VLOOKUP(A2667,CadProd!$A:$B,2,0)),"")</f>
        <v/>
      </c>
      <c r="C2667" t="str">
        <f>IFERROR(IF(A2667="","",VLOOKUP(A2667,CadProd!$A:$C,3,0)),"")</f>
        <v/>
      </c>
      <c r="I2667" s="1" t="str">
        <f>IFERROR(IF(A2667="","",E2667*#REF!),"")</f>
        <v/>
      </c>
    </row>
    <row r="2668" spans="2:9" x14ac:dyDescent="0.3">
      <c r="B2668" t="str">
        <f>IFERROR(IF(A2668="","",VLOOKUP(A2668,CadProd!$A:$B,2,0)),"")</f>
        <v/>
      </c>
      <c r="C2668" t="str">
        <f>IFERROR(IF(A2668="","",VLOOKUP(A2668,CadProd!$A:$C,3,0)),"")</f>
        <v/>
      </c>
      <c r="I2668" s="1" t="str">
        <f>IFERROR(IF(A2668="","",E2668*#REF!),"")</f>
        <v/>
      </c>
    </row>
    <row r="2669" spans="2:9" x14ac:dyDescent="0.3">
      <c r="B2669" t="str">
        <f>IFERROR(IF(A2669="","",VLOOKUP(A2669,CadProd!$A:$B,2,0)),"")</f>
        <v/>
      </c>
      <c r="C2669" t="str">
        <f>IFERROR(IF(A2669="","",VLOOKUP(A2669,CadProd!$A:$C,3,0)),"")</f>
        <v/>
      </c>
      <c r="I2669" s="1" t="str">
        <f>IFERROR(IF(A2669="","",E2669*#REF!),"")</f>
        <v/>
      </c>
    </row>
    <row r="2670" spans="2:9" x14ac:dyDescent="0.3">
      <c r="B2670" t="str">
        <f>IFERROR(IF(A2670="","",VLOOKUP(A2670,CadProd!$A:$B,2,0)),"")</f>
        <v/>
      </c>
      <c r="C2670" t="str">
        <f>IFERROR(IF(A2670="","",VLOOKUP(A2670,CadProd!$A:$C,3,0)),"")</f>
        <v/>
      </c>
      <c r="I2670" s="1" t="str">
        <f>IFERROR(IF(A2670="","",E2670*#REF!),"")</f>
        <v/>
      </c>
    </row>
    <row r="2671" spans="2:9" x14ac:dyDescent="0.3">
      <c r="B2671" t="str">
        <f>IFERROR(IF(A2671="","",VLOOKUP(A2671,CadProd!$A:$B,2,0)),"")</f>
        <v/>
      </c>
      <c r="C2671" t="str">
        <f>IFERROR(IF(A2671="","",VLOOKUP(A2671,CadProd!$A:$C,3,0)),"")</f>
        <v/>
      </c>
      <c r="I2671" s="1" t="str">
        <f>IFERROR(IF(A2671="","",E2671*#REF!),"")</f>
        <v/>
      </c>
    </row>
    <row r="2672" spans="2:9" x14ac:dyDescent="0.3">
      <c r="B2672" t="str">
        <f>IFERROR(IF(A2672="","",VLOOKUP(A2672,CadProd!$A:$B,2,0)),"")</f>
        <v/>
      </c>
      <c r="C2672" t="str">
        <f>IFERROR(IF(A2672="","",VLOOKUP(A2672,CadProd!$A:$C,3,0)),"")</f>
        <v/>
      </c>
      <c r="I2672" s="1" t="str">
        <f>IFERROR(IF(A2672="","",E2672*#REF!),"")</f>
        <v/>
      </c>
    </row>
    <row r="2673" spans="2:9" x14ac:dyDescent="0.3">
      <c r="B2673" t="str">
        <f>IFERROR(IF(A2673="","",VLOOKUP(A2673,CadProd!$A:$B,2,0)),"")</f>
        <v/>
      </c>
      <c r="C2673" t="str">
        <f>IFERROR(IF(A2673="","",VLOOKUP(A2673,CadProd!$A:$C,3,0)),"")</f>
        <v/>
      </c>
      <c r="I2673" s="1" t="str">
        <f>IFERROR(IF(A2673="","",E2673*#REF!),"")</f>
        <v/>
      </c>
    </row>
    <row r="2674" spans="2:9" x14ac:dyDescent="0.3">
      <c r="B2674" t="str">
        <f>IFERROR(IF(A2674="","",VLOOKUP(A2674,CadProd!$A:$B,2,0)),"")</f>
        <v/>
      </c>
      <c r="C2674" t="str">
        <f>IFERROR(IF(A2674="","",VLOOKUP(A2674,CadProd!$A:$C,3,0)),"")</f>
        <v/>
      </c>
      <c r="I2674" s="1" t="str">
        <f>IFERROR(IF(A2674="","",E2674*#REF!),"")</f>
        <v/>
      </c>
    </row>
    <row r="2675" spans="2:9" x14ac:dyDescent="0.3">
      <c r="B2675" t="str">
        <f>IFERROR(IF(A2675="","",VLOOKUP(A2675,CadProd!$A:$B,2,0)),"")</f>
        <v/>
      </c>
      <c r="C2675" t="str">
        <f>IFERROR(IF(A2675="","",VLOOKUP(A2675,CadProd!$A:$C,3,0)),"")</f>
        <v/>
      </c>
      <c r="I2675" s="1" t="str">
        <f>IFERROR(IF(A2675="","",E2675*#REF!),"")</f>
        <v/>
      </c>
    </row>
    <row r="2676" spans="2:9" x14ac:dyDescent="0.3">
      <c r="B2676" t="str">
        <f>IFERROR(IF(A2676="","",VLOOKUP(A2676,CadProd!$A:$B,2,0)),"")</f>
        <v/>
      </c>
      <c r="C2676" t="str">
        <f>IFERROR(IF(A2676="","",VLOOKUP(A2676,CadProd!$A:$C,3,0)),"")</f>
        <v/>
      </c>
      <c r="I2676" s="1" t="str">
        <f>IFERROR(IF(A2676="","",E2676*#REF!),"")</f>
        <v/>
      </c>
    </row>
    <row r="2677" spans="2:9" x14ac:dyDescent="0.3">
      <c r="B2677" t="str">
        <f>IFERROR(IF(A2677="","",VLOOKUP(A2677,CadProd!$A:$B,2,0)),"")</f>
        <v/>
      </c>
      <c r="C2677" t="str">
        <f>IFERROR(IF(A2677="","",VLOOKUP(A2677,CadProd!$A:$C,3,0)),"")</f>
        <v/>
      </c>
      <c r="I2677" s="1" t="str">
        <f>IFERROR(IF(A2677="","",E2677*#REF!),"")</f>
        <v/>
      </c>
    </row>
    <row r="2678" spans="2:9" x14ac:dyDescent="0.3">
      <c r="B2678" t="str">
        <f>IFERROR(IF(A2678="","",VLOOKUP(A2678,CadProd!$A:$B,2,0)),"")</f>
        <v/>
      </c>
      <c r="C2678" t="str">
        <f>IFERROR(IF(A2678="","",VLOOKUP(A2678,CadProd!$A:$C,3,0)),"")</f>
        <v/>
      </c>
      <c r="I2678" s="1" t="str">
        <f>IFERROR(IF(A2678="","",E2678*#REF!),"")</f>
        <v/>
      </c>
    </row>
    <row r="2679" spans="2:9" x14ac:dyDescent="0.3">
      <c r="B2679" t="str">
        <f>IFERROR(IF(A2679="","",VLOOKUP(A2679,CadProd!$A:$B,2,0)),"")</f>
        <v/>
      </c>
      <c r="C2679" t="str">
        <f>IFERROR(IF(A2679="","",VLOOKUP(A2679,CadProd!$A:$C,3,0)),"")</f>
        <v/>
      </c>
      <c r="I2679" s="1" t="str">
        <f>IFERROR(IF(A2679="","",E2679*#REF!),"")</f>
        <v/>
      </c>
    </row>
    <row r="2680" spans="2:9" x14ac:dyDescent="0.3">
      <c r="B2680" t="str">
        <f>IFERROR(IF(A2680="","",VLOOKUP(A2680,CadProd!$A:$B,2,0)),"")</f>
        <v/>
      </c>
      <c r="C2680" t="str">
        <f>IFERROR(IF(A2680="","",VLOOKUP(A2680,CadProd!$A:$C,3,0)),"")</f>
        <v/>
      </c>
      <c r="I2680" s="1" t="str">
        <f>IFERROR(IF(A2680="","",E2680*#REF!),"")</f>
        <v/>
      </c>
    </row>
    <row r="2681" spans="2:9" x14ac:dyDescent="0.3">
      <c r="B2681" t="str">
        <f>IFERROR(IF(A2681="","",VLOOKUP(A2681,CadProd!$A:$B,2,0)),"")</f>
        <v/>
      </c>
      <c r="C2681" t="str">
        <f>IFERROR(IF(A2681="","",VLOOKUP(A2681,CadProd!$A:$C,3,0)),"")</f>
        <v/>
      </c>
      <c r="I2681" s="1" t="str">
        <f>IFERROR(IF(A2681="","",E2681*#REF!),"")</f>
        <v/>
      </c>
    </row>
    <row r="2682" spans="2:9" x14ac:dyDescent="0.3">
      <c r="B2682" t="str">
        <f>IFERROR(IF(A2682="","",VLOOKUP(A2682,CadProd!$A:$B,2,0)),"")</f>
        <v/>
      </c>
      <c r="C2682" t="str">
        <f>IFERROR(IF(A2682="","",VLOOKUP(A2682,CadProd!$A:$C,3,0)),"")</f>
        <v/>
      </c>
      <c r="I2682" s="1" t="str">
        <f>IFERROR(IF(A2682="","",E2682*#REF!),"")</f>
        <v/>
      </c>
    </row>
    <row r="2683" spans="2:9" x14ac:dyDescent="0.3">
      <c r="B2683" t="str">
        <f>IFERROR(IF(A2683="","",VLOOKUP(A2683,CadProd!$A:$B,2,0)),"")</f>
        <v/>
      </c>
      <c r="C2683" t="str">
        <f>IFERROR(IF(A2683="","",VLOOKUP(A2683,CadProd!$A:$C,3,0)),"")</f>
        <v/>
      </c>
      <c r="I2683" s="1" t="str">
        <f>IFERROR(IF(A2683="","",E2683*#REF!),"")</f>
        <v/>
      </c>
    </row>
    <row r="2684" spans="2:9" x14ac:dyDescent="0.3">
      <c r="B2684" t="str">
        <f>IFERROR(IF(A2684="","",VLOOKUP(A2684,CadProd!$A:$B,2,0)),"")</f>
        <v/>
      </c>
      <c r="C2684" t="str">
        <f>IFERROR(IF(A2684="","",VLOOKUP(A2684,CadProd!$A:$C,3,0)),"")</f>
        <v/>
      </c>
      <c r="I2684" s="1" t="str">
        <f>IFERROR(IF(A2684="","",E2684*#REF!),"")</f>
        <v/>
      </c>
    </row>
    <row r="2685" spans="2:9" x14ac:dyDescent="0.3">
      <c r="B2685" t="str">
        <f>IFERROR(IF(A2685="","",VLOOKUP(A2685,CadProd!$A:$B,2,0)),"")</f>
        <v/>
      </c>
      <c r="C2685" t="str">
        <f>IFERROR(IF(A2685="","",VLOOKUP(A2685,CadProd!$A:$C,3,0)),"")</f>
        <v/>
      </c>
      <c r="I2685" s="1" t="str">
        <f>IFERROR(IF(A2685="","",E2685*#REF!),"")</f>
        <v/>
      </c>
    </row>
    <row r="2686" spans="2:9" x14ac:dyDescent="0.3">
      <c r="B2686" t="str">
        <f>IFERROR(IF(A2686="","",VLOOKUP(A2686,CadProd!$A:$B,2,0)),"")</f>
        <v/>
      </c>
      <c r="C2686" t="str">
        <f>IFERROR(IF(A2686="","",VLOOKUP(A2686,CadProd!$A:$C,3,0)),"")</f>
        <v/>
      </c>
      <c r="I2686" s="1" t="str">
        <f>IFERROR(IF(A2686="","",E2686*#REF!),"")</f>
        <v/>
      </c>
    </row>
    <row r="2687" spans="2:9" x14ac:dyDescent="0.3">
      <c r="B2687" t="str">
        <f>IFERROR(IF(A2687="","",VLOOKUP(A2687,CadProd!$A:$B,2,0)),"")</f>
        <v/>
      </c>
      <c r="C2687" t="str">
        <f>IFERROR(IF(A2687="","",VLOOKUP(A2687,CadProd!$A:$C,3,0)),"")</f>
        <v/>
      </c>
      <c r="I2687" s="1" t="str">
        <f>IFERROR(IF(A2687="","",E2687*#REF!),"")</f>
        <v/>
      </c>
    </row>
    <row r="2688" spans="2:9" x14ac:dyDescent="0.3">
      <c r="B2688" t="str">
        <f>IFERROR(IF(A2688="","",VLOOKUP(A2688,CadProd!$A:$B,2,0)),"")</f>
        <v/>
      </c>
      <c r="C2688" t="str">
        <f>IFERROR(IF(A2688="","",VLOOKUP(A2688,CadProd!$A:$C,3,0)),"")</f>
        <v/>
      </c>
      <c r="I2688" s="1" t="str">
        <f>IFERROR(IF(A2688="","",E2688*#REF!),"")</f>
        <v/>
      </c>
    </row>
    <row r="2689" spans="2:9" x14ac:dyDescent="0.3">
      <c r="B2689" t="str">
        <f>IFERROR(IF(A2689="","",VLOOKUP(A2689,CadProd!$A:$B,2,0)),"")</f>
        <v/>
      </c>
      <c r="C2689" t="str">
        <f>IFERROR(IF(A2689="","",VLOOKUP(A2689,CadProd!$A:$C,3,0)),"")</f>
        <v/>
      </c>
      <c r="I2689" s="1" t="str">
        <f>IFERROR(IF(A2689="","",E2689*#REF!),"")</f>
        <v/>
      </c>
    </row>
    <row r="2690" spans="2:9" x14ac:dyDescent="0.3">
      <c r="B2690" t="str">
        <f>IFERROR(IF(A2690="","",VLOOKUP(A2690,CadProd!$A:$B,2,0)),"")</f>
        <v/>
      </c>
      <c r="C2690" t="str">
        <f>IFERROR(IF(A2690="","",VLOOKUP(A2690,CadProd!$A:$C,3,0)),"")</f>
        <v/>
      </c>
      <c r="I2690" s="1" t="str">
        <f>IFERROR(IF(A2690="","",E2690*#REF!),"")</f>
        <v/>
      </c>
    </row>
    <row r="2691" spans="2:9" x14ac:dyDescent="0.3">
      <c r="B2691" t="str">
        <f>IFERROR(IF(A2691="","",VLOOKUP(A2691,CadProd!$A:$B,2,0)),"")</f>
        <v/>
      </c>
      <c r="C2691" t="str">
        <f>IFERROR(IF(A2691="","",VLOOKUP(A2691,CadProd!$A:$C,3,0)),"")</f>
        <v/>
      </c>
      <c r="I2691" s="1" t="str">
        <f>IFERROR(IF(A2691="","",E2691*#REF!),"")</f>
        <v/>
      </c>
    </row>
    <row r="2692" spans="2:9" x14ac:dyDescent="0.3">
      <c r="B2692" t="str">
        <f>IFERROR(IF(A2692="","",VLOOKUP(A2692,CadProd!$A:$B,2,0)),"")</f>
        <v/>
      </c>
      <c r="C2692" t="str">
        <f>IFERROR(IF(A2692="","",VLOOKUP(A2692,CadProd!$A:$C,3,0)),"")</f>
        <v/>
      </c>
      <c r="I2692" s="1" t="str">
        <f>IFERROR(IF(A2692="","",E2692*#REF!),"")</f>
        <v/>
      </c>
    </row>
    <row r="2693" spans="2:9" x14ac:dyDescent="0.3">
      <c r="B2693" t="str">
        <f>IFERROR(IF(A2693="","",VLOOKUP(A2693,CadProd!$A:$B,2,0)),"")</f>
        <v/>
      </c>
      <c r="C2693" t="str">
        <f>IFERROR(IF(A2693="","",VLOOKUP(A2693,CadProd!$A:$C,3,0)),"")</f>
        <v/>
      </c>
      <c r="I2693" s="1" t="str">
        <f>IFERROR(IF(A2693="","",E2693*#REF!),"")</f>
        <v/>
      </c>
    </row>
    <row r="2694" spans="2:9" x14ac:dyDescent="0.3">
      <c r="B2694" t="str">
        <f>IFERROR(IF(A2694="","",VLOOKUP(A2694,CadProd!$A:$B,2,0)),"")</f>
        <v/>
      </c>
      <c r="C2694" t="str">
        <f>IFERROR(IF(A2694="","",VLOOKUP(A2694,CadProd!$A:$C,3,0)),"")</f>
        <v/>
      </c>
      <c r="I2694" s="1" t="str">
        <f>IFERROR(IF(A2694="","",E2694*#REF!),"")</f>
        <v/>
      </c>
    </row>
    <row r="2695" spans="2:9" x14ac:dyDescent="0.3">
      <c r="B2695" t="str">
        <f>IFERROR(IF(A2695="","",VLOOKUP(A2695,CadProd!$A:$B,2,0)),"")</f>
        <v/>
      </c>
      <c r="C2695" t="str">
        <f>IFERROR(IF(A2695="","",VLOOKUP(A2695,CadProd!$A:$C,3,0)),"")</f>
        <v/>
      </c>
      <c r="I2695" s="1" t="str">
        <f>IFERROR(IF(A2695="","",E2695*#REF!),"")</f>
        <v/>
      </c>
    </row>
    <row r="2696" spans="2:9" x14ac:dyDescent="0.3">
      <c r="B2696" t="str">
        <f>IFERROR(IF(A2696="","",VLOOKUP(A2696,CadProd!$A:$B,2,0)),"")</f>
        <v/>
      </c>
      <c r="C2696" t="str">
        <f>IFERROR(IF(A2696="","",VLOOKUP(A2696,CadProd!$A:$C,3,0)),"")</f>
        <v/>
      </c>
      <c r="I2696" s="1" t="str">
        <f>IFERROR(IF(A2696="","",E2696*#REF!),"")</f>
        <v/>
      </c>
    </row>
    <row r="2697" spans="2:9" x14ac:dyDescent="0.3">
      <c r="B2697" t="str">
        <f>IFERROR(IF(A2697="","",VLOOKUP(A2697,CadProd!$A:$B,2,0)),"")</f>
        <v/>
      </c>
      <c r="C2697" t="str">
        <f>IFERROR(IF(A2697="","",VLOOKUP(A2697,CadProd!$A:$C,3,0)),"")</f>
        <v/>
      </c>
      <c r="I2697" s="1" t="str">
        <f>IFERROR(IF(A2697="","",E2697*#REF!),"")</f>
        <v/>
      </c>
    </row>
    <row r="2698" spans="2:9" x14ac:dyDescent="0.3">
      <c r="B2698" t="str">
        <f>IFERROR(IF(A2698="","",VLOOKUP(A2698,CadProd!$A:$B,2,0)),"")</f>
        <v/>
      </c>
      <c r="C2698" t="str">
        <f>IFERROR(IF(A2698="","",VLOOKUP(A2698,CadProd!$A:$C,3,0)),"")</f>
        <v/>
      </c>
      <c r="I2698" s="1" t="str">
        <f>IFERROR(IF(A2698="","",E2698*#REF!),"")</f>
        <v/>
      </c>
    </row>
    <row r="2699" spans="2:9" x14ac:dyDescent="0.3">
      <c r="B2699" t="str">
        <f>IFERROR(IF(A2699="","",VLOOKUP(A2699,CadProd!$A:$B,2,0)),"")</f>
        <v/>
      </c>
      <c r="C2699" t="str">
        <f>IFERROR(IF(A2699="","",VLOOKUP(A2699,CadProd!$A:$C,3,0)),"")</f>
        <v/>
      </c>
      <c r="I2699" s="1" t="str">
        <f>IFERROR(IF(A2699="","",E2699*#REF!),"")</f>
        <v/>
      </c>
    </row>
    <row r="2700" spans="2:9" x14ac:dyDescent="0.3">
      <c r="B2700" t="str">
        <f>IFERROR(IF(A2700="","",VLOOKUP(A2700,CadProd!$A:$B,2,0)),"")</f>
        <v/>
      </c>
      <c r="C2700" t="str">
        <f>IFERROR(IF(A2700="","",VLOOKUP(A2700,CadProd!$A:$C,3,0)),"")</f>
        <v/>
      </c>
      <c r="I2700" s="1" t="str">
        <f>IFERROR(IF(A2700="","",E2700*#REF!),"")</f>
        <v/>
      </c>
    </row>
    <row r="2701" spans="2:9" x14ac:dyDescent="0.3">
      <c r="B2701" t="str">
        <f>IFERROR(IF(A2701="","",VLOOKUP(A2701,CadProd!$A:$B,2,0)),"")</f>
        <v/>
      </c>
      <c r="C2701" t="str">
        <f>IFERROR(IF(A2701="","",VLOOKUP(A2701,CadProd!$A:$C,3,0)),"")</f>
        <v/>
      </c>
      <c r="I2701" s="1" t="str">
        <f>IFERROR(IF(A2701="","",E2701*#REF!),"")</f>
        <v/>
      </c>
    </row>
    <row r="2702" spans="2:9" x14ac:dyDescent="0.3">
      <c r="B2702" t="str">
        <f>IFERROR(IF(A2702="","",VLOOKUP(A2702,CadProd!$A:$B,2,0)),"")</f>
        <v/>
      </c>
      <c r="C2702" t="str">
        <f>IFERROR(IF(A2702="","",VLOOKUP(A2702,CadProd!$A:$C,3,0)),"")</f>
        <v/>
      </c>
      <c r="I2702" s="1" t="str">
        <f>IFERROR(IF(A2702="","",E2702*#REF!),"")</f>
        <v/>
      </c>
    </row>
    <row r="2703" spans="2:9" x14ac:dyDescent="0.3">
      <c r="B2703" t="str">
        <f>IFERROR(IF(A2703="","",VLOOKUP(A2703,CadProd!$A:$B,2,0)),"")</f>
        <v/>
      </c>
      <c r="C2703" t="str">
        <f>IFERROR(IF(A2703="","",VLOOKUP(A2703,CadProd!$A:$C,3,0)),"")</f>
        <v/>
      </c>
      <c r="I2703" s="1" t="str">
        <f>IFERROR(IF(A2703="","",E2703*#REF!),"")</f>
        <v/>
      </c>
    </row>
    <row r="2704" spans="2:9" x14ac:dyDescent="0.3">
      <c r="B2704" t="str">
        <f>IFERROR(IF(A2704="","",VLOOKUP(A2704,CadProd!$A:$B,2,0)),"")</f>
        <v/>
      </c>
      <c r="C2704" t="str">
        <f>IFERROR(IF(A2704="","",VLOOKUP(A2704,CadProd!$A:$C,3,0)),"")</f>
        <v/>
      </c>
      <c r="I2704" s="1" t="str">
        <f>IFERROR(IF(A2704="","",E2704*#REF!),"")</f>
        <v/>
      </c>
    </row>
    <row r="2705" spans="2:9" x14ac:dyDescent="0.3">
      <c r="B2705" t="str">
        <f>IFERROR(IF(A2705="","",VLOOKUP(A2705,CadProd!$A:$B,2,0)),"")</f>
        <v/>
      </c>
      <c r="C2705" t="str">
        <f>IFERROR(IF(A2705="","",VLOOKUP(A2705,CadProd!$A:$C,3,0)),"")</f>
        <v/>
      </c>
      <c r="I2705" s="1" t="str">
        <f>IFERROR(IF(A2705="","",E2705*#REF!),"")</f>
        <v/>
      </c>
    </row>
    <row r="2706" spans="2:9" x14ac:dyDescent="0.3">
      <c r="B2706" t="str">
        <f>IFERROR(IF(A2706="","",VLOOKUP(A2706,CadProd!$A:$B,2,0)),"")</f>
        <v/>
      </c>
      <c r="C2706" t="str">
        <f>IFERROR(IF(A2706="","",VLOOKUP(A2706,CadProd!$A:$C,3,0)),"")</f>
        <v/>
      </c>
      <c r="I2706" s="1" t="str">
        <f>IFERROR(IF(A2706="","",E2706*#REF!),"")</f>
        <v/>
      </c>
    </row>
    <row r="2707" spans="2:9" x14ac:dyDescent="0.3">
      <c r="B2707" t="str">
        <f>IFERROR(IF(A2707="","",VLOOKUP(A2707,CadProd!$A:$B,2,0)),"")</f>
        <v/>
      </c>
      <c r="C2707" t="str">
        <f>IFERROR(IF(A2707="","",VLOOKUP(A2707,CadProd!$A:$C,3,0)),"")</f>
        <v/>
      </c>
      <c r="I2707" s="1" t="str">
        <f>IFERROR(IF(A2707="","",E2707*#REF!),"")</f>
        <v/>
      </c>
    </row>
    <row r="2708" spans="2:9" x14ac:dyDescent="0.3">
      <c r="B2708" t="str">
        <f>IFERROR(IF(A2708="","",VLOOKUP(A2708,CadProd!$A:$B,2,0)),"")</f>
        <v/>
      </c>
      <c r="C2708" t="str">
        <f>IFERROR(IF(A2708="","",VLOOKUP(A2708,CadProd!$A:$C,3,0)),"")</f>
        <v/>
      </c>
      <c r="I2708" s="1" t="str">
        <f>IFERROR(IF(A2708="","",E2708*#REF!),"")</f>
        <v/>
      </c>
    </row>
    <row r="2709" spans="2:9" x14ac:dyDescent="0.3">
      <c r="B2709" t="str">
        <f>IFERROR(IF(A2709="","",VLOOKUP(A2709,CadProd!$A:$B,2,0)),"")</f>
        <v/>
      </c>
      <c r="C2709" t="str">
        <f>IFERROR(IF(A2709="","",VLOOKUP(A2709,CadProd!$A:$C,3,0)),"")</f>
        <v/>
      </c>
      <c r="I2709" s="1" t="str">
        <f>IFERROR(IF(A2709="","",E2709*#REF!),"")</f>
        <v/>
      </c>
    </row>
    <row r="2710" spans="2:9" x14ac:dyDescent="0.3">
      <c r="B2710" t="str">
        <f>IFERROR(IF(A2710="","",VLOOKUP(A2710,CadProd!$A:$B,2,0)),"")</f>
        <v/>
      </c>
      <c r="C2710" t="str">
        <f>IFERROR(IF(A2710="","",VLOOKUP(A2710,CadProd!$A:$C,3,0)),"")</f>
        <v/>
      </c>
      <c r="I2710" s="1" t="str">
        <f>IFERROR(IF(A2710="","",E2710*#REF!),"")</f>
        <v/>
      </c>
    </row>
    <row r="2711" spans="2:9" x14ac:dyDescent="0.3">
      <c r="B2711" t="str">
        <f>IFERROR(IF(A2711="","",VLOOKUP(A2711,CadProd!$A:$B,2,0)),"")</f>
        <v/>
      </c>
      <c r="C2711" t="str">
        <f>IFERROR(IF(A2711="","",VLOOKUP(A2711,CadProd!$A:$C,3,0)),"")</f>
        <v/>
      </c>
      <c r="I2711" s="1" t="str">
        <f>IFERROR(IF(A2711="","",E2711*#REF!),"")</f>
        <v/>
      </c>
    </row>
    <row r="2712" spans="2:9" x14ac:dyDescent="0.3">
      <c r="B2712" t="str">
        <f>IFERROR(IF(A2712="","",VLOOKUP(A2712,CadProd!$A:$B,2,0)),"")</f>
        <v/>
      </c>
      <c r="C2712" t="str">
        <f>IFERROR(IF(A2712="","",VLOOKUP(A2712,CadProd!$A:$C,3,0)),"")</f>
        <v/>
      </c>
      <c r="I2712" s="1" t="str">
        <f>IFERROR(IF(A2712="","",E2712*#REF!),"")</f>
        <v/>
      </c>
    </row>
    <row r="2713" spans="2:9" x14ac:dyDescent="0.3">
      <c r="B2713" t="str">
        <f>IFERROR(IF(A2713="","",VLOOKUP(A2713,CadProd!$A:$B,2,0)),"")</f>
        <v/>
      </c>
      <c r="C2713" t="str">
        <f>IFERROR(IF(A2713="","",VLOOKUP(A2713,CadProd!$A:$C,3,0)),"")</f>
        <v/>
      </c>
      <c r="I2713" s="1" t="str">
        <f>IFERROR(IF(A2713="","",E2713*#REF!),"")</f>
        <v/>
      </c>
    </row>
    <row r="2714" spans="2:9" x14ac:dyDescent="0.3">
      <c r="B2714" t="str">
        <f>IFERROR(IF(A2714="","",VLOOKUP(A2714,CadProd!$A:$B,2,0)),"")</f>
        <v/>
      </c>
      <c r="C2714" t="str">
        <f>IFERROR(IF(A2714="","",VLOOKUP(A2714,CadProd!$A:$C,3,0)),"")</f>
        <v/>
      </c>
      <c r="I2714" s="1" t="str">
        <f>IFERROR(IF(A2714="","",E2714*#REF!),"")</f>
        <v/>
      </c>
    </row>
    <row r="2715" spans="2:9" x14ac:dyDescent="0.3">
      <c r="B2715" t="str">
        <f>IFERROR(IF(A2715="","",VLOOKUP(A2715,CadProd!$A:$B,2,0)),"")</f>
        <v/>
      </c>
      <c r="C2715" t="str">
        <f>IFERROR(IF(A2715="","",VLOOKUP(A2715,CadProd!$A:$C,3,0)),"")</f>
        <v/>
      </c>
      <c r="I2715" s="1" t="str">
        <f>IFERROR(IF(A2715="","",E2715*#REF!),"")</f>
        <v/>
      </c>
    </row>
    <row r="2716" spans="2:9" x14ac:dyDescent="0.3">
      <c r="B2716" t="str">
        <f>IFERROR(IF(A2716="","",VLOOKUP(A2716,CadProd!$A:$B,2,0)),"")</f>
        <v/>
      </c>
      <c r="C2716" t="str">
        <f>IFERROR(IF(A2716="","",VLOOKUP(A2716,CadProd!$A:$C,3,0)),"")</f>
        <v/>
      </c>
      <c r="I2716" s="1" t="str">
        <f>IFERROR(IF(A2716="","",E2716*#REF!),"")</f>
        <v/>
      </c>
    </row>
    <row r="2717" spans="2:9" x14ac:dyDescent="0.3">
      <c r="B2717" t="str">
        <f>IFERROR(IF(A2717="","",VLOOKUP(A2717,CadProd!$A:$B,2,0)),"")</f>
        <v/>
      </c>
      <c r="C2717" t="str">
        <f>IFERROR(IF(A2717="","",VLOOKUP(A2717,CadProd!$A:$C,3,0)),"")</f>
        <v/>
      </c>
      <c r="I2717" s="1" t="str">
        <f>IFERROR(IF(A2717="","",E2717*#REF!),"")</f>
        <v/>
      </c>
    </row>
    <row r="2718" spans="2:9" x14ac:dyDescent="0.3">
      <c r="B2718" t="str">
        <f>IFERROR(IF(A2718="","",VLOOKUP(A2718,CadProd!$A:$B,2,0)),"")</f>
        <v/>
      </c>
      <c r="C2718" t="str">
        <f>IFERROR(IF(A2718="","",VLOOKUP(A2718,CadProd!$A:$C,3,0)),"")</f>
        <v/>
      </c>
      <c r="I2718" s="1" t="str">
        <f>IFERROR(IF(A2718="","",E2718*#REF!),"")</f>
        <v/>
      </c>
    </row>
    <row r="2719" spans="2:9" x14ac:dyDescent="0.3">
      <c r="B2719" t="str">
        <f>IFERROR(IF(A2719="","",VLOOKUP(A2719,CadProd!$A:$B,2,0)),"")</f>
        <v/>
      </c>
      <c r="C2719" t="str">
        <f>IFERROR(IF(A2719="","",VLOOKUP(A2719,CadProd!$A:$C,3,0)),"")</f>
        <v/>
      </c>
      <c r="I2719" s="1" t="str">
        <f>IFERROR(IF(A2719="","",E2719*#REF!),"")</f>
        <v/>
      </c>
    </row>
    <row r="2720" spans="2:9" x14ac:dyDescent="0.3">
      <c r="B2720" t="str">
        <f>IFERROR(IF(A2720="","",VLOOKUP(A2720,CadProd!$A:$B,2,0)),"")</f>
        <v/>
      </c>
      <c r="C2720" t="str">
        <f>IFERROR(IF(A2720="","",VLOOKUP(A2720,CadProd!$A:$C,3,0)),"")</f>
        <v/>
      </c>
      <c r="I2720" s="1" t="str">
        <f>IFERROR(IF(A2720="","",E2720*#REF!),"")</f>
        <v/>
      </c>
    </row>
    <row r="2721" spans="2:9" x14ac:dyDescent="0.3">
      <c r="B2721" t="str">
        <f>IFERROR(IF(A2721="","",VLOOKUP(A2721,CadProd!$A:$B,2,0)),"")</f>
        <v/>
      </c>
      <c r="C2721" t="str">
        <f>IFERROR(IF(A2721="","",VLOOKUP(A2721,CadProd!$A:$C,3,0)),"")</f>
        <v/>
      </c>
      <c r="I2721" s="1" t="str">
        <f>IFERROR(IF(A2721="","",E2721*#REF!),"")</f>
        <v/>
      </c>
    </row>
    <row r="2722" spans="2:9" x14ac:dyDescent="0.3">
      <c r="B2722" t="str">
        <f>IFERROR(IF(A2722="","",VLOOKUP(A2722,CadProd!$A:$B,2,0)),"")</f>
        <v/>
      </c>
      <c r="C2722" t="str">
        <f>IFERROR(IF(A2722="","",VLOOKUP(A2722,CadProd!$A:$C,3,0)),"")</f>
        <v/>
      </c>
      <c r="I2722" s="1" t="str">
        <f>IFERROR(IF(A2722="","",E2722*#REF!),"")</f>
        <v/>
      </c>
    </row>
    <row r="2723" spans="2:9" x14ac:dyDescent="0.3">
      <c r="B2723" t="str">
        <f>IFERROR(IF(A2723="","",VLOOKUP(A2723,CadProd!$A:$B,2,0)),"")</f>
        <v/>
      </c>
      <c r="C2723" t="str">
        <f>IFERROR(IF(A2723="","",VLOOKUP(A2723,CadProd!$A:$C,3,0)),"")</f>
        <v/>
      </c>
      <c r="I2723" s="1" t="str">
        <f>IFERROR(IF(A2723="","",E2723*#REF!),"")</f>
        <v/>
      </c>
    </row>
    <row r="2724" spans="2:9" x14ac:dyDescent="0.3">
      <c r="B2724" t="str">
        <f>IFERROR(IF(A2724="","",VLOOKUP(A2724,CadProd!$A:$B,2,0)),"")</f>
        <v/>
      </c>
      <c r="C2724" t="str">
        <f>IFERROR(IF(A2724="","",VLOOKUP(A2724,CadProd!$A:$C,3,0)),"")</f>
        <v/>
      </c>
      <c r="I2724" s="1" t="str">
        <f>IFERROR(IF(A2724="","",E2724*#REF!),"")</f>
        <v/>
      </c>
    </row>
    <row r="2725" spans="2:9" x14ac:dyDescent="0.3">
      <c r="B2725" t="str">
        <f>IFERROR(IF(A2725="","",VLOOKUP(A2725,CadProd!$A:$B,2,0)),"")</f>
        <v/>
      </c>
      <c r="C2725" t="str">
        <f>IFERROR(IF(A2725="","",VLOOKUP(A2725,CadProd!$A:$C,3,0)),"")</f>
        <v/>
      </c>
      <c r="I2725" s="1" t="str">
        <f>IFERROR(IF(A2725="","",E2725*#REF!),"")</f>
        <v/>
      </c>
    </row>
    <row r="2726" spans="2:9" x14ac:dyDescent="0.3">
      <c r="B2726" t="str">
        <f>IFERROR(IF(A2726="","",VLOOKUP(A2726,CadProd!$A:$B,2,0)),"")</f>
        <v/>
      </c>
      <c r="C2726" t="str">
        <f>IFERROR(IF(A2726="","",VLOOKUP(A2726,CadProd!$A:$C,3,0)),"")</f>
        <v/>
      </c>
      <c r="I2726" s="1" t="str">
        <f>IFERROR(IF(A2726="","",E2726*#REF!),"")</f>
        <v/>
      </c>
    </row>
    <row r="2727" spans="2:9" x14ac:dyDescent="0.3">
      <c r="B2727" t="str">
        <f>IFERROR(IF(A2727="","",VLOOKUP(A2727,CadProd!$A:$B,2,0)),"")</f>
        <v/>
      </c>
      <c r="C2727" t="str">
        <f>IFERROR(IF(A2727="","",VLOOKUP(A2727,CadProd!$A:$C,3,0)),"")</f>
        <v/>
      </c>
      <c r="I2727" s="1" t="str">
        <f>IFERROR(IF(A2727="","",E2727*#REF!),"")</f>
        <v/>
      </c>
    </row>
    <row r="2728" spans="2:9" x14ac:dyDescent="0.3">
      <c r="B2728" t="str">
        <f>IFERROR(IF(A2728="","",VLOOKUP(A2728,CadProd!$A:$B,2,0)),"")</f>
        <v/>
      </c>
      <c r="C2728" t="str">
        <f>IFERROR(IF(A2728="","",VLOOKUP(A2728,CadProd!$A:$C,3,0)),"")</f>
        <v/>
      </c>
      <c r="I2728" s="1" t="str">
        <f>IFERROR(IF(A2728="","",E2728*#REF!),"")</f>
        <v/>
      </c>
    </row>
    <row r="2729" spans="2:9" x14ac:dyDescent="0.3">
      <c r="B2729" t="str">
        <f>IFERROR(IF(A2729="","",VLOOKUP(A2729,CadProd!$A:$B,2,0)),"")</f>
        <v/>
      </c>
      <c r="C2729" t="str">
        <f>IFERROR(IF(A2729="","",VLOOKUP(A2729,CadProd!$A:$C,3,0)),"")</f>
        <v/>
      </c>
      <c r="I2729" s="1" t="str">
        <f>IFERROR(IF(A2729="","",E2729*#REF!),"")</f>
        <v/>
      </c>
    </row>
    <row r="2730" spans="2:9" x14ac:dyDescent="0.3">
      <c r="B2730" t="str">
        <f>IFERROR(IF(A2730="","",VLOOKUP(A2730,CadProd!$A:$B,2,0)),"")</f>
        <v/>
      </c>
      <c r="C2730" t="str">
        <f>IFERROR(IF(A2730="","",VLOOKUP(A2730,CadProd!$A:$C,3,0)),"")</f>
        <v/>
      </c>
      <c r="I2730" s="1" t="str">
        <f>IFERROR(IF(A2730="","",E2730*#REF!),"")</f>
        <v/>
      </c>
    </row>
    <row r="2731" spans="2:9" x14ac:dyDescent="0.3">
      <c r="B2731" t="str">
        <f>IFERROR(IF(A2731="","",VLOOKUP(A2731,CadProd!$A:$B,2,0)),"")</f>
        <v/>
      </c>
      <c r="C2731" t="str">
        <f>IFERROR(IF(A2731="","",VLOOKUP(A2731,CadProd!$A:$C,3,0)),"")</f>
        <v/>
      </c>
      <c r="I2731" s="1" t="str">
        <f>IFERROR(IF(A2731="","",E2731*#REF!),"")</f>
        <v/>
      </c>
    </row>
    <row r="2732" spans="2:9" x14ac:dyDescent="0.3">
      <c r="B2732" t="str">
        <f>IFERROR(IF(A2732="","",VLOOKUP(A2732,CadProd!$A:$B,2,0)),"")</f>
        <v/>
      </c>
      <c r="C2732" t="str">
        <f>IFERROR(IF(A2732="","",VLOOKUP(A2732,CadProd!$A:$C,3,0)),"")</f>
        <v/>
      </c>
      <c r="I2732" s="1" t="str">
        <f>IFERROR(IF(A2732="","",E2732*#REF!),"")</f>
        <v/>
      </c>
    </row>
    <row r="2733" spans="2:9" x14ac:dyDescent="0.3">
      <c r="B2733" t="str">
        <f>IFERROR(IF(A2733="","",VLOOKUP(A2733,CadProd!$A:$B,2,0)),"")</f>
        <v/>
      </c>
      <c r="C2733" t="str">
        <f>IFERROR(IF(A2733="","",VLOOKUP(A2733,CadProd!$A:$C,3,0)),"")</f>
        <v/>
      </c>
      <c r="I2733" s="1" t="str">
        <f>IFERROR(IF(A2733="","",E2733*#REF!),"")</f>
        <v/>
      </c>
    </row>
    <row r="2734" spans="2:9" x14ac:dyDescent="0.3">
      <c r="B2734" t="str">
        <f>IFERROR(IF(A2734="","",VLOOKUP(A2734,CadProd!$A:$B,2,0)),"")</f>
        <v/>
      </c>
      <c r="C2734" t="str">
        <f>IFERROR(IF(A2734="","",VLOOKUP(A2734,CadProd!$A:$C,3,0)),"")</f>
        <v/>
      </c>
      <c r="I2734" s="1" t="str">
        <f>IFERROR(IF(A2734="","",E2734*#REF!),"")</f>
        <v/>
      </c>
    </row>
    <row r="2735" spans="2:9" x14ac:dyDescent="0.3">
      <c r="B2735" t="str">
        <f>IFERROR(IF(A2735="","",VLOOKUP(A2735,CadProd!$A:$B,2,0)),"")</f>
        <v/>
      </c>
      <c r="C2735" t="str">
        <f>IFERROR(IF(A2735="","",VLOOKUP(A2735,CadProd!$A:$C,3,0)),"")</f>
        <v/>
      </c>
      <c r="I2735" s="1" t="str">
        <f>IFERROR(IF(A2735="","",E2735*#REF!),"")</f>
        <v/>
      </c>
    </row>
    <row r="2736" spans="2:9" x14ac:dyDescent="0.3">
      <c r="B2736" t="str">
        <f>IFERROR(IF(A2736="","",VLOOKUP(A2736,CadProd!$A:$B,2,0)),"")</f>
        <v/>
      </c>
      <c r="C2736" t="str">
        <f>IFERROR(IF(A2736="","",VLOOKUP(A2736,CadProd!$A:$C,3,0)),"")</f>
        <v/>
      </c>
      <c r="I2736" s="1" t="str">
        <f>IFERROR(IF(A2736="","",E2736*#REF!),"")</f>
        <v/>
      </c>
    </row>
    <row r="2737" spans="2:9" x14ac:dyDescent="0.3">
      <c r="B2737" t="str">
        <f>IFERROR(IF(A2737="","",VLOOKUP(A2737,CadProd!$A:$B,2,0)),"")</f>
        <v/>
      </c>
      <c r="C2737" t="str">
        <f>IFERROR(IF(A2737="","",VLOOKUP(A2737,CadProd!$A:$C,3,0)),"")</f>
        <v/>
      </c>
      <c r="I2737" s="1" t="str">
        <f>IFERROR(IF(A2737="","",E2737*#REF!),"")</f>
        <v/>
      </c>
    </row>
    <row r="2738" spans="2:9" x14ac:dyDescent="0.3">
      <c r="B2738" t="str">
        <f>IFERROR(IF(A2738="","",VLOOKUP(A2738,CadProd!$A:$B,2,0)),"")</f>
        <v/>
      </c>
      <c r="C2738" t="str">
        <f>IFERROR(IF(A2738="","",VLOOKUP(A2738,CadProd!$A:$C,3,0)),"")</f>
        <v/>
      </c>
      <c r="I2738" s="1" t="str">
        <f>IFERROR(IF(A2738="","",E2738*#REF!),"")</f>
        <v/>
      </c>
    </row>
    <row r="2739" spans="2:9" x14ac:dyDescent="0.3">
      <c r="B2739" t="str">
        <f>IFERROR(IF(A2739="","",VLOOKUP(A2739,CadProd!$A:$B,2,0)),"")</f>
        <v/>
      </c>
      <c r="C2739" t="str">
        <f>IFERROR(IF(A2739="","",VLOOKUP(A2739,CadProd!$A:$C,3,0)),"")</f>
        <v/>
      </c>
      <c r="I2739" s="1" t="str">
        <f>IFERROR(IF(A2739="","",E2739*#REF!),"")</f>
        <v/>
      </c>
    </row>
    <row r="2740" spans="2:9" x14ac:dyDescent="0.3">
      <c r="B2740" t="str">
        <f>IFERROR(IF(A2740="","",VLOOKUP(A2740,CadProd!$A:$B,2,0)),"")</f>
        <v/>
      </c>
      <c r="C2740" t="str">
        <f>IFERROR(IF(A2740="","",VLOOKUP(A2740,CadProd!$A:$C,3,0)),"")</f>
        <v/>
      </c>
      <c r="I2740" s="1" t="str">
        <f>IFERROR(IF(A2740="","",E2740*#REF!),"")</f>
        <v/>
      </c>
    </row>
    <row r="2741" spans="2:9" x14ac:dyDescent="0.3">
      <c r="B2741" t="str">
        <f>IFERROR(IF(A2741="","",VLOOKUP(A2741,CadProd!$A:$B,2,0)),"")</f>
        <v/>
      </c>
      <c r="C2741" t="str">
        <f>IFERROR(IF(A2741="","",VLOOKUP(A2741,CadProd!$A:$C,3,0)),"")</f>
        <v/>
      </c>
      <c r="I2741" s="1" t="str">
        <f>IFERROR(IF(A2741="","",E2741*#REF!),"")</f>
        <v/>
      </c>
    </row>
    <row r="2742" spans="2:9" x14ac:dyDescent="0.3">
      <c r="B2742" t="str">
        <f>IFERROR(IF(A2742="","",VLOOKUP(A2742,CadProd!$A:$B,2,0)),"")</f>
        <v/>
      </c>
      <c r="C2742" t="str">
        <f>IFERROR(IF(A2742="","",VLOOKUP(A2742,CadProd!$A:$C,3,0)),"")</f>
        <v/>
      </c>
      <c r="I2742" s="1" t="str">
        <f>IFERROR(IF(A2742="","",E2742*#REF!),"")</f>
        <v/>
      </c>
    </row>
    <row r="2743" spans="2:9" x14ac:dyDescent="0.3">
      <c r="B2743" t="str">
        <f>IFERROR(IF(A2743="","",VLOOKUP(A2743,CadProd!$A:$B,2,0)),"")</f>
        <v/>
      </c>
      <c r="C2743" t="str">
        <f>IFERROR(IF(A2743="","",VLOOKUP(A2743,CadProd!$A:$C,3,0)),"")</f>
        <v/>
      </c>
      <c r="I2743" s="1" t="str">
        <f>IFERROR(IF(A2743="","",E2743*#REF!),"")</f>
        <v/>
      </c>
    </row>
    <row r="2744" spans="2:9" x14ac:dyDescent="0.3">
      <c r="B2744" t="str">
        <f>IFERROR(IF(A2744="","",VLOOKUP(A2744,CadProd!$A:$B,2,0)),"")</f>
        <v/>
      </c>
      <c r="C2744" t="str">
        <f>IFERROR(IF(A2744="","",VLOOKUP(A2744,CadProd!$A:$C,3,0)),"")</f>
        <v/>
      </c>
      <c r="I2744" s="1" t="str">
        <f>IFERROR(IF(A2744="","",E2744*#REF!),"")</f>
        <v/>
      </c>
    </row>
    <row r="2745" spans="2:9" x14ac:dyDescent="0.3">
      <c r="B2745" t="str">
        <f>IFERROR(IF(A2745="","",VLOOKUP(A2745,CadProd!$A:$B,2,0)),"")</f>
        <v/>
      </c>
      <c r="C2745" t="str">
        <f>IFERROR(IF(A2745="","",VLOOKUP(A2745,CadProd!$A:$C,3,0)),"")</f>
        <v/>
      </c>
      <c r="I2745" s="1" t="str">
        <f>IFERROR(IF(A2745="","",E2745*#REF!),"")</f>
        <v/>
      </c>
    </row>
    <row r="2746" spans="2:9" x14ac:dyDescent="0.3">
      <c r="B2746" t="str">
        <f>IFERROR(IF(A2746="","",VLOOKUP(A2746,CadProd!$A:$B,2,0)),"")</f>
        <v/>
      </c>
      <c r="C2746" t="str">
        <f>IFERROR(IF(A2746="","",VLOOKUP(A2746,CadProd!$A:$C,3,0)),"")</f>
        <v/>
      </c>
      <c r="I2746" s="1" t="str">
        <f>IFERROR(IF(A2746="","",E2746*#REF!),"")</f>
        <v/>
      </c>
    </row>
    <row r="2747" spans="2:9" x14ac:dyDescent="0.3">
      <c r="B2747" t="str">
        <f>IFERROR(IF(A2747="","",VLOOKUP(A2747,CadProd!$A:$B,2,0)),"")</f>
        <v/>
      </c>
      <c r="C2747" t="str">
        <f>IFERROR(IF(A2747="","",VLOOKUP(A2747,CadProd!$A:$C,3,0)),"")</f>
        <v/>
      </c>
      <c r="I2747" s="1" t="str">
        <f>IFERROR(IF(A2747="","",E2747*#REF!),"")</f>
        <v/>
      </c>
    </row>
    <row r="2748" spans="2:9" x14ac:dyDescent="0.3">
      <c r="B2748" t="str">
        <f>IFERROR(IF(A2748="","",VLOOKUP(A2748,CadProd!$A:$B,2,0)),"")</f>
        <v/>
      </c>
      <c r="C2748" t="str">
        <f>IFERROR(IF(A2748="","",VLOOKUP(A2748,CadProd!$A:$C,3,0)),"")</f>
        <v/>
      </c>
      <c r="I2748" s="1" t="str">
        <f>IFERROR(IF(A2748="","",E2748*#REF!),"")</f>
        <v/>
      </c>
    </row>
    <row r="2749" spans="2:9" x14ac:dyDescent="0.3">
      <c r="B2749" t="str">
        <f>IFERROR(IF(A2749="","",VLOOKUP(A2749,CadProd!$A:$B,2,0)),"")</f>
        <v/>
      </c>
      <c r="C2749" t="str">
        <f>IFERROR(IF(A2749="","",VLOOKUP(A2749,CadProd!$A:$C,3,0)),"")</f>
        <v/>
      </c>
      <c r="I2749" s="1" t="str">
        <f>IFERROR(IF(A2749="","",E2749*#REF!),"")</f>
        <v/>
      </c>
    </row>
    <row r="2750" spans="2:9" x14ac:dyDescent="0.3">
      <c r="B2750" t="str">
        <f>IFERROR(IF(A2750="","",VLOOKUP(A2750,CadProd!$A:$B,2,0)),"")</f>
        <v/>
      </c>
      <c r="C2750" t="str">
        <f>IFERROR(IF(A2750="","",VLOOKUP(A2750,CadProd!$A:$C,3,0)),"")</f>
        <v/>
      </c>
      <c r="I2750" s="1" t="str">
        <f>IFERROR(IF(A2750="","",E2750*#REF!),"")</f>
        <v/>
      </c>
    </row>
    <row r="2751" spans="2:9" x14ac:dyDescent="0.3">
      <c r="B2751" t="str">
        <f>IFERROR(IF(A2751="","",VLOOKUP(A2751,CadProd!$A:$B,2,0)),"")</f>
        <v/>
      </c>
      <c r="C2751" t="str">
        <f>IFERROR(IF(A2751="","",VLOOKUP(A2751,CadProd!$A:$C,3,0)),"")</f>
        <v/>
      </c>
      <c r="I2751" s="1" t="str">
        <f>IFERROR(IF(A2751="","",E2751*#REF!),"")</f>
        <v/>
      </c>
    </row>
    <row r="2752" spans="2:9" x14ac:dyDescent="0.3">
      <c r="B2752" t="str">
        <f>IFERROR(IF(A2752="","",VLOOKUP(A2752,CadProd!$A:$B,2,0)),"")</f>
        <v/>
      </c>
      <c r="C2752" t="str">
        <f>IFERROR(IF(A2752="","",VLOOKUP(A2752,CadProd!$A:$C,3,0)),"")</f>
        <v/>
      </c>
      <c r="I2752" s="1" t="str">
        <f>IFERROR(IF(A2752="","",E2752*#REF!),"")</f>
        <v/>
      </c>
    </row>
    <row r="2753" spans="2:9" x14ac:dyDescent="0.3">
      <c r="B2753" t="str">
        <f>IFERROR(IF(A2753="","",VLOOKUP(A2753,CadProd!$A:$B,2,0)),"")</f>
        <v/>
      </c>
      <c r="C2753" t="str">
        <f>IFERROR(IF(A2753="","",VLOOKUP(A2753,CadProd!$A:$C,3,0)),"")</f>
        <v/>
      </c>
      <c r="I2753" s="1" t="str">
        <f>IFERROR(IF(A2753="","",E2753*#REF!),"")</f>
        <v/>
      </c>
    </row>
    <row r="2754" spans="2:9" x14ac:dyDescent="0.3">
      <c r="B2754" t="str">
        <f>IFERROR(IF(A2754="","",VLOOKUP(A2754,CadProd!$A:$B,2,0)),"")</f>
        <v/>
      </c>
      <c r="C2754" t="str">
        <f>IFERROR(IF(A2754="","",VLOOKUP(A2754,CadProd!$A:$C,3,0)),"")</f>
        <v/>
      </c>
      <c r="I2754" s="1" t="str">
        <f>IFERROR(IF(A2754="","",E2754*#REF!),"")</f>
        <v/>
      </c>
    </row>
    <row r="2755" spans="2:9" x14ac:dyDescent="0.3">
      <c r="B2755" t="str">
        <f>IFERROR(IF(A2755="","",VLOOKUP(A2755,CadProd!$A:$B,2,0)),"")</f>
        <v/>
      </c>
      <c r="C2755" t="str">
        <f>IFERROR(IF(A2755="","",VLOOKUP(A2755,CadProd!$A:$C,3,0)),"")</f>
        <v/>
      </c>
      <c r="I2755" s="1" t="str">
        <f>IFERROR(IF(A2755="","",E2755*#REF!),"")</f>
        <v/>
      </c>
    </row>
    <row r="2756" spans="2:9" x14ac:dyDescent="0.3">
      <c r="B2756" t="str">
        <f>IFERROR(IF(A2756="","",VLOOKUP(A2756,CadProd!$A:$B,2,0)),"")</f>
        <v/>
      </c>
      <c r="C2756" t="str">
        <f>IFERROR(IF(A2756="","",VLOOKUP(A2756,CadProd!$A:$C,3,0)),"")</f>
        <v/>
      </c>
      <c r="I2756" s="1" t="str">
        <f>IFERROR(IF(A2756="","",E2756*#REF!),"")</f>
        <v/>
      </c>
    </row>
    <row r="2757" spans="2:9" x14ac:dyDescent="0.3">
      <c r="B2757" t="str">
        <f>IFERROR(IF(A2757="","",VLOOKUP(A2757,CadProd!$A:$B,2,0)),"")</f>
        <v/>
      </c>
      <c r="C2757" t="str">
        <f>IFERROR(IF(A2757="","",VLOOKUP(A2757,CadProd!$A:$C,3,0)),"")</f>
        <v/>
      </c>
      <c r="I2757" s="1" t="str">
        <f>IFERROR(IF(A2757="","",E2757*#REF!),"")</f>
        <v/>
      </c>
    </row>
    <row r="2758" spans="2:9" x14ac:dyDescent="0.3">
      <c r="B2758" t="str">
        <f>IFERROR(IF(A2758="","",VLOOKUP(A2758,CadProd!$A:$B,2,0)),"")</f>
        <v/>
      </c>
      <c r="C2758" t="str">
        <f>IFERROR(IF(A2758="","",VLOOKUP(A2758,CadProd!$A:$C,3,0)),"")</f>
        <v/>
      </c>
      <c r="I2758" s="1" t="str">
        <f>IFERROR(IF(A2758="","",E2758*#REF!),"")</f>
        <v/>
      </c>
    </row>
    <row r="2759" spans="2:9" x14ac:dyDescent="0.3">
      <c r="B2759" t="str">
        <f>IFERROR(IF(A2759="","",VLOOKUP(A2759,CadProd!$A:$B,2,0)),"")</f>
        <v/>
      </c>
      <c r="C2759" t="str">
        <f>IFERROR(IF(A2759="","",VLOOKUP(A2759,CadProd!$A:$C,3,0)),"")</f>
        <v/>
      </c>
      <c r="I2759" s="1" t="str">
        <f>IFERROR(IF(A2759="","",E2759*#REF!),"")</f>
        <v/>
      </c>
    </row>
    <row r="2760" spans="2:9" x14ac:dyDescent="0.3">
      <c r="B2760" t="str">
        <f>IFERROR(IF(A2760="","",VLOOKUP(A2760,CadProd!$A:$B,2,0)),"")</f>
        <v/>
      </c>
      <c r="C2760" t="str">
        <f>IFERROR(IF(A2760="","",VLOOKUP(A2760,CadProd!$A:$C,3,0)),"")</f>
        <v/>
      </c>
      <c r="I2760" s="1" t="str">
        <f>IFERROR(IF(A2760="","",E2760*#REF!),"")</f>
        <v/>
      </c>
    </row>
    <row r="2761" spans="2:9" x14ac:dyDescent="0.3">
      <c r="B2761" t="str">
        <f>IFERROR(IF(A2761="","",VLOOKUP(A2761,CadProd!$A:$B,2,0)),"")</f>
        <v/>
      </c>
      <c r="C2761" t="str">
        <f>IFERROR(IF(A2761="","",VLOOKUP(A2761,CadProd!$A:$C,3,0)),"")</f>
        <v/>
      </c>
      <c r="I2761" s="1" t="str">
        <f>IFERROR(IF(A2761="","",E2761*#REF!),"")</f>
        <v/>
      </c>
    </row>
    <row r="2762" spans="2:9" x14ac:dyDescent="0.3">
      <c r="B2762" t="str">
        <f>IFERROR(IF(A2762="","",VLOOKUP(A2762,CadProd!$A:$B,2,0)),"")</f>
        <v/>
      </c>
      <c r="C2762" t="str">
        <f>IFERROR(IF(A2762="","",VLOOKUP(A2762,CadProd!$A:$C,3,0)),"")</f>
        <v/>
      </c>
      <c r="I2762" s="1" t="str">
        <f>IFERROR(IF(A2762="","",E2762*#REF!),"")</f>
        <v/>
      </c>
    </row>
    <row r="2763" spans="2:9" x14ac:dyDescent="0.3">
      <c r="B2763" t="str">
        <f>IFERROR(IF(A2763="","",VLOOKUP(A2763,CadProd!$A:$B,2,0)),"")</f>
        <v/>
      </c>
      <c r="C2763" t="str">
        <f>IFERROR(IF(A2763="","",VLOOKUP(A2763,CadProd!$A:$C,3,0)),"")</f>
        <v/>
      </c>
      <c r="I2763" s="1" t="str">
        <f>IFERROR(IF(A2763="","",E2763*#REF!),"")</f>
        <v/>
      </c>
    </row>
    <row r="2764" spans="2:9" x14ac:dyDescent="0.3">
      <c r="B2764" t="str">
        <f>IFERROR(IF(A2764="","",VLOOKUP(A2764,CadProd!$A:$B,2,0)),"")</f>
        <v/>
      </c>
      <c r="C2764" t="str">
        <f>IFERROR(IF(A2764="","",VLOOKUP(A2764,CadProd!$A:$C,3,0)),"")</f>
        <v/>
      </c>
      <c r="I2764" s="1" t="str">
        <f>IFERROR(IF(A2764="","",E2764*#REF!),"")</f>
        <v/>
      </c>
    </row>
    <row r="2765" spans="2:9" x14ac:dyDescent="0.3">
      <c r="B2765" t="str">
        <f>IFERROR(IF(A2765="","",VLOOKUP(A2765,CadProd!$A:$B,2,0)),"")</f>
        <v/>
      </c>
      <c r="C2765" t="str">
        <f>IFERROR(IF(A2765="","",VLOOKUP(A2765,CadProd!$A:$C,3,0)),"")</f>
        <v/>
      </c>
      <c r="I2765" s="1" t="str">
        <f>IFERROR(IF(A2765="","",E2765*#REF!),"")</f>
        <v/>
      </c>
    </row>
    <row r="2766" spans="2:9" x14ac:dyDescent="0.3">
      <c r="B2766" t="str">
        <f>IFERROR(IF(A2766="","",VLOOKUP(A2766,CadProd!$A:$B,2,0)),"")</f>
        <v/>
      </c>
      <c r="C2766" t="str">
        <f>IFERROR(IF(A2766="","",VLOOKUP(A2766,CadProd!$A:$C,3,0)),"")</f>
        <v/>
      </c>
      <c r="I2766" s="1" t="str">
        <f>IFERROR(IF(A2766="","",E2766*#REF!),"")</f>
        <v/>
      </c>
    </row>
    <row r="2767" spans="2:9" x14ac:dyDescent="0.3">
      <c r="B2767" t="str">
        <f>IFERROR(IF(A2767="","",VLOOKUP(A2767,CadProd!$A:$B,2,0)),"")</f>
        <v/>
      </c>
      <c r="C2767" t="str">
        <f>IFERROR(IF(A2767="","",VLOOKUP(A2767,CadProd!$A:$C,3,0)),"")</f>
        <v/>
      </c>
      <c r="I2767" s="1" t="str">
        <f>IFERROR(IF(A2767="","",E2767*#REF!),"")</f>
        <v/>
      </c>
    </row>
    <row r="2768" spans="2:9" x14ac:dyDescent="0.3">
      <c r="B2768" t="str">
        <f>IFERROR(IF(A2768="","",VLOOKUP(A2768,CadProd!$A:$B,2,0)),"")</f>
        <v/>
      </c>
      <c r="C2768" t="str">
        <f>IFERROR(IF(A2768="","",VLOOKUP(A2768,CadProd!$A:$C,3,0)),"")</f>
        <v/>
      </c>
      <c r="I2768" s="1" t="str">
        <f>IFERROR(IF(A2768="","",E2768*#REF!),"")</f>
        <v/>
      </c>
    </row>
    <row r="2769" spans="2:9" x14ac:dyDescent="0.3">
      <c r="B2769" t="str">
        <f>IFERROR(IF(A2769="","",VLOOKUP(A2769,CadProd!$A:$B,2,0)),"")</f>
        <v/>
      </c>
      <c r="C2769" t="str">
        <f>IFERROR(IF(A2769="","",VLOOKUP(A2769,CadProd!$A:$C,3,0)),"")</f>
        <v/>
      </c>
      <c r="I2769" s="1" t="str">
        <f>IFERROR(IF(A2769="","",E2769*#REF!),"")</f>
        <v/>
      </c>
    </row>
    <row r="2770" spans="2:9" x14ac:dyDescent="0.3">
      <c r="B2770" t="str">
        <f>IFERROR(IF(A2770="","",VLOOKUP(A2770,CadProd!$A:$B,2,0)),"")</f>
        <v/>
      </c>
      <c r="C2770" t="str">
        <f>IFERROR(IF(A2770="","",VLOOKUP(A2770,CadProd!$A:$C,3,0)),"")</f>
        <v/>
      </c>
      <c r="I2770" s="1" t="str">
        <f>IFERROR(IF(A2770="","",E2770*#REF!),"")</f>
        <v/>
      </c>
    </row>
    <row r="2771" spans="2:9" x14ac:dyDescent="0.3">
      <c r="B2771" t="str">
        <f>IFERROR(IF(A2771="","",VLOOKUP(A2771,CadProd!$A:$B,2,0)),"")</f>
        <v/>
      </c>
      <c r="C2771" t="str">
        <f>IFERROR(IF(A2771="","",VLOOKUP(A2771,CadProd!$A:$C,3,0)),"")</f>
        <v/>
      </c>
      <c r="I2771" s="1" t="str">
        <f>IFERROR(IF(A2771="","",E2771*#REF!),"")</f>
        <v/>
      </c>
    </row>
    <row r="2772" spans="2:9" x14ac:dyDescent="0.3">
      <c r="B2772" t="str">
        <f>IFERROR(IF(A2772="","",VLOOKUP(A2772,CadProd!$A:$B,2,0)),"")</f>
        <v/>
      </c>
      <c r="C2772" t="str">
        <f>IFERROR(IF(A2772="","",VLOOKUP(A2772,CadProd!$A:$C,3,0)),"")</f>
        <v/>
      </c>
      <c r="I2772" s="1" t="str">
        <f>IFERROR(IF(A2772="","",E2772*#REF!),"")</f>
        <v/>
      </c>
    </row>
    <row r="2773" spans="2:9" x14ac:dyDescent="0.3">
      <c r="B2773" t="str">
        <f>IFERROR(IF(A2773="","",VLOOKUP(A2773,CadProd!$A:$B,2,0)),"")</f>
        <v/>
      </c>
      <c r="C2773" t="str">
        <f>IFERROR(IF(A2773="","",VLOOKUP(A2773,CadProd!$A:$C,3,0)),"")</f>
        <v/>
      </c>
      <c r="I2773" s="1" t="str">
        <f>IFERROR(IF(A2773="","",E2773*#REF!),"")</f>
        <v/>
      </c>
    </row>
    <row r="2774" spans="2:9" x14ac:dyDescent="0.3">
      <c r="B2774" t="str">
        <f>IFERROR(IF(A2774="","",VLOOKUP(A2774,CadProd!$A:$B,2,0)),"")</f>
        <v/>
      </c>
      <c r="C2774" t="str">
        <f>IFERROR(IF(A2774="","",VLOOKUP(A2774,CadProd!$A:$C,3,0)),"")</f>
        <v/>
      </c>
      <c r="I2774" s="1" t="str">
        <f>IFERROR(IF(A2774="","",E2774*#REF!),"")</f>
        <v/>
      </c>
    </row>
    <row r="2775" spans="2:9" x14ac:dyDescent="0.3">
      <c r="B2775" t="str">
        <f>IFERROR(IF(A2775="","",VLOOKUP(A2775,CadProd!$A:$B,2,0)),"")</f>
        <v/>
      </c>
      <c r="C2775" t="str">
        <f>IFERROR(IF(A2775="","",VLOOKUP(A2775,CadProd!$A:$C,3,0)),"")</f>
        <v/>
      </c>
      <c r="I2775" s="1" t="str">
        <f>IFERROR(IF(A2775="","",E2775*#REF!),"")</f>
        <v/>
      </c>
    </row>
    <row r="2776" spans="2:9" x14ac:dyDescent="0.3">
      <c r="B2776" t="str">
        <f>IFERROR(IF(A2776="","",VLOOKUP(A2776,CadProd!$A:$B,2,0)),"")</f>
        <v/>
      </c>
      <c r="C2776" t="str">
        <f>IFERROR(IF(A2776="","",VLOOKUP(A2776,CadProd!$A:$C,3,0)),"")</f>
        <v/>
      </c>
      <c r="I2776" s="1" t="str">
        <f>IFERROR(IF(A2776="","",E2776*#REF!),"")</f>
        <v/>
      </c>
    </row>
    <row r="2777" spans="2:9" x14ac:dyDescent="0.3">
      <c r="B2777" t="str">
        <f>IFERROR(IF(A2777="","",VLOOKUP(A2777,CadProd!$A:$B,2,0)),"")</f>
        <v/>
      </c>
      <c r="C2777" t="str">
        <f>IFERROR(IF(A2777="","",VLOOKUP(A2777,CadProd!$A:$C,3,0)),"")</f>
        <v/>
      </c>
      <c r="I2777" s="1" t="str">
        <f>IFERROR(IF(A2777="","",E2777*#REF!),"")</f>
        <v/>
      </c>
    </row>
    <row r="2778" spans="2:9" x14ac:dyDescent="0.3">
      <c r="B2778" t="str">
        <f>IFERROR(IF(A2778="","",VLOOKUP(A2778,CadProd!$A:$B,2,0)),"")</f>
        <v/>
      </c>
      <c r="C2778" t="str">
        <f>IFERROR(IF(A2778="","",VLOOKUP(A2778,CadProd!$A:$C,3,0)),"")</f>
        <v/>
      </c>
      <c r="I2778" s="1" t="str">
        <f>IFERROR(IF(A2778="","",E2778*#REF!),"")</f>
        <v/>
      </c>
    </row>
    <row r="2779" spans="2:9" x14ac:dyDescent="0.3">
      <c r="B2779" t="str">
        <f>IFERROR(IF(A2779="","",VLOOKUP(A2779,CadProd!$A:$B,2,0)),"")</f>
        <v/>
      </c>
      <c r="C2779" t="str">
        <f>IFERROR(IF(A2779="","",VLOOKUP(A2779,CadProd!$A:$C,3,0)),"")</f>
        <v/>
      </c>
      <c r="I2779" s="1" t="str">
        <f>IFERROR(IF(A2779="","",E2779*#REF!),"")</f>
        <v/>
      </c>
    </row>
    <row r="2780" spans="2:9" x14ac:dyDescent="0.3">
      <c r="B2780" t="str">
        <f>IFERROR(IF(A2780="","",VLOOKUP(A2780,CadProd!$A:$B,2,0)),"")</f>
        <v/>
      </c>
      <c r="C2780" t="str">
        <f>IFERROR(IF(A2780="","",VLOOKUP(A2780,CadProd!$A:$C,3,0)),"")</f>
        <v/>
      </c>
      <c r="I2780" s="1" t="str">
        <f>IFERROR(IF(A2780="","",E2780*#REF!),"")</f>
        <v/>
      </c>
    </row>
    <row r="2781" spans="2:9" x14ac:dyDescent="0.3">
      <c r="B2781" t="str">
        <f>IFERROR(IF(A2781="","",VLOOKUP(A2781,CadProd!$A:$B,2,0)),"")</f>
        <v/>
      </c>
      <c r="C2781" t="str">
        <f>IFERROR(IF(A2781="","",VLOOKUP(A2781,CadProd!$A:$C,3,0)),"")</f>
        <v/>
      </c>
      <c r="I2781" s="1" t="str">
        <f>IFERROR(IF(A2781="","",E2781*#REF!),"")</f>
        <v/>
      </c>
    </row>
    <row r="2782" spans="2:9" x14ac:dyDescent="0.3">
      <c r="B2782" t="str">
        <f>IFERROR(IF(A2782="","",VLOOKUP(A2782,CadProd!$A:$B,2,0)),"")</f>
        <v/>
      </c>
      <c r="C2782" t="str">
        <f>IFERROR(IF(A2782="","",VLOOKUP(A2782,CadProd!$A:$C,3,0)),"")</f>
        <v/>
      </c>
      <c r="I2782" s="1" t="str">
        <f>IFERROR(IF(A2782="","",E2782*#REF!),"")</f>
        <v/>
      </c>
    </row>
    <row r="2783" spans="2:9" x14ac:dyDescent="0.3">
      <c r="B2783" t="str">
        <f>IFERROR(IF(A2783="","",VLOOKUP(A2783,CadProd!$A:$B,2,0)),"")</f>
        <v/>
      </c>
      <c r="C2783" t="str">
        <f>IFERROR(IF(A2783="","",VLOOKUP(A2783,CadProd!$A:$C,3,0)),"")</f>
        <v/>
      </c>
      <c r="I2783" s="1" t="str">
        <f>IFERROR(IF(A2783="","",E2783*#REF!),"")</f>
        <v/>
      </c>
    </row>
    <row r="2784" spans="2:9" x14ac:dyDescent="0.3">
      <c r="B2784" t="str">
        <f>IFERROR(IF(A2784="","",VLOOKUP(A2784,CadProd!$A:$B,2,0)),"")</f>
        <v/>
      </c>
      <c r="C2784" t="str">
        <f>IFERROR(IF(A2784="","",VLOOKUP(A2784,CadProd!$A:$C,3,0)),"")</f>
        <v/>
      </c>
      <c r="I2784" s="1" t="str">
        <f>IFERROR(IF(A2784="","",E2784*#REF!),"")</f>
        <v/>
      </c>
    </row>
    <row r="2785" spans="2:9" x14ac:dyDescent="0.3">
      <c r="B2785" t="str">
        <f>IFERROR(IF(A2785="","",VLOOKUP(A2785,CadProd!$A:$B,2,0)),"")</f>
        <v/>
      </c>
      <c r="C2785" t="str">
        <f>IFERROR(IF(A2785="","",VLOOKUP(A2785,CadProd!$A:$C,3,0)),"")</f>
        <v/>
      </c>
      <c r="I2785" s="1" t="str">
        <f>IFERROR(IF(A2785="","",E2785*#REF!),"")</f>
        <v/>
      </c>
    </row>
    <row r="2786" spans="2:9" x14ac:dyDescent="0.3">
      <c r="B2786" t="str">
        <f>IFERROR(IF(A2786="","",VLOOKUP(A2786,CadProd!$A:$B,2,0)),"")</f>
        <v/>
      </c>
      <c r="C2786" t="str">
        <f>IFERROR(IF(A2786="","",VLOOKUP(A2786,CadProd!$A:$C,3,0)),"")</f>
        <v/>
      </c>
      <c r="I2786" s="1" t="str">
        <f>IFERROR(IF(A2786="","",E2786*#REF!),"")</f>
        <v/>
      </c>
    </row>
    <row r="2787" spans="2:9" x14ac:dyDescent="0.3">
      <c r="B2787" t="str">
        <f>IFERROR(IF(A2787="","",VLOOKUP(A2787,CadProd!$A:$B,2,0)),"")</f>
        <v/>
      </c>
      <c r="C2787" t="str">
        <f>IFERROR(IF(A2787="","",VLOOKUP(A2787,CadProd!$A:$C,3,0)),"")</f>
        <v/>
      </c>
      <c r="I2787" s="1" t="str">
        <f>IFERROR(IF(A2787="","",E2787*#REF!),"")</f>
        <v/>
      </c>
    </row>
    <row r="2788" spans="2:9" x14ac:dyDescent="0.3">
      <c r="B2788" t="str">
        <f>IFERROR(IF(A2788="","",VLOOKUP(A2788,CadProd!$A:$B,2,0)),"")</f>
        <v/>
      </c>
      <c r="C2788" t="str">
        <f>IFERROR(IF(A2788="","",VLOOKUP(A2788,CadProd!$A:$C,3,0)),"")</f>
        <v/>
      </c>
      <c r="I2788" s="1" t="str">
        <f>IFERROR(IF(A2788="","",E2788*#REF!),"")</f>
        <v/>
      </c>
    </row>
    <row r="2789" spans="2:9" x14ac:dyDescent="0.3">
      <c r="B2789" t="str">
        <f>IFERROR(IF(A2789="","",VLOOKUP(A2789,CadProd!$A:$B,2,0)),"")</f>
        <v/>
      </c>
      <c r="C2789" t="str">
        <f>IFERROR(IF(A2789="","",VLOOKUP(A2789,CadProd!$A:$C,3,0)),"")</f>
        <v/>
      </c>
      <c r="I2789" s="1" t="str">
        <f>IFERROR(IF(A2789="","",E2789*#REF!),"")</f>
        <v/>
      </c>
    </row>
    <row r="2790" spans="2:9" x14ac:dyDescent="0.3">
      <c r="B2790" t="str">
        <f>IFERROR(IF(A2790="","",VLOOKUP(A2790,CadProd!$A:$B,2,0)),"")</f>
        <v/>
      </c>
      <c r="C2790" t="str">
        <f>IFERROR(IF(A2790="","",VLOOKUP(A2790,CadProd!$A:$C,3,0)),"")</f>
        <v/>
      </c>
      <c r="I2790" s="1" t="str">
        <f>IFERROR(IF(A2790="","",E2790*#REF!),"")</f>
        <v/>
      </c>
    </row>
    <row r="2791" spans="2:9" x14ac:dyDescent="0.3">
      <c r="B2791" t="str">
        <f>IFERROR(IF(A2791="","",VLOOKUP(A2791,CadProd!$A:$B,2,0)),"")</f>
        <v/>
      </c>
      <c r="C2791" t="str">
        <f>IFERROR(IF(A2791="","",VLOOKUP(A2791,CadProd!$A:$C,3,0)),"")</f>
        <v/>
      </c>
      <c r="I2791" s="1" t="str">
        <f>IFERROR(IF(A2791="","",E2791*#REF!),"")</f>
        <v/>
      </c>
    </row>
    <row r="2792" spans="2:9" x14ac:dyDescent="0.3">
      <c r="B2792" t="str">
        <f>IFERROR(IF(A2792="","",VLOOKUP(A2792,CadProd!$A:$B,2,0)),"")</f>
        <v/>
      </c>
      <c r="C2792" t="str">
        <f>IFERROR(IF(A2792="","",VLOOKUP(A2792,CadProd!$A:$C,3,0)),"")</f>
        <v/>
      </c>
      <c r="I2792" s="1" t="str">
        <f>IFERROR(IF(A2792="","",E2792*#REF!),"")</f>
        <v/>
      </c>
    </row>
    <row r="2793" spans="2:9" x14ac:dyDescent="0.3">
      <c r="B2793" t="str">
        <f>IFERROR(IF(A2793="","",VLOOKUP(A2793,CadProd!$A:$B,2,0)),"")</f>
        <v/>
      </c>
      <c r="C2793" t="str">
        <f>IFERROR(IF(A2793="","",VLOOKUP(A2793,CadProd!$A:$C,3,0)),"")</f>
        <v/>
      </c>
      <c r="I2793" s="1" t="str">
        <f>IFERROR(IF(A2793="","",E2793*#REF!),"")</f>
        <v/>
      </c>
    </row>
    <row r="2794" spans="2:9" x14ac:dyDescent="0.3">
      <c r="B2794" t="str">
        <f>IFERROR(IF(A2794="","",VLOOKUP(A2794,CadProd!$A:$B,2,0)),"")</f>
        <v/>
      </c>
      <c r="C2794" t="str">
        <f>IFERROR(IF(A2794="","",VLOOKUP(A2794,CadProd!$A:$C,3,0)),"")</f>
        <v/>
      </c>
      <c r="I2794" s="1" t="str">
        <f>IFERROR(IF(A2794="","",E2794*#REF!),"")</f>
        <v/>
      </c>
    </row>
    <row r="2795" spans="2:9" x14ac:dyDescent="0.3">
      <c r="B2795" t="str">
        <f>IFERROR(IF(A2795="","",VLOOKUP(A2795,CadProd!$A:$B,2,0)),"")</f>
        <v/>
      </c>
      <c r="C2795" t="str">
        <f>IFERROR(IF(A2795="","",VLOOKUP(A2795,CadProd!$A:$C,3,0)),"")</f>
        <v/>
      </c>
      <c r="I2795" s="1" t="str">
        <f>IFERROR(IF(A2795="","",E2795*#REF!),"")</f>
        <v/>
      </c>
    </row>
    <row r="2796" spans="2:9" x14ac:dyDescent="0.3">
      <c r="B2796" t="str">
        <f>IFERROR(IF(A2796="","",VLOOKUP(A2796,CadProd!$A:$B,2,0)),"")</f>
        <v/>
      </c>
      <c r="C2796" t="str">
        <f>IFERROR(IF(A2796="","",VLOOKUP(A2796,CadProd!$A:$C,3,0)),"")</f>
        <v/>
      </c>
      <c r="I2796" s="1" t="str">
        <f>IFERROR(IF(A2796="","",E2796*#REF!),"")</f>
        <v/>
      </c>
    </row>
    <row r="2797" spans="2:9" x14ac:dyDescent="0.3">
      <c r="B2797" t="str">
        <f>IFERROR(IF(A2797="","",VLOOKUP(A2797,CadProd!$A:$B,2,0)),"")</f>
        <v/>
      </c>
      <c r="C2797" t="str">
        <f>IFERROR(IF(A2797="","",VLOOKUP(A2797,CadProd!$A:$C,3,0)),"")</f>
        <v/>
      </c>
      <c r="I2797" s="1" t="str">
        <f>IFERROR(IF(A2797="","",E2797*#REF!),"")</f>
        <v/>
      </c>
    </row>
    <row r="2798" spans="2:9" x14ac:dyDescent="0.3">
      <c r="B2798" t="str">
        <f>IFERROR(IF(A2798="","",VLOOKUP(A2798,CadProd!$A:$B,2,0)),"")</f>
        <v/>
      </c>
      <c r="C2798" t="str">
        <f>IFERROR(IF(A2798="","",VLOOKUP(A2798,CadProd!$A:$C,3,0)),"")</f>
        <v/>
      </c>
      <c r="I2798" s="1" t="str">
        <f>IFERROR(IF(A2798="","",E2798*#REF!),"")</f>
        <v/>
      </c>
    </row>
    <row r="2799" spans="2:9" x14ac:dyDescent="0.3">
      <c r="B2799" t="str">
        <f>IFERROR(IF(A2799="","",VLOOKUP(A2799,CadProd!$A:$B,2,0)),"")</f>
        <v/>
      </c>
      <c r="C2799" t="str">
        <f>IFERROR(IF(A2799="","",VLOOKUP(A2799,CadProd!$A:$C,3,0)),"")</f>
        <v/>
      </c>
      <c r="I2799" s="1" t="str">
        <f>IFERROR(IF(A2799="","",E2799*#REF!),"")</f>
        <v/>
      </c>
    </row>
    <row r="2800" spans="2:9" x14ac:dyDescent="0.3">
      <c r="B2800" t="str">
        <f>IFERROR(IF(A2800="","",VLOOKUP(A2800,CadProd!$A:$B,2,0)),"")</f>
        <v/>
      </c>
      <c r="C2800" t="str">
        <f>IFERROR(IF(A2800="","",VLOOKUP(A2800,CadProd!$A:$C,3,0)),"")</f>
        <v/>
      </c>
      <c r="I2800" s="1" t="str">
        <f>IFERROR(IF(A2800="","",E2800*#REF!),"")</f>
        <v/>
      </c>
    </row>
    <row r="2801" spans="2:9" x14ac:dyDescent="0.3">
      <c r="B2801" t="str">
        <f>IFERROR(IF(A2801="","",VLOOKUP(A2801,CadProd!$A:$B,2,0)),"")</f>
        <v/>
      </c>
      <c r="C2801" t="str">
        <f>IFERROR(IF(A2801="","",VLOOKUP(A2801,CadProd!$A:$C,3,0)),"")</f>
        <v/>
      </c>
      <c r="I2801" s="1" t="str">
        <f>IFERROR(IF(A2801="","",E2801*#REF!),"")</f>
        <v/>
      </c>
    </row>
    <row r="2802" spans="2:9" x14ac:dyDescent="0.3">
      <c r="B2802" t="str">
        <f>IFERROR(IF(A2802="","",VLOOKUP(A2802,CadProd!$A:$B,2,0)),"")</f>
        <v/>
      </c>
      <c r="C2802" t="str">
        <f>IFERROR(IF(A2802="","",VLOOKUP(A2802,CadProd!$A:$C,3,0)),"")</f>
        <v/>
      </c>
      <c r="I2802" s="1" t="str">
        <f>IFERROR(IF(A2802="","",E2802*#REF!),"")</f>
        <v/>
      </c>
    </row>
    <row r="2803" spans="2:9" x14ac:dyDescent="0.3">
      <c r="B2803" t="str">
        <f>IFERROR(IF(A2803="","",VLOOKUP(A2803,CadProd!$A:$B,2,0)),"")</f>
        <v/>
      </c>
      <c r="C2803" t="str">
        <f>IFERROR(IF(A2803="","",VLOOKUP(A2803,CadProd!$A:$C,3,0)),"")</f>
        <v/>
      </c>
      <c r="I2803" s="1" t="str">
        <f>IFERROR(IF(A2803="","",E2803*#REF!),"")</f>
        <v/>
      </c>
    </row>
    <row r="2804" spans="2:9" x14ac:dyDescent="0.3">
      <c r="B2804" t="str">
        <f>IFERROR(IF(A2804="","",VLOOKUP(A2804,CadProd!$A:$B,2,0)),"")</f>
        <v/>
      </c>
      <c r="C2804" t="str">
        <f>IFERROR(IF(A2804="","",VLOOKUP(A2804,CadProd!$A:$C,3,0)),"")</f>
        <v/>
      </c>
      <c r="I2804" s="1" t="str">
        <f>IFERROR(IF(A2804="","",E2804*#REF!),"")</f>
        <v/>
      </c>
    </row>
    <row r="2805" spans="2:9" x14ac:dyDescent="0.3">
      <c r="B2805" t="str">
        <f>IFERROR(IF(A2805="","",VLOOKUP(A2805,CadProd!$A:$B,2,0)),"")</f>
        <v/>
      </c>
      <c r="C2805" t="str">
        <f>IFERROR(IF(A2805="","",VLOOKUP(A2805,CadProd!$A:$C,3,0)),"")</f>
        <v/>
      </c>
      <c r="I2805" s="1" t="str">
        <f>IFERROR(IF(A2805="","",E2805*#REF!),"")</f>
        <v/>
      </c>
    </row>
    <row r="2806" spans="2:9" x14ac:dyDescent="0.3">
      <c r="B2806" t="str">
        <f>IFERROR(IF(A2806="","",VLOOKUP(A2806,CadProd!$A:$B,2,0)),"")</f>
        <v/>
      </c>
      <c r="C2806" t="str">
        <f>IFERROR(IF(A2806="","",VLOOKUP(A2806,CadProd!$A:$C,3,0)),"")</f>
        <v/>
      </c>
      <c r="I2806" s="1" t="str">
        <f>IFERROR(IF(A2806="","",E2806*#REF!),"")</f>
        <v/>
      </c>
    </row>
    <row r="2807" spans="2:9" x14ac:dyDescent="0.3">
      <c r="B2807" t="str">
        <f>IFERROR(IF(A2807="","",VLOOKUP(A2807,CadProd!$A:$B,2,0)),"")</f>
        <v/>
      </c>
      <c r="C2807" t="str">
        <f>IFERROR(IF(A2807="","",VLOOKUP(A2807,CadProd!$A:$C,3,0)),"")</f>
        <v/>
      </c>
      <c r="I2807" s="1" t="str">
        <f>IFERROR(IF(A2807="","",E2807*#REF!),"")</f>
        <v/>
      </c>
    </row>
    <row r="2808" spans="2:9" x14ac:dyDescent="0.3">
      <c r="B2808" t="str">
        <f>IFERROR(IF(A2808="","",VLOOKUP(A2808,CadProd!$A:$B,2,0)),"")</f>
        <v/>
      </c>
      <c r="C2808" t="str">
        <f>IFERROR(IF(A2808="","",VLOOKUP(A2808,CadProd!$A:$C,3,0)),"")</f>
        <v/>
      </c>
      <c r="I2808" s="1" t="str">
        <f>IFERROR(IF(A2808="","",E2808*#REF!),"")</f>
        <v/>
      </c>
    </row>
    <row r="2809" spans="2:9" x14ac:dyDescent="0.3">
      <c r="B2809" t="str">
        <f>IFERROR(IF(A2809="","",VLOOKUP(A2809,CadProd!$A:$B,2,0)),"")</f>
        <v/>
      </c>
      <c r="C2809" t="str">
        <f>IFERROR(IF(A2809="","",VLOOKUP(A2809,CadProd!$A:$C,3,0)),"")</f>
        <v/>
      </c>
      <c r="I2809" s="1" t="str">
        <f>IFERROR(IF(A2809="","",E2809*#REF!),"")</f>
        <v/>
      </c>
    </row>
    <row r="2810" spans="2:9" x14ac:dyDescent="0.3">
      <c r="B2810" t="str">
        <f>IFERROR(IF(A2810="","",VLOOKUP(A2810,CadProd!$A:$B,2,0)),"")</f>
        <v/>
      </c>
      <c r="C2810" t="str">
        <f>IFERROR(IF(A2810="","",VLOOKUP(A2810,CadProd!$A:$C,3,0)),"")</f>
        <v/>
      </c>
      <c r="I2810" s="1" t="str">
        <f>IFERROR(IF(A2810="","",E2810*#REF!),"")</f>
        <v/>
      </c>
    </row>
    <row r="2811" spans="2:9" x14ac:dyDescent="0.3">
      <c r="B2811" t="str">
        <f>IFERROR(IF(A2811="","",VLOOKUP(A2811,CadProd!$A:$B,2,0)),"")</f>
        <v/>
      </c>
      <c r="C2811" t="str">
        <f>IFERROR(IF(A2811="","",VLOOKUP(A2811,CadProd!$A:$C,3,0)),"")</f>
        <v/>
      </c>
      <c r="I2811" s="1" t="str">
        <f>IFERROR(IF(A2811="","",E2811*#REF!),"")</f>
        <v/>
      </c>
    </row>
    <row r="2812" spans="2:9" x14ac:dyDescent="0.3">
      <c r="B2812" t="str">
        <f>IFERROR(IF(A2812="","",VLOOKUP(A2812,CadProd!$A:$B,2,0)),"")</f>
        <v/>
      </c>
      <c r="C2812" t="str">
        <f>IFERROR(IF(A2812="","",VLOOKUP(A2812,CadProd!$A:$C,3,0)),"")</f>
        <v/>
      </c>
      <c r="I2812" s="1" t="str">
        <f>IFERROR(IF(A2812="","",E2812*#REF!),"")</f>
        <v/>
      </c>
    </row>
    <row r="2813" spans="2:9" x14ac:dyDescent="0.3">
      <c r="B2813" t="str">
        <f>IFERROR(IF(A2813="","",VLOOKUP(A2813,CadProd!$A:$B,2,0)),"")</f>
        <v/>
      </c>
      <c r="C2813" t="str">
        <f>IFERROR(IF(A2813="","",VLOOKUP(A2813,CadProd!$A:$C,3,0)),"")</f>
        <v/>
      </c>
      <c r="I2813" s="1" t="str">
        <f>IFERROR(IF(A2813="","",E2813*#REF!),"")</f>
        <v/>
      </c>
    </row>
    <row r="2814" spans="2:9" x14ac:dyDescent="0.3">
      <c r="B2814" t="str">
        <f>IFERROR(IF(A2814="","",VLOOKUP(A2814,CadProd!$A:$B,2,0)),"")</f>
        <v/>
      </c>
      <c r="C2814" t="str">
        <f>IFERROR(IF(A2814="","",VLOOKUP(A2814,CadProd!$A:$C,3,0)),"")</f>
        <v/>
      </c>
      <c r="I2814" s="1" t="str">
        <f>IFERROR(IF(A2814="","",E2814*#REF!),"")</f>
        <v/>
      </c>
    </row>
    <row r="2815" spans="2:9" x14ac:dyDescent="0.3">
      <c r="B2815" t="str">
        <f>IFERROR(IF(A2815="","",VLOOKUP(A2815,CadProd!$A:$B,2,0)),"")</f>
        <v/>
      </c>
      <c r="C2815" t="str">
        <f>IFERROR(IF(A2815="","",VLOOKUP(A2815,CadProd!$A:$C,3,0)),"")</f>
        <v/>
      </c>
      <c r="I2815" s="1" t="str">
        <f>IFERROR(IF(A2815="","",E2815*#REF!),"")</f>
        <v/>
      </c>
    </row>
    <row r="2816" spans="2:9" x14ac:dyDescent="0.3">
      <c r="B2816" t="str">
        <f>IFERROR(IF(A2816="","",VLOOKUP(A2816,CadProd!$A:$B,2,0)),"")</f>
        <v/>
      </c>
      <c r="C2816" t="str">
        <f>IFERROR(IF(A2816="","",VLOOKUP(A2816,CadProd!$A:$C,3,0)),"")</f>
        <v/>
      </c>
      <c r="I2816" s="1" t="str">
        <f>IFERROR(IF(A2816="","",E2816*#REF!),"")</f>
        <v/>
      </c>
    </row>
    <row r="2817" spans="2:9" x14ac:dyDescent="0.3">
      <c r="B2817" t="str">
        <f>IFERROR(IF(A2817="","",VLOOKUP(A2817,CadProd!$A:$B,2,0)),"")</f>
        <v/>
      </c>
      <c r="C2817" t="str">
        <f>IFERROR(IF(A2817="","",VLOOKUP(A2817,CadProd!$A:$C,3,0)),"")</f>
        <v/>
      </c>
      <c r="I2817" s="1" t="str">
        <f>IFERROR(IF(A2817="","",E2817*#REF!),"")</f>
        <v/>
      </c>
    </row>
    <row r="2818" spans="2:9" x14ac:dyDescent="0.3">
      <c r="B2818" t="str">
        <f>IFERROR(IF(A2818="","",VLOOKUP(A2818,CadProd!$A:$B,2,0)),"")</f>
        <v/>
      </c>
      <c r="C2818" t="str">
        <f>IFERROR(IF(A2818="","",VLOOKUP(A2818,CadProd!$A:$C,3,0)),"")</f>
        <v/>
      </c>
      <c r="I2818" s="1" t="str">
        <f>IFERROR(IF(A2818="","",E2818*#REF!),"")</f>
        <v/>
      </c>
    </row>
    <row r="2819" spans="2:9" x14ac:dyDescent="0.3">
      <c r="B2819" t="str">
        <f>IFERROR(IF(A2819="","",VLOOKUP(A2819,CadProd!$A:$B,2,0)),"")</f>
        <v/>
      </c>
      <c r="C2819" t="str">
        <f>IFERROR(IF(A2819="","",VLOOKUP(A2819,CadProd!$A:$C,3,0)),"")</f>
        <v/>
      </c>
      <c r="I2819" s="1" t="str">
        <f>IFERROR(IF(A2819="","",E2819*#REF!),"")</f>
        <v/>
      </c>
    </row>
    <row r="2820" spans="2:9" x14ac:dyDescent="0.3">
      <c r="B2820" t="str">
        <f>IFERROR(IF(A2820="","",VLOOKUP(A2820,CadProd!$A:$B,2,0)),"")</f>
        <v/>
      </c>
      <c r="C2820" t="str">
        <f>IFERROR(IF(A2820="","",VLOOKUP(A2820,CadProd!$A:$C,3,0)),"")</f>
        <v/>
      </c>
      <c r="I2820" s="1" t="str">
        <f>IFERROR(IF(A2820="","",E2820*#REF!),"")</f>
        <v/>
      </c>
    </row>
    <row r="2821" spans="2:9" x14ac:dyDescent="0.3">
      <c r="B2821" t="str">
        <f>IFERROR(IF(A2821="","",VLOOKUP(A2821,CadProd!$A:$B,2,0)),"")</f>
        <v/>
      </c>
      <c r="C2821" t="str">
        <f>IFERROR(IF(A2821="","",VLOOKUP(A2821,CadProd!$A:$C,3,0)),"")</f>
        <v/>
      </c>
      <c r="I2821" s="1" t="str">
        <f>IFERROR(IF(A2821="","",E2821*#REF!),"")</f>
        <v/>
      </c>
    </row>
    <row r="2822" spans="2:9" x14ac:dyDescent="0.3">
      <c r="B2822" t="str">
        <f>IFERROR(IF(A2822="","",VLOOKUP(A2822,CadProd!$A:$B,2,0)),"")</f>
        <v/>
      </c>
      <c r="C2822" t="str">
        <f>IFERROR(IF(A2822="","",VLOOKUP(A2822,CadProd!$A:$C,3,0)),"")</f>
        <v/>
      </c>
      <c r="I2822" s="1" t="str">
        <f>IFERROR(IF(A2822="","",E2822*#REF!),"")</f>
        <v/>
      </c>
    </row>
    <row r="2823" spans="2:9" x14ac:dyDescent="0.3">
      <c r="B2823" t="str">
        <f>IFERROR(IF(A2823="","",VLOOKUP(A2823,CadProd!$A:$B,2,0)),"")</f>
        <v/>
      </c>
      <c r="C2823" t="str">
        <f>IFERROR(IF(A2823="","",VLOOKUP(A2823,CadProd!$A:$C,3,0)),"")</f>
        <v/>
      </c>
      <c r="I2823" s="1" t="str">
        <f>IFERROR(IF(A2823="","",E2823*#REF!),"")</f>
        <v/>
      </c>
    </row>
    <row r="2824" spans="2:9" x14ac:dyDescent="0.3">
      <c r="B2824" t="str">
        <f>IFERROR(IF(A2824="","",VLOOKUP(A2824,CadProd!$A:$B,2,0)),"")</f>
        <v/>
      </c>
      <c r="C2824" t="str">
        <f>IFERROR(IF(A2824="","",VLOOKUP(A2824,CadProd!$A:$C,3,0)),"")</f>
        <v/>
      </c>
      <c r="I2824" s="1" t="str">
        <f>IFERROR(IF(A2824="","",E2824*#REF!),"")</f>
        <v/>
      </c>
    </row>
    <row r="2825" spans="2:9" x14ac:dyDescent="0.3">
      <c r="B2825" t="str">
        <f>IFERROR(IF(A2825="","",VLOOKUP(A2825,CadProd!$A:$B,2,0)),"")</f>
        <v/>
      </c>
      <c r="C2825" t="str">
        <f>IFERROR(IF(A2825="","",VLOOKUP(A2825,CadProd!$A:$C,3,0)),"")</f>
        <v/>
      </c>
      <c r="I2825" s="1" t="str">
        <f>IFERROR(IF(A2825="","",E2825*#REF!),"")</f>
        <v/>
      </c>
    </row>
    <row r="2826" spans="2:9" x14ac:dyDescent="0.3">
      <c r="B2826" t="str">
        <f>IFERROR(IF(A2826="","",VLOOKUP(A2826,CadProd!$A:$B,2,0)),"")</f>
        <v/>
      </c>
      <c r="C2826" t="str">
        <f>IFERROR(IF(A2826="","",VLOOKUP(A2826,CadProd!$A:$C,3,0)),"")</f>
        <v/>
      </c>
      <c r="I2826" s="1" t="str">
        <f>IFERROR(IF(A2826="","",E2826*#REF!),"")</f>
        <v/>
      </c>
    </row>
    <row r="2827" spans="2:9" x14ac:dyDescent="0.3">
      <c r="B2827" t="str">
        <f>IFERROR(IF(A2827="","",VLOOKUP(A2827,CadProd!$A:$B,2,0)),"")</f>
        <v/>
      </c>
      <c r="C2827" t="str">
        <f>IFERROR(IF(A2827="","",VLOOKUP(A2827,CadProd!$A:$C,3,0)),"")</f>
        <v/>
      </c>
      <c r="I2827" s="1" t="str">
        <f>IFERROR(IF(A2827="","",E2827*#REF!),"")</f>
        <v/>
      </c>
    </row>
    <row r="2828" spans="2:9" x14ac:dyDescent="0.3">
      <c r="B2828" t="str">
        <f>IFERROR(IF(A2828="","",VLOOKUP(A2828,CadProd!$A:$B,2,0)),"")</f>
        <v/>
      </c>
      <c r="C2828" t="str">
        <f>IFERROR(IF(A2828="","",VLOOKUP(A2828,CadProd!$A:$C,3,0)),"")</f>
        <v/>
      </c>
      <c r="I2828" s="1" t="str">
        <f>IFERROR(IF(A2828="","",E2828*#REF!),"")</f>
        <v/>
      </c>
    </row>
    <row r="2829" spans="2:9" x14ac:dyDescent="0.3">
      <c r="B2829" t="str">
        <f>IFERROR(IF(A2829="","",VLOOKUP(A2829,CadProd!$A:$B,2,0)),"")</f>
        <v/>
      </c>
      <c r="C2829" t="str">
        <f>IFERROR(IF(A2829="","",VLOOKUP(A2829,CadProd!$A:$C,3,0)),"")</f>
        <v/>
      </c>
      <c r="I2829" s="1" t="str">
        <f>IFERROR(IF(A2829="","",E2829*#REF!),"")</f>
        <v/>
      </c>
    </row>
    <row r="2830" spans="2:9" x14ac:dyDescent="0.3">
      <c r="B2830" t="str">
        <f>IFERROR(IF(A2830="","",VLOOKUP(A2830,CadProd!$A:$B,2,0)),"")</f>
        <v/>
      </c>
      <c r="C2830" t="str">
        <f>IFERROR(IF(A2830="","",VLOOKUP(A2830,CadProd!$A:$C,3,0)),"")</f>
        <v/>
      </c>
      <c r="I2830" s="1" t="str">
        <f>IFERROR(IF(A2830="","",E2830*#REF!),"")</f>
        <v/>
      </c>
    </row>
    <row r="2831" spans="2:9" x14ac:dyDescent="0.3">
      <c r="B2831" t="str">
        <f>IFERROR(IF(A2831="","",VLOOKUP(A2831,CadProd!$A:$B,2,0)),"")</f>
        <v/>
      </c>
      <c r="C2831" t="str">
        <f>IFERROR(IF(A2831="","",VLOOKUP(A2831,CadProd!$A:$C,3,0)),"")</f>
        <v/>
      </c>
      <c r="I2831" s="1" t="str">
        <f>IFERROR(IF(A2831="","",E2831*#REF!),"")</f>
        <v/>
      </c>
    </row>
    <row r="2832" spans="2:9" x14ac:dyDescent="0.3">
      <c r="B2832" t="str">
        <f>IFERROR(IF(A2832="","",VLOOKUP(A2832,CadProd!$A:$B,2,0)),"")</f>
        <v/>
      </c>
      <c r="C2832" t="str">
        <f>IFERROR(IF(A2832="","",VLOOKUP(A2832,CadProd!$A:$C,3,0)),"")</f>
        <v/>
      </c>
      <c r="I2832" s="1" t="str">
        <f>IFERROR(IF(A2832="","",E2832*#REF!),"")</f>
        <v/>
      </c>
    </row>
    <row r="2833" spans="2:9" x14ac:dyDescent="0.3">
      <c r="B2833" t="str">
        <f>IFERROR(IF(A2833="","",VLOOKUP(A2833,CadProd!$A:$B,2,0)),"")</f>
        <v/>
      </c>
      <c r="C2833" t="str">
        <f>IFERROR(IF(A2833="","",VLOOKUP(A2833,CadProd!$A:$C,3,0)),"")</f>
        <v/>
      </c>
      <c r="I2833" s="1" t="str">
        <f>IFERROR(IF(A2833="","",E2833*#REF!),"")</f>
        <v/>
      </c>
    </row>
    <row r="2834" spans="2:9" x14ac:dyDescent="0.3">
      <c r="B2834" t="str">
        <f>IFERROR(IF(A2834="","",VLOOKUP(A2834,CadProd!$A:$B,2,0)),"")</f>
        <v/>
      </c>
      <c r="C2834" t="str">
        <f>IFERROR(IF(A2834="","",VLOOKUP(A2834,CadProd!$A:$C,3,0)),"")</f>
        <v/>
      </c>
      <c r="I2834" s="1" t="str">
        <f>IFERROR(IF(A2834="","",E2834*#REF!),"")</f>
        <v/>
      </c>
    </row>
    <row r="2835" spans="2:9" x14ac:dyDescent="0.3">
      <c r="B2835" t="str">
        <f>IFERROR(IF(A2835="","",VLOOKUP(A2835,CadProd!$A:$B,2,0)),"")</f>
        <v/>
      </c>
      <c r="C2835" t="str">
        <f>IFERROR(IF(A2835="","",VLOOKUP(A2835,CadProd!$A:$C,3,0)),"")</f>
        <v/>
      </c>
      <c r="I2835" s="1" t="str">
        <f>IFERROR(IF(A2835="","",E2835*#REF!),"")</f>
        <v/>
      </c>
    </row>
    <row r="2836" spans="2:9" x14ac:dyDescent="0.3">
      <c r="B2836" t="str">
        <f>IFERROR(IF(A2836="","",VLOOKUP(A2836,CadProd!$A:$B,2,0)),"")</f>
        <v/>
      </c>
      <c r="C2836" t="str">
        <f>IFERROR(IF(A2836="","",VLOOKUP(A2836,CadProd!$A:$C,3,0)),"")</f>
        <v/>
      </c>
      <c r="I2836" s="1" t="str">
        <f>IFERROR(IF(A2836="","",E2836*#REF!),"")</f>
        <v/>
      </c>
    </row>
    <row r="2837" spans="2:9" x14ac:dyDescent="0.3">
      <c r="B2837" t="str">
        <f>IFERROR(IF(A2837="","",VLOOKUP(A2837,CadProd!$A:$B,2,0)),"")</f>
        <v/>
      </c>
      <c r="C2837" t="str">
        <f>IFERROR(IF(A2837="","",VLOOKUP(A2837,CadProd!$A:$C,3,0)),"")</f>
        <v/>
      </c>
      <c r="I2837" s="1" t="str">
        <f>IFERROR(IF(A2837="","",E2837*#REF!),"")</f>
        <v/>
      </c>
    </row>
    <row r="2838" spans="2:9" x14ac:dyDescent="0.3">
      <c r="B2838" t="str">
        <f>IFERROR(IF(A2838="","",VLOOKUP(A2838,CadProd!$A:$B,2,0)),"")</f>
        <v/>
      </c>
      <c r="C2838" t="str">
        <f>IFERROR(IF(A2838="","",VLOOKUP(A2838,CadProd!$A:$C,3,0)),"")</f>
        <v/>
      </c>
      <c r="I2838" s="1" t="str">
        <f>IFERROR(IF(A2838="","",E2838*#REF!),"")</f>
        <v/>
      </c>
    </row>
    <row r="2839" spans="2:9" x14ac:dyDescent="0.3">
      <c r="B2839" t="str">
        <f>IFERROR(IF(A2839="","",VLOOKUP(A2839,CadProd!$A:$B,2,0)),"")</f>
        <v/>
      </c>
      <c r="C2839" t="str">
        <f>IFERROR(IF(A2839="","",VLOOKUP(A2839,CadProd!$A:$C,3,0)),"")</f>
        <v/>
      </c>
      <c r="I2839" s="1" t="str">
        <f>IFERROR(IF(A2839="","",E2839*#REF!),"")</f>
        <v/>
      </c>
    </row>
    <row r="2840" spans="2:9" x14ac:dyDescent="0.3">
      <c r="B2840" t="str">
        <f>IFERROR(IF(A2840="","",VLOOKUP(A2840,CadProd!$A:$B,2,0)),"")</f>
        <v/>
      </c>
      <c r="C2840" t="str">
        <f>IFERROR(IF(A2840="","",VLOOKUP(A2840,CadProd!$A:$C,3,0)),"")</f>
        <v/>
      </c>
      <c r="I2840" s="1" t="str">
        <f>IFERROR(IF(A2840="","",E2840*#REF!),"")</f>
        <v/>
      </c>
    </row>
    <row r="2841" spans="2:9" x14ac:dyDescent="0.3">
      <c r="B2841" t="str">
        <f>IFERROR(IF(A2841="","",VLOOKUP(A2841,CadProd!$A:$B,2,0)),"")</f>
        <v/>
      </c>
      <c r="C2841" t="str">
        <f>IFERROR(IF(A2841="","",VLOOKUP(A2841,CadProd!$A:$C,3,0)),"")</f>
        <v/>
      </c>
      <c r="I2841" s="1" t="str">
        <f>IFERROR(IF(A2841="","",E2841*#REF!),"")</f>
        <v/>
      </c>
    </row>
    <row r="2842" spans="2:9" x14ac:dyDescent="0.3">
      <c r="B2842" t="str">
        <f>IFERROR(IF(A2842="","",VLOOKUP(A2842,CadProd!$A:$B,2,0)),"")</f>
        <v/>
      </c>
      <c r="C2842" t="str">
        <f>IFERROR(IF(A2842="","",VLOOKUP(A2842,CadProd!$A:$C,3,0)),"")</f>
        <v/>
      </c>
      <c r="I2842" s="1" t="str">
        <f>IFERROR(IF(A2842="","",E2842*#REF!),"")</f>
        <v/>
      </c>
    </row>
    <row r="2843" spans="2:9" x14ac:dyDescent="0.3">
      <c r="B2843" t="str">
        <f>IFERROR(IF(A2843="","",VLOOKUP(A2843,CadProd!$A:$B,2,0)),"")</f>
        <v/>
      </c>
      <c r="C2843" t="str">
        <f>IFERROR(IF(A2843="","",VLOOKUP(A2843,CadProd!$A:$C,3,0)),"")</f>
        <v/>
      </c>
      <c r="I2843" s="1" t="str">
        <f>IFERROR(IF(A2843="","",E2843*#REF!),"")</f>
        <v/>
      </c>
    </row>
    <row r="2844" spans="2:9" x14ac:dyDescent="0.3">
      <c r="B2844" t="str">
        <f>IFERROR(IF(A2844="","",VLOOKUP(A2844,CadProd!$A:$B,2,0)),"")</f>
        <v/>
      </c>
      <c r="C2844" t="str">
        <f>IFERROR(IF(A2844="","",VLOOKUP(A2844,CadProd!$A:$C,3,0)),"")</f>
        <v/>
      </c>
      <c r="I2844" s="1" t="str">
        <f>IFERROR(IF(A2844="","",E2844*#REF!),"")</f>
        <v/>
      </c>
    </row>
    <row r="2845" spans="2:9" x14ac:dyDescent="0.3">
      <c r="B2845" t="str">
        <f>IFERROR(IF(A2845="","",VLOOKUP(A2845,CadProd!$A:$B,2,0)),"")</f>
        <v/>
      </c>
      <c r="C2845" t="str">
        <f>IFERROR(IF(A2845="","",VLOOKUP(A2845,CadProd!$A:$C,3,0)),"")</f>
        <v/>
      </c>
      <c r="I2845" s="1" t="str">
        <f>IFERROR(IF(A2845="","",E2845*#REF!),"")</f>
        <v/>
      </c>
    </row>
    <row r="2846" spans="2:9" x14ac:dyDescent="0.3">
      <c r="B2846" t="str">
        <f>IFERROR(IF(A2846="","",VLOOKUP(A2846,CadProd!$A:$B,2,0)),"")</f>
        <v/>
      </c>
      <c r="C2846" t="str">
        <f>IFERROR(IF(A2846="","",VLOOKUP(A2846,CadProd!$A:$C,3,0)),"")</f>
        <v/>
      </c>
      <c r="I2846" s="1" t="str">
        <f>IFERROR(IF(A2846="","",E2846*#REF!),"")</f>
        <v/>
      </c>
    </row>
    <row r="2847" spans="2:9" x14ac:dyDescent="0.3">
      <c r="B2847" t="str">
        <f>IFERROR(IF(A2847="","",VLOOKUP(A2847,CadProd!$A:$B,2,0)),"")</f>
        <v/>
      </c>
      <c r="C2847" t="str">
        <f>IFERROR(IF(A2847="","",VLOOKUP(A2847,CadProd!$A:$C,3,0)),"")</f>
        <v/>
      </c>
      <c r="I2847" s="1" t="str">
        <f>IFERROR(IF(A2847="","",E2847*#REF!),"")</f>
        <v/>
      </c>
    </row>
    <row r="2848" spans="2:9" x14ac:dyDescent="0.3">
      <c r="B2848" t="str">
        <f>IFERROR(IF(A2848="","",VLOOKUP(A2848,CadProd!$A:$B,2,0)),"")</f>
        <v/>
      </c>
      <c r="C2848" t="str">
        <f>IFERROR(IF(A2848="","",VLOOKUP(A2848,CadProd!$A:$C,3,0)),"")</f>
        <v/>
      </c>
      <c r="I2848" s="1" t="str">
        <f>IFERROR(IF(A2848="","",E2848*#REF!),"")</f>
        <v/>
      </c>
    </row>
    <row r="2849" spans="2:9" x14ac:dyDescent="0.3">
      <c r="B2849" t="str">
        <f>IFERROR(IF(A2849="","",VLOOKUP(A2849,CadProd!$A:$B,2,0)),"")</f>
        <v/>
      </c>
      <c r="C2849" t="str">
        <f>IFERROR(IF(A2849="","",VLOOKUP(A2849,CadProd!$A:$C,3,0)),"")</f>
        <v/>
      </c>
      <c r="I2849" s="1" t="str">
        <f>IFERROR(IF(A2849="","",E2849*#REF!),"")</f>
        <v/>
      </c>
    </row>
    <row r="2850" spans="2:9" x14ac:dyDescent="0.3">
      <c r="B2850" t="str">
        <f>IFERROR(IF(A2850="","",VLOOKUP(A2850,CadProd!$A:$B,2,0)),"")</f>
        <v/>
      </c>
      <c r="C2850" t="str">
        <f>IFERROR(IF(A2850="","",VLOOKUP(A2850,CadProd!$A:$C,3,0)),"")</f>
        <v/>
      </c>
      <c r="I2850" s="1" t="str">
        <f>IFERROR(IF(A2850="","",E2850*#REF!),"")</f>
        <v/>
      </c>
    </row>
    <row r="2851" spans="2:9" x14ac:dyDescent="0.3">
      <c r="B2851" t="str">
        <f>IFERROR(IF(A2851="","",VLOOKUP(A2851,CadProd!$A:$B,2,0)),"")</f>
        <v/>
      </c>
      <c r="C2851" t="str">
        <f>IFERROR(IF(A2851="","",VLOOKUP(A2851,CadProd!$A:$C,3,0)),"")</f>
        <v/>
      </c>
      <c r="I2851" s="1" t="str">
        <f>IFERROR(IF(A2851="","",E2851*#REF!),"")</f>
        <v/>
      </c>
    </row>
    <row r="2852" spans="2:9" x14ac:dyDescent="0.3">
      <c r="B2852" t="str">
        <f>IFERROR(IF(A2852="","",VLOOKUP(A2852,CadProd!$A:$B,2,0)),"")</f>
        <v/>
      </c>
      <c r="C2852" t="str">
        <f>IFERROR(IF(A2852="","",VLOOKUP(A2852,CadProd!$A:$C,3,0)),"")</f>
        <v/>
      </c>
      <c r="I2852" s="1" t="str">
        <f>IFERROR(IF(A2852="","",E2852*#REF!),"")</f>
        <v/>
      </c>
    </row>
    <row r="2853" spans="2:9" x14ac:dyDescent="0.3">
      <c r="B2853" t="str">
        <f>IFERROR(IF(A2853="","",VLOOKUP(A2853,CadProd!$A:$B,2,0)),"")</f>
        <v/>
      </c>
      <c r="C2853" t="str">
        <f>IFERROR(IF(A2853="","",VLOOKUP(A2853,CadProd!$A:$C,3,0)),"")</f>
        <v/>
      </c>
      <c r="I2853" s="1" t="str">
        <f>IFERROR(IF(A2853="","",E2853*#REF!),"")</f>
        <v/>
      </c>
    </row>
    <row r="2854" spans="2:9" x14ac:dyDescent="0.3">
      <c r="B2854" t="str">
        <f>IFERROR(IF(A2854="","",VLOOKUP(A2854,CadProd!$A:$B,2,0)),"")</f>
        <v/>
      </c>
      <c r="C2854" t="str">
        <f>IFERROR(IF(A2854="","",VLOOKUP(A2854,CadProd!$A:$C,3,0)),"")</f>
        <v/>
      </c>
      <c r="I2854" s="1" t="str">
        <f>IFERROR(IF(A2854="","",E2854*#REF!),"")</f>
        <v/>
      </c>
    </row>
    <row r="2855" spans="2:9" x14ac:dyDescent="0.3">
      <c r="B2855" t="str">
        <f>IFERROR(IF(A2855="","",VLOOKUP(A2855,CadProd!$A:$B,2,0)),"")</f>
        <v/>
      </c>
      <c r="C2855" t="str">
        <f>IFERROR(IF(A2855="","",VLOOKUP(A2855,CadProd!$A:$C,3,0)),"")</f>
        <v/>
      </c>
      <c r="I2855" s="1" t="str">
        <f>IFERROR(IF(A2855="","",E2855*#REF!),"")</f>
        <v/>
      </c>
    </row>
    <row r="2856" spans="2:9" x14ac:dyDescent="0.3">
      <c r="B2856" t="str">
        <f>IFERROR(IF(A2856="","",VLOOKUP(A2856,CadProd!$A:$B,2,0)),"")</f>
        <v/>
      </c>
      <c r="C2856" t="str">
        <f>IFERROR(IF(A2856="","",VLOOKUP(A2856,CadProd!$A:$C,3,0)),"")</f>
        <v/>
      </c>
      <c r="I2856" s="1" t="str">
        <f>IFERROR(IF(A2856="","",E2856*#REF!),"")</f>
        <v/>
      </c>
    </row>
    <row r="2857" spans="2:9" x14ac:dyDescent="0.3">
      <c r="B2857" t="str">
        <f>IFERROR(IF(A2857="","",VLOOKUP(A2857,CadProd!$A:$B,2,0)),"")</f>
        <v/>
      </c>
      <c r="C2857" t="str">
        <f>IFERROR(IF(A2857="","",VLOOKUP(A2857,CadProd!$A:$C,3,0)),"")</f>
        <v/>
      </c>
      <c r="I2857" s="1" t="str">
        <f>IFERROR(IF(A2857="","",E2857*#REF!),"")</f>
        <v/>
      </c>
    </row>
    <row r="2858" spans="2:9" x14ac:dyDescent="0.3">
      <c r="B2858" t="str">
        <f>IFERROR(IF(A2858="","",VLOOKUP(A2858,CadProd!$A:$B,2,0)),"")</f>
        <v/>
      </c>
      <c r="C2858" t="str">
        <f>IFERROR(IF(A2858="","",VLOOKUP(A2858,CadProd!$A:$C,3,0)),"")</f>
        <v/>
      </c>
      <c r="I2858" s="1" t="str">
        <f>IFERROR(IF(A2858="","",E2858*#REF!),"")</f>
        <v/>
      </c>
    </row>
    <row r="2859" spans="2:9" x14ac:dyDescent="0.3">
      <c r="B2859" t="str">
        <f>IFERROR(IF(A2859="","",VLOOKUP(A2859,CadProd!$A:$B,2,0)),"")</f>
        <v/>
      </c>
      <c r="C2859" t="str">
        <f>IFERROR(IF(A2859="","",VLOOKUP(A2859,CadProd!$A:$C,3,0)),"")</f>
        <v/>
      </c>
      <c r="I2859" s="1" t="str">
        <f>IFERROR(IF(A2859="","",E2859*#REF!),"")</f>
        <v/>
      </c>
    </row>
    <row r="2860" spans="2:9" x14ac:dyDescent="0.3">
      <c r="B2860" t="str">
        <f>IFERROR(IF(A2860="","",VLOOKUP(A2860,CadProd!$A:$B,2,0)),"")</f>
        <v/>
      </c>
      <c r="C2860" t="str">
        <f>IFERROR(IF(A2860="","",VLOOKUP(A2860,CadProd!$A:$C,3,0)),"")</f>
        <v/>
      </c>
      <c r="I2860" s="1" t="str">
        <f>IFERROR(IF(A2860="","",E2860*#REF!),"")</f>
        <v/>
      </c>
    </row>
    <row r="2861" spans="2:9" x14ac:dyDescent="0.3">
      <c r="B2861" t="str">
        <f>IFERROR(IF(A2861="","",VLOOKUP(A2861,CadProd!$A:$B,2,0)),"")</f>
        <v/>
      </c>
      <c r="C2861" t="str">
        <f>IFERROR(IF(A2861="","",VLOOKUP(A2861,CadProd!$A:$C,3,0)),"")</f>
        <v/>
      </c>
      <c r="I2861" s="1" t="str">
        <f>IFERROR(IF(A2861="","",E2861*#REF!),"")</f>
        <v/>
      </c>
    </row>
    <row r="2862" spans="2:9" x14ac:dyDescent="0.3">
      <c r="B2862" t="str">
        <f>IFERROR(IF(A2862="","",VLOOKUP(A2862,CadProd!$A:$B,2,0)),"")</f>
        <v/>
      </c>
      <c r="C2862" t="str">
        <f>IFERROR(IF(A2862="","",VLOOKUP(A2862,CadProd!$A:$C,3,0)),"")</f>
        <v/>
      </c>
      <c r="I2862" s="1" t="str">
        <f>IFERROR(IF(A2862="","",E2862*#REF!),"")</f>
        <v/>
      </c>
    </row>
    <row r="2863" spans="2:9" x14ac:dyDescent="0.3">
      <c r="B2863" t="str">
        <f>IFERROR(IF(A2863="","",VLOOKUP(A2863,CadProd!$A:$B,2,0)),"")</f>
        <v/>
      </c>
      <c r="C2863" t="str">
        <f>IFERROR(IF(A2863="","",VLOOKUP(A2863,CadProd!$A:$C,3,0)),"")</f>
        <v/>
      </c>
      <c r="I2863" s="1" t="str">
        <f>IFERROR(IF(A2863="","",E2863*#REF!),"")</f>
        <v/>
      </c>
    </row>
    <row r="2864" spans="2:9" x14ac:dyDescent="0.3">
      <c r="B2864" t="str">
        <f>IFERROR(IF(A2864="","",VLOOKUP(A2864,CadProd!$A:$B,2,0)),"")</f>
        <v/>
      </c>
      <c r="C2864" t="str">
        <f>IFERROR(IF(A2864="","",VLOOKUP(A2864,CadProd!$A:$C,3,0)),"")</f>
        <v/>
      </c>
      <c r="I2864" s="1" t="str">
        <f>IFERROR(IF(A2864="","",E2864*#REF!),"")</f>
        <v/>
      </c>
    </row>
    <row r="2865" spans="2:9" x14ac:dyDescent="0.3">
      <c r="B2865" t="str">
        <f>IFERROR(IF(A2865="","",VLOOKUP(A2865,CadProd!$A:$B,2,0)),"")</f>
        <v/>
      </c>
      <c r="C2865" t="str">
        <f>IFERROR(IF(A2865="","",VLOOKUP(A2865,CadProd!$A:$C,3,0)),"")</f>
        <v/>
      </c>
      <c r="I2865" s="1" t="str">
        <f>IFERROR(IF(A2865="","",E2865*#REF!),"")</f>
        <v/>
      </c>
    </row>
    <row r="2866" spans="2:9" x14ac:dyDescent="0.3">
      <c r="B2866" t="str">
        <f>IFERROR(IF(A2866="","",VLOOKUP(A2866,CadProd!$A:$B,2,0)),"")</f>
        <v/>
      </c>
      <c r="C2866" t="str">
        <f>IFERROR(IF(A2866="","",VLOOKUP(A2866,CadProd!$A:$C,3,0)),"")</f>
        <v/>
      </c>
      <c r="I2866" s="1" t="str">
        <f>IFERROR(IF(A2866="","",E2866*#REF!),"")</f>
        <v/>
      </c>
    </row>
    <row r="2867" spans="2:9" x14ac:dyDescent="0.3">
      <c r="B2867" t="str">
        <f>IFERROR(IF(A2867="","",VLOOKUP(A2867,CadProd!$A:$B,2,0)),"")</f>
        <v/>
      </c>
      <c r="C2867" t="str">
        <f>IFERROR(IF(A2867="","",VLOOKUP(A2867,CadProd!$A:$C,3,0)),"")</f>
        <v/>
      </c>
      <c r="I2867" s="1" t="str">
        <f>IFERROR(IF(A2867="","",E2867*#REF!),"")</f>
        <v/>
      </c>
    </row>
    <row r="2868" spans="2:9" x14ac:dyDescent="0.3">
      <c r="B2868" t="str">
        <f>IFERROR(IF(A2868="","",VLOOKUP(A2868,CadProd!$A:$B,2,0)),"")</f>
        <v/>
      </c>
      <c r="C2868" t="str">
        <f>IFERROR(IF(A2868="","",VLOOKUP(A2868,CadProd!$A:$C,3,0)),"")</f>
        <v/>
      </c>
      <c r="I2868" s="1" t="str">
        <f>IFERROR(IF(A2868="","",E2868*#REF!),"")</f>
        <v/>
      </c>
    </row>
    <row r="2869" spans="2:9" x14ac:dyDescent="0.3">
      <c r="B2869" t="str">
        <f>IFERROR(IF(A2869="","",VLOOKUP(A2869,CadProd!$A:$B,2,0)),"")</f>
        <v/>
      </c>
      <c r="C2869" t="str">
        <f>IFERROR(IF(A2869="","",VLOOKUP(A2869,CadProd!$A:$C,3,0)),"")</f>
        <v/>
      </c>
      <c r="I2869" s="1" t="str">
        <f>IFERROR(IF(A2869="","",E2869*#REF!),"")</f>
        <v/>
      </c>
    </row>
    <row r="2870" spans="2:9" x14ac:dyDescent="0.3">
      <c r="B2870" t="str">
        <f>IFERROR(IF(A2870="","",VLOOKUP(A2870,CadProd!$A:$B,2,0)),"")</f>
        <v/>
      </c>
      <c r="C2870" t="str">
        <f>IFERROR(IF(A2870="","",VLOOKUP(A2870,CadProd!$A:$C,3,0)),"")</f>
        <v/>
      </c>
      <c r="I2870" s="1" t="str">
        <f>IFERROR(IF(A2870="","",E2870*#REF!),"")</f>
        <v/>
      </c>
    </row>
    <row r="2871" spans="2:9" x14ac:dyDescent="0.3">
      <c r="B2871" t="str">
        <f>IFERROR(IF(A2871="","",VLOOKUP(A2871,CadProd!$A:$B,2,0)),"")</f>
        <v/>
      </c>
      <c r="C2871" t="str">
        <f>IFERROR(IF(A2871="","",VLOOKUP(A2871,CadProd!$A:$C,3,0)),"")</f>
        <v/>
      </c>
      <c r="I2871" s="1" t="str">
        <f>IFERROR(IF(A2871="","",E2871*#REF!),"")</f>
        <v/>
      </c>
    </row>
    <row r="2872" spans="2:9" x14ac:dyDescent="0.3">
      <c r="B2872" t="str">
        <f>IFERROR(IF(A2872="","",VLOOKUP(A2872,CadProd!$A:$B,2,0)),"")</f>
        <v/>
      </c>
      <c r="C2872" t="str">
        <f>IFERROR(IF(A2872="","",VLOOKUP(A2872,CadProd!$A:$C,3,0)),"")</f>
        <v/>
      </c>
      <c r="I2872" s="1" t="str">
        <f>IFERROR(IF(A2872="","",E2872*#REF!),"")</f>
        <v/>
      </c>
    </row>
    <row r="2873" spans="2:9" x14ac:dyDescent="0.3">
      <c r="B2873" t="str">
        <f>IFERROR(IF(A2873="","",VLOOKUP(A2873,CadProd!$A:$B,2,0)),"")</f>
        <v/>
      </c>
      <c r="C2873" t="str">
        <f>IFERROR(IF(A2873="","",VLOOKUP(A2873,CadProd!$A:$C,3,0)),"")</f>
        <v/>
      </c>
      <c r="I2873" s="1" t="str">
        <f>IFERROR(IF(A2873="","",E2873*#REF!),"")</f>
        <v/>
      </c>
    </row>
    <row r="2874" spans="2:9" x14ac:dyDescent="0.3">
      <c r="B2874" t="str">
        <f>IFERROR(IF(A2874="","",VLOOKUP(A2874,CadProd!$A:$B,2,0)),"")</f>
        <v/>
      </c>
      <c r="C2874" t="str">
        <f>IFERROR(IF(A2874="","",VLOOKUP(A2874,CadProd!$A:$C,3,0)),"")</f>
        <v/>
      </c>
      <c r="I2874" s="1" t="str">
        <f>IFERROR(IF(A2874="","",E2874*#REF!),"")</f>
        <v/>
      </c>
    </row>
    <row r="2875" spans="2:9" x14ac:dyDescent="0.3">
      <c r="B2875" t="str">
        <f>IFERROR(IF(A2875="","",VLOOKUP(A2875,CadProd!$A:$B,2,0)),"")</f>
        <v/>
      </c>
      <c r="C2875" t="str">
        <f>IFERROR(IF(A2875="","",VLOOKUP(A2875,CadProd!$A:$C,3,0)),"")</f>
        <v/>
      </c>
      <c r="I2875" s="1" t="str">
        <f>IFERROR(IF(A2875="","",E2875*#REF!),"")</f>
        <v/>
      </c>
    </row>
    <row r="2876" spans="2:9" x14ac:dyDescent="0.3">
      <c r="B2876" t="str">
        <f>IFERROR(IF(A2876="","",VLOOKUP(A2876,CadProd!$A:$B,2,0)),"")</f>
        <v/>
      </c>
      <c r="C2876" t="str">
        <f>IFERROR(IF(A2876="","",VLOOKUP(A2876,CadProd!$A:$C,3,0)),"")</f>
        <v/>
      </c>
      <c r="I2876" s="1" t="str">
        <f>IFERROR(IF(A2876="","",E2876*#REF!),"")</f>
        <v/>
      </c>
    </row>
    <row r="2877" spans="2:9" x14ac:dyDescent="0.3">
      <c r="B2877" t="str">
        <f>IFERROR(IF(A2877="","",VLOOKUP(A2877,CadProd!$A:$B,2,0)),"")</f>
        <v/>
      </c>
      <c r="C2877" t="str">
        <f>IFERROR(IF(A2877="","",VLOOKUP(A2877,CadProd!$A:$C,3,0)),"")</f>
        <v/>
      </c>
      <c r="I2877" s="1" t="str">
        <f>IFERROR(IF(A2877="","",E2877*#REF!),"")</f>
        <v/>
      </c>
    </row>
    <row r="2878" spans="2:9" x14ac:dyDescent="0.3">
      <c r="B2878" t="str">
        <f>IFERROR(IF(A2878="","",VLOOKUP(A2878,CadProd!$A:$B,2,0)),"")</f>
        <v/>
      </c>
      <c r="C2878" t="str">
        <f>IFERROR(IF(A2878="","",VLOOKUP(A2878,CadProd!$A:$C,3,0)),"")</f>
        <v/>
      </c>
      <c r="I2878" s="1" t="str">
        <f>IFERROR(IF(A2878="","",E2878*#REF!),"")</f>
        <v/>
      </c>
    </row>
    <row r="2879" spans="2:9" x14ac:dyDescent="0.3">
      <c r="B2879" t="str">
        <f>IFERROR(IF(A2879="","",VLOOKUP(A2879,CadProd!$A:$B,2,0)),"")</f>
        <v/>
      </c>
      <c r="C2879" t="str">
        <f>IFERROR(IF(A2879="","",VLOOKUP(A2879,CadProd!$A:$C,3,0)),"")</f>
        <v/>
      </c>
      <c r="I2879" s="1" t="str">
        <f>IFERROR(IF(A2879="","",E2879*#REF!),"")</f>
        <v/>
      </c>
    </row>
    <row r="2880" spans="2:9" x14ac:dyDescent="0.3">
      <c r="B2880" t="str">
        <f>IFERROR(IF(A2880="","",VLOOKUP(A2880,CadProd!$A:$B,2,0)),"")</f>
        <v/>
      </c>
      <c r="C2880" t="str">
        <f>IFERROR(IF(A2880="","",VLOOKUP(A2880,CadProd!$A:$C,3,0)),"")</f>
        <v/>
      </c>
      <c r="I2880" s="1" t="str">
        <f>IFERROR(IF(A2880="","",E2880*#REF!),"")</f>
        <v/>
      </c>
    </row>
    <row r="2881" spans="2:9" x14ac:dyDescent="0.3">
      <c r="B2881" t="str">
        <f>IFERROR(IF(A2881="","",VLOOKUP(A2881,CadProd!$A:$B,2,0)),"")</f>
        <v/>
      </c>
      <c r="C2881" t="str">
        <f>IFERROR(IF(A2881="","",VLOOKUP(A2881,CadProd!$A:$C,3,0)),"")</f>
        <v/>
      </c>
      <c r="I2881" s="1" t="str">
        <f>IFERROR(IF(A2881="","",E2881*#REF!),"")</f>
        <v/>
      </c>
    </row>
    <row r="2882" spans="2:9" x14ac:dyDescent="0.3">
      <c r="B2882" t="str">
        <f>IFERROR(IF(A2882="","",VLOOKUP(A2882,CadProd!$A:$B,2,0)),"")</f>
        <v/>
      </c>
      <c r="C2882" t="str">
        <f>IFERROR(IF(A2882="","",VLOOKUP(A2882,CadProd!$A:$C,3,0)),"")</f>
        <v/>
      </c>
      <c r="I2882" s="1" t="str">
        <f>IFERROR(IF(A2882="","",E2882*#REF!),"")</f>
        <v/>
      </c>
    </row>
    <row r="2883" spans="2:9" x14ac:dyDescent="0.3">
      <c r="B2883" t="str">
        <f>IFERROR(IF(A2883="","",VLOOKUP(A2883,CadProd!$A:$B,2,0)),"")</f>
        <v/>
      </c>
      <c r="C2883" t="str">
        <f>IFERROR(IF(A2883="","",VLOOKUP(A2883,CadProd!$A:$C,3,0)),"")</f>
        <v/>
      </c>
      <c r="I2883" s="1" t="str">
        <f>IFERROR(IF(A2883="","",E2883*#REF!),"")</f>
        <v/>
      </c>
    </row>
    <row r="2884" spans="2:9" x14ac:dyDescent="0.3">
      <c r="B2884" t="str">
        <f>IFERROR(IF(A2884="","",VLOOKUP(A2884,CadProd!$A:$B,2,0)),"")</f>
        <v/>
      </c>
      <c r="C2884" t="str">
        <f>IFERROR(IF(A2884="","",VLOOKUP(A2884,CadProd!$A:$C,3,0)),"")</f>
        <v/>
      </c>
      <c r="I2884" s="1" t="str">
        <f>IFERROR(IF(A2884="","",E2884*#REF!),"")</f>
        <v/>
      </c>
    </row>
    <row r="2885" spans="2:9" x14ac:dyDescent="0.3">
      <c r="B2885" t="str">
        <f>IFERROR(IF(A2885="","",VLOOKUP(A2885,CadProd!$A:$B,2,0)),"")</f>
        <v/>
      </c>
      <c r="C2885" t="str">
        <f>IFERROR(IF(A2885="","",VLOOKUP(A2885,CadProd!$A:$C,3,0)),"")</f>
        <v/>
      </c>
      <c r="I2885" s="1" t="str">
        <f>IFERROR(IF(A2885="","",E2885*#REF!),"")</f>
        <v/>
      </c>
    </row>
    <row r="2886" spans="2:9" x14ac:dyDescent="0.3">
      <c r="B2886" t="str">
        <f>IFERROR(IF(A2886="","",VLOOKUP(A2886,CadProd!$A:$B,2,0)),"")</f>
        <v/>
      </c>
      <c r="C2886" t="str">
        <f>IFERROR(IF(A2886="","",VLOOKUP(A2886,CadProd!$A:$C,3,0)),"")</f>
        <v/>
      </c>
      <c r="I2886" s="1" t="str">
        <f>IFERROR(IF(A2886="","",E2886*#REF!),"")</f>
        <v/>
      </c>
    </row>
    <row r="2887" spans="2:9" x14ac:dyDescent="0.3">
      <c r="B2887" t="str">
        <f>IFERROR(IF(A2887="","",VLOOKUP(A2887,CadProd!$A:$B,2,0)),"")</f>
        <v/>
      </c>
      <c r="C2887" t="str">
        <f>IFERROR(IF(A2887="","",VLOOKUP(A2887,CadProd!$A:$C,3,0)),"")</f>
        <v/>
      </c>
      <c r="I2887" s="1" t="str">
        <f>IFERROR(IF(A2887="","",E2887*#REF!),"")</f>
        <v/>
      </c>
    </row>
    <row r="2888" spans="2:9" x14ac:dyDescent="0.3">
      <c r="B2888" t="str">
        <f>IFERROR(IF(A2888="","",VLOOKUP(A2888,CadProd!$A:$B,2,0)),"")</f>
        <v/>
      </c>
      <c r="C2888" t="str">
        <f>IFERROR(IF(A2888="","",VLOOKUP(A2888,CadProd!$A:$C,3,0)),"")</f>
        <v/>
      </c>
      <c r="I2888" s="1" t="str">
        <f>IFERROR(IF(A2888="","",E2888*#REF!),"")</f>
        <v/>
      </c>
    </row>
    <row r="2889" spans="2:9" x14ac:dyDescent="0.3">
      <c r="B2889" t="str">
        <f>IFERROR(IF(A2889="","",VLOOKUP(A2889,CadProd!$A:$B,2,0)),"")</f>
        <v/>
      </c>
      <c r="C2889" t="str">
        <f>IFERROR(IF(A2889="","",VLOOKUP(A2889,CadProd!$A:$C,3,0)),"")</f>
        <v/>
      </c>
      <c r="I2889" s="1" t="str">
        <f>IFERROR(IF(A2889="","",E2889*#REF!),"")</f>
        <v/>
      </c>
    </row>
    <row r="2890" spans="2:9" x14ac:dyDescent="0.3">
      <c r="B2890" t="str">
        <f>IFERROR(IF(A2890="","",VLOOKUP(A2890,CadProd!$A:$B,2,0)),"")</f>
        <v/>
      </c>
      <c r="C2890" t="str">
        <f>IFERROR(IF(A2890="","",VLOOKUP(A2890,CadProd!$A:$C,3,0)),"")</f>
        <v/>
      </c>
      <c r="I2890" s="1" t="str">
        <f>IFERROR(IF(A2890="","",E2890*#REF!),"")</f>
        <v/>
      </c>
    </row>
    <row r="2891" spans="2:9" x14ac:dyDescent="0.3">
      <c r="B2891" t="str">
        <f>IFERROR(IF(A2891="","",VLOOKUP(A2891,CadProd!$A:$B,2,0)),"")</f>
        <v/>
      </c>
      <c r="C2891" t="str">
        <f>IFERROR(IF(A2891="","",VLOOKUP(A2891,CadProd!$A:$C,3,0)),"")</f>
        <v/>
      </c>
      <c r="I2891" s="1" t="str">
        <f>IFERROR(IF(A2891="","",E2891*#REF!),"")</f>
        <v/>
      </c>
    </row>
    <row r="2892" spans="2:9" x14ac:dyDescent="0.3">
      <c r="B2892" t="str">
        <f>IFERROR(IF(A2892="","",VLOOKUP(A2892,CadProd!$A:$B,2,0)),"")</f>
        <v/>
      </c>
      <c r="C2892" t="str">
        <f>IFERROR(IF(A2892="","",VLOOKUP(A2892,CadProd!$A:$C,3,0)),"")</f>
        <v/>
      </c>
      <c r="I2892" s="1" t="str">
        <f>IFERROR(IF(A2892="","",E2892*#REF!),"")</f>
        <v/>
      </c>
    </row>
    <row r="2893" spans="2:9" x14ac:dyDescent="0.3">
      <c r="B2893" t="str">
        <f>IFERROR(IF(A2893="","",VLOOKUP(A2893,CadProd!$A:$B,2,0)),"")</f>
        <v/>
      </c>
      <c r="C2893" t="str">
        <f>IFERROR(IF(A2893="","",VLOOKUP(A2893,CadProd!$A:$C,3,0)),"")</f>
        <v/>
      </c>
      <c r="I2893" s="1" t="str">
        <f>IFERROR(IF(A2893="","",E2893*#REF!),"")</f>
        <v/>
      </c>
    </row>
    <row r="2894" spans="2:9" x14ac:dyDescent="0.3">
      <c r="B2894" t="str">
        <f>IFERROR(IF(A2894="","",VLOOKUP(A2894,CadProd!$A:$B,2,0)),"")</f>
        <v/>
      </c>
      <c r="C2894" t="str">
        <f>IFERROR(IF(A2894="","",VLOOKUP(A2894,CadProd!$A:$C,3,0)),"")</f>
        <v/>
      </c>
      <c r="I2894" s="1" t="str">
        <f>IFERROR(IF(A2894="","",E2894*#REF!),"")</f>
        <v/>
      </c>
    </row>
    <row r="2895" spans="2:9" x14ac:dyDescent="0.3">
      <c r="B2895" t="str">
        <f>IFERROR(IF(A2895="","",VLOOKUP(A2895,CadProd!$A:$B,2,0)),"")</f>
        <v/>
      </c>
      <c r="C2895" t="str">
        <f>IFERROR(IF(A2895="","",VLOOKUP(A2895,CadProd!$A:$C,3,0)),"")</f>
        <v/>
      </c>
      <c r="I2895" s="1" t="str">
        <f>IFERROR(IF(A2895="","",E2895*#REF!),"")</f>
        <v/>
      </c>
    </row>
    <row r="2896" spans="2:9" x14ac:dyDescent="0.3">
      <c r="B2896" t="str">
        <f>IFERROR(IF(A2896="","",VLOOKUP(A2896,CadProd!$A:$B,2,0)),"")</f>
        <v/>
      </c>
      <c r="C2896" t="str">
        <f>IFERROR(IF(A2896="","",VLOOKUP(A2896,CadProd!$A:$C,3,0)),"")</f>
        <v/>
      </c>
      <c r="I2896" s="1" t="str">
        <f>IFERROR(IF(A2896="","",E2896*#REF!),"")</f>
        <v/>
      </c>
    </row>
    <row r="2897" spans="2:9" x14ac:dyDescent="0.3">
      <c r="B2897" t="str">
        <f>IFERROR(IF(A2897="","",VLOOKUP(A2897,CadProd!$A:$B,2,0)),"")</f>
        <v/>
      </c>
      <c r="C2897" t="str">
        <f>IFERROR(IF(A2897="","",VLOOKUP(A2897,CadProd!$A:$C,3,0)),"")</f>
        <v/>
      </c>
      <c r="I2897" s="1" t="str">
        <f>IFERROR(IF(A2897="","",E2897*#REF!),"")</f>
        <v/>
      </c>
    </row>
    <row r="2898" spans="2:9" x14ac:dyDescent="0.3">
      <c r="B2898" t="str">
        <f>IFERROR(IF(A2898="","",VLOOKUP(A2898,CadProd!$A:$B,2,0)),"")</f>
        <v/>
      </c>
      <c r="C2898" t="str">
        <f>IFERROR(IF(A2898="","",VLOOKUP(A2898,CadProd!$A:$C,3,0)),"")</f>
        <v/>
      </c>
      <c r="I2898" s="1" t="str">
        <f>IFERROR(IF(A2898="","",E2898*#REF!),"")</f>
        <v/>
      </c>
    </row>
    <row r="2899" spans="2:9" x14ac:dyDescent="0.3">
      <c r="B2899" t="str">
        <f>IFERROR(IF(A2899="","",VLOOKUP(A2899,CadProd!$A:$B,2,0)),"")</f>
        <v/>
      </c>
      <c r="C2899" t="str">
        <f>IFERROR(IF(A2899="","",VLOOKUP(A2899,CadProd!$A:$C,3,0)),"")</f>
        <v/>
      </c>
      <c r="I2899" s="1" t="str">
        <f>IFERROR(IF(A2899="","",E2899*#REF!),"")</f>
        <v/>
      </c>
    </row>
    <row r="2900" spans="2:9" x14ac:dyDescent="0.3">
      <c r="B2900" t="str">
        <f>IFERROR(IF(A2900="","",VLOOKUP(A2900,CadProd!$A:$B,2,0)),"")</f>
        <v/>
      </c>
      <c r="C2900" t="str">
        <f>IFERROR(IF(A2900="","",VLOOKUP(A2900,CadProd!$A:$C,3,0)),"")</f>
        <v/>
      </c>
      <c r="I2900" s="1" t="str">
        <f>IFERROR(IF(A2900="","",E2900*#REF!),"")</f>
        <v/>
      </c>
    </row>
    <row r="2901" spans="2:9" x14ac:dyDescent="0.3">
      <c r="B2901" t="str">
        <f>IFERROR(IF(A2901="","",VLOOKUP(A2901,CadProd!$A:$B,2,0)),"")</f>
        <v/>
      </c>
      <c r="C2901" t="str">
        <f>IFERROR(IF(A2901="","",VLOOKUP(A2901,CadProd!$A:$C,3,0)),"")</f>
        <v/>
      </c>
      <c r="I2901" s="1" t="str">
        <f>IFERROR(IF(A2901="","",E2901*#REF!),"")</f>
        <v/>
      </c>
    </row>
    <row r="2902" spans="2:9" x14ac:dyDescent="0.3">
      <c r="B2902" t="str">
        <f>IFERROR(IF(A2902="","",VLOOKUP(A2902,CadProd!$A:$B,2,0)),"")</f>
        <v/>
      </c>
      <c r="C2902" t="str">
        <f>IFERROR(IF(A2902="","",VLOOKUP(A2902,CadProd!$A:$C,3,0)),"")</f>
        <v/>
      </c>
      <c r="I2902" s="1" t="str">
        <f>IFERROR(IF(A2902="","",E2902*#REF!),"")</f>
        <v/>
      </c>
    </row>
    <row r="2903" spans="2:9" x14ac:dyDescent="0.3">
      <c r="B2903" t="str">
        <f>IFERROR(IF(A2903="","",VLOOKUP(A2903,CadProd!$A:$B,2,0)),"")</f>
        <v/>
      </c>
      <c r="C2903" t="str">
        <f>IFERROR(IF(A2903="","",VLOOKUP(A2903,CadProd!$A:$C,3,0)),"")</f>
        <v/>
      </c>
      <c r="I2903" s="1" t="str">
        <f>IFERROR(IF(A2903="","",E2903*#REF!),"")</f>
        <v/>
      </c>
    </row>
    <row r="2904" spans="2:9" x14ac:dyDescent="0.3">
      <c r="B2904" t="str">
        <f>IFERROR(IF(A2904="","",VLOOKUP(A2904,CadProd!$A:$B,2,0)),"")</f>
        <v/>
      </c>
      <c r="C2904" t="str">
        <f>IFERROR(IF(A2904="","",VLOOKUP(A2904,CadProd!$A:$C,3,0)),"")</f>
        <v/>
      </c>
      <c r="I2904" s="1" t="str">
        <f>IFERROR(IF(A2904="","",E2904*#REF!),"")</f>
        <v/>
      </c>
    </row>
    <row r="2905" spans="2:9" x14ac:dyDescent="0.3">
      <c r="B2905" t="str">
        <f>IFERROR(IF(A2905="","",VLOOKUP(A2905,CadProd!$A:$B,2,0)),"")</f>
        <v/>
      </c>
      <c r="C2905" t="str">
        <f>IFERROR(IF(A2905="","",VLOOKUP(A2905,CadProd!$A:$C,3,0)),"")</f>
        <v/>
      </c>
      <c r="I2905" s="1" t="str">
        <f>IFERROR(IF(A2905="","",E2905*#REF!),"")</f>
        <v/>
      </c>
    </row>
    <row r="2906" spans="2:9" x14ac:dyDescent="0.3">
      <c r="B2906" t="str">
        <f>IFERROR(IF(A2906="","",VLOOKUP(A2906,CadProd!$A:$B,2,0)),"")</f>
        <v/>
      </c>
      <c r="C2906" t="str">
        <f>IFERROR(IF(A2906="","",VLOOKUP(A2906,CadProd!$A:$C,3,0)),"")</f>
        <v/>
      </c>
      <c r="I2906" s="1" t="str">
        <f>IFERROR(IF(A2906="","",E2906*#REF!),"")</f>
        <v/>
      </c>
    </row>
    <row r="2907" spans="2:9" x14ac:dyDescent="0.3">
      <c r="B2907" t="str">
        <f>IFERROR(IF(A2907="","",VLOOKUP(A2907,CadProd!$A:$B,2,0)),"")</f>
        <v/>
      </c>
      <c r="C2907" t="str">
        <f>IFERROR(IF(A2907="","",VLOOKUP(A2907,CadProd!$A:$C,3,0)),"")</f>
        <v/>
      </c>
      <c r="I2907" s="1" t="str">
        <f>IFERROR(IF(A2907="","",E2907*#REF!),"")</f>
        <v/>
      </c>
    </row>
    <row r="2908" spans="2:9" x14ac:dyDescent="0.3">
      <c r="B2908" t="str">
        <f>IFERROR(IF(A2908="","",VLOOKUP(A2908,CadProd!$A:$B,2,0)),"")</f>
        <v/>
      </c>
      <c r="C2908" t="str">
        <f>IFERROR(IF(A2908="","",VLOOKUP(A2908,CadProd!$A:$C,3,0)),"")</f>
        <v/>
      </c>
      <c r="I2908" s="1" t="str">
        <f>IFERROR(IF(A2908="","",E2908*#REF!),"")</f>
        <v/>
      </c>
    </row>
    <row r="2909" spans="2:9" x14ac:dyDescent="0.3">
      <c r="B2909" t="str">
        <f>IFERROR(IF(A2909="","",VLOOKUP(A2909,CadProd!$A:$B,2,0)),"")</f>
        <v/>
      </c>
      <c r="C2909" t="str">
        <f>IFERROR(IF(A2909="","",VLOOKUP(A2909,CadProd!$A:$C,3,0)),"")</f>
        <v/>
      </c>
      <c r="I2909" s="1" t="str">
        <f>IFERROR(IF(A2909="","",E2909*#REF!),"")</f>
        <v/>
      </c>
    </row>
    <row r="2910" spans="2:9" x14ac:dyDescent="0.3">
      <c r="B2910" t="str">
        <f>IFERROR(IF(A2910="","",VLOOKUP(A2910,CadProd!$A:$B,2,0)),"")</f>
        <v/>
      </c>
      <c r="C2910" t="str">
        <f>IFERROR(IF(A2910="","",VLOOKUP(A2910,CadProd!$A:$C,3,0)),"")</f>
        <v/>
      </c>
      <c r="I2910" s="1" t="str">
        <f>IFERROR(IF(A2910="","",E2910*#REF!),"")</f>
        <v/>
      </c>
    </row>
    <row r="2911" spans="2:9" x14ac:dyDescent="0.3">
      <c r="B2911" t="str">
        <f>IFERROR(IF(A2911="","",VLOOKUP(A2911,CadProd!$A:$B,2,0)),"")</f>
        <v/>
      </c>
      <c r="C2911" t="str">
        <f>IFERROR(IF(A2911="","",VLOOKUP(A2911,CadProd!$A:$C,3,0)),"")</f>
        <v/>
      </c>
      <c r="I2911" s="1" t="str">
        <f>IFERROR(IF(A2911="","",E2911*#REF!),"")</f>
        <v/>
      </c>
    </row>
    <row r="2912" spans="2:9" x14ac:dyDescent="0.3">
      <c r="B2912" t="str">
        <f>IFERROR(IF(A2912="","",VLOOKUP(A2912,CadProd!$A:$B,2,0)),"")</f>
        <v/>
      </c>
      <c r="C2912" t="str">
        <f>IFERROR(IF(A2912="","",VLOOKUP(A2912,CadProd!$A:$C,3,0)),"")</f>
        <v/>
      </c>
      <c r="I2912" s="1" t="str">
        <f>IFERROR(IF(A2912="","",E2912*#REF!),"")</f>
        <v/>
      </c>
    </row>
    <row r="2913" spans="2:9" x14ac:dyDescent="0.3">
      <c r="B2913" t="str">
        <f>IFERROR(IF(A2913="","",VLOOKUP(A2913,CadProd!$A:$B,2,0)),"")</f>
        <v/>
      </c>
      <c r="C2913" t="str">
        <f>IFERROR(IF(A2913="","",VLOOKUP(A2913,CadProd!$A:$C,3,0)),"")</f>
        <v/>
      </c>
      <c r="I2913" s="1" t="str">
        <f>IFERROR(IF(A2913="","",E2913*#REF!),"")</f>
        <v/>
      </c>
    </row>
    <row r="2914" spans="2:9" x14ac:dyDescent="0.3">
      <c r="B2914" t="str">
        <f>IFERROR(IF(A2914="","",VLOOKUP(A2914,CadProd!$A:$B,2,0)),"")</f>
        <v/>
      </c>
      <c r="C2914" t="str">
        <f>IFERROR(IF(A2914="","",VLOOKUP(A2914,CadProd!$A:$C,3,0)),"")</f>
        <v/>
      </c>
      <c r="I2914" s="1" t="str">
        <f>IFERROR(IF(A2914="","",E2914*#REF!),"")</f>
        <v/>
      </c>
    </row>
    <row r="2915" spans="2:9" x14ac:dyDescent="0.3">
      <c r="B2915" t="str">
        <f>IFERROR(IF(A2915="","",VLOOKUP(A2915,CadProd!$A:$B,2,0)),"")</f>
        <v/>
      </c>
      <c r="C2915" t="str">
        <f>IFERROR(IF(A2915="","",VLOOKUP(A2915,CadProd!$A:$C,3,0)),"")</f>
        <v/>
      </c>
      <c r="I2915" s="1" t="str">
        <f>IFERROR(IF(A2915="","",E2915*#REF!),"")</f>
        <v/>
      </c>
    </row>
    <row r="2916" spans="2:9" x14ac:dyDescent="0.3">
      <c r="B2916" t="str">
        <f>IFERROR(IF(A2916="","",VLOOKUP(A2916,CadProd!$A:$B,2,0)),"")</f>
        <v/>
      </c>
      <c r="C2916" t="str">
        <f>IFERROR(IF(A2916="","",VLOOKUP(A2916,CadProd!$A:$C,3,0)),"")</f>
        <v/>
      </c>
      <c r="I2916" s="1" t="str">
        <f>IFERROR(IF(A2916="","",E2916*#REF!),"")</f>
        <v/>
      </c>
    </row>
    <row r="2917" spans="2:9" x14ac:dyDescent="0.3">
      <c r="B2917" t="str">
        <f>IFERROR(IF(A2917="","",VLOOKUP(A2917,CadProd!$A:$B,2,0)),"")</f>
        <v/>
      </c>
      <c r="C2917" t="str">
        <f>IFERROR(IF(A2917="","",VLOOKUP(A2917,CadProd!$A:$C,3,0)),"")</f>
        <v/>
      </c>
      <c r="I2917" s="1" t="str">
        <f>IFERROR(IF(A2917="","",E2917*#REF!),"")</f>
        <v/>
      </c>
    </row>
    <row r="2918" spans="2:9" x14ac:dyDescent="0.3">
      <c r="B2918" t="str">
        <f>IFERROR(IF(A2918="","",VLOOKUP(A2918,CadProd!$A:$B,2,0)),"")</f>
        <v/>
      </c>
      <c r="C2918" t="str">
        <f>IFERROR(IF(A2918="","",VLOOKUP(A2918,CadProd!$A:$C,3,0)),"")</f>
        <v/>
      </c>
      <c r="I2918" s="1" t="str">
        <f>IFERROR(IF(A2918="","",E2918*#REF!),"")</f>
        <v/>
      </c>
    </row>
    <row r="2919" spans="2:9" x14ac:dyDescent="0.3">
      <c r="B2919" t="str">
        <f>IFERROR(IF(A2919="","",VLOOKUP(A2919,CadProd!$A:$B,2,0)),"")</f>
        <v/>
      </c>
      <c r="C2919" t="str">
        <f>IFERROR(IF(A2919="","",VLOOKUP(A2919,CadProd!$A:$C,3,0)),"")</f>
        <v/>
      </c>
      <c r="I2919" s="1" t="str">
        <f>IFERROR(IF(A2919="","",E2919*#REF!),"")</f>
        <v/>
      </c>
    </row>
    <row r="2920" spans="2:9" x14ac:dyDescent="0.3">
      <c r="B2920" t="str">
        <f>IFERROR(IF(A2920="","",VLOOKUP(A2920,CadProd!$A:$B,2,0)),"")</f>
        <v/>
      </c>
      <c r="C2920" t="str">
        <f>IFERROR(IF(A2920="","",VLOOKUP(A2920,CadProd!$A:$C,3,0)),"")</f>
        <v/>
      </c>
      <c r="I2920" s="1" t="str">
        <f>IFERROR(IF(A2920="","",E2920*#REF!),"")</f>
        <v/>
      </c>
    </row>
    <row r="2921" spans="2:9" x14ac:dyDescent="0.3">
      <c r="B2921" t="str">
        <f>IFERROR(IF(A2921="","",VLOOKUP(A2921,CadProd!$A:$B,2,0)),"")</f>
        <v/>
      </c>
      <c r="C2921" t="str">
        <f>IFERROR(IF(A2921="","",VLOOKUP(A2921,CadProd!$A:$C,3,0)),"")</f>
        <v/>
      </c>
      <c r="I2921" s="1" t="str">
        <f>IFERROR(IF(A2921="","",E2921*#REF!),"")</f>
        <v/>
      </c>
    </row>
    <row r="2922" spans="2:9" x14ac:dyDescent="0.3">
      <c r="B2922" t="str">
        <f>IFERROR(IF(A2922="","",VLOOKUP(A2922,CadProd!$A:$B,2,0)),"")</f>
        <v/>
      </c>
      <c r="C2922" t="str">
        <f>IFERROR(IF(A2922="","",VLOOKUP(A2922,CadProd!$A:$C,3,0)),"")</f>
        <v/>
      </c>
      <c r="I2922" s="1" t="str">
        <f>IFERROR(IF(A2922="","",E2922*#REF!),"")</f>
        <v/>
      </c>
    </row>
    <row r="2923" spans="2:9" x14ac:dyDescent="0.3">
      <c r="B2923" t="str">
        <f>IFERROR(IF(A2923="","",VLOOKUP(A2923,CadProd!$A:$B,2,0)),"")</f>
        <v/>
      </c>
      <c r="C2923" t="str">
        <f>IFERROR(IF(A2923="","",VLOOKUP(A2923,CadProd!$A:$C,3,0)),"")</f>
        <v/>
      </c>
      <c r="I2923" s="1" t="str">
        <f>IFERROR(IF(A2923="","",E2923*#REF!),"")</f>
        <v/>
      </c>
    </row>
    <row r="2924" spans="2:9" x14ac:dyDescent="0.3">
      <c r="B2924" t="str">
        <f>IFERROR(IF(A2924="","",VLOOKUP(A2924,CadProd!$A:$B,2,0)),"")</f>
        <v/>
      </c>
      <c r="C2924" t="str">
        <f>IFERROR(IF(A2924="","",VLOOKUP(A2924,CadProd!$A:$C,3,0)),"")</f>
        <v/>
      </c>
      <c r="I2924" s="1" t="str">
        <f>IFERROR(IF(A2924="","",E2924*#REF!),"")</f>
        <v/>
      </c>
    </row>
    <row r="2925" spans="2:9" x14ac:dyDescent="0.3">
      <c r="B2925" t="str">
        <f>IFERROR(IF(A2925="","",VLOOKUP(A2925,CadProd!$A:$B,2,0)),"")</f>
        <v/>
      </c>
      <c r="C2925" t="str">
        <f>IFERROR(IF(A2925="","",VLOOKUP(A2925,CadProd!$A:$C,3,0)),"")</f>
        <v/>
      </c>
      <c r="I2925" s="1" t="str">
        <f>IFERROR(IF(A2925="","",E2925*#REF!),"")</f>
        <v/>
      </c>
    </row>
    <row r="2926" spans="2:9" x14ac:dyDescent="0.3">
      <c r="B2926" t="str">
        <f>IFERROR(IF(A2926="","",VLOOKUP(A2926,CadProd!$A:$B,2,0)),"")</f>
        <v/>
      </c>
      <c r="C2926" t="str">
        <f>IFERROR(IF(A2926="","",VLOOKUP(A2926,CadProd!$A:$C,3,0)),"")</f>
        <v/>
      </c>
      <c r="I2926" s="1" t="str">
        <f>IFERROR(IF(A2926="","",E2926*#REF!),"")</f>
        <v/>
      </c>
    </row>
    <row r="2927" spans="2:9" x14ac:dyDescent="0.3">
      <c r="B2927" t="str">
        <f>IFERROR(IF(A2927="","",VLOOKUP(A2927,CadProd!$A:$B,2,0)),"")</f>
        <v/>
      </c>
      <c r="C2927" t="str">
        <f>IFERROR(IF(A2927="","",VLOOKUP(A2927,CadProd!$A:$C,3,0)),"")</f>
        <v/>
      </c>
      <c r="I2927" s="1" t="str">
        <f>IFERROR(IF(A2927="","",E2927*#REF!),"")</f>
        <v/>
      </c>
    </row>
    <row r="2928" spans="2:9" x14ac:dyDescent="0.3">
      <c r="B2928" t="str">
        <f>IFERROR(IF(A2928="","",VLOOKUP(A2928,CadProd!$A:$B,2,0)),"")</f>
        <v/>
      </c>
      <c r="C2928" t="str">
        <f>IFERROR(IF(A2928="","",VLOOKUP(A2928,CadProd!$A:$C,3,0)),"")</f>
        <v/>
      </c>
      <c r="I2928" s="1" t="str">
        <f>IFERROR(IF(A2928="","",E2928*#REF!),"")</f>
        <v/>
      </c>
    </row>
    <row r="2929" spans="2:9" x14ac:dyDescent="0.3">
      <c r="B2929" t="str">
        <f>IFERROR(IF(A2929="","",VLOOKUP(A2929,CadProd!$A:$B,2,0)),"")</f>
        <v/>
      </c>
      <c r="C2929" t="str">
        <f>IFERROR(IF(A2929="","",VLOOKUP(A2929,CadProd!$A:$C,3,0)),"")</f>
        <v/>
      </c>
      <c r="I2929" s="1" t="str">
        <f>IFERROR(IF(A2929="","",E2929*#REF!),"")</f>
        <v/>
      </c>
    </row>
    <row r="2930" spans="2:9" x14ac:dyDescent="0.3">
      <c r="B2930" t="str">
        <f>IFERROR(IF(A2930="","",VLOOKUP(A2930,CadProd!$A:$B,2,0)),"")</f>
        <v/>
      </c>
      <c r="C2930" t="str">
        <f>IFERROR(IF(A2930="","",VLOOKUP(A2930,CadProd!$A:$C,3,0)),"")</f>
        <v/>
      </c>
      <c r="I2930" s="1" t="str">
        <f>IFERROR(IF(A2930="","",E2930*#REF!),"")</f>
        <v/>
      </c>
    </row>
    <row r="2931" spans="2:9" x14ac:dyDescent="0.3">
      <c r="B2931" t="str">
        <f>IFERROR(IF(A2931="","",VLOOKUP(A2931,CadProd!$A:$B,2,0)),"")</f>
        <v/>
      </c>
      <c r="C2931" t="str">
        <f>IFERROR(IF(A2931="","",VLOOKUP(A2931,CadProd!$A:$C,3,0)),"")</f>
        <v/>
      </c>
      <c r="I2931" s="1" t="str">
        <f>IFERROR(IF(A2931="","",E2931*#REF!),"")</f>
        <v/>
      </c>
    </row>
    <row r="2932" spans="2:9" x14ac:dyDescent="0.3">
      <c r="B2932" t="str">
        <f>IFERROR(IF(A2932="","",VLOOKUP(A2932,CadProd!$A:$B,2,0)),"")</f>
        <v/>
      </c>
      <c r="C2932" t="str">
        <f>IFERROR(IF(A2932="","",VLOOKUP(A2932,CadProd!$A:$C,3,0)),"")</f>
        <v/>
      </c>
      <c r="I2932" s="1" t="str">
        <f>IFERROR(IF(A2932="","",E2932*#REF!),"")</f>
        <v/>
      </c>
    </row>
    <row r="2933" spans="2:9" x14ac:dyDescent="0.3">
      <c r="B2933" t="str">
        <f>IFERROR(IF(A2933="","",VLOOKUP(A2933,CadProd!$A:$B,2,0)),"")</f>
        <v/>
      </c>
      <c r="C2933" t="str">
        <f>IFERROR(IF(A2933="","",VLOOKUP(A2933,CadProd!$A:$C,3,0)),"")</f>
        <v/>
      </c>
      <c r="I2933" s="1" t="str">
        <f>IFERROR(IF(A2933="","",E2933*#REF!),"")</f>
        <v/>
      </c>
    </row>
    <row r="2934" spans="2:9" x14ac:dyDescent="0.3">
      <c r="B2934" t="str">
        <f>IFERROR(IF(A2934="","",VLOOKUP(A2934,CadProd!$A:$B,2,0)),"")</f>
        <v/>
      </c>
      <c r="C2934" t="str">
        <f>IFERROR(IF(A2934="","",VLOOKUP(A2934,CadProd!$A:$C,3,0)),"")</f>
        <v/>
      </c>
      <c r="I2934" s="1" t="str">
        <f>IFERROR(IF(A2934="","",E2934*#REF!),"")</f>
        <v/>
      </c>
    </row>
    <row r="2935" spans="2:9" x14ac:dyDescent="0.3">
      <c r="B2935" t="str">
        <f>IFERROR(IF(A2935="","",VLOOKUP(A2935,CadProd!$A:$B,2,0)),"")</f>
        <v/>
      </c>
      <c r="C2935" t="str">
        <f>IFERROR(IF(A2935="","",VLOOKUP(A2935,CadProd!$A:$C,3,0)),"")</f>
        <v/>
      </c>
      <c r="I2935" s="1" t="str">
        <f>IFERROR(IF(A2935="","",E2935*#REF!),"")</f>
        <v/>
      </c>
    </row>
    <row r="2936" spans="2:9" x14ac:dyDescent="0.3">
      <c r="B2936" t="str">
        <f>IFERROR(IF(A2936="","",VLOOKUP(A2936,CadProd!$A:$B,2,0)),"")</f>
        <v/>
      </c>
      <c r="C2936" t="str">
        <f>IFERROR(IF(A2936="","",VLOOKUP(A2936,CadProd!$A:$C,3,0)),"")</f>
        <v/>
      </c>
      <c r="I2936" s="1" t="str">
        <f>IFERROR(IF(A2936="","",E2936*#REF!),"")</f>
        <v/>
      </c>
    </row>
    <row r="2937" spans="2:9" x14ac:dyDescent="0.3">
      <c r="B2937" t="str">
        <f>IFERROR(IF(A2937="","",VLOOKUP(A2937,CadProd!$A:$B,2,0)),"")</f>
        <v/>
      </c>
      <c r="C2937" t="str">
        <f>IFERROR(IF(A2937="","",VLOOKUP(A2937,CadProd!$A:$C,3,0)),"")</f>
        <v/>
      </c>
      <c r="I2937" s="1" t="str">
        <f>IFERROR(IF(A2937="","",E2937*#REF!),"")</f>
        <v/>
      </c>
    </row>
    <row r="2938" spans="2:9" x14ac:dyDescent="0.3">
      <c r="B2938" t="str">
        <f>IFERROR(IF(A2938="","",VLOOKUP(A2938,CadProd!$A:$B,2,0)),"")</f>
        <v/>
      </c>
      <c r="C2938" t="str">
        <f>IFERROR(IF(A2938="","",VLOOKUP(A2938,CadProd!$A:$C,3,0)),"")</f>
        <v/>
      </c>
      <c r="I2938" s="1" t="str">
        <f>IFERROR(IF(A2938="","",E2938*#REF!),"")</f>
        <v/>
      </c>
    </row>
    <row r="2939" spans="2:9" x14ac:dyDescent="0.3">
      <c r="B2939" t="str">
        <f>IFERROR(IF(A2939="","",VLOOKUP(A2939,CadProd!$A:$B,2,0)),"")</f>
        <v/>
      </c>
      <c r="C2939" t="str">
        <f>IFERROR(IF(A2939="","",VLOOKUP(A2939,CadProd!$A:$C,3,0)),"")</f>
        <v/>
      </c>
      <c r="I2939" s="1" t="str">
        <f>IFERROR(IF(A2939="","",E2939*#REF!),"")</f>
        <v/>
      </c>
    </row>
    <row r="2940" spans="2:9" x14ac:dyDescent="0.3">
      <c r="B2940" t="str">
        <f>IFERROR(IF(A2940="","",VLOOKUP(A2940,CadProd!$A:$B,2,0)),"")</f>
        <v/>
      </c>
      <c r="C2940" t="str">
        <f>IFERROR(IF(A2940="","",VLOOKUP(A2940,CadProd!$A:$C,3,0)),"")</f>
        <v/>
      </c>
      <c r="I2940" s="1" t="str">
        <f>IFERROR(IF(A2940="","",E2940*#REF!),"")</f>
        <v/>
      </c>
    </row>
    <row r="2941" spans="2:9" x14ac:dyDescent="0.3">
      <c r="B2941" t="str">
        <f>IFERROR(IF(A2941="","",VLOOKUP(A2941,CadProd!$A:$B,2,0)),"")</f>
        <v/>
      </c>
      <c r="C2941" t="str">
        <f>IFERROR(IF(A2941="","",VLOOKUP(A2941,CadProd!$A:$C,3,0)),"")</f>
        <v/>
      </c>
      <c r="I2941" s="1" t="str">
        <f>IFERROR(IF(A2941="","",E2941*#REF!),"")</f>
        <v/>
      </c>
    </row>
    <row r="2942" spans="2:9" x14ac:dyDescent="0.3">
      <c r="B2942" t="str">
        <f>IFERROR(IF(A2942="","",VLOOKUP(A2942,CadProd!$A:$B,2,0)),"")</f>
        <v/>
      </c>
      <c r="C2942" t="str">
        <f>IFERROR(IF(A2942="","",VLOOKUP(A2942,CadProd!$A:$C,3,0)),"")</f>
        <v/>
      </c>
      <c r="I2942" s="1" t="str">
        <f>IFERROR(IF(A2942="","",E2942*#REF!),"")</f>
        <v/>
      </c>
    </row>
    <row r="2943" spans="2:9" x14ac:dyDescent="0.3">
      <c r="B2943" t="str">
        <f>IFERROR(IF(A2943="","",VLOOKUP(A2943,CadProd!$A:$B,2,0)),"")</f>
        <v/>
      </c>
      <c r="C2943" t="str">
        <f>IFERROR(IF(A2943="","",VLOOKUP(A2943,CadProd!$A:$C,3,0)),"")</f>
        <v/>
      </c>
      <c r="I2943" s="1" t="str">
        <f>IFERROR(IF(A2943="","",E2943*#REF!),"")</f>
        <v/>
      </c>
    </row>
    <row r="2944" spans="2:9" x14ac:dyDescent="0.3">
      <c r="B2944" t="str">
        <f>IFERROR(IF(A2944="","",VLOOKUP(A2944,CadProd!$A:$B,2,0)),"")</f>
        <v/>
      </c>
      <c r="C2944" t="str">
        <f>IFERROR(IF(A2944="","",VLOOKUP(A2944,CadProd!$A:$C,3,0)),"")</f>
        <v/>
      </c>
      <c r="I2944" s="1" t="str">
        <f>IFERROR(IF(A2944="","",E2944*#REF!),"")</f>
        <v/>
      </c>
    </row>
    <row r="2945" spans="2:9" x14ac:dyDescent="0.3">
      <c r="B2945" t="str">
        <f>IFERROR(IF(A2945="","",VLOOKUP(A2945,CadProd!$A:$B,2,0)),"")</f>
        <v/>
      </c>
      <c r="C2945" t="str">
        <f>IFERROR(IF(A2945="","",VLOOKUP(A2945,CadProd!$A:$C,3,0)),"")</f>
        <v/>
      </c>
      <c r="I2945" s="1" t="str">
        <f>IFERROR(IF(A2945="","",E2945*#REF!),"")</f>
        <v/>
      </c>
    </row>
    <row r="2946" spans="2:9" x14ac:dyDescent="0.3">
      <c r="B2946" t="str">
        <f>IFERROR(IF(A2946="","",VLOOKUP(A2946,CadProd!$A:$B,2,0)),"")</f>
        <v/>
      </c>
      <c r="C2946" t="str">
        <f>IFERROR(IF(A2946="","",VLOOKUP(A2946,CadProd!$A:$C,3,0)),"")</f>
        <v/>
      </c>
      <c r="I2946" s="1" t="str">
        <f>IFERROR(IF(A2946="","",E2946*#REF!),"")</f>
        <v/>
      </c>
    </row>
    <row r="2947" spans="2:9" x14ac:dyDescent="0.3">
      <c r="B2947" t="str">
        <f>IFERROR(IF(A2947="","",VLOOKUP(A2947,CadProd!$A:$B,2,0)),"")</f>
        <v/>
      </c>
      <c r="C2947" t="str">
        <f>IFERROR(IF(A2947="","",VLOOKUP(A2947,CadProd!$A:$C,3,0)),"")</f>
        <v/>
      </c>
      <c r="I2947" s="1" t="str">
        <f>IFERROR(IF(A2947="","",E2947*#REF!),"")</f>
        <v/>
      </c>
    </row>
    <row r="2948" spans="2:9" x14ac:dyDescent="0.3">
      <c r="B2948" t="str">
        <f>IFERROR(IF(A2948="","",VLOOKUP(A2948,CadProd!$A:$B,2,0)),"")</f>
        <v/>
      </c>
      <c r="C2948" t="str">
        <f>IFERROR(IF(A2948="","",VLOOKUP(A2948,CadProd!$A:$C,3,0)),"")</f>
        <v/>
      </c>
      <c r="I2948" s="1" t="str">
        <f>IFERROR(IF(A2948="","",E2948*#REF!),"")</f>
        <v/>
      </c>
    </row>
    <row r="2949" spans="2:9" x14ac:dyDescent="0.3">
      <c r="B2949" t="str">
        <f>IFERROR(IF(A2949="","",VLOOKUP(A2949,CadProd!$A:$B,2,0)),"")</f>
        <v/>
      </c>
      <c r="C2949" t="str">
        <f>IFERROR(IF(A2949="","",VLOOKUP(A2949,CadProd!$A:$C,3,0)),"")</f>
        <v/>
      </c>
      <c r="I2949" s="1" t="str">
        <f>IFERROR(IF(A2949="","",E2949*#REF!),"")</f>
        <v/>
      </c>
    </row>
    <row r="2950" spans="2:9" x14ac:dyDescent="0.3">
      <c r="B2950" t="str">
        <f>IFERROR(IF(A2950="","",VLOOKUP(A2950,CadProd!$A:$B,2,0)),"")</f>
        <v/>
      </c>
      <c r="C2950" t="str">
        <f>IFERROR(IF(A2950="","",VLOOKUP(A2950,CadProd!$A:$C,3,0)),"")</f>
        <v/>
      </c>
      <c r="I2950" s="1" t="str">
        <f>IFERROR(IF(A2950="","",E2950*#REF!),"")</f>
        <v/>
      </c>
    </row>
    <row r="2951" spans="2:9" x14ac:dyDescent="0.3">
      <c r="B2951" t="str">
        <f>IFERROR(IF(A2951="","",VLOOKUP(A2951,CadProd!$A:$B,2,0)),"")</f>
        <v/>
      </c>
      <c r="C2951" t="str">
        <f>IFERROR(IF(A2951="","",VLOOKUP(A2951,CadProd!$A:$C,3,0)),"")</f>
        <v/>
      </c>
      <c r="I2951" s="1" t="str">
        <f>IFERROR(IF(A2951="","",E2951*#REF!),"")</f>
        <v/>
      </c>
    </row>
    <row r="2952" spans="2:9" x14ac:dyDescent="0.3">
      <c r="B2952" t="str">
        <f>IFERROR(IF(A2952="","",VLOOKUP(A2952,CadProd!$A:$B,2,0)),"")</f>
        <v/>
      </c>
      <c r="C2952" t="str">
        <f>IFERROR(IF(A2952="","",VLOOKUP(A2952,CadProd!$A:$C,3,0)),"")</f>
        <v/>
      </c>
      <c r="I2952" s="1" t="str">
        <f>IFERROR(IF(A2952="","",E2952*#REF!),"")</f>
        <v/>
      </c>
    </row>
    <row r="2953" spans="2:9" x14ac:dyDescent="0.3">
      <c r="B2953" t="str">
        <f>IFERROR(IF(A2953="","",VLOOKUP(A2953,CadProd!$A:$B,2,0)),"")</f>
        <v/>
      </c>
      <c r="C2953" t="str">
        <f>IFERROR(IF(A2953="","",VLOOKUP(A2953,CadProd!$A:$C,3,0)),"")</f>
        <v/>
      </c>
      <c r="I2953" s="1" t="str">
        <f>IFERROR(IF(A2953="","",E2953*#REF!),"")</f>
        <v/>
      </c>
    </row>
    <row r="2954" spans="2:9" x14ac:dyDescent="0.3">
      <c r="B2954" t="str">
        <f>IFERROR(IF(A2954="","",VLOOKUP(A2954,CadProd!$A:$B,2,0)),"")</f>
        <v/>
      </c>
      <c r="C2954" t="str">
        <f>IFERROR(IF(A2954="","",VLOOKUP(A2954,CadProd!$A:$C,3,0)),"")</f>
        <v/>
      </c>
      <c r="I2954" s="1" t="str">
        <f>IFERROR(IF(A2954="","",E2954*#REF!),"")</f>
        <v/>
      </c>
    </row>
    <row r="2955" spans="2:9" x14ac:dyDescent="0.3">
      <c r="B2955" t="str">
        <f>IFERROR(IF(A2955="","",VLOOKUP(A2955,CadProd!$A:$B,2,0)),"")</f>
        <v/>
      </c>
      <c r="C2955" t="str">
        <f>IFERROR(IF(A2955="","",VLOOKUP(A2955,CadProd!$A:$C,3,0)),"")</f>
        <v/>
      </c>
      <c r="I2955" s="1" t="str">
        <f>IFERROR(IF(A2955="","",E2955*#REF!),"")</f>
        <v/>
      </c>
    </row>
    <row r="2956" spans="2:9" x14ac:dyDescent="0.3">
      <c r="B2956" t="str">
        <f>IFERROR(IF(A2956="","",VLOOKUP(A2956,CadProd!$A:$B,2,0)),"")</f>
        <v/>
      </c>
      <c r="C2956" t="str">
        <f>IFERROR(IF(A2956="","",VLOOKUP(A2956,CadProd!$A:$C,3,0)),"")</f>
        <v/>
      </c>
      <c r="I2956" s="1" t="str">
        <f>IFERROR(IF(A2956="","",E2956*#REF!),"")</f>
        <v/>
      </c>
    </row>
    <row r="2957" spans="2:9" x14ac:dyDescent="0.3">
      <c r="B2957" t="str">
        <f>IFERROR(IF(A2957="","",VLOOKUP(A2957,CadProd!$A:$B,2,0)),"")</f>
        <v/>
      </c>
      <c r="C2957" t="str">
        <f>IFERROR(IF(A2957="","",VLOOKUP(A2957,CadProd!$A:$C,3,0)),"")</f>
        <v/>
      </c>
      <c r="I2957" s="1" t="str">
        <f>IFERROR(IF(A2957="","",E2957*#REF!),"")</f>
        <v/>
      </c>
    </row>
    <row r="2958" spans="2:9" x14ac:dyDescent="0.3">
      <c r="B2958" t="str">
        <f>IFERROR(IF(A2958="","",VLOOKUP(A2958,CadProd!$A:$B,2,0)),"")</f>
        <v/>
      </c>
      <c r="C2958" t="str">
        <f>IFERROR(IF(A2958="","",VLOOKUP(A2958,CadProd!$A:$C,3,0)),"")</f>
        <v/>
      </c>
      <c r="I2958" s="1" t="str">
        <f>IFERROR(IF(A2958="","",E2958*#REF!),"")</f>
        <v/>
      </c>
    </row>
    <row r="2959" spans="2:9" x14ac:dyDescent="0.3">
      <c r="B2959" t="str">
        <f>IFERROR(IF(A2959="","",VLOOKUP(A2959,CadProd!$A:$B,2,0)),"")</f>
        <v/>
      </c>
      <c r="C2959" t="str">
        <f>IFERROR(IF(A2959="","",VLOOKUP(A2959,CadProd!$A:$C,3,0)),"")</f>
        <v/>
      </c>
      <c r="I2959" s="1" t="str">
        <f>IFERROR(IF(A2959="","",E2959*#REF!),"")</f>
        <v/>
      </c>
    </row>
    <row r="2960" spans="2:9" x14ac:dyDescent="0.3">
      <c r="B2960" t="str">
        <f>IFERROR(IF(A2960="","",VLOOKUP(A2960,CadProd!$A:$B,2,0)),"")</f>
        <v/>
      </c>
      <c r="C2960" t="str">
        <f>IFERROR(IF(A2960="","",VLOOKUP(A2960,CadProd!$A:$C,3,0)),"")</f>
        <v/>
      </c>
      <c r="I2960" s="1" t="str">
        <f>IFERROR(IF(A2960="","",E2960*#REF!),"")</f>
        <v/>
      </c>
    </row>
    <row r="2961" spans="2:9" x14ac:dyDescent="0.3">
      <c r="B2961" t="str">
        <f>IFERROR(IF(A2961="","",VLOOKUP(A2961,CadProd!$A:$B,2,0)),"")</f>
        <v/>
      </c>
      <c r="C2961" t="str">
        <f>IFERROR(IF(A2961="","",VLOOKUP(A2961,CadProd!$A:$C,3,0)),"")</f>
        <v/>
      </c>
      <c r="I2961" s="1" t="str">
        <f>IFERROR(IF(A2961="","",E2961*#REF!),"")</f>
        <v/>
      </c>
    </row>
    <row r="2962" spans="2:9" x14ac:dyDescent="0.3">
      <c r="B2962" t="str">
        <f>IFERROR(IF(A2962="","",VLOOKUP(A2962,CadProd!$A:$B,2,0)),"")</f>
        <v/>
      </c>
      <c r="C2962" t="str">
        <f>IFERROR(IF(A2962="","",VLOOKUP(A2962,CadProd!$A:$C,3,0)),"")</f>
        <v/>
      </c>
      <c r="I2962" s="1" t="str">
        <f>IFERROR(IF(A2962="","",E2962*#REF!),"")</f>
        <v/>
      </c>
    </row>
    <row r="2963" spans="2:9" x14ac:dyDescent="0.3">
      <c r="B2963" t="str">
        <f>IFERROR(IF(A2963="","",VLOOKUP(A2963,CadProd!$A:$B,2,0)),"")</f>
        <v/>
      </c>
      <c r="C2963" t="str">
        <f>IFERROR(IF(A2963="","",VLOOKUP(A2963,CadProd!$A:$C,3,0)),"")</f>
        <v/>
      </c>
      <c r="I2963" s="1" t="str">
        <f>IFERROR(IF(A2963="","",E2963*#REF!),"")</f>
        <v/>
      </c>
    </row>
    <row r="2964" spans="2:9" x14ac:dyDescent="0.3">
      <c r="B2964" t="str">
        <f>IFERROR(IF(A2964="","",VLOOKUP(A2964,CadProd!$A:$B,2,0)),"")</f>
        <v/>
      </c>
      <c r="C2964" t="str">
        <f>IFERROR(IF(A2964="","",VLOOKUP(A2964,CadProd!$A:$C,3,0)),"")</f>
        <v/>
      </c>
      <c r="I2964" s="1" t="str">
        <f>IFERROR(IF(A2964="","",E2964*#REF!),"")</f>
        <v/>
      </c>
    </row>
    <row r="2965" spans="2:9" x14ac:dyDescent="0.3">
      <c r="B2965" t="str">
        <f>IFERROR(IF(A2965="","",VLOOKUP(A2965,CadProd!$A:$B,2,0)),"")</f>
        <v/>
      </c>
      <c r="C2965" t="str">
        <f>IFERROR(IF(A2965="","",VLOOKUP(A2965,CadProd!$A:$C,3,0)),"")</f>
        <v/>
      </c>
      <c r="I2965" s="1" t="str">
        <f>IFERROR(IF(A2965="","",E2965*#REF!),"")</f>
        <v/>
      </c>
    </row>
    <row r="2966" spans="2:9" x14ac:dyDescent="0.3">
      <c r="B2966" t="str">
        <f>IFERROR(IF(A2966="","",VLOOKUP(A2966,CadProd!$A:$B,2,0)),"")</f>
        <v/>
      </c>
      <c r="C2966" t="str">
        <f>IFERROR(IF(A2966="","",VLOOKUP(A2966,CadProd!$A:$C,3,0)),"")</f>
        <v/>
      </c>
      <c r="I2966" s="1" t="str">
        <f>IFERROR(IF(A2966="","",E2966*#REF!),"")</f>
        <v/>
      </c>
    </row>
    <row r="2967" spans="2:9" x14ac:dyDescent="0.3">
      <c r="B2967" t="str">
        <f>IFERROR(IF(A2967="","",VLOOKUP(A2967,CadProd!$A:$B,2,0)),"")</f>
        <v/>
      </c>
      <c r="C2967" t="str">
        <f>IFERROR(IF(A2967="","",VLOOKUP(A2967,CadProd!$A:$C,3,0)),"")</f>
        <v/>
      </c>
      <c r="I2967" s="1" t="str">
        <f>IFERROR(IF(A2967="","",E2967*#REF!),"")</f>
        <v/>
      </c>
    </row>
    <row r="2968" spans="2:9" x14ac:dyDescent="0.3">
      <c r="B2968" t="str">
        <f>IFERROR(IF(A2968="","",VLOOKUP(A2968,CadProd!$A:$B,2,0)),"")</f>
        <v/>
      </c>
      <c r="C2968" t="str">
        <f>IFERROR(IF(A2968="","",VLOOKUP(A2968,CadProd!$A:$C,3,0)),"")</f>
        <v/>
      </c>
      <c r="I2968" s="1" t="str">
        <f>IFERROR(IF(A2968="","",E2968*#REF!),"")</f>
        <v/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1AA00-F411-4966-9AB8-384031497EC3}">
  <sheetPr codeName="Planilha21"/>
  <dimension ref="A1:T6"/>
  <sheetViews>
    <sheetView workbookViewId="0">
      <selection activeCell="A2" sqref="A2:N2"/>
    </sheetView>
  </sheetViews>
  <sheetFormatPr defaultRowHeight="14.4" x14ac:dyDescent="0.3"/>
  <cols>
    <col min="2" max="2" width="11.88671875" bestFit="1" customWidth="1"/>
    <col min="3" max="3" width="26.44140625" customWidth="1"/>
    <col min="5" max="5" width="10.33203125" style="1" bestFit="1" customWidth="1"/>
    <col min="6" max="6" width="12.44140625" style="1" bestFit="1" customWidth="1"/>
    <col min="7" max="7" width="13.109375" bestFit="1" customWidth="1"/>
    <col min="8" max="8" width="10.5546875" bestFit="1" customWidth="1"/>
    <col min="9" max="9" width="8.5546875" bestFit="1" customWidth="1"/>
    <col min="10" max="10" width="14.44140625" bestFit="1" customWidth="1"/>
    <col min="11" max="11" width="14.44140625" customWidth="1"/>
    <col min="12" max="12" width="9.33203125" bestFit="1" customWidth="1"/>
    <col min="13" max="13" width="12.44140625" bestFit="1" customWidth="1"/>
    <col min="14" max="14" width="11.88671875" bestFit="1" customWidth="1"/>
    <col min="16" max="16" width="11.5546875" bestFit="1" customWidth="1"/>
    <col min="19" max="19" width="12.33203125" bestFit="1" customWidth="1"/>
    <col min="20" max="20" width="11.88671875" bestFit="1" customWidth="1"/>
  </cols>
  <sheetData>
    <row r="1" spans="1:20" x14ac:dyDescent="0.3">
      <c r="A1" t="s">
        <v>0</v>
      </c>
      <c r="B1" t="s">
        <v>38</v>
      </c>
      <c r="C1" t="s">
        <v>1</v>
      </c>
      <c r="D1" t="s">
        <v>3</v>
      </c>
      <c r="E1" t="s">
        <v>2</v>
      </c>
      <c r="F1" t="s">
        <v>9</v>
      </c>
      <c r="G1" t="s">
        <v>11</v>
      </c>
      <c r="H1" t="s">
        <v>4</v>
      </c>
      <c r="I1" t="s">
        <v>6</v>
      </c>
      <c r="J1" t="s">
        <v>13</v>
      </c>
      <c r="K1" t="s">
        <v>32</v>
      </c>
      <c r="L1" t="s">
        <v>14</v>
      </c>
      <c r="M1" t="s">
        <v>5</v>
      </c>
      <c r="N1" t="s">
        <v>15</v>
      </c>
      <c r="P1" t="s">
        <v>10</v>
      </c>
      <c r="Q1">
        <f>SUM(TempLucro!D:D)</f>
        <v>0</v>
      </c>
      <c r="S1" t="s">
        <v>9</v>
      </c>
      <c r="T1" s="1">
        <f>SUM(TempLucro!N:N)</f>
        <v>0</v>
      </c>
    </row>
    <row r="2" spans="1:20" x14ac:dyDescent="0.3">
      <c r="J2" s="1"/>
      <c r="K2" s="1"/>
      <c r="L2" s="1"/>
      <c r="M2" s="1"/>
      <c r="N2" s="1"/>
    </row>
    <row r="3" spans="1:20" x14ac:dyDescent="0.3">
      <c r="J3" s="1"/>
      <c r="K3" s="1"/>
      <c r="L3" s="1"/>
      <c r="M3" s="1"/>
      <c r="N3" s="1"/>
    </row>
    <row r="4" spans="1:20" x14ac:dyDescent="0.3">
      <c r="J4" s="1"/>
      <c r="K4" s="1"/>
      <c r="L4" s="1"/>
      <c r="M4" s="1"/>
      <c r="N4" s="1"/>
    </row>
    <row r="5" spans="1:20" x14ac:dyDescent="0.3">
      <c r="J5" s="1"/>
      <c r="K5" s="1"/>
      <c r="L5" s="1"/>
      <c r="M5" s="1"/>
      <c r="N5" s="1"/>
    </row>
    <row r="6" spans="1:20" x14ac:dyDescent="0.3">
      <c r="J6" s="1"/>
      <c r="K6" s="1"/>
      <c r="L6" s="1"/>
      <c r="M6" s="1"/>
      <c r="N6" s="1"/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21FAA-F268-48DC-9514-0B016035590B}">
  <sheetPr codeName="Planilha22"/>
  <dimension ref="A1:T6"/>
  <sheetViews>
    <sheetView workbookViewId="0">
      <selection activeCell="A2" sqref="A2:N6"/>
    </sheetView>
  </sheetViews>
  <sheetFormatPr defaultRowHeight="14.4" x14ac:dyDescent="0.3"/>
  <cols>
    <col min="2" max="2" width="11.88671875" bestFit="1" customWidth="1"/>
    <col min="3" max="3" width="26.44140625" customWidth="1"/>
    <col min="5" max="5" width="10.33203125" style="1" bestFit="1" customWidth="1"/>
    <col min="6" max="6" width="12.44140625" style="1" bestFit="1" customWidth="1"/>
    <col min="7" max="7" width="13.109375" bestFit="1" customWidth="1"/>
    <col min="8" max="8" width="10.5546875" bestFit="1" customWidth="1"/>
    <col min="9" max="9" width="8.5546875" bestFit="1" customWidth="1"/>
    <col min="10" max="10" width="14.44140625" bestFit="1" customWidth="1"/>
    <col min="11" max="11" width="14.44140625" customWidth="1"/>
    <col min="12" max="12" width="9.33203125" bestFit="1" customWidth="1"/>
    <col min="13" max="13" width="12.44140625" bestFit="1" customWidth="1"/>
    <col min="14" max="14" width="11.88671875" bestFit="1" customWidth="1"/>
    <col min="16" max="16" width="11.5546875" bestFit="1" customWidth="1"/>
    <col min="19" max="19" width="12.33203125" bestFit="1" customWidth="1"/>
  </cols>
  <sheetData>
    <row r="1" spans="1:20" x14ac:dyDescent="0.3">
      <c r="A1" t="s">
        <v>0</v>
      </c>
      <c r="B1" t="s">
        <v>38</v>
      </c>
      <c r="C1" t="s">
        <v>1</v>
      </c>
      <c r="D1" t="s">
        <v>3</v>
      </c>
      <c r="E1" t="s">
        <v>2</v>
      </c>
      <c r="F1" t="s">
        <v>9</v>
      </c>
      <c r="G1" t="s">
        <v>11</v>
      </c>
      <c r="H1" t="s">
        <v>4</v>
      </c>
      <c r="I1" t="s">
        <v>6</v>
      </c>
      <c r="J1" t="s">
        <v>13</v>
      </c>
      <c r="K1" t="s">
        <v>32</v>
      </c>
      <c r="L1" t="s">
        <v>14</v>
      </c>
      <c r="M1" t="s">
        <v>5</v>
      </c>
      <c r="N1" t="s">
        <v>15</v>
      </c>
      <c r="P1" t="s">
        <v>10</v>
      </c>
      <c r="Q1">
        <f>SUM(TempLucro!D:D)</f>
        <v>0</v>
      </c>
      <c r="S1" t="s">
        <v>9</v>
      </c>
      <c r="T1" s="1">
        <f>SUM(TempLucro!N:N)</f>
        <v>0</v>
      </c>
    </row>
    <row r="2" spans="1:20" x14ac:dyDescent="0.3">
      <c r="J2" s="1"/>
      <c r="K2" s="1"/>
      <c r="L2" s="1"/>
      <c r="M2" s="1"/>
      <c r="N2" s="1"/>
    </row>
    <row r="3" spans="1:20" x14ac:dyDescent="0.3">
      <c r="J3" s="1"/>
      <c r="K3" s="1"/>
      <c r="L3" s="1"/>
      <c r="M3" s="1"/>
      <c r="N3" s="1"/>
    </row>
    <row r="4" spans="1:20" x14ac:dyDescent="0.3">
      <c r="J4" s="1"/>
      <c r="K4" s="1"/>
      <c r="L4" s="1"/>
      <c r="M4" s="1"/>
      <c r="N4" s="1"/>
    </row>
    <row r="5" spans="1:20" x14ac:dyDescent="0.3">
      <c r="J5" s="1"/>
      <c r="K5" s="1"/>
      <c r="L5" s="1"/>
      <c r="M5" s="1"/>
      <c r="N5" s="1"/>
    </row>
    <row r="6" spans="1:20" x14ac:dyDescent="0.3">
      <c r="J6" s="1"/>
      <c r="K6" s="1"/>
      <c r="L6" s="1"/>
      <c r="M6" s="1"/>
      <c r="N6" s="1"/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8A301-D700-4A5F-8013-96D25494DD24}">
  <sheetPr codeName="Planilha6"/>
  <dimension ref="A1:U36"/>
  <sheetViews>
    <sheetView zoomScale="80" zoomScaleNormal="80" workbookViewId="0">
      <selection activeCell="T4" sqref="T4"/>
    </sheetView>
  </sheetViews>
  <sheetFormatPr defaultRowHeight="14.4" x14ac:dyDescent="0.3"/>
  <cols>
    <col min="1" max="1" width="8.44140625" bestFit="1" customWidth="1"/>
    <col min="2" max="2" width="11.21875" style="2" bestFit="1" customWidth="1"/>
    <col min="3" max="3" width="3.33203125" bestFit="1" customWidth="1"/>
    <col min="4" max="4" width="5.44140625" bestFit="1" customWidth="1"/>
    <col min="6" max="6" width="11.21875" bestFit="1" customWidth="1"/>
    <col min="8" max="8" width="16.6640625" bestFit="1" customWidth="1"/>
  </cols>
  <sheetData>
    <row r="1" spans="1:21" x14ac:dyDescent="0.3">
      <c r="A1" t="str">
        <f ca="1">IFERROR(IF(B1&lt;=$F$1,IF(C1&lt;10,0&amp;C1&amp;"_"&amp;D1,C1&amp;"_"&amp;D1),""),"")</f>
        <v>01_2023</v>
      </c>
      <c r="B1" s="2">
        <v>44927</v>
      </c>
      <c r="C1">
        <f>MONTH(B1)</f>
        <v>1</v>
      </c>
      <c r="D1">
        <f>YEAR(B1)</f>
        <v>2023</v>
      </c>
      <c r="F1" s="2">
        <f ca="1">TODAY()</f>
        <v>45019</v>
      </c>
      <c r="H1" s="7">
        <f ca="1">NOW()</f>
        <v>45019.801071412039</v>
      </c>
      <c r="J1">
        <f ca="1">DAY(H1)</f>
        <v>3</v>
      </c>
      <c r="K1">
        <f ca="1">MONTH(H1)</f>
        <v>4</v>
      </c>
      <c r="L1" t="str">
        <f ca="1">IFERROR(IF(K1&lt;10,0&amp;K1,K1),"")</f>
        <v>04</v>
      </c>
      <c r="M1">
        <f ca="1">YEAR(H1)</f>
        <v>2023</v>
      </c>
      <c r="O1">
        <f ca="1">HOUR(H1)</f>
        <v>19</v>
      </c>
      <c r="P1">
        <f ca="1">MINUTE(H1)</f>
        <v>13</v>
      </c>
      <c r="Q1">
        <f ca="1">IFERROR(IF(P1&lt;10,0&amp;P1,P1),"")</f>
        <v>13</v>
      </c>
      <c r="T1" t="s">
        <v>42</v>
      </c>
      <c r="U1" t="s">
        <v>55</v>
      </c>
    </row>
    <row r="2" spans="1:21" x14ac:dyDescent="0.3">
      <c r="A2" t="str">
        <f t="shared" ref="A2:A36" ca="1" si="0">IFERROR(IF(B2&lt;=$F$1,IF(C2&lt;10,0&amp;C2&amp;"_"&amp;D2,C2&amp;"_"&amp;D2),""),"")</f>
        <v>02_2023</v>
      </c>
      <c r="B2" s="2">
        <v>44958</v>
      </c>
      <c r="C2">
        <f t="shared" ref="C2:C36" si="1">MONTH(B2)</f>
        <v>2</v>
      </c>
      <c r="D2">
        <f t="shared" ref="D2:D36" si="2">YEAR(B2)</f>
        <v>2023</v>
      </c>
      <c r="T2" t="s">
        <v>43</v>
      </c>
      <c r="U2" t="s">
        <v>58</v>
      </c>
    </row>
    <row r="3" spans="1:21" x14ac:dyDescent="0.3">
      <c r="A3" t="str">
        <f t="shared" ca="1" si="0"/>
        <v>03_2023</v>
      </c>
      <c r="B3" s="2">
        <v>44986</v>
      </c>
      <c r="C3">
        <f t="shared" si="1"/>
        <v>3</v>
      </c>
      <c r="D3">
        <f t="shared" si="2"/>
        <v>2023</v>
      </c>
      <c r="F3" t="str">
        <f ca="1">L1&amp;"_"&amp;M1</f>
        <v>04_2023</v>
      </c>
    </row>
    <row r="4" spans="1:21" x14ac:dyDescent="0.3">
      <c r="A4" t="str">
        <f t="shared" ca="1" si="0"/>
        <v>04_2023</v>
      </c>
      <c r="B4" s="2">
        <v>45017</v>
      </c>
      <c r="C4">
        <f t="shared" si="1"/>
        <v>4</v>
      </c>
      <c r="D4">
        <f t="shared" si="2"/>
        <v>2023</v>
      </c>
    </row>
    <row r="5" spans="1:21" x14ac:dyDescent="0.3">
      <c r="A5" t="str">
        <f t="shared" ca="1" si="0"/>
        <v/>
      </c>
      <c r="B5" s="2">
        <v>45047</v>
      </c>
      <c r="C5">
        <f t="shared" si="1"/>
        <v>5</v>
      </c>
      <c r="D5">
        <f t="shared" si="2"/>
        <v>2023</v>
      </c>
    </row>
    <row r="6" spans="1:21" x14ac:dyDescent="0.3">
      <c r="A6" t="str">
        <f t="shared" ca="1" si="0"/>
        <v/>
      </c>
      <c r="B6" s="2">
        <v>45078</v>
      </c>
      <c r="C6">
        <f t="shared" si="1"/>
        <v>6</v>
      </c>
      <c r="D6">
        <f t="shared" si="2"/>
        <v>2023</v>
      </c>
    </row>
    <row r="7" spans="1:21" x14ac:dyDescent="0.3">
      <c r="A7" t="str">
        <f t="shared" ca="1" si="0"/>
        <v/>
      </c>
      <c r="B7" s="2">
        <v>45108</v>
      </c>
      <c r="C7">
        <f t="shared" si="1"/>
        <v>7</v>
      </c>
      <c r="D7">
        <f t="shared" si="2"/>
        <v>2023</v>
      </c>
    </row>
    <row r="8" spans="1:21" x14ac:dyDescent="0.3">
      <c r="A8" t="str">
        <f t="shared" ca="1" si="0"/>
        <v/>
      </c>
      <c r="B8" s="2">
        <v>45139</v>
      </c>
      <c r="C8">
        <f t="shared" si="1"/>
        <v>8</v>
      </c>
      <c r="D8">
        <f t="shared" si="2"/>
        <v>2023</v>
      </c>
    </row>
    <row r="9" spans="1:21" x14ac:dyDescent="0.3">
      <c r="A9" t="str">
        <f t="shared" ca="1" si="0"/>
        <v/>
      </c>
      <c r="B9" s="2">
        <v>45170</v>
      </c>
      <c r="C9">
        <f t="shared" si="1"/>
        <v>9</v>
      </c>
      <c r="D9">
        <f t="shared" si="2"/>
        <v>2023</v>
      </c>
    </row>
    <row r="10" spans="1:21" x14ac:dyDescent="0.3">
      <c r="A10" t="str">
        <f t="shared" ca="1" si="0"/>
        <v/>
      </c>
      <c r="B10" s="2">
        <v>45200</v>
      </c>
      <c r="C10">
        <f t="shared" si="1"/>
        <v>10</v>
      </c>
      <c r="D10">
        <f t="shared" si="2"/>
        <v>2023</v>
      </c>
    </row>
    <row r="11" spans="1:21" x14ac:dyDescent="0.3">
      <c r="A11" t="str">
        <f t="shared" ca="1" si="0"/>
        <v/>
      </c>
      <c r="B11" s="2">
        <v>45231</v>
      </c>
      <c r="C11">
        <f t="shared" si="1"/>
        <v>11</v>
      </c>
      <c r="D11">
        <f t="shared" si="2"/>
        <v>2023</v>
      </c>
    </row>
    <row r="12" spans="1:21" x14ac:dyDescent="0.3">
      <c r="A12" t="str">
        <f t="shared" ca="1" si="0"/>
        <v/>
      </c>
      <c r="B12" s="2">
        <v>45261</v>
      </c>
      <c r="C12">
        <f t="shared" si="1"/>
        <v>12</v>
      </c>
      <c r="D12">
        <f t="shared" si="2"/>
        <v>2023</v>
      </c>
    </row>
    <row r="13" spans="1:21" x14ac:dyDescent="0.3">
      <c r="A13" t="str">
        <f t="shared" ca="1" si="0"/>
        <v/>
      </c>
      <c r="B13" s="2">
        <v>45292</v>
      </c>
      <c r="C13">
        <f t="shared" si="1"/>
        <v>1</v>
      </c>
      <c r="D13">
        <f t="shared" si="2"/>
        <v>2024</v>
      </c>
    </row>
    <row r="14" spans="1:21" x14ac:dyDescent="0.3">
      <c r="A14" t="str">
        <f t="shared" ca="1" si="0"/>
        <v/>
      </c>
      <c r="B14" s="2">
        <v>45323</v>
      </c>
      <c r="C14">
        <f t="shared" si="1"/>
        <v>2</v>
      </c>
      <c r="D14">
        <f t="shared" si="2"/>
        <v>2024</v>
      </c>
    </row>
    <row r="15" spans="1:21" x14ac:dyDescent="0.3">
      <c r="A15" t="str">
        <f t="shared" ca="1" si="0"/>
        <v/>
      </c>
      <c r="B15" s="2">
        <v>45352</v>
      </c>
      <c r="C15">
        <f t="shared" si="1"/>
        <v>3</v>
      </c>
      <c r="D15">
        <f t="shared" si="2"/>
        <v>2024</v>
      </c>
    </row>
    <row r="16" spans="1:21" x14ac:dyDescent="0.3">
      <c r="A16" t="str">
        <f t="shared" ca="1" si="0"/>
        <v/>
      </c>
      <c r="B16" s="2">
        <v>45383</v>
      </c>
      <c r="C16">
        <f t="shared" si="1"/>
        <v>4</v>
      </c>
      <c r="D16">
        <f t="shared" si="2"/>
        <v>2024</v>
      </c>
    </row>
    <row r="17" spans="1:4" x14ac:dyDescent="0.3">
      <c r="A17" t="str">
        <f t="shared" ca="1" si="0"/>
        <v/>
      </c>
      <c r="B17" s="2">
        <v>45413</v>
      </c>
      <c r="C17">
        <f t="shared" si="1"/>
        <v>5</v>
      </c>
      <c r="D17">
        <f t="shared" si="2"/>
        <v>2024</v>
      </c>
    </row>
    <row r="18" spans="1:4" x14ac:dyDescent="0.3">
      <c r="A18" t="str">
        <f t="shared" ca="1" si="0"/>
        <v/>
      </c>
      <c r="B18" s="2">
        <v>45444</v>
      </c>
      <c r="C18">
        <f t="shared" si="1"/>
        <v>6</v>
      </c>
      <c r="D18">
        <f t="shared" si="2"/>
        <v>2024</v>
      </c>
    </row>
    <row r="19" spans="1:4" x14ac:dyDescent="0.3">
      <c r="A19" t="str">
        <f t="shared" ca="1" si="0"/>
        <v/>
      </c>
      <c r="B19" s="2">
        <v>45474</v>
      </c>
      <c r="C19">
        <f t="shared" si="1"/>
        <v>7</v>
      </c>
      <c r="D19">
        <f t="shared" si="2"/>
        <v>2024</v>
      </c>
    </row>
    <row r="20" spans="1:4" x14ac:dyDescent="0.3">
      <c r="A20" t="str">
        <f t="shared" ca="1" si="0"/>
        <v/>
      </c>
      <c r="B20" s="2">
        <v>45505</v>
      </c>
      <c r="C20">
        <f t="shared" si="1"/>
        <v>8</v>
      </c>
      <c r="D20">
        <f t="shared" si="2"/>
        <v>2024</v>
      </c>
    </row>
    <row r="21" spans="1:4" x14ac:dyDescent="0.3">
      <c r="A21" t="str">
        <f t="shared" ca="1" si="0"/>
        <v/>
      </c>
      <c r="B21" s="2">
        <v>45536</v>
      </c>
      <c r="C21">
        <f t="shared" si="1"/>
        <v>9</v>
      </c>
      <c r="D21">
        <f t="shared" si="2"/>
        <v>2024</v>
      </c>
    </row>
    <row r="22" spans="1:4" x14ac:dyDescent="0.3">
      <c r="A22" t="str">
        <f t="shared" ca="1" si="0"/>
        <v/>
      </c>
      <c r="B22" s="2">
        <v>45566</v>
      </c>
      <c r="C22">
        <f t="shared" si="1"/>
        <v>10</v>
      </c>
      <c r="D22">
        <f t="shared" si="2"/>
        <v>2024</v>
      </c>
    </row>
    <row r="23" spans="1:4" x14ac:dyDescent="0.3">
      <c r="A23" t="str">
        <f t="shared" ca="1" si="0"/>
        <v/>
      </c>
      <c r="B23" s="2">
        <v>45597</v>
      </c>
      <c r="C23">
        <f t="shared" si="1"/>
        <v>11</v>
      </c>
      <c r="D23">
        <f t="shared" si="2"/>
        <v>2024</v>
      </c>
    </row>
    <row r="24" spans="1:4" x14ac:dyDescent="0.3">
      <c r="A24" t="str">
        <f t="shared" ca="1" si="0"/>
        <v/>
      </c>
      <c r="B24" s="2">
        <v>45627</v>
      </c>
      <c r="C24">
        <f t="shared" si="1"/>
        <v>12</v>
      </c>
      <c r="D24">
        <f t="shared" si="2"/>
        <v>2024</v>
      </c>
    </row>
    <row r="25" spans="1:4" x14ac:dyDescent="0.3">
      <c r="A25" t="str">
        <f t="shared" ca="1" si="0"/>
        <v/>
      </c>
      <c r="B25" s="2">
        <v>45658</v>
      </c>
      <c r="C25">
        <f t="shared" si="1"/>
        <v>1</v>
      </c>
      <c r="D25">
        <f t="shared" si="2"/>
        <v>2025</v>
      </c>
    </row>
    <row r="26" spans="1:4" x14ac:dyDescent="0.3">
      <c r="A26" t="str">
        <f t="shared" ca="1" si="0"/>
        <v/>
      </c>
      <c r="B26" s="2">
        <v>45689</v>
      </c>
      <c r="C26">
        <f t="shared" si="1"/>
        <v>2</v>
      </c>
      <c r="D26">
        <f t="shared" si="2"/>
        <v>2025</v>
      </c>
    </row>
    <row r="27" spans="1:4" x14ac:dyDescent="0.3">
      <c r="A27" t="str">
        <f t="shared" ca="1" si="0"/>
        <v/>
      </c>
      <c r="B27" s="2">
        <v>45717</v>
      </c>
      <c r="C27">
        <f t="shared" si="1"/>
        <v>3</v>
      </c>
      <c r="D27">
        <f t="shared" si="2"/>
        <v>2025</v>
      </c>
    </row>
    <row r="28" spans="1:4" x14ac:dyDescent="0.3">
      <c r="A28" t="str">
        <f t="shared" ca="1" si="0"/>
        <v/>
      </c>
      <c r="B28" s="2">
        <v>45748</v>
      </c>
      <c r="C28">
        <f t="shared" si="1"/>
        <v>4</v>
      </c>
      <c r="D28">
        <f t="shared" si="2"/>
        <v>2025</v>
      </c>
    </row>
    <row r="29" spans="1:4" x14ac:dyDescent="0.3">
      <c r="A29" t="str">
        <f t="shared" ca="1" si="0"/>
        <v/>
      </c>
      <c r="B29" s="2">
        <v>45778</v>
      </c>
      <c r="C29">
        <f t="shared" si="1"/>
        <v>5</v>
      </c>
      <c r="D29">
        <f t="shared" si="2"/>
        <v>2025</v>
      </c>
    </row>
    <row r="30" spans="1:4" x14ac:dyDescent="0.3">
      <c r="A30" t="str">
        <f t="shared" ca="1" si="0"/>
        <v/>
      </c>
      <c r="B30" s="2">
        <v>45809</v>
      </c>
      <c r="C30">
        <f t="shared" si="1"/>
        <v>6</v>
      </c>
      <c r="D30">
        <f t="shared" si="2"/>
        <v>2025</v>
      </c>
    </row>
    <row r="31" spans="1:4" x14ac:dyDescent="0.3">
      <c r="A31" t="str">
        <f t="shared" ca="1" si="0"/>
        <v/>
      </c>
      <c r="B31" s="2">
        <v>45839</v>
      </c>
      <c r="C31">
        <f t="shared" si="1"/>
        <v>7</v>
      </c>
      <c r="D31">
        <f t="shared" si="2"/>
        <v>2025</v>
      </c>
    </row>
    <row r="32" spans="1:4" x14ac:dyDescent="0.3">
      <c r="A32" t="str">
        <f t="shared" ca="1" si="0"/>
        <v/>
      </c>
      <c r="B32" s="2">
        <v>45870</v>
      </c>
      <c r="C32">
        <f t="shared" si="1"/>
        <v>8</v>
      </c>
      <c r="D32">
        <f t="shared" si="2"/>
        <v>2025</v>
      </c>
    </row>
    <row r="33" spans="1:4" x14ac:dyDescent="0.3">
      <c r="A33" t="str">
        <f t="shared" ca="1" si="0"/>
        <v/>
      </c>
      <c r="B33" s="2">
        <v>45901</v>
      </c>
      <c r="C33">
        <f t="shared" si="1"/>
        <v>9</v>
      </c>
      <c r="D33">
        <f t="shared" si="2"/>
        <v>2025</v>
      </c>
    </row>
    <row r="34" spans="1:4" x14ac:dyDescent="0.3">
      <c r="A34" t="str">
        <f t="shared" ca="1" si="0"/>
        <v/>
      </c>
      <c r="B34" s="2">
        <v>45931</v>
      </c>
      <c r="C34">
        <f t="shared" si="1"/>
        <v>10</v>
      </c>
      <c r="D34">
        <f t="shared" si="2"/>
        <v>2025</v>
      </c>
    </row>
    <row r="35" spans="1:4" x14ac:dyDescent="0.3">
      <c r="A35" t="str">
        <f t="shared" ca="1" si="0"/>
        <v/>
      </c>
      <c r="B35" s="2">
        <v>45962</v>
      </c>
      <c r="C35">
        <f t="shared" si="1"/>
        <v>11</v>
      </c>
      <c r="D35">
        <f t="shared" si="2"/>
        <v>2025</v>
      </c>
    </row>
    <row r="36" spans="1:4" x14ac:dyDescent="0.3">
      <c r="A36" t="str">
        <f t="shared" ca="1" si="0"/>
        <v/>
      </c>
      <c r="B36" s="2">
        <v>45992</v>
      </c>
      <c r="C36">
        <f t="shared" si="1"/>
        <v>12</v>
      </c>
      <c r="D36">
        <f t="shared" si="2"/>
        <v>2025</v>
      </c>
    </row>
  </sheetData>
  <phoneticPr fontId="2" type="noConversion"/>
  <pageMargins left="0.511811024" right="0.511811024" top="0.78740157499999996" bottom="0.78740157499999996" header="0.31496062000000002" footer="0.31496062000000002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78D14-1F33-44B0-B1E3-D240389E7D57}">
  <sheetPr codeName="Planilha7"/>
  <dimension ref="A1"/>
  <sheetViews>
    <sheetView zoomScaleNormal="100" workbookViewId="0">
      <selection activeCell="A2" sqref="A2:A3"/>
    </sheetView>
  </sheetViews>
  <sheetFormatPr defaultRowHeight="14.4" x14ac:dyDescent="0.3"/>
  <cols>
    <col min="1" max="1" width="13.44140625" customWidth="1"/>
  </cols>
  <sheetData>
    <row r="1" spans="1:1" x14ac:dyDescent="0.3">
      <c r="A1" t="s">
        <v>38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685D9-1C28-4DED-A492-DEAAA0695A1F}">
  <sheetPr codeName="Planilha17"/>
  <dimension ref="A1:B3"/>
  <sheetViews>
    <sheetView workbookViewId="0">
      <selection activeCell="A2" sqref="A2:A3"/>
    </sheetView>
  </sheetViews>
  <sheetFormatPr defaultRowHeight="14.4" x14ac:dyDescent="0.3"/>
  <cols>
    <col min="1" max="1" width="14.5546875" bestFit="1" customWidth="1"/>
  </cols>
  <sheetData>
    <row r="1" spans="1:2" x14ac:dyDescent="0.3">
      <c r="A1" t="s">
        <v>18</v>
      </c>
    </row>
    <row r="2" spans="1:2" x14ac:dyDescent="0.3">
      <c r="B2">
        <f>A2</f>
        <v>0</v>
      </c>
    </row>
    <row r="3" spans="1:2" x14ac:dyDescent="0.3">
      <c r="B3">
        <f>A3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E5EC7-A080-430A-97DC-2B001B505D43}">
  <sheetPr codeName="Planilha23"/>
  <dimension ref="A1:B1"/>
  <sheetViews>
    <sheetView workbookViewId="0">
      <selection activeCell="B1" sqref="B1"/>
    </sheetView>
  </sheetViews>
  <sheetFormatPr defaultRowHeight="14.4" x14ac:dyDescent="0.3"/>
  <cols>
    <col min="1" max="1" width="14.5546875" bestFit="1" customWidth="1"/>
  </cols>
  <sheetData>
    <row r="1" spans="1:2" x14ac:dyDescent="0.3">
      <c r="A1" t="s">
        <v>64</v>
      </c>
      <c r="B1" t="str">
        <f>IFERROR(VLOOKUP(A1,BD_CUSTO!$A:$B,2,0),"")</f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Iniciar</vt:lpstr>
      <vt:lpstr>CadCli</vt:lpstr>
      <vt:lpstr>TempCadCli</vt:lpstr>
      <vt:lpstr>CadCliInfo</vt:lpstr>
      <vt:lpstr>CadForn</vt:lpstr>
      <vt:lpstr>TempCadForn</vt:lpstr>
      <vt:lpstr>CadProd</vt:lpstr>
      <vt:lpstr>TempCadProd</vt:lpstr>
      <vt:lpstr>CadProdInfo</vt:lpstr>
      <vt:lpstr>Custos</vt:lpstr>
      <vt:lpstr>TempCustos</vt:lpstr>
      <vt:lpstr>CustosInfo</vt:lpstr>
      <vt:lpstr>RelCustos</vt:lpstr>
      <vt:lpstr>TempRelCustos</vt:lpstr>
      <vt:lpstr>Estoque</vt:lpstr>
      <vt:lpstr>TempEstoque</vt:lpstr>
      <vt:lpstr>EstoqueInfo</vt:lpstr>
      <vt:lpstr>Entrada</vt:lpstr>
      <vt:lpstr>TempEntrada</vt:lpstr>
      <vt:lpstr>OrdemEntrada</vt:lpstr>
      <vt:lpstr>MovEntrada</vt:lpstr>
      <vt:lpstr>TempMovEntrada</vt:lpstr>
      <vt:lpstr>Saida</vt:lpstr>
      <vt:lpstr>TempSaida</vt:lpstr>
      <vt:lpstr>OrdemSaida</vt:lpstr>
      <vt:lpstr>MovSaida</vt:lpstr>
      <vt:lpstr>TempMovSaida</vt:lpstr>
      <vt:lpstr>CalcDesc</vt:lpstr>
      <vt:lpstr>Lucro</vt:lpstr>
      <vt:lpstr>TempLucro</vt:lpstr>
      <vt:lpstr>BD_INFO</vt:lpstr>
      <vt:lpstr>BD_MARCA</vt:lpstr>
      <vt:lpstr>BD_CUSTO</vt:lpstr>
      <vt:lpstr>BD_CUSTO_Info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Vinícius Pereira</dc:creator>
  <cp:lastModifiedBy>Vinícius Pereira</cp:lastModifiedBy>
  <cp:lastPrinted>2023-04-03T21:42:11Z</cp:lastPrinted>
  <dcterms:created xsi:type="dcterms:W3CDTF">2023-02-28T02:44:04Z</dcterms:created>
  <dcterms:modified xsi:type="dcterms:W3CDTF">2023-04-03T22:13:37Z</dcterms:modified>
</cp:coreProperties>
</file>